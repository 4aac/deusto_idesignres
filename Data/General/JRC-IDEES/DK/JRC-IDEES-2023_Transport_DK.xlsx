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DK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88" i="8"/>
  <c r="X87" i="8"/>
  <c r="X86" i="8"/>
  <c r="X84" i="8"/>
  <c r="Y12" i="3"/>
  <c r="X12" i="3"/>
  <c r="X17" i="9"/>
  <c r="Y49" i="9"/>
  <c r="Y40" i="3"/>
  <c r="X25" i="9"/>
  <c r="X5" i="9"/>
  <c r="Y57" i="10"/>
  <c r="X68" i="10"/>
  <c r="Y32" i="10"/>
  <c r="X54" i="10"/>
  <c r="Y53" i="10"/>
  <c r="X53" i="10"/>
  <c r="Y41" i="10"/>
  <c r="Y70" i="3"/>
  <c r="X28" i="10"/>
  <c r="Y24" i="10"/>
  <c r="X24" i="10"/>
  <c r="Y58" i="11"/>
  <c r="X102" i="11"/>
  <c r="Y67" i="11"/>
  <c r="X48" i="13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Y44" i="12"/>
  <c r="X54" i="3"/>
  <c r="Y53" i="3"/>
  <c r="X4" i="12"/>
  <c r="Y45" i="3"/>
  <c r="X45" i="3"/>
  <c r="X83" i="3"/>
  <c r="Y76" i="3"/>
  <c r="X76" i="3"/>
  <c r="Y24" i="13"/>
  <c r="X5" i="13"/>
  <c r="Y23" i="13"/>
  <c r="Y7" i="15"/>
  <c r="X28" i="3"/>
  <c r="Y27" i="3"/>
  <c r="X27" i="3"/>
  <c r="Y15" i="17"/>
  <c r="X88" i="3"/>
  <c r="Y14" i="17"/>
  <c r="X31" i="3"/>
  <c r="Y3" i="18"/>
  <c r="Y17" i="18" s="1"/>
  <c r="X10" i="19"/>
  <c r="Y4" i="19"/>
  <c r="Y90" i="3"/>
  <c r="X90" i="3"/>
  <c r="Y85" i="3"/>
  <c r="X85" i="3"/>
  <c r="X84" i="3"/>
  <c r="X51" i="3"/>
  <c r="Y44" i="3"/>
  <c r="X44" i="3"/>
  <c r="Y42" i="3"/>
  <c r="Y31" i="3"/>
  <c r="Y30" i="3"/>
  <c r="Y25" i="3"/>
  <c r="Y10" i="3"/>
  <c r="X15" i="10" l="1"/>
  <c r="X81" i="3" s="1"/>
  <c r="X27" i="9"/>
  <c r="X90" i="8"/>
  <c r="X41" i="12"/>
  <c r="Y69" i="11"/>
  <c r="Y57" i="8"/>
  <c r="Y79" i="8" s="1"/>
  <c r="Y15" i="14"/>
  <c r="Y21" i="14" s="1"/>
  <c r="Y54" i="3"/>
  <c r="Y206" i="3" s="1"/>
  <c r="Y75" i="3"/>
  <c r="Y29" i="9"/>
  <c r="X91" i="8"/>
  <c r="Y55" i="3"/>
  <c r="Y207" i="3" s="1"/>
  <c r="X75" i="3"/>
  <c r="X227" i="3" s="1"/>
  <c r="X31" i="9"/>
  <c r="X55" i="3"/>
  <c r="X207" i="3" s="1"/>
  <c r="Y91" i="8"/>
  <c r="Y53" i="9"/>
  <c r="X14" i="17"/>
  <c r="X53" i="3"/>
  <c r="X29" i="9"/>
  <c r="Y44" i="11"/>
  <c r="X28" i="8"/>
  <c r="X26" i="8" s="1"/>
  <c r="Y43" i="9"/>
  <c r="X46" i="3"/>
  <c r="X43" i="3" s="1"/>
  <c r="X19" i="12"/>
  <c r="X69" i="12" s="1"/>
  <c r="Y41" i="12"/>
  <c r="X3" i="20"/>
  <c r="X22" i="20" s="1"/>
  <c r="Y7" i="18"/>
  <c r="Y23" i="18" s="1"/>
  <c r="Y39" i="12"/>
  <c r="X240" i="3"/>
  <c r="X98" i="11"/>
  <c r="X43" i="8"/>
  <c r="X88" i="11"/>
  <c r="Y88" i="11"/>
  <c r="Y25" i="9"/>
  <c r="Y31" i="9"/>
  <c r="Y42" i="9"/>
  <c r="Y48" i="1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1" i="15" s="1"/>
  <c r="X13" i="14"/>
  <c r="X19" i="14" s="1"/>
  <c r="Y15" i="3"/>
  <c r="Y13" i="3" s="1"/>
  <c r="X23" i="3"/>
  <c r="X235" i="3" s="1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03" i="3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11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20" i="19" s="1"/>
  <c r="Y10" i="19"/>
  <c r="Y11" i="20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14" i="14"/>
  <c r="X20" i="14" s="1"/>
  <c r="X4" i="14"/>
  <c r="Y91" i="3"/>
  <c r="Y243" i="3" s="1"/>
  <c r="Y19" i="20"/>
  <c r="Y3" i="20"/>
  <c r="Y23" i="20" s="1"/>
  <c r="Y15" i="20"/>
  <c r="Y28" i="11"/>
  <c r="Y80" i="11" s="1"/>
  <c r="Y101" i="11"/>
  <c r="X4" i="10"/>
  <c r="X23" i="10"/>
  <c r="X7" i="18"/>
  <c r="X110" i="11"/>
  <c r="X111" i="11"/>
  <c r="Y120" i="11"/>
  <c r="Y123" i="11"/>
  <c r="Y121" i="11"/>
  <c r="Y28" i="3"/>
  <c r="Y84" i="3"/>
  <c r="Y192" i="3"/>
  <c r="Y237" i="3"/>
  <c r="Y242" i="3"/>
  <c r="Y19" i="18"/>
  <c r="X19" i="17"/>
  <c r="X11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2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24" i="19" l="1"/>
  <c r="X55" i="10"/>
  <c r="Y13" i="15"/>
  <c r="Y18" i="15"/>
  <c r="X52" i="3"/>
  <c r="Y198" i="3"/>
  <c r="X21" i="20"/>
  <c r="Y73" i="3"/>
  <c r="Y225" i="3" s="1"/>
  <c r="X22" i="10"/>
  <c r="Y3" i="16"/>
  <c r="Y27" i="16" s="1"/>
  <c r="Y22" i="18"/>
  <c r="Y17" i="15"/>
  <c r="X3" i="16"/>
  <c r="X28" i="16" s="1"/>
  <c r="Y10" i="17"/>
  <c r="X89" i="3"/>
  <c r="X181" i="3" s="1"/>
  <c r="X4" i="8"/>
  <c r="X108" i="8" s="1"/>
  <c r="Y52" i="3"/>
  <c r="Y204" i="3" s="1"/>
  <c r="X122" i="11"/>
  <c r="X23" i="20"/>
  <c r="Y3" i="19"/>
  <c r="Y28" i="19" s="1"/>
  <c r="X86" i="3"/>
  <c r="X238" i="3" s="1"/>
  <c r="X192" i="3"/>
  <c r="X3" i="19"/>
  <c r="X29" i="19" s="1"/>
  <c r="Y13" i="18"/>
  <c r="Y25" i="19"/>
  <c r="X118" i="11"/>
  <c r="Y96" i="11"/>
  <c r="X63" i="8"/>
  <c r="X44" i="10"/>
  <c r="X80" i="11"/>
  <c r="Y20" i="16"/>
  <c r="Y57" i="3"/>
  <c r="Y209" i="3" s="1"/>
  <c r="X112" i="8"/>
  <c r="X22" i="15"/>
  <c r="X25" i="14"/>
  <c r="Y3" i="12"/>
  <c r="Y48" i="12" s="1"/>
  <c r="X198" i="3"/>
  <c r="X22" i="3"/>
  <c r="X43" i="11"/>
  <c r="Y197" i="3"/>
  <c r="Y227" i="3"/>
  <c r="Y25" i="14"/>
  <c r="X76" i="11"/>
  <c r="X117" i="11"/>
  <c r="Y27" i="14"/>
  <c r="X116" i="11"/>
  <c r="X41" i="3"/>
  <c r="X39" i="3" s="1"/>
  <c r="X41" i="9"/>
  <c r="X111" i="8"/>
  <c r="X100" i="8"/>
  <c r="Y36" i="8"/>
  <c r="X113" i="8"/>
  <c r="X233" i="3"/>
  <c r="X61" i="8"/>
  <c r="X25" i="8"/>
  <c r="Y22" i="13"/>
  <c r="X96" i="8"/>
  <c r="X205" i="3"/>
  <c r="Y43" i="11"/>
  <c r="X13" i="20"/>
  <c r="X10" i="20"/>
  <c r="X60" i="3"/>
  <c r="X212" i="3" s="1"/>
  <c r="X36" i="8"/>
  <c r="X48" i="9"/>
  <c r="Y21" i="18"/>
  <c r="X13" i="11"/>
  <c r="Y20" i="14"/>
  <c r="X22" i="17"/>
  <c r="X224" i="3"/>
  <c r="Y111" i="11"/>
  <c r="Y42" i="13"/>
  <c r="Y12" i="14"/>
  <c r="Y18" i="14" s="1"/>
  <c r="X182" i="3"/>
  <c r="X13" i="3"/>
  <c r="X195" i="3" s="1"/>
  <c r="X37" i="9"/>
  <c r="X3" i="12"/>
  <c r="X51" i="12" s="1"/>
  <c r="Y23" i="10"/>
  <c r="Y22" i="10"/>
  <c r="Y117" i="11"/>
  <c r="X121" i="11"/>
  <c r="Y119" i="11"/>
  <c r="X29" i="16"/>
  <c r="Y118" i="11"/>
  <c r="X53" i="11"/>
  <c r="Y76" i="11"/>
  <c r="X21" i="16"/>
  <c r="X10" i="17"/>
  <c r="X123" i="11"/>
  <c r="Y112" i="11"/>
  <c r="X21" i="14"/>
  <c r="Y13" i="11"/>
  <c r="X25" i="16"/>
  <c r="X57" i="3"/>
  <c r="X56" i="3" s="1"/>
  <c r="Y32" i="13"/>
  <c r="X24" i="16"/>
  <c r="X17" i="20"/>
  <c r="Y43" i="3"/>
  <c r="Y195" i="3" s="1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24" i="9" s="1"/>
  <c r="X49" i="10"/>
  <c r="X8" i="10"/>
  <c r="X60" i="10" s="1"/>
  <c r="Y44" i="10"/>
  <c r="Y55" i="10"/>
  <c r="Y33" i="10"/>
  <c r="Y81" i="3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X213" i="3"/>
  <c r="X73" i="3"/>
  <c r="X226" i="3"/>
  <c r="X13" i="18"/>
  <c r="X17" i="18"/>
  <c r="X19" i="1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Y86" i="3"/>
  <c r="X46" i="9"/>
  <c r="X10" i="9"/>
  <c r="X57" i="9" s="1"/>
  <c r="Y22" i="17"/>
  <c r="X23" i="18"/>
  <c r="X9" i="17" l="1"/>
  <c r="X19" i="16"/>
  <c r="X27" i="16"/>
  <c r="X109" i="8"/>
  <c r="Y50" i="12"/>
  <c r="Y23" i="19"/>
  <c r="X106" i="8"/>
  <c r="X107" i="8"/>
  <c r="Y27" i="19"/>
  <c r="X105" i="8"/>
  <c r="Y28" i="16"/>
  <c r="Y19" i="16"/>
  <c r="Y19" i="19"/>
  <c r="X94" i="8"/>
  <c r="X35" i="9"/>
  <c r="Y9" i="17"/>
  <c r="X183" i="3"/>
  <c r="X23" i="16"/>
  <c r="X204" i="3"/>
  <c r="Y23" i="16"/>
  <c r="Y47" i="12"/>
  <c r="Y55" i="12"/>
  <c r="Y29" i="19"/>
  <c r="X9" i="20"/>
  <c r="Y54" i="12"/>
  <c r="X23" i="19"/>
  <c r="X27" i="19"/>
  <c r="X38" i="10"/>
  <c r="Y53" i="12"/>
  <c r="X19" i="19"/>
  <c r="Y17" i="12"/>
  <c r="Y67" i="12" s="1"/>
  <c r="Y9" i="20"/>
  <c r="Y52" i="12"/>
  <c r="X28" i="19"/>
  <c r="Y49" i="12"/>
  <c r="Y51" i="12"/>
  <c r="X49" i="12"/>
  <c r="X95" i="11"/>
  <c r="X74" i="8"/>
  <c r="X234" i="3"/>
  <c r="X193" i="3"/>
  <c r="Y95" i="11"/>
  <c r="X59" i="3"/>
  <c r="X153" i="3" s="1"/>
  <c r="Y56" i="3"/>
  <c r="Y208" i="3" s="1"/>
  <c r="Y37" i="12"/>
  <c r="Y24" i="14"/>
  <c r="X209" i="3"/>
  <c r="X62" i="10"/>
  <c r="X225" i="3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08" i="3"/>
  <c r="X191" i="3"/>
  <c r="X60" i="9"/>
  <c r="X64" i="9"/>
  <c r="X56" i="9"/>
  <c r="X62" i="9"/>
  <c r="X45" i="9"/>
  <c r="X58" i="9"/>
  <c r="X61" i="9"/>
  <c r="X63" i="9"/>
  <c r="X59" i="9"/>
  <c r="X65" i="9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151" i="3" l="1"/>
  <c r="X211" i="3"/>
  <c r="X152" i="3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4" i="1"/>
  <c r="B26" i="1"/>
  <c r="B25" i="1"/>
  <c r="S242" i="3" l="1"/>
  <c r="C242" i="3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F20" i="19"/>
  <c r="L20" i="19"/>
  <c r="L10" i="20"/>
  <c r="Q25" i="19"/>
  <c r="Q21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W23" i="20" l="1"/>
  <c r="R25" i="19"/>
  <c r="I22" i="18"/>
  <c r="N29" i="3"/>
  <c r="N123" i="3" s="1"/>
  <c r="F24" i="19"/>
  <c r="U18" i="18"/>
  <c r="M22" i="20"/>
  <c r="U19" i="18"/>
  <c r="J11" i="20"/>
  <c r="F22" i="20"/>
  <c r="M23" i="20"/>
  <c r="P10" i="20"/>
  <c r="R21" i="19"/>
  <c r="W24" i="19"/>
  <c r="N13" i="20"/>
  <c r="G18" i="18"/>
  <c r="H20" i="19"/>
  <c r="K23" i="18"/>
  <c r="H25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27" i="19" l="1"/>
  <c r="U122" i="3"/>
  <c r="E23" i="19"/>
  <c r="F183" i="3"/>
  <c r="U121" i="3"/>
  <c r="E27" i="19"/>
  <c r="Q9" i="20"/>
  <c r="H23" i="19"/>
  <c r="F182" i="3"/>
  <c r="N19" i="19"/>
  <c r="W9" i="20"/>
  <c r="N9" i="20"/>
  <c r="M28" i="19"/>
  <c r="M29" i="19"/>
  <c r="N29" i="19"/>
  <c r="M9" i="20"/>
  <c r="M19" i="19"/>
  <c r="W29" i="19"/>
  <c r="M27" i="19"/>
  <c r="Q23" i="19"/>
  <c r="H27" i="19"/>
  <c r="H19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60" i="9" s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4" i="9"/>
  <c r="W61" i="9"/>
  <c r="W62" i="9"/>
  <c r="W59" i="9"/>
  <c r="W65" i="9"/>
  <c r="W193" i="3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63" i="9" l="1"/>
  <c r="W58" i="9"/>
  <c r="W57" i="9"/>
  <c r="W52" i="12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3" i="1"/>
  <c r="B22" i="1"/>
  <c r="B6" i="1"/>
  <c r="B17" i="1"/>
  <c r="B21" i="1"/>
  <c r="B4" i="1"/>
  <c r="B16" i="1"/>
  <c r="B20" i="1"/>
  <c r="B9" i="1"/>
  <c r="B11" i="1"/>
  <c r="B15" i="1"/>
  <c r="B7" i="1"/>
  <c r="B12" i="1"/>
  <c r="B8" i="1"/>
  <c r="B18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18" i="15" s="1"/>
  <c r="J27" i="3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E43" i="3" s="1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F31" i="7" s="1"/>
  <c r="L67" i="4"/>
  <c r="L13" i="7" s="1"/>
  <c r="M9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G31" i="7" s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N58" i="4" l="1"/>
  <c r="R16" i="7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X58" i="4" s="1"/>
  <c r="W4" i="7"/>
  <c r="T47" i="7"/>
  <c r="T6" i="7"/>
  <c r="T58" i="4"/>
  <c r="U34" i="7"/>
  <c r="U114" i="4"/>
  <c r="T31" i="7"/>
  <c r="Y6" i="7"/>
  <c r="W36" i="7"/>
  <c r="X44" i="7"/>
  <c r="V35" i="7"/>
  <c r="X13" i="7" l="1"/>
  <c r="V42" i="7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 s="1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 s="1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P7" i="4"/>
  <c r="H24" i="4"/>
  <c r="L11" i="4"/>
  <c r="I22" i="4"/>
  <c r="H47" i="4"/>
  <c r="L33" i="4"/>
  <c r="J20" i="4" l="1"/>
  <c r="J19" i="4" s="1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J19" i="3" l="1"/>
  <c r="J238" i="4"/>
  <c r="J211" i="4"/>
  <c r="J157" i="4"/>
  <c r="H270" i="4"/>
  <c r="G215" i="4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 s="1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 s="1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X241" i="4"/>
  <c r="I69" i="7"/>
  <c r="I60" i="7" s="1"/>
  <c r="X238" i="4" l="1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 s="1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 s="1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 s="1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<sst xmlns="http://schemas.openxmlformats.org/spreadsheetml/2006/main" count="2657" uniqueCount="1169">
  <si>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</si>
  <si>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</si>
  <si>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</si>
  <si>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</si>
  <si>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</si>
  <si>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</si>
  <si>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</si>
  <si>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</si>
  <si>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</si>
  <si>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</si>
  <si>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</si>
  <si>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</si>
  <si>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</si>
  <si>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</si>
  <si>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</si>
  <si>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</si>
  <si>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</si>
  <si>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</si>
  <si>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</si>
  <si>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</si>
  <si>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</si>
  <si>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</si>
  <si>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</si>
  <si>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</si>
  <si>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</si>
  <si>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</si>
  <si>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</si>
  <si>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</si>
  <si>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</si>
  <si>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</si>
  <si>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</si>
  <si>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</si>
  <si>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</si>
  <si>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</si>
  <si>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</si>
  <si>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</si>
  <si>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</si>
  <si>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</si>
  <si>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</si>
  <si>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</si>
  <si>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</si>
  <si>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</si>
  <si>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</si>
  <si>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</si>
  <si>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</si>
  <si>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</si>
  <si>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</si>
  <si>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</si>
  <si>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</si>
  <si>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</si>
  <si>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</si>
  <si>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</si>
  <si>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</si>
  <si>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</si>
  <si>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</si>
  <si>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</si>
  <si>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</si>
  <si>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</si>
  <si>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</si>
  <si>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</si>
  <si>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</si>
  <si>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</si>
  <si>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</si>
  <si>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</si>
  <si>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</si>
  <si>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</si>
  <si>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</si>
  <si>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</si>
  <si>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</si>
  <si>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</si>
  <si>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</si>
  <si>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</si>
  <si>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</si>
  <si>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</si>
  <si>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</si>
  <si>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</si>
  <si>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</si>
  <si>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</si>
  <si>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</si>
  <si>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</si>
  <si>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</si>
  <si>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</si>
  <si>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</si>
  <si>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</si>
  <si>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</si>
  <si>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</si>
  <si>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</si>
  <si>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</si>
  <si>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</si>
  <si>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</si>
  <si>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</si>
  <si>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</si>
  <si>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</si>
  <si>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</si>
  <si>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</si>
  <si>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</si>
  <si>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</si>
  <si>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</si>
  <si>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</si>
  <si>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</si>
  <si>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</si>
  <si>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</si>
  <si>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</si>
  <si>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</si>
  <si>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</si>
  <si>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</si>
  <si>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</si>
  <si>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</si>
  <si>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</si>
  <si>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</si>
  <si>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</si>
  <si>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</si>
  <si>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</si>
  <si>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</si>
  <si>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</si>
  <si>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</si>
  <si>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</si>
  <si>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</si>
  <si>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</si>
  <si>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</si>
  <si>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</si>
  <si>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</si>
  <si>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</si>
  <si>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</si>
  <si>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</si>
  <si>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</si>
  <si>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</si>
  <si>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</si>
  <si>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</si>
  <si>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</si>
  <si>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</si>
  <si>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</si>
  <si>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</si>
  <si>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</si>
  <si>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</si>
  <si>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</si>
  <si>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</si>
  <si>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</si>
  <si>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</si>
  <si>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</si>
  <si>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</si>
  <si>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</si>
  <si>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</si>
  <si>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</si>
  <si>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</si>
  <si>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</si>
  <si>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</si>
  <si>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</si>
  <si>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</si>
  <si>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</si>
  <si>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</si>
  <si>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</si>
  <si>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</si>
  <si>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</si>
  <si>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</si>
  <si>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</si>
  <si>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</si>
  <si>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</si>
  <si>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</si>
  <si>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</si>
  <si>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</si>
  <si>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</si>
  <si>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</si>
  <si>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</si>
  <si>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</si>
  <si>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</si>
  <si>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</si>
  <si>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</si>
  <si>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</si>
  <si>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</si>
  <si>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</si>
  <si>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</si>
  <si>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</si>
  <si>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</si>
  <si>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</si>
  <si>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</si>
  <si>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</si>
  <si>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</si>
  <si>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</si>
  <si>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</si>
  <si>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</si>
  <si>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</si>
  <si>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</si>
  <si>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</si>
  <si>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</si>
  <si>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</si>
  <si>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</si>
  <si>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DK</t>
  </si>
  <si>
    <t>Denmark</t>
  </si>
  <si>
    <t>Aviation - DK - Denmark</t>
  </si>
  <si>
    <t>Activity.Mpkm.DK.Tr.Avia.Passenger</t>
  </si>
  <si>
    <t>Activity.Mpkm.DK.Tr.Avia.Passenger.Domestic</t>
  </si>
  <si>
    <t>Activity.Mpkm.DK.Tr.Avia.Passenger.IntraEEAwCHUK</t>
  </si>
  <si>
    <t>Activity.Mpkm.DK.Tr.Avia.Passenger.ExtraEEAwCHUK</t>
  </si>
  <si>
    <t>Activity.Mtkm.DK.Tr.Avia.Freight</t>
  </si>
  <si>
    <t>Activity.Mtkm.DK.Tr.Avia.Freight.Domestic</t>
  </si>
  <si>
    <t>Activity.Mtkm.DK.Tr.Avia.Freight.IntraEEAwCHUK</t>
  </si>
  <si>
    <t>Activity.Mtkm.DK.Tr.Avia.Freight.ExtraEEAwCHUK</t>
  </si>
  <si>
    <t>VehicleKm.Mkm.DK.Tr.Avia</t>
  </si>
  <si>
    <t>VehicleKm.Mkm.DK.Tr.Avia.Passenger</t>
  </si>
  <si>
    <t>VehicleKm.Mkm.DK.Tr.Avia.Passenger.Domestic</t>
  </si>
  <si>
    <t>VehicleKm.Mkm.DK.Tr.Avia.Passenger.IntraEEAwCHUK</t>
  </si>
  <si>
    <t>VehicleKm.Mkm.DK.Tr.Avia.Passenger.ExtraEEAwCHUK</t>
  </si>
  <si>
    <t>VehicleKm.Mkm.DK.Tr.Avia.Freight</t>
  </si>
  <si>
    <t>VehicleKm.Mkm.DK.Tr.Avia.Freight.Domestic</t>
  </si>
  <si>
    <t>VehicleKm.Mkm.DK.Tr.Avia.Freight.IntraEEAwCHUK</t>
  </si>
  <si>
    <t>VehicleKm.Mkm.DK.Tr.Avia.Freight.ExtraEEAwCHUK</t>
  </si>
  <si>
    <t>Flights.number.DK.Tr.Avia</t>
  </si>
  <si>
    <t>Flights.number.DK.Tr.Avia.Passenger</t>
  </si>
  <si>
    <t>Flights.number.DK.Tr.Avia.Passenger.Domestic</t>
  </si>
  <si>
    <t>Flights.number.DK.Tr.Avia.Passenger.IntraEEAwCHUK</t>
  </si>
  <si>
    <t>Flights.number.DK.Tr.Avia.Passenger.ExtraEEAwCHUK</t>
  </si>
  <si>
    <t>Flights.number.DK.Tr.Avia.Freight</t>
  </si>
  <si>
    <t>Flights.number.DK.Tr.Avia.Freight.Domestic</t>
  </si>
  <si>
    <t>Flights.number.DK.Tr.Avia.Freight.IntraEEAwCHUK</t>
  </si>
  <si>
    <t>Flights.number.DK.Tr.Avia.Freight.ExtraEEAwCHUK</t>
  </si>
  <si>
    <t>VolCarried.passenger.DK.Tr.Avia.Passenger</t>
  </si>
  <si>
    <t>VolCarried.passenger.DK.Tr.Avia.Passenger.Domestic</t>
  </si>
  <si>
    <t>VolCarried.passenger.DK.Tr.Avia.Passenger.IntraEEAwCHUK</t>
  </si>
  <si>
    <t>VolCarried.passenger.DK.Tr.Avia.Passenger.ExtraEEAwCHUK</t>
  </si>
  <si>
    <t>VolCarried.t.DK.Tr.Avia.Freight</t>
  </si>
  <si>
    <t>VolCarried.t.DK.Tr.Avia.Freight.Domestic</t>
  </si>
  <si>
    <t>VolCarried.t.DK.Tr.Avia.Freight.IntraEEAwCHUK</t>
  </si>
  <si>
    <t>VolCarried.t.DK.Tr.Avia.Freight.ExtraEEAwCHUK</t>
  </si>
  <si>
    <t>Stock.number.DK.Tr.Avia</t>
  </si>
  <si>
    <t>Stock.number.DK.Tr.Avia.Passenger</t>
  </si>
  <si>
    <t>Stock.number.DK.Tr.Avia.Passenger.Domestic</t>
  </si>
  <si>
    <t>Stock.number.DK.Tr.Avia.Passenger.IntraEEAwCHUK</t>
  </si>
  <si>
    <t>Stock.number.DK.Tr.Avia.Passenger.ExtraEEAwCHUK</t>
  </si>
  <si>
    <t>Stock.number.DK.Tr.Avia.Freight</t>
  </si>
  <si>
    <t>Stock.number.DK.Tr.Avia.Freight.Domestic</t>
  </si>
  <si>
    <t>Stock.number.DK.Tr.Avia.Freight.IntraEEAwCHUK</t>
  </si>
  <si>
    <t>Stock.number.DK.Tr.Avia.Freight.ExtraEEAwCHUK</t>
  </si>
  <si>
    <t>StockNew.number.DK.Tr.Avia</t>
  </si>
  <si>
    <t>StockNew.number.DK.Tr.Avia.Passenger</t>
  </si>
  <si>
    <t>StockNew.number.DK.Tr.Avia.Passenger.Domestic</t>
  </si>
  <si>
    <t>StockNew.number.DK.Tr.Avia.Passenger.IntraEEAwCHUK</t>
  </si>
  <si>
    <t>StockNew.number.DK.Tr.Avia.Passenger.ExtraEEAwCHUK</t>
  </si>
  <si>
    <t>StockNew.number.DK.Tr.Avia.Freight</t>
  </si>
  <si>
    <t>StockNew.number.DK.Tr.Avia.Freight.Domestic</t>
  </si>
  <si>
    <t>StockNew.number.DK.Tr.Avia.Freight.IntraEEAwCHUK</t>
  </si>
  <si>
    <t>StockNew.number.DK.Tr.Avia.Freight.ExtraEEAwCHUK</t>
  </si>
  <si>
    <t>Load.passenger_per_movement.DK.Tr.Avia.Passenger</t>
  </si>
  <si>
    <t>Load.passenger_per_movement.DK.Tr.Avia.Passenger.Domestic</t>
  </si>
  <si>
    <t>Load.passenger_per_movement.DK.Tr.Avia.Passenger.IntraEEAwCHUK</t>
  </si>
  <si>
    <t>Load.passenger_per_movement.DK.Tr.Avia.Passenger.ExtraEEAwCHUK</t>
  </si>
  <si>
    <t>Load.t_per_movement.DK.Tr.Avia.Freight</t>
  </si>
  <si>
    <t>Load.t_per_movement.DK.Tr.Avia.Freight.Domestic</t>
  </si>
  <si>
    <t>Load.t_per_movement.DK.Tr.Avia.Freight.IntraEEAwCHUK</t>
  </si>
  <si>
    <t>Load.t_per_movement.DK.Tr.Avia.Freight.ExtraEEAwCHUK</t>
  </si>
  <si>
    <t>VehicleKm_per_flight.km.DK.Tr.Avia</t>
  </si>
  <si>
    <t>VehicleKm_per_flight.km.DK.Tr.Avia.Passenger</t>
  </si>
  <si>
    <t>VehicleKm_per_flight.km.DK.Tr.Avia.Passenger.Domestic</t>
  </si>
  <si>
    <t>VehicleKm_per_flight.km.DK.Tr.Avia.Passenger.IntraEEAwCHUK</t>
  </si>
  <si>
    <t>VehicleKm_per_flight.km.DK.Tr.Avia.Passenger.ExtraEEAwCHUK</t>
  </si>
  <si>
    <t>VehicleKm_per_flight.km.DK.Tr.Avia.Freight</t>
  </si>
  <si>
    <t>VehicleKm_per_flight.km.DK.Tr.Avia.Freight.Domestic</t>
  </si>
  <si>
    <t>VehicleKm_per_flight.km.DK.Tr.Avia.Freight.IntraEEAwCHUK</t>
  </si>
  <si>
    <t>VehicleKm_per_flight.km.DK.Tr.Avia.Freight.ExtraEEAwCHUK</t>
  </si>
  <si>
    <t>Activity_per_flight.pkm.DK.Tr.Avia.Passenger</t>
  </si>
  <si>
    <t>Activity_per_flight.pkm.DK.Tr.Avia.Passenger.Domestic</t>
  </si>
  <si>
    <t>Activity_per_flight.pkm.DK.Tr.Avia.Passenger.IntraEEAwCHUK</t>
  </si>
  <si>
    <t>Activity_per_flight.pkm.DK.Tr.Avia.Passenger.ExtraEEAwCHUK</t>
  </si>
  <si>
    <t>Activity_per_flight.tkm.DK.Tr.Avia.Freight</t>
  </si>
  <si>
    <t>Activity_per_flight.tkm.DK.Tr.Avia.Freight.Domestic</t>
  </si>
  <si>
    <t>Activity_per_flight.tkm.DK.Tr.Avia.Freight.IntraEEAwCHUK</t>
  </si>
  <si>
    <t>Activity_per_flight.tkm.DK.Tr.Avia.Freight.ExtraEEAwCHUK</t>
  </si>
  <si>
    <t>Flights_per_vehicle.number.DK.Tr.Avia</t>
  </si>
  <si>
    <t>Flights_per_vehicle.number.DK.Tr.Avia.Passenger</t>
  </si>
  <si>
    <t>Flights_per_vehicle.number.DK.Tr.Avia.Passenger.Domestic</t>
  </si>
  <si>
    <t>Flights_per_vehicle.number.DK.Tr.Avia.Passenger.IntraEEAwCHUK</t>
  </si>
  <si>
    <t>Flights_per_vehicle.number.DK.Tr.Avia.Passenger.ExtraEEAwCHUK</t>
  </si>
  <si>
    <t>Flights_per_vehicle.number.DK.Tr.Avia.Freight</t>
  </si>
  <si>
    <t>Flights_per_vehicle.number.DK.Tr.Avia.Freight.Domestic</t>
  </si>
  <si>
    <t>Flights_per_vehicle.number.DK.Tr.Avia.Freight.IntraEEAwCHUK</t>
  </si>
  <si>
    <t>Flights_per_vehicle.number.DK.Tr.Avia.Freight.ExtraEEAwCHUK</t>
  </si>
  <si>
    <t>Aviation / energy consumption - DK - Denmark</t>
  </si>
  <si>
    <t>FEC.ktoe.DK.Tr.Avia</t>
  </si>
  <si>
    <t>FEC.ktoe.DK.Tr.Avia.Domestic</t>
  </si>
  <si>
    <t>FEC.ktoe.DK.Tr.Avia.International</t>
  </si>
  <si>
    <t>FEC.ktoe.DK.Tr.Avia.Passenger</t>
  </si>
  <si>
    <t>FEC.ktoe.DK.Tr.Avia.Passenger.Domestic</t>
  </si>
  <si>
    <t>FEC.ktoe.DK.Tr.Avia.Passenger.IntraEEAwCHUK</t>
  </si>
  <si>
    <t>FEC.ktoe.DK.Tr.Avia.Passenger.ExtraEEAwCHUK</t>
  </si>
  <si>
    <t>FEC.ktoe.DK.Tr.Avia.Freight</t>
  </si>
  <si>
    <t>FEC.ktoe.DK.Tr.Avia.Freight.Domestic</t>
  </si>
  <si>
    <t>FEC.ktoe.DK.Tr.Avia.Freight.IntraEEAwCHUK</t>
  </si>
  <si>
    <t>FEC.ktoe.DK.Tr.Avia.Freight.ExtraEEAwCHUK</t>
  </si>
  <si>
    <t>Eff.kgoe_per_100km.DK.Tr.Avia</t>
  </si>
  <si>
    <t>Eff.kgoe_per_100km.DK.Tr.Avia.Passenger</t>
  </si>
  <si>
    <t>Eff.kgoe_per_100km.DK.Tr.Avia.Passenger.Domestic</t>
  </si>
  <si>
    <t>Eff.kgoe_per_100km.DK.Tr.Avia.Passenger.IntraEEAwCHUK</t>
  </si>
  <si>
    <t>Eff.kgoe_per_100km.DK.Tr.Avia.Passenger.ExtraEEAwCHUK</t>
  </si>
  <si>
    <t>Eff.kgoe_per_100km.DK.Tr.Avia.Freight</t>
  </si>
  <si>
    <t>Eff.kgoe_per_100km.DK.Tr.Avia.Freight.Domestic</t>
  </si>
  <si>
    <t>Eff.kgoe_per_100km.DK.Tr.Avia.Freight.IntraEEAwCHUK</t>
  </si>
  <si>
    <t>Eff.kgoe_per_100km.DK.Tr.Avia.Freight.ExtraEEAwCHUK</t>
  </si>
  <si>
    <t>Eff.kgoe_per_kpkm.DK.Tr.Avia.Passenger</t>
  </si>
  <si>
    <t>Eff.kgoe_per_kpkm.DK.Tr.Avia.Passenger.Domestic</t>
  </si>
  <si>
    <t>Eff.kgoe_per_kpkm.DK.Tr.Avia.Passenger.IntraEEAwCHUK</t>
  </si>
  <si>
    <t>Eff.kgoe_per_kpkm.DK.Tr.Avia.Passenger.ExtraEEAwCHUK</t>
  </si>
  <si>
    <t>Eff.kgoe_per_ktkm.DK.Tr.Avia.Freight</t>
  </si>
  <si>
    <t>Eff.kgoe_per_ktkm.DK.Tr.Avia.Freight.Domestic</t>
  </si>
  <si>
    <t>Eff.kgoe_per_ktkm.DK.Tr.Avia.Freight.IntraEEAwCHUK</t>
  </si>
  <si>
    <t>Eff.kgoe_per_ktkm.DK.Tr.Avia.Freight.ExtraEEAwCHUK</t>
  </si>
  <si>
    <t>FEC_per_flight.kgoe.DK.Tr.Avia</t>
  </si>
  <si>
    <t>FEC_per_flight.kgoe.DK.Tr.Avia.Passenger</t>
  </si>
  <si>
    <t>FEC_per_flight.kgoe.DK.Tr.Avia.Passenger.Domestic</t>
  </si>
  <si>
    <t>FEC_per_flight.kgoe.DK.Tr.Avia.Passenger.IntraEEAwCHUK</t>
  </si>
  <si>
    <t>FEC_per_flight.kgoe.DK.Tr.Avia.Passenger.ExtraEEAwCHUK</t>
  </si>
  <si>
    <t>FEC_per_flight.kgoe.DK.Tr.Avia.Freight</t>
  </si>
  <si>
    <t>FEC_per_flight.kgoe.DK.Tr.Avia.Freight.Domestic</t>
  </si>
  <si>
    <t>FEC_per_flight.kgoe.DK.Tr.Avia.Freight.IntraEEAwCHUK</t>
  </si>
  <si>
    <t>FEC_per_flight.kgoe.DK.Tr.Avia.Freight.ExtraEEAwCHUK</t>
  </si>
  <si>
    <t>Eff_theor.kgoe_per_100km.DK.Tr.Avia</t>
  </si>
  <si>
    <t>Eff_theor.kgoe_per_100km.DK.Tr.Avia.Passenger</t>
  </si>
  <si>
    <t>Eff_theor.kgoe_per_100km.DK.Tr.Avia.Passenger.Domestic</t>
  </si>
  <si>
    <t>Eff_theor.kgoe_per_100km.DK.Tr.Avia.Passenger.IntraEEAwCHUK</t>
  </si>
  <si>
    <t>Eff_theor.kgoe_per_100km.DK.Tr.Avia.Passenger.ExtraEEAwCHUK</t>
  </si>
  <si>
    <t>Eff_theor.kgoe_per_100km.DK.Tr.Avia.Freight</t>
  </si>
  <si>
    <t>Eff_theor.kgoe_per_100km.DK.Tr.Avia.Freight.Domestic</t>
  </si>
  <si>
    <t>Eff_theor.kgoe_per_100km.DK.Tr.Avia.Freight.IntraEEAwCHUK</t>
  </si>
  <si>
    <t>Eff_theor.kgoe_per_100km.DK.Tr.Avia.Freight.ExtraEEAwCHUK</t>
  </si>
  <si>
    <t>Aviation / CO2 emissions - DK - Denmark</t>
  </si>
  <si>
    <t>EMI.ktCO2.DK.Tr.Avia</t>
  </si>
  <si>
    <t>EMI.ktCO2.DK.Tr.Avia.Domestic</t>
  </si>
  <si>
    <t>EMI.ktCO2.DK.Tr.Avia.International</t>
  </si>
  <si>
    <t>EMI.ktCO2.DK.Tr.Avia.Passenger</t>
  </si>
  <si>
    <t>EMI.ktCO2.DK.Tr.Avia.Passenger.Domestic</t>
  </si>
  <si>
    <t>EMI.ktCO2.DK.Tr.Avia.Passenger.IntraEEAwCHUK</t>
  </si>
  <si>
    <t>EMI.ktCO2.DK.Tr.Avia.Passenger.ExtraEEAwCHUK</t>
  </si>
  <si>
    <t>EMI.ktCO2.DK.Tr.Avia.Freight</t>
  </si>
  <si>
    <t>EMI.ktCO2.DK.Tr.Avia.Freight.Domestic</t>
  </si>
  <si>
    <t>EMI.ktCO2.DK.Tr.Avia.Freight.IntraEEAwCHUK</t>
  </si>
  <si>
    <t>EMI.ktCO2.DK.Tr.Avia.Freight.ExtraEEAwCHUK</t>
  </si>
  <si>
    <t>EMIint.gCO2_per_km.DK.Tr.Avia</t>
  </si>
  <si>
    <t>EMIint.gCO2_per_km.DK.Tr.Avia.Passenger</t>
  </si>
  <si>
    <t>EMIint.gCO2_per_km.DK.Tr.Avia.Passenger.Domestic</t>
  </si>
  <si>
    <t>EMIint.gCO2_per_km.DK.Tr.Avia.Passenger.IntraEEAwCHUK</t>
  </si>
  <si>
    <t>EMIint.gCO2_per_km.DK.Tr.Avia.Passenger.ExtraEEAwCHUK</t>
  </si>
  <si>
    <t>EMIint.gCO2_per_km.DK.Tr.Avia.Freight</t>
  </si>
  <si>
    <t>EMIint.gCO2_per_km.DK.Tr.Avia.Freight.Domestic</t>
  </si>
  <si>
    <t>EMIint.gCO2_per_km.DK.Tr.Avia.Freight.IntraEEAwCHUK</t>
  </si>
  <si>
    <t>EMIint.gCO2_per_km.DK.Tr.Avia.Freight.ExtraEEAwCHUK</t>
  </si>
  <si>
    <t>EMIint.gCO2_per_pkm.DK.Tr.Avia.Passenger</t>
  </si>
  <si>
    <t>EMIint.gCO2_per_pkm.DK.Tr.Avia.Passenger.Domestic</t>
  </si>
  <si>
    <t>EMIint.gCO2_per_pkm.DK.Tr.Avia.Passenger.IntraEEAwCHUK</t>
  </si>
  <si>
    <t>EMIint.gCO2_per_pkm.DK.Tr.Avia.Passenger.ExtraEEAwCHUK</t>
  </si>
  <si>
    <t>EMIint.gCO2_per_tkm.DK.Tr.Avia.Freight</t>
  </si>
  <si>
    <t>EMIint.gCO2_per_tkm.DK.Tr.Avia.Freight.Domestic</t>
  </si>
  <si>
    <t>EMIint.gCO2_per_tkm.DK.Tr.Avia.Freight.IntraEEAwCHUK</t>
  </si>
  <si>
    <t>EMIint.gCO2_per_tkm.DK.Tr.Avia.Freight.ExtraEEAwCHUK</t>
  </si>
  <si>
    <t>EMI_per_flight.kgCO2.DK.Tr.Avia</t>
  </si>
  <si>
    <t>EMI_per_flight.kgCO2.DK.Tr.Avia.Passenger</t>
  </si>
  <si>
    <t>EMI_per_flight.kgCO2.DK.Tr.Avia.Passenger.Domestic</t>
  </si>
  <si>
    <t>EMI_per_flight.kgCO2.DK.Tr.Avia.Passenger.IntraEEAwCHUK</t>
  </si>
  <si>
    <t>EMI_per_flight.kgCO2.DK.Tr.Avia.Passenger.ExtraEEAwCHUK</t>
  </si>
  <si>
    <t>EMI_per_flight.kgCO2.DK.Tr.Avia.Freight</t>
  </si>
  <si>
    <t>EMI_per_flight.kgCO2.DK.Tr.Avia.Freight.Domestic</t>
  </si>
  <si>
    <t>EMI_per_flight.kgCO2.DK.Tr.Avia.Freight.IntraEEAwCHUK</t>
  </si>
  <si>
    <t>EMI_per_flight.kgCO2.DK.Tr.Avia.Freight.ExtraEEAwCHUK</t>
  </si>
  <si>
    <t>Aviation / passenger transport specific data - DK - Denmark</t>
  </si>
  <si>
    <t>TrCap.seats.DK.Tr.Avia.Passenger</t>
  </si>
  <si>
    <t>TrCap.seats.DK.Tr.Avia.Passenger.Domestic</t>
  </si>
  <si>
    <t>TrCap.seats.DK.Tr.Avia.Passenger.IntraEEAwCHUK</t>
  </si>
  <si>
    <t>TrCap.seats.DK.Tr.Avia.Passenger.ExtraEEAwCHUK</t>
  </si>
  <si>
    <t>TrCap_per_flight.seats.DK.Tr.Avia.Passenger</t>
  </si>
  <si>
    <t>TrCap_per_flight.seats.DK.Tr.Avia.Passenger.Domestic</t>
  </si>
  <si>
    <t>TrCap_per_flight.seats.DK.Tr.Avia.Passenger.IntraEEAwCHUK</t>
  </si>
  <si>
    <t>TrCap_per_flight.seats.DK.Tr.Avia.Passenger.ExtraEEAwCHUK</t>
  </si>
  <si>
    <t>Transport overview - DK - Denmark</t>
  </si>
  <si>
    <t>Activity.Mpkm.DK.Tr</t>
  </si>
  <si>
    <t>Activity.Mpkm.DK.Tr.Road.Passenger</t>
  </si>
  <si>
    <t>Activity.Mpkm.DK.Tr.Road.Passenger.P2W</t>
  </si>
  <si>
    <t>Activity.Mpkm.DK.Tr.Road.Passenger.Car</t>
  </si>
  <si>
    <t>Activity.Mpkm.DK.Tr.Road.Passenger.Bus</t>
  </si>
  <si>
    <t>Activity.Mpkm.DK.Tr.Rail.Passenger</t>
  </si>
  <si>
    <t>Activity.Mpkm.DK.Tr.Rail.Passenger.MTU</t>
  </si>
  <si>
    <t>Activity.Mpkm.DK.Tr.Rail.Passenger.CPT</t>
  </si>
  <si>
    <t>Activity.Mpkm.DK.Tr.Rail.Passenger.HST</t>
  </si>
  <si>
    <t>Activity.Mtkm.DK.Tr</t>
  </si>
  <si>
    <t>Activity.Mtkm.DK.Tr.Road.Freight</t>
  </si>
  <si>
    <t>Activity.Mtkm.DK.Tr.Road.Freight.LCV</t>
  </si>
  <si>
    <t>Activity.Mtkm.DK.Tr.Road.Freight.HGV_All</t>
  </si>
  <si>
    <t>Activity.Mtkm.DK.Tr.Rail.Freight</t>
  </si>
  <si>
    <t>Activity.Mtkm.DK.Tr.DNavi.Freight</t>
  </si>
  <si>
    <t>Activity.Mtkm.DK.Tr.DNavi.Freight.DCS</t>
  </si>
  <si>
    <t>Activity.Mtkm.DK.Tr.DNavi.Freight.IWW</t>
  </si>
  <si>
    <t>Activity.Mtkm.DK.MBunk.Freight</t>
  </si>
  <si>
    <t>Activity.Mtkm.DK.MBunk.Freight.IntraEEA</t>
  </si>
  <si>
    <t>Activity.Mtkm.DK.MBunk.Freight.ExtraEEA</t>
  </si>
  <si>
    <t>FEC.ktoe.DK.Tr.Road.Passenger</t>
  </si>
  <si>
    <t>FEC.ktoe.DK.Tr.Road.Passenger.P2W</t>
  </si>
  <si>
    <t>FEC.ktoe.DK.Tr.Road.Passenger.Car</t>
  </si>
  <si>
    <t>FEC.ktoe.DK.Tr.Road.Passenger.Bus</t>
  </si>
  <si>
    <t>FEC.ktoe.DK.Tr.Rail.Passenger</t>
  </si>
  <si>
    <t>FEC.ktoe.DK.Tr.Rail.Passenger.MTU</t>
  </si>
  <si>
    <t>FEC.ktoe.DK.Tr.Rail.Passenger.CPT</t>
  </si>
  <si>
    <t>FEC.ktoe.DK.Tr.Rail.Passenger.HST</t>
  </si>
  <si>
    <t>FEC.ktoe.DK.Tr.Road.Freight</t>
  </si>
  <si>
    <t>FEC.ktoe.DK.Tr.Road.Freight.LCV</t>
  </si>
  <si>
    <t>FEC.ktoe.DK.Tr.Road.Freight.HGV_All</t>
  </si>
  <si>
    <t>FEC.ktoe.DK.Tr.Rail.Freight</t>
  </si>
  <si>
    <t>EMI.ktCO2.DK.Tr.Road.Passenger</t>
  </si>
  <si>
    <t>EMI.ktCO2.DK.Tr.Road.Passenger.P2W</t>
  </si>
  <si>
    <t>EMI.ktCO2.DK.Tr.Road.Passenger.Car</t>
  </si>
  <si>
    <t>EMI.ktCO2.DK.Tr.Road.Passenger.Bus</t>
  </si>
  <si>
    <t>EMI.ktCO2.DK.Tr.Rail.Passenger</t>
  </si>
  <si>
    <t>EMI.ktCO2.DK.Tr.Rail.Passenger.MTU</t>
  </si>
  <si>
    <t>EMI.ktCO2.DK.Tr.Rail.Passenger.CPT</t>
  </si>
  <si>
    <t>EMI.ktCO2.DK.Tr.Rail.Passenger.HST</t>
  </si>
  <si>
    <t>EMI.ktCO2.DK.Tr.Road.Freight</t>
  </si>
  <si>
    <t>EMI.ktCO2.DK.Tr.Road.Freight.LCV</t>
  </si>
  <si>
    <t>EMI.ktCO2.DK.Tr.Road.Freight.HGV_All</t>
  </si>
  <si>
    <t>EMI.ktCO2.DK.Tr.Rail.Freight</t>
  </si>
  <si>
    <t>Eff.kgoe_per_kpkm.DK.Tr</t>
  </si>
  <si>
    <t>Eff.kgoe_per_kpkm.DK.Tr.Road.Passenger</t>
  </si>
  <si>
    <t>Eff.kgoe_per_kpkm.DK.Tr.Road.Passenger.P2W</t>
  </si>
  <si>
    <t>Eff.kgoe_per_kpkm.DK.Tr.Road.Passenger.Car</t>
  </si>
  <si>
    <t>Eff.kgoe_per_kpkm.DK.Tr.Road.Passenger.Bus</t>
  </si>
  <si>
    <t>Eff.kgoe_per_kpkm.DK.Tr.Rail.Passenger</t>
  </si>
  <si>
    <t>Eff.kgoe_per_kpkm.DK.Tr.Rail.Passenger.MTU</t>
  </si>
  <si>
    <t>Eff.kgoe_per_kpkm.DK.Tr.Rail.Passenger.CPT</t>
  </si>
  <si>
    <t>Eff.kgoe_per_kpkm.DK.Tr.Rail.Passenger.HST</t>
  </si>
  <si>
    <t>Eff.kgoe_per_ktkm.DK.Tr</t>
  </si>
  <si>
    <t>Eff.kgoe_per_ktkm.DK.Tr.Road.Freight</t>
  </si>
  <si>
    <t>Eff.kgoe_per_ktkm.DK.Tr.Road.Freight.LCV</t>
  </si>
  <si>
    <t>Eff.kgoe_per_ktkm.DK.Tr.Road.Freight.HGV_All</t>
  </si>
  <si>
    <t>Eff.kgoe_per_ktkm.DK.Tr.Rail.Freight</t>
  </si>
  <si>
    <t>Eff.kgoe_per_ktkm.DK.Tr.DNavi.Freight</t>
  </si>
  <si>
    <t>Eff.kgoe_per_ktkm.DK.Tr.DNavi.Freight.DCS</t>
  </si>
  <si>
    <t>Eff.kgoe_per_ktkm.DK.Tr.DNavi.Freight.IWW</t>
  </si>
  <si>
    <t>Eff.kgoe_per_ktkm.DK.MBunk.Freight</t>
  </si>
  <si>
    <t>Eff.kgoe_per_ktkm.DK.MBunk.Freight.IntraEEA</t>
  </si>
  <si>
    <t>Eff.kgoe_per_ktkm.DK.MBunk.Freight.ExtraEEA</t>
  </si>
  <si>
    <t>EMIint.gCO2_per_pkm.DK.Tr</t>
  </si>
  <si>
    <t>EMIint.gCO2_per_pkm.DK.Tr.Road.Passenger</t>
  </si>
  <si>
    <t>EMIint.gCO2_per_pkm.DK.Tr.Road.Passenger.P2W</t>
  </si>
  <si>
    <t>EMIint.gCO2_per_pkm.DK.Tr.Road.Passenger.Car</t>
  </si>
  <si>
    <t>EMIint.gCO2_per_pkm.DK.Tr.Road.Passenger.Bus</t>
  </si>
  <si>
    <t>EMIint.gCO2_per_pkm.DK.Tr.Rail.Passenger</t>
  </si>
  <si>
    <t>EMIint.gCO2_per_pkm.DK.Tr.Rail.Passenger.MTU</t>
  </si>
  <si>
    <t>EMIint.gCO2_per_pkm.DK.Tr.Rail.Passenger.CPT</t>
  </si>
  <si>
    <t>EMIint.gCO2_per_pkm.DK.Tr.Rail.Passenger.HST</t>
  </si>
  <si>
    <t>EMIint.gCO2_per_tkm.DK.Tr</t>
  </si>
  <si>
    <t>EMIint.gCO2_per_tkm.DK.Tr.Road.Freight</t>
  </si>
  <si>
    <t>EMIint.gCO2_per_tkm.DK.Tr.Road.Freight.LCV</t>
  </si>
  <si>
    <t>EMIint.gCO2_per_tkm.DK.Tr.Road.Freight.HGV_All</t>
  </si>
  <si>
    <t>EMIint.gCO2_per_tkm.DK.Tr.Rail.Freight</t>
  </si>
  <si>
    <t>EMIint.gCO2_per_tkm.DK.Tr.DNavi.Freight</t>
  </si>
  <si>
    <t>EMIint.gCO2_per_tkm.DK.Tr.DNavi.Freight.DCS</t>
  </si>
  <si>
    <t>EMIint.gCO2_per_tkm.DK.Tr.DNavi.Freight.IWW</t>
  </si>
  <si>
    <t>EMIint.gCO2_per_tkm.DK.MBunk.Freight</t>
  </si>
  <si>
    <t>EMIint.gCO2_per_tkm.DK.MBunk.Freight.IntraEEA</t>
  </si>
  <si>
    <t>EMIint.gCO2_per_tkm.DK.MBunk.Freight.ExtraEEA</t>
  </si>
  <si>
    <t>Road transport - DK - Denmark</t>
  </si>
  <si>
    <t>Activity.Mpkm.DK.Tr.Road.Passenger.Car.ICE.Gasoline</t>
  </si>
  <si>
    <t>Activity.Mpkm.DK.Tr.Road.Passenger.Car.ICE.Diesel</t>
  </si>
  <si>
    <t>Activity.Mpkm.DK.Tr.Road.Passenger.Car.ICE.LPG</t>
  </si>
  <si>
    <t>Activity.Mpkm.DK.Tr.Road.Passenger.Car.ICE.NGas</t>
  </si>
  <si>
    <t>Activity.Mpkm.DK.Tr.Road.Passenger.Car.PHEV.Gasoline</t>
  </si>
  <si>
    <t>Activity.Mpkm.DK.Tr.Road.Passenger.Car.BEV</t>
  </si>
  <si>
    <t>Activity.Mpkm.DK.Tr.Road.Passenger.Bus.ICE.Gasoline</t>
  </si>
  <si>
    <t>Activity.Mpkm.DK.Tr.Road.Passenger.Bus.ICE.Diesel</t>
  </si>
  <si>
    <t>Activity.Mpkm.DK.Tr.Road.Passenger.Bus.ICE.LPG</t>
  </si>
  <si>
    <t>Activity.Mpkm.DK.Tr.Road.Passenger.Bus.ICE.NGas</t>
  </si>
  <si>
    <t>Activity.Mpkm.DK.Tr.Road.Passenger.Bus.BEV</t>
  </si>
  <si>
    <t>Activity.Mtkm.DK.Tr.Road.Freight.LCV.ICE.Gasoline</t>
  </si>
  <si>
    <t>Activity.Mtkm.DK.Tr.Road.Freight.LCV.ICE.Diesel</t>
  </si>
  <si>
    <t>Activity.Mtkm.DK.Tr.Road.Freight.LCV.ICE.LPG</t>
  </si>
  <si>
    <t>Activity.Mtkm.DK.Tr.Road.Freight.LCV.ICE.NGas</t>
  </si>
  <si>
    <t>Activity.Mtkm.DK.Tr.Road.Freight.LCV.BEV</t>
  </si>
  <si>
    <t>Activity.Mtkm.DK.Tr.Road.Freight.HGV_Domestic</t>
  </si>
  <si>
    <t>Activity.Mtkm.DK.Tr.Road.Freight.HGV_International</t>
  </si>
  <si>
    <t>VehicleKm.Mkm.DK.Tr.Road</t>
  </si>
  <si>
    <t>VehicleKm.Mkm.DK.Tr.Road.Passenger</t>
  </si>
  <si>
    <t>VehicleKm.Mkm.DK.Tr.Road.Passenger.P2W</t>
  </si>
  <si>
    <t>VehicleKm.Mkm.DK.Tr.Road.Passenger.Car</t>
  </si>
  <si>
    <t>VehicleKm.Mkm.DK.Tr.Road.Passenger.Car.ICE.Gasoline</t>
  </si>
  <si>
    <t>VehicleKm.Mkm.DK.Tr.Road.Passenger.Car.ICE.Diesel</t>
  </si>
  <si>
    <t>VehicleKm.Mkm.DK.Tr.Road.Passenger.Car.ICE.LPG</t>
  </si>
  <si>
    <t>VehicleKm.Mkm.DK.Tr.Road.Passenger.Car.ICE.NGas</t>
  </si>
  <si>
    <t>VehicleKm.Mkm.DK.Tr.Road.Passenger.Car.PHEV.Gasoline</t>
  </si>
  <si>
    <t>VehicleKm.Mkm.DK.Tr.Road.Passenger.Car.BEV</t>
  </si>
  <si>
    <t>VehicleKm.Mkm.DK.Tr.Road.Passenger.Bus</t>
  </si>
  <si>
    <t>VehicleKm.Mkm.DK.Tr.Road.Passenger.Bus.ICE.Gasoline</t>
  </si>
  <si>
    <t>VehicleKm.Mkm.DK.Tr.Road.Passenger.Bus.ICE.Diesel</t>
  </si>
  <si>
    <t>VehicleKm.Mkm.DK.Tr.Road.Passenger.Bus.ICE.LPG</t>
  </si>
  <si>
    <t>VehicleKm.Mkm.DK.Tr.Road.Passenger.Bus.ICE.NGas</t>
  </si>
  <si>
    <t>VehicleKm.Mkm.DK.Tr.Road.Passenger.Bus.BEV</t>
  </si>
  <si>
    <t>VehicleKm.Mkm.DK.Tr.Road.Freight</t>
  </si>
  <si>
    <t>VehicleKm.Mkm.DK.Tr.Road.Freight.LCV</t>
  </si>
  <si>
    <t>VehicleKm.Mkm.DK.Tr.Road.Freight.LCV.ICE.Gasoline</t>
  </si>
  <si>
    <t>VehicleKm.Mkm.DK.Tr.Road.Freight.LCV.ICE.Diesel</t>
  </si>
  <si>
    <t>VehicleKm.Mkm.DK.Tr.Road.Freight.LCV.ICE.LPG</t>
  </si>
  <si>
    <t>VehicleKm.Mkm.DK.Tr.Road.Freight.LCV.ICE.NGas</t>
  </si>
  <si>
    <t>VehicleKm.Mkm.DK.Tr.Road.Freight.LCV.BEV</t>
  </si>
  <si>
    <t>VehicleKm.Mkm.DK.Tr.Road.Freight.HGV_All</t>
  </si>
  <si>
    <t>VehicleKm.Mkm.DK.Tr.Road.Freight.HGV_Domestic</t>
  </si>
  <si>
    <t>VehicleKm.Mkm.DK.Tr.Road.Freight.HGV_International</t>
  </si>
  <si>
    <t>Stock.number.DK.Tr.Road</t>
  </si>
  <si>
    <t>Stock.number.DK.Tr.Road.Passenger</t>
  </si>
  <si>
    <t>Stock.number.DK.Tr.Road.Passenger.P2W</t>
  </si>
  <si>
    <t>Stock.number.DK.Tr.Road.Passenger.Car</t>
  </si>
  <si>
    <t>Stock.number.DK.Tr.Road.Passenger.Car.ICE.Gasoline</t>
  </si>
  <si>
    <t>Stock.number.DK.Tr.Road.Passenger.Car.ICE.Diesel</t>
  </si>
  <si>
    <t>Stock.number.DK.Tr.Road.Passenger.Car.ICE.LPG</t>
  </si>
  <si>
    <t>Stock.number.DK.Tr.Road.Passenger.Car.ICE.NGas</t>
  </si>
  <si>
    <t>Stock.number.DK.Tr.Road.Passenger.Car.PHEV.Gasoline</t>
  </si>
  <si>
    <t>Stock.number.DK.Tr.Road.Passenger.Car.BEV</t>
  </si>
  <si>
    <t>Stock.number.DK.Tr.Road.Passenger.Bus</t>
  </si>
  <si>
    <t>Stock.number.DK.Tr.Road.Passenger.Bus.ICE.Gasoline</t>
  </si>
  <si>
    <t>Stock.number.DK.Tr.Road.Passenger.Bus.ICE.Diesel</t>
  </si>
  <si>
    <t>Stock.number.DK.Tr.Road.Passenger.Bus.ICE.LPG</t>
  </si>
  <si>
    <t>Stock.number.DK.Tr.Road.Passenger.Bus.ICE.NGas</t>
  </si>
  <si>
    <t>Stock.number.DK.Tr.Road.Passenger.Bus.BEV</t>
  </si>
  <si>
    <t>Stock.number.DK.Tr.Road.Freight</t>
  </si>
  <si>
    <t>Stock.number.DK.Tr.Road.Freight.LCV</t>
  </si>
  <si>
    <t>Stock.number.DK.Tr.Road.Freight.LCV.ICE.Gasoline</t>
  </si>
  <si>
    <t>Stock.number.DK.Tr.Road.Freight.LCV.ICE.Diesel</t>
  </si>
  <si>
    <t>Stock.number.DK.Tr.Road.Freight.LCV.ICE.LPG</t>
  </si>
  <si>
    <t>Stock.number.DK.Tr.Road.Freight.LCV.ICE.NGas</t>
  </si>
  <si>
    <t>Stock.number.DK.Tr.Road.Freight.LCV.BEV</t>
  </si>
  <si>
    <t>Stock.number.DK.Tr.Road.Freight.HGV_All</t>
  </si>
  <si>
    <t>Stock.number.DK.Tr.Road.Freight.HGV_Domestic</t>
  </si>
  <si>
    <t>Stock.number.DK.Tr.Road.Freight.HGV_International</t>
  </si>
  <si>
    <t>StockNew.number.DK.Tr.Road</t>
  </si>
  <si>
    <t>StockNew.number.DK.Tr.Road.Passenger</t>
  </si>
  <si>
    <t>StockNew.number.DK.Tr.Road.Passenger.P2W</t>
  </si>
  <si>
    <t>StockNew.number.DK.Tr.Road.Passenger.Car</t>
  </si>
  <si>
    <t>StockNew.number.DK.Tr.Road.Passenger.Car.ICE.Gasoline</t>
  </si>
  <si>
    <t>StockNew.number.DK.Tr.Road.Passenger.Car.ICE.Diesel</t>
  </si>
  <si>
    <t>StockNew.number.DK.Tr.Road.Passenger.Car.ICE.LPG</t>
  </si>
  <si>
    <t>StockNew.number.DK.Tr.Road.Passenger.Car.ICE.NGas</t>
  </si>
  <si>
    <t>StockNew.number.DK.Tr.Road.Passenger.Car.PHEV.Gasoline</t>
  </si>
  <si>
    <t>StockNew.number.DK.Tr.Road.Passenger.Car.BEV</t>
  </si>
  <si>
    <t>StockNew.number.DK.Tr.Road.Passenger.Bus</t>
  </si>
  <si>
    <t>StockNew.number.DK.Tr.Road.Passenger.Bus.ICE.Gasoline</t>
  </si>
  <si>
    <t>StockNew.number.DK.Tr.Road.Passenger.Bus.ICE.Diesel</t>
  </si>
  <si>
    <t>StockNew.number.DK.Tr.Road.Passenger.Bus.ICE.LPG</t>
  </si>
  <si>
    <t>StockNew.number.DK.Tr.Road.Passenger.Bus.ICE.NGas</t>
  </si>
  <si>
    <t>StockNew.number.DK.Tr.Road.Passenger.Bus.BEV</t>
  </si>
  <si>
    <t>StockNew.number.DK.Tr.Road.Freight</t>
  </si>
  <si>
    <t>StockNew.number.DK.Tr.Road.Freight.LCV</t>
  </si>
  <si>
    <t>StockNew.number.DK.Tr.Road.Freight.LCV.ICE.Gasoline</t>
  </si>
  <si>
    <t>StockNew.number.DK.Tr.Road.Freight.LCV.ICE.Diesel</t>
  </si>
  <si>
    <t>StockNew.number.DK.Tr.Road.Freight.LCV.ICE.LPG</t>
  </si>
  <si>
    <t>StockNew.number.DK.Tr.Road.Freight.LCV.ICE.NGas</t>
  </si>
  <si>
    <t>StockNew.number.DK.Tr.Road.Freight.LCV.BEV</t>
  </si>
  <si>
    <t>StockNew.number.DK.Tr.Road.Freight.HGV_All</t>
  </si>
  <si>
    <t>StockNew.number.DK.Tr.Road.Freight.HGV_Domestic</t>
  </si>
  <si>
    <t>StockNew.number.DK.Tr.Road.Freight.HGV_International</t>
  </si>
  <si>
    <t>Load.passenger_per_movement.DK.Tr.Road.Passenger</t>
  </si>
  <si>
    <t>Load.passenger_per_movement.DK.Tr.Road.Passenger.P2W</t>
  </si>
  <si>
    <t>Load.passenger_per_movement.DK.Tr.Road.Passenger.Car</t>
  </si>
  <si>
    <t>Load.passenger_per_movement.DK.Tr.Road.Passenger.Car.ICE.Gasoline</t>
  </si>
  <si>
    <t>Load.passenger_per_movement.DK.Tr.Road.Passenger.Car.ICE.Diesel</t>
  </si>
  <si>
    <t>Load.passenger_per_movement.DK.Tr.Road.Passenger.Car.ICE.LPG</t>
  </si>
  <si>
    <t>Load.passenger_per_movement.DK.Tr.Road.Passenger.Car.ICE.NGas</t>
  </si>
  <si>
    <t>Load.passenger_per_movement.DK.Tr.Road.Passenger.Car.PHEV.Gasoline</t>
  </si>
  <si>
    <t>Load.passenger_per_movement.DK.Tr.Road.Passenger.Car.BEV</t>
  </si>
  <si>
    <t>Load.passenger_per_movement.DK.Tr.Road.Passenger.Bus</t>
  </si>
  <si>
    <t>Load.passenger_per_movement.DK.Tr.Road.Passenger.Bus.ICE.Gasoline</t>
  </si>
  <si>
    <t>Load.passenger_per_movement.DK.Tr.Road.Passenger.Bus.ICE.Diesel</t>
  </si>
  <si>
    <t>Load.passenger_per_movement.DK.Tr.Road.Passenger.Bus.ICE.LPG</t>
  </si>
  <si>
    <t>Load.passenger_per_movement.DK.Tr.Road.Passenger.Bus.ICE.NGas</t>
  </si>
  <si>
    <t>Load.passenger_per_movement.DK.Tr.Road.Passenger.Bus.BEV</t>
  </si>
  <si>
    <t>Load.t_per_movement.DK.Tr.Road.Freight</t>
  </si>
  <si>
    <t>Load.t_per_movement.DK.Tr.Road.Freight.LCV</t>
  </si>
  <si>
    <t>Load.t_per_movement.DK.Tr.Road.Freight.LCV.ICE.Gasoline</t>
  </si>
  <si>
    <t>Load.t_per_movement.DK.Tr.Road.Freight.LCV.ICE.Diesel</t>
  </si>
  <si>
    <t>Load.t_per_movement.DK.Tr.Road.Freight.LCV.ICE.LPG</t>
  </si>
  <si>
    <t>Load.t_per_movement.DK.Tr.Road.Freight.LCV.ICE.NGas</t>
  </si>
  <si>
    <t>Load.t_per_movement.DK.Tr.Road.Freight.LCV.BEV</t>
  </si>
  <si>
    <t>Load.t_per_movement.DK.Tr.Road.Freight.HGV_All</t>
  </si>
  <si>
    <t>Load.t_per_movement.DK.Tr.Road.Freight.HGV_Domestic</t>
  </si>
  <si>
    <t>Load.t_per_movement.DK.Tr.Road.Freight.HGV_International</t>
  </si>
  <si>
    <t>VehicleKm_per_vehicle.km.DK.Tr.Road</t>
  </si>
  <si>
    <t>VehicleKm_per_vehicle.km.DK.Tr.Road.Passenger</t>
  </si>
  <si>
    <t>VehicleKm_per_vehicle.km.DK.Tr.Road.Passenger.P2W</t>
  </si>
  <si>
    <t>VehicleKm_per_vehicle.km.DK.Tr.Road.Passenger.Car</t>
  </si>
  <si>
    <t>VehicleKm_per_vehicle.km.DK.Tr.Road.Passenger.Car.ICE.Gasoline</t>
  </si>
  <si>
    <t>VehicleKm_per_vehicle.km.DK.Tr.Road.Passenger.Car.ICE.Diesel</t>
  </si>
  <si>
    <t>VehicleKm_per_vehicle.km.DK.Tr.Road.Passenger.Car.ICE.LPG</t>
  </si>
  <si>
    <t>VehicleKm_per_vehicle.km.DK.Tr.Road.Passenger.Car.ICE.NGas</t>
  </si>
  <si>
    <t>VehicleKm_per_vehicle.km.DK.Tr.Road.Passenger.Car.PHEV.Gasoline</t>
  </si>
  <si>
    <t>VehicleKm_per_vehicle.km.DK.Tr.Road.Passenger.Car.BEV</t>
  </si>
  <si>
    <t>VehicleKm_per_vehicle.km.DK.Tr.Road.Passenger.Bus</t>
  </si>
  <si>
    <t>VehicleKm_per_vehicle.km.DK.Tr.Road.Passenger.Bus.ICE.Gasoline</t>
  </si>
  <si>
    <t>VehicleKm_per_vehicle.km.DK.Tr.Road.Passenger.Bus.ICE.Diesel</t>
  </si>
  <si>
    <t>VehicleKm_per_vehicle.km.DK.Tr.Road.Passenger.Bus.ICE.LPG</t>
  </si>
  <si>
    <t>VehicleKm_per_vehicle.km.DK.Tr.Road.Passenger.Bus.ICE.NGas</t>
  </si>
  <si>
    <t>VehicleKm_per_vehicle.km.DK.Tr.Road.Passenger.Bus.BEV</t>
  </si>
  <si>
    <t>VehicleKm_per_vehicle.km.DK.Tr.Road.Freight</t>
  </si>
  <si>
    <t>VehicleKm_per_vehicle.km.DK.Tr.Road.Freight.LCV</t>
  </si>
  <si>
    <t>VehicleKm_per_vehicle.km.DK.Tr.Road.Freight.LCV.ICE.Gasoline</t>
  </si>
  <si>
    <t>VehicleKm_per_vehicle.km.DK.Tr.Road.Freight.LCV.ICE.Diesel</t>
  </si>
  <si>
    <t>VehicleKm_per_vehicle.km.DK.Tr.Road.Freight.LCV.ICE.LPG</t>
  </si>
  <si>
    <t>VehicleKm_per_vehicle.km.DK.Tr.Road.Freight.LCV.ICE.NGas</t>
  </si>
  <si>
    <t>VehicleKm_per_vehicle.km.DK.Tr.Road.Freight.LCV.BEV</t>
  </si>
  <si>
    <t>VehicleKm_per_vehicle.km.DK.Tr.Road.Freight.HGV_All</t>
  </si>
  <si>
    <t>VehicleKm_per_vehicle.km.DK.Tr.Road.Freight.HGV_Domestic</t>
  </si>
  <si>
    <t>VehicleKm_per_vehicle.km.DK.Tr.Road.Freight.HGV_International</t>
  </si>
  <si>
    <t>Activity_per_vehicle.pkm.DK.Tr.Road.Passenger</t>
  </si>
  <si>
    <t>Activity_per_vehicle.pkm.DK.Tr.Road.Passenger.P2W</t>
  </si>
  <si>
    <t>Activity_per_vehicle.pkm.DK.Tr.Road.Passenger.Car</t>
  </si>
  <si>
    <t>Activity_per_vehicle.pkm.DK.Tr.Road.Passenger.Car.ICE.Gasoline</t>
  </si>
  <si>
    <t>Activity_per_vehicle.pkm.DK.Tr.Road.Passenger.Car.ICE.Diesel</t>
  </si>
  <si>
    <t>Activity_per_vehicle.pkm.DK.Tr.Road.Passenger.Car.ICE.LPG</t>
  </si>
  <si>
    <t>Activity_per_vehicle.pkm.DK.Tr.Road.Passenger.Car.ICE.NGas</t>
  </si>
  <si>
    <t>Activity_per_vehicle.pkm.DK.Tr.Road.Passenger.Car.PHEV.Gasoline</t>
  </si>
  <si>
    <t>Activity_per_vehicle.pkm.DK.Tr.Road.Passenger.Car.BEV</t>
  </si>
  <si>
    <t>Activity_per_vehicle.pkm.DK.Tr.Road.Passenger.Bus</t>
  </si>
  <si>
    <t>Activity_per_vehicle.pkm.DK.Tr.Road.Passenger.Bus.ICE.Gasoline</t>
  </si>
  <si>
    <t>Activity_per_vehicle.pkm.DK.Tr.Road.Passenger.Bus.ICE.Diesel</t>
  </si>
  <si>
    <t>Activity_per_vehicle.pkm.DK.Tr.Road.Passenger.Bus.ICE.LPG</t>
  </si>
  <si>
    <t>Activity_per_vehicle.pkm.DK.Tr.Road.Passenger.Bus.ICE.NGas</t>
  </si>
  <si>
    <t>Activity_per_vehicle.pkm.DK.Tr.Road.Passenger.Bus.BEV</t>
  </si>
  <si>
    <t>Activity_per_vehicle.tkm.DK.Tr.Road.Freight</t>
  </si>
  <si>
    <t>Activity_per_vehicle.tkm.DK.Tr.Road.Freight.LCV</t>
  </si>
  <si>
    <t>Activity_per_vehicle.tkm.DK.Tr.Road.Freight.LCV.ICE.Gasoline</t>
  </si>
  <si>
    <t>Activity_per_vehicle.tkm.DK.Tr.Road.Freight.LCV.ICE.Diesel</t>
  </si>
  <si>
    <t>Activity_per_vehicle.tkm.DK.Tr.Road.Freight.LCV.ICE.LPG</t>
  </si>
  <si>
    <t>Activity_per_vehicle.tkm.DK.Tr.Road.Freight.LCV.ICE.NGas</t>
  </si>
  <si>
    <t>Activity_per_vehicle.tkm.DK.Tr.Road.Freight.LCV.BEV</t>
  </si>
  <si>
    <t>Activity_per_vehicle.tkm.DK.Tr.Road.Freight.HGV_All</t>
  </si>
  <si>
    <t>Activity_per_vehicle.tkm.DK.Tr.Road.Freight.HGV_Domestic</t>
  </si>
  <si>
    <t>Activity_per_vehicle.tkm.DK.Tr.Road.Freight.HGV_International</t>
  </si>
  <si>
    <t>Road transport / energy consumption - DK - Denmark</t>
  </si>
  <si>
    <t>FEC.ktoe.DK.ES.Tr.Road</t>
  </si>
  <si>
    <t>FEC.ktoe.DK.ES.Tr.Road.LPG</t>
  </si>
  <si>
    <t>FEC.ktoe.DK.ES.Tr.Road.Gasoline</t>
  </si>
  <si>
    <t>FEC.ktoe.DK.ES.Tr.Road.Diesel</t>
  </si>
  <si>
    <t>FEC.ktoe.DK.ES.Tr.Road.NG</t>
  </si>
  <si>
    <t>FEC.ktoe.DK.ES.Tr.Road.Biogas</t>
  </si>
  <si>
    <t>FEC.ktoe.DK.ES.Tr.Road.Biogasoline</t>
  </si>
  <si>
    <t>FEC.ktoe.DK.ES.Tr.Road.Biodiesel</t>
  </si>
  <si>
    <t>FEC.ktoe.DK.ES.Tr.Road.OthLiqBio</t>
  </si>
  <si>
    <t>FEC.ktoe.DK.ES.Tr.Road.Elec</t>
  </si>
  <si>
    <t>FEC.ktoe.DK.Tr.Road</t>
  </si>
  <si>
    <t>FEC.ktoe.DK.Tr.Road.Passenger.P2W.Total.Total.Biogasoline</t>
  </si>
  <si>
    <t>FEC.ktoe.DK.Tr.Road.Passenger.Car.ICE.Gasoline</t>
  </si>
  <si>
    <t>FEC.ktoe.DK.Tr.Road.Passenger.Car.ICE.Gasoline.Biogasoline</t>
  </si>
  <si>
    <t>FEC.ktoe.DK.Tr.Road.Passenger.Car.ICE.Diesel</t>
  </si>
  <si>
    <t>FEC.ktoe.DK.Tr.Road.Passenger.Car.ICE.Diesel.BioDiesel_OthLiqBio</t>
  </si>
  <si>
    <t>FEC.ktoe.DK.Tr.Road.Passenger.Car.ICE.LPG</t>
  </si>
  <si>
    <t>FEC.ktoe.DK.Tr.Road.Passenger.Car.ICE.NGas</t>
  </si>
  <si>
    <t>FEC.ktoe.DK.Tr.Road.Passenger.Car.ICE.NGas.Biogas</t>
  </si>
  <si>
    <t>FEC.ktoe.DK.Tr.Road.Passenger.Car.PHEV.Gasoline</t>
  </si>
  <si>
    <t>FEC.ktoe.DK.Tr.Road.Passenger.Car.PHEV.Gasoline.Biogasoline</t>
  </si>
  <si>
    <t>FEC.ktoe.DK.Tr.Road.Passenger.Car.PHEV.Gasoline.Elec</t>
  </si>
  <si>
    <t>FEC.ktoe.DK.Tr.Road.Passenger.Car.BEV</t>
  </si>
  <si>
    <t>FEC.ktoe.DK.Tr.Road.Passenger.Bus.ICE.Gasoline</t>
  </si>
  <si>
    <t>FEC.ktoe.DK.Tr.Road.Passenger.Bus.ICE.Gasoline.Biogasoline</t>
  </si>
  <si>
    <t>FEC.ktoe.DK.Tr.Road.Passenger.Bus.ICE.Diesel</t>
  </si>
  <si>
    <t>FEC.ktoe.DK.Tr.Road.Passenger.Bus.ICE.Diesel.BioDiesel_OthLiqBio</t>
  </si>
  <si>
    <t>FEC.ktoe.DK.Tr.Road.Passenger.Bus.ICE.LPG</t>
  </si>
  <si>
    <t>FEC.ktoe.DK.Tr.Road.Passenger.Bus.ICE.NGas</t>
  </si>
  <si>
    <t>FEC.ktoe.DK.Tr.Road.Passenger.Bus.ICE.NGas.Biogas</t>
  </si>
  <si>
    <t>FEC.ktoe.DK.Tr.Road.Passenger.Bus.BEV</t>
  </si>
  <si>
    <t>FEC.ktoe.DK.Tr.Road.Freight.LCV.ICE.Gasoline</t>
  </si>
  <si>
    <t>FEC.ktoe.DK.Tr.Road.Freight.LCV.ICE.Gasoline.Biogasoline</t>
  </si>
  <si>
    <t>FEC.ktoe.DK.Tr.Road.Freight.LCV.ICE.Diesel</t>
  </si>
  <si>
    <t>FEC.ktoe.DK.Tr.Road.Freight.LCV.ICE.Diesel.BioDiesel_OthLiqBio</t>
  </si>
  <si>
    <t>FEC.ktoe.DK.Tr.Road.Freight.LCV.ICE.LPG</t>
  </si>
  <si>
    <t>FEC.ktoe.DK.Tr.Road.Freight.LCV.ICE.NGas</t>
  </si>
  <si>
    <t>FEC.ktoe.DK.Tr.Road.Freight.LCV.ICE.NGas.Biogas</t>
  </si>
  <si>
    <t>FEC.ktoe.DK.Tr.Road.Freight.LCV.BEV</t>
  </si>
  <si>
    <t>FEC.ktoe.DK.Tr.Road.Freight.HGV_Domestic</t>
  </si>
  <si>
    <t>FEC.ktoe.DK.Tr.Road.Freight.HGV_Domestic.Total.Total.BioDiesel_OthLiqBio</t>
  </si>
  <si>
    <t>FEC.ktoe.DK.Tr.Road.Freight.HGV_International</t>
  </si>
  <si>
    <t>FEC.ktoe.DK.Tr.Road.Freight.HGV_International.Total.Total.BioDiesel_OthLiqBio</t>
  </si>
  <si>
    <t>Eff.kgoe_per_100km.DK.Tr.Road</t>
  </si>
  <si>
    <t>Eff.kgoe_per_100km.DK.Tr.Road.Passenger</t>
  </si>
  <si>
    <t>Eff.kgoe_per_100km.DK.Tr.Road.Passenger.P2W</t>
  </si>
  <si>
    <t>Eff.kgoe_per_100km.DK.Tr.Road.Passenger.Car</t>
  </si>
  <si>
    <t>Eff.kgoe_per_100km.DK.Tr.Road.Passenger.Car.ICE.Gasoline</t>
  </si>
  <si>
    <t>Eff.kgoe_per_100km.DK.Tr.Road.Passenger.Car.ICE.Diesel</t>
  </si>
  <si>
    <t>Eff.kgoe_per_100km.DK.Tr.Road.Passenger.Car.ICE.LPG</t>
  </si>
  <si>
    <t>Eff.kgoe_per_100km.DK.Tr.Road.Passenger.Car.ICE.NGas</t>
  </si>
  <si>
    <t>Eff.kgoe_per_100km.DK.Tr.Road.Passenger.Car.PHEV.Gasoline</t>
  </si>
  <si>
    <t>Eff.kgoe_per_100km.DK.Tr.Road.Passenger.Car.BEV</t>
  </si>
  <si>
    <t>Eff.kgoe_per_100km.DK.Tr.Road.Passenger.Bus</t>
  </si>
  <si>
    <t>Eff.kgoe_per_100km.DK.Tr.Road.Passenger.Bus.ICE.Gasoline</t>
  </si>
  <si>
    <t>Eff.kgoe_per_100km.DK.Tr.Road.Passenger.Bus.ICE.Diesel</t>
  </si>
  <si>
    <t>Eff.kgoe_per_100km.DK.Tr.Road.Passenger.Bus.ICE.LPG</t>
  </si>
  <si>
    <t>Eff.kgoe_per_100km.DK.Tr.Road.Passenger.Bus.ICE.NGas</t>
  </si>
  <si>
    <t>Eff.kgoe_per_100km.DK.Tr.Road.Passenger.Bus.BEV</t>
  </si>
  <si>
    <t>Eff.kgoe_per_100km.DK.Tr.Road.Freight</t>
  </si>
  <si>
    <t>Eff.kgoe_per_100km.DK.Tr.Road.Freight.LCV</t>
  </si>
  <si>
    <t>Eff.kgoe_per_100km.DK.Tr.Road.Freight.LCV.ICE.Gasoline</t>
  </si>
  <si>
    <t>Eff.kgoe_per_100km.DK.Tr.Road.Freight.LCV.ICE.Diesel</t>
  </si>
  <si>
    <t>Eff.kgoe_per_100km.DK.Tr.Road.Freight.LCV.ICE.LPG</t>
  </si>
  <si>
    <t>Eff.kgoe_per_100km.DK.Tr.Road.Freight.LCV.ICE.NGas</t>
  </si>
  <si>
    <t>Eff.kgoe_per_100km.DK.Tr.Road.Freight.LCV.BEV</t>
  </si>
  <si>
    <t>Eff.kgoe_per_100km.DK.Tr.Road.Freight.HGV_All</t>
  </si>
  <si>
    <t>Eff.kgoe_per_100km.DK.Tr.Road.Freight.HGV_Domestic</t>
  </si>
  <si>
    <t>Eff.kgoe_per_100km.DK.Tr.Road.Freight.HGV_International</t>
  </si>
  <si>
    <t>Eff.kgoe_per_kpkm.DK.Tr.Road.Passenger.Car.ICE.Gasoline</t>
  </si>
  <si>
    <t>Eff.kgoe_per_kpkm.DK.Tr.Road.Passenger.Car.ICE.Diesel</t>
  </si>
  <si>
    <t>Eff.kgoe_per_kpkm.DK.Tr.Road.Passenger.Car.ICE.LPG</t>
  </si>
  <si>
    <t>Eff.kgoe_per_kpkm.DK.Tr.Road.Passenger.Car.ICE.NGas</t>
  </si>
  <si>
    <t>Eff.kgoe_per_kpkm.DK.Tr.Road.Passenger.Car.PHEV.Gasoline</t>
  </si>
  <si>
    <t>Eff.kgoe_per_kpkm.DK.Tr.Road.Passenger.Car.BEV</t>
  </si>
  <si>
    <t>Eff.kgoe_per_kpkm.DK.Tr.Road.Passenger.Bus.ICE.Gasoline</t>
  </si>
  <si>
    <t>Eff.kgoe_per_kpkm.DK.Tr.Road.Passenger.Bus.ICE.Diesel</t>
  </si>
  <si>
    <t>Eff.kgoe_per_kpkm.DK.Tr.Road.Passenger.Bus.ICE.LPG</t>
  </si>
  <si>
    <t>Eff.kgoe_per_kpkm.DK.Tr.Road.Passenger.Bus.ICE.NGas</t>
  </si>
  <si>
    <t>Eff.kgoe_per_kpkm.DK.Tr.Road.Passenger.Bus.BEV</t>
  </si>
  <si>
    <t>Eff.kgoe_per_ktkm.DK.Tr.Road.Freight.LCV.ICE.Gasoline</t>
  </si>
  <si>
    <t>Eff.kgoe_per_ktkm.DK.Tr.Road.Freight.LCV.ICE.Diesel</t>
  </si>
  <si>
    <t>Eff.kgoe_per_ktkm.DK.Tr.Road.Freight.LCV.ICE.LPG</t>
  </si>
  <si>
    <t>Eff.kgoe_per_ktkm.DK.Tr.Road.Freight.LCV.ICE.NGas</t>
  </si>
  <si>
    <t>Eff.kgoe_per_ktkm.DK.Tr.Road.Freight.LCV.BEV</t>
  </si>
  <si>
    <t>Eff.kgoe_per_ktkm.DK.Tr.Road.Freight.HGV_Domestic</t>
  </si>
  <si>
    <t>Eff.kgoe_per_ktkm.DK.Tr.Road.Freight.HGV_International</t>
  </si>
  <si>
    <t>FEC_per_vehicle.kgoe.DK.Tr.Road.Passenger.P2W</t>
  </si>
  <si>
    <t>FEC_per_vehicle.kgoe.DK.Tr.Road.Passenger.Car</t>
  </si>
  <si>
    <t>FEC_per_vehicle.kgoe.DK.Tr.Road.Passenger.Car.ICE.Gasoline</t>
  </si>
  <si>
    <t>FEC_per_vehicle.kgoe.DK.Tr.Road.Passenger.Car.ICE.Diesel</t>
  </si>
  <si>
    <t>FEC_per_vehicle.kgoe.DK.Tr.Road.Passenger.Car.ICE.LPG</t>
  </si>
  <si>
    <t>FEC_per_vehicle.kgoe.DK.Tr.Road.Passenger.Car.ICE.NGas</t>
  </si>
  <si>
    <t>FEC_per_vehicle.kgoe.DK.Tr.Road.Passenger.Car.PHEV.Gasoline</t>
  </si>
  <si>
    <t>FEC_per_vehicle.kgoe.DK.Tr.Road.Passenger.Car.BEV</t>
  </si>
  <si>
    <t>FEC_per_vehicle.kgoe.DK.Tr.Road.Passenger.Bus</t>
  </si>
  <si>
    <t>FEC_per_vehicle.kgoe.DK.Tr.Road.Passenger.Bus.ICE.Gasoline</t>
  </si>
  <si>
    <t>FEC_per_vehicle.kgoe.DK.Tr.Road.Passenger.Bus.ICE.Diesel</t>
  </si>
  <si>
    <t>FEC_per_vehicle.kgoe.DK.Tr.Road.Passenger.Bus.ICE.LPG</t>
  </si>
  <si>
    <t>FEC_per_vehicle.kgoe.DK.Tr.Road.Passenger.Bus.ICE.NGas</t>
  </si>
  <si>
    <t>FEC_per_vehicle.kgoe.DK.Tr.Road.Passenger.Bus.BEV</t>
  </si>
  <si>
    <t>FEC_per_vehicle.kgoe.DK.Tr.Road.Freight.LCV</t>
  </si>
  <si>
    <t>FEC_per_vehicle.kgoe.DK.Tr.Road.Freight.LCV.ICE.Gasoline</t>
  </si>
  <si>
    <t>FEC_per_vehicle.kgoe.DK.Tr.Road.Freight.LCV.ICE.Diesel</t>
  </si>
  <si>
    <t>FEC_per_vehicle.kgoe.DK.Tr.Road.Freight.LCV.ICE.LPG</t>
  </si>
  <si>
    <t>FEC_per_vehicle.kgoe.DK.Tr.Road.Freight.LCV.ICE.NGas</t>
  </si>
  <si>
    <t>FEC_per_vehicle.kgoe.DK.Tr.Road.Freight.LCV.BEV</t>
  </si>
  <si>
    <t>FEC_per_vehicle.kgoe.DK.Tr.Road.Freight.HGV_All</t>
  </si>
  <si>
    <t>FEC_per_vehicle.kgoe.DK.Tr.Road.Freight.HGV_Domestic</t>
  </si>
  <si>
    <t>FEC_per_vehicle.kgoe.DK.Tr.Road.Freight.HGV_International</t>
  </si>
  <si>
    <t>Road transport / CO2 emissions - DK - Denmark</t>
  </si>
  <si>
    <t>EMI.ktCO2.DK.ES.Tr.Road</t>
  </si>
  <si>
    <t>EMI.ktCO2.DK.ES.Tr.Road.LPG</t>
  </si>
  <si>
    <t>EMI.ktCO2.DK.ES.Tr.Road.Gasoline</t>
  </si>
  <si>
    <t>EMI.ktCO2.DK.ES.Tr.Road.Diesel</t>
  </si>
  <si>
    <t>EMI.ktCO2.DK.ES.Tr.Road.NG</t>
  </si>
  <si>
    <t>EMI.ktCO2.DK.ES.Tr.Road.Biogas</t>
  </si>
  <si>
    <t>EMI.ktCO2.DK.ES.Tr.Road.Biogasoline</t>
  </si>
  <si>
    <t>EMI.ktCO2.DK.ES.Tr.Road.Biodiesel</t>
  </si>
  <si>
    <t>EMI.ktCO2.DK.ES.Tr.Road.OthLiqBio</t>
  </si>
  <si>
    <t>EMI.ktCO2.DK.ES.Tr.Road.Elec</t>
  </si>
  <si>
    <t>EMI.ktCO2.DK.Tr.Road</t>
  </si>
  <si>
    <t>EMI.ktCO2.DK.Tr.Road.Passenger.Car.ICE.Gasoline</t>
  </si>
  <si>
    <t>EMI.ktCO2.DK.Tr.Road.Passenger.Car.ICE.Diesel</t>
  </si>
  <si>
    <t>EMI.ktCO2.DK.Tr.Road.Passenger.Car.ICE.LPG</t>
  </si>
  <si>
    <t>EMI.ktCO2.DK.Tr.Road.Passenger.Car.ICE.NGas</t>
  </si>
  <si>
    <t>EMI.ktCO2.DK.Tr.Road.Passenger.Car.PHEV.Gasoline</t>
  </si>
  <si>
    <t>EMI.ktCO2.DK.Tr.Road.Passenger.Car.BEV</t>
  </si>
  <si>
    <t>EMI.ktCO2.DK.Tr.Road.Passenger.Bus.ICE.Gasoline</t>
  </si>
  <si>
    <t>EMI.ktCO2.DK.Tr.Road.Passenger.Bus.ICE.Diesel</t>
  </si>
  <si>
    <t>EMI.ktCO2.DK.Tr.Road.Passenger.Bus.ICE.LPG</t>
  </si>
  <si>
    <t>EMI.ktCO2.DK.Tr.Road.Passenger.Bus.ICE.NGas</t>
  </si>
  <si>
    <t>EMI.ktCO2.DK.Tr.Road.Passenger.Bus.BEV</t>
  </si>
  <si>
    <t>EMI.ktCO2.DK.Tr.Road.Freight.LCV.ICE.Gasoline</t>
  </si>
  <si>
    <t>EMI.ktCO2.DK.Tr.Road.Freight.LCV.ICE.Diesel</t>
  </si>
  <si>
    <t>EMI.ktCO2.DK.Tr.Road.Freight.LCV.ICE.LPG</t>
  </si>
  <si>
    <t>EMI.ktCO2.DK.Tr.Road.Freight.LCV.ICE.NGas</t>
  </si>
  <si>
    <t>EMI.ktCO2.DK.Tr.Road.Freight.LCV.BEV</t>
  </si>
  <si>
    <t>EMI.ktCO2.DK.Tr.Road.Freight.HGV_Domestic</t>
  </si>
  <si>
    <t>EMI.ktCO2.DK.Tr.Road.Freight.HGV_International</t>
  </si>
  <si>
    <t>EMIint.gCO2_per_km.DK.Tr.Road</t>
  </si>
  <si>
    <t>EMIint.gCO2_per_km.DK.Tr.Road.Passenger</t>
  </si>
  <si>
    <t>EMIint.gCO2_per_km.DK.Tr.Road.Passenger.P2W</t>
  </si>
  <si>
    <t>EMIint.gCO2_per_km.DK.Tr.Road.Passenger.Car</t>
  </si>
  <si>
    <t>EMIint.gCO2_per_km.DK.Tr.Road.Passenger.Car.ICE.Gasoline</t>
  </si>
  <si>
    <t>EMIint.gCO2_per_km.DK.Tr.Road.Passenger.Car.ICE.Diesel</t>
  </si>
  <si>
    <t>EMIint.gCO2_per_km.DK.Tr.Road.Passenger.Car.ICE.LPG</t>
  </si>
  <si>
    <t>EMIint.gCO2_per_km.DK.Tr.Road.Passenger.Car.ICE.NGas</t>
  </si>
  <si>
    <t>EMIint.gCO2_per_km.DK.Tr.Road.Passenger.Car.PHEV.Gasoline</t>
  </si>
  <si>
    <t>EMIint.gCO2_per_km.DK.Tr.Road.Passenger.Car.BEV</t>
  </si>
  <si>
    <t>EMIint.gCO2_per_km.DK.Tr.Road.Passenger.Bus</t>
  </si>
  <si>
    <t>EMIint.gCO2_per_km.DK.Tr.Road.Passenger.Bus.ICE.Gasoline</t>
  </si>
  <si>
    <t>EMIint.gCO2_per_km.DK.Tr.Road.Passenger.Bus.ICE.Diesel</t>
  </si>
  <si>
    <t>EMIint.gCO2_per_km.DK.Tr.Road.Passenger.Bus.ICE.LPG</t>
  </si>
  <si>
    <t>EMIint.gCO2_per_km.DK.Tr.Road.Passenger.Bus.ICE.NGas</t>
  </si>
  <si>
    <t>EMIint.gCO2_per_km.DK.Tr.Road.Passenger.Bus.BEV</t>
  </si>
  <si>
    <t>EMIint.gCO2_per_km.DK.Tr.Road.Freight</t>
  </si>
  <si>
    <t>EMIint.gCO2_per_km.DK.Tr.Road.Freight.LCV</t>
  </si>
  <si>
    <t>EMIint.gCO2_per_km.DK.Tr.Road.Freight.LCV.ICE.Gasoline</t>
  </si>
  <si>
    <t>EMIint.gCO2_per_km.DK.Tr.Road.Freight.LCV.ICE.Diesel</t>
  </si>
  <si>
    <t>EMIint.gCO2_per_km.DK.Tr.Road.Freight.LCV.ICE.LPG</t>
  </si>
  <si>
    <t>EMIint.gCO2_per_km.DK.Tr.Road.Freight.LCV.ICE.NGas</t>
  </si>
  <si>
    <t>EMIint.gCO2_per_km.DK.Tr.Road.Freight.LCV.BEV</t>
  </si>
  <si>
    <t>EMIint.gCO2_per_km.DK.Tr.Road.Freight.HGV_All</t>
  </si>
  <si>
    <t>EMIint.gCO2_per_km.DK.Tr.Road.Freight.HGV_Domestic</t>
  </si>
  <si>
    <t>EMIint.gCO2_per_km.DK.Tr.Road.Freight.HGV_International</t>
  </si>
  <si>
    <t>EMIint.gCO2_per_pkm.DK.Tr.Road.Passenger.Car.ICE.Gasoline</t>
  </si>
  <si>
    <t>EMIint.gCO2_per_pkm.DK.Tr.Road.Passenger.Car.ICE.Diesel</t>
  </si>
  <si>
    <t>EMIint.gCO2_per_pkm.DK.Tr.Road.Passenger.Car.ICE.LPG</t>
  </si>
  <si>
    <t>EMIint.gCO2_per_pkm.DK.Tr.Road.Passenger.Car.ICE.NGas</t>
  </si>
  <si>
    <t>EMIint.gCO2_per_pkm.DK.Tr.Road.Passenger.Car.PHEV.Gasoline</t>
  </si>
  <si>
    <t>EMIint.gCO2_per_pkm.DK.Tr.Road.Passenger.Car.BEV</t>
  </si>
  <si>
    <t>EMIint.gCO2_per_pkm.DK.Tr.Road.Passenger.Bus.ICE.Gasoline</t>
  </si>
  <si>
    <t>EMIint.gCO2_per_pkm.DK.Tr.Road.Passenger.Bus.ICE.Diesel</t>
  </si>
  <si>
    <t>EMIint.gCO2_per_pkm.DK.Tr.Road.Passenger.Bus.ICE.LPG</t>
  </si>
  <si>
    <t>EMIint.gCO2_per_pkm.DK.Tr.Road.Passenger.Bus.ICE.NGas</t>
  </si>
  <si>
    <t>EMIint.gCO2_per_pkm.DK.Tr.Road.Passenger.Bus.BEV</t>
  </si>
  <si>
    <t>EMIint.gCO2_per_tkm.DK.Tr.Road.Freight.LCV.ICE.Gasoline</t>
  </si>
  <si>
    <t>EMIint.gCO2_per_tkm.DK.Tr.Road.Freight.LCV.ICE.Diesel</t>
  </si>
  <si>
    <t>EMIint.gCO2_per_tkm.DK.Tr.Road.Freight.LCV.ICE.LPG</t>
  </si>
  <si>
    <t>EMIint.gCO2_per_tkm.DK.Tr.Road.Freight.LCV.ICE.NGas</t>
  </si>
  <si>
    <t>EMIint.gCO2_per_tkm.DK.Tr.Road.Freight.LCV.BEV</t>
  </si>
  <si>
    <t>EMIint.gCO2_per_tkm.DK.Tr.Road.Freight.HGV_Domestic</t>
  </si>
  <si>
    <t>EMIint.gCO2_per_tkm.DK.Tr.Road.Freight.HGV_International</t>
  </si>
  <si>
    <t>EMI_per_vehicle.kgCO2.DK.Tr.Road.Passenger.P2W</t>
  </si>
  <si>
    <t>EMI_per_vehicle.kgCO2.DK.Tr.Road.Passenger.Car</t>
  </si>
  <si>
    <t>EMI_per_vehicle.kgCO2.DK.Tr.Road.Passenger.Car.ICE.Gasoline</t>
  </si>
  <si>
    <t>EMI_per_vehicle.kgCO2.DK.Tr.Road.Passenger.Car.ICE.Diesel</t>
  </si>
  <si>
    <t>EMI_per_vehicle.kgCO2.DK.Tr.Road.Passenger.Car.ICE.LPG</t>
  </si>
  <si>
    <t>EMI_per_vehicle.kgCO2.DK.Tr.Road.Passenger.Car.ICE.NGas</t>
  </si>
  <si>
    <t>EMI_per_vehicle.kgCO2.DK.Tr.Road.Passenger.Car.PHEV.Gasoline</t>
  </si>
  <si>
    <t>EMI_per_vehicle.kgCO2.DK.Tr.Road.Passenger.Car.BEV</t>
  </si>
  <si>
    <t>EMI_per_vehicle.kgCO2.DK.Tr.Road.Passenger.Bus</t>
  </si>
  <si>
    <t>EMI_per_vehicle.kgCO2.DK.Tr.Road.Passenger.Bus.ICE.Gasoline</t>
  </si>
  <si>
    <t>EMI_per_vehicle.kgCO2.DK.Tr.Road.Passenger.Bus.ICE.Diesel</t>
  </si>
  <si>
    <t>EMI_per_vehicle.kgCO2.DK.Tr.Road.Passenger.Bus.ICE.LPG</t>
  </si>
  <si>
    <t>EMI_per_vehicle.kgCO2.DK.Tr.Road.Passenger.Bus.ICE.NGas</t>
  </si>
  <si>
    <t>EMI_per_vehicle.kgCO2.DK.Tr.Road.Passenger.Bus.BEV</t>
  </si>
  <si>
    <t>EMI_per_vehicle.kgCO2.DK.Tr.Road.Freight.LCV</t>
  </si>
  <si>
    <t>EMI_per_vehicle.kgCO2.DK.Tr.Road.Freight.LCV.ICE.Gasoline</t>
  </si>
  <si>
    <t>EMI_per_vehicle.kgCO2.DK.Tr.Road.Freight.LCV.ICE.Diesel</t>
  </si>
  <si>
    <t>EMI_per_vehicle.kgCO2.DK.Tr.Road.Freight.LCV.ICE.LPG</t>
  </si>
  <si>
    <t>EMI_per_vehicle.kgCO2.DK.Tr.Road.Freight.LCV.ICE.NGas</t>
  </si>
  <si>
    <t>EMI_per_vehicle.kgCO2.DK.Tr.Road.Freight.LCV.BEV</t>
  </si>
  <si>
    <t>EMI_per_vehicle.kgCO2.DK.Tr.Road.Freight.HGV_All</t>
  </si>
  <si>
    <t>EMI_per_vehicle.kgCO2.DK.Tr.Road.Freight.HGV_Domestic</t>
  </si>
  <si>
    <t>EMI_per_vehicle.kgCO2.DK.Tr.Road.Freight.HGV_International</t>
  </si>
  <si>
    <t>Road transport / technologies - DK - Denmark</t>
  </si>
  <si>
    <t>Stock.number.DK.Tr.Road.Freight.HGV_all</t>
  </si>
  <si>
    <t>StockVin.number.DK.Tr.Road</t>
  </si>
  <si>
    <t>StockVin.number.DK.Tr.Road.Passenger</t>
  </si>
  <si>
    <t>StockVin.number.DK.Tr.Road.Passenger.P2W</t>
  </si>
  <si>
    <t>StockVin.number.DK.Tr.Road.Passenger.Car</t>
  </si>
  <si>
    <t>StockVin.number.DK.Tr.Road.Passenger.Car.ICE.Gasoline</t>
  </si>
  <si>
    <t>StockVin.number.DK.Tr.Road.Passenger.Car.ICE.Diesel</t>
  </si>
  <si>
    <t>StockVin.number.DK.Tr.Road.Passenger.Car.ICE.LPG</t>
  </si>
  <si>
    <t>StockVin.number.DK.Tr.Road.Passenger.Car.ICE.NGas</t>
  </si>
  <si>
    <t>StockVin.number.DK.Tr.Road.Passenger.Car.PHEV.Gasoline</t>
  </si>
  <si>
    <t>StockVin.number.DK.Tr.Road.Passenger.Car.BEV</t>
  </si>
  <si>
    <t>StockVin.number.DK.Tr.Road.Passenger.Bus</t>
  </si>
  <si>
    <t>StockVin.number.DK.Tr.Road.Passenger.Bus.ICE.Gasoline</t>
  </si>
  <si>
    <t>StockVin.number.DK.Tr.Road.Passenger.Bus.ICE.Diesel</t>
  </si>
  <si>
    <t>StockVin.number.DK.Tr.Road.Passenger.Bus.ICE.LPG</t>
  </si>
  <si>
    <t>StockVin.number.DK.Tr.Road.Passenger.Bus.ICE.NGas</t>
  </si>
  <si>
    <t>StockVin.number.DK.Tr.Road.Passenger.Bus.BEV</t>
  </si>
  <si>
    <t>StockVin.number.DK.Tr.Road.Freight</t>
  </si>
  <si>
    <t>StockVin.number.DK.Tr.Road.Freight.LCV</t>
  </si>
  <si>
    <t>StockVin.number.DK.Tr.Road.Freight.LCV.ICE.Gasoline</t>
  </si>
  <si>
    <t>StockVin.number.DK.Tr.Road.Freight.LCV.ICE.Diesel</t>
  </si>
  <si>
    <t>StockVin.number.DK.Tr.Road.Freight.LCV.ICE.LPG</t>
  </si>
  <si>
    <t>StockVin.number.DK.Tr.Road.Freight.LCV.ICE.NGas</t>
  </si>
  <si>
    <t>StockVin.number.DK.Tr.Road.Freight.LCV.BEV</t>
  </si>
  <si>
    <t>StockVin.number.DK.Tr.Road.Freight.HGV_All</t>
  </si>
  <si>
    <t>StockVin.number.DK.Tr.Road.Freight.HGV_Domestic</t>
  </si>
  <si>
    <t>StockVin.number.DK.Tr.Road.Freight.HGV_International</t>
  </si>
  <si>
    <t>Eff_test_stock.kgoe_per_100km.DK.Tr.Road.Passenger.P2W</t>
  </si>
  <si>
    <t>Eff_test_stock.kgoe_per_100km.DK.Tr.Road.Passenger.Car</t>
  </si>
  <si>
    <t>Eff_test_stock.kgoe_per_100km.DK.Tr.Road.Passenger.Car.ICE.Gasoline</t>
  </si>
  <si>
    <t>Eff_test_stock.kgoe_per_100km.DK.Tr.Road.Passenger.Car.ICE.Diesel</t>
  </si>
  <si>
    <t>Eff_test_stock.kgoe_per_100km.DK.Tr.Road.Passenger.Car.ICE.LPG</t>
  </si>
  <si>
    <t>Eff_test_stock.kgoe_per_100km.DK.Tr.Road.Passenger.Car.ICE.NGas</t>
  </si>
  <si>
    <t>Eff_test_stock.kgoe_per_100km.DK.Tr.Road.Passenger.Car.PHEV.Gasoline</t>
  </si>
  <si>
    <t>Eff_test_stock.kgoe_per_100km.DK.Tr.Road.Passenger.Car.BEV</t>
  </si>
  <si>
    <t>Eff_test_stock.kgoe_per_100km.DK.Tr.Road.Passenger.Bus</t>
  </si>
  <si>
    <t>Eff_test_stock.kgoe_per_100km.DK.Tr.Road.Passenger.Bus.ICE.Gasoline</t>
  </si>
  <si>
    <t>Eff_test_stock.kgoe_per_100km.DK.Tr.Road.Passenger.Bus.ICE.Diesel</t>
  </si>
  <si>
    <t>Eff_test_stock.kgoe_per_100km.DK.Tr.Road.Passenger.Bus.ICE.LPG</t>
  </si>
  <si>
    <t>Eff_test_stock.kgoe_per_100km.DK.Tr.Road.Passenger.Bus.ICE.NGas</t>
  </si>
  <si>
    <t>Eff_test_stock.kgoe_per_100km.DK.Tr.Road.Passenger.Bus.BEV</t>
  </si>
  <si>
    <t>Eff_test_stock.kgoe_per_100km.DK.Tr.Road.Freight.LCV</t>
  </si>
  <si>
    <t>Eff_test_stock.kgoe_per_100km.DK.Tr.Road.Freight.LCV.ICE.Gasoline</t>
  </si>
  <si>
    <t>Eff_test_stock.kgoe_per_100km.DK.Tr.Road.Freight.LCV.ICE.Diesel</t>
  </si>
  <si>
    <t>Eff_test_stock.kgoe_per_100km.DK.Tr.Road.Freight.LCV.ICE.LPG</t>
  </si>
  <si>
    <t>Eff_test_stock.kgoe_per_100km.DK.Tr.Road.Freight.LCV.ICE.NGas</t>
  </si>
  <si>
    <t>Eff_test_stock.kgoe_per_100km.DK.Tr.Road.Freight.LCV.BEV</t>
  </si>
  <si>
    <t>Eff_test_stock.kgoe_per_100km.DK.Tr.Road.Freight.HGV_All</t>
  </si>
  <si>
    <t>Eff_test_stock.kgoe_per_100km.DK.Tr.Road.Freight.HGV_Domestic</t>
  </si>
  <si>
    <t>Eff_test_stock.kgoe_per_100km.DK.Tr.Road.Freight.HGV_International</t>
  </si>
  <si>
    <t>Eff_test_new.kgoe_per_100km.DK.Tr.Road.Passenger.P2W</t>
  </si>
  <si>
    <t>Eff_test_new.kgoe_per_100km.DK.Tr.Road.Passenger.Car</t>
  </si>
  <si>
    <t>Eff_test_new.kgoe_per_100km.DK.Tr.Road.Passenger.Car.ICE.Gasoline</t>
  </si>
  <si>
    <t>Eff_test_new.kgoe_per_100km.DK.Tr.Road.Passenger.Car.ICE.Diesel</t>
  </si>
  <si>
    <t>Eff_test_new.kgoe_per_100km.DK.Tr.Road.Passenger.Car.ICE.LPG</t>
  </si>
  <si>
    <t>Eff_test_new.kgoe_per_100km.DK.Tr.Road.Passenger.Car.ICE.NGas</t>
  </si>
  <si>
    <t>Eff_test_new.kgoe_per_100km.DK.Tr.Road.Passenger.Car.PHEV.Gasoline</t>
  </si>
  <si>
    <t>Eff_test_new.kgoe_per_100km.DK.Tr.Road.Passenger.Car.BEV</t>
  </si>
  <si>
    <t>Eff_test_new.kgoe_per_100km.DK.Tr.Road.Passenger.Bus</t>
  </si>
  <si>
    <t>Eff_test_new.kgoe_per_100km.DK.Tr.Road.Passenger.Bus.ICE.Gasoline</t>
  </si>
  <si>
    <t>Eff_test_new.kgoe_per_100km.DK.Tr.Road.Passenger.Bus.ICE.Diesel</t>
  </si>
  <si>
    <t>Eff_test_new.kgoe_per_100km.DK.Tr.Road.Passenger.Bus.ICE.LPG</t>
  </si>
  <si>
    <t>Eff_test_new.kgoe_per_100km.DK.Tr.Road.Passenger.Bus.ICE.NGas</t>
  </si>
  <si>
    <t>Eff_test_new.kgoe_per_100km.DK.Tr.Road.Passenger.Bus.BEV</t>
  </si>
  <si>
    <t>Eff_test_new.kgoe_per_100km.DK.Tr.Road.Freight.LCV</t>
  </si>
  <si>
    <t>Eff_test_new.kgoe_per_100km.DK.Tr.Road.Freight.LCV.ICE.Gasoline</t>
  </si>
  <si>
    <t>Eff_test_new.kgoe_per_100km.DK.Tr.Road.Freight.LCV.ICE.Diesel</t>
  </si>
  <si>
    <t>Eff_test_new.kgoe_per_100km.DK.Tr.Road.Freight.LCV.ICE.LPG</t>
  </si>
  <si>
    <t>Eff_test_new.kgoe_per_100km.DK.Tr.Road.Freight.LCV.ICE.NGas</t>
  </si>
  <si>
    <t>Eff_test_new.kgoe_per_100km.DK.Tr.Road.Freight.LCV.BEV</t>
  </si>
  <si>
    <t>Eff_test_new.kgoe_per_100km.DK.Tr.Road.Freight.HGV_All</t>
  </si>
  <si>
    <t>Eff_test_new.kgoe_per_100km.DK.Tr.Road.Freight.HGV_Domestic</t>
  </si>
  <si>
    <t>Eff_test_new.kgoe_per_100km.DK.Tr.Road.Freight.HGV_International</t>
  </si>
  <si>
    <t>EMIint_test_stock.gCO2_per_km.DK.Tr.Road.Passenger.P2W</t>
  </si>
  <si>
    <t>EMIint_test_stock.gCO2_per_km.DK.Tr.Road.Passenger.Car</t>
  </si>
  <si>
    <t>EMIint_test_stock.gCO2_per_km.DK.Tr.Road.Passenger.Car.ICE.Gasoline</t>
  </si>
  <si>
    <t>EMIint_test_stock.gCO2_per_km.DK.Tr.Road.Passenger.Car.ICE.Diesel</t>
  </si>
  <si>
    <t>EMIint_test_stock.gCO2_per_km.DK.Tr.Road.Passenger.Car.ICE.LPG</t>
  </si>
  <si>
    <t>EMIint_test_stock.gCO2_per_km.DK.Tr.Road.Passenger.Car.ICE.NGas</t>
  </si>
  <si>
    <t>EMIint_test_stock.gCO2_per_km.DK.Tr.Road.Passenger.Car.PHEV.Gasoline</t>
  </si>
  <si>
    <t>EMIint_test_stock.gCO2_per_km.DK.Tr.Road.Passenger.Car.BEV</t>
  </si>
  <si>
    <t>EMIint_test_stock.gCO2_per_km.DK.Tr.Road.Passenger.Bus</t>
  </si>
  <si>
    <t>EMIint_test_stock.gCO2_per_km.DK.Tr.Road.Passenger.Bus.ICE.Gasoline</t>
  </si>
  <si>
    <t>EMIint_test_stock.gCO2_per_km.DK.Tr.Road.Passenger.Bus.ICE.Diesel</t>
  </si>
  <si>
    <t>EMIint_test_stock.gCO2_per_km.DK.Tr.Road.Passenger.Bus.ICE.LPG</t>
  </si>
  <si>
    <t>EMIint_test_stock.gCO2_per_km.DK.Tr.Road.Passenger.Bus.ICE.NGas</t>
  </si>
  <si>
    <t>EMIint_test_stock.gCO2_per_km.DK.Tr.Road.Passenger.Bus.BEV</t>
  </si>
  <si>
    <t>EMIint_test_stock.gCO2_per_km.DK.Tr.Road.Freight.LCV</t>
  </si>
  <si>
    <t>EMIint_test_stock.gCO2_per_km.DK.Tr.Road.Freight.LCV.ICE.Gasoline</t>
  </si>
  <si>
    <t>EMIint_test_stock.gCO2_per_km.DK.Tr.Road.Freight.LCV.ICE.Diesel</t>
  </si>
  <si>
    <t>EMIint_test_stock.gCO2_per_km.DK.Tr.Road.Freight.LCV.ICE.LPG</t>
  </si>
  <si>
    <t>EMIint_test_stock.gCO2_per_km.DK.Tr.Road.Freight.LCV.ICE.NGas</t>
  </si>
  <si>
    <t>EMIint_test_stock.gCO2_per_km.DK.Tr.Road.Freight.LCV.BEV</t>
  </si>
  <si>
    <t>EMIint_test_stock.gCO2_per_km.DK.Tr.Road.Freight.HGV_All</t>
  </si>
  <si>
    <t>EMIint_test_stock.gCO2_per_km.DK.Tr.Road.Freight.HGV_Domestic</t>
  </si>
  <si>
    <t>EMIint_test_stock.gCO2_per_km.DK.Tr.Road.Freight.HGV_International</t>
  </si>
  <si>
    <t>EMIint_test_new.gCO2_per_km.DK.Tr.Road.Passenger.P2W</t>
  </si>
  <si>
    <t>EMIint_test_new.gCO2_per_km.DK.Tr.Road.Passenger.Car</t>
  </si>
  <si>
    <t>EMIint_test_new.gCO2_per_km.DK.Tr.Road.Passenger.Car.ICE.Gasoline</t>
  </si>
  <si>
    <t>EMIint_test_new.gCO2_per_km.DK.Tr.Road.Passenger.Car.ICE.Diesel</t>
  </si>
  <si>
    <t>EMIint_test_new.gCO2_per_km.DK.Tr.Road.Passenger.Car.ICE.LPG</t>
  </si>
  <si>
    <t>EMIint_test_new.gCO2_per_km.DK.Tr.Road.Passenger.Car.ICE.NGas</t>
  </si>
  <si>
    <t>EMIint_test_new.gCO2_per_km.DK.Tr.Road.Passenger.Car.PHEV.Gasoline</t>
  </si>
  <si>
    <t>EMIint_test_new.gCO2_per_km.DK.Tr.Road.Passenger.Car.BEV</t>
  </si>
  <si>
    <t>EMIint_test_new.gCO2_per_km.DK.Tr.Road.Passenger.Bus</t>
  </si>
  <si>
    <t>EMIint_test_new.gCO2_per_km.DK.Tr.Road.Passenger.Bus.ICE.Gasoline</t>
  </si>
  <si>
    <t>EMIint_test_new.gCO2_per_km.DK.Tr.Road.Passenger.Bus.ICE.Diesel</t>
  </si>
  <si>
    <t>EMIint_test_new.gCO2_per_km.DK.Tr.Road.Passenger.Bus.ICE.LPG</t>
  </si>
  <si>
    <t>EMIint_test_new.gCO2_per_km.DK.Tr.Road.Passenger.Bus.ICE.NGas</t>
  </si>
  <si>
    <t>EMIint_test_new.gCO2_per_km.DK.Tr.Road.Passenger.Bus.BEV</t>
  </si>
  <si>
    <t>EMIint_test_new.gCO2_per_km.DK.Tr.Road.Freight.LCV</t>
  </si>
  <si>
    <t>EMIint_test_new.gCO2_per_km.DK.Tr.Road.Freight.LCV.ICE.Gasoline</t>
  </si>
  <si>
    <t>EMIint_test_new.gCO2_per_km.DK.Tr.Road.Freight.LCV.ICE.Diesel</t>
  </si>
  <si>
    <t>EMIint_test_new.gCO2_per_km.DK.Tr.Road.Freight.LCV.ICE.LPG</t>
  </si>
  <si>
    <t>EMIint_test_new.gCO2_per_km.DK.Tr.Road.Freight.LCV.ICE.NGas</t>
  </si>
  <si>
    <t>EMIint_test_new.gCO2_per_km.DK.Tr.Road.Freight.LCV.BEV</t>
  </si>
  <si>
    <t>EMIint_test_new.gCO2_per_km.DK.Tr.Road.Freight.HGV_All</t>
  </si>
  <si>
    <t>EMIint_test_new.gCO2_per_km.DK.Tr.Road.Freight.HGV_Domestic</t>
  </si>
  <si>
    <t>EMIint_test_new.gCO2_per_km.DK.Tr.Road.Freight.HGV_International</t>
  </si>
  <si>
    <t>FEC.ktoe.DK.MBunk</t>
  </si>
  <si>
    <t>FEC.ktoe.DK.MBunk.IntraEEA</t>
  </si>
  <si>
    <t>FEC.ktoe.DK.MBunk.ExtraEEA</t>
  </si>
  <si>
    <t>EMI.ktCO2.DK.MBunk</t>
  </si>
  <si>
    <t>EMI.ktCO2.DK.MBunk.IntraEEA</t>
  </si>
  <si>
    <t>EMI.ktCO2.DK.MBunk.ExtraEEA</t>
  </si>
  <si>
    <t>International maritime bunkers - DK - Denmark</t>
  </si>
  <si>
    <t>VehicleKm.Mkm.DK.MBunk.Freight</t>
  </si>
  <si>
    <t>VehicleKm.Mkm.DK.MBunk.Freight.IntraEEA</t>
  </si>
  <si>
    <t>VehicleKm.Mkm.DK.MBunk.Freight.ExtraEEA</t>
  </si>
  <si>
    <t>Load.t_per_movement.DK.MBunk.Freight</t>
  </si>
  <si>
    <t>Load.t_per_movement.DK.MBunk.Freight.IntraEEA</t>
  </si>
  <si>
    <t>Load.t_per_movement.DK.MBunk.Freight.ExtraEEA</t>
  </si>
  <si>
    <t>International maritime bunkers / energy consumption - DK - Denmark</t>
  </si>
  <si>
    <t>FEC.ktoe.DK.ES.MBunk</t>
  </si>
  <si>
    <t>FEC.ktoe.DK.ES.MBunk.IntraEEA</t>
  </si>
  <si>
    <t>FEC.ktoe.DK.ES.MBunk.IntraEEA.Diesel</t>
  </si>
  <si>
    <t>FEC.ktoe.DK.ES.MBunk.IntraEEA.RFO_Other</t>
  </si>
  <si>
    <t>FEC.ktoe.DK.ES.MBunk.IntraEEA.LiqBio</t>
  </si>
  <si>
    <t>FEC.ktoe.DK.ES.MBunk.IntraEEA.NG</t>
  </si>
  <si>
    <t>FEC.ktoe.DK.ES.MBunk.IntraEEA.Biogas</t>
  </si>
  <si>
    <t>FEC.ktoe.DK.ES.MBunk.ExtraEEA</t>
  </si>
  <si>
    <t>FEC.ktoe.DK.ES.MBunk.ExtraEEA.Diesel</t>
  </si>
  <si>
    <t>FEC.ktoe.DK.ES.MBunk.ExtraEEA.RFO_Other</t>
  </si>
  <si>
    <t>FEC.ktoe.DK.ES.MBunk.ExtraEEA.LiqBio</t>
  </si>
  <si>
    <t>FEC.ktoe.DK.ES.MBunk.ExtraEEA.NG</t>
  </si>
  <si>
    <t>FEC.ktoe.DK.ES.MBunk.ExtraEEA.Biogas</t>
  </si>
  <si>
    <t>Eff.kgoe_per_100km.DK.MBunk.Freight</t>
  </si>
  <si>
    <t>Eff.kgoe_per_100km.DK.MBunk.Freight.IntraEEA</t>
  </si>
  <si>
    <t>Eff.kgoe_per_100km.DK.MBunk.Freight.ExtraEEA</t>
  </si>
  <si>
    <t>International maritime bunkers / CO2 emissions - DK - Denmark</t>
  </si>
  <si>
    <t>EMI.ktCO2.DK.ES.MBunk</t>
  </si>
  <si>
    <t>EMI.ktCO2.DK.ES.MBunk.IntraEEA</t>
  </si>
  <si>
    <t>EMI.ktCO2.DK.ES.MBunk.ExtraEEA</t>
  </si>
  <si>
    <t>EMIint.gCO2_per_km.DK.MBunk.Freight</t>
  </si>
  <si>
    <t>EMIint.gCO2_per_km.DK.MBunk.Freight.IntraEEA</t>
  </si>
  <si>
    <t>EMIint.gCO2_per_km.DK.MBunk.Freight.ExtraEEA</t>
  </si>
  <si>
    <t>FEC.ktoe.DK.Tr.DNavi</t>
  </si>
  <si>
    <t>FEC.ktoe.DK.Tr.Dnavi.DCS</t>
  </si>
  <si>
    <t>FEC.ktoe.DK.Tr.Dnavi.IWW</t>
  </si>
  <si>
    <t>EMI.ktCO2.DK.Tr.DNavi</t>
  </si>
  <si>
    <t>EMI.ktCO2.DK.Tr.Dnavi.DCS</t>
  </si>
  <si>
    <t>EMI.ktCO2.DK.Tr.Dnavi.IWW</t>
  </si>
  <si>
    <t>Domestic navigation - DK - Denmark</t>
  </si>
  <si>
    <t>VehicleKm.Mkm.DK.Tr.DNavi.Freight</t>
  </si>
  <si>
    <t>VehicleKm.Mkm.DK.Tr.DNavi.Freight.DCS</t>
  </si>
  <si>
    <t>VehicleKm.Mkm.DK.Tr.DNavi.Freight.IWW</t>
  </si>
  <si>
    <t>Load.t_per_movement.DK.Tr.DNavi.Freight</t>
  </si>
  <si>
    <t>Load.t_per_movement.DK.Tr.DNavi.Freight.DCS</t>
  </si>
  <si>
    <t>Load.t_per_movement.DK.Tr.DNavi.Freight.IWW</t>
  </si>
  <si>
    <t>Domestic navigation / energy consumption - DK - Denmark</t>
  </si>
  <si>
    <t>FEC.ktoe.DK.ES.Tr.DNavi</t>
  </si>
  <si>
    <t>FEC.ktoe.DK.ES.Tr.DNavi.DCS</t>
  </si>
  <si>
    <t>FEC.ktoe.DK.ES.Tr.DNavi.DCS.Diesel</t>
  </si>
  <si>
    <t>FEC.ktoe.DK.ES.Tr.DNavi.DCS.RFO_Other</t>
  </si>
  <si>
    <t>FEC.ktoe.DK.ES.Tr.DNavi.DCS.LiqBio</t>
  </si>
  <si>
    <t>FEC.ktoe.DK.ES.Tr.DNavi.DCS.NG</t>
  </si>
  <si>
    <t>FEC.ktoe.DK.ES.Tr.DNavi.DCS.Biogas</t>
  </si>
  <si>
    <t>FEC.ktoe.DK.ES.Tr.DNavi.IWW</t>
  </si>
  <si>
    <t>FEC.ktoe.DK.ES.Tr.DNavi.IWW.Diesel</t>
  </si>
  <si>
    <t>FEC.ktoe.DK.ES.Tr.DNavi.IWW.RFO_Other</t>
  </si>
  <si>
    <t>FEC.ktoe.DK.ES.Tr.DNavi.IWW.LiqBio</t>
  </si>
  <si>
    <t>FEC.ktoe.DK.ES.Tr.DNavi.IWW.NG</t>
  </si>
  <si>
    <t>FEC.ktoe.DK.ES.Tr.DNavi.IWW.Biogas</t>
  </si>
  <si>
    <t>Eff.kgoe_per_100km.DK.Tr.DNavi.Freight</t>
  </si>
  <si>
    <t>Eff.kgoe_per_100km.DK.Tr.DNavi.Freight.DCS</t>
  </si>
  <si>
    <t>Eff.kgoe_per_100km.DK.Tr.DNavi.Freight.IWW</t>
  </si>
  <si>
    <t>Domestic navigation / CO2 emissions - DK - Denmark</t>
  </si>
  <si>
    <t>EMI.ktCO2.DK.ES.Tr.DNavi</t>
  </si>
  <si>
    <t>EMI.ktCO2.DK.ES.Tr.DNavi.DCS</t>
  </si>
  <si>
    <t>EMI.ktCO2.DK.ES.Tr.DNavi.IWW</t>
  </si>
  <si>
    <t>EMIint.gCO2_per_km.DK.Tr.DNavi.Freight</t>
  </si>
  <si>
    <t>EMIint.gCO2_per_km.DK.Tr.DNavi.Freight.DCS</t>
  </si>
  <si>
    <t>EMIint.gCO2_per_km.DK.Tr.DNavi.Freight.IWW</t>
  </si>
  <si>
    <t>Rail, metro and tram - DK - Denmark</t>
  </si>
  <si>
    <t>Activity.Mpkm.DK.Tr.Rail.Passenger.CPT.Diesel</t>
  </si>
  <si>
    <t>Activity.Mpkm.DK.Tr.Rail.Passenger.CPT.Elc</t>
  </si>
  <si>
    <t>Activity.Mtkm.DK.Tr.Rail.Freight.Diesel</t>
  </si>
  <si>
    <t>Activity.Mtkm.DK.Tr.Rail.Freight.Elc</t>
  </si>
  <si>
    <t>VehicleKm.Mkm.DK.Tr.Rail</t>
  </si>
  <si>
    <t>VehicleKm.Mkm.DK.Tr.Rail.Passenger</t>
  </si>
  <si>
    <t>VehicleKm.Mkm.DK.Tr.Rail.Passenger.MTU</t>
  </si>
  <si>
    <t>VehicleKm.Mkm.DK.Tr.Rail.Passenger.CPT</t>
  </si>
  <si>
    <t>VehicleKm.Mkm.DK.Tr.Rail.Passenger.CPT.Diesel</t>
  </si>
  <si>
    <t>VehicleKm.Mkm.DK.Tr.Rail.Passenger.CPT.Elc</t>
  </si>
  <si>
    <t>VehicleKm.Mkm.DK.Tr.Rail.Passenger.HST</t>
  </si>
  <si>
    <t>VehicleKm.Mkm.DK.Tr.Rail.Freight</t>
  </si>
  <si>
    <t>VehicleKm.Mkm.DK.Tr.Rail.Freight.Diesel</t>
  </si>
  <si>
    <t>VehicleKm.Mkm.DK.Tr.Rail.Freight.Elc</t>
  </si>
  <si>
    <t>Stock.number.DK.Tr.Rail</t>
  </si>
  <si>
    <t>Stock.number.DK.Tr.Rail.Passenger</t>
  </si>
  <si>
    <t>Stock.number.DK.Tr.Rail.Passenger.MTU</t>
  </si>
  <si>
    <t>Stock.number.DK.Tr.Rail.Passenger.CPT</t>
  </si>
  <si>
    <t>Stock.number.DK.Tr.Rail.Passenger.CPT.Diesel</t>
  </si>
  <si>
    <t>Stock.number.DK.Tr.Rail.Passenger.CPT.Elc</t>
  </si>
  <si>
    <t>Stock.number.DK.Tr.Rail.Passenger.HST</t>
  </si>
  <si>
    <t>Stock.number.DK.Tr.Rail.Freight</t>
  </si>
  <si>
    <t>Stock.number.DK.Tr.Rail.Freight.Diesel</t>
  </si>
  <si>
    <t>Stock.number.DK.Tr.Rail.Freight.Elc</t>
  </si>
  <si>
    <t>StockNew.number.DK.Tr.Rail</t>
  </si>
  <si>
    <t>StockNew.number.DK.Tr.Rail.Passenger</t>
  </si>
  <si>
    <t>StockNew.number.DK.Tr.Rail.Passenger.MTU</t>
  </si>
  <si>
    <t>StockNew.number.DK.Tr.Rail.Passenger.CPT</t>
  </si>
  <si>
    <t>StockNew.number.DK.Tr.Rail.Passenger.CPT.Diesel</t>
  </si>
  <si>
    <t>StockNew.number.DK.Tr.Rail.Passenger.CPT.Elc</t>
  </si>
  <si>
    <t>StockNew.number.DK.Tr.Rail.Passenger.HST</t>
  </si>
  <si>
    <t>StockNew.number.DK.Tr.Rail.Freight</t>
  </si>
  <si>
    <t>StockNew.number.DK.Tr.Rail.Freight.Diesel</t>
  </si>
  <si>
    <t>StockNew.number.DK.Tr.Rail.Freight.Elc</t>
  </si>
  <si>
    <t>Load.passenger_per_movement.DK.Tr.Rail.Passenger</t>
  </si>
  <si>
    <t>Load.passenger_per_movement.DK.Tr.Rail.Passenger.MTU</t>
  </si>
  <si>
    <t>Load.passenger_per_movement.DK.Tr.Rail.Passenger.CPT</t>
  </si>
  <si>
    <t>Load.passenger_per_movement.DK.Tr.Rail.Passenger.CPT.Diesel</t>
  </si>
  <si>
    <t>Load.passenger_per_movement.DK.Tr.Rail.Passenger.CPT.Elc</t>
  </si>
  <si>
    <t>Load.passenger_per_movement.DK.Tr.Rail.Passenger.HST</t>
  </si>
  <si>
    <t>Load.t_per_movement.DK.Tr.Rail.Freight</t>
  </si>
  <si>
    <t>Load.t_per_movement.DK.Tr.Rail.Freight.Diesel</t>
  </si>
  <si>
    <t>Load.t_per_movement.DK.Tr.Rail.Freight.Elc</t>
  </si>
  <si>
    <t>TrCap.seats.DK.Tr.Rail.Passenger</t>
  </si>
  <si>
    <t>TrCap.seats.DK.Tr.Rail.Passenger.MTU</t>
  </si>
  <si>
    <t>TrCap.seats.DK.Tr.Rail.Passenger.CPT</t>
  </si>
  <si>
    <t>TrCap.seats.DK.Tr.Rail.Passenger.CPT.Diesel</t>
  </si>
  <si>
    <t>TrCap.seats.DK.Tr.Rail.Passenger.CPT.Elc</t>
  </si>
  <si>
    <t>TrCap.seats.DK.Tr.Rail.Passenger.HST</t>
  </si>
  <si>
    <t>TrCap.t.DK.Tr.Rail.Freight</t>
  </si>
  <si>
    <t>TrCap.t.DK.Tr.Rail.Freight.Diesel</t>
  </si>
  <si>
    <t>TrCap.t.DK.Tr.Rail.Freight.Elc</t>
  </si>
  <si>
    <t>VehicleKm_per_vehicle.km.DK.Tr.Rail</t>
  </si>
  <si>
    <t>VehicleKm_per_vehicle.km.DK.Tr.Rail.Passenger</t>
  </si>
  <si>
    <t>VehicleKm_per_vehicle.km.DK.Tr.Rail.Passenger.MTU</t>
  </si>
  <si>
    <t>VehicleKm_per_vehicle.km.DK.Tr.Rail.Passenger.CPT</t>
  </si>
  <si>
    <t>VehicleKm_per_vehicle.km.DK.Tr.Rail.Passenger.CPT.Diesel</t>
  </si>
  <si>
    <t>VehicleKm_per_vehicle.km.DK.Tr.Rail.Passenger.CPT.Elc</t>
  </si>
  <si>
    <t>VehicleKm_per_vehicle.km.DK.Tr.Rail.Passenger.HST</t>
  </si>
  <si>
    <t>VehicleKm_per_vehicle.km.DK.Tr.Rail.Freight</t>
  </si>
  <si>
    <t>VehicleKm_per_vehicle.km.DK.Tr.Rail.Freight.Diesel</t>
  </si>
  <si>
    <t>VehicleKm_per_vehicle.km.DK.Tr.Rail.Freight.Elc</t>
  </si>
  <si>
    <t>Activity_per_vehicle.pkm.DK.Tr.Rail.Passenger</t>
  </si>
  <si>
    <t>Activity_per_vehicle.pkm.DK.Tr.Rail.Passenger.MTU</t>
  </si>
  <si>
    <t>Activity_per_vehicle.pkm.DK.Tr.Rail.Passenger.CPT</t>
  </si>
  <si>
    <t>Activity_per_vehicle.pkm.DK.Tr.Rail.Passenger.CPT.Diesel</t>
  </si>
  <si>
    <t>Activity_per_vehicle.pkm.DK.Tr.Rail.Passenger.CPT.Elc</t>
  </si>
  <si>
    <t>Activity_per_vehicle.pkm.DK.Tr.Rail.Passenger.HST</t>
  </si>
  <si>
    <t>Activity_per_vehicle.tkm.DK.Tr.Rail.Freight</t>
  </si>
  <si>
    <t>Activity_per_vehicle.tkm.DK.Tr.Rail.Freight.Diesel</t>
  </si>
  <si>
    <t>Activity_per_vehicle.tkm.DK.Tr.Rail.Freight.Elc</t>
  </si>
  <si>
    <t>Rail, metro and tram / energy consumption - DK - Denmark</t>
  </si>
  <si>
    <t>FEC.ktoe.DK.ES.Tr.Rail</t>
  </si>
  <si>
    <t>FEC.ktoe.DK.ES.Tr.Rail.Diesel</t>
  </si>
  <si>
    <t>FEC.ktoe.DK.ES.Tr.Rail.LiqBio</t>
  </si>
  <si>
    <t>FEC.ktoe.DK.ES.Tr.Rail.Elec</t>
  </si>
  <si>
    <t>FEC.ktoe.DK.Tr.Rail</t>
  </si>
  <si>
    <t>FEC.ktoe.DK.Tr.Rail.Passenger.CPT.Diesel</t>
  </si>
  <si>
    <t>FEC.ktoe.DK.Tr.Rail.Passenger.CPT.Elc</t>
  </si>
  <si>
    <t>FEC.ktoe.DK.Tr.Rail.Freight.Diesel</t>
  </si>
  <si>
    <t>FEC.ktoe.DK.Tr.Rail.Freight.Elc</t>
  </si>
  <si>
    <t>Eff.kgoe_per_100km.DK.Tr.Rail</t>
  </si>
  <si>
    <t>Eff.kgoe_per_100km.DK.Tr.Rail.Passenger</t>
  </si>
  <si>
    <t>Eff.kgoe_per_100km.DK.Tr.Rail.Passenger.MTU</t>
  </si>
  <si>
    <t>Eff.kgoe_per_100km.DK.Tr.Rail.Passenger.CPT</t>
  </si>
  <si>
    <t>Eff.kgoe_per_100km.DK.Tr.Rail.Passenger.CPT.Diesel</t>
  </si>
  <si>
    <t>Eff.kgoe_per_100km.DK.Tr.Rail.Passenger.CPT.Elc</t>
  </si>
  <si>
    <t>Eff.kgoe_per_100km.DK.Tr.Rail.Passenger.HST</t>
  </si>
  <si>
    <t>Eff.kgoe_per_100km.DK.Tr.Rail.Freight</t>
  </si>
  <si>
    <t>Eff.kgoe_per_100km.DK.Tr.Rail.Freight.Diesel</t>
  </si>
  <si>
    <t>Eff.kgoe_per_100km.DK.Tr.Rail.Freight.Elc</t>
  </si>
  <si>
    <t>Eff.kgoe_per_kpkm.DK.Tr.Rail.Passenger.CPT.Diesel</t>
  </si>
  <si>
    <t>Eff.kgoe_per_kpkm.DK.Tr.Rail.Passenger.CPT.Elc</t>
  </si>
  <si>
    <t>Eff.kgoe_per_ktkm.DK.Tr.Rail.Freight.Diesel</t>
  </si>
  <si>
    <t>Eff.kgoe_per_ktkm.DK.Tr.Rail.Freight.Elc</t>
  </si>
  <si>
    <t>FEC_per_vehicle.kgoe.DK.Tr.Rail</t>
  </si>
  <si>
    <t>FEC_per_vehicle.kgoe.DK.Tr.Rail.Passenger</t>
  </si>
  <si>
    <t>FEC_per_vehicle.kgoe.DK.Tr.Rail.Passenger.MTU</t>
  </si>
  <si>
    <t>FEC_per_vehicle.kgoe.DK.Tr.Rail.Passenger.CPT</t>
  </si>
  <si>
    <t>FEC_per_vehicle.kgoe.DK.Tr.Rail.Passenger.CPT.Diesel</t>
  </si>
  <si>
    <t>FEC_per_vehicle.kgoe.DK.Tr.Rail.Passenger.CPT.Elc</t>
  </si>
  <si>
    <t>FEC_per_vehicle.kgoe.DK.Tr.Rail.Passenger.HST</t>
  </si>
  <si>
    <t>FEC_per_vehicle.kgoe.DK.Tr.Rail.Freight</t>
  </si>
  <si>
    <t>FEC_per_vehicle.kgoe.DK.Tr.Rail.Freight.Diesel</t>
  </si>
  <si>
    <t>FEC_per_vehicle.kgoe.DK.Tr.Rail.Freight.Elc</t>
  </si>
  <si>
    <t>Rail, metro and tram / CO2 emissions - DK - Denmark</t>
  </si>
  <si>
    <t>EMI.ktCO2.DK.ES.Tr.Rail</t>
  </si>
  <si>
    <t>EMI.ktCO2.DK.ES.Tr.Rail.Diesel</t>
  </si>
  <si>
    <t>EMI.ktCO2.DK.ES.Tr.Rail.Elec</t>
  </si>
  <si>
    <t>EMI.ktCO2.DK.Tr.Rail</t>
  </si>
  <si>
    <t>EMI.ktCO2.DK.Tr.Rail.Passenger.CPT.Diesel</t>
  </si>
  <si>
    <t>EMI.ktCO2.DK.Tr.Rail.Passenger.CPT.Elc</t>
  </si>
  <si>
    <t>EMI.ktCO2.DK.Tr.Rail.Freight.Diesel</t>
  </si>
  <si>
    <t>EMI.ktCO2.DK.Tr.Rail.Freight.Elc</t>
  </si>
  <si>
    <t>EMIint.gCO2_per_km.DK.Tr.Rail</t>
  </si>
  <si>
    <t>EMIint.gCO2_per_km.DK.Tr.Rail.Passenger</t>
  </si>
  <si>
    <t>EMIint.gCO2_per_km.DK.Tr.Rail.Passenger.MTU</t>
  </si>
  <si>
    <t>EMIint.gCO2_per_km.DK.Tr.Rail.Passenger.CPT</t>
  </si>
  <si>
    <t>EMIint.gCO2_per_km.DK.Tr.Rail.Passenger.CPT.Diesel</t>
  </si>
  <si>
    <t>EMIint.gCO2_per_km.DK.Tr.Rail.Passenger.CPT.Elc</t>
  </si>
  <si>
    <t>EMIint.gCO2_per_km.DK.Tr.Rail.Passenger.HST</t>
  </si>
  <si>
    <t>EMIint.gCO2_per_km.DK.Tr.Rail.Freight</t>
  </si>
  <si>
    <t>EMIint.gCO2_per_km.DK.Tr.Rail.Freight.Diesel</t>
  </si>
  <si>
    <t>EMIint.gCO2_per_km.DK.Tr.Rail.Freight.Elc</t>
  </si>
  <si>
    <t>EMIint.gCO2_per_pkm.DK.Tr.Rail.Passenger.CPT.Diesel</t>
  </si>
  <si>
    <t>EMIint.gCO2_per_pkm.DK.Tr.Rail.Passenger.CPT.Elc</t>
  </si>
  <si>
    <t>EMIint.gCO2_per_tkm.DK.Tr.Rail.Freight.Diesel</t>
  </si>
  <si>
    <t>EMIint.gCO2_per_tkm.DK.Tr.Rail.Freight.Elc</t>
  </si>
  <si>
    <t>EMI_per_vehicle.tCO2.DK.Tr.Rail</t>
  </si>
  <si>
    <t>EMI_per_vehicle.tCO2.DK.Tr.Rail.Passenger</t>
  </si>
  <si>
    <t>EMI_per_vehicle.tCO2.DK.Tr.Rail.Passenger.MTU</t>
  </si>
  <si>
    <t>EMI_per_vehicle.tCO2.DK.Tr.Rail.Passenger.CPT</t>
  </si>
  <si>
    <t>EMI_per_vehicle.tCO2.DK.Tr.Rail.Passenger.CPT.Diesel</t>
  </si>
  <si>
    <t>EMI_per_vehicle.tCO2.DK.Tr.Rail.Passenger.CPT.Elc</t>
  </si>
  <si>
    <t>EMI_per_vehicle.tCO2.DK.Tr.Rail.Passenger.HST</t>
  </si>
  <si>
    <t>EMI_per_vehicle.tCO2.DK.Tr.Rail.Freight</t>
  </si>
  <si>
    <t>EMI_per_vehicle.tCO2.DK.Tr.Rail.Freight.Diesel</t>
  </si>
  <si>
    <t>EMI_per_vehicle.tCO2.DK.Tr.Rail.Freight.Elc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</si>
</sst>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45967.473587962966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81177.51708139111</v>
      </c>
      <c r="C4" s="28">
        <f t="shared" si="0"/>
        <v>80829.374351853039</v>
      </c>
      <c r="D4" s="28">
        <f t="shared" si="0"/>
        <v>80698.404080859516</v>
      </c>
      <c r="E4" s="28">
        <f t="shared" si="0"/>
        <v>80582.071836482894</v>
      </c>
      <c r="F4" s="28">
        <f t="shared" si="0"/>
        <v>83372.99223642562</v>
      </c>
      <c r="G4" s="28">
        <f t="shared" si="0"/>
        <v>83893.180826152966</v>
      </c>
      <c r="H4" s="28">
        <f t="shared" si="0"/>
        <v>84043.725461407739</v>
      </c>
      <c r="I4" s="28">
        <f t="shared" si="0"/>
        <v>84932.840023156183</v>
      </c>
      <c r="J4" s="28">
        <f t="shared" si="0"/>
        <v>85074.608865231465</v>
      </c>
      <c r="K4" s="28">
        <f t="shared" si="0"/>
        <v>84208.511984077893</v>
      </c>
      <c r="L4" s="28">
        <f t="shared" si="0"/>
        <v>86248.261179681518</v>
      </c>
      <c r="M4" s="28">
        <f t="shared" si="0"/>
        <v>87874.219567305263</v>
      </c>
      <c r="N4" s="28">
        <f t="shared" si="0"/>
        <v>88793.233854801845</v>
      </c>
      <c r="O4" s="28">
        <f t="shared" si="0"/>
        <v>90152.614054160105</v>
      </c>
      <c r="P4" s="28">
        <f t="shared" si="0"/>
        <v>93201.548308443278</v>
      </c>
      <c r="Q4" s="28">
        <f t="shared" si="0"/>
        <v>96397.548057453503</v>
      </c>
      <c r="R4" s="28">
        <f t="shared" ref="R4:V4" si="1">R5+R9+R13</f>
        <v>100790.98625267862</v>
      </c>
      <c r="S4" s="28">
        <f t="shared" si="1"/>
        <v>103002.69172263553</v>
      </c>
      <c r="T4" s="28">
        <f t="shared" si="1"/>
        <v>105556.17949521798</v>
      </c>
      <c r="U4" s="28">
        <f t="shared" si="1"/>
        <v>106720.99895849012</v>
      </c>
      <c r="V4" s="28">
        <f t="shared" si="1"/>
        <v>74268.059528328187</v>
      </c>
      <c r="W4" s="28">
        <f t="shared" ref="W4:Y4" si="2">W5+W9+W13</f>
        <v>78808.627424966238</v>
      </c>
      <c r="X4" s="28">
        <f t="shared" si="2"/>
        <v>98272.890942247759</v>
      </c>
      <c r="Y4" s="28">
        <f t="shared" si="2"/>
        <v>105063.04810578603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58651.062706545621</v>
      </c>
      <c r="C5" s="137">
        <f t="shared" si="3"/>
        <v>57538.673938765714</v>
      </c>
      <c r="D5" s="137">
        <f t="shared" si="3"/>
        <v>57358.878439561966</v>
      </c>
      <c r="E5" s="137">
        <f t="shared" si="3"/>
        <v>57583.2164668306</v>
      </c>
      <c r="F5" s="137">
        <f t="shared" si="3"/>
        <v>58472.64630201563</v>
      </c>
      <c r="G5" s="137">
        <f t="shared" si="3"/>
        <v>57558.849513423927</v>
      </c>
      <c r="H5" s="137">
        <f t="shared" si="3"/>
        <v>57367.74426072889</v>
      </c>
      <c r="I5" s="137">
        <f t="shared" si="3"/>
        <v>58290.090034796391</v>
      </c>
      <c r="J5" s="137">
        <f t="shared" si="3"/>
        <v>58910.46479061657</v>
      </c>
      <c r="K5" s="137">
        <f t="shared" si="3"/>
        <v>59316.377606143418</v>
      </c>
      <c r="L5" s="137">
        <f t="shared" si="3"/>
        <v>59198.811995750977</v>
      </c>
      <c r="M5" s="137">
        <f t="shared" si="3"/>
        <v>60311.669321103225</v>
      </c>
      <c r="N5" s="137">
        <f t="shared" si="3"/>
        <v>59813.953548350539</v>
      </c>
      <c r="O5" s="137">
        <f t="shared" si="3"/>
        <v>60061.823698539723</v>
      </c>
      <c r="P5" s="137">
        <f t="shared" si="3"/>
        <v>61666.587750154693</v>
      </c>
      <c r="Q5" s="137">
        <f t="shared" si="3"/>
        <v>64412.810214905207</v>
      </c>
      <c r="R5" s="137">
        <f t="shared" ref="R5:V5" si="4">R6+R7+R8</f>
        <v>66821.707315306645</v>
      </c>
      <c r="S5" s="137">
        <f t="shared" si="4"/>
        <v>68014.26693266767</v>
      </c>
      <c r="T5" s="137">
        <f t="shared" si="4"/>
        <v>68955.482530725712</v>
      </c>
      <c r="U5" s="137">
        <f t="shared" si="4"/>
        <v>70318.307906861024</v>
      </c>
      <c r="V5" s="137">
        <f t="shared" si="4"/>
        <v>62954.128283826773</v>
      </c>
      <c r="W5" s="137">
        <f t="shared" ref="W5:Y5" si="5">W6+W7+W8</f>
        <v>65373.248742507552</v>
      </c>
      <c r="X5" s="137">
        <f t="shared" si="5"/>
        <v>69521.960360778787</v>
      </c>
      <c r="Y5" s="137">
        <f t="shared" si="5"/>
        <v>70746.382296143682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618.06270654561922</v>
      </c>
      <c r="C6" s="102">
        <f>TrRoad_act!C$5</f>
        <v>586.67393876571509</v>
      </c>
      <c r="D6" s="102">
        <f>TrRoad_act!D$5</f>
        <v>609.87843956196934</v>
      </c>
      <c r="E6" s="102">
        <f>TrRoad_act!E$5</f>
        <v>616.21646683060283</v>
      </c>
      <c r="F6" s="102">
        <f>TrRoad_act!F$5</f>
        <v>615.64630201562716</v>
      </c>
      <c r="G6" s="102">
        <f>TrRoad_act!G$5</f>
        <v>631.84951342392662</v>
      </c>
      <c r="H6" s="102">
        <f>TrRoad_act!H$5</f>
        <v>665.7442607288873</v>
      </c>
      <c r="I6" s="102">
        <f>TrRoad_act!I$5</f>
        <v>712.09003479639273</v>
      </c>
      <c r="J6" s="102">
        <f>TrRoad_act!J$5</f>
        <v>712.46479061656851</v>
      </c>
      <c r="K6" s="102">
        <f>TrRoad_act!K$5</f>
        <v>686.37760614342051</v>
      </c>
      <c r="L6" s="102">
        <f>TrRoad_act!L$5</f>
        <v>686.81199575097514</v>
      </c>
      <c r="M6" s="102">
        <f>TrRoad_act!M$5</f>
        <v>681.66932110322568</v>
      </c>
      <c r="N6" s="102">
        <f>TrRoad_act!N$5</f>
        <v>682.95354835054638</v>
      </c>
      <c r="O6" s="102">
        <f>TrRoad_act!O$5</f>
        <v>691.82369853973341</v>
      </c>
      <c r="P6" s="102">
        <f>TrRoad_act!P$5</f>
        <v>706.58775015468927</v>
      </c>
      <c r="Q6" s="102">
        <f>TrRoad_act!Q$5</f>
        <v>713.81021490519925</v>
      </c>
      <c r="R6" s="102">
        <f>TrRoad_act!R$5</f>
        <v>711.70731530665466</v>
      </c>
      <c r="S6" s="102">
        <f>TrRoad_act!S$5</f>
        <v>668.26693266766108</v>
      </c>
      <c r="T6" s="102">
        <f>TrRoad_act!T$5</f>
        <v>634.48253072571617</v>
      </c>
      <c r="U6" s="102">
        <f>TrRoad_act!U$5</f>
        <v>665.3079068610208</v>
      </c>
      <c r="V6" s="102">
        <f>TrRoad_act!V$5</f>
        <v>593.12828382677606</v>
      </c>
      <c r="W6" s="102">
        <f>TrRoad_act!W$5</f>
        <v>613.24874250755204</v>
      </c>
      <c r="X6" s="102">
        <f>TrRoad_act!X$5</f>
        <v>614.96036077878864</v>
      </c>
      <c r="Y6" s="102">
        <f>TrRoad_act!Y$5</f>
        <v>658.38229614367913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50615</v>
      </c>
      <c r="C7" s="102">
        <f>TrRoad_act!C$6</f>
        <v>49620</v>
      </c>
      <c r="D7" s="102">
        <f>TrRoad_act!D$6</f>
        <v>49454</v>
      </c>
      <c r="E7" s="102">
        <f>TrRoad_act!E$6</f>
        <v>49695</v>
      </c>
      <c r="F7" s="102">
        <f>TrRoad_act!F$6</f>
        <v>50557</v>
      </c>
      <c r="G7" s="102">
        <f>TrRoad_act!G$6</f>
        <v>49758</v>
      </c>
      <c r="H7" s="102">
        <f>TrRoad_act!H$6</f>
        <v>49648</v>
      </c>
      <c r="I7" s="102">
        <f>TrRoad_act!I$6</f>
        <v>50733</v>
      </c>
      <c r="J7" s="102">
        <f>TrRoad_act!J$6</f>
        <v>51459</v>
      </c>
      <c r="K7" s="102">
        <f>TrRoad_act!K$6</f>
        <v>51884</v>
      </c>
      <c r="L7" s="102">
        <f>TrRoad_act!L$6</f>
        <v>51691</v>
      </c>
      <c r="M7" s="102">
        <f>TrRoad_act!M$6</f>
        <v>52957</v>
      </c>
      <c r="N7" s="102">
        <f>TrRoad_act!N$6</f>
        <v>52664.999999999993</v>
      </c>
      <c r="O7" s="102">
        <f>TrRoad_act!O$6</f>
        <v>52903.999999999993</v>
      </c>
      <c r="P7" s="102">
        <f>TrRoad_act!P$6</f>
        <v>54402.000000000007</v>
      </c>
      <c r="Q7" s="102">
        <f>TrRoad_act!Q$6</f>
        <v>56844.000000000007</v>
      </c>
      <c r="R7" s="102">
        <f>TrRoad_act!R$6</f>
        <v>59041</v>
      </c>
      <c r="S7" s="102">
        <f>TrRoad_act!S$6</f>
        <v>60046</v>
      </c>
      <c r="T7" s="102">
        <f>TrRoad_act!T$6</f>
        <v>61213</v>
      </c>
      <c r="U7" s="102">
        <f>TrRoad_act!U$6</f>
        <v>62724</v>
      </c>
      <c r="V7" s="102">
        <f>TrRoad_act!V$6</f>
        <v>57814</v>
      </c>
      <c r="W7" s="102">
        <f>TrRoad_act!W$6</f>
        <v>59926</v>
      </c>
      <c r="X7" s="102">
        <f>TrRoad_act!X$6</f>
        <v>60712</v>
      </c>
      <c r="Y7" s="102">
        <f>TrRoad_act!Y$6</f>
        <v>62262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7418</v>
      </c>
      <c r="C8" s="102">
        <f>TrRoad_act!C$13</f>
        <v>7332</v>
      </c>
      <c r="D8" s="102">
        <f>TrRoad_act!D$13</f>
        <v>7295</v>
      </c>
      <c r="E8" s="102">
        <f>TrRoad_act!E$13</f>
        <v>7272</v>
      </c>
      <c r="F8" s="102">
        <f>TrRoad_act!F$13</f>
        <v>7300</v>
      </c>
      <c r="G8" s="102">
        <f>TrRoad_act!G$13</f>
        <v>7169</v>
      </c>
      <c r="H8" s="102">
        <f>TrRoad_act!H$13</f>
        <v>7054</v>
      </c>
      <c r="I8" s="102">
        <f>TrRoad_act!I$13</f>
        <v>6845</v>
      </c>
      <c r="J8" s="102">
        <f>TrRoad_act!J$13</f>
        <v>6739</v>
      </c>
      <c r="K8" s="102">
        <f>TrRoad_act!K$13</f>
        <v>6746.0000000000009</v>
      </c>
      <c r="L8" s="102">
        <f>TrRoad_act!L$13</f>
        <v>6821</v>
      </c>
      <c r="M8" s="102">
        <f>TrRoad_act!M$13</f>
        <v>6673</v>
      </c>
      <c r="N8" s="102">
        <f>TrRoad_act!N$13</f>
        <v>6466</v>
      </c>
      <c r="O8" s="102">
        <f>TrRoad_act!O$13</f>
        <v>6466</v>
      </c>
      <c r="P8" s="102">
        <f>TrRoad_act!P$13</f>
        <v>6558</v>
      </c>
      <c r="Q8" s="102">
        <f>TrRoad_act!Q$13</f>
        <v>6854.9999999999991</v>
      </c>
      <c r="R8" s="102">
        <f>TrRoad_act!R$13</f>
        <v>7069</v>
      </c>
      <c r="S8" s="102">
        <f>TrRoad_act!S$13</f>
        <v>7300</v>
      </c>
      <c r="T8" s="102">
        <f>TrRoad_act!T$13</f>
        <v>7107.9999999999991</v>
      </c>
      <c r="U8" s="102">
        <f>TrRoad_act!U$13</f>
        <v>6929</v>
      </c>
      <c r="V8" s="102">
        <f>TrRoad_act!V$13</f>
        <v>4547</v>
      </c>
      <c r="W8" s="102">
        <f>TrRoad_act!W$13</f>
        <v>4833.9999999999991</v>
      </c>
      <c r="X8" s="102">
        <f>TrRoad_act!X$13</f>
        <v>8195</v>
      </c>
      <c r="Y8" s="102">
        <f>TrRoad_act!Y$13</f>
        <v>7826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5537</v>
      </c>
      <c r="C9" s="110">
        <f t="shared" si="6"/>
        <v>5721</v>
      </c>
      <c r="D9" s="110">
        <f t="shared" si="6"/>
        <v>5754</v>
      </c>
      <c r="E9" s="110">
        <f t="shared" si="6"/>
        <v>5893</v>
      </c>
      <c r="F9" s="110">
        <f t="shared" si="6"/>
        <v>6074</v>
      </c>
      <c r="G9" s="110">
        <f t="shared" si="6"/>
        <v>6136</v>
      </c>
      <c r="H9" s="110">
        <f t="shared" si="6"/>
        <v>6274</v>
      </c>
      <c r="I9" s="110">
        <f t="shared" si="6"/>
        <v>6353</v>
      </c>
      <c r="J9" s="110">
        <f t="shared" si="6"/>
        <v>6475</v>
      </c>
      <c r="K9" s="110">
        <f t="shared" si="6"/>
        <v>6367</v>
      </c>
      <c r="L9" s="110">
        <f t="shared" si="6"/>
        <v>6577</v>
      </c>
      <c r="M9" s="110">
        <f t="shared" si="6"/>
        <v>6643</v>
      </c>
      <c r="N9" s="110">
        <f t="shared" si="6"/>
        <v>6791</v>
      </c>
      <c r="O9" s="110">
        <f t="shared" si="6"/>
        <v>6835</v>
      </c>
      <c r="P9" s="110">
        <f t="shared" si="6"/>
        <v>6808</v>
      </c>
      <c r="Q9" s="110">
        <f t="shared" si="6"/>
        <v>6809</v>
      </c>
      <c r="R9" s="110">
        <f t="shared" ref="R9:V9" si="7">R10+R11+R12</f>
        <v>6653</v>
      </c>
      <c r="S9" s="110">
        <f t="shared" si="7"/>
        <v>6621</v>
      </c>
      <c r="T9" s="110">
        <f t="shared" si="7"/>
        <v>6534</v>
      </c>
      <c r="U9" s="110">
        <f t="shared" si="7"/>
        <v>6574</v>
      </c>
      <c r="V9" s="110">
        <f t="shared" si="7"/>
        <v>4229</v>
      </c>
      <c r="W9" s="110">
        <f t="shared" ref="W9:Y9" si="8">W10+W11+W12</f>
        <v>4512</v>
      </c>
      <c r="X9" s="110">
        <f t="shared" si="8"/>
        <v>6304</v>
      </c>
      <c r="Y9" s="110">
        <f t="shared" si="8"/>
        <v>6570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9</v>
      </c>
      <c r="E10" s="102">
        <f>TrRail_act!E$5</f>
        <v>67</v>
      </c>
      <c r="F10" s="102">
        <f>TrRail_act!F$5</f>
        <v>128</v>
      </c>
      <c r="G10" s="102">
        <f>TrRail_act!G$5</f>
        <v>162</v>
      </c>
      <c r="H10" s="102">
        <f>TrRail_act!H$5</f>
        <v>164</v>
      </c>
      <c r="I10" s="102">
        <f>TrRail_act!I$5</f>
        <v>177</v>
      </c>
      <c r="J10" s="102">
        <f>TrRail_act!J$5</f>
        <v>195</v>
      </c>
      <c r="K10" s="102">
        <f>TrRail_act!K$5</f>
        <v>215</v>
      </c>
      <c r="L10" s="102">
        <f>TrRail_act!L$5</f>
        <v>239</v>
      </c>
      <c r="M10" s="102">
        <f>TrRail_act!M$5</f>
        <v>278</v>
      </c>
      <c r="N10" s="102">
        <f>TrRail_act!N$5</f>
        <v>274</v>
      </c>
      <c r="O10" s="102">
        <f>TrRail_act!O$5</f>
        <v>284</v>
      </c>
      <c r="P10" s="102">
        <f>TrRail_act!P$5</f>
        <v>295</v>
      </c>
      <c r="Q10" s="102">
        <f>TrRail_act!Q$5</f>
        <v>302</v>
      </c>
      <c r="R10" s="102">
        <f>TrRail_act!R$5</f>
        <v>321</v>
      </c>
      <c r="S10" s="102">
        <f>TrRail_act!S$5</f>
        <v>341</v>
      </c>
      <c r="T10" s="102">
        <f>TrRail_act!T$5</f>
        <v>352</v>
      </c>
      <c r="U10" s="102">
        <f>TrRail_act!U$5</f>
        <v>400</v>
      </c>
      <c r="V10" s="102">
        <f>TrRail_act!V$5</f>
        <v>289</v>
      </c>
      <c r="W10" s="102">
        <f>TrRail_act!W$5</f>
        <v>331</v>
      </c>
      <c r="X10" s="102">
        <f>TrRail_act!X$5</f>
        <v>482</v>
      </c>
      <c r="Y10" s="102">
        <f>TrRail_act!Y$5</f>
        <v>539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5537</v>
      </c>
      <c r="C11" s="102">
        <f>TrRail_act!C$6</f>
        <v>5721</v>
      </c>
      <c r="D11" s="102">
        <f>TrRail_act!D$6</f>
        <v>5745</v>
      </c>
      <c r="E11" s="102">
        <f>TrRail_act!E$6</f>
        <v>5826</v>
      </c>
      <c r="F11" s="102">
        <f>TrRail_act!F$6</f>
        <v>5946</v>
      </c>
      <c r="G11" s="102">
        <f>TrRail_act!G$6</f>
        <v>5974</v>
      </c>
      <c r="H11" s="102">
        <f>TrRail_act!H$6</f>
        <v>6110</v>
      </c>
      <c r="I11" s="102">
        <f>TrRail_act!I$6</f>
        <v>6176</v>
      </c>
      <c r="J11" s="102">
        <f>TrRail_act!J$6</f>
        <v>6280</v>
      </c>
      <c r="K11" s="102">
        <f>TrRail_act!K$6</f>
        <v>6152</v>
      </c>
      <c r="L11" s="102">
        <f>TrRail_act!L$6</f>
        <v>6338</v>
      </c>
      <c r="M11" s="102">
        <f>TrRail_act!M$6</f>
        <v>6365</v>
      </c>
      <c r="N11" s="102">
        <f>TrRail_act!N$6</f>
        <v>6517</v>
      </c>
      <c r="O11" s="102">
        <f>TrRail_act!O$6</f>
        <v>6551</v>
      </c>
      <c r="P11" s="102">
        <f>TrRail_act!P$6</f>
        <v>6513</v>
      </c>
      <c r="Q11" s="102">
        <f>TrRail_act!Q$6</f>
        <v>6507</v>
      </c>
      <c r="R11" s="102">
        <f>TrRail_act!R$6</f>
        <v>6332</v>
      </c>
      <c r="S11" s="102">
        <f>TrRail_act!S$6</f>
        <v>6280</v>
      </c>
      <c r="T11" s="102">
        <f>TrRail_act!T$6</f>
        <v>6182</v>
      </c>
      <c r="U11" s="102">
        <f>TrRail_act!U$6</f>
        <v>6174</v>
      </c>
      <c r="V11" s="102">
        <f>TrRail_act!V$6</f>
        <v>3940</v>
      </c>
      <c r="W11" s="102">
        <f>TrRail_act!W$6</f>
        <v>4181</v>
      </c>
      <c r="X11" s="102">
        <f>TrRail_act!X$6</f>
        <v>5822</v>
      </c>
      <c r="Y11" s="102">
        <f>TrRail_act!Y$6</f>
        <v>6031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16989.454374845489</v>
      </c>
      <c r="C13" s="110">
        <f t="shared" ref="C13:V13" si="10">C14+C15+C16</f>
        <v>17569.700413087317</v>
      </c>
      <c r="D13" s="110">
        <f t="shared" si="10"/>
        <v>17585.52564129755</v>
      </c>
      <c r="E13" s="110">
        <f t="shared" si="10"/>
        <v>17105.855369652294</v>
      </c>
      <c r="F13" s="110">
        <f t="shared" si="10"/>
        <v>18826.34593440999</v>
      </c>
      <c r="G13" s="110">
        <f t="shared" si="10"/>
        <v>20198.331312729042</v>
      </c>
      <c r="H13" s="110">
        <f t="shared" si="10"/>
        <v>20401.981200678849</v>
      </c>
      <c r="I13" s="110">
        <f t="shared" si="10"/>
        <v>20289.749988359788</v>
      </c>
      <c r="J13" s="110">
        <f t="shared" si="10"/>
        <v>19689.144074614895</v>
      </c>
      <c r="K13" s="110">
        <f t="shared" si="10"/>
        <v>18525.134377934468</v>
      </c>
      <c r="L13" s="110">
        <f t="shared" si="10"/>
        <v>20472.449183930541</v>
      </c>
      <c r="M13" s="110">
        <f t="shared" si="10"/>
        <v>20919.55024620203</v>
      </c>
      <c r="N13" s="110">
        <f t="shared" si="10"/>
        <v>22188.280306451299</v>
      </c>
      <c r="O13" s="110">
        <f t="shared" si="10"/>
        <v>23255.790355620389</v>
      </c>
      <c r="P13" s="110">
        <f t="shared" si="10"/>
        <v>24726.960558288585</v>
      </c>
      <c r="Q13" s="110">
        <f t="shared" si="10"/>
        <v>25175.737842548289</v>
      </c>
      <c r="R13" s="110">
        <f t="shared" si="10"/>
        <v>27316.278937371972</v>
      </c>
      <c r="S13" s="110">
        <f t="shared" si="10"/>
        <v>28367.424789967852</v>
      </c>
      <c r="T13" s="110">
        <f t="shared" si="10"/>
        <v>30066.696964492268</v>
      </c>
      <c r="U13" s="110">
        <f t="shared" si="10"/>
        <v>29828.691051629088</v>
      </c>
      <c r="V13" s="110">
        <f t="shared" si="10"/>
        <v>7084.9312445014075</v>
      </c>
      <c r="W13" s="110">
        <f t="shared" ref="W13:Y13" si="11">W14+W15+W16</f>
        <v>8923.3786824586896</v>
      </c>
      <c r="X13" s="110">
        <f t="shared" si="11"/>
        <v>22446.930581468965</v>
      </c>
      <c r="Y13" s="110">
        <f t="shared" si="11"/>
        <v>27746.665809642349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291.40924396035859</v>
      </c>
      <c r="C14" s="102">
        <f>TrAvia_act!C$5</f>
        <v>299.46483133744471</v>
      </c>
      <c r="D14" s="102">
        <f>TrAvia_act!D$5</f>
        <v>270.63505047752295</v>
      </c>
      <c r="E14" s="102">
        <f>TrAvia_act!E$5</f>
        <v>294.26581108181898</v>
      </c>
      <c r="F14" s="102">
        <f>TrAvia_act!F$5</f>
        <v>369.96532619028915</v>
      </c>
      <c r="G14" s="102">
        <f>TrAvia_act!G$5</f>
        <v>371.63024424271703</v>
      </c>
      <c r="H14" s="102">
        <f>TrAvia_act!H$5</f>
        <v>403.57690740271437</v>
      </c>
      <c r="I14" s="102">
        <f>TrAvia_act!I$5</f>
        <v>446.8763170177379</v>
      </c>
      <c r="J14" s="102">
        <f>TrAvia_act!J$5</f>
        <v>458.44665437170937</v>
      </c>
      <c r="K14" s="102">
        <f>TrAvia_act!K$5</f>
        <v>464.32366596496422</v>
      </c>
      <c r="L14" s="102">
        <f>TrAvia_act!L$5</f>
        <v>563.06762945161995</v>
      </c>
      <c r="M14" s="102">
        <f>TrAvia_act!M$5</f>
        <v>519.51037812927518</v>
      </c>
      <c r="N14" s="102">
        <f>TrAvia_act!N$5</f>
        <v>405.46675317223634</v>
      </c>
      <c r="O14" s="102">
        <f>TrAvia_act!O$5</f>
        <v>408.17099991910067</v>
      </c>
      <c r="P14" s="102">
        <f>TrAvia_act!P$5</f>
        <v>421.85946758049505</v>
      </c>
      <c r="Q14" s="102">
        <f>TrAvia_act!Q$5</f>
        <v>412.07747383764894</v>
      </c>
      <c r="R14" s="102">
        <f>TrAvia_act!R$5</f>
        <v>437.60625055817405</v>
      </c>
      <c r="S14" s="102">
        <f>TrAvia_act!S$5</f>
        <v>422.72749352524505</v>
      </c>
      <c r="T14" s="102">
        <f>TrAvia_act!T$5</f>
        <v>418.01654063879579</v>
      </c>
      <c r="U14" s="102">
        <f>TrAvia_act!U$5</f>
        <v>393.6179448566678</v>
      </c>
      <c r="V14" s="102">
        <f>TrAvia_act!V$5</f>
        <v>165.22281994162591</v>
      </c>
      <c r="W14" s="102">
        <f>TrAvia_act!W$5</f>
        <v>230.94088502274082</v>
      </c>
      <c r="X14" s="102">
        <f>TrAvia_act!X$5</f>
        <v>335.87410720587269</v>
      </c>
      <c r="Y14" s="102">
        <f>TrAvia_act!Y$5</f>
        <v>333.52998140530303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10428.613753939248</v>
      </c>
      <c r="C15" s="102">
        <f>TrAvia_act!C$6</f>
        <v>10820.675584581006</v>
      </c>
      <c r="D15" s="102">
        <f>TrAvia_act!D$6</f>
        <v>10765.603019713159</v>
      </c>
      <c r="E15" s="102">
        <f>TrAvia_act!E$6</f>
        <v>10452.023786919061</v>
      </c>
      <c r="F15" s="102">
        <f>TrAvia_act!F$6</f>
        <v>10936.286847210575</v>
      </c>
      <c r="G15" s="102">
        <f>TrAvia_act!G$6</f>
        <v>11436.476366398303</v>
      </c>
      <c r="H15" s="102">
        <f>TrAvia_act!H$6</f>
        <v>11675.61550403912</v>
      </c>
      <c r="I15" s="102">
        <f>TrAvia_act!I$6</f>
        <v>11672.319077795621</v>
      </c>
      <c r="J15" s="102">
        <f>TrAvia_act!J$6</f>
        <v>11111.564294853693</v>
      </c>
      <c r="K15" s="102">
        <f>TrAvia_act!K$6</f>
        <v>10364.412359702885</v>
      </c>
      <c r="L15" s="102">
        <f>TrAvia_act!L$6</f>
        <v>11231.598205833068</v>
      </c>
      <c r="M15" s="102">
        <f>TrAvia_act!M$6</f>
        <v>11877.556584309154</v>
      </c>
      <c r="N15" s="102">
        <f>TrAvia_act!N$6</f>
        <v>12254.478647297001</v>
      </c>
      <c r="O15" s="102">
        <f>TrAvia_act!O$6</f>
        <v>12942.728078146189</v>
      </c>
      <c r="P15" s="102">
        <f>TrAvia_act!P$6</f>
        <v>13420.038507311709</v>
      </c>
      <c r="Q15" s="102">
        <f>TrAvia_act!Q$6</f>
        <v>13708.482523951008</v>
      </c>
      <c r="R15" s="102">
        <f>TrAvia_act!R$6</f>
        <v>15453.531350868714</v>
      </c>
      <c r="S15" s="102">
        <f>TrAvia_act!S$6</f>
        <v>16126.666717169552</v>
      </c>
      <c r="T15" s="102">
        <f>TrAvia_act!T$6</f>
        <v>16653.388016803656</v>
      </c>
      <c r="U15" s="102">
        <f>TrAvia_act!U$6</f>
        <v>16075.55594518928</v>
      </c>
      <c r="V15" s="102">
        <f>TrAvia_act!V$6</f>
        <v>3936.320687985075</v>
      </c>
      <c r="W15" s="102">
        <f>TrAvia_act!W$6</f>
        <v>5897.9890473122359</v>
      </c>
      <c r="X15" s="102">
        <f>TrAvia_act!X$6</f>
        <v>13510.739108572947</v>
      </c>
      <c r="Y15" s="102">
        <f>TrAvia_act!Y$6</f>
        <v>15765.278244468296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6269.4313769458813</v>
      </c>
      <c r="C16" s="102">
        <f>TrAvia_act!C$7</f>
        <v>6449.5599971688671</v>
      </c>
      <c r="D16" s="102">
        <f>TrAvia_act!D$7</f>
        <v>6549.28757110687</v>
      </c>
      <c r="E16" s="102">
        <f>TrAvia_act!E$7</f>
        <v>6359.5657716514161</v>
      </c>
      <c r="F16" s="102">
        <f>TrAvia_act!F$7</f>
        <v>7520.093761009126</v>
      </c>
      <c r="G16" s="102">
        <f>TrAvia_act!G$7</f>
        <v>8390.2247020880222</v>
      </c>
      <c r="H16" s="102">
        <f>TrAvia_act!H$7</f>
        <v>8322.7887892370163</v>
      </c>
      <c r="I16" s="102">
        <f>TrAvia_act!I$7</f>
        <v>8170.5545935464306</v>
      </c>
      <c r="J16" s="102">
        <f>TrAvia_act!J$7</f>
        <v>8119.1331253894905</v>
      </c>
      <c r="K16" s="102">
        <f>TrAvia_act!K$7</f>
        <v>7696.3983522666194</v>
      </c>
      <c r="L16" s="102">
        <f>TrAvia_act!L$7</f>
        <v>8677.783348645853</v>
      </c>
      <c r="M16" s="102">
        <f>TrAvia_act!M$7</f>
        <v>8522.4832837636022</v>
      </c>
      <c r="N16" s="102">
        <f>TrAvia_act!N$7</f>
        <v>9528.3349059820594</v>
      </c>
      <c r="O16" s="102">
        <f>TrAvia_act!O$7</f>
        <v>9904.891277555098</v>
      </c>
      <c r="P16" s="102">
        <f>TrAvia_act!P$7</f>
        <v>10885.062583396382</v>
      </c>
      <c r="Q16" s="102">
        <f>TrAvia_act!Q$7</f>
        <v>11055.177844759633</v>
      </c>
      <c r="R16" s="102">
        <f>TrAvia_act!R$7</f>
        <v>11425.141335945083</v>
      </c>
      <c r="S16" s="102">
        <f>TrAvia_act!S$7</f>
        <v>11818.030579273052</v>
      </c>
      <c r="T16" s="102">
        <f>TrAvia_act!T$7</f>
        <v>12995.292407049816</v>
      </c>
      <c r="U16" s="102">
        <f>TrAvia_act!U$7</f>
        <v>13359.517161583139</v>
      </c>
      <c r="V16" s="102">
        <f>TrAvia_act!V$7</f>
        <v>2983.3877365747067</v>
      </c>
      <c r="W16" s="102">
        <f>TrAvia_act!W$7</f>
        <v>2794.4487501237131</v>
      </c>
      <c r="X16" s="102">
        <f>TrAvia_act!X$7</f>
        <v>8600.3173656901454</v>
      </c>
      <c r="Y16" s="102">
        <f>TrAvia_act!Y$7</f>
        <v>11647.857583768748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19635.762581596649</v>
      </c>
      <c r="C17" s="28">
        <f t="shared" si="12"/>
        <v>20304.294708931717</v>
      </c>
      <c r="D17" s="28">
        <f t="shared" si="12"/>
        <v>20347.751380761587</v>
      </c>
      <c r="E17" s="28">
        <f t="shared" si="12"/>
        <v>20797.564724557262</v>
      </c>
      <c r="F17" s="28">
        <f t="shared" si="12"/>
        <v>21445.205825587334</v>
      </c>
      <c r="G17" s="28">
        <f t="shared" si="12"/>
        <v>22154.002878851075</v>
      </c>
      <c r="H17" s="28">
        <f t="shared" si="12"/>
        <v>23411.87347732297</v>
      </c>
      <c r="I17" s="28">
        <f t="shared" si="12"/>
        <v>24306.649059789885</v>
      </c>
      <c r="J17" s="28">
        <f t="shared" si="12"/>
        <v>25242.360483567922</v>
      </c>
      <c r="K17" s="28">
        <f t="shared" si="12"/>
        <v>22392.913024010722</v>
      </c>
      <c r="L17" s="28">
        <f t="shared" si="12"/>
        <v>23487.277022461887</v>
      </c>
      <c r="M17" s="28">
        <f t="shared" si="12"/>
        <v>24970.438226082319</v>
      </c>
      <c r="N17" s="28">
        <f t="shared" si="12"/>
        <v>24818.826864692801</v>
      </c>
      <c r="O17" s="28">
        <f t="shared" si="12"/>
        <v>25137.730068646528</v>
      </c>
      <c r="P17" s="28">
        <f t="shared" si="12"/>
        <v>25482.207112655837</v>
      </c>
      <c r="Q17" s="28">
        <f t="shared" si="12"/>
        <v>25327.03634882746</v>
      </c>
      <c r="R17" s="28">
        <f t="shared" ref="R17:V17" si="13">R18+R21+R22+R26</f>
        <v>26819.573465591595</v>
      </c>
      <c r="S17" s="28">
        <f t="shared" si="13"/>
        <v>26539.422111682816</v>
      </c>
      <c r="T17" s="28">
        <f t="shared" si="13"/>
        <v>25225.325502049367</v>
      </c>
      <c r="U17" s="28">
        <f t="shared" si="13"/>
        <v>25370.391721792352</v>
      </c>
      <c r="V17" s="28">
        <f t="shared" si="13"/>
        <v>25593.41068496873</v>
      </c>
      <c r="W17" s="28">
        <f t="shared" ref="W17:Y17" si="14">W18+W21+W22+W26</f>
        <v>25851.898276494951</v>
      </c>
      <c r="X17" s="28">
        <f t="shared" si="14"/>
        <v>26533.224769980719</v>
      </c>
      <c r="Y17" s="28">
        <f t="shared" si="14"/>
        <v>26872.06271187212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16027.026126554678</v>
      </c>
      <c r="C18" s="137">
        <f t="shared" si="15"/>
        <v>16276.608917336447</v>
      </c>
      <c r="D18" s="137">
        <f t="shared" si="15"/>
        <v>16753.24942614507</v>
      </c>
      <c r="E18" s="137">
        <f t="shared" si="15"/>
        <v>16864.702954266944</v>
      </c>
      <c r="F18" s="137">
        <f t="shared" si="15"/>
        <v>17280.838752088293</v>
      </c>
      <c r="G18" s="137">
        <f t="shared" si="15"/>
        <v>18107.01387690601</v>
      </c>
      <c r="H18" s="137">
        <f t="shared" si="15"/>
        <v>19168.962134755875</v>
      </c>
      <c r="I18" s="137">
        <f t="shared" si="15"/>
        <v>20022.430093756946</v>
      </c>
      <c r="J18" s="137">
        <f t="shared" si="15"/>
        <v>20565.447161915094</v>
      </c>
      <c r="K18" s="137">
        <f t="shared" si="15"/>
        <v>18479.750024200457</v>
      </c>
      <c r="L18" s="137">
        <f t="shared" si="15"/>
        <v>18759.735426253217</v>
      </c>
      <c r="M18" s="137">
        <f t="shared" si="15"/>
        <v>19822.462319143455</v>
      </c>
      <c r="N18" s="137">
        <f t="shared" si="15"/>
        <v>19858.478402146749</v>
      </c>
      <c r="O18" s="137">
        <f t="shared" si="15"/>
        <v>20522.358097210312</v>
      </c>
      <c r="P18" s="137">
        <f t="shared" si="15"/>
        <v>20704.454356806062</v>
      </c>
      <c r="Q18" s="137">
        <f t="shared" si="15"/>
        <v>20340.277658907999</v>
      </c>
      <c r="R18" s="137">
        <f t="shared" ref="R18:V18" si="16">R19+R20</f>
        <v>21819.325561911595</v>
      </c>
      <c r="S18" s="137">
        <f t="shared" si="16"/>
        <v>21600.216572929796</v>
      </c>
      <c r="T18" s="137">
        <f t="shared" si="16"/>
        <v>20578.258927321338</v>
      </c>
      <c r="U18" s="137">
        <f t="shared" si="16"/>
        <v>20696.309637542436</v>
      </c>
      <c r="V18" s="137">
        <f t="shared" si="16"/>
        <v>21375.542891265839</v>
      </c>
      <c r="W18" s="137">
        <f t="shared" ref="W18:Y18" si="17">W19+W20</f>
        <v>21991.89143924987</v>
      </c>
      <c r="X18" s="137">
        <f t="shared" si="17"/>
        <v>22089.841409892175</v>
      </c>
      <c r="Y18" s="137">
        <f t="shared" si="17"/>
        <v>22660.734734370923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891.89194246848967</v>
      </c>
      <c r="C19" s="102">
        <f>TrRoad_act!C$20</f>
        <v>960.18212143342384</v>
      </c>
      <c r="D19" s="102">
        <f>TrRoad_act!D$20</f>
        <v>1005.7487899215297</v>
      </c>
      <c r="E19" s="102">
        <f>TrRoad_act!E$20</f>
        <v>1086.7241556638753</v>
      </c>
      <c r="F19" s="102">
        <f>TrRoad_act!F$20</f>
        <v>1211.2084201098453</v>
      </c>
      <c r="G19" s="102">
        <f>TrRoad_act!G$20</f>
        <v>1320.5006533147575</v>
      </c>
      <c r="H19" s="102">
        <f>TrRoad_act!H$20</f>
        <v>1476.7034056146174</v>
      </c>
      <c r="I19" s="102">
        <f>TrRoad_act!I$20</f>
        <v>1634.8360727756294</v>
      </c>
      <c r="J19" s="102">
        <f>TrRoad_act!J$20</f>
        <v>1651.029082937773</v>
      </c>
      <c r="K19" s="102">
        <f>TrRoad_act!K$20</f>
        <v>1564.0017803800708</v>
      </c>
      <c r="L19" s="102">
        <f>TrRoad_act!L$20</f>
        <v>1515.9861567065977</v>
      </c>
      <c r="M19" s="102">
        <f>TrRoad_act!M$20</f>
        <v>1384.067152552989</v>
      </c>
      <c r="N19" s="102">
        <f>TrRoad_act!N$20</f>
        <v>1287.4407845205774</v>
      </c>
      <c r="O19" s="102">
        <f>TrRoad_act!O$20</f>
        <v>1225.6368940032871</v>
      </c>
      <c r="P19" s="102">
        <f>TrRoad_act!P$20</f>
        <v>1187.1885667930449</v>
      </c>
      <c r="Q19" s="102">
        <f>TrRoad_act!Q$20</f>
        <v>1211.6550329970532</v>
      </c>
      <c r="R19" s="102">
        <f>TrRoad_act!R$20</f>
        <v>1220.4624805731762</v>
      </c>
      <c r="S19" s="102">
        <f>TrRoad_act!S$20</f>
        <v>1248.1151525680741</v>
      </c>
      <c r="T19" s="102">
        <f>TrRoad_act!T$20</f>
        <v>1272.2589273213393</v>
      </c>
      <c r="U19" s="102">
        <f>TrRoad_act!U$20</f>
        <v>1235.3096375424345</v>
      </c>
      <c r="V19" s="102">
        <f>TrRoad_act!V$20</f>
        <v>1166.5428912658383</v>
      </c>
      <c r="W19" s="102">
        <f>TrRoad_act!W$20</f>
        <v>1187.8914392498687</v>
      </c>
      <c r="X19" s="102">
        <f>TrRoad_act!X$20</f>
        <v>1233.8414098921739</v>
      </c>
      <c r="Y19" s="102">
        <f>TrRoad_act!Y$20</f>
        <v>1221.7347343709239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15135.134184086188</v>
      </c>
      <c r="C20" s="102">
        <f>TrRoad_act!C$26</f>
        <v>15316.426795903024</v>
      </c>
      <c r="D20" s="102">
        <f>TrRoad_act!D$26</f>
        <v>15747.50063622354</v>
      </c>
      <c r="E20" s="102">
        <f>TrRoad_act!E$26</f>
        <v>15777.978798603068</v>
      </c>
      <c r="F20" s="102">
        <f>TrRoad_act!F$26</f>
        <v>16069.630331978449</v>
      </c>
      <c r="G20" s="102">
        <f>TrRoad_act!G$26</f>
        <v>16786.513223591253</v>
      </c>
      <c r="H20" s="102">
        <f>TrRoad_act!H$26</f>
        <v>17692.258729141256</v>
      </c>
      <c r="I20" s="102">
        <f>TrRoad_act!I$26</f>
        <v>18387.594020981316</v>
      </c>
      <c r="J20" s="102">
        <f>TrRoad_act!J$26</f>
        <v>18914.41807897732</v>
      </c>
      <c r="K20" s="102">
        <f>TrRoad_act!K$26</f>
        <v>16915.748243820388</v>
      </c>
      <c r="L20" s="102">
        <f>TrRoad_act!L$26</f>
        <v>17243.749269546621</v>
      </c>
      <c r="M20" s="102">
        <f>TrRoad_act!M$26</f>
        <v>18438.395166590464</v>
      </c>
      <c r="N20" s="102">
        <f>TrRoad_act!N$26</f>
        <v>18571.037617626171</v>
      </c>
      <c r="O20" s="102">
        <f>TrRoad_act!O$26</f>
        <v>19296.721203207024</v>
      </c>
      <c r="P20" s="102">
        <f>TrRoad_act!P$26</f>
        <v>19517.265790013018</v>
      </c>
      <c r="Q20" s="102">
        <f>TrRoad_act!Q$26</f>
        <v>19128.622625910946</v>
      </c>
      <c r="R20" s="102">
        <f>TrRoad_act!R$26</f>
        <v>20598.863081338419</v>
      </c>
      <c r="S20" s="102">
        <f>TrRoad_act!S$26</f>
        <v>20352.101420361723</v>
      </c>
      <c r="T20" s="102">
        <f>TrRoad_act!T$26</f>
        <v>19306</v>
      </c>
      <c r="U20" s="102">
        <f>TrRoad_act!U$26</f>
        <v>19461</v>
      </c>
      <c r="V20" s="102">
        <f>TrRoad_act!V$26</f>
        <v>20209</v>
      </c>
      <c r="W20" s="102">
        <f>TrRoad_act!W$26</f>
        <v>20804</v>
      </c>
      <c r="X20" s="102">
        <f>TrRoad_act!X$26</f>
        <v>20856</v>
      </c>
      <c r="Y20" s="102">
        <f>TrRoad_act!Y$26</f>
        <v>21439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2025</v>
      </c>
      <c r="C21" s="110">
        <f>TrRail_act!C$10</f>
        <v>2091</v>
      </c>
      <c r="D21" s="110">
        <f>TrRail_act!D$10</f>
        <v>1877</v>
      </c>
      <c r="E21" s="110">
        <f>TrRail_act!E$10</f>
        <v>1985</v>
      </c>
      <c r="F21" s="110">
        <f>TrRail_act!F$10</f>
        <v>2321</v>
      </c>
      <c r="G21" s="110">
        <f>TrRail_act!G$10</f>
        <v>1976</v>
      </c>
      <c r="H21" s="110">
        <f>TrRail_act!H$10</f>
        <v>1892</v>
      </c>
      <c r="I21" s="110">
        <f>TrRail_act!I$10</f>
        <v>1779</v>
      </c>
      <c r="J21" s="110">
        <f>TrRail_act!J$10</f>
        <v>1866</v>
      </c>
      <c r="K21" s="110">
        <f>TrRail_act!K$10</f>
        <v>1700</v>
      </c>
      <c r="L21" s="110">
        <f>TrRail_act!L$10</f>
        <v>2239</v>
      </c>
      <c r="M21" s="110">
        <f>TrRail_act!M$10</f>
        <v>2614</v>
      </c>
      <c r="N21" s="110">
        <f>TrRail_act!N$10</f>
        <v>2278</v>
      </c>
      <c r="O21" s="110">
        <f>TrRail_act!O$10</f>
        <v>2449</v>
      </c>
      <c r="P21" s="110">
        <f>TrRail_act!P$10</f>
        <v>2453</v>
      </c>
      <c r="Q21" s="110">
        <f>TrRail_act!Q$10</f>
        <v>2603</v>
      </c>
      <c r="R21" s="110">
        <f>TrRail_act!R$10</f>
        <v>2616</v>
      </c>
      <c r="S21" s="110">
        <f>TrRail_act!S$10</f>
        <v>2653</v>
      </c>
      <c r="T21" s="110">
        <f>TrRail_act!T$10</f>
        <v>2594</v>
      </c>
      <c r="U21" s="110">
        <f>TrRail_act!U$10</f>
        <v>2525</v>
      </c>
      <c r="V21" s="110">
        <f>TrRail_act!V$10</f>
        <v>2450</v>
      </c>
      <c r="W21" s="110">
        <f>TrRail_act!W$10</f>
        <v>1986</v>
      </c>
      <c r="X21" s="110">
        <f>TrRail_act!X$10</f>
        <v>2211</v>
      </c>
      <c r="Y21" s="110">
        <f>TrRail_act!Y$10</f>
        <v>1906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50.55845504197039</v>
      </c>
      <c r="C22" s="110">
        <f t="shared" ref="C22:V22" si="19">C23+C24+C25</f>
        <v>55.840791595269202</v>
      </c>
      <c r="D22" s="110">
        <f t="shared" si="19"/>
        <v>51.118954616515595</v>
      </c>
      <c r="E22" s="110">
        <f t="shared" si="19"/>
        <v>39.792770290318067</v>
      </c>
      <c r="F22" s="110">
        <f t="shared" si="19"/>
        <v>39.889073499041665</v>
      </c>
      <c r="G22" s="110">
        <f t="shared" si="19"/>
        <v>41.799001945066863</v>
      </c>
      <c r="H22" s="110">
        <f t="shared" si="19"/>
        <v>41.143342567093782</v>
      </c>
      <c r="I22" s="110">
        <f t="shared" si="19"/>
        <v>38.215966032936294</v>
      </c>
      <c r="J22" s="110">
        <f t="shared" si="19"/>
        <v>460.44732165282937</v>
      </c>
      <c r="K22" s="110">
        <f t="shared" si="19"/>
        <v>379.26599981026385</v>
      </c>
      <c r="L22" s="110">
        <f t="shared" si="19"/>
        <v>428.51559620866652</v>
      </c>
      <c r="M22" s="110">
        <f t="shared" si="19"/>
        <v>429.50190693886162</v>
      </c>
      <c r="N22" s="110">
        <f t="shared" si="19"/>
        <v>523.70346254605022</v>
      </c>
      <c r="O22" s="110">
        <f t="shared" si="19"/>
        <v>454.56797143621651</v>
      </c>
      <c r="P22" s="110">
        <f t="shared" si="19"/>
        <v>593.91975584977729</v>
      </c>
      <c r="Q22" s="110">
        <f t="shared" si="19"/>
        <v>545.41668991946221</v>
      </c>
      <c r="R22" s="110">
        <f t="shared" si="19"/>
        <v>492.01290367999729</v>
      </c>
      <c r="S22" s="110">
        <f t="shared" si="19"/>
        <v>549.53853875301797</v>
      </c>
      <c r="T22" s="110">
        <f t="shared" si="19"/>
        <v>441.54857472802939</v>
      </c>
      <c r="U22" s="110">
        <f t="shared" si="19"/>
        <v>512.00708424991637</v>
      </c>
      <c r="V22" s="110">
        <f t="shared" si="19"/>
        <v>298.44479370289184</v>
      </c>
      <c r="W22" s="110">
        <f t="shared" ref="W22:Y22" si="20">W23+W24+W25</f>
        <v>358.88583724508095</v>
      </c>
      <c r="X22" s="110">
        <f t="shared" si="20"/>
        <v>435.15636008854415</v>
      </c>
      <c r="Y22" s="110">
        <f t="shared" si="20"/>
        <v>537.40897750119791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0.39172459200602222</v>
      </c>
      <c r="C23" s="102">
        <f>TrAvia_act!C$9</f>
        <v>0.41211988850750952</v>
      </c>
      <c r="D23" s="102">
        <f>TrAvia_act!D$9</f>
        <v>0.38472118350507145</v>
      </c>
      <c r="E23" s="102">
        <f>TrAvia_act!E$9</f>
        <v>0.28773649391945588</v>
      </c>
      <c r="F23" s="102">
        <f>TrAvia_act!F$9</f>
        <v>0.30105333526857581</v>
      </c>
      <c r="G23" s="102">
        <f>TrAvia_act!G$9</f>
        <v>0.33328177283205751</v>
      </c>
      <c r="H23" s="102">
        <f>TrAvia_act!H$9</f>
        <v>0.33346807222946917</v>
      </c>
      <c r="I23" s="102">
        <f>TrAvia_act!I$9</f>
        <v>0.26982726842119337</v>
      </c>
      <c r="J23" s="102">
        <f>TrAvia_act!J$9</f>
        <v>0.45761920804353151</v>
      </c>
      <c r="K23" s="102">
        <f>TrAvia_act!K$9</f>
        <v>0.33392166803352347</v>
      </c>
      <c r="L23" s="102">
        <f>TrAvia_act!L$9</f>
        <v>0.12517567415118286</v>
      </c>
      <c r="M23" s="102">
        <f>TrAvia_act!M$9</f>
        <v>7.1720003837367763E-2</v>
      </c>
      <c r="N23" s="102">
        <f>TrAvia_act!N$9</f>
        <v>5.724000466779311E-2</v>
      </c>
      <c r="O23" s="102">
        <f>TrAvia_act!O$9</f>
        <v>7.1354642622729683E-2</v>
      </c>
      <c r="P23" s="102">
        <f>TrAvia_act!P$9</f>
        <v>8.6213475064983586E-2</v>
      </c>
      <c r="Q23" s="102">
        <f>TrAvia_act!Q$9</f>
        <v>8.4132225809155498E-2</v>
      </c>
      <c r="R23" s="102">
        <f>TrAvia_act!R$9</f>
        <v>2.4659845305996329E-2</v>
      </c>
      <c r="S23" s="102">
        <f>TrAvia_act!S$9</f>
        <v>4.038473683958186E-2</v>
      </c>
      <c r="T23" s="102">
        <f>TrAvia_act!T$9</f>
        <v>5.6030796460060678E-2</v>
      </c>
      <c r="U23" s="102">
        <f>TrAvia_act!U$9</f>
        <v>6.3298705579239237E-2</v>
      </c>
      <c r="V23" s="102">
        <f>TrAvia_act!V$9</f>
        <v>8.3553457984646598E-2</v>
      </c>
      <c r="W23" s="102">
        <f>TrAvia_act!W$9</f>
        <v>0.14640060168984037</v>
      </c>
      <c r="X23" s="102">
        <f>TrAvia_act!X$9</f>
        <v>0.54803122240040691</v>
      </c>
      <c r="Y23" s="102">
        <f>TrAvia_act!Y$9</f>
        <v>0.24268534315649595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42.918755327610484</v>
      </c>
      <c r="C24" s="102">
        <f>TrAvia_act!C$10</f>
        <v>46.939804497144912</v>
      </c>
      <c r="D24" s="102">
        <f>TrAvia_act!D$10</f>
        <v>41.453697620581849</v>
      </c>
      <c r="E24" s="102">
        <f>TrAvia_act!E$10</f>
        <v>30.305892743922325</v>
      </c>
      <c r="F24" s="102">
        <f>TrAvia_act!F$10</f>
        <v>30.659539171116684</v>
      </c>
      <c r="G24" s="102">
        <f>TrAvia_act!G$10</f>
        <v>35.820849975490191</v>
      </c>
      <c r="H24" s="102">
        <f>TrAvia_act!H$10</f>
        <v>37.827137789618064</v>
      </c>
      <c r="I24" s="102">
        <f>TrAvia_act!I$10</f>
        <v>34.562247485022787</v>
      </c>
      <c r="J24" s="102">
        <f>TrAvia_act!J$10</f>
        <v>73.76067077587733</v>
      </c>
      <c r="K24" s="102">
        <f>TrAvia_act!K$10</f>
        <v>52.194686888090231</v>
      </c>
      <c r="L24" s="102">
        <f>TrAvia_act!L$10</f>
        <v>37.718788366418266</v>
      </c>
      <c r="M24" s="102">
        <f>TrAvia_act!M$10</f>
        <v>37.881819895866805</v>
      </c>
      <c r="N24" s="102">
        <f>TrAvia_act!N$10</f>
        <v>36.532930386129202</v>
      </c>
      <c r="O24" s="102">
        <f>TrAvia_act!O$10</f>
        <v>30.775875196586554</v>
      </c>
      <c r="P24" s="102">
        <f>TrAvia_act!P$10</f>
        <v>50.507321496125947</v>
      </c>
      <c r="Q24" s="102">
        <f>TrAvia_act!Q$10</f>
        <v>48.769931344258794</v>
      </c>
      <c r="R24" s="102">
        <f>TrAvia_act!R$10</f>
        <v>42.208766559440441</v>
      </c>
      <c r="S24" s="102">
        <f>TrAvia_act!S$10</f>
        <v>46.401953575691991</v>
      </c>
      <c r="T24" s="102">
        <f>TrAvia_act!T$10</f>
        <v>46.71847150803746</v>
      </c>
      <c r="U24" s="102">
        <f>TrAvia_act!U$10</f>
        <v>53.776903923614661</v>
      </c>
      <c r="V24" s="102">
        <f>TrAvia_act!V$10</f>
        <v>58.060470632608272</v>
      </c>
      <c r="W24" s="102">
        <f>TrAvia_act!W$10</f>
        <v>73.215460265683234</v>
      </c>
      <c r="X24" s="102">
        <f>TrAvia_act!X$10</f>
        <v>92.585313476965197</v>
      </c>
      <c r="Y24" s="102">
        <f>TrAvia_act!Y$10</f>
        <v>88.283134737225566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7.2479751223538855</v>
      </c>
      <c r="C25" s="102">
        <f>TrAvia_act!C$11</f>
        <v>8.4888672096167763</v>
      </c>
      <c r="D25" s="102">
        <f>TrAvia_act!D$11</f>
        <v>9.2805358124286776</v>
      </c>
      <c r="E25" s="102">
        <f>TrAvia_act!E$11</f>
        <v>9.1991410524762856</v>
      </c>
      <c r="F25" s="102">
        <f>TrAvia_act!F$11</f>
        <v>8.9284809926564037</v>
      </c>
      <c r="G25" s="102">
        <f>TrAvia_act!G$11</f>
        <v>5.6448701967446109</v>
      </c>
      <c r="H25" s="102">
        <f>TrAvia_act!H$11</f>
        <v>2.9827367052462463</v>
      </c>
      <c r="I25" s="102">
        <f>TrAvia_act!I$11</f>
        <v>3.3838912794923117</v>
      </c>
      <c r="J25" s="102">
        <f>TrAvia_act!J$11</f>
        <v>386.22903166890853</v>
      </c>
      <c r="K25" s="102">
        <f>TrAvia_act!K$11</f>
        <v>326.73739125414011</v>
      </c>
      <c r="L25" s="102">
        <f>TrAvia_act!L$11</f>
        <v>390.67163216809706</v>
      </c>
      <c r="M25" s="102">
        <f>TrAvia_act!M$11</f>
        <v>391.54836703915743</v>
      </c>
      <c r="N25" s="102">
        <f>TrAvia_act!N$11</f>
        <v>487.11329215525319</v>
      </c>
      <c r="O25" s="102">
        <f>TrAvia_act!O$11</f>
        <v>423.72074159700725</v>
      </c>
      <c r="P25" s="102">
        <f>TrAvia_act!P$11</f>
        <v>543.32622087858635</v>
      </c>
      <c r="Q25" s="102">
        <f>TrAvia_act!Q$11</f>
        <v>496.56262634939424</v>
      </c>
      <c r="R25" s="102">
        <f>TrAvia_act!R$11</f>
        <v>449.77947727525088</v>
      </c>
      <c r="S25" s="102">
        <f>TrAvia_act!S$11</f>
        <v>503.09620044048643</v>
      </c>
      <c r="T25" s="102">
        <f>TrAvia_act!T$11</f>
        <v>394.77407242353189</v>
      </c>
      <c r="U25" s="102">
        <f>TrAvia_act!U$11</f>
        <v>458.16688162072251</v>
      </c>
      <c r="V25" s="102">
        <f>TrAvia_act!V$11</f>
        <v>240.30076961229889</v>
      </c>
      <c r="W25" s="102">
        <f>TrAvia_act!W$11</f>
        <v>285.52397637770787</v>
      </c>
      <c r="X25" s="102">
        <f>TrAvia_act!X$11</f>
        <v>342.02301538917857</v>
      </c>
      <c r="Y25" s="102">
        <f>TrAvia_act!Y$11</f>
        <v>448.88315742081585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1533.1780000000001</v>
      </c>
      <c r="C26" s="110">
        <f t="shared" si="21"/>
        <v>1880.845</v>
      </c>
      <c r="D26" s="110">
        <f t="shared" si="21"/>
        <v>1666.383</v>
      </c>
      <c r="E26" s="110">
        <f t="shared" si="21"/>
        <v>1908.069</v>
      </c>
      <c r="F26" s="110">
        <f t="shared" si="21"/>
        <v>1803.4780000000001</v>
      </c>
      <c r="G26" s="110">
        <f t="shared" si="21"/>
        <v>2029.19</v>
      </c>
      <c r="H26" s="110">
        <f t="shared" si="21"/>
        <v>2309.768</v>
      </c>
      <c r="I26" s="110">
        <f t="shared" si="21"/>
        <v>2467.0030000000002</v>
      </c>
      <c r="J26" s="110">
        <f t="shared" si="21"/>
        <v>2350.4659999999999</v>
      </c>
      <c r="K26" s="110">
        <f t="shared" si="21"/>
        <v>1833.8969999999999</v>
      </c>
      <c r="L26" s="110">
        <f t="shared" si="21"/>
        <v>2060.0259999999998</v>
      </c>
      <c r="M26" s="110">
        <f t="shared" si="21"/>
        <v>2104.4740000000002</v>
      </c>
      <c r="N26" s="110">
        <f t="shared" si="21"/>
        <v>2158.645</v>
      </c>
      <c r="O26" s="110">
        <f t="shared" si="21"/>
        <v>1711.8040000000001</v>
      </c>
      <c r="P26" s="110">
        <f t="shared" si="21"/>
        <v>1730.8330000000001</v>
      </c>
      <c r="Q26" s="110">
        <f t="shared" si="21"/>
        <v>1838.3420000000001</v>
      </c>
      <c r="R26" s="110">
        <f t="shared" ref="R26:V26" si="22">R27+R28</f>
        <v>1892.2349999999999</v>
      </c>
      <c r="S26" s="110">
        <f t="shared" si="22"/>
        <v>1736.6669999999999</v>
      </c>
      <c r="T26" s="110">
        <f t="shared" si="22"/>
        <v>1611.518</v>
      </c>
      <c r="U26" s="110">
        <f t="shared" si="22"/>
        <v>1637.075</v>
      </c>
      <c r="V26" s="110">
        <f t="shared" si="22"/>
        <v>1469.423</v>
      </c>
      <c r="W26" s="110">
        <f t="shared" ref="W26:Y26" si="23">W27+W28</f>
        <v>1515.1210000000001</v>
      </c>
      <c r="X26" s="110">
        <f t="shared" si="23"/>
        <v>1797.2270000000001</v>
      </c>
      <c r="Y26" s="110">
        <f t="shared" si="23"/>
        <v>1767.9190000000001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1533.1780000000001</v>
      </c>
      <c r="C27" s="102">
        <f>TrNavi_act!C4</f>
        <v>1880.845</v>
      </c>
      <c r="D27" s="102">
        <f>TrNavi_act!D4</f>
        <v>1666.383</v>
      </c>
      <c r="E27" s="102">
        <f>TrNavi_act!E4</f>
        <v>1908.069</v>
      </c>
      <c r="F27" s="102">
        <f>TrNavi_act!F4</f>
        <v>1803.4780000000001</v>
      </c>
      <c r="G27" s="102">
        <f>TrNavi_act!G4</f>
        <v>2029.19</v>
      </c>
      <c r="H27" s="102">
        <f>TrNavi_act!H4</f>
        <v>2309.768</v>
      </c>
      <c r="I27" s="102">
        <f>TrNavi_act!I4</f>
        <v>2467.0030000000002</v>
      </c>
      <c r="J27" s="102">
        <f>TrNavi_act!J4</f>
        <v>2350.4659999999999</v>
      </c>
      <c r="K27" s="102">
        <f>TrNavi_act!K4</f>
        <v>1833.8969999999999</v>
      </c>
      <c r="L27" s="102">
        <f>TrNavi_act!L4</f>
        <v>2060.0259999999998</v>
      </c>
      <c r="M27" s="102">
        <f>TrNavi_act!M4</f>
        <v>2104.4740000000002</v>
      </c>
      <c r="N27" s="102">
        <f>TrNavi_act!N4</f>
        <v>2158.645</v>
      </c>
      <c r="O27" s="102">
        <f>TrNavi_act!O4</f>
        <v>1711.8040000000001</v>
      </c>
      <c r="P27" s="102">
        <f>TrNavi_act!P4</f>
        <v>1730.8330000000001</v>
      </c>
      <c r="Q27" s="102">
        <f>TrNavi_act!Q4</f>
        <v>1838.3420000000001</v>
      </c>
      <c r="R27" s="102">
        <f>TrNavi_act!R4</f>
        <v>1892.2349999999999</v>
      </c>
      <c r="S27" s="102">
        <f>TrNavi_act!S4</f>
        <v>1736.6669999999999</v>
      </c>
      <c r="T27" s="102">
        <f>TrNavi_act!T4</f>
        <v>1611.518</v>
      </c>
      <c r="U27" s="102">
        <f>TrNavi_act!U4</f>
        <v>1637.075</v>
      </c>
      <c r="V27" s="102">
        <f>TrNavi_act!V4</f>
        <v>1469.423</v>
      </c>
      <c r="W27" s="102">
        <f>TrNavi_act!W4</f>
        <v>1515.1210000000001</v>
      </c>
      <c r="X27" s="102">
        <f>TrNavi_act!X4</f>
        <v>1797.2270000000001</v>
      </c>
      <c r="Y27" s="102">
        <f>TrNavi_act!Y4</f>
        <v>1767.9190000000001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X28" s="169">
        <f>TrNavi_act!X5</f>
        <v>0</v>
      </c>
      <c r="Y28" s="169">
        <f>TrNavi_act!Y5</f>
        <v>0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81281.350474000006</v>
      </c>
      <c r="C29" s="28">
        <f t="shared" si="24"/>
        <v>83300.365844999993</v>
      </c>
      <c r="D29" s="28">
        <f t="shared" si="24"/>
        <v>80390.999364999996</v>
      </c>
      <c r="E29" s="28">
        <f t="shared" si="24"/>
        <v>96936.547609999994</v>
      </c>
      <c r="F29" s="28">
        <f t="shared" si="24"/>
        <v>84397.889385999995</v>
      </c>
      <c r="G29" s="28">
        <f t="shared" si="24"/>
        <v>80544.611833999996</v>
      </c>
      <c r="H29" s="28">
        <f t="shared" si="24"/>
        <v>96164.465186999994</v>
      </c>
      <c r="I29" s="28">
        <f t="shared" si="24"/>
        <v>87471.137751999995</v>
      </c>
      <c r="J29" s="28">
        <f t="shared" si="24"/>
        <v>86604.176517999993</v>
      </c>
      <c r="K29" s="28">
        <f t="shared" si="24"/>
        <v>75123.024361999996</v>
      </c>
      <c r="L29" s="28">
        <f t="shared" si="24"/>
        <v>66620.831460999994</v>
      </c>
      <c r="M29" s="28">
        <f t="shared" si="24"/>
        <v>78704.202202</v>
      </c>
      <c r="N29" s="28">
        <f t="shared" si="24"/>
        <v>62277.062085999991</v>
      </c>
      <c r="O29" s="28">
        <f t="shared" si="24"/>
        <v>67340.631108999994</v>
      </c>
      <c r="P29" s="28">
        <f t="shared" si="24"/>
        <v>68401.123592999997</v>
      </c>
      <c r="Q29" s="28">
        <f t="shared" si="24"/>
        <v>89797.579859999998</v>
      </c>
      <c r="R29" s="28">
        <f t="shared" si="24"/>
        <v>90191.278399999996</v>
      </c>
      <c r="S29" s="28">
        <f t="shared" si="24"/>
        <v>86603.149244</v>
      </c>
      <c r="T29" s="28">
        <f t="shared" si="24"/>
        <v>88479.706223000001</v>
      </c>
      <c r="U29" s="28">
        <f t="shared" si="24"/>
        <v>99608.229338999998</v>
      </c>
      <c r="V29" s="28">
        <f t="shared" si="24"/>
        <v>100228.69394900001</v>
      </c>
      <c r="W29" s="28">
        <f t="shared" si="24"/>
        <v>104357.56675299999</v>
      </c>
      <c r="X29" s="28">
        <f t="shared" ref="X29:Y29" si="25">X30+X31</f>
        <v>103877.81016299999</v>
      </c>
      <c r="Y29" s="28">
        <f t="shared" si="25"/>
        <v>99893.353281999996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21870.693569999999</v>
      </c>
      <c r="C30" s="102">
        <f>MBunk_act!C$4</f>
        <v>21927.959705000001</v>
      </c>
      <c r="D30" s="102">
        <f>MBunk_act!D$4</f>
        <v>22405.536512999999</v>
      </c>
      <c r="E30" s="102">
        <f>MBunk_act!E$4</f>
        <v>23368.593140000001</v>
      </c>
      <c r="F30" s="102">
        <f>MBunk_act!F$4</f>
        <v>24548.212125999999</v>
      </c>
      <c r="G30" s="102">
        <f>MBunk_act!G$4</f>
        <v>24152.365811</v>
      </c>
      <c r="H30" s="102">
        <f>MBunk_act!H$4</f>
        <v>22890.939374999998</v>
      </c>
      <c r="I30" s="102">
        <f>MBunk_act!I$4</f>
        <v>22088.239190999997</v>
      </c>
      <c r="J30" s="102">
        <f>MBunk_act!J$4</f>
        <v>22084.949102999999</v>
      </c>
      <c r="K30" s="102">
        <f>MBunk_act!K$4</f>
        <v>19341.717707</v>
      </c>
      <c r="L30" s="102">
        <f>MBunk_act!L$4</f>
        <v>19277.737580000001</v>
      </c>
      <c r="M30" s="102">
        <f>MBunk_act!M$4</f>
        <v>18595.806786000001</v>
      </c>
      <c r="N30" s="102">
        <f>MBunk_act!N$4</f>
        <v>18788.972609</v>
      </c>
      <c r="O30" s="102">
        <f>MBunk_act!O$4</f>
        <v>22947.239063999998</v>
      </c>
      <c r="P30" s="102">
        <f>MBunk_act!P$4</f>
        <v>20381.48486</v>
      </c>
      <c r="Q30" s="102">
        <f>MBunk_act!Q$4</f>
        <v>22126.929918000002</v>
      </c>
      <c r="R30" s="102">
        <f>MBunk_act!R$4</f>
        <v>22561.898703000003</v>
      </c>
      <c r="S30" s="102">
        <f>MBunk_act!S$4</f>
        <v>22105.741355000002</v>
      </c>
      <c r="T30" s="102">
        <f>MBunk_act!T$4</f>
        <v>21146.482422000001</v>
      </c>
      <c r="U30" s="102">
        <f>MBunk_act!U$4</f>
        <v>22989.490899</v>
      </c>
      <c r="V30" s="102">
        <f>MBunk_act!V$4</f>
        <v>22606.844174999998</v>
      </c>
      <c r="W30" s="102">
        <f>MBunk_act!W$4</f>
        <v>22807.149477999999</v>
      </c>
      <c r="X30" s="102">
        <f>MBunk_act!X$4</f>
        <v>27214.009084999998</v>
      </c>
      <c r="Y30" s="102">
        <f>MBunk_act!Y$4</f>
        <v>23873.696344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59410.656904000003</v>
      </c>
      <c r="C31" s="86">
        <f>MBunk_act!C$5</f>
        <v>61372.406139999999</v>
      </c>
      <c r="D31" s="86">
        <f>MBunk_act!D$5</f>
        <v>57985.462852000004</v>
      </c>
      <c r="E31" s="86">
        <f>MBunk_act!E$5</f>
        <v>73567.954469999997</v>
      </c>
      <c r="F31" s="86">
        <f>MBunk_act!F$5</f>
        <v>59849.677259999997</v>
      </c>
      <c r="G31" s="86">
        <f>MBunk_act!G$5</f>
        <v>56392.246023</v>
      </c>
      <c r="H31" s="86">
        <f>MBunk_act!H$5</f>
        <v>73273.525811999993</v>
      </c>
      <c r="I31" s="86">
        <f>MBunk_act!I$5</f>
        <v>65382.898561000002</v>
      </c>
      <c r="J31" s="86">
        <f>MBunk_act!J$5</f>
        <v>64519.227415000001</v>
      </c>
      <c r="K31" s="86">
        <f>MBunk_act!K$5</f>
        <v>55781.306655</v>
      </c>
      <c r="L31" s="86">
        <f>MBunk_act!L$5</f>
        <v>47343.093881000001</v>
      </c>
      <c r="M31" s="86">
        <f>MBunk_act!M$5</f>
        <v>60108.395415999999</v>
      </c>
      <c r="N31" s="86">
        <f>MBunk_act!N$5</f>
        <v>43488.089476999994</v>
      </c>
      <c r="O31" s="86">
        <f>MBunk_act!O$5</f>
        <v>44393.392045000001</v>
      </c>
      <c r="P31" s="86">
        <f>MBunk_act!P$5</f>
        <v>48019.638733</v>
      </c>
      <c r="Q31" s="86">
        <f>MBunk_act!Q$5</f>
        <v>67670.649942000004</v>
      </c>
      <c r="R31" s="86">
        <f>MBunk_act!R$5</f>
        <v>67629.379696999997</v>
      </c>
      <c r="S31" s="86">
        <f>MBunk_act!S$5</f>
        <v>64497.407888999995</v>
      </c>
      <c r="T31" s="86">
        <f>MBunk_act!T$5</f>
        <v>67333.223801</v>
      </c>
      <c r="U31" s="86">
        <f>MBunk_act!U$5</f>
        <v>76618.738440000001</v>
      </c>
      <c r="V31" s="86">
        <f>MBunk_act!V$5</f>
        <v>77621.849774000002</v>
      </c>
      <c r="W31" s="86">
        <f>MBunk_act!W$5</f>
        <v>81550.417275</v>
      </c>
      <c r="X31" s="86">
        <f>MBunk_act!X$5</f>
        <v>76663.80107799999</v>
      </c>
      <c r="Y31" s="86">
        <f>MBunk_act!Y$5</f>
        <v>76019.656938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3312.2157285785515</v>
      </c>
      <c r="C34" s="28">
        <f t="shared" si="26"/>
        <v>3286.3607018721455</v>
      </c>
      <c r="D34" s="28">
        <f t="shared" si="26"/>
        <v>3202.4686638560152</v>
      </c>
      <c r="E34" s="28">
        <f t="shared" si="26"/>
        <v>3273.8096078071803</v>
      </c>
      <c r="F34" s="28">
        <f t="shared" si="26"/>
        <v>3383.6011377652135</v>
      </c>
      <c r="G34" s="28">
        <f t="shared" si="26"/>
        <v>3437.3127328514929</v>
      </c>
      <c r="H34" s="28">
        <f t="shared" si="26"/>
        <v>3468.1544534680875</v>
      </c>
      <c r="I34" s="28">
        <f t="shared" si="26"/>
        <v>3605.0484599780939</v>
      </c>
      <c r="J34" s="28">
        <f t="shared" si="26"/>
        <v>3533.0725872293988</v>
      </c>
      <c r="K34" s="28">
        <f t="shared" si="26"/>
        <v>3413.9469603925763</v>
      </c>
      <c r="L34" s="28">
        <f t="shared" si="26"/>
        <v>3442.1263455538638</v>
      </c>
      <c r="M34" s="28">
        <f t="shared" si="26"/>
        <v>3528.2090702358487</v>
      </c>
      <c r="N34" s="28">
        <f t="shared" si="26"/>
        <v>3384.7984861113564</v>
      </c>
      <c r="O34" s="28">
        <f t="shared" si="26"/>
        <v>3361.945474693684</v>
      </c>
      <c r="P34" s="28">
        <f t="shared" si="26"/>
        <v>3464.0976272150879</v>
      </c>
      <c r="Q34" s="28">
        <f t="shared" si="26"/>
        <v>3640.4846612429092</v>
      </c>
      <c r="R34" s="28">
        <f t="shared" ref="R34:V34" si="27">R35+R39+R43</f>
        <v>3696.1498049873435</v>
      </c>
      <c r="S34" s="28">
        <f t="shared" si="27"/>
        <v>3702.7962204253326</v>
      </c>
      <c r="T34" s="28">
        <f t="shared" si="27"/>
        <v>3802.7145461973032</v>
      </c>
      <c r="U34" s="28">
        <f t="shared" si="27"/>
        <v>3799.3794268822112</v>
      </c>
      <c r="V34" s="28">
        <f t="shared" si="27"/>
        <v>2856.1049660094563</v>
      </c>
      <c r="W34" s="28">
        <f t="shared" ref="W34:Y34" si="28">W35+W39+W43</f>
        <v>2994.3450617473927</v>
      </c>
      <c r="X34" s="28">
        <f t="shared" si="28"/>
        <v>3269.8720878994068</v>
      </c>
      <c r="Y34" s="28">
        <f t="shared" si="28"/>
        <v>3371.3905835072137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2399.0289441296973</v>
      </c>
      <c r="C35" s="137">
        <f t="shared" si="29"/>
        <v>2364.5171139607501</v>
      </c>
      <c r="D35" s="137">
        <f t="shared" si="29"/>
        <v>2390.5456942465394</v>
      </c>
      <c r="E35" s="137">
        <f t="shared" si="29"/>
        <v>2434.0673051691874</v>
      </c>
      <c r="F35" s="137">
        <f t="shared" si="29"/>
        <v>2447.1074333197521</v>
      </c>
      <c r="G35" s="137">
        <f t="shared" si="29"/>
        <v>2451.7372733679126</v>
      </c>
      <c r="H35" s="137">
        <f t="shared" si="29"/>
        <v>2478.906328994326</v>
      </c>
      <c r="I35" s="137">
        <f t="shared" si="29"/>
        <v>2589.2375924577318</v>
      </c>
      <c r="J35" s="137">
        <f t="shared" si="29"/>
        <v>2573.1649874799591</v>
      </c>
      <c r="K35" s="137">
        <f t="shared" si="29"/>
        <v>2545.0704381765072</v>
      </c>
      <c r="L35" s="137">
        <f t="shared" si="29"/>
        <v>2538.9022914827124</v>
      </c>
      <c r="M35" s="137">
        <f t="shared" si="29"/>
        <v>2602.6726057958826</v>
      </c>
      <c r="N35" s="137">
        <f t="shared" si="29"/>
        <v>2458.0286809922227</v>
      </c>
      <c r="O35" s="137">
        <f t="shared" si="29"/>
        <v>2438.1639307567284</v>
      </c>
      <c r="P35" s="137">
        <f t="shared" si="29"/>
        <v>2478.9084580526214</v>
      </c>
      <c r="Q35" s="137">
        <f t="shared" si="29"/>
        <v>2672.2284628355014</v>
      </c>
      <c r="R35" s="137">
        <f t="shared" ref="R35:V35" si="30">R36+R37+R38</f>
        <v>2649.0485085130554</v>
      </c>
      <c r="S35" s="137">
        <f t="shared" si="30"/>
        <v>2631.4318971765369</v>
      </c>
      <c r="T35" s="137">
        <f t="shared" si="30"/>
        <v>2681.66031851666</v>
      </c>
      <c r="U35" s="137">
        <f t="shared" si="30"/>
        <v>2658.5653256016703</v>
      </c>
      <c r="V35" s="137">
        <f t="shared" si="30"/>
        <v>2445.154275342044</v>
      </c>
      <c r="W35" s="137">
        <f t="shared" ref="W35:Y35" si="31">W36+W37+W38</f>
        <v>2491.8837255671042</v>
      </c>
      <c r="X35" s="137">
        <f t="shared" si="31"/>
        <v>2454.6647465751726</v>
      </c>
      <c r="Y35" s="137">
        <f t="shared" si="31"/>
        <v>2456.4450554386526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23.625745550162293</v>
      </c>
      <c r="C36" s="102">
        <f>TrRoad_ene!C$19</f>
        <v>22.238395253745008</v>
      </c>
      <c r="D36" s="102">
        <f>TrRoad_ene!D$19</f>
        <v>22.976844543976163</v>
      </c>
      <c r="E36" s="102">
        <f>TrRoad_ene!E$19</f>
        <v>23.072893037269871</v>
      </c>
      <c r="F36" s="102">
        <f>TrRoad_ene!F$19</f>
        <v>22.789046647820459</v>
      </c>
      <c r="G36" s="102">
        <f>TrRoad_ene!G$19</f>
        <v>22.992306113092553</v>
      </c>
      <c r="H36" s="102">
        <f>TrRoad_ene!H$19</f>
        <v>23.82506189744835</v>
      </c>
      <c r="I36" s="102">
        <f>TrRoad_ene!I$19</f>
        <v>25.065906363421121</v>
      </c>
      <c r="J36" s="102">
        <f>TrRoad_ene!J$19</f>
        <v>24.986014899481543</v>
      </c>
      <c r="K36" s="102">
        <f>TrRoad_ene!K$19</f>
        <v>23.991170161490363</v>
      </c>
      <c r="L36" s="102">
        <f>TrRoad_ene!L$19</f>
        <v>23.748609076430636</v>
      </c>
      <c r="M36" s="102">
        <f>TrRoad_ene!M$19</f>
        <v>23.216095974035628</v>
      </c>
      <c r="N36" s="102">
        <f>TrRoad_ene!N$19</f>
        <v>23.331274443484279</v>
      </c>
      <c r="O36" s="102">
        <f>TrRoad_ene!O$19</f>
        <v>23.404589845431971</v>
      </c>
      <c r="P36" s="102">
        <f>TrRoad_ene!P$19</f>
        <v>23.733487886300608</v>
      </c>
      <c r="Q36" s="102">
        <f>TrRoad_ene!Q$19</f>
        <v>23.771873402270746</v>
      </c>
      <c r="R36" s="102">
        <f>TrRoad_ene!R$19</f>
        <v>23.588974166068315</v>
      </c>
      <c r="S36" s="102">
        <f>TrRoad_ene!S$19</f>
        <v>22.219505312071728</v>
      </c>
      <c r="T36" s="102">
        <f>TrRoad_ene!T$19</f>
        <v>20.939489426812141</v>
      </c>
      <c r="U36" s="102">
        <f>TrRoad_ene!U$19</f>
        <v>21.700389283418854</v>
      </c>
      <c r="V36" s="102">
        <f>TrRoad_ene!V$19</f>
        <v>19.219927383613843</v>
      </c>
      <c r="W36" s="102">
        <f>TrRoad_ene!W$19</f>
        <v>19.712027747425559</v>
      </c>
      <c r="X36" s="102">
        <f>TrRoad_ene!X$19</f>
        <v>19.642213638736699</v>
      </c>
      <c r="Y36" s="102">
        <f>TrRoad_ene!Y$19</f>
        <v>20.889945955257087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2031.6972195812732</v>
      </c>
      <c r="C37" s="102">
        <f>TrRoad_ene!C$21</f>
        <v>2008.1563815541454</v>
      </c>
      <c r="D37" s="102">
        <f>TrRoad_ene!D$21</f>
        <v>2041.736134285039</v>
      </c>
      <c r="E37" s="102">
        <f>TrRoad_ene!E$21</f>
        <v>2080.9821453402665</v>
      </c>
      <c r="F37" s="102">
        <f>TrRoad_ene!F$21</f>
        <v>2100.0052411951556</v>
      </c>
      <c r="G37" s="102">
        <f>TrRoad_ene!G$21</f>
        <v>2101.5353074174827</v>
      </c>
      <c r="H37" s="102">
        <f>TrRoad_ene!H$21</f>
        <v>2125.5866572331074</v>
      </c>
      <c r="I37" s="102">
        <f>TrRoad_ene!I$21</f>
        <v>2238.3705306029242</v>
      </c>
      <c r="J37" s="102">
        <f>TrRoad_ene!J$21</f>
        <v>2217.5903200942475</v>
      </c>
      <c r="K37" s="102">
        <f>TrRoad_ene!K$21</f>
        <v>2184.6681670061243</v>
      </c>
      <c r="L37" s="102">
        <f>TrRoad_ene!L$21</f>
        <v>2171.9370942182136</v>
      </c>
      <c r="M37" s="102">
        <f>TrRoad_ene!M$21</f>
        <v>2244.2856367262543</v>
      </c>
      <c r="N37" s="102">
        <f>TrRoad_ene!N$21</f>
        <v>2119.5602981981388</v>
      </c>
      <c r="O37" s="102">
        <f>TrRoad_ene!O$21</f>
        <v>2112.165145576686</v>
      </c>
      <c r="P37" s="102">
        <f>TrRoad_ene!P$21</f>
        <v>2141.1008728035536</v>
      </c>
      <c r="Q37" s="102">
        <f>TrRoad_ene!Q$21</f>
        <v>2326.3489661665717</v>
      </c>
      <c r="R37" s="102">
        <f>TrRoad_ene!R$21</f>
        <v>2291.896099163167</v>
      </c>
      <c r="S37" s="102">
        <f>TrRoad_ene!S$21</f>
        <v>2260.6448361115308</v>
      </c>
      <c r="T37" s="102">
        <f>TrRoad_ene!T$21</f>
        <v>2313.7347942811884</v>
      </c>
      <c r="U37" s="102">
        <f>TrRoad_ene!U$21</f>
        <v>2299.4047911085722</v>
      </c>
      <c r="V37" s="102">
        <f>TrRoad_ene!V$21</f>
        <v>2091.3362727337189</v>
      </c>
      <c r="W37" s="102">
        <f>TrRoad_ene!W$21</f>
        <v>2140.3023569777833</v>
      </c>
      <c r="X37" s="102">
        <f>TrRoad_ene!X$21</f>
        <v>2105.5703290257447</v>
      </c>
      <c r="Y37" s="102">
        <f>TrRoad_ene!Y$21</f>
        <v>2113.4341615799781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343.70597899826163</v>
      </c>
      <c r="C38" s="102">
        <f>TrRoad_ene!C$33</f>
        <v>334.12233715285959</v>
      </c>
      <c r="D38" s="102">
        <f>TrRoad_ene!D$33</f>
        <v>325.8327154175239</v>
      </c>
      <c r="E38" s="102">
        <f>TrRoad_ene!E$33</f>
        <v>330.01226679165126</v>
      </c>
      <c r="F38" s="102">
        <f>TrRoad_ene!F$33</f>
        <v>324.31314547677607</v>
      </c>
      <c r="G38" s="102">
        <f>TrRoad_ene!G$33</f>
        <v>327.20965983733743</v>
      </c>
      <c r="H38" s="102">
        <f>TrRoad_ene!H$33</f>
        <v>329.49460986377034</v>
      </c>
      <c r="I38" s="102">
        <f>TrRoad_ene!I$33</f>
        <v>325.80115549138628</v>
      </c>
      <c r="J38" s="102">
        <f>TrRoad_ene!J$33</f>
        <v>330.58865248622976</v>
      </c>
      <c r="K38" s="102">
        <f>TrRoad_ene!K$33</f>
        <v>336.41110100889205</v>
      </c>
      <c r="L38" s="102">
        <f>TrRoad_ene!L$33</f>
        <v>343.21658818806822</v>
      </c>
      <c r="M38" s="102">
        <f>TrRoad_ene!M$33</f>
        <v>335.17087309559241</v>
      </c>
      <c r="N38" s="102">
        <f>TrRoad_ene!N$33</f>
        <v>315.13710835059976</v>
      </c>
      <c r="O38" s="102">
        <f>TrRoad_ene!O$33</f>
        <v>302.59419533461073</v>
      </c>
      <c r="P38" s="102">
        <f>TrRoad_ene!P$33</f>
        <v>314.07409736276696</v>
      </c>
      <c r="Q38" s="102">
        <f>TrRoad_ene!Q$33</f>
        <v>322.10762326665912</v>
      </c>
      <c r="R38" s="102">
        <f>TrRoad_ene!R$33</f>
        <v>333.56343518381965</v>
      </c>
      <c r="S38" s="102">
        <f>TrRoad_ene!S$33</f>
        <v>348.56755575293414</v>
      </c>
      <c r="T38" s="102">
        <f>TrRoad_ene!T$33</f>
        <v>346.98603480865938</v>
      </c>
      <c r="U38" s="102">
        <f>TrRoad_ene!U$33</f>
        <v>337.46014520967924</v>
      </c>
      <c r="V38" s="102">
        <f>TrRoad_ene!V$33</f>
        <v>334.5980752247109</v>
      </c>
      <c r="W38" s="102">
        <f>TrRoad_ene!W$33</f>
        <v>331.86934084189517</v>
      </c>
      <c r="X38" s="102">
        <f>TrRoad_ene!X$33</f>
        <v>329.45220391069103</v>
      </c>
      <c r="Y38" s="102">
        <f>TrRoad_ene!Y$33</f>
        <v>322.12094790341717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89.871730930969861</v>
      </c>
      <c r="C39" s="110">
        <f t="shared" si="32"/>
        <v>85.365321944193013</v>
      </c>
      <c r="D39" s="110">
        <f t="shared" si="32"/>
        <v>88.050167592038036</v>
      </c>
      <c r="E39" s="110">
        <f t="shared" si="32"/>
        <v>89.420555670870797</v>
      </c>
      <c r="F39" s="110">
        <f t="shared" si="32"/>
        <v>88.190394146718518</v>
      </c>
      <c r="G39" s="110">
        <f t="shared" si="32"/>
        <v>94.5972550970246</v>
      </c>
      <c r="H39" s="110">
        <f t="shared" si="32"/>
        <v>94.65594155864747</v>
      </c>
      <c r="I39" s="110">
        <f t="shared" si="32"/>
        <v>93.943689166180022</v>
      </c>
      <c r="J39" s="110">
        <f t="shared" si="32"/>
        <v>98.109124545659938</v>
      </c>
      <c r="K39" s="110">
        <f t="shared" si="32"/>
        <v>98.844950225850894</v>
      </c>
      <c r="L39" s="110">
        <f t="shared" si="32"/>
        <v>101.08013896893517</v>
      </c>
      <c r="M39" s="110">
        <f t="shared" si="32"/>
        <v>100.90098312181274</v>
      </c>
      <c r="N39" s="110">
        <f t="shared" si="32"/>
        <v>102.21614707348188</v>
      </c>
      <c r="O39" s="110">
        <f t="shared" si="32"/>
        <v>100.91060630818114</v>
      </c>
      <c r="P39" s="110">
        <f t="shared" si="32"/>
        <v>102.38360121407389</v>
      </c>
      <c r="Q39" s="110">
        <f t="shared" si="32"/>
        <v>100.59797474554281</v>
      </c>
      <c r="R39" s="110">
        <f t="shared" ref="R39:V39" si="33">R40+R41+R42</f>
        <v>103.21608697405691</v>
      </c>
      <c r="S39" s="110">
        <f t="shared" si="33"/>
        <v>100.5221578477498</v>
      </c>
      <c r="T39" s="110">
        <f t="shared" si="33"/>
        <v>94.363330504356867</v>
      </c>
      <c r="U39" s="110">
        <f t="shared" si="33"/>
        <v>95.912465561548828</v>
      </c>
      <c r="V39" s="110">
        <f t="shared" si="33"/>
        <v>90.696959939348332</v>
      </c>
      <c r="W39" s="110">
        <f t="shared" ref="W39:Y39" si="34">W40+W41+W42</f>
        <v>90.56722815623246</v>
      </c>
      <c r="X39" s="110">
        <f t="shared" si="34"/>
        <v>92.581975864870216</v>
      </c>
      <c r="Y39" s="110">
        <f t="shared" si="34"/>
        <v>91.066365267909603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4.0961842729609579E-2</v>
      </c>
      <c r="E40" s="102">
        <f>TrRail_ene!E$12</f>
        <v>0.31247756389811865</v>
      </c>
      <c r="F40" s="102">
        <f>TrRail_ene!F$12</f>
        <v>0.59371176122776559</v>
      </c>
      <c r="G40" s="102">
        <f>TrRail_ene!G$12</f>
        <v>0.7559241690259646</v>
      </c>
      <c r="H40" s="102">
        <f>TrRail_ene!H$12</f>
        <v>0.76062061087539967</v>
      </c>
      <c r="I40" s="102">
        <f>TrRail_ene!I$12</f>
        <v>0.81070194974420628</v>
      </c>
      <c r="J40" s="102">
        <f>TrRail_ene!J$12</f>
        <v>0.89186032652531066</v>
      </c>
      <c r="K40" s="102">
        <f>TrRail_ene!K$12</f>
        <v>0.98315725228874529</v>
      </c>
      <c r="L40" s="102">
        <f>TrRail_ene!L$12</f>
        <v>1.0817347674089561</v>
      </c>
      <c r="M40" s="102">
        <f>TrRail_ene!M$12</f>
        <v>1.2529292518905575</v>
      </c>
      <c r="N40" s="102">
        <f>TrRail_ene!N$12</f>
        <v>1.2188387591037084</v>
      </c>
      <c r="O40" s="102">
        <f>TrRail_ene!O$12</f>
        <v>1.2596129788790358</v>
      </c>
      <c r="P40" s="102">
        <f>TrRail_ene!P$12</f>
        <v>1.3032468791469833</v>
      </c>
      <c r="Q40" s="102">
        <f>TrRail_ene!Q$12</f>
        <v>1.3214695063167108</v>
      </c>
      <c r="R40" s="102">
        <f>TrRail_ene!R$12</f>
        <v>1.40413807788826</v>
      </c>
      <c r="S40" s="102">
        <f>TrRail_ene!S$12</f>
        <v>1.481814729056306</v>
      </c>
      <c r="T40" s="102">
        <f>TrRail_ene!T$12</f>
        <v>1.530930777042586</v>
      </c>
      <c r="U40" s="102">
        <f>TrRail_ene!U$12</f>
        <v>1.7461224181244805</v>
      </c>
      <c r="V40" s="102">
        <f>TrRail_ene!V$12</f>
        <v>1.6193574779111823</v>
      </c>
      <c r="W40" s="102">
        <f>TrRail_ene!W$12</f>
        <v>1.7928791550505871</v>
      </c>
      <c r="X40" s="102">
        <f>TrRail_ene!X$12</f>
        <v>2.1844617805093542</v>
      </c>
      <c r="Y40" s="102">
        <f>TrRail_ene!Y$12</f>
        <v>2.2181033099144423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89.871730930969861</v>
      </c>
      <c r="C41" s="102">
        <f>TrRail_ene!C$13</f>
        <v>85.365321944193013</v>
      </c>
      <c r="D41" s="102">
        <f>TrRail_ene!D$13</f>
        <v>88.009205749308421</v>
      </c>
      <c r="E41" s="102">
        <f>TrRail_ene!E$13</f>
        <v>89.108078106972684</v>
      </c>
      <c r="F41" s="102">
        <f>TrRail_ene!F$13</f>
        <v>87.596682385490752</v>
      </c>
      <c r="G41" s="102">
        <f>TrRail_ene!G$13</f>
        <v>93.841330927998641</v>
      </c>
      <c r="H41" s="102">
        <f>TrRail_ene!H$13</f>
        <v>93.895320947772063</v>
      </c>
      <c r="I41" s="102">
        <f>TrRail_ene!I$13</f>
        <v>93.132987216435822</v>
      </c>
      <c r="J41" s="102">
        <f>TrRail_ene!J$13</f>
        <v>97.217264219134634</v>
      </c>
      <c r="K41" s="102">
        <f>TrRail_ene!K$13</f>
        <v>97.861792973562146</v>
      </c>
      <c r="L41" s="102">
        <f>TrRail_ene!L$13</f>
        <v>99.998404201526213</v>
      </c>
      <c r="M41" s="102">
        <f>TrRail_ene!M$13</f>
        <v>99.64805386992218</v>
      </c>
      <c r="N41" s="102">
        <f>TrRail_ene!N$13</f>
        <v>100.99730831437817</v>
      </c>
      <c r="O41" s="102">
        <f>TrRail_ene!O$13</f>
        <v>99.650993329302111</v>
      </c>
      <c r="P41" s="102">
        <f>TrRail_ene!P$13</f>
        <v>101.08035433492691</v>
      </c>
      <c r="Q41" s="102">
        <f>TrRail_ene!Q$13</f>
        <v>99.276505239226097</v>
      </c>
      <c r="R41" s="102">
        <f>TrRail_ene!R$13</f>
        <v>101.81194889616864</v>
      </c>
      <c r="S41" s="102">
        <f>TrRail_ene!S$13</f>
        <v>99.040343118693485</v>
      </c>
      <c r="T41" s="102">
        <f>TrRail_ene!T$13</f>
        <v>92.832399727314282</v>
      </c>
      <c r="U41" s="102">
        <f>TrRail_ene!U$13</f>
        <v>94.166343143424342</v>
      </c>
      <c r="V41" s="102">
        <f>TrRail_ene!V$13</f>
        <v>89.077602461437152</v>
      </c>
      <c r="W41" s="102">
        <f>TrRail_ene!W$13</f>
        <v>88.774349001181875</v>
      </c>
      <c r="X41" s="102">
        <f>TrRail_ene!X$13</f>
        <v>90.397514084360864</v>
      </c>
      <c r="Y41" s="102">
        <f>TrRail_ene!Y$13</f>
        <v>88.848261957995163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823.31505351788451</v>
      </c>
      <c r="C43" s="110">
        <f t="shared" si="35"/>
        <v>836.47826596720233</v>
      </c>
      <c r="D43" s="110">
        <f t="shared" si="35"/>
        <v>723.87280201743772</v>
      </c>
      <c r="E43" s="110">
        <f t="shared" si="35"/>
        <v>750.32174696712195</v>
      </c>
      <c r="F43" s="110">
        <f t="shared" si="35"/>
        <v>848.30331029874276</v>
      </c>
      <c r="G43" s="110">
        <f t="shared" si="35"/>
        <v>890.97820438655549</v>
      </c>
      <c r="H43" s="110">
        <f t="shared" si="35"/>
        <v>894.59218291511388</v>
      </c>
      <c r="I43" s="110">
        <f t="shared" si="35"/>
        <v>921.86717835418244</v>
      </c>
      <c r="J43" s="110">
        <f t="shared" si="35"/>
        <v>861.7984752037795</v>
      </c>
      <c r="K43" s="110">
        <f t="shared" si="35"/>
        <v>770.03157199021837</v>
      </c>
      <c r="L43" s="110">
        <f t="shared" si="35"/>
        <v>802.14391510221617</v>
      </c>
      <c r="M43" s="110">
        <f t="shared" si="35"/>
        <v>824.63548131815321</v>
      </c>
      <c r="N43" s="110">
        <f t="shared" si="35"/>
        <v>824.5536580456519</v>
      </c>
      <c r="O43" s="110">
        <f t="shared" si="35"/>
        <v>822.8709376287743</v>
      </c>
      <c r="P43" s="110">
        <f t="shared" si="35"/>
        <v>882.80556794839276</v>
      </c>
      <c r="Q43" s="110">
        <f t="shared" si="35"/>
        <v>867.65822366186489</v>
      </c>
      <c r="R43" s="110">
        <f t="shared" ref="R43:V43" si="36">R44+R45+R46</f>
        <v>943.88520950023144</v>
      </c>
      <c r="S43" s="110">
        <f t="shared" si="36"/>
        <v>970.8421654010458</v>
      </c>
      <c r="T43" s="110">
        <f t="shared" si="36"/>
        <v>1026.6908971762864</v>
      </c>
      <c r="U43" s="110">
        <f t="shared" si="36"/>
        <v>1044.9016357189923</v>
      </c>
      <c r="V43" s="110">
        <f t="shared" si="36"/>
        <v>320.25373072806417</v>
      </c>
      <c r="W43" s="110">
        <f t="shared" ref="W43:Y43" si="37">W44+W45+W46</f>
        <v>411.89410802405632</v>
      </c>
      <c r="X43" s="110">
        <f t="shared" si="37"/>
        <v>722.62536545936382</v>
      </c>
      <c r="Y43" s="110">
        <f t="shared" si="37"/>
        <v>823.87916280065133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46.518694134263129</v>
      </c>
      <c r="C44" s="102">
        <f>TrAvia_ene!C$7</f>
        <v>47.542946982934829</v>
      </c>
      <c r="D44" s="102">
        <f>TrAvia_ene!D$7</f>
        <v>39.302074620897528</v>
      </c>
      <c r="E44" s="102">
        <f>TrAvia_ene!E$7</f>
        <v>38.345082498809049</v>
      </c>
      <c r="F44" s="102">
        <f>TrAvia_ene!F$7</f>
        <v>32.145995717365345</v>
      </c>
      <c r="G44" s="102">
        <f>TrAvia_ene!G$7</f>
        <v>34.202785503090944</v>
      </c>
      <c r="H44" s="102">
        <f>TrAvia_ene!H$7</f>
        <v>36.257862173756955</v>
      </c>
      <c r="I44" s="102">
        <f>TrAvia_ene!I$7</f>
        <v>42.484730805414863</v>
      </c>
      <c r="J44" s="102">
        <f>TrAvia_ene!J$7</f>
        <v>44.435310698950808</v>
      </c>
      <c r="K44" s="102">
        <f>TrAvia_ene!K$7</f>
        <v>44.456889458139642</v>
      </c>
      <c r="L44" s="102">
        <f>TrAvia_ene!L$7</f>
        <v>46.660095618340186</v>
      </c>
      <c r="M44" s="102">
        <f>TrAvia_ene!M$7</f>
        <v>44.626663321550886</v>
      </c>
      <c r="N44" s="102">
        <f>TrAvia_ene!N$7</f>
        <v>38.393818155638776</v>
      </c>
      <c r="O44" s="102">
        <f>TrAvia_ene!O$7</f>
        <v>37.353395088861141</v>
      </c>
      <c r="P44" s="102">
        <f>TrAvia_ene!P$7</f>
        <v>36.318256640179207</v>
      </c>
      <c r="Q44" s="102">
        <f>TrAvia_ene!Q$7</f>
        <v>33.740119295318955</v>
      </c>
      <c r="R44" s="102">
        <f>TrAvia_ene!R$7</f>
        <v>35.058728458456578</v>
      </c>
      <c r="S44" s="102">
        <f>TrAvia_ene!S$7</f>
        <v>33.457683369515891</v>
      </c>
      <c r="T44" s="102">
        <f>TrAvia_ene!T$7</f>
        <v>31.661774931035541</v>
      </c>
      <c r="U44" s="102">
        <f>TrAvia_ene!U$7</f>
        <v>31.764557743491224</v>
      </c>
      <c r="V44" s="102">
        <f>TrAvia_ene!V$7</f>
        <v>17.041806589894179</v>
      </c>
      <c r="W44" s="102">
        <f>TrAvia_ene!W$7</f>
        <v>18.241141152364307</v>
      </c>
      <c r="X44" s="102">
        <f>TrAvia_ene!X$7</f>
        <v>24.463626100629728</v>
      </c>
      <c r="Y44" s="102">
        <f>TrAvia_ene!Y$7</f>
        <v>24.490459733891885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463.40290106999373</v>
      </c>
      <c r="C45" s="102">
        <f>TrAvia_ene!C$8</f>
        <v>470.6298770166544</v>
      </c>
      <c r="D45" s="102">
        <f>TrAvia_ene!D$8</f>
        <v>422.97673836609169</v>
      </c>
      <c r="E45" s="102">
        <f>TrAvia_ene!E$8</f>
        <v>444.24113518155252</v>
      </c>
      <c r="F45" s="102">
        <f>TrAvia_ene!F$8</f>
        <v>485.63391582911385</v>
      </c>
      <c r="G45" s="102">
        <f>TrAvia_ene!G$8</f>
        <v>508.67147261678087</v>
      </c>
      <c r="H45" s="102">
        <f>TrAvia_ene!H$8</f>
        <v>511.48104953080991</v>
      </c>
      <c r="I45" s="102">
        <f>TrAvia_ene!I$8</f>
        <v>529.88261798624626</v>
      </c>
      <c r="J45" s="102">
        <f>TrAvia_ene!J$8</f>
        <v>491.83913533421611</v>
      </c>
      <c r="K45" s="102">
        <f>TrAvia_ene!K$8</f>
        <v>422.62014959178168</v>
      </c>
      <c r="L45" s="102">
        <f>TrAvia_ene!L$8</f>
        <v>438.41794141375533</v>
      </c>
      <c r="M45" s="102">
        <f>TrAvia_ene!M$8</f>
        <v>454.6378388804373</v>
      </c>
      <c r="N45" s="102">
        <f>TrAvia_ene!N$8</f>
        <v>454.16471650914303</v>
      </c>
      <c r="O45" s="102">
        <f>TrAvia_ene!O$8</f>
        <v>455.07113700510553</v>
      </c>
      <c r="P45" s="102">
        <f>TrAvia_ene!P$8</f>
        <v>492.10501324297257</v>
      </c>
      <c r="Q45" s="102">
        <f>TrAvia_ene!Q$8</f>
        <v>487.51095972795349</v>
      </c>
      <c r="R45" s="102">
        <f>TrAvia_ene!R$8</f>
        <v>546.26956919246595</v>
      </c>
      <c r="S45" s="102">
        <f>TrAvia_ene!S$8</f>
        <v>567.21702485773392</v>
      </c>
      <c r="T45" s="102">
        <f>TrAvia_ene!T$8</f>
        <v>597.38084614912646</v>
      </c>
      <c r="U45" s="102">
        <f>TrAvia_ene!U$8</f>
        <v>597.94336424899825</v>
      </c>
      <c r="V45" s="102">
        <f>TrAvia_ene!V$8</f>
        <v>155.31419693052948</v>
      </c>
      <c r="W45" s="102">
        <f>TrAvia_ene!W$8</f>
        <v>215.50134863670758</v>
      </c>
      <c r="X45" s="102">
        <f>TrAvia_ene!X$8</f>
        <v>424.05155108446354</v>
      </c>
      <c r="Y45" s="102">
        <f>TrAvia_ene!Y$8</f>
        <v>480.73061351891187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313.39345831362772</v>
      </c>
      <c r="C46" s="102">
        <f>TrAvia_ene!C$9</f>
        <v>318.30544196761304</v>
      </c>
      <c r="D46" s="102">
        <f>TrAvia_ene!D$9</f>
        <v>261.59398903044848</v>
      </c>
      <c r="E46" s="102">
        <f>TrAvia_ene!E$9</f>
        <v>267.73552928676037</v>
      </c>
      <c r="F46" s="102">
        <f>TrAvia_ene!F$9</f>
        <v>330.52339875226357</v>
      </c>
      <c r="G46" s="102">
        <f>TrAvia_ene!G$9</f>
        <v>348.10394626668364</v>
      </c>
      <c r="H46" s="102">
        <f>TrAvia_ene!H$9</f>
        <v>346.85327121054706</v>
      </c>
      <c r="I46" s="102">
        <f>TrAvia_ene!I$9</f>
        <v>349.49982956252126</v>
      </c>
      <c r="J46" s="102">
        <f>TrAvia_ene!J$9</f>
        <v>325.52402917061261</v>
      </c>
      <c r="K46" s="102">
        <f>TrAvia_ene!K$9</f>
        <v>302.95453294029704</v>
      </c>
      <c r="L46" s="102">
        <f>TrAvia_ene!L$9</f>
        <v>317.06587807012073</v>
      </c>
      <c r="M46" s="102">
        <f>TrAvia_ene!M$9</f>
        <v>325.37097911616502</v>
      </c>
      <c r="N46" s="102">
        <f>TrAvia_ene!N$9</f>
        <v>331.9951233808701</v>
      </c>
      <c r="O46" s="102">
        <f>TrAvia_ene!O$9</f>
        <v>330.4464055348077</v>
      </c>
      <c r="P46" s="102">
        <f>TrAvia_ene!P$9</f>
        <v>354.38229806524095</v>
      </c>
      <c r="Q46" s="102">
        <f>TrAvia_ene!Q$9</f>
        <v>346.40714463859246</v>
      </c>
      <c r="R46" s="102">
        <f>TrAvia_ene!R$9</f>
        <v>362.5569118493089</v>
      </c>
      <c r="S46" s="102">
        <f>TrAvia_ene!S$9</f>
        <v>370.16745717379604</v>
      </c>
      <c r="T46" s="102">
        <f>TrAvia_ene!T$9</f>
        <v>397.64827609612433</v>
      </c>
      <c r="U46" s="102">
        <f>TrAvia_ene!U$9</f>
        <v>415.19371372650289</v>
      </c>
      <c r="V46" s="102">
        <f>TrAvia_ene!V$9</f>
        <v>147.89772720764051</v>
      </c>
      <c r="W46" s="102">
        <f>TrAvia_ene!W$9</f>
        <v>178.15161823498445</v>
      </c>
      <c r="X46" s="102">
        <f>TrAvia_ene!X$9</f>
        <v>274.11018827427057</v>
      </c>
      <c r="Y46" s="102">
        <f>TrAvia_ene!Y$9</f>
        <v>318.65808954784762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1477.0828096845612</v>
      </c>
      <c r="C47" s="28">
        <f t="shared" si="38"/>
        <v>1544.396649804552</v>
      </c>
      <c r="D47" s="28">
        <f t="shared" si="38"/>
        <v>1573.1392467200812</v>
      </c>
      <c r="E47" s="28">
        <f t="shared" si="38"/>
        <v>1682.0886725023629</v>
      </c>
      <c r="F47" s="28">
        <f t="shared" si="38"/>
        <v>1772.9493351496617</v>
      </c>
      <c r="G47" s="28">
        <f t="shared" si="38"/>
        <v>1828.3626755749906</v>
      </c>
      <c r="H47" s="28">
        <f t="shared" si="38"/>
        <v>1897.5616256376729</v>
      </c>
      <c r="I47" s="28">
        <f t="shared" si="38"/>
        <v>1960.9984015868242</v>
      </c>
      <c r="J47" s="28">
        <f t="shared" si="38"/>
        <v>1978.6045408875405</v>
      </c>
      <c r="K47" s="28">
        <f t="shared" si="38"/>
        <v>1748.7796146227704</v>
      </c>
      <c r="L47" s="28">
        <f t="shared" si="38"/>
        <v>1716.772858561847</v>
      </c>
      <c r="M47" s="28">
        <f t="shared" si="38"/>
        <v>1641.765987769566</v>
      </c>
      <c r="N47" s="28">
        <f t="shared" si="38"/>
        <v>1517.5877388510314</v>
      </c>
      <c r="O47" s="28">
        <f t="shared" si="38"/>
        <v>1464.4014229040872</v>
      </c>
      <c r="P47" s="28">
        <f t="shared" si="38"/>
        <v>1465.5014649312645</v>
      </c>
      <c r="Q47" s="28">
        <f t="shared" si="38"/>
        <v>1423.4860350428814</v>
      </c>
      <c r="R47" s="28">
        <f t="shared" ref="R47:V47" si="39">R48+R51+R52+R56</f>
        <v>1487.913438740143</v>
      </c>
      <c r="S47" s="28">
        <f t="shared" si="39"/>
        <v>1501.3849538802967</v>
      </c>
      <c r="T47" s="28">
        <f t="shared" si="39"/>
        <v>1526.9405483781356</v>
      </c>
      <c r="U47" s="28">
        <f t="shared" si="39"/>
        <v>1482.5383474475284</v>
      </c>
      <c r="V47" s="28">
        <f t="shared" si="39"/>
        <v>1414.0590173862054</v>
      </c>
      <c r="W47" s="28">
        <f t="shared" ref="W47:Y47" si="40">W48+W51+W52+W56</f>
        <v>1464.2265276141657</v>
      </c>
      <c r="X47" s="28">
        <f t="shared" si="40"/>
        <v>1467.4961446668999</v>
      </c>
      <c r="Y47" s="28">
        <f t="shared" si="40"/>
        <v>1475.3639472244367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1292.3105227662618</v>
      </c>
      <c r="C48" s="137">
        <f t="shared" si="41"/>
        <v>1353.7545971312527</v>
      </c>
      <c r="D48" s="137">
        <f t="shared" si="41"/>
        <v>1364.7304880406487</v>
      </c>
      <c r="E48" s="137">
        <f t="shared" si="41"/>
        <v>1477.2229785797367</v>
      </c>
      <c r="F48" s="137">
        <f t="shared" si="41"/>
        <v>1587.9241230001103</v>
      </c>
      <c r="G48" s="137">
        <f t="shared" si="41"/>
        <v>1616.3935090912451</v>
      </c>
      <c r="H48" s="137">
        <f t="shared" si="41"/>
        <v>1703.2710570761808</v>
      </c>
      <c r="I48" s="137">
        <f t="shared" si="41"/>
        <v>1790.1691143350458</v>
      </c>
      <c r="J48" s="137">
        <f t="shared" si="41"/>
        <v>1703.3182455380979</v>
      </c>
      <c r="K48" s="137">
        <f t="shared" si="41"/>
        <v>1509.3633595387537</v>
      </c>
      <c r="L48" s="137">
        <f t="shared" si="41"/>
        <v>1496.7737827963692</v>
      </c>
      <c r="M48" s="137">
        <f t="shared" si="41"/>
        <v>1426.8156078415184</v>
      </c>
      <c r="N48" s="137">
        <f t="shared" si="41"/>
        <v>1306.7392292668119</v>
      </c>
      <c r="O48" s="137">
        <f t="shared" si="41"/>
        <v>1259.0293984833474</v>
      </c>
      <c r="P48" s="137">
        <f t="shared" si="41"/>
        <v>1282.3161714969983</v>
      </c>
      <c r="Q48" s="137">
        <f t="shared" si="41"/>
        <v>1229.2730159094465</v>
      </c>
      <c r="R48" s="137">
        <f t="shared" ref="R48:V48" si="42">R49+R50</f>
        <v>1319.5045030562198</v>
      </c>
      <c r="S48" s="137">
        <f t="shared" si="42"/>
        <v>1336.9882281179143</v>
      </c>
      <c r="T48" s="137">
        <f t="shared" si="42"/>
        <v>1369.7966677182799</v>
      </c>
      <c r="U48" s="137">
        <f t="shared" si="42"/>
        <v>1316.9795338527474</v>
      </c>
      <c r="V48" s="137">
        <f t="shared" si="42"/>
        <v>1258.0455635996195</v>
      </c>
      <c r="W48" s="137">
        <f t="shared" ref="W48:Y48" si="43">W49+W50</f>
        <v>1284.9564794436374</v>
      </c>
      <c r="X48" s="137">
        <f t="shared" si="43"/>
        <v>1301.9847413651669</v>
      </c>
      <c r="Y48" s="137">
        <f t="shared" si="43"/>
        <v>1309.4455887925678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553.78550816768598</v>
      </c>
      <c r="C49" s="102">
        <f>TrRoad_ene!C$43</f>
        <v>576.52641508557895</v>
      </c>
      <c r="D49" s="102">
        <f>TrRoad_ene!D$43</f>
        <v>577.20824246612437</v>
      </c>
      <c r="E49" s="102">
        <f>TrRoad_ene!E$43</f>
        <v>600.33915807684446</v>
      </c>
      <c r="F49" s="102">
        <f>TrRoad_ene!F$43</f>
        <v>646.69171184713002</v>
      </c>
      <c r="G49" s="102">
        <f>TrRoad_ene!G$43</f>
        <v>680.28735125578066</v>
      </c>
      <c r="H49" s="102">
        <f>TrRoad_ene!H$43</f>
        <v>740.27619894458849</v>
      </c>
      <c r="I49" s="102">
        <f>TrRoad_ene!I$43</f>
        <v>805.70981610312322</v>
      </c>
      <c r="J49" s="102">
        <f>TrRoad_ene!J$43</f>
        <v>796.92410456117227</v>
      </c>
      <c r="K49" s="102">
        <f>TrRoad_ene!K$43</f>
        <v>738.4192150898624</v>
      </c>
      <c r="L49" s="102">
        <f>TrRoad_ene!L$43</f>
        <v>712.43248634753706</v>
      </c>
      <c r="M49" s="102">
        <f>TrRoad_ene!M$43</f>
        <v>647.2294692857904</v>
      </c>
      <c r="N49" s="102">
        <f>TrRoad_ene!N$43</f>
        <v>597.95798012432851</v>
      </c>
      <c r="O49" s="102">
        <f>TrRoad_ene!O$43</f>
        <v>566.14758346133306</v>
      </c>
      <c r="P49" s="102">
        <f>TrRoad_ene!P$43</f>
        <v>540.50147548770678</v>
      </c>
      <c r="Q49" s="102">
        <f>TrRoad_ene!Q$43</f>
        <v>544.3387777683165</v>
      </c>
      <c r="R49" s="102">
        <f>TrRoad_ene!R$43</f>
        <v>541.67935138961934</v>
      </c>
      <c r="S49" s="102">
        <f>TrRoad_ene!S$43</f>
        <v>548.98162118327434</v>
      </c>
      <c r="T49" s="102">
        <f>TrRoad_ene!T$43</f>
        <v>551.62228409987949</v>
      </c>
      <c r="U49" s="102">
        <f>TrRoad_ene!U$43</f>
        <v>522.14487824572859</v>
      </c>
      <c r="V49" s="102">
        <f>TrRoad_ene!V$43</f>
        <v>486.5046883443253</v>
      </c>
      <c r="W49" s="102">
        <f>TrRoad_ene!W$43</f>
        <v>499.83058216646225</v>
      </c>
      <c r="X49" s="102">
        <f>TrRoad_ene!X$43</f>
        <v>528.38074086783433</v>
      </c>
      <c r="Y49" s="102">
        <f>TrRoad_ene!Y$43</f>
        <v>528.82619047836897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738.52501459857581</v>
      </c>
      <c r="C50" s="102">
        <f>TrRoad_ene!C$52</f>
        <v>777.22818204567375</v>
      </c>
      <c r="D50" s="102">
        <f>TrRoad_ene!D$52</f>
        <v>787.52224557452428</v>
      </c>
      <c r="E50" s="102">
        <f>TrRoad_ene!E$52</f>
        <v>876.88382050289238</v>
      </c>
      <c r="F50" s="102">
        <f>TrRoad_ene!F$52</f>
        <v>941.23241115298015</v>
      </c>
      <c r="G50" s="102">
        <f>TrRoad_ene!G$52</f>
        <v>936.1061578354645</v>
      </c>
      <c r="H50" s="102">
        <f>TrRoad_ene!H$52</f>
        <v>962.99485813159231</v>
      </c>
      <c r="I50" s="102">
        <f>TrRoad_ene!I$52</f>
        <v>984.4592982319225</v>
      </c>
      <c r="J50" s="102">
        <f>TrRoad_ene!J$52</f>
        <v>906.39414097692566</v>
      </c>
      <c r="K50" s="102">
        <f>TrRoad_ene!K$52</f>
        <v>770.94414444889139</v>
      </c>
      <c r="L50" s="102">
        <f>TrRoad_ene!L$52</f>
        <v>784.34129644883217</v>
      </c>
      <c r="M50" s="102">
        <f>TrRoad_ene!M$52</f>
        <v>779.58613855572798</v>
      </c>
      <c r="N50" s="102">
        <f>TrRoad_ene!N$52</f>
        <v>708.78124914248338</v>
      </c>
      <c r="O50" s="102">
        <f>TrRoad_ene!O$52</f>
        <v>692.88181502201428</v>
      </c>
      <c r="P50" s="102">
        <f>TrRoad_ene!P$52</f>
        <v>741.81469600929154</v>
      </c>
      <c r="Q50" s="102">
        <f>TrRoad_ene!Q$52</f>
        <v>684.93423814112998</v>
      </c>
      <c r="R50" s="102">
        <f>TrRoad_ene!R$52</f>
        <v>777.8251516666005</v>
      </c>
      <c r="S50" s="102">
        <f>TrRoad_ene!S$52</f>
        <v>788.0066069346401</v>
      </c>
      <c r="T50" s="102">
        <f>TrRoad_ene!T$52</f>
        <v>818.1743836184005</v>
      </c>
      <c r="U50" s="102">
        <f>TrRoad_ene!U$52</f>
        <v>794.8346556070187</v>
      </c>
      <c r="V50" s="102">
        <f>TrRoad_ene!V$52</f>
        <v>771.54087525529428</v>
      </c>
      <c r="W50" s="102">
        <f>TrRoad_ene!W$52</f>
        <v>785.125897277175</v>
      </c>
      <c r="X50" s="102">
        <f>TrRoad_ene!X$52</f>
        <v>773.60400049733244</v>
      </c>
      <c r="Y50" s="102">
        <f>TrRoad_ene!Y$52</f>
        <v>780.61939831419886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13.481665457680165</v>
      </c>
      <c r="C51" s="110">
        <f>TrRail_ene!C$17</f>
        <v>12.888676336116518</v>
      </c>
      <c r="D51" s="110">
        <f>TrRail_ene!D$17</f>
        <v>11.5795830528459</v>
      </c>
      <c r="E51" s="110">
        <f>TrRail_ene!E$17</f>
        <v>11.303176057418106</v>
      </c>
      <c r="F51" s="110">
        <f>TrRail_ene!F$17</f>
        <v>12.975212044167115</v>
      </c>
      <c r="G51" s="110">
        <f>TrRail_ene!G$17</f>
        <v>12.097585831608232</v>
      </c>
      <c r="H51" s="110">
        <f>TrRail_ene!H$17</f>
        <v>11.105021468007729</v>
      </c>
      <c r="I51" s="110">
        <f>TrRail_ene!I$17</f>
        <v>10.097583404757184</v>
      </c>
      <c r="J51" s="110">
        <f>TrRail_ene!J$17</f>
        <v>10.88339480085768</v>
      </c>
      <c r="K51" s="110">
        <f>TrRail_ene!K$17</f>
        <v>9.569581158499922</v>
      </c>
      <c r="L51" s="110">
        <f>TrRail_ene!L$17</f>
        <v>12.187788804065701</v>
      </c>
      <c r="M51" s="110">
        <f>TrRail_ene!M$17</f>
        <v>13.804777841213902</v>
      </c>
      <c r="N51" s="110">
        <f>TrRail_ene!N$17</f>
        <v>11.457799616113981</v>
      </c>
      <c r="O51" s="110">
        <f>TrRail_ene!O$17</f>
        <v>11.829462479437083</v>
      </c>
      <c r="P51" s="110">
        <f>TrRail_ene!P$17</f>
        <v>12.31020790028551</v>
      </c>
      <c r="Q51" s="110">
        <f>TrRail_ene!Q$17</f>
        <v>13.682506767784769</v>
      </c>
      <c r="R51" s="110">
        <f>TrRail_ene!R$17</f>
        <v>14.455624117946536</v>
      </c>
      <c r="S51" s="110">
        <f>TrRail_ene!S$17</f>
        <v>13.220232521983663</v>
      </c>
      <c r="T51" s="110">
        <f>TrRail_ene!T$17</f>
        <v>12.609756340011128</v>
      </c>
      <c r="U51" s="110">
        <f>TrRail_ene!U$17</f>
        <v>11.682289382561239</v>
      </c>
      <c r="V51" s="110">
        <f>TrRail_ene!V$17</f>
        <v>9.1500735946155487</v>
      </c>
      <c r="W51" s="110">
        <f>TrRail_ene!W$17</f>
        <v>7.9233135462610935</v>
      </c>
      <c r="X51" s="110">
        <f>TrRail_ene!X$17</f>
        <v>8.1694428797557403</v>
      </c>
      <c r="Y51" s="110">
        <f>TrRail_ene!Y$17</f>
        <v>7.4800663743947657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7.8829688380913527</v>
      </c>
      <c r="C52" s="110">
        <f t="shared" si="44"/>
        <v>8.2264631815508089</v>
      </c>
      <c r="D52" s="110">
        <f t="shared" si="44"/>
        <v>7.5903966068101809</v>
      </c>
      <c r="E52" s="110">
        <f t="shared" si="44"/>
        <v>6.0696545805994759</v>
      </c>
      <c r="F52" s="110">
        <f t="shared" si="44"/>
        <v>6.7984953762355227</v>
      </c>
      <c r="G52" s="110">
        <f t="shared" si="44"/>
        <v>7.7606606177435431</v>
      </c>
      <c r="H52" s="110">
        <f t="shared" si="44"/>
        <v>9.3343863024269798</v>
      </c>
      <c r="I52" s="110">
        <f t="shared" si="44"/>
        <v>9.0728904334357754</v>
      </c>
      <c r="J52" s="110">
        <f t="shared" si="44"/>
        <v>70.180630557183179</v>
      </c>
      <c r="K52" s="110">
        <f t="shared" si="44"/>
        <v>49.737731535147191</v>
      </c>
      <c r="L52" s="110">
        <f t="shared" si="44"/>
        <v>51.904580168634809</v>
      </c>
      <c r="M52" s="110">
        <f t="shared" si="44"/>
        <v>49.153598647452746</v>
      </c>
      <c r="N52" s="110">
        <f t="shared" si="44"/>
        <v>51.313409882121057</v>
      </c>
      <c r="O52" s="110">
        <f t="shared" si="44"/>
        <v>43.645313446031906</v>
      </c>
      <c r="P52" s="110">
        <f t="shared" si="44"/>
        <v>51.244303074823073</v>
      </c>
      <c r="Q52" s="110">
        <f t="shared" si="44"/>
        <v>45.833951746561496</v>
      </c>
      <c r="R52" s="110">
        <f t="shared" si="44"/>
        <v>36.951677860043702</v>
      </c>
      <c r="S52" s="110">
        <f t="shared" si="44"/>
        <v>38.583629955789959</v>
      </c>
      <c r="T52" s="110">
        <f t="shared" si="44"/>
        <v>27.716325523627972</v>
      </c>
      <c r="U52" s="110">
        <f t="shared" si="44"/>
        <v>32.386584401385463</v>
      </c>
      <c r="V52" s="110">
        <f t="shared" si="44"/>
        <v>29.541712092228089</v>
      </c>
      <c r="W52" s="110">
        <f t="shared" ref="W52:Y52" si="45">W53+W54+W55</f>
        <v>33.749400144473391</v>
      </c>
      <c r="X52" s="110">
        <f t="shared" si="45"/>
        <v>35.858727403920568</v>
      </c>
      <c r="Y52" s="110">
        <f t="shared" si="45"/>
        <v>41.584207792641685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0.24966356135164591</v>
      </c>
      <c r="C53" s="102">
        <f>TrAvia_ene!C$11</f>
        <v>0.26436170150196214</v>
      </c>
      <c r="D53" s="102">
        <f>TrAvia_ene!D$11</f>
        <v>0.19345418391760336</v>
      </c>
      <c r="E53" s="102">
        <f>TrAvia_ene!E$11</f>
        <v>0.11140933266128164</v>
      </c>
      <c r="F53" s="102">
        <f>TrAvia_ene!F$11</f>
        <v>7.6704196650124179E-2</v>
      </c>
      <c r="G53" s="102">
        <f>TrAvia_ene!G$11</f>
        <v>9.7816388568565907E-2</v>
      </c>
      <c r="H53" s="102">
        <f>TrAvia_ene!H$11</f>
        <v>0.12072768006935068</v>
      </c>
      <c r="I53" s="102">
        <f>TrAvia_ene!I$11</f>
        <v>0.12773695038909577</v>
      </c>
      <c r="J53" s="102">
        <f>TrAvia_ene!J$11</f>
        <v>0.25514501901994752</v>
      </c>
      <c r="K53" s="102">
        <f>TrAvia_ene!K$11</f>
        <v>0.23356625983111692</v>
      </c>
      <c r="L53" s="102">
        <f>TrAvia_ene!L$11</f>
        <v>0.101211346406161</v>
      </c>
      <c r="M53" s="102">
        <f>TrAvia_ene!M$11</f>
        <v>5.6655681028634747E-2</v>
      </c>
      <c r="N53" s="102">
        <f>TrAvia_ene!N$11</f>
        <v>5.5622944963113263E-2</v>
      </c>
      <c r="O53" s="102">
        <f>TrAvia_ene!O$11</f>
        <v>5.7095022918738761E-2</v>
      </c>
      <c r="P53" s="102">
        <f>TrAvia_ene!P$11</f>
        <v>5.3196498255871957E-2</v>
      </c>
      <c r="Q53" s="102">
        <f>TrAvia_ene!Q$11</f>
        <v>4.3715614397300998E-2</v>
      </c>
      <c r="R53" s="102">
        <f>TrAvia_ene!R$11</f>
        <v>1.0403097863274934E-2</v>
      </c>
      <c r="S53" s="102">
        <f>TrAvia_ene!S$11</f>
        <v>1.7123165307833105E-2</v>
      </c>
      <c r="T53" s="102">
        <f>TrAvia_ene!T$11</f>
        <v>2.163005606678119E-2</v>
      </c>
      <c r="U53" s="102">
        <f>TrAvia_ene!U$11</f>
        <v>1.8159367428811767E-2</v>
      </c>
      <c r="V53" s="102">
        <f>TrAvia_ene!V$11</f>
        <v>2.2509833149668795E-2</v>
      </c>
      <c r="W53" s="102">
        <f>TrAvia_ene!W$11</f>
        <v>3.7792639553151139E-2</v>
      </c>
      <c r="X53" s="102">
        <f>TrAvia_ene!X$11</f>
        <v>6.7586281141552698E-2</v>
      </c>
      <c r="Y53" s="102">
        <f>TrAvia_ene!Y$11</f>
        <v>7.3684720106388421E-2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6.9325585501084461</v>
      </c>
      <c r="C54" s="102">
        <f>TrAvia_ene!C$12</f>
        <v>7.1799279995351775</v>
      </c>
      <c r="D54" s="102">
        <f>TrAvia_ene!D$12</f>
        <v>6.5216481952291243</v>
      </c>
      <c r="E54" s="102">
        <f>TrAvia_ene!E$12</f>
        <v>4.9505579202446874</v>
      </c>
      <c r="F54" s="102">
        <f>TrAvia_ene!F$12</f>
        <v>5.6832171207088269</v>
      </c>
      <c r="G54" s="102">
        <f>TrAvia_ene!G$12</f>
        <v>6.9879809550836827</v>
      </c>
      <c r="H54" s="102">
        <f>TrAvia_ene!H$12</f>
        <v>8.8408181178006675</v>
      </c>
      <c r="I54" s="102">
        <f>TrAvia_ene!I$12</f>
        <v>8.500484285898338</v>
      </c>
      <c r="J54" s="102">
        <f>TrAvia_ene!J$12</f>
        <v>17.831437593791911</v>
      </c>
      <c r="K54" s="102">
        <f>TrAvia_ene!K$12</f>
        <v>11.405797050966138</v>
      </c>
      <c r="L54" s="102">
        <f>TrAvia_ene!L$12</f>
        <v>7.7576822301914206</v>
      </c>
      <c r="M54" s="102">
        <f>TrAvia_ene!M$12</f>
        <v>7.5261939279111729</v>
      </c>
      <c r="N54" s="102">
        <f>TrAvia_ene!N$12</f>
        <v>6.6412724328806911</v>
      </c>
      <c r="O54" s="102">
        <f>TrAvia_ene!O$12</f>
        <v>5.4440212273538675</v>
      </c>
      <c r="P54" s="102">
        <f>TrAvia_ene!P$12</f>
        <v>9.0983057298250802</v>
      </c>
      <c r="Q54" s="102">
        <f>TrAvia_ene!Q$12</f>
        <v>8.9418355477950957</v>
      </c>
      <c r="R54" s="102">
        <f>TrAvia_ene!R$12</f>
        <v>7.2462816284102551</v>
      </c>
      <c r="S54" s="102">
        <f>TrAvia_ene!S$12</f>
        <v>8.9051423565927781</v>
      </c>
      <c r="T54" s="102">
        <f>TrAvia_ene!T$12</f>
        <v>9.0603631492214696</v>
      </c>
      <c r="U54" s="102">
        <f>TrAvia_ene!U$12</f>
        <v>10.478593040310091</v>
      </c>
      <c r="V54" s="102">
        <f>TrAvia_ene!V$12</f>
        <v>10.300676495841973</v>
      </c>
      <c r="W54" s="102">
        <f>TrAvia_ene!W$12</f>
        <v>14.017349996844571</v>
      </c>
      <c r="X54" s="102">
        <f>TrAvia_ene!X$12</f>
        <v>16.567525370029283</v>
      </c>
      <c r="Y54" s="102">
        <f>TrAvia_ene!Y$12</f>
        <v>16.145383371107616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0.70074672663126081</v>
      </c>
      <c r="C55" s="102">
        <f>TrAvia_ene!C$13</f>
        <v>0.78217348051366942</v>
      </c>
      <c r="D55" s="102">
        <f>TrAvia_ene!D$13</f>
        <v>0.87529422766345366</v>
      </c>
      <c r="E55" s="102">
        <f>TrAvia_ene!E$13</f>
        <v>1.0076873276935063</v>
      </c>
      <c r="F55" s="102">
        <f>TrAvia_ene!F$13</f>
        <v>1.0385740588765715</v>
      </c>
      <c r="G55" s="102">
        <f>TrAvia_ene!G$13</f>
        <v>0.67486327409129432</v>
      </c>
      <c r="H55" s="102">
        <f>TrAvia_ene!H$13</f>
        <v>0.37284050455696227</v>
      </c>
      <c r="I55" s="102">
        <f>TrAvia_ene!I$13</f>
        <v>0.44466919714834197</v>
      </c>
      <c r="J55" s="102">
        <f>TrAvia_ene!J$13</f>
        <v>52.094047944371312</v>
      </c>
      <c r="K55" s="102">
        <f>TrAvia_ene!K$13</f>
        <v>38.098368224349933</v>
      </c>
      <c r="L55" s="102">
        <f>TrAvia_ene!L$13</f>
        <v>44.045686592037228</v>
      </c>
      <c r="M55" s="102">
        <f>TrAvia_ene!M$13</f>
        <v>41.570749038512936</v>
      </c>
      <c r="N55" s="102">
        <f>TrAvia_ene!N$13</f>
        <v>44.616514504277255</v>
      </c>
      <c r="O55" s="102">
        <f>TrAvia_ene!O$13</f>
        <v>38.144197195759297</v>
      </c>
      <c r="P55" s="102">
        <f>TrAvia_ene!P$13</f>
        <v>42.092800846742122</v>
      </c>
      <c r="Q55" s="102">
        <f>TrAvia_ene!Q$13</f>
        <v>36.848400584369102</v>
      </c>
      <c r="R55" s="102">
        <f>TrAvia_ene!R$13</f>
        <v>29.694993133770168</v>
      </c>
      <c r="S55" s="102">
        <f>TrAvia_ene!S$13</f>
        <v>29.66136443388935</v>
      </c>
      <c r="T55" s="102">
        <f>TrAvia_ene!T$13</f>
        <v>18.634332318339723</v>
      </c>
      <c r="U55" s="102">
        <f>TrAvia_ene!U$13</f>
        <v>21.889831993646563</v>
      </c>
      <c r="V55" s="102">
        <f>TrAvia_ene!V$13</f>
        <v>19.218525763236446</v>
      </c>
      <c r="W55" s="102">
        <f>TrAvia_ene!W$13</f>
        <v>19.694257508075669</v>
      </c>
      <c r="X55" s="102">
        <f>TrAvia_ene!X$13</f>
        <v>19.223615752749737</v>
      </c>
      <c r="Y55" s="102">
        <f>TrAvia_ene!Y$13</f>
        <v>25.36513970142768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163.40765262252793</v>
      </c>
      <c r="C56" s="110">
        <f t="shared" si="46"/>
        <v>169.526913155632</v>
      </c>
      <c r="D56" s="110">
        <f t="shared" si="46"/>
        <v>189.23877901977642</v>
      </c>
      <c r="E56" s="110">
        <f t="shared" si="46"/>
        <v>187.49286328460869</v>
      </c>
      <c r="F56" s="110">
        <f t="shared" si="46"/>
        <v>165.25150472914871</v>
      </c>
      <c r="G56" s="110">
        <f t="shared" si="46"/>
        <v>192.11092003439381</v>
      </c>
      <c r="H56" s="110">
        <f t="shared" si="46"/>
        <v>173.85116079105759</v>
      </c>
      <c r="I56" s="110">
        <f t="shared" si="46"/>
        <v>151.65881341358551</v>
      </c>
      <c r="J56" s="110">
        <f t="shared" si="46"/>
        <v>194.22226999140156</v>
      </c>
      <c r="K56" s="110">
        <f t="shared" si="46"/>
        <v>180.10894239036972</v>
      </c>
      <c r="L56" s="110">
        <f t="shared" si="46"/>
        <v>155.90670679277724</v>
      </c>
      <c r="M56" s="110">
        <f t="shared" si="46"/>
        <v>151.99200343938091</v>
      </c>
      <c r="N56" s="110">
        <f t="shared" si="46"/>
        <v>148.07730008598455</v>
      </c>
      <c r="O56" s="110">
        <f t="shared" si="46"/>
        <v>149.89724849527084</v>
      </c>
      <c r="P56" s="110">
        <f t="shared" si="46"/>
        <v>119.63078245915736</v>
      </c>
      <c r="Q56" s="110">
        <f t="shared" si="46"/>
        <v>134.69656061908853</v>
      </c>
      <c r="R56" s="110">
        <f t="shared" ref="R56:V56" si="47">R57+R58</f>
        <v>117.00163370593292</v>
      </c>
      <c r="S56" s="110">
        <f t="shared" si="47"/>
        <v>112.5928632846088</v>
      </c>
      <c r="T56" s="110">
        <f t="shared" si="47"/>
        <v>116.81779879621666</v>
      </c>
      <c r="U56" s="110">
        <f t="shared" si="47"/>
        <v>121.48993981083403</v>
      </c>
      <c r="V56" s="110">
        <f t="shared" si="47"/>
        <v>117.32166809974208</v>
      </c>
      <c r="W56" s="110">
        <f t="shared" ref="W56:Y56" si="48">W57+W58</f>
        <v>137.59733447979366</v>
      </c>
      <c r="X56" s="110">
        <f t="shared" si="48"/>
        <v>121.48323301805671</v>
      </c>
      <c r="Y56" s="110">
        <f t="shared" si="48"/>
        <v>116.85408426483237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163.40765262252793</v>
      </c>
      <c r="C57" s="102">
        <f>TrNavi_ene!C4</f>
        <v>169.526913155632</v>
      </c>
      <c r="D57" s="102">
        <f>TrNavi_ene!D4</f>
        <v>189.23877901977642</v>
      </c>
      <c r="E57" s="102">
        <f>TrNavi_ene!E4</f>
        <v>187.49286328460869</v>
      </c>
      <c r="F57" s="102">
        <f>TrNavi_ene!F4</f>
        <v>165.25150472914871</v>
      </c>
      <c r="G57" s="102">
        <f>TrNavi_ene!G4</f>
        <v>192.11092003439381</v>
      </c>
      <c r="H57" s="102">
        <f>TrNavi_ene!H4</f>
        <v>173.85116079105759</v>
      </c>
      <c r="I57" s="102">
        <f>TrNavi_ene!I4</f>
        <v>151.65881341358551</v>
      </c>
      <c r="J57" s="102">
        <f>TrNavi_ene!J4</f>
        <v>194.22226999140156</v>
      </c>
      <c r="K57" s="102">
        <f>TrNavi_ene!K4</f>
        <v>180.10894239036972</v>
      </c>
      <c r="L57" s="102">
        <f>TrNavi_ene!L4</f>
        <v>155.90670679277724</v>
      </c>
      <c r="M57" s="102">
        <f>TrNavi_ene!M4</f>
        <v>151.99200343938091</v>
      </c>
      <c r="N57" s="102">
        <f>TrNavi_ene!N4</f>
        <v>148.07730008598455</v>
      </c>
      <c r="O57" s="102">
        <f>TrNavi_ene!O4</f>
        <v>149.89724849527084</v>
      </c>
      <c r="P57" s="102">
        <f>TrNavi_ene!P4</f>
        <v>119.63078245915736</v>
      </c>
      <c r="Q57" s="102">
        <f>TrNavi_ene!Q4</f>
        <v>134.69656061908853</v>
      </c>
      <c r="R57" s="102">
        <f>TrNavi_ene!R4</f>
        <v>117.00163370593292</v>
      </c>
      <c r="S57" s="102">
        <f>TrNavi_ene!S4</f>
        <v>112.5928632846088</v>
      </c>
      <c r="T57" s="102">
        <f>TrNavi_ene!T4</f>
        <v>116.81779879621666</v>
      </c>
      <c r="U57" s="102">
        <f>TrNavi_ene!U4</f>
        <v>121.48993981083403</v>
      </c>
      <c r="V57" s="102">
        <f>TrNavi_ene!V4</f>
        <v>117.32166809974208</v>
      </c>
      <c r="W57" s="102">
        <f>TrNavi_ene!W4</f>
        <v>137.59733447979366</v>
      </c>
      <c r="X57" s="102">
        <f>TrNavi_ene!X4</f>
        <v>121.48323301805671</v>
      </c>
      <c r="Y57" s="102">
        <f>TrNavi_ene!Y4</f>
        <v>116.85408426483237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X58" s="169">
        <f>TrNavi_ene!X10</f>
        <v>0</v>
      </c>
      <c r="Y58" s="169">
        <f>TrNavi_ene!Y10</f>
        <v>0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1294.9818572656923</v>
      </c>
      <c r="C59" s="28">
        <f t="shared" ref="C59:W59" si="49">C60+C61</f>
        <v>1077.2857265692178</v>
      </c>
      <c r="D59" s="28">
        <f t="shared" si="49"/>
        <v>888.5163370593292</v>
      </c>
      <c r="E59" s="28">
        <f t="shared" si="49"/>
        <v>932.99294926913149</v>
      </c>
      <c r="F59" s="28">
        <f t="shared" si="49"/>
        <v>758.28555460017185</v>
      </c>
      <c r="G59" s="28">
        <f t="shared" si="49"/>
        <v>771.65735167669823</v>
      </c>
      <c r="H59" s="28">
        <f t="shared" si="49"/>
        <v>1015.4748065348236</v>
      </c>
      <c r="I59" s="28">
        <f t="shared" si="49"/>
        <v>1062.0319002579533</v>
      </c>
      <c r="J59" s="28">
        <f t="shared" si="49"/>
        <v>914.80601891659478</v>
      </c>
      <c r="K59" s="28">
        <f t="shared" si="49"/>
        <v>514.27824591573517</v>
      </c>
      <c r="L59" s="28">
        <f t="shared" si="49"/>
        <v>691.27024935511599</v>
      </c>
      <c r="M59" s="28">
        <f t="shared" si="49"/>
        <v>699.54617368873585</v>
      </c>
      <c r="N59" s="28">
        <f t="shared" si="49"/>
        <v>518.13800515907133</v>
      </c>
      <c r="O59" s="28">
        <f t="shared" si="49"/>
        <v>631.11444539982801</v>
      </c>
      <c r="P59" s="28">
        <f t="shared" si="49"/>
        <v>740.20017196904564</v>
      </c>
      <c r="Q59" s="28">
        <f t="shared" si="49"/>
        <v>768.95150472914861</v>
      </c>
      <c r="R59" s="28">
        <f t="shared" si="49"/>
        <v>671.16173688736012</v>
      </c>
      <c r="S59" s="28">
        <f t="shared" si="49"/>
        <v>534.74290627687014</v>
      </c>
      <c r="T59" s="28">
        <f t="shared" si="49"/>
        <v>594.15391229578654</v>
      </c>
      <c r="U59" s="28">
        <f t="shared" si="49"/>
        <v>740.19174548581236</v>
      </c>
      <c r="V59" s="28">
        <f t="shared" si="49"/>
        <v>556.52708512467757</v>
      </c>
      <c r="W59" s="28">
        <f t="shared" si="49"/>
        <v>475.67050730868431</v>
      </c>
      <c r="X59" s="28">
        <f t="shared" ref="X59:Y59" si="50">X60+X61</f>
        <v>531.96586414445403</v>
      </c>
      <c r="Y59" s="28">
        <f t="shared" si="50"/>
        <v>547.20722269991393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646.40873221080255</v>
      </c>
      <c r="C60" s="102">
        <f>MBunk_ene!C$4</f>
        <v>537.74401079521294</v>
      </c>
      <c r="D60" s="102">
        <f>MBunk_ene!D$4</f>
        <v>452.11064174356568</v>
      </c>
      <c r="E60" s="102">
        <f>MBunk_ene!E$4</f>
        <v>454.82766998143097</v>
      </c>
      <c r="F60" s="102">
        <f>MBunk_ene!F$4</f>
        <v>394.34630280345289</v>
      </c>
      <c r="G60" s="102">
        <f>MBunk_ene!G$4</f>
        <v>406.59231613750035</v>
      </c>
      <c r="H60" s="102">
        <f>MBunk_ene!H$4</f>
        <v>485.33984035789751</v>
      </c>
      <c r="I60" s="102">
        <f>MBunk_ene!I$4</f>
        <v>521.39823341323768</v>
      </c>
      <c r="J60" s="102">
        <f>MBunk_ene!J$4</f>
        <v>453.88073547321915</v>
      </c>
      <c r="K60" s="102">
        <f>MBunk_ene!K$4</f>
        <v>256.6785070431817</v>
      </c>
      <c r="L60" s="102">
        <f>MBunk_ene!L$4</f>
        <v>361.91244216014263</v>
      </c>
      <c r="M60" s="102">
        <f>MBunk_ene!M$4</f>
        <v>335.81001681456564</v>
      </c>
      <c r="N60" s="102">
        <f>MBunk_ene!N$4</f>
        <v>275.00469219559113</v>
      </c>
      <c r="O60" s="102">
        <f>MBunk_ene!O$4</f>
        <v>351.51503183173236</v>
      </c>
      <c r="P60" s="102">
        <f>MBunk_ene!P$4</f>
        <v>392.64919087125173</v>
      </c>
      <c r="Q60" s="102">
        <f>MBunk_ene!Q$4</f>
        <v>389.4514930648084</v>
      </c>
      <c r="R60" s="102">
        <f>MBunk_ene!R$4</f>
        <v>338.33380210091713</v>
      </c>
      <c r="S60" s="102">
        <f>MBunk_ene!S$4</f>
        <v>272.06882137464521</v>
      </c>
      <c r="T60" s="102">
        <f>MBunk_ene!T$4</f>
        <v>296.76525485286402</v>
      </c>
      <c r="U60" s="102">
        <f>MBunk_ene!U$4</f>
        <v>365.53381028726312</v>
      </c>
      <c r="V60" s="102">
        <f>MBunk_ene!V$4</f>
        <v>247.50383515465779</v>
      </c>
      <c r="W60" s="102">
        <f>MBunk_ene!W$4</f>
        <v>208.17465838748996</v>
      </c>
      <c r="X60" s="102">
        <f>MBunk_ene!X$4</f>
        <v>268.9345532203904</v>
      </c>
      <c r="Y60" s="102">
        <f>MBunk_ene!Y$4</f>
        <v>269.82236671138162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648.5731250548896</v>
      </c>
      <c r="C61" s="86">
        <f>MBunk_ene!C$10</f>
        <v>539.54171577400484</v>
      </c>
      <c r="D61" s="86">
        <f>MBunk_ene!D$10</f>
        <v>436.40569531576352</v>
      </c>
      <c r="E61" s="86">
        <f>MBunk_ene!E$10</f>
        <v>478.16527928770051</v>
      </c>
      <c r="F61" s="86">
        <f>MBunk_ene!F$10</f>
        <v>363.93925179671896</v>
      </c>
      <c r="G61" s="86">
        <f>MBunk_ene!G$10</f>
        <v>365.06503553919788</v>
      </c>
      <c r="H61" s="86">
        <f>MBunk_ene!H$10</f>
        <v>530.13496617692613</v>
      </c>
      <c r="I61" s="86">
        <f>MBunk_ene!I$10</f>
        <v>540.63366684471566</v>
      </c>
      <c r="J61" s="86">
        <f>MBunk_ene!J$10</f>
        <v>460.92528344337563</v>
      </c>
      <c r="K61" s="86">
        <f>MBunk_ene!K$10</f>
        <v>257.59973887255347</v>
      </c>
      <c r="L61" s="86">
        <f>MBunk_ene!L$10</f>
        <v>329.35780719497336</v>
      </c>
      <c r="M61" s="86">
        <f>MBunk_ene!M$10</f>
        <v>363.73615687417021</v>
      </c>
      <c r="N61" s="86">
        <f>MBunk_ene!N$10</f>
        <v>243.13331296348019</v>
      </c>
      <c r="O61" s="86">
        <f>MBunk_ene!O$10</f>
        <v>279.59941356809566</v>
      </c>
      <c r="P61" s="86">
        <f>MBunk_ene!P$10</f>
        <v>347.55098109779385</v>
      </c>
      <c r="Q61" s="86">
        <f>MBunk_ene!Q$10</f>
        <v>379.50001166434026</v>
      </c>
      <c r="R61" s="86">
        <f>MBunk_ene!R$10</f>
        <v>332.827934786443</v>
      </c>
      <c r="S61" s="86">
        <f>MBunk_ene!S$10</f>
        <v>262.67408490222493</v>
      </c>
      <c r="T61" s="86">
        <f>MBunk_ene!T$10</f>
        <v>297.38865744292252</v>
      </c>
      <c r="U61" s="86">
        <f>MBunk_ene!U$10</f>
        <v>374.65793519854924</v>
      </c>
      <c r="V61" s="86">
        <f>MBunk_ene!V$10</f>
        <v>309.02324997001978</v>
      </c>
      <c r="W61" s="86">
        <f>MBunk_ene!W$10</f>
        <v>267.49584892119435</v>
      </c>
      <c r="X61" s="86">
        <f>MBunk_ene!X$10</f>
        <v>263.03131092406363</v>
      </c>
      <c r="Y61" s="86">
        <f>MBunk_ene!Y$10</f>
        <v>277.38485598853237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9733.1419815942591</v>
      </c>
      <c r="C64" s="28">
        <f t="shared" si="51"/>
        <v>9659.107022512826</v>
      </c>
      <c r="D64" s="28">
        <f t="shared" si="51"/>
        <v>9401.0839824723225</v>
      </c>
      <c r="E64" s="28">
        <f t="shared" si="51"/>
        <v>9622.1789608195577</v>
      </c>
      <c r="F64" s="28">
        <f t="shared" si="51"/>
        <v>9956.3735406357519</v>
      </c>
      <c r="G64" s="28">
        <f t="shared" si="51"/>
        <v>10129.279721440214</v>
      </c>
      <c r="H64" s="28">
        <f t="shared" si="51"/>
        <v>10217.286349901564</v>
      </c>
      <c r="I64" s="28">
        <f t="shared" si="51"/>
        <v>10641.247839568627</v>
      </c>
      <c r="J64" s="28">
        <f t="shared" si="51"/>
        <v>10438.272540431864</v>
      </c>
      <c r="K64" s="28">
        <f t="shared" si="51"/>
        <v>10080.964207398561</v>
      </c>
      <c r="L64" s="28">
        <f t="shared" si="51"/>
        <v>10128.583944260748</v>
      </c>
      <c r="M64" s="28">
        <f t="shared" si="51"/>
        <v>10225.202379727332</v>
      </c>
      <c r="N64" s="28">
        <f t="shared" si="51"/>
        <v>9691.9729401553559</v>
      </c>
      <c r="O64" s="28">
        <f t="shared" si="51"/>
        <v>9625.793820006751</v>
      </c>
      <c r="P64" s="28">
        <f t="shared" si="51"/>
        <v>9928.3399392582869</v>
      </c>
      <c r="Q64" s="28">
        <f t="shared" si="51"/>
        <v>10432.769088717518</v>
      </c>
      <c r="R64" s="28">
        <f t="shared" ref="R64:V64" si="52">R65+R69+R73</f>
        <v>10602.739392831161</v>
      </c>
      <c r="S64" s="28">
        <f t="shared" si="52"/>
        <v>10629.187476603365</v>
      </c>
      <c r="T64" s="28">
        <f t="shared" si="52"/>
        <v>10932.483834345056</v>
      </c>
      <c r="U64" s="28">
        <f t="shared" si="52"/>
        <v>10879.054571698094</v>
      </c>
      <c r="V64" s="28">
        <f t="shared" si="52"/>
        <v>7941.2660667852797</v>
      </c>
      <c r="W64" s="28">
        <f t="shared" ref="W64:Y64" si="53">W65+W69+W73</f>
        <v>8276.3337839614614</v>
      </c>
      <c r="X64" s="28">
        <f t="shared" si="53"/>
        <v>9059.5134919856755</v>
      </c>
      <c r="Y64" s="28">
        <f t="shared" si="53"/>
        <v>9275.8670350822922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7057.3117898970631</v>
      </c>
      <c r="C65" s="137">
        <f t="shared" si="54"/>
        <v>6957.5924939860042</v>
      </c>
      <c r="D65" s="137">
        <f t="shared" si="54"/>
        <v>7035.4348743527426</v>
      </c>
      <c r="E65" s="137">
        <f t="shared" si="54"/>
        <v>7168.7522541494873</v>
      </c>
      <c r="F65" s="137">
        <f t="shared" si="54"/>
        <v>7214.2364289939724</v>
      </c>
      <c r="G65" s="137">
        <f t="shared" si="54"/>
        <v>7240.3222602448914</v>
      </c>
      <c r="H65" s="137">
        <f t="shared" si="54"/>
        <v>7320.1613231514229</v>
      </c>
      <c r="I65" s="137">
        <f t="shared" si="54"/>
        <v>7659.6413085789591</v>
      </c>
      <c r="J65" s="137">
        <f t="shared" si="54"/>
        <v>7627.5563342785881</v>
      </c>
      <c r="K65" s="137">
        <f t="shared" si="54"/>
        <v>7551.7864994723741</v>
      </c>
      <c r="L65" s="137">
        <f t="shared" si="54"/>
        <v>7495.8913474731226</v>
      </c>
      <c r="M65" s="137">
        <f t="shared" si="54"/>
        <v>7522.3300445811292</v>
      </c>
      <c r="N65" s="137">
        <f t="shared" si="54"/>
        <v>6983.7220118011892</v>
      </c>
      <c r="O65" s="137">
        <f t="shared" si="54"/>
        <v>6926.834546022179</v>
      </c>
      <c r="P65" s="137">
        <f t="shared" si="54"/>
        <v>7045.0526812148009</v>
      </c>
      <c r="Q65" s="137">
        <f t="shared" si="54"/>
        <v>7603.3942334258954</v>
      </c>
      <c r="R65" s="137">
        <f t="shared" ref="R65:V65" si="55">R66+R67+R68</f>
        <v>7540.7626692966769</v>
      </c>
      <c r="S65" s="137">
        <f t="shared" si="55"/>
        <v>7495.5290265647318</v>
      </c>
      <c r="T65" s="137">
        <f t="shared" si="55"/>
        <v>7649.3330187870533</v>
      </c>
      <c r="U65" s="137">
        <f t="shared" si="55"/>
        <v>7541.0976630218865</v>
      </c>
      <c r="V65" s="137">
        <f t="shared" si="55"/>
        <v>6805.8952946987611</v>
      </c>
      <c r="W65" s="137">
        <f t="shared" ref="W65:Y65" si="56">W66+W67+W68</f>
        <v>6873.2788183266293</v>
      </c>
      <c r="X65" s="137">
        <f t="shared" si="56"/>
        <v>6726.1231797475293</v>
      </c>
      <c r="Y65" s="137">
        <f t="shared" si="56"/>
        <v>6642.4701782690508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68.548976128307714</v>
      </c>
      <c r="C66" s="102">
        <f>TrRoad_emi!C$19</f>
        <v>64.52364528112706</v>
      </c>
      <c r="D66" s="102">
        <f>TrRoad_emi!D$19</f>
        <v>66.666220746546543</v>
      </c>
      <c r="E66" s="102">
        <f>TrRoad_emi!E$19</f>
        <v>66.944900877929967</v>
      </c>
      <c r="F66" s="102">
        <f>TrRoad_emi!F$19</f>
        <v>66.121334090030629</v>
      </c>
      <c r="G66" s="102">
        <f>TrRoad_emi!G$19</f>
        <v>66.711081753367068</v>
      </c>
      <c r="H66" s="102">
        <f>TrRoad_emi!H$19</f>
        <v>68.987413939775365</v>
      </c>
      <c r="I66" s="102">
        <f>TrRoad_emi!I$19</f>
        <v>72.505059563568679</v>
      </c>
      <c r="J66" s="102">
        <f>TrRoad_emi!J$19</f>
        <v>72.288606719430973</v>
      </c>
      <c r="K66" s="102">
        <f>TrRoad_emi!K$19</f>
        <v>69.400065038864696</v>
      </c>
      <c r="L66" s="102">
        <f>TrRoad_emi!L$19</f>
        <v>67.752861518592965</v>
      </c>
      <c r="M66" s="102">
        <f>TrRoad_emi!M$19</f>
        <v>65.358830384400889</v>
      </c>
      <c r="N66" s="102">
        <f>TrRoad_emi!N$19</f>
        <v>65.313551701469748</v>
      </c>
      <c r="O66" s="102">
        <f>TrRoad_emi!O$19</f>
        <v>65.650886426671775</v>
      </c>
      <c r="P66" s="102">
        <f>TrRoad_emi!P$19</f>
        <v>66.611087332115048</v>
      </c>
      <c r="Q66" s="102">
        <f>TrRoad_emi!Q$19</f>
        <v>66.855625978623181</v>
      </c>
      <c r="R66" s="102">
        <f>TrRoad_emi!R$19</f>
        <v>66.328790202529433</v>
      </c>
      <c r="S66" s="102">
        <f>TrRoad_emi!S$19</f>
        <v>62.395768152853357</v>
      </c>
      <c r="T66" s="102">
        <f>TrRoad_emi!T$19</f>
        <v>58.836075435898046</v>
      </c>
      <c r="U66" s="102">
        <f>TrRoad_emi!U$19</f>
        <v>60.941581599953935</v>
      </c>
      <c r="V66" s="102">
        <f>TrRoad_emi!V$19</f>
        <v>52.222593095488541</v>
      </c>
      <c r="W66" s="102">
        <f>TrRoad_emi!W$19</f>
        <v>53.559337341936214</v>
      </c>
      <c r="X66" s="102">
        <f>TrRoad_emi!X$19</f>
        <v>53.428499589774297</v>
      </c>
      <c r="Y66" s="102">
        <f>TrRoad_emi!Y$19</f>
        <v>56.683198488047509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5925.3701396022007</v>
      </c>
      <c r="C67" s="102">
        <f>TrRoad_emi!C$20</f>
        <v>5859.4515684825928</v>
      </c>
      <c r="D67" s="102">
        <f>TrRoad_emi!D$20</f>
        <v>5960.8533900457805</v>
      </c>
      <c r="E67" s="102">
        <f>TrRoad_emi!E$20</f>
        <v>6079.8499818076571</v>
      </c>
      <c r="F67" s="102">
        <f>TrRoad_emi!F$20</f>
        <v>6143.5047688327513</v>
      </c>
      <c r="G67" s="102">
        <f>TrRoad_emi!G$20</f>
        <v>6159.9219126304661</v>
      </c>
      <c r="H67" s="102">
        <f>TrRoad_emi!H$20</f>
        <v>6230.4160311659234</v>
      </c>
      <c r="I67" s="102">
        <f>TrRoad_emi!I$20</f>
        <v>6577.7873238038701</v>
      </c>
      <c r="J67" s="102">
        <f>TrRoad_emi!J$20</f>
        <v>6531.0417264284661</v>
      </c>
      <c r="K67" s="102">
        <f>TrRoad_emi!K$20</f>
        <v>6441.5716793795073</v>
      </c>
      <c r="L67" s="102">
        <f>TrRoad_emi!L$20</f>
        <v>6364.8134824571971</v>
      </c>
      <c r="M67" s="102">
        <f>TrRoad_emi!M$20</f>
        <v>6453.6336626060438</v>
      </c>
      <c r="N67" s="102">
        <f>TrRoad_emi!N$20</f>
        <v>6006.567760326524</v>
      </c>
      <c r="O67" s="102">
        <f>TrRoad_emi!O$20</f>
        <v>5988.6023935174044</v>
      </c>
      <c r="P67" s="102">
        <f>TrRoad_emi!P$20</f>
        <v>6073.088703474149</v>
      </c>
      <c r="Q67" s="102">
        <f>TrRoad_emi!Q$20</f>
        <v>6607.4199250642487</v>
      </c>
      <c r="R67" s="102">
        <f>TrRoad_emi!R$20</f>
        <v>6512.5927376112595</v>
      </c>
      <c r="S67" s="102">
        <f>TrRoad_emi!S$20</f>
        <v>6428.5383796583128</v>
      </c>
      <c r="T67" s="102">
        <f>TrRoad_emi!T$20</f>
        <v>6588.5330034686895</v>
      </c>
      <c r="U67" s="102">
        <f>TrRoad_emi!U$20</f>
        <v>6519.0452697094124</v>
      </c>
      <c r="V67" s="102">
        <f>TrRoad_emi!V$20</f>
        <v>5799.9307628160286</v>
      </c>
      <c r="W67" s="102">
        <f>TrRoad_emi!W$20</f>
        <v>5887.0463231810718</v>
      </c>
      <c r="X67" s="102">
        <f>TrRoad_emi!X$20</f>
        <v>5760.9677776263998</v>
      </c>
      <c r="Y67" s="102">
        <f>TrRoad_emi!Y$20</f>
        <v>5714.6005444561997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1063.3926741665543</v>
      </c>
      <c r="C68" s="102">
        <f>TrRoad_emi!C$27</f>
        <v>1033.6172802222848</v>
      </c>
      <c r="D68" s="102">
        <f>TrRoad_emi!D$27</f>
        <v>1007.915263560415</v>
      </c>
      <c r="E68" s="102">
        <f>TrRoad_emi!E$27</f>
        <v>1021.9573714639</v>
      </c>
      <c r="F68" s="102">
        <f>TrRoad_emi!F$27</f>
        <v>1004.6103260711911</v>
      </c>
      <c r="G68" s="102">
        <f>TrRoad_emi!G$27</f>
        <v>1013.6892658610587</v>
      </c>
      <c r="H68" s="102">
        <f>TrRoad_emi!H$27</f>
        <v>1020.7578780457244</v>
      </c>
      <c r="I68" s="102">
        <f>TrRoad_emi!I$27</f>
        <v>1009.3489252115203</v>
      </c>
      <c r="J68" s="102">
        <f>TrRoad_emi!J$27</f>
        <v>1024.2260011306905</v>
      </c>
      <c r="K68" s="102">
        <f>TrRoad_emi!K$27</f>
        <v>1040.8147550540023</v>
      </c>
      <c r="L68" s="102">
        <f>TrRoad_emi!L$27</f>
        <v>1063.3250034973325</v>
      </c>
      <c r="M68" s="102">
        <f>TrRoad_emi!M$27</f>
        <v>1003.3375515906851</v>
      </c>
      <c r="N68" s="102">
        <f>TrRoad_emi!N$27</f>
        <v>911.8406997731953</v>
      </c>
      <c r="O68" s="102">
        <f>TrRoad_emi!O$27</f>
        <v>872.58126607810345</v>
      </c>
      <c r="P68" s="102">
        <f>TrRoad_emi!P$27</f>
        <v>905.35289040853706</v>
      </c>
      <c r="Q68" s="102">
        <f>TrRoad_emi!Q$27</f>
        <v>929.11868238302395</v>
      </c>
      <c r="R68" s="102">
        <f>TrRoad_emi!R$27</f>
        <v>961.84114148288745</v>
      </c>
      <c r="S68" s="102">
        <f>TrRoad_emi!S$27</f>
        <v>1004.5948787535652</v>
      </c>
      <c r="T68" s="102">
        <f>TrRoad_emi!T$27</f>
        <v>1001.9639398824654</v>
      </c>
      <c r="U68" s="102">
        <f>TrRoad_emi!U$27</f>
        <v>961.11081171252022</v>
      </c>
      <c r="V68" s="102">
        <f>TrRoad_emi!V$27</f>
        <v>953.74193878724441</v>
      </c>
      <c r="W68" s="102">
        <f>TrRoad_emi!W$27</f>
        <v>932.67315780362196</v>
      </c>
      <c r="X68" s="102">
        <f>TrRoad_emi!X$27</f>
        <v>911.72690253135568</v>
      </c>
      <c r="Y68" s="102">
        <f>TrRoad_emi!Y$27</f>
        <v>871.18643532480394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197.56286081920211</v>
      </c>
      <c r="C69" s="110">
        <f t="shared" si="57"/>
        <v>183.62182624938225</v>
      </c>
      <c r="D69" s="110">
        <f t="shared" si="57"/>
        <v>186.81610772024646</v>
      </c>
      <c r="E69" s="110">
        <f t="shared" si="57"/>
        <v>194.89220436100666</v>
      </c>
      <c r="F69" s="110">
        <f t="shared" si="57"/>
        <v>188.73043625241783</v>
      </c>
      <c r="G69" s="110">
        <f t="shared" si="57"/>
        <v>207.08602316702863</v>
      </c>
      <c r="H69" s="110">
        <f t="shared" si="57"/>
        <v>204.29183364473175</v>
      </c>
      <c r="I69" s="110">
        <f t="shared" si="57"/>
        <v>206.66722161122414</v>
      </c>
      <c r="J69" s="110">
        <f t="shared" si="57"/>
        <v>216.60181520158139</v>
      </c>
      <c r="K69" s="110">
        <f t="shared" si="57"/>
        <v>211.31015033813617</v>
      </c>
      <c r="L69" s="110">
        <f t="shared" si="57"/>
        <v>218.07443158301263</v>
      </c>
      <c r="M69" s="110">
        <f t="shared" si="57"/>
        <v>220.54767584704081</v>
      </c>
      <c r="N69" s="110">
        <f t="shared" si="57"/>
        <v>226.17256753204401</v>
      </c>
      <c r="O69" s="110">
        <f t="shared" si="57"/>
        <v>221.94641529613014</v>
      </c>
      <c r="P69" s="110">
        <f t="shared" si="57"/>
        <v>225.85263559719826</v>
      </c>
      <c r="Q69" s="110">
        <f t="shared" si="57"/>
        <v>217.55645140249132</v>
      </c>
      <c r="R69" s="110">
        <f t="shared" ref="R69:V69" si="58">R70+R71+R72</f>
        <v>220.68086617106445</v>
      </c>
      <c r="S69" s="110">
        <f t="shared" si="58"/>
        <v>211.18250150990892</v>
      </c>
      <c r="T69" s="110">
        <f t="shared" si="58"/>
        <v>192.58734761818684</v>
      </c>
      <c r="U69" s="110">
        <f t="shared" si="58"/>
        <v>192.55702924343254</v>
      </c>
      <c r="V69" s="110">
        <f t="shared" si="58"/>
        <v>171.39341274986134</v>
      </c>
      <c r="W69" s="110">
        <f t="shared" ref="W69:Y69" si="59">W70+W71+W72</f>
        <v>163.1765060542711</v>
      </c>
      <c r="X69" s="110">
        <f t="shared" si="59"/>
        <v>158.07481956538982</v>
      </c>
      <c r="Y69" s="110">
        <f t="shared" si="59"/>
        <v>153.27263918932556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197.56286081920211</v>
      </c>
      <c r="C71" s="102">
        <f>TrRail_emi!C$11</f>
        <v>183.62182624938225</v>
      </c>
      <c r="D71" s="102">
        <f>TrRail_emi!D$11</f>
        <v>186.81610772024646</v>
      </c>
      <c r="E71" s="102">
        <f>TrRail_emi!E$11</f>
        <v>194.89220436100666</v>
      </c>
      <c r="F71" s="102">
        <f>TrRail_emi!F$11</f>
        <v>188.73043625241783</v>
      </c>
      <c r="G71" s="102">
        <f>TrRail_emi!G$11</f>
        <v>207.08602316702863</v>
      </c>
      <c r="H71" s="102">
        <f>TrRail_emi!H$11</f>
        <v>204.29183364473175</v>
      </c>
      <c r="I71" s="102">
        <f>TrRail_emi!I$11</f>
        <v>206.66722161122414</v>
      </c>
      <c r="J71" s="102">
        <f>TrRail_emi!J$11</f>
        <v>216.60181520158139</v>
      </c>
      <c r="K71" s="102">
        <f>TrRail_emi!K$11</f>
        <v>211.31015033813617</v>
      </c>
      <c r="L71" s="102">
        <f>TrRail_emi!L$11</f>
        <v>218.07443158301263</v>
      </c>
      <c r="M71" s="102">
        <f>TrRail_emi!M$11</f>
        <v>220.54767584704081</v>
      </c>
      <c r="N71" s="102">
        <f>TrRail_emi!N$11</f>
        <v>226.17256753204401</v>
      </c>
      <c r="O71" s="102">
        <f>TrRail_emi!O$11</f>
        <v>221.94641529613014</v>
      </c>
      <c r="P71" s="102">
        <f>TrRail_emi!P$11</f>
        <v>225.85263559719826</v>
      </c>
      <c r="Q71" s="102">
        <f>TrRail_emi!Q$11</f>
        <v>217.55645140249132</v>
      </c>
      <c r="R71" s="102">
        <f>TrRail_emi!R$11</f>
        <v>220.68086617106445</v>
      </c>
      <c r="S71" s="102">
        <f>TrRail_emi!S$11</f>
        <v>211.18250150990892</v>
      </c>
      <c r="T71" s="102">
        <f>TrRail_emi!T$11</f>
        <v>192.58734761818684</v>
      </c>
      <c r="U71" s="102">
        <f>TrRail_emi!U$11</f>
        <v>192.55702924343254</v>
      </c>
      <c r="V71" s="102">
        <f>TrRail_emi!V$11</f>
        <v>171.39341274986134</v>
      </c>
      <c r="W71" s="102">
        <f>TrRail_emi!W$11</f>
        <v>163.1765060542711</v>
      </c>
      <c r="X71" s="102">
        <f>TrRail_emi!X$11</f>
        <v>158.07481956538982</v>
      </c>
      <c r="Y71" s="102">
        <f>TrRail_emi!Y$11</f>
        <v>153.27263918932556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2478.267330877994</v>
      </c>
      <c r="C73" s="110">
        <f t="shared" si="60"/>
        <v>2517.8927022774392</v>
      </c>
      <c r="D73" s="110">
        <f t="shared" si="60"/>
        <v>2178.8330003993328</v>
      </c>
      <c r="E73" s="110">
        <f t="shared" si="60"/>
        <v>2258.5345023090649</v>
      </c>
      <c r="F73" s="110">
        <f t="shared" si="60"/>
        <v>2553.4066753893621</v>
      </c>
      <c r="G73" s="110">
        <f t="shared" si="60"/>
        <v>2681.8714380282945</v>
      </c>
      <c r="H73" s="110">
        <f t="shared" si="60"/>
        <v>2692.8331931054086</v>
      </c>
      <c r="I73" s="110">
        <f t="shared" si="60"/>
        <v>2774.9393093784429</v>
      </c>
      <c r="J73" s="110">
        <f t="shared" si="60"/>
        <v>2594.1143909516954</v>
      </c>
      <c r="K73" s="110">
        <f t="shared" si="60"/>
        <v>2317.8675575880511</v>
      </c>
      <c r="L73" s="110">
        <f t="shared" si="60"/>
        <v>2414.618165204613</v>
      </c>
      <c r="M73" s="110">
        <f t="shared" si="60"/>
        <v>2482.3246592991618</v>
      </c>
      <c r="N73" s="110">
        <f t="shared" si="60"/>
        <v>2482.0783608221232</v>
      </c>
      <c r="O73" s="110">
        <f t="shared" si="60"/>
        <v>2477.0128586884412</v>
      </c>
      <c r="P73" s="110">
        <f t="shared" si="60"/>
        <v>2657.4346224462884</v>
      </c>
      <c r="Q73" s="110">
        <f t="shared" si="60"/>
        <v>2611.8184038891313</v>
      </c>
      <c r="R73" s="110">
        <f t="shared" ref="R73:V73" si="61">R74+R75+R76</f>
        <v>2841.2958573634205</v>
      </c>
      <c r="S73" s="110">
        <f t="shared" si="61"/>
        <v>2922.4759485287232</v>
      </c>
      <c r="T73" s="110">
        <f t="shared" si="61"/>
        <v>3090.5634679398154</v>
      </c>
      <c r="U73" s="110">
        <f t="shared" si="61"/>
        <v>3145.3998794327754</v>
      </c>
      <c r="V73" s="110">
        <f t="shared" si="61"/>
        <v>963.97735933665763</v>
      </c>
      <c r="W73" s="110">
        <f t="shared" ref="W73:Y73" si="62">W74+W75+W76</f>
        <v>1239.87845958056</v>
      </c>
      <c r="X73" s="110">
        <f t="shared" si="62"/>
        <v>2175.3154926727575</v>
      </c>
      <c r="Y73" s="110">
        <f t="shared" si="62"/>
        <v>2480.1242176239157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139.87010369897237</v>
      </c>
      <c r="C74" s="102">
        <f>TrAvia_emi!C$7</f>
        <v>142.95345333416441</v>
      </c>
      <c r="D74" s="102">
        <f>TrAvia_emi!D$7</f>
        <v>118.14577432375066</v>
      </c>
      <c r="E74" s="102">
        <f>TrAvia_emi!E$7</f>
        <v>115.26459907478927</v>
      </c>
      <c r="F74" s="102">
        <f>TrAvia_emi!F$7</f>
        <v>96.60334512611486</v>
      </c>
      <c r="G74" s="102">
        <f>TrAvia_emi!G$7</f>
        <v>102.79499678263707</v>
      </c>
      <c r="H74" s="102">
        <f>TrAvia_emi!H$7</f>
        <v>108.98149070195034</v>
      </c>
      <c r="I74" s="102">
        <f>TrAvia_emi!I$7</f>
        <v>127.72623720387037</v>
      </c>
      <c r="J74" s="102">
        <f>TrAvia_emi!J$7</f>
        <v>133.59853710169531</v>
      </c>
      <c r="K74" s="102">
        <f>TrAvia_emi!K$7</f>
        <v>133.66341547465481</v>
      </c>
      <c r="L74" s="102">
        <f>TrAvia_emi!L$7</f>
        <v>140.37827296116072</v>
      </c>
      <c r="M74" s="102">
        <f>TrAvia_emi!M$7</f>
        <v>134.25693840286388</v>
      </c>
      <c r="N74" s="102">
        <f>TrAvia_emi!N$7</f>
        <v>115.49416213068984</v>
      </c>
      <c r="O74" s="102">
        <f>TrAvia_emi!O$7</f>
        <v>112.36217361914836</v>
      </c>
      <c r="P74" s="102">
        <f>TrAvia_emi!P$7</f>
        <v>109.246081531909</v>
      </c>
      <c r="Q74" s="102">
        <f>TrAvia_emi!Q$7</f>
        <v>101.48017216667321</v>
      </c>
      <c r="R74" s="102">
        <f>TrAvia_emi!R$7</f>
        <v>105.44834310810397</v>
      </c>
      <c r="S74" s="102">
        <f>TrAvia_emi!S$7</f>
        <v>100.65881833197425</v>
      </c>
      <c r="T74" s="102">
        <f>TrAvia_emi!T$7</f>
        <v>95.218146977011926</v>
      </c>
      <c r="U74" s="102">
        <f>TrAvia_emi!U$7</f>
        <v>95.544012742005549</v>
      </c>
      <c r="V74" s="102">
        <f>TrAvia_emi!V$7</f>
        <v>51.215714553822167</v>
      </c>
      <c r="W74" s="102">
        <f>TrAvia_emi!W$7</f>
        <v>54.861311799410018</v>
      </c>
      <c r="X74" s="102">
        <f>TrAvia_emi!X$7</f>
        <v>73.632785593157948</v>
      </c>
      <c r="Y74" s="102">
        <f>TrAvia_emi!Y$7</f>
        <v>73.717050405980814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1394.9860163976919</v>
      </c>
      <c r="C75" s="102">
        <f>TrAvia_emi!C$8</f>
        <v>1416.7414485781032</v>
      </c>
      <c r="D75" s="102">
        <f>TrAvia_emi!D$8</f>
        <v>1273.239895887672</v>
      </c>
      <c r="E75" s="102">
        <f>TrAvia_emi!E$8</f>
        <v>1337.3031762554715</v>
      </c>
      <c r="F75" s="102">
        <f>TrAvia_emi!F$8</f>
        <v>1461.8591298292972</v>
      </c>
      <c r="G75" s="102">
        <f>TrAvia_emi!G$8</f>
        <v>1531.2094423405899</v>
      </c>
      <c r="H75" s="102">
        <f>TrAvia_emi!H$8</f>
        <v>1539.7161090282532</v>
      </c>
      <c r="I75" s="102">
        <f>TrAvia_emi!I$8</f>
        <v>1595.1105198440828</v>
      </c>
      <c r="J75" s="102">
        <f>TrAvia_emi!J$8</f>
        <v>1480.5878740166363</v>
      </c>
      <c r="K75" s="102">
        <f>TrAvia_emi!K$8</f>
        <v>1272.2173244215169</v>
      </c>
      <c r="L75" s="102">
        <f>TrAvia_emi!L$8</f>
        <v>1319.773562482889</v>
      </c>
      <c r="M75" s="102">
        <f>TrAvia_emi!M$8</f>
        <v>1368.6004690498983</v>
      </c>
      <c r="N75" s="102">
        <f>TrAvia_emi!N$8</f>
        <v>1367.1762244228648</v>
      </c>
      <c r="O75" s="102">
        <f>TrAvia_emi!O$8</f>
        <v>1369.90483038093</v>
      </c>
      <c r="P75" s="102">
        <f>TrAvia_emi!P$8</f>
        <v>1481.3882487314422</v>
      </c>
      <c r="Q75" s="102">
        <f>TrAvia_emi!Q$8</f>
        <v>1467.5510630848044</v>
      </c>
      <c r="R75" s="102">
        <f>TrAvia_emi!R$8</f>
        <v>1644.4395868344359</v>
      </c>
      <c r="S75" s="102">
        <f>TrAvia_emi!S$8</f>
        <v>1707.498628325865</v>
      </c>
      <c r="T75" s="102">
        <f>TrAvia_emi!T$8</f>
        <v>1798.3010570665003</v>
      </c>
      <c r="U75" s="102">
        <f>TrAvia_emi!U$8</f>
        <v>1799.9944104777112</v>
      </c>
      <c r="V75" s="102">
        <f>TrAvia_emi!V$8</f>
        <v>467.54375591058476</v>
      </c>
      <c r="W75" s="102">
        <f>TrAvia_emi!W$8</f>
        <v>648.72569241348833</v>
      </c>
      <c r="X75" s="102">
        <f>TrAvia_emi!X$8</f>
        <v>1276.5262855038309</v>
      </c>
      <c r="Y75" s="102">
        <f>TrAvia_emi!Y$8</f>
        <v>1447.1477885976251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943.41121078133006</v>
      </c>
      <c r="C76" s="102">
        <f>TrAvia_emi!C$9</f>
        <v>958.19780036517159</v>
      </c>
      <c r="D76" s="102">
        <f>TrAvia_emi!D$9</f>
        <v>787.4473301879101</v>
      </c>
      <c r="E76" s="102">
        <f>TrAvia_emi!E$9</f>
        <v>805.96672697880433</v>
      </c>
      <c r="F76" s="102">
        <f>TrAvia_emi!F$9</f>
        <v>994.94420043395007</v>
      </c>
      <c r="G76" s="102">
        <f>TrAvia_emi!G$9</f>
        <v>1047.8669989050675</v>
      </c>
      <c r="H76" s="102">
        <f>TrAvia_emi!H$9</f>
        <v>1044.135593375205</v>
      </c>
      <c r="I76" s="102">
        <f>TrAvia_emi!I$9</f>
        <v>1052.10255233049</v>
      </c>
      <c r="J76" s="102">
        <f>TrAvia_emi!J$9</f>
        <v>979.92797983336379</v>
      </c>
      <c r="K76" s="102">
        <f>TrAvia_emi!K$9</f>
        <v>911.98681769187954</v>
      </c>
      <c r="L76" s="102">
        <f>TrAvia_emi!L$9</f>
        <v>954.4663297605631</v>
      </c>
      <c r="M76" s="102">
        <f>TrAvia_emi!M$9</f>
        <v>979.46725184639956</v>
      </c>
      <c r="N76" s="102">
        <f>TrAvia_emi!N$9</f>
        <v>999.40797426856841</v>
      </c>
      <c r="O76" s="102">
        <f>TrAvia_emi!O$9</f>
        <v>994.7458546883629</v>
      </c>
      <c r="P76" s="102">
        <f>TrAvia_emi!P$9</f>
        <v>1066.800292182937</v>
      </c>
      <c r="Q76" s="102">
        <f>TrAvia_emi!Q$9</f>
        <v>1042.7871686376538</v>
      </c>
      <c r="R76" s="102">
        <f>TrAvia_emi!R$9</f>
        <v>1091.4079274208805</v>
      </c>
      <c r="S76" s="102">
        <f>TrAvia_emi!S$9</f>
        <v>1114.3185018708839</v>
      </c>
      <c r="T76" s="102">
        <f>TrAvia_emi!T$9</f>
        <v>1197.0442638963034</v>
      </c>
      <c r="U76" s="102">
        <f>TrAvia_emi!U$9</f>
        <v>1249.8614562130583</v>
      </c>
      <c r="V76" s="102">
        <f>TrAvia_emi!V$9</f>
        <v>445.21788887225068</v>
      </c>
      <c r="W76" s="102">
        <f>TrAvia_emi!W$9</f>
        <v>536.29145536766157</v>
      </c>
      <c r="X76" s="102">
        <f>TrAvia_emi!X$9</f>
        <v>825.15642157576895</v>
      </c>
      <c r="Y76" s="102">
        <f>TrAvia_emi!Y$9</f>
        <v>959.25937862030969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4550.3537704457422</v>
      </c>
      <c r="C77" s="28">
        <f t="shared" si="63"/>
        <v>4756.7274770471722</v>
      </c>
      <c r="D77" s="28">
        <f t="shared" si="63"/>
        <v>4849.4231897276786</v>
      </c>
      <c r="E77" s="28">
        <f t="shared" si="63"/>
        <v>5187.5418527404408</v>
      </c>
      <c r="F77" s="28">
        <f t="shared" si="63"/>
        <v>5466.9490284842468</v>
      </c>
      <c r="G77" s="28">
        <f t="shared" si="63"/>
        <v>5638.791588799787</v>
      </c>
      <c r="H77" s="28">
        <f t="shared" si="63"/>
        <v>5855.7964140184367</v>
      </c>
      <c r="I77" s="28">
        <f t="shared" si="63"/>
        <v>6053.4556309513746</v>
      </c>
      <c r="J77" s="28">
        <f t="shared" si="63"/>
        <v>6102.5983832881366</v>
      </c>
      <c r="K77" s="28">
        <f t="shared" si="63"/>
        <v>5389.7504105214421</v>
      </c>
      <c r="L77" s="28">
        <f t="shared" si="63"/>
        <v>5293.2259210592538</v>
      </c>
      <c r="M77" s="28">
        <f t="shared" si="63"/>
        <v>4915.3795921126684</v>
      </c>
      <c r="N77" s="28">
        <f t="shared" si="63"/>
        <v>4417.7432886046427</v>
      </c>
      <c r="O77" s="28">
        <f t="shared" si="63"/>
        <v>4252.4601869932449</v>
      </c>
      <c r="P77" s="28">
        <f t="shared" si="63"/>
        <v>4249.0257568217112</v>
      </c>
      <c r="Q77" s="28">
        <f t="shared" si="63"/>
        <v>4133.5843836406602</v>
      </c>
      <c r="R77" s="28">
        <f t="shared" si="63"/>
        <v>4317.9873045150543</v>
      </c>
      <c r="S77" s="28">
        <f t="shared" si="63"/>
        <v>4368.7155131941181</v>
      </c>
      <c r="T77" s="28">
        <f t="shared" si="63"/>
        <v>4452.4788968109951</v>
      </c>
      <c r="U77" s="28">
        <f t="shared" si="63"/>
        <v>4301.8666273767521</v>
      </c>
      <c r="V77" s="28">
        <f t="shared" si="63"/>
        <v>4100.8143356224427</v>
      </c>
      <c r="W77" s="28">
        <f t="shared" si="63"/>
        <v>4246.8418561218832</v>
      </c>
      <c r="X77" s="28">
        <f t="shared" si="63"/>
        <v>4279.5466884643229</v>
      </c>
      <c r="Y77" s="28">
        <f t="shared" si="63"/>
        <v>4331.321317649541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3984.4519636229388</v>
      </c>
      <c r="C78" s="137">
        <f t="shared" si="64"/>
        <v>4172.686602973994</v>
      </c>
      <c r="D78" s="137">
        <f t="shared" si="64"/>
        <v>4207.4596494072566</v>
      </c>
      <c r="E78" s="137">
        <f t="shared" si="64"/>
        <v>4558.1241744105118</v>
      </c>
      <c r="F78" s="137">
        <f t="shared" si="64"/>
        <v>4901.8787729660262</v>
      </c>
      <c r="G78" s="137">
        <f t="shared" si="64"/>
        <v>4990.97029195511</v>
      </c>
      <c r="H78" s="137">
        <f t="shared" si="64"/>
        <v>5260.5246253685764</v>
      </c>
      <c r="I78" s="137">
        <f t="shared" si="64"/>
        <v>5530.8670370210411</v>
      </c>
      <c r="J78" s="137">
        <f t="shared" si="64"/>
        <v>5264.2054932814135</v>
      </c>
      <c r="K78" s="137">
        <f t="shared" si="64"/>
        <v>4658.1187079676283</v>
      </c>
      <c r="L78" s="137">
        <f t="shared" si="64"/>
        <v>4624.9305668468796</v>
      </c>
      <c r="M78" s="137">
        <f t="shared" si="64"/>
        <v>4264.055645058872</v>
      </c>
      <c r="N78" s="137">
        <f t="shared" si="64"/>
        <v>3778.0875617188094</v>
      </c>
      <c r="O78" s="137">
        <f t="shared" si="64"/>
        <v>3628.6461726178163</v>
      </c>
      <c r="P78" s="137">
        <f t="shared" si="64"/>
        <v>3694.6137376251972</v>
      </c>
      <c r="Q78" s="137">
        <f t="shared" si="64"/>
        <v>3546.5114482122835</v>
      </c>
      <c r="R78" s="137">
        <f t="shared" ref="R78:V78" si="65">R79+R80</f>
        <v>3810.6084596095393</v>
      </c>
      <c r="S78" s="137">
        <f t="shared" si="65"/>
        <v>3870.1511833127506</v>
      </c>
      <c r="T78" s="137">
        <f t="shared" si="65"/>
        <v>3974.8476877689964</v>
      </c>
      <c r="U78" s="137">
        <f t="shared" si="65"/>
        <v>3795.4036503329598</v>
      </c>
      <c r="V78" s="137">
        <f t="shared" si="65"/>
        <v>3621.1954329089622</v>
      </c>
      <c r="W78" s="137">
        <f t="shared" ref="W78:Y78" si="66">W79+W80</f>
        <v>3694.009984276714</v>
      </c>
      <c r="X78" s="137">
        <f t="shared" si="66"/>
        <v>3771.4424833424705</v>
      </c>
      <c r="Y78" s="137">
        <f t="shared" si="66"/>
        <v>3821.7420930627823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1693.2380740620426</v>
      </c>
      <c r="C79" s="102">
        <f>TrRoad_emi!C$34</f>
        <v>1761.3992791056733</v>
      </c>
      <c r="D79" s="102">
        <f>TrRoad_emi!D$34</f>
        <v>1764.235829318636</v>
      </c>
      <c r="E79" s="102">
        <f>TrRoad_emi!E$34</f>
        <v>1837.6633242665127</v>
      </c>
      <c r="F79" s="102">
        <f>TrRoad_emi!F$34</f>
        <v>1981.7816454356907</v>
      </c>
      <c r="G79" s="102">
        <f>TrRoad_emi!G$34</f>
        <v>2086.7769490905976</v>
      </c>
      <c r="H79" s="102">
        <f>TrRoad_emi!H$34</f>
        <v>2272.9112731977907</v>
      </c>
      <c r="I79" s="102">
        <f>TrRoad_emi!I$34</f>
        <v>2476.6620023515179</v>
      </c>
      <c r="J79" s="102">
        <f>TrRoad_emi!J$34</f>
        <v>2452.1912701047486</v>
      </c>
      <c r="K79" s="102">
        <f>TrRoad_emi!K$34</f>
        <v>2269.968313246482</v>
      </c>
      <c r="L79" s="102">
        <f>TrRoad_emi!L$34</f>
        <v>2191.5753831276493</v>
      </c>
      <c r="M79" s="102">
        <f>TrRoad_emi!M$34</f>
        <v>1927.9780001284503</v>
      </c>
      <c r="N79" s="102">
        <f>TrRoad_emi!N$34</f>
        <v>1726.0896348018534</v>
      </c>
      <c r="O79" s="102">
        <f>TrRoad_emi!O$34</f>
        <v>1629.5668741745963</v>
      </c>
      <c r="P79" s="102">
        <f>TrRoad_emi!P$34</f>
        <v>1555.3278069951832</v>
      </c>
      <c r="Q79" s="102">
        <f>TrRoad_emi!Q$34</f>
        <v>1568.4227184531153</v>
      </c>
      <c r="R79" s="102">
        <f>TrRoad_emi!R$34</f>
        <v>1562.1740210853068</v>
      </c>
      <c r="S79" s="102">
        <f>TrRoad_emi!S$34</f>
        <v>1586.7784774013837</v>
      </c>
      <c r="T79" s="102">
        <f>TrRoad_emi!T$34</f>
        <v>1598.3997725731183</v>
      </c>
      <c r="U79" s="102">
        <f>TrRoad_emi!U$34</f>
        <v>1502.7951407099927</v>
      </c>
      <c r="V79" s="102">
        <f>TrRoad_emi!V$34</f>
        <v>1396.8181786375137</v>
      </c>
      <c r="W79" s="102">
        <f>TrRoad_emi!W$34</f>
        <v>1432.1729044306608</v>
      </c>
      <c r="X79" s="102">
        <f>TrRoad_emi!X$34</f>
        <v>1524.426172705812</v>
      </c>
      <c r="Y79" s="102">
        <f>TrRoad_emi!Y$34</f>
        <v>1535.7145362001772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2291.2138895608964</v>
      </c>
      <c r="C80" s="102">
        <f>TrRoad_emi!C$40</f>
        <v>2411.2873238683205</v>
      </c>
      <c r="D80" s="102">
        <f>TrRoad_emi!D$40</f>
        <v>2443.2238200886209</v>
      </c>
      <c r="E80" s="102">
        <f>TrRoad_emi!E$40</f>
        <v>2720.4608501439989</v>
      </c>
      <c r="F80" s="102">
        <f>TrRoad_emi!F$40</f>
        <v>2920.0971275303355</v>
      </c>
      <c r="G80" s="102">
        <f>TrRoad_emi!G$40</f>
        <v>2904.1933428645125</v>
      </c>
      <c r="H80" s="102">
        <f>TrRoad_emi!H$40</f>
        <v>2987.6133521707852</v>
      </c>
      <c r="I80" s="102">
        <f>TrRoad_emi!I$40</f>
        <v>3054.2050346695232</v>
      </c>
      <c r="J80" s="102">
        <f>TrRoad_emi!J$40</f>
        <v>2812.0142231766649</v>
      </c>
      <c r="K80" s="102">
        <f>TrRoad_emi!K$40</f>
        <v>2388.1503947211463</v>
      </c>
      <c r="L80" s="102">
        <f>TrRoad_emi!L$40</f>
        <v>2433.3551837192304</v>
      </c>
      <c r="M80" s="102">
        <f>TrRoad_emi!M$40</f>
        <v>2336.0776449304212</v>
      </c>
      <c r="N80" s="102">
        <f>TrRoad_emi!N$40</f>
        <v>2051.9979269169562</v>
      </c>
      <c r="O80" s="102">
        <f>TrRoad_emi!O$40</f>
        <v>1999.0792984432201</v>
      </c>
      <c r="P80" s="102">
        <f>TrRoad_emi!P$40</f>
        <v>2139.2859306300143</v>
      </c>
      <c r="Q80" s="102">
        <f>TrRoad_emi!Q$40</f>
        <v>1978.0887297591682</v>
      </c>
      <c r="R80" s="102">
        <f>TrRoad_emi!R$40</f>
        <v>2248.4344385242325</v>
      </c>
      <c r="S80" s="102">
        <f>TrRoad_emi!S$40</f>
        <v>2283.3727059113667</v>
      </c>
      <c r="T80" s="102">
        <f>TrRoad_emi!T$40</f>
        <v>2376.4479151958781</v>
      </c>
      <c r="U80" s="102">
        <f>TrRoad_emi!U$40</f>
        <v>2292.6085096229672</v>
      </c>
      <c r="V80" s="102">
        <f>TrRoad_emi!V$40</f>
        <v>2224.3772542714482</v>
      </c>
      <c r="W80" s="102">
        <f>TrRoad_emi!W$40</f>
        <v>2261.8370798460533</v>
      </c>
      <c r="X80" s="102">
        <f>TrRoad_emi!X$40</f>
        <v>2247.0163106366585</v>
      </c>
      <c r="Y80" s="102">
        <f>TrRoad_emi!Y$40</f>
        <v>2286.0275568626048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30.250179180797815</v>
      </c>
      <c r="C81" s="110">
        <f>TrRail_emi!C$15</f>
        <v>28.370745190617718</v>
      </c>
      <c r="D81" s="110">
        <f>TrRail_emi!D$15</f>
        <v>25.176463719753563</v>
      </c>
      <c r="E81" s="110">
        <f>TrRail_emi!E$15</f>
        <v>23.428714558993356</v>
      </c>
      <c r="F81" s="110">
        <f>TrRail_emi!F$15</f>
        <v>26.426442307582164</v>
      </c>
      <c r="G81" s="110">
        <f>TrRail_emi!G$15</f>
        <v>23.891057192971385</v>
      </c>
      <c r="H81" s="110">
        <f>TrRail_emi!H$15</f>
        <v>23.521206355268244</v>
      </c>
      <c r="I81" s="110">
        <f>TrRail_emi!I$15</f>
        <v>21.145818388775826</v>
      </c>
      <c r="J81" s="110">
        <f>TrRail_emi!J$15</f>
        <v>20.703345878418613</v>
      </c>
      <c r="K81" s="110">
        <f>TrRail_emi!K$15</f>
        <v>19.666930021863841</v>
      </c>
      <c r="L81" s="110">
        <f>TrRail_emi!L$15</f>
        <v>25.559076976987388</v>
      </c>
      <c r="M81" s="110">
        <f>TrRail_emi!M$15</f>
        <v>29.413913432959188</v>
      </c>
      <c r="N81" s="110">
        <f>TrRail_emi!N$15</f>
        <v>23.789021747955996</v>
      </c>
      <c r="O81" s="110">
        <f>TrRail_emi!O$15</f>
        <v>24.851133623869874</v>
      </c>
      <c r="P81" s="110">
        <f>TrRail_emi!P$15</f>
        <v>27.272994042801738</v>
      </c>
      <c r="Q81" s="110">
        <f>TrRail_emi!Q$15</f>
        <v>31.085742917508668</v>
      </c>
      <c r="R81" s="110">
        <f>TrRail_emi!R$15</f>
        <v>33.147142548935548</v>
      </c>
      <c r="S81" s="110">
        <f>TrRail_emi!S$15</f>
        <v>33.105488130091075</v>
      </c>
      <c r="T81" s="110">
        <f>TrRail_emi!T$15</f>
        <v>31.763799901813151</v>
      </c>
      <c r="U81" s="110">
        <f>TrRail_emi!U$15</f>
        <v>31.382774356567445</v>
      </c>
      <c r="V81" s="110">
        <f>TrRail_emi!V$15</f>
        <v>25.288053770138653</v>
      </c>
      <c r="W81" s="110">
        <f>TrRail_emi!W$15</f>
        <v>21.583070505728916</v>
      </c>
      <c r="X81" s="110">
        <f>TrRail_emi!X$15</f>
        <v>22.093550634610185</v>
      </c>
      <c r="Y81" s="110">
        <f>TrRail_emi!Y$15</f>
        <v>21.532787970674441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23.729285122005706</v>
      </c>
      <c r="C82" s="110">
        <f t="shared" si="67"/>
        <v>24.763277442560248</v>
      </c>
      <c r="D82" s="110">
        <f t="shared" si="67"/>
        <v>22.847735880667724</v>
      </c>
      <c r="E82" s="110">
        <f t="shared" si="67"/>
        <v>18.271054850935379</v>
      </c>
      <c r="F82" s="110">
        <f t="shared" si="67"/>
        <v>20.464497170638126</v>
      </c>
      <c r="G82" s="110">
        <f t="shared" si="67"/>
        <v>23.360775691706149</v>
      </c>
      <c r="H82" s="110">
        <f t="shared" si="67"/>
        <v>28.098836614592173</v>
      </c>
      <c r="I82" s="110">
        <f t="shared" si="67"/>
        <v>27.311706621557146</v>
      </c>
      <c r="J82" s="110">
        <f t="shared" si="67"/>
        <v>211.26444760830444</v>
      </c>
      <c r="K82" s="110">
        <f t="shared" si="67"/>
        <v>149.72508097194972</v>
      </c>
      <c r="L82" s="110">
        <f t="shared" si="67"/>
        <v>156.24865507538743</v>
      </c>
      <c r="M82" s="110">
        <f t="shared" si="67"/>
        <v>147.96742470083791</v>
      </c>
      <c r="N82" s="110">
        <f t="shared" si="67"/>
        <v>154.46910945787658</v>
      </c>
      <c r="O82" s="110">
        <f t="shared" si="67"/>
        <v>131.38576159155875</v>
      </c>
      <c r="P82" s="110">
        <f t="shared" si="67"/>
        <v>154.26107527371178</v>
      </c>
      <c r="Q82" s="110">
        <f t="shared" si="67"/>
        <v>137.97353271086854</v>
      </c>
      <c r="R82" s="110">
        <f t="shared" si="67"/>
        <v>111.23590043658001</v>
      </c>
      <c r="S82" s="110">
        <f t="shared" si="67"/>
        <v>116.14862595127656</v>
      </c>
      <c r="T82" s="110">
        <f t="shared" si="67"/>
        <v>83.434645780185861</v>
      </c>
      <c r="U82" s="110">
        <f t="shared" si="67"/>
        <v>97.493588887224519</v>
      </c>
      <c r="V82" s="110">
        <f t="shared" si="67"/>
        <v>88.929574903342413</v>
      </c>
      <c r="W82" s="110">
        <f t="shared" ref="W82:Y82" si="68">W83+W84+W85</f>
        <v>101.59602581944046</v>
      </c>
      <c r="X82" s="110">
        <f t="shared" si="68"/>
        <v>107.9458285672421</v>
      </c>
      <c r="Y82" s="110">
        <f t="shared" si="68"/>
        <v>125.18130281608447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0.75067602102761866</v>
      </c>
      <c r="C83" s="102">
        <f>TrAvia_emi!C$11</f>
        <v>0.79489010583559294</v>
      </c>
      <c r="D83" s="102">
        <f>TrAvia_emi!D$11</f>
        <v>0.58154167624936859</v>
      </c>
      <c r="E83" s="102">
        <f>TrAvia_emi!E$11</f>
        <v>0.33489436521074889</v>
      </c>
      <c r="F83" s="102">
        <f>TrAvia_emi!F$11</f>
        <v>0.23050715388512583</v>
      </c>
      <c r="G83" s="102">
        <f>TrAvia_emi!G$11</f>
        <v>0.29398293736298831</v>
      </c>
      <c r="H83" s="102">
        <f>TrAvia_emi!H$11</f>
        <v>0.36287529804967178</v>
      </c>
      <c r="I83" s="102">
        <f>TrAvia_emi!I$11</f>
        <v>0.38402879612967217</v>
      </c>
      <c r="J83" s="102">
        <f>TrAvia_emi!J$11</f>
        <v>0.76711517830467335</v>
      </c>
      <c r="K83" s="102">
        <f>TrAvia_emi!K$11</f>
        <v>0.70223680534517929</v>
      </c>
      <c r="L83" s="102">
        <f>TrAvia_emi!L$11</f>
        <v>0.30449731883931513</v>
      </c>
      <c r="M83" s="102">
        <f>TrAvia_emi!M$11</f>
        <v>0.17044559713610641</v>
      </c>
      <c r="N83" s="102">
        <f>TrAvia_emi!N$11</f>
        <v>0.16732186931017046</v>
      </c>
      <c r="O83" s="102">
        <f>TrAvia_emi!O$11</f>
        <v>0.17174666085165688</v>
      </c>
      <c r="P83" s="102">
        <f>TrAvia_emi!P$11</f>
        <v>0.16001618809102525</v>
      </c>
      <c r="Q83" s="102">
        <f>TrAvia_emi!Q$11</f>
        <v>0.13148347332682619</v>
      </c>
      <c r="R83" s="102">
        <f>TrAvia_emi!R$11</f>
        <v>3.1290051896026246E-2</v>
      </c>
      <c r="S83" s="102">
        <f>TrAvia_emi!S$11</f>
        <v>5.1515748025756862E-2</v>
      </c>
      <c r="T83" s="102">
        <f>TrAvia_emi!T$11</f>
        <v>6.5049222988094138E-2</v>
      </c>
      <c r="U83" s="102">
        <f>TrAvia_emi!U$11</f>
        <v>5.4621217994469611E-2</v>
      </c>
      <c r="V83" s="102">
        <f>TrAvia_emi!V$11</f>
        <v>6.7648766177832761E-2</v>
      </c>
      <c r="W83" s="102">
        <f>TrAvia_emi!W$11</f>
        <v>0.11366360058999952</v>
      </c>
      <c r="X83" s="102">
        <f>TrAvia_emi!X$11</f>
        <v>0.20342716684207088</v>
      </c>
      <c r="Y83" s="102">
        <f>TrAvia_emi!Y$11</f>
        <v>0.22179331401918231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20.869144782930118</v>
      </c>
      <c r="C84" s="102">
        <f>TrAvia_emi!C$12</f>
        <v>21.613803312338337</v>
      </c>
      <c r="D84" s="102">
        <f>TrAvia_emi!D$12</f>
        <v>19.631393208963335</v>
      </c>
      <c r="E84" s="102">
        <f>TrAvia_emi!E$12</f>
        <v>14.902710052445453</v>
      </c>
      <c r="F84" s="102">
        <f>TrAvia_emi!F$12</f>
        <v>17.107666009129876</v>
      </c>
      <c r="G84" s="102">
        <f>TrAvia_emi!G$12</f>
        <v>21.035310602883925</v>
      </c>
      <c r="H84" s="102">
        <f>TrAvia_emi!H$12</f>
        <v>26.613596115542034</v>
      </c>
      <c r="I84" s="102">
        <f>TrAvia_emi!I$12</f>
        <v>25.589086050295204</v>
      </c>
      <c r="J84" s="102">
        <f>TrAvia_emi!J$12</f>
        <v>53.678140637817663</v>
      </c>
      <c r="K84" s="102">
        <f>TrAvia_emi!K$12</f>
        <v>34.334975795856245</v>
      </c>
      <c r="L84" s="102">
        <f>TrAvia_emi!L$12</f>
        <v>23.353022188221761</v>
      </c>
      <c r="M84" s="102">
        <f>TrAvia_emi!M$12</f>
        <v>22.656170822175145</v>
      </c>
      <c r="N84" s="102">
        <f>TrAvia_emi!N$12</f>
        <v>19.99228350440713</v>
      </c>
      <c r="O84" s="102">
        <f>TrAvia_emi!O$12</f>
        <v>16.388187185698644</v>
      </c>
      <c r="P84" s="102">
        <f>TrAvia_emi!P$12</f>
        <v>27.388713442905157</v>
      </c>
      <c r="Q84" s="102">
        <f>TrAvia_emi!Q$12</f>
        <v>26.917549241188368</v>
      </c>
      <c r="R84" s="102">
        <f>TrAvia_emi!R$12</f>
        <v>21.813538661368419</v>
      </c>
      <c r="S84" s="102">
        <f>TrAvia_emi!S$12</f>
        <v>26.807231963360916</v>
      </c>
      <c r="T84" s="102">
        <f>TrAvia_emi!T$12</f>
        <v>27.274494543442362</v>
      </c>
      <c r="U84" s="102">
        <f>TrAvia_emi!U$12</f>
        <v>31.543805032301453</v>
      </c>
      <c r="V84" s="102">
        <f>TrAvia_emi!V$12</f>
        <v>31.008221221656864</v>
      </c>
      <c r="W84" s="102">
        <f>TrAvia_emi!W$12</f>
        <v>42.196557655121183</v>
      </c>
      <c r="X84" s="102">
        <f>TrAvia_emi!X$12</f>
        <v>49.873374042632562</v>
      </c>
      <c r="Y84" s="102">
        <f>TrAvia_emi!Y$12</f>
        <v>48.602596099572288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2.1094643180479693</v>
      </c>
      <c r="C85" s="102">
        <f>TrAvia_emi!C$13</f>
        <v>2.3545840243863196</v>
      </c>
      <c r="D85" s="102">
        <f>TrAvia_emi!D$13</f>
        <v>2.6348009954550204</v>
      </c>
      <c r="E85" s="102">
        <f>TrAvia_emi!E$13</f>
        <v>3.0334504332791776</v>
      </c>
      <c r="F85" s="102">
        <f>TrAvia_emi!F$13</f>
        <v>3.1263240076231247</v>
      </c>
      <c r="G85" s="102">
        <f>TrAvia_emi!G$13</f>
        <v>2.0314821514592354</v>
      </c>
      <c r="H85" s="102">
        <f>TrAvia_emi!H$13</f>
        <v>1.1223652010004654</v>
      </c>
      <c r="I85" s="102">
        <f>TrAvia_emi!I$13</f>
        <v>1.3385917751322678</v>
      </c>
      <c r="J85" s="102">
        <f>TrAvia_emi!J$13</f>
        <v>156.8191917921821</v>
      </c>
      <c r="K85" s="102">
        <f>TrAvia_emi!K$13</f>
        <v>114.68786837074829</v>
      </c>
      <c r="L85" s="102">
        <f>TrAvia_emi!L$13</f>
        <v>132.59113556832637</v>
      </c>
      <c r="M85" s="102">
        <f>TrAvia_emi!M$13</f>
        <v>125.14080828152666</v>
      </c>
      <c r="N85" s="102">
        <f>TrAvia_emi!N$13</f>
        <v>134.30950408415927</v>
      </c>
      <c r="O85" s="102">
        <f>TrAvia_emi!O$13</f>
        <v>114.82582774500845</v>
      </c>
      <c r="P85" s="102">
        <f>TrAvia_emi!P$13</f>
        <v>126.71234564271559</v>
      </c>
      <c r="Q85" s="102">
        <f>TrAvia_emi!Q$13</f>
        <v>110.92449999635335</v>
      </c>
      <c r="R85" s="102">
        <f>TrAvia_emi!R$13</f>
        <v>89.391071723315562</v>
      </c>
      <c r="S85" s="102">
        <f>TrAvia_emi!S$13</f>
        <v>89.289878239889887</v>
      </c>
      <c r="T85" s="102">
        <f>TrAvia_emi!T$13</f>
        <v>56.095102013755401</v>
      </c>
      <c r="U85" s="102">
        <f>TrAvia_emi!U$13</f>
        <v>65.895162636928603</v>
      </c>
      <c r="V85" s="102">
        <f>TrAvia_emi!V$13</f>
        <v>57.85370491550772</v>
      </c>
      <c r="W85" s="102">
        <f>TrAvia_emi!W$13</f>
        <v>59.285804563729265</v>
      </c>
      <c r="X85" s="102">
        <f>TrAvia_emi!X$13</f>
        <v>57.869027357767472</v>
      </c>
      <c r="Y85" s="102">
        <f>TrAvia_emi!Y$13</f>
        <v>76.356913402493007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511.92234252000003</v>
      </c>
      <c r="C86" s="110">
        <f t="shared" si="69"/>
        <v>530.90685144000008</v>
      </c>
      <c r="D86" s="110">
        <f t="shared" si="69"/>
        <v>593.93934072000002</v>
      </c>
      <c r="E86" s="110">
        <f t="shared" si="69"/>
        <v>587.71790891999979</v>
      </c>
      <c r="F86" s="110">
        <f t="shared" si="69"/>
        <v>518.17931603999989</v>
      </c>
      <c r="G86" s="110">
        <f t="shared" si="69"/>
        <v>600.56946396000001</v>
      </c>
      <c r="H86" s="110">
        <f t="shared" si="69"/>
        <v>543.65174567999998</v>
      </c>
      <c r="I86" s="110">
        <f t="shared" si="69"/>
        <v>474.13106891999985</v>
      </c>
      <c r="J86" s="110">
        <f t="shared" si="69"/>
        <v>606.42509652000012</v>
      </c>
      <c r="K86" s="110">
        <f t="shared" si="69"/>
        <v>562.23969155999998</v>
      </c>
      <c r="L86" s="110">
        <f t="shared" si="69"/>
        <v>486.48762215999983</v>
      </c>
      <c r="M86" s="110">
        <f t="shared" si="69"/>
        <v>473.94260892</v>
      </c>
      <c r="N86" s="110">
        <f t="shared" si="69"/>
        <v>461.39759568000011</v>
      </c>
      <c r="O86" s="110">
        <f t="shared" si="69"/>
        <v>467.57711916000011</v>
      </c>
      <c r="P86" s="110">
        <f t="shared" si="69"/>
        <v>372.87794988000007</v>
      </c>
      <c r="Q86" s="110">
        <f t="shared" si="69"/>
        <v>418.01365979999991</v>
      </c>
      <c r="R86" s="110">
        <f t="shared" ref="R86:V86" si="70">R87+R88</f>
        <v>362.99580191999996</v>
      </c>
      <c r="S86" s="110">
        <f t="shared" si="70"/>
        <v>349.31021580000009</v>
      </c>
      <c r="T86" s="110">
        <f t="shared" si="70"/>
        <v>362.43276335999991</v>
      </c>
      <c r="U86" s="110">
        <f t="shared" si="70"/>
        <v>377.58661380000001</v>
      </c>
      <c r="V86" s="110">
        <f t="shared" si="70"/>
        <v>365.40127404000015</v>
      </c>
      <c r="W86" s="110">
        <f t="shared" ref="W86:Y86" si="71">W87+W88</f>
        <v>429.65277552000009</v>
      </c>
      <c r="X86" s="110">
        <f t="shared" si="71"/>
        <v>378.06482591999992</v>
      </c>
      <c r="Y86" s="110">
        <f t="shared" si="71"/>
        <v>362.86513380000014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511.92234252000003</v>
      </c>
      <c r="C87" s="102">
        <f>TrNavi_emi!C$4</f>
        <v>530.90685144000008</v>
      </c>
      <c r="D87" s="102">
        <f>TrNavi_emi!D$4</f>
        <v>593.93934072000002</v>
      </c>
      <c r="E87" s="102">
        <f>TrNavi_emi!E$4</f>
        <v>587.71790891999979</v>
      </c>
      <c r="F87" s="102">
        <f>TrNavi_emi!F$4</f>
        <v>518.17931603999989</v>
      </c>
      <c r="G87" s="102">
        <f>TrNavi_emi!G$4</f>
        <v>600.56946396000001</v>
      </c>
      <c r="H87" s="102">
        <f>TrNavi_emi!H$4</f>
        <v>543.65174567999998</v>
      </c>
      <c r="I87" s="102">
        <f>TrNavi_emi!I$4</f>
        <v>474.13106891999985</v>
      </c>
      <c r="J87" s="102">
        <f>TrNavi_emi!J$4</f>
        <v>606.42509652000012</v>
      </c>
      <c r="K87" s="102">
        <f>TrNavi_emi!K$4</f>
        <v>562.23969155999998</v>
      </c>
      <c r="L87" s="102">
        <f>TrNavi_emi!L$4</f>
        <v>486.48762215999983</v>
      </c>
      <c r="M87" s="102">
        <f>TrNavi_emi!M$4</f>
        <v>473.94260892</v>
      </c>
      <c r="N87" s="102">
        <f>TrNavi_emi!N$4</f>
        <v>461.39759568000011</v>
      </c>
      <c r="O87" s="102">
        <f>TrNavi_emi!O$4</f>
        <v>467.57711916000011</v>
      </c>
      <c r="P87" s="102">
        <f>TrNavi_emi!P$4</f>
        <v>372.87794988000007</v>
      </c>
      <c r="Q87" s="102">
        <f>TrNavi_emi!Q$4</f>
        <v>418.01365979999991</v>
      </c>
      <c r="R87" s="102">
        <f>TrNavi_emi!R$4</f>
        <v>362.99580191999996</v>
      </c>
      <c r="S87" s="102">
        <f>TrNavi_emi!S$4</f>
        <v>349.31021580000009</v>
      </c>
      <c r="T87" s="102">
        <f>TrNavi_emi!T$4</f>
        <v>362.43276335999991</v>
      </c>
      <c r="U87" s="102">
        <f>TrNavi_emi!U$4</f>
        <v>377.58661380000001</v>
      </c>
      <c r="V87" s="102">
        <f>TrNavi_emi!V$4</f>
        <v>365.40127404000015</v>
      </c>
      <c r="W87" s="102">
        <f>TrNavi_emi!W$4</f>
        <v>429.65277552000009</v>
      </c>
      <c r="X87" s="102">
        <f>TrNavi_emi!X$4</f>
        <v>378.06482591999992</v>
      </c>
      <c r="Y87" s="102">
        <f>TrNavi_emi!Y$4</f>
        <v>362.86513380000014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X88" s="169">
        <f>TrNavi_emi!X$5</f>
        <v>0</v>
      </c>
      <c r="Y88" s="169">
        <f>TrNavi_emi!Y$5</f>
        <v>0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4126.9042983600002</v>
      </c>
      <c r="C89" s="28">
        <f t="shared" si="72"/>
        <v>3427.6419158400004</v>
      </c>
      <c r="D89" s="28">
        <f t="shared" si="72"/>
        <v>2814.3998672399998</v>
      </c>
      <c r="E89" s="28">
        <f t="shared" si="72"/>
        <v>2961.9427564799998</v>
      </c>
      <c r="F89" s="28">
        <f t="shared" si="72"/>
        <v>2409.5980897199997</v>
      </c>
      <c r="G89" s="28">
        <f t="shared" si="72"/>
        <v>2461.94874936</v>
      </c>
      <c r="H89" s="28">
        <f t="shared" si="72"/>
        <v>3254.4240858000003</v>
      </c>
      <c r="I89" s="28">
        <f t="shared" si="72"/>
        <v>3411.1044079200001</v>
      </c>
      <c r="J89" s="28">
        <f t="shared" si="72"/>
        <v>2927.1021055200008</v>
      </c>
      <c r="K89" s="28">
        <f t="shared" si="72"/>
        <v>1631.8358218799999</v>
      </c>
      <c r="L89" s="28">
        <f t="shared" si="72"/>
        <v>2201.8703821200006</v>
      </c>
      <c r="M89" s="28">
        <f t="shared" si="72"/>
        <v>2232.2119561199993</v>
      </c>
      <c r="N89" s="28">
        <f t="shared" si="72"/>
        <v>1644.3436928400001</v>
      </c>
      <c r="O89" s="28">
        <f t="shared" si="72"/>
        <v>2007.7759584</v>
      </c>
      <c r="P89" s="28">
        <f t="shared" si="72"/>
        <v>2356.20457128</v>
      </c>
      <c r="Q89" s="28">
        <f t="shared" si="72"/>
        <v>2430.1265587199996</v>
      </c>
      <c r="R89" s="28">
        <f t="shared" si="72"/>
        <v>2116.5996934799996</v>
      </c>
      <c r="S89" s="28">
        <f t="shared" si="72"/>
        <v>1677.5625614400003</v>
      </c>
      <c r="T89" s="28">
        <f t="shared" si="72"/>
        <v>1872.8212456799993</v>
      </c>
      <c r="U89" s="28">
        <f t="shared" si="72"/>
        <v>2346.8330091600001</v>
      </c>
      <c r="V89" s="28">
        <f t="shared" si="72"/>
        <v>1755.4771148400005</v>
      </c>
      <c r="W89" s="28">
        <f t="shared" si="72"/>
        <v>1490.5241481599996</v>
      </c>
      <c r="X89" s="28">
        <f t="shared" ref="X89:Y89" si="73">X90+X91</f>
        <v>1677.2314010400003</v>
      </c>
      <c r="Y89" s="28">
        <f t="shared" si="73"/>
        <v>1733.0907614400003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2036.2244993816732</v>
      </c>
      <c r="C90" s="102">
        <f>MBunk_emi!C$4</f>
        <v>1689.1389871502217</v>
      </c>
      <c r="D90" s="102">
        <f>MBunk_emi!D$4</f>
        <v>1409.9251465210043</v>
      </c>
      <c r="E90" s="102">
        <f>MBunk_emi!E$4</f>
        <v>1422.0410970320067</v>
      </c>
      <c r="F90" s="102">
        <f>MBunk_emi!F$4</f>
        <v>1236.9783878993494</v>
      </c>
      <c r="G90" s="102">
        <f>MBunk_emi!G$4</f>
        <v>1284.2467216041978</v>
      </c>
      <c r="H90" s="102">
        <f>MBunk_emi!H$4</f>
        <v>1542.5584863672148</v>
      </c>
      <c r="I90" s="102">
        <f>MBunk_emi!I$4</f>
        <v>1663.9372344064964</v>
      </c>
      <c r="J90" s="102">
        <f>MBunk_emi!J$4</f>
        <v>1439.1588193963162</v>
      </c>
      <c r="K90" s="102">
        <f>MBunk_emi!K$4</f>
        <v>802.36745231470456</v>
      </c>
      <c r="L90" s="102">
        <f>MBunk_emi!L$4</f>
        <v>1139.8898972431887</v>
      </c>
      <c r="M90" s="102">
        <f>MBunk_emi!M$4</f>
        <v>1059.2103504890624</v>
      </c>
      <c r="N90" s="102">
        <f>MBunk_emi!N$4</f>
        <v>861.22210141878588</v>
      </c>
      <c r="O90" s="102">
        <f>MBunk_emi!O$4</f>
        <v>1106.3444706132841</v>
      </c>
      <c r="P90" s="102">
        <f>MBunk_emi!P$4</f>
        <v>1235.6596864033563</v>
      </c>
      <c r="Q90" s="102">
        <f>MBunk_emi!Q$4</f>
        <v>1211.489947109289</v>
      </c>
      <c r="R90" s="102">
        <f>MBunk_emi!R$4</f>
        <v>1050.8990710623068</v>
      </c>
      <c r="S90" s="102">
        <f>MBunk_emi!S$4</f>
        <v>844.07142632654109</v>
      </c>
      <c r="T90" s="102">
        <f>MBunk_emi!T$4</f>
        <v>921.2716983060343</v>
      </c>
      <c r="U90" s="102">
        <f>MBunk_emi!U$4</f>
        <v>1140.4625296715556</v>
      </c>
      <c r="V90" s="102">
        <f>MBunk_emi!V$4</f>
        <v>767.86055125591133</v>
      </c>
      <c r="W90" s="102">
        <f>MBunk_emi!W$4</f>
        <v>645.84497386492637</v>
      </c>
      <c r="X90" s="102">
        <f>MBunk_emi!X$4</f>
        <v>835.03036669287246</v>
      </c>
      <c r="Y90" s="102">
        <f>MBunk_emi!Y$4</f>
        <v>840.29052955478562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2090.6797989783272</v>
      </c>
      <c r="C91" s="86">
        <f>MBunk_emi!C$5</f>
        <v>1738.5029286897784</v>
      </c>
      <c r="D91" s="86">
        <f>MBunk_emi!D$5</f>
        <v>1404.4747207189955</v>
      </c>
      <c r="E91" s="86">
        <f>MBunk_emi!E$5</f>
        <v>1539.9016594479931</v>
      </c>
      <c r="F91" s="86">
        <f>MBunk_emi!F$5</f>
        <v>1172.6197018206503</v>
      </c>
      <c r="G91" s="86">
        <f>MBunk_emi!G$5</f>
        <v>1177.7020277558024</v>
      </c>
      <c r="H91" s="86">
        <f>MBunk_emi!H$5</f>
        <v>1711.8655994327858</v>
      </c>
      <c r="I91" s="86">
        <f>MBunk_emi!I$5</f>
        <v>1747.1671735135037</v>
      </c>
      <c r="J91" s="86">
        <f>MBunk_emi!J$5</f>
        <v>1487.9432861236844</v>
      </c>
      <c r="K91" s="86">
        <f>MBunk_emi!K$5</f>
        <v>829.46836956529546</v>
      </c>
      <c r="L91" s="86">
        <f>MBunk_emi!L$5</f>
        <v>1061.9804848768117</v>
      </c>
      <c r="M91" s="86">
        <f>MBunk_emi!M$5</f>
        <v>1173.0016056309369</v>
      </c>
      <c r="N91" s="86">
        <f>MBunk_emi!N$5</f>
        <v>783.12159142121413</v>
      </c>
      <c r="O91" s="86">
        <f>MBunk_emi!O$5</f>
        <v>901.43148778671593</v>
      </c>
      <c r="P91" s="86">
        <f>MBunk_emi!P$5</f>
        <v>1120.5448848766437</v>
      </c>
      <c r="Q91" s="86">
        <f>MBunk_emi!Q$5</f>
        <v>1218.6366116107108</v>
      </c>
      <c r="R91" s="86">
        <f>MBunk_emi!R$5</f>
        <v>1065.700622417693</v>
      </c>
      <c r="S91" s="86">
        <f>MBunk_emi!S$5</f>
        <v>833.49113511345922</v>
      </c>
      <c r="T91" s="86">
        <f>MBunk_emi!T$5</f>
        <v>951.54954737396508</v>
      </c>
      <c r="U91" s="86">
        <f>MBunk_emi!U$5</f>
        <v>1206.3704794884447</v>
      </c>
      <c r="V91" s="86">
        <f>MBunk_emi!V$5</f>
        <v>987.61656358408925</v>
      </c>
      <c r="W91" s="86">
        <f>MBunk_emi!W$5</f>
        <v>844.67917429507315</v>
      </c>
      <c r="X91" s="86">
        <f>MBunk_emi!X$5</f>
        <v>842.2010343471278</v>
      </c>
      <c r="Y91" s="86">
        <f>MBunk_emi!Y$5</f>
        <v>892.80023188521454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0.72250377709557478</v>
      </c>
      <c r="C97" s="139">
        <f t="shared" si="75"/>
        <v>0.71185351117896689</v>
      </c>
      <c r="D97" s="139">
        <f t="shared" si="75"/>
        <v>0.71078082761201289</v>
      </c>
      <c r="E97" s="139">
        <f t="shared" si="75"/>
        <v>0.71459091525567175</v>
      </c>
      <c r="F97" s="139">
        <f t="shared" si="75"/>
        <v>0.70133798408243953</v>
      </c>
      <c r="G97" s="139">
        <f t="shared" si="75"/>
        <v>0.6860968787522771</v>
      </c>
      <c r="H97" s="139">
        <f t="shared" si="75"/>
        <v>0.68259401812300358</v>
      </c>
      <c r="I97" s="139">
        <f t="shared" si="75"/>
        <v>0.68630802901332533</v>
      </c>
      <c r="J97" s="139">
        <f t="shared" si="75"/>
        <v>0.69245648703407991</v>
      </c>
      <c r="K97" s="139">
        <f t="shared" si="75"/>
        <v>0.70439883342623288</v>
      </c>
      <c r="L97" s="139">
        <f t="shared" si="75"/>
        <v>0.68637687515139278</v>
      </c>
      <c r="M97" s="139">
        <f t="shared" si="75"/>
        <v>0.68634088152451667</v>
      </c>
      <c r="N97" s="139">
        <f t="shared" si="75"/>
        <v>0.67363188557993781</v>
      </c>
      <c r="O97" s="139">
        <f t="shared" si="75"/>
        <v>0.66622387302554498</v>
      </c>
      <c r="P97" s="139">
        <f t="shared" si="75"/>
        <v>0.66164767505872235</v>
      </c>
      <c r="Q97" s="139">
        <f t="shared" si="75"/>
        <v>0.66819967429581084</v>
      </c>
      <c r="R97" s="139">
        <f t="shared" si="75"/>
        <v>0.66297304748846819</v>
      </c>
      <c r="S97" s="139">
        <f t="shared" si="75"/>
        <v>0.66031543249195579</v>
      </c>
      <c r="T97" s="139">
        <f t="shared" si="75"/>
        <v>0.65325860466415997</v>
      </c>
      <c r="U97" s="139">
        <f t="shared" si="75"/>
        <v>0.65889851662850174</v>
      </c>
      <c r="V97" s="139">
        <f t="shared" si="75"/>
        <v>0.84766087445457061</v>
      </c>
      <c r="W97" s="139">
        <f t="shared" si="75"/>
        <v>0.82951893566157431</v>
      </c>
      <c r="X97" s="139">
        <f t="shared" si="75"/>
        <v>0.7074378263852531</v>
      </c>
      <c r="Y97" s="139">
        <f t="shared" si="75"/>
        <v>0.67337073853892437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7.613717797329651E-3</v>
      </c>
      <c r="C98" s="140">
        <f t="shared" si="76"/>
        <v>7.2581774072864071E-3</v>
      </c>
      <c r="D98" s="140">
        <f t="shared" si="76"/>
        <v>7.5575031068876317E-3</v>
      </c>
      <c r="E98" s="140">
        <f t="shared" si="76"/>
        <v>7.6470665594330833E-3</v>
      </c>
      <c r="F98" s="140">
        <f t="shared" si="76"/>
        <v>7.3842414132121266E-3</v>
      </c>
      <c r="G98" s="140">
        <f t="shared" si="76"/>
        <v>7.5315956219763822E-3</v>
      </c>
      <c r="H98" s="140">
        <f t="shared" si="76"/>
        <v>7.9214034965000707E-3</v>
      </c>
      <c r="I98" s="140">
        <f t="shared" si="76"/>
        <v>8.3841542871078804E-3</v>
      </c>
      <c r="J98" s="140">
        <f t="shared" si="76"/>
        <v>8.3745879072473842E-3</v>
      </c>
      <c r="K98" s="140">
        <f t="shared" si="76"/>
        <v>8.1509290447170056E-3</v>
      </c>
      <c r="L98" s="140">
        <f t="shared" si="76"/>
        <v>7.9631981718464515E-3</v>
      </c>
      <c r="M98" s="140">
        <f t="shared" si="76"/>
        <v>7.7573300162411861E-3</v>
      </c>
      <c r="N98" s="140">
        <f t="shared" si="76"/>
        <v>7.6915043939872561E-3</v>
      </c>
      <c r="O98" s="140">
        <f t="shared" si="76"/>
        <v>7.6739172324400183E-3</v>
      </c>
      <c r="P98" s="140">
        <f t="shared" si="76"/>
        <v>7.5812876822206002E-3</v>
      </c>
      <c r="Q98" s="140">
        <f t="shared" si="76"/>
        <v>7.4048586223351255E-3</v>
      </c>
      <c r="R98" s="140">
        <f t="shared" si="76"/>
        <v>7.0612198745871524E-3</v>
      </c>
      <c r="S98" s="140">
        <f t="shared" si="76"/>
        <v>6.4878589237955323E-3</v>
      </c>
      <c r="T98" s="140">
        <f t="shared" si="76"/>
        <v>6.0108516030031216E-3</v>
      </c>
      <c r="U98" s="140">
        <f t="shared" si="76"/>
        <v>6.2340862000345122E-3</v>
      </c>
      <c r="V98" s="140">
        <f t="shared" si="76"/>
        <v>7.9863172350765153E-3</v>
      </c>
      <c r="W98" s="140">
        <f t="shared" si="76"/>
        <v>7.7814924906721246E-3</v>
      </c>
      <c r="X98" s="140">
        <f t="shared" si="76"/>
        <v>6.2576805758180424E-3</v>
      </c>
      <c r="Y98" s="140">
        <f t="shared" si="76"/>
        <v>6.2665447844304518E-3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0.62351007791051094</v>
      </c>
      <c r="C99" s="140">
        <f t="shared" si="77"/>
        <v>0.61388573644034949</v>
      </c>
      <c r="D99" s="140">
        <f t="shared" si="77"/>
        <v>0.61282500643317883</v>
      </c>
      <c r="E99" s="140">
        <f t="shared" si="77"/>
        <v>0.61670045045306199</v>
      </c>
      <c r="F99" s="140">
        <f t="shared" si="77"/>
        <v>0.60639541227730664</v>
      </c>
      <c r="G99" s="140">
        <f t="shared" si="77"/>
        <v>0.59311137699154182</v>
      </c>
      <c r="H99" s="140">
        <f t="shared" si="77"/>
        <v>0.59074011447526797</v>
      </c>
      <c r="I99" s="140">
        <f t="shared" si="77"/>
        <v>0.59733078496101266</v>
      </c>
      <c r="J99" s="140">
        <f t="shared" si="77"/>
        <v>0.60486907534911294</v>
      </c>
      <c r="K99" s="140">
        <f t="shared" si="77"/>
        <v>0.61613723811923193</v>
      </c>
      <c r="L99" s="140">
        <f t="shared" si="77"/>
        <v>0.5993280246231496</v>
      </c>
      <c r="M99" s="140">
        <f t="shared" si="77"/>
        <v>0.60264546599402558</v>
      </c>
      <c r="N99" s="140">
        <f t="shared" si="77"/>
        <v>0.59311951726096446</v>
      </c>
      <c r="O99" s="140">
        <f t="shared" si="77"/>
        <v>0.58682713258006447</v>
      </c>
      <c r="P99" s="140">
        <f t="shared" si="77"/>
        <v>0.58370274944318323</v>
      </c>
      <c r="Q99" s="140">
        <f t="shared" si="77"/>
        <v>0.58968304843314734</v>
      </c>
      <c r="R99" s="140">
        <f t="shared" si="77"/>
        <v>0.58577658771972707</v>
      </c>
      <c r="S99" s="140">
        <f t="shared" si="77"/>
        <v>0.58295563927291516</v>
      </c>
      <c r="T99" s="140">
        <f t="shared" si="77"/>
        <v>0.57990920373139443</v>
      </c>
      <c r="U99" s="140">
        <f t="shared" si="77"/>
        <v>0.58773812663051384</v>
      </c>
      <c r="V99" s="140">
        <f t="shared" si="77"/>
        <v>0.77845039128762894</v>
      </c>
      <c r="W99" s="140">
        <f t="shared" si="77"/>
        <v>0.7603989811528642</v>
      </c>
      <c r="X99" s="140">
        <f t="shared" si="77"/>
        <v>0.61778990541428924</v>
      </c>
      <c r="Y99" s="140">
        <f t="shared" si="77"/>
        <v>0.5926155877117667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9.137998138773426E-2</v>
      </c>
      <c r="C100" s="140">
        <f t="shared" si="78"/>
        <v>9.0709597331330966E-2</v>
      </c>
      <c r="D100" s="140">
        <f t="shared" si="78"/>
        <v>9.0398318071946454E-2</v>
      </c>
      <c r="E100" s="140">
        <f t="shared" si="78"/>
        <v>9.0243398243176717E-2</v>
      </c>
      <c r="F100" s="140">
        <f t="shared" si="78"/>
        <v>8.7558330391920777E-2</v>
      </c>
      <c r="G100" s="140">
        <f t="shared" si="78"/>
        <v>8.5453906138758862E-2</v>
      </c>
      <c r="H100" s="140">
        <f t="shared" si="78"/>
        <v>8.3932500151235503E-2</v>
      </c>
      <c r="I100" s="140">
        <f t="shared" si="78"/>
        <v>8.059308976520474E-2</v>
      </c>
      <c r="J100" s="140">
        <f t="shared" si="78"/>
        <v>7.9212823777719585E-2</v>
      </c>
      <c r="K100" s="140">
        <f t="shared" si="78"/>
        <v>8.0110666262283928E-2</v>
      </c>
      <c r="L100" s="140">
        <f t="shared" si="78"/>
        <v>7.9085652356396724E-2</v>
      </c>
      <c r="M100" s="140">
        <f t="shared" si="78"/>
        <v>7.5938085514249909E-2</v>
      </c>
      <c r="N100" s="140">
        <f t="shared" si="78"/>
        <v>7.2820863924986171E-2</v>
      </c>
      <c r="O100" s="140">
        <f t="shared" si="78"/>
        <v>7.1722823213040549E-2</v>
      </c>
      <c r="P100" s="140">
        <f t="shared" si="78"/>
        <v>7.036363793331854E-2</v>
      </c>
      <c r="Q100" s="140">
        <f t="shared" si="78"/>
        <v>7.1111767240328347E-2</v>
      </c>
      <c r="R100" s="140">
        <f t="shared" si="78"/>
        <v>7.0135239894154072E-2</v>
      </c>
      <c r="S100" s="140">
        <f t="shared" si="78"/>
        <v>7.0871934295244993E-2</v>
      </c>
      <c r="T100" s="140">
        <f t="shared" si="78"/>
        <v>6.7338549329762479E-2</v>
      </c>
      <c r="U100" s="140">
        <f t="shared" si="78"/>
        <v>6.4926303797953416E-2</v>
      </c>
      <c r="V100" s="140">
        <f t="shared" si="78"/>
        <v>6.1224165931865103E-2</v>
      </c>
      <c r="W100" s="140">
        <f t="shared" si="78"/>
        <v>6.1338462018037998E-2</v>
      </c>
      <c r="X100" s="140">
        <f t="shared" si="78"/>
        <v>8.3390240395145934E-2</v>
      </c>
      <c r="Y100" s="140">
        <f t="shared" si="78"/>
        <v>7.4488606042727279E-2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6.8208540973831847E-2</v>
      </c>
      <c r="C101" s="124">
        <f t="shared" si="79"/>
        <v>7.0778724267941143E-2</v>
      </c>
      <c r="D101" s="124">
        <f t="shared" si="79"/>
        <v>7.1302525316789558E-2</v>
      </c>
      <c r="E101" s="124">
        <f t="shared" si="79"/>
        <v>7.3130410595027548E-2</v>
      </c>
      <c r="F101" s="124">
        <f t="shared" si="79"/>
        <v>7.2853328602811893E-2</v>
      </c>
      <c r="G101" s="124">
        <f t="shared" si="79"/>
        <v>7.3140628827929197E-2</v>
      </c>
      <c r="H101" s="124">
        <f t="shared" si="79"/>
        <v>7.4651616947668212E-2</v>
      </c>
      <c r="I101" s="124">
        <f t="shared" si="79"/>
        <v>7.4800277469444218E-2</v>
      </c>
      <c r="J101" s="124">
        <f t="shared" si="79"/>
        <v>7.6109665226403667E-2</v>
      </c>
      <c r="K101" s="124">
        <f t="shared" si="79"/>
        <v>7.5609933603907761E-2</v>
      </c>
      <c r="L101" s="124">
        <f t="shared" si="79"/>
        <v>7.6256609814986262E-2</v>
      </c>
      <c r="M101" s="124">
        <f t="shared" si="79"/>
        <v>7.5596688456640512E-2</v>
      </c>
      <c r="N101" s="124">
        <f t="shared" si="79"/>
        <v>7.6481052724185136E-2</v>
      </c>
      <c r="O101" s="124">
        <f t="shared" si="79"/>
        <v>7.5815882564356965E-2</v>
      </c>
      <c r="P101" s="124">
        <f t="shared" si="79"/>
        <v>7.3045996805433458E-2</v>
      </c>
      <c r="Q101" s="124">
        <f t="shared" si="79"/>
        <v>7.0634576679707628E-2</v>
      </c>
      <c r="R101" s="124">
        <f t="shared" si="79"/>
        <v>6.6007886690593723E-2</v>
      </c>
      <c r="S101" s="124">
        <f t="shared" si="79"/>
        <v>6.4279873557372205E-2</v>
      </c>
      <c r="T101" s="124">
        <f t="shared" si="79"/>
        <v>6.1900686736166027E-2</v>
      </c>
      <c r="U101" s="124">
        <f t="shared" si="79"/>
        <v>6.1599873166076749E-2</v>
      </c>
      <c r="V101" s="124">
        <f t="shared" si="79"/>
        <v>5.694237909079778E-2</v>
      </c>
      <c r="W101" s="124">
        <f t="shared" si="79"/>
        <v>5.725261494112277E-2</v>
      </c>
      <c r="X101" s="124">
        <f t="shared" si="79"/>
        <v>6.4147904264917635E-2</v>
      </c>
      <c r="Y101" s="124">
        <f t="shared" si="79"/>
        <v>6.2533879593753922E-2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0</v>
      </c>
      <c r="C102" s="140">
        <f t="shared" si="80"/>
        <v>0</v>
      </c>
      <c r="D102" s="140">
        <f t="shared" si="80"/>
        <v>1.1152636910863853E-4</v>
      </c>
      <c r="E102" s="140">
        <f t="shared" si="80"/>
        <v>8.3145045136040149E-4</v>
      </c>
      <c r="F102" s="140">
        <f t="shared" si="80"/>
        <v>1.535269354817241E-3</v>
      </c>
      <c r="G102" s="140">
        <f t="shared" si="80"/>
        <v>1.9310270322888737E-3</v>
      </c>
      <c r="H102" s="140">
        <f t="shared" si="80"/>
        <v>1.9513651863910721E-3</v>
      </c>
      <c r="I102" s="140">
        <f t="shared" si="80"/>
        <v>2.0839995454260394E-3</v>
      </c>
      <c r="J102" s="140">
        <f t="shared" si="80"/>
        <v>2.2921057481310758E-3</v>
      </c>
      <c r="K102" s="140">
        <f t="shared" si="80"/>
        <v>2.5531860726936027E-3</v>
      </c>
      <c r="L102" s="140">
        <f t="shared" si="80"/>
        <v>2.7710703581848434E-3</v>
      </c>
      <c r="M102" s="140">
        <f t="shared" si="80"/>
        <v>3.1636127338470666E-3</v>
      </c>
      <c r="N102" s="140">
        <f t="shared" si="80"/>
        <v>3.0858207107092809E-3</v>
      </c>
      <c r="O102" s="140">
        <f t="shared" si="80"/>
        <v>3.1502137012841811E-3</v>
      </c>
      <c r="P102" s="140">
        <f t="shared" si="80"/>
        <v>3.1651834690956037E-3</v>
      </c>
      <c r="Q102" s="140">
        <f t="shared" si="80"/>
        <v>3.1328597675534882E-3</v>
      </c>
      <c r="R102" s="140">
        <f t="shared" si="80"/>
        <v>3.1848086017857487E-3</v>
      </c>
      <c r="S102" s="140">
        <f t="shared" si="80"/>
        <v>3.310593095161444E-3</v>
      </c>
      <c r="T102" s="140">
        <f t="shared" si="80"/>
        <v>3.3347171305678669E-3</v>
      </c>
      <c r="U102" s="140">
        <f t="shared" si="80"/>
        <v>3.748090852818786E-3</v>
      </c>
      <c r="V102" s="140">
        <f t="shared" si="80"/>
        <v>3.8913094247435705E-3</v>
      </c>
      <c r="W102" s="140">
        <f t="shared" si="80"/>
        <v>4.200047771611622E-3</v>
      </c>
      <c r="X102" s="140">
        <f t="shared" si="80"/>
        <v>4.9047096852300595E-3</v>
      </c>
      <c r="Y102" s="140">
        <f t="shared" si="80"/>
        <v>5.1302528312075135E-3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6.8208540973831847E-2</v>
      </c>
      <c r="C103" s="140">
        <f t="shared" si="81"/>
        <v>7.0778724267941143E-2</v>
      </c>
      <c r="D103" s="140">
        <f t="shared" si="81"/>
        <v>7.1190998947680925E-2</v>
      </c>
      <c r="E103" s="140">
        <f t="shared" si="81"/>
        <v>7.2298960143667157E-2</v>
      </c>
      <c r="F103" s="140">
        <f t="shared" si="81"/>
        <v>7.1318059247994642E-2</v>
      </c>
      <c r="G103" s="140">
        <f t="shared" si="81"/>
        <v>7.1209601795640315E-2</v>
      </c>
      <c r="H103" s="140">
        <f t="shared" si="81"/>
        <v>7.2700251761277132E-2</v>
      </c>
      <c r="I103" s="140">
        <f t="shared" si="81"/>
        <v>7.2716277924018177E-2</v>
      </c>
      <c r="J103" s="140">
        <f t="shared" si="81"/>
        <v>7.3817559478272593E-2</v>
      </c>
      <c r="K103" s="140">
        <f t="shared" si="81"/>
        <v>7.3056747531214147E-2</v>
      </c>
      <c r="L103" s="140">
        <f t="shared" si="81"/>
        <v>7.3485539456801419E-2</v>
      </c>
      <c r="M103" s="140">
        <f t="shared" si="81"/>
        <v>7.243307572279345E-2</v>
      </c>
      <c r="N103" s="140">
        <f t="shared" si="81"/>
        <v>7.339523201347585E-2</v>
      </c>
      <c r="O103" s="140">
        <f t="shared" si="81"/>
        <v>7.2665668863072783E-2</v>
      </c>
      <c r="P103" s="140">
        <f t="shared" si="81"/>
        <v>6.988081333633786E-2</v>
      </c>
      <c r="Q103" s="140">
        <f t="shared" si="81"/>
        <v>6.7501716912154133E-2</v>
      </c>
      <c r="R103" s="140">
        <f t="shared" si="81"/>
        <v>6.2823078088807979E-2</v>
      </c>
      <c r="S103" s="140">
        <f t="shared" si="81"/>
        <v>6.0969280462210756E-2</v>
      </c>
      <c r="T103" s="140">
        <f t="shared" si="81"/>
        <v>5.8565969605598164E-2</v>
      </c>
      <c r="U103" s="140">
        <f t="shared" si="81"/>
        <v>5.7851782313257959E-2</v>
      </c>
      <c r="V103" s="140">
        <f t="shared" si="81"/>
        <v>5.3051069666054211E-2</v>
      </c>
      <c r="W103" s="140">
        <f t="shared" si="81"/>
        <v>5.305256716951115E-2</v>
      </c>
      <c r="X103" s="140">
        <f t="shared" si="81"/>
        <v>5.9243194579687568E-2</v>
      </c>
      <c r="Y103" s="140">
        <f t="shared" si="81"/>
        <v>5.7403626762546414E-2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0.20928768193059333</v>
      </c>
      <c r="C105" s="124">
        <f t="shared" si="83"/>
        <v>0.2173677645530919</v>
      </c>
      <c r="D105" s="124">
        <f t="shared" si="83"/>
        <v>0.21791664707119754</v>
      </c>
      <c r="E105" s="124">
        <f t="shared" si="83"/>
        <v>0.21227867414930071</v>
      </c>
      <c r="F105" s="124">
        <f t="shared" si="83"/>
        <v>0.22580868731474854</v>
      </c>
      <c r="G105" s="124">
        <f t="shared" si="83"/>
        <v>0.24076249241979378</v>
      </c>
      <c r="H105" s="124">
        <f t="shared" si="83"/>
        <v>0.24275436492932823</v>
      </c>
      <c r="I105" s="124">
        <f t="shared" si="83"/>
        <v>0.23889169351723041</v>
      </c>
      <c r="J105" s="124">
        <f t="shared" si="83"/>
        <v>0.23143384773951645</v>
      </c>
      <c r="K105" s="124">
        <f t="shared" si="83"/>
        <v>0.21999123296985928</v>
      </c>
      <c r="L105" s="124">
        <f t="shared" si="83"/>
        <v>0.23736651503362097</v>
      </c>
      <c r="M105" s="124">
        <f t="shared" si="83"/>
        <v>0.23806243001884275</v>
      </c>
      <c r="N105" s="124">
        <f t="shared" si="83"/>
        <v>0.24988706169587696</v>
      </c>
      <c r="O105" s="124">
        <f t="shared" si="83"/>
        <v>0.25796024441009813</v>
      </c>
      <c r="P105" s="124">
        <f t="shared" si="83"/>
        <v>0.2653063281358442</v>
      </c>
      <c r="Q105" s="124">
        <f t="shared" si="83"/>
        <v>0.26116574902448142</v>
      </c>
      <c r="R105" s="124">
        <f t="shared" si="83"/>
        <v>0.2710190658209381</v>
      </c>
      <c r="S105" s="124">
        <f t="shared" si="83"/>
        <v>0.27540469395067196</v>
      </c>
      <c r="T105" s="124">
        <f t="shared" si="83"/>
        <v>0.28484070859967403</v>
      </c>
      <c r="U105" s="124">
        <f t="shared" si="83"/>
        <v>0.27950161020542141</v>
      </c>
      <c r="V105" s="124">
        <f t="shared" si="83"/>
        <v>9.5396746454631559E-2</v>
      </c>
      <c r="W105" s="124">
        <f t="shared" si="83"/>
        <v>0.11322844939730294</v>
      </c>
      <c r="X105" s="124">
        <f t="shared" si="83"/>
        <v>0.22841426934982914</v>
      </c>
      <c r="Y105" s="124">
        <f t="shared" si="83"/>
        <v>0.26409538186732168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3.589777741886126E-3</v>
      </c>
      <c r="C106" s="140">
        <f t="shared" si="84"/>
        <v>3.7049010182098408E-3</v>
      </c>
      <c r="D106" s="140">
        <f t="shared" si="84"/>
        <v>3.353660503699027E-3</v>
      </c>
      <c r="E106" s="140">
        <f t="shared" si="84"/>
        <v>3.6517528573718362E-3</v>
      </c>
      <c r="F106" s="140">
        <f t="shared" si="84"/>
        <v>4.4374720909759009E-3</v>
      </c>
      <c r="G106" s="140">
        <f t="shared" si="84"/>
        <v>4.4298027632642166E-3</v>
      </c>
      <c r="H106" s="140">
        <f t="shared" si="84"/>
        <v>4.8019873605916474E-3</v>
      </c>
      <c r="I106" s="140">
        <f t="shared" si="84"/>
        <v>5.2615256583425337E-3</v>
      </c>
      <c r="J106" s="140">
        <f t="shared" si="84"/>
        <v>5.3887600599838749E-3</v>
      </c>
      <c r="K106" s="140">
        <f t="shared" si="84"/>
        <v>5.5139754286687593E-3</v>
      </c>
      <c r="L106" s="140">
        <f t="shared" si="84"/>
        <v>6.5284519565974525E-3</v>
      </c>
      <c r="M106" s="140">
        <f t="shared" si="84"/>
        <v>5.9119771496959697E-3</v>
      </c>
      <c r="N106" s="140">
        <f t="shared" si="84"/>
        <v>4.5664149797187406E-3</v>
      </c>
      <c r="O106" s="140">
        <f t="shared" si="84"/>
        <v>4.5275559028592092E-3</v>
      </c>
      <c r="P106" s="140">
        <f t="shared" si="84"/>
        <v>4.5263139426008668E-3</v>
      </c>
      <c r="Q106" s="140">
        <f t="shared" si="84"/>
        <v>4.274771320864389E-3</v>
      </c>
      <c r="R106" s="140">
        <f t="shared" si="84"/>
        <v>4.3417200964887296E-3</v>
      </c>
      <c r="S106" s="140">
        <f t="shared" si="84"/>
        <v>4.1040431706732558E-3</v>
      </c>
      <c r="T106" s="140">
        <f t="shared" si="84"/>
        <v>3.9601332924116793E-3</v>
      </c>
      <c r="U106" s="140">
        <f t="shared" si="84"/>
        <v>3.6882895465565149E-3</v>
      </c>
      <c r="V106" s="140">
        <f t="shared" si="84"/>
        <v>2.224682063742418E-3</v>
      </c>
      <c r="W106" s="140">
        <f t="shared" si="84"/>
        <v>2.9304010559328651E-3</v>
      </c>
      <c r="X106" s="140">
        <f t="shared" si="84"/>
        <v>3.4177696818063139E-3</v>
      </c>
      <c r="Y106" s="140">
        <f t="shared" si="84"/>
        <v>3.1745698170633492E-3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0.12846677416215124</v>
      </c>
      <c r="C107" s="140">
        <f t="shared" si="85"/>
        <v>0.13387058444221323</v>
      </c>
      <c r="D107" s="140">
        <f t="shared" si="85"/>
        <v>0.1334054017837337</v>
      </c>
      <c r="E107" s="140">
        <f t="shared" si="85"/>
        <v>0.12970656560094784</v>
      </c>
      <c r="F107" s="140">
        <f t="shared" si="85"/>
        <v>0.13117301603135356</v>
      </c>
      <c r="G107" s="140">
        <f t="shared" si="85"/>
        <v>0.13632188282498739</v>
      </c>
      <c r="H107" s="140">
        <f t="shared" si="85"/>
        <v>0.13892310746505968</v>
      </c>
      <c r="I107" s="140">
        <f t="shared" si="85"/>
        <v>0.13742998673555795</v>
      </c>
      <c r="J107" s="140">
        <f t="shared" si="85"/>
        <v>0.13060964303057523</v>
      </c>
      <c r="K107" s="140">
        <f t="shared" si="85"/>
        <v>0.12308034087649694</v>
      </c>
      <c r="L107" s="140">
        <f t="shared" si="85"/>
        <v>0.13022405382102964</v>
      </c>
      <c r="M107" s="140">
        <f t="shared" si="85"/>
        <v>0.1351654289824083</v>
      </c>
      <c r="N107" s="140">
        <f t="shared" si="85"/>
        <v>0.13801140149187496</v>
      </c>
      <c r="O107" s="140">
        <f t="shared" si="85"/>
        <v>0.14356464550623804</v>
      </c>
      <c r="P107" s="140">
        <f t="shared" si="85"/>
        <v>0.14398943741684564</v>
      </c>
      <c r="Q107" s="140">
        <f t="shared" si="85"/>
        <v>0.14220779262747091</v>
      </c>
      <c r="R107" s="140">
        <f t="shared" si="85"/>
        <v>0.15332255319069291</v>
      </c>
      <c r="S107" s="140">
        <f t="shared" si="85"/>
        <v>0.15656548821651434</v>
      </c>
      <c r="T107" s="140">
        <f t="shared" si="85"/>
        <v>0.15776800653871814</v>
      </c>
      <c r="U107" s="140">
        <f t="shared" si="85"/>
        <v>0.15063161048035148</v>
      </c>
      <c r="V107" s="140">
        <f t="shared" si="85"/>
        <v>5.3001528691935702E-2</v>
      </c>
      <c r="W107" s="140">
        <f t="shared" si="85"/>
        <v>7.4839382946083111E-2</v>
      </c>
      <c r="X107" s="140">
        <f t="shared" si="85"/>
        <v>0.13748185261500886</v>
      </c>
      <c r="Y107" s="140">
        <f t="shared" si="85"/>
        <v>0.15005540509917942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7.7231130026555919E-2</v>
      </c>
      <c r="C108" s="140">
        <f t="shared" si="86"/>
        <v>7.9792279092668852E-2</v>
      </c>
      <c r="D108" s="140">
        <f t="shared" si="86"/>
        <v>8.1157584783764836E-2</v>
      </c>
      <c r="E108" s="140">
        <f t="shared" si="86"/>
        <v>7.8920355690981048E-2</v>
      </c>
      <c r="F108" s="140">
        <f t="shared" si="86"/>
        <v>9.019819919241906E-2</v>
      </c>
      <c r="G108" s="140">
        <f t="shared" si="86"/>
        <v>0.10001080683154218</v>
      </c>
      <c r="H108" s="140">
        <f t="shared" si="86"/>
        <v>9.9029270103676917E-2</v>
      </c>
      <c r="I108" s="140">
        <f t="shared" si="86"/>
        <v>9.6200181123329939E-2</v>
      </c>
      <c r="J108" s="140">
        <f t="shared" si="86"/>
        <v>9.5435444648957313E-2</v>
      </c>
      <c r="K108" s="140">
        <f t="shared" si="86"/>
        <v>9.13969166646936E-2</v>
      </c>
      <c r="L108" s="140">
        <f t="shared" si="86"/>
        <v>0.10061400925599387</v>
      </c>
      <c r="M108" s="140">
        <f t="shared" si="86"/>
        <v>9.6985023886738478E-2</v>
      </c>
      <c r="N108" s="140">
        <f t="shared" si="86"/>
        <v>0.10730924522428323</v>
      </c>
      <c r="O108" s="140">
        <f t="shared" si="86"/>
        <v>0.10986804300100088</v>
      </c>
      <c r="P108" s="140">
        <f t="shared" si="86"/>
        <v>0.11679057677639769</v>
      </c>
      <c r="Q108" s="140">
        <f t="shared" si="86"/>
        <v>0.11468318507614615</v>
      </c>
      <c r="R108" s="140">
        <f t="shared" si="86"/>
        <v>0.11335479253375645</v>
      </c>
      <c r="S108" s="140">
        <f t="shared" si="86"/>
        <v>0.11473516256348436</v>
      </c>
      <c r="T108" s="140">
        <f t="shared" si="86"/>
        <v>0.12311256876854418</v>
      </c>
      <c r="U108" s="140">
        <f t="shared" si="86"/>
        <v>0.12518171017851337</v>
      </c>
      <c r="V108" s="140">
        <f t="shared" si="86"/>
        <v>4.0170535698953437E-2</v>
      </c>
      <c r="W108" s="140">
        <f t="shared" si="86"/>
        <v>3.5458665395286956E-2</v>
      </c>
      <c r="X108" s="140">
        <f t="shared" si="86"/>
        <v>8.7514647053013969E-2</v>
      </c>
      <c r="Y108" s="140">
        <f t="shared" si="86"/>
        <v>0.1108654069510789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0.816216129114119</v>
      </c>
      <c r="C110" s="139">
        <f t="shared" si="88"/>
        <v>0.80163379967965498</v>
      </c>
      <c r="D110" s="139">
        <f t="shared" si="88"/>
        <v>0.82334647758596802</v>
      </c>
      <c r="E110" s="139">
        <f t="shared" si="88"/>
        <v>0.81089796702752948</v>
      </c>
      <c r="F110" s="139">
        <f t="shared" si="88"/>
        <v>0.80581361133263973</v>
      </c>
      <c r="G110" s="139">
        <f t="shared" si="88"/>
        <v>0.81732470542339553</v>
      </c>
      <c r="H110" s="139">
        <f t="shared" si="88"/>
        <v>0.81877096052663911</v>
      </c>
      <c r="I110" s="139">
        <f t="shared" si="88"/>
        <v>0.82374292089812351</v>
      </c>
      <c r="J110" s="139">
        <f t="shared" si="88"/>
        <v>0.81471965251833844</v>
      </c>
      <c r="K110" s="139">
        <f t="shared" si="88"/>
        <v>0.82524993529808333</v>
      </c>
      <c r="L110" s="139">
        <f t="shared" si="88"/>
        <v>0.79871904300836916</v>
      </c>
      <c r="M110" s="139">
        <f t="shared" si="88"/>
        <v>0.79383718217801802</v>
      </c>
      <c r="N110" s="139">
        <f t="shared" si="88"/>
        <v>0.8001376741298506</v>
      </c>
      <c r="O110" s="139">
        <f t="shared" si="88"/>
        <v>0.81639662933636081</v>
      </c>
      <c r="P110" s="139">
        <f t="shared" si="88"/>
        <v>0.81250632118609201</v>
      </c>
      <c r="Q110" s="139">
        <f t="shared" si="88"/>
        <v>0.8031053210791349</v>
      </c>
      <c r="R110" s="139">
        <f t="shared" si="88"/>
        <v>0.81355975291347904</v>
      </c>
      <c r="S110" s="139">
        <f t="shared" si="88"/>
        <v>0.8138917449683748</v>
      </c>
      <c r="T110" s="139">
        <f t="shared" si="88"/>
        <v>0.81577773597607328</v>
      </c>
      <c r="U110" s="139">
        <f t="shared" si="88"/>
        <v>0.815766262677173</v>
      </c>
      <c r="V110" s="139">
        <f t="shared" si="88"/>
        <v>0.83519711985163092</v>
      </c>
      <c r="W110" s="139">
        <f t="shared" si="88"/>
        <v>0.85068768273954276</v>
      </c>
      <c r="X110" s="139">
        <f t="shared" si="88"/>
        <v>0.83253511781516587</v>
      </c>
      <c r="Y110" s="139">
        <f t="shared" si="88"/>
        <v>0.84328229571894286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4.5421813324653011E-2</v>
      </c>
      <c r="C111" s="140">
        <f t="shared" si="89"/>
        <v>4.7289607208619092E-2</v>
      </c>
      <c r="D111" s="140">
        <f t="shared" si="89"/>
        <v>4.9428006618581259E-2</v>
      </c>
      <c r="E111" s="140">
        <f t="shared" si="89"/>
        <v>5.2252471385781901E-2</v>
      </c>
      <c r="F111" s="140">
        <f t="shared" si="89"/>
        <v>5.6479216378734529E-2</v>
      </c>
      <c r="G111" s="140">
        <f t="shared" si="89"/>
        <v>5.9605510594897951E-2</v>
      </c>
      <c r="H111" s="140">
        <f t="shared" si="89"/>
        <v>6.307497804671508E-2</v>
      </c>
      <c r="I111" s="140">
        <f t="shared" si="89"/>
        <v>6.7258801028238543E-2</v>
      </c>
      <c r="J111" s="140">
        <f t="shared" si="89"/>
        <v>6.5407079659311071E-2</v>
      </c>
      <c r="K111" s="140">
        <f t="shared" si="89"/>
        <v>6.9843605372069073E-2</v>
      </c>
      <c r="L111" s="140">
        <f t="shared" si="89"/>
        <v>6.4544994094325847E-2</v>
      </c>
      <c r="M111" s="140">
        <f t="shared" si="89"/>
        <v>5.5428228372351604E-2</v>
      </c>
      <c r="N111" s="140">
        <f t="shared" si="89"/>
        <v>5.1873555165981168E-2</v>
      </c>
      <c r="O111" s="140">
        <f t="shared" si="89"/>
        <v>4.8756864309398566E-2</v>
      </c>
      <c r="P111" s="140">
        <f t="shared" si="89"/>
        <v>4.6588922283871674E-2</v>
      </c>
      <c r="Q111" s="140">
        <f t="shared" si="89"/>
        <v>4.7840379597084128E-2</v>
      </c>
      <c r="R111" s="140">
        <f t="shared" si="89"/>
        <v>4.5506409046325032E-2</v>
      </c>
      <c r="S111" s="140">
        <f t="shared" si="89"/>
        <v>4.7028723810027734E-2</v>
      </c>
      <c r="T111" s="140">
        <f t="shared" si="89"/>
        <v>5.0435778409201416E-2</v>
      </c>
      <c r="U111" s="140">
        <f t="shared" si="89"/>
        <v>4.8690995830440537E-2</v>
      </c>
      <c r="V111" s="140">
        <f t="shared" si="89"/>
        <v>4.557981371161917E-2</v>
      </c>
      <c r="W111" s="140">
        <f t="shared" si="89"/>
        <v>4.5949872869874425E-2</v>
      </c>
      <c r="X111" s="140">
        <f t="shared" si="89"/>
        <v>4.6501750940131599E-2</v>
      </c>
      <c r="Y111" s="140">
        <f t="shared" si="89"/>
        <v>4.5464866150046586E-2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0.770794315789466</v>
      </c>
      <c r="C112" s="140">
        <f t="shared" si="90"/>
        <v>0.75434419247103601</v>
      </c>
      <c r="D112" s="140">
        <f t="shared" si="90"/>
        <v>0.77391847096738675</v>
      </c>
      <c r="E112" s="140">
        <f t="shared" si="90"/>
        <v>0.75864549564174755</v>
      </c>
      <c r="F112" s="140">
        <f t="shared" si="90"/>
        <v>0.74933439495390519</v>
      </c>
      <c r="G112" s="140">
        <f t="shared" si="90"/>
        <v>0.75771919482849759</v>
      </c>
      <c r="H112" s="140">
        <f t="shared" si="90"/>
        <v>0.75569598247992398</v>
      </c>
      <c r="I112" s="140">
        <f t="shared" si="90"/>
        <v>0.75648411986988495</v>
      </c>
      <c r="J112" s="140">
        <f t="shared" si="90"/>
        <v>0.7493125728590273</v>
      </c>
      <c r="K112" s="140">
        <f t="shared" si="90"/>
        <v>0.75540632992601442</v>
      </c>
      <c r="L112" s="140">
        <f t="shared" si="90"/>
        <v>0.73417404891404336</v>
      </c>
      <c r="M112" s="140">
        <f t="shared" si="90"/>
        <v>0.7384089538056664</v>
      </c>
      <c r="N112" s="140">
        <f t="shared" si="90"/>
        <v>0.74826411896386935</v>
      </c>
      <c r="O112" s="140">
        <f t="shared" si="90"/>
        <v>0.76763976502696218</v>
      </c>
      <c r="P112" s="140">
        <f t="shared" si="90"/>
        <v>0.76591739890222044</v>
      </c>
      <c r="Q112" s="140">
        <f t="shared" si="90"/>
        <v>0.75526494148205081</v>
      </c>
      <c r="R112" s="140">
        <f t="shared" si="90"/>
        <v>0.76805334386715396</v>
      </c>
      <c r="S112" s="140">
        <f t="shared" si="90"/>
        <v>0.76686302115834704</v>
      </c>
      <c r="T112" s="140">
        <f t="shared" si="90"/>
        <v>0.76534195756687196</v>
      </c>
      <c r="U112" s="140">
        <f t="shared" si="90"/>
        <v>0.76707526684673244</v>
      </c>
      <c r="V112" s="140">
        <f t="shared" si="90"/>
        <v>0.78961730614001169</v>
      </c>
      <c r="W112" s="140">
        <f t="shared" si="90"/>
        <v>0.80473780986966836</v>
      </c>
      <c r="X112" s="140">
        <f t="shared" si="90"/>
        <v>0.78603336687503422</v>
      </c>
      <c r="Y112" s="140">
        <f t="shared" si="90"/>
        <v>0.79781742956889634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0.10312815667764814</v>
      </c>
      <c r="C113" s="124">
        <f t="shared" si="91"/>
        <v>0.10298313878788332</v>
      </c>
      <c r="D113" s="124">
        <f t="shared" si="91"/>
        <v>9.224606517330794E-2</v>
      </c>
      <c r="E113" s="124">
        <f t="shared" si="91"/>
        <v>9.5443866928138943E-2</v>
      </c>
      <c r="F113" s="124">
        <f t="shared" si="91"/>
        <v>0.10822931795929421</v>
      </c>
      <c r="G113" s="124">
        <f t="shared" si="91"/>
        <v>8.9193813452392079E-2</v>
      </c>
      <c r="H113" s="124">
        <f t="shared" si="91"/>
        <v>8.0813694890014443E-2</v>
      </c>
      <c r="I113" s="124">
        <f t="shared" si="91"/>
        <v>7.3189850053949734E-2</v>
      </c>
      <c r="J113" s="124">
        <f t="shared" si="91"/>
        <v>7.3923355987833006E-2</v>
      </c>
      <c r="K113" s="124">
        <f t="shared" si="91"/>
        <v>7.5916875940936351E-2</v>
      </c>
      <c r="L113" s="124">
        <f t="shared" si="91"/>
        <v>9.532820675035035E-2</v>
      </c>
      <c r="M113" s="124">
        <f t="shared" si="91"/>
        <v>0.10468378553603454</v>
      </c>
      <c r="N113" s="124">
        <f t="shared" si="91"/>
        <v>9.1785160209996747E-2</v>
      </c>
      <c r="O113" s="124">
        <f t="shared" si="91"/>
        <v>9.7423275423525926E-2</v>
      </c>
      <c r="P113" s="124">
        <f t="shared" si="91"/>
        <v>9.6263247102395144E-2</v>
      </c>
      <c r="Q113" s="124">
        <f t="shared" si="91"/>
        <v>0.10277554642197639</v>
      </c>
      <c r="R113" s="124">
        <f t="shared" si="91"/>
        <v>9.7540701135915522E-2</v>
      </c>
      <c r="S113" s="124">
        <f t="shared" si="91"/>
        <v>9.9964497675785233E-2</v>
      </c>
      <c r="T113" s="124">
        <f t="shared" si="91"/>
        <v>0.10283316264003242</v>
      </c>
      <c r="U113" s="124">
        <f t="shared" si="91"/>
        <v>9.9525463685730411E-2</v>
      </c>
      <c r="V113" s="124">
        <f t="shared" si="91"/>
        <v>9.5727764859370998E-2</v>
      </c>
      <c r="W113" s="124">
        <f t="shared" si="91"/>
        <v>7.6822211613207139E-2</v>
      </c>
      <c r="X113" s="124">
        <f t="shared" si="91"/>
        <v>8.3329486678207734E-2</v>
      </c>
      <c r="Y113" s="124">
        <f t="shared" si="91"/>
        <v>7.0928682343314356E-2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2.5748149496040255E-3</v>
      </c>
      <c r="C114" s="124">
        <f t="shared" si="92"/>
        <v>2.7501960740702425E-3</v>
      </c>
      <c r="D114" s="124">
        <f t="shared" si="92"/>
        <v>2.5122655403017947E-3</v>
      </c>
      <c r="E114" s="124">
        <f t="shared" si="92"/>
        <v>1.9133379709275157E-3</v>
      </c>
      <c r="F114" s="124">
        <f t="shared" si="92"/>
        <v>1.8600461951010067E-3</v>
      </c>
      <c r="G114" s="124">
        <f t="shared" si="92"/>
        <v>1.8867471568747305E-3</v>
      </c>
      <c r="H114" s="124">
        <f t="shared" si="92"/>
        <v>1.7573707890974951E-3</v>
      </c>
      <c r="I114" s="124">
        <f t="shared" si="92"/>
        <v>1.5722432960187992E-3</v>
      </c>
      <c r="J114" s="124">
        <f t="shared" si="92"/>
        <v>1.8241056415962676E-2</v>
      </c>
      <c r="K114" s="124">
        <f t="shared" si="92"/>
        <v>1.6936876386006466E-2</v>
      </c>
      <c r="L114" s="124">
        <f t="shared" si="92"/>
        <v>1.8244583899566506E-2</v>
      </c>
      <c r="M114" s="124">
        <f t="shared" si="92"/>
        <v>1.7200415269053426E-2</v>
      </c>
      <c r="N114" s="124">
        <f t="shared" si="92"/>
        <v>2.1101056282844272E-2</v>
      </c>
      <c r="O114" s="124">
        <f t="shared" si="92"/>
        <v>1.8083095418515306E-2</v>
      </c>
      <c r="P114" s="124">
        <f t="shared" si="92"/>
        <v>2.3307233679723323E-2</v>
      </c>
      <c r="Q114" s="124">
        <f t="shared" si="92"/>
        <v>2.1534959021950975E-2</v>
      </c>
      <c r="R114" s="124">
        <f t="shared" si="92"/>
        <v>1.834529189329687E-2</v>
      </c>
      <c r="S114" s="124">
        <f t="shared" si="92"/>
        <v>2.0706499803969273E-2</v>
      </c>
      <c r="T114" s="124">
        <f t="shared" si="92"/>
        <v>1.7504177485922111E-2</v>
      </c>
      <c r="U114" s="124">
        <f t="shared" si="92"/>
        <v>2.0181284146673965E-2</v>
      </c>
      <c r="V114" s="124">
        <f t="shared" si="92"/>
        <v>1.1661001238813844E-2</v>
      </c>
      <c r="W114" s="124">
        <f t="shared" si="92"/>
        <v>1.3882378516528009E-2</v>
      </c>
      <c r="X114" s="124">
        <f t="shared" si="92"/>
        <v>1.6400432433711313E-2</v>
      </c>
      <c r="Y114" s="124">
        <f t="shared" si="92"/>
        <v>1.9998798873886586E-2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1.9949548196980176E-5</v>
      </c>
      <c r="C115" s="140">
        <f t="shared" si="93"/>
        <v>2.0297178228319394E-5</v>
      </c>
      <c r="D115" s="140">
        <f t="shared" si="93"/>
        <v>1.8907307068279695E-5</v>
      </c>
      <c r="E115" s="140">
        <f t="shared" si="93"/>
        <v>1.38351051063062E-5</v>
      </c>
      <c r="F115" s="140">
        <f t="shared" si="93"/>
        <v>1.40382581410981E-5</v>
      </c>
      <c r="G115" s="140">
        <f t="shared" si="93"/>
        <v>1.5043862486368954E-5</v>
      </c>
      <c r="H115" s="140">
        <f t="shared" si="93"/>
        <v>1.424354494963722E-5</v>
      </c>
      <c r="I115" s="140">
        <f t="shared" si="93"/>
        <v>1.1100965326708257E-5</v>
      </c>
      <c r="J115" s="140">
        <f t="shared" si="93"/>
        <v>1.8129018018795388E-5</v>
      </c>
      <c r="K115" s="140">
        <f t="shared" si="93"/>
        <v>1.4911935203583255E-5</v>
      </c>
      <c r="L115" s="140">
        <f t="shared" si="93"/>
        <v>5.3295098461806364E-6</v>
      </c>
      <c r="M115" s="140">
        <f t="shared" si="93"/>
        <v>2.8721964423697708E-6</v>
      </c>
      <c r="N115" s="140">
        <f t="shared" si="93"/>
        <v>2.3063138713144655E-6</v>
      </c>
      <c r="O115" s="140">
        <f t="shared" si="93"/>
        <v>2.8385475708376711E-6</v>
      </c>
      <c r="P115" s="140">
        <f t="shared" si="93"/>
        <v>3.3832813101250297E-6</v>
      </c>
      <c r="Q115" s="140">
        <f t="shared" si="93"/>
        <v>3.3218346059289518E-6</v>
      </c>
      <c r="R115" s="140">
        <f t="shared" ref="R115:V116" si="94">IF(R23=0,0,R23/R$17)</f>
        <v>9.1947194229743775E-7</v>
      </c>
      <c r="S115" s="140">
        <f t="shared" si="94"/>
        <v>1.5216886286986728E-6</v>
      </c>
      <c r="T115" s="140">
        <f t="shared" si="94"/>
        <v>2.2212120297717706E-6</v>
      </c>
      <c r="U115" s="140">
        <f t="shared" si="94"/>
        <v>2.4949833756357683E-6</v>
      </c>
      <c r="V115" s="140">
        <f t="shared" si="94"/>
        <v>3.2646472567924835E-6</v>
      </c>
      <c r="W115" s="140">
        <f t="shared" ref="W115:Y120" si="95">IF(W23=0,0,W23/W$17)</f>
        <v>5.6630503541378488E-6</v>
      </c>
      <c r="X115" s="140">
        <f t="shared" si="95"/>
        <v>2.065452756501882E-5</v>
      </c>
      <c r="Y115" s="140">
        <f t="shared" si="95"/>
        <v>9.0311393568338614E-6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2.1857442586841777E-3</v>
      </c>
      <c r="C116" s="140">
        <f t="shared" si="96"/>
        <v>2.311816547683206E-3</v>
      </c>
      <c r="D116" s="140">
        <f t="shared" si="96"/>
        <v>2.0372618499641948E-3</v>
      </c>
      <c r="E116" s="140">
        <f t="shared" si="96"/>
        <v>1.4571846822112715E-3</v>
      </c>
      <c r="F116" s="140">
        <f t="shared" si="96"/>
        <v>1.4296686830832499E-3</v>
      </c>
      <c r="G116" s="140">
        <f t="shared" si="96"/>
        <v>1.6169019283502001E-3</v>
      </c>
      <c r="H116" s="140">
        <f t="shared" si="96"/>
        <v>1.6157245094570451E-3</v>
      </c>
      <c r="I116" s="140">
        <f t="shared" si="96"/>
        <v>1.4219256385364358E-3</v>
      </c>
      <c r="J116" s="140">
        <f t="shared" si="96"/>
        <v>2.9220987800999626E-3</v>
      </c>
      <c r="K116" s="140">
        <f t="shared" si="96"/>
        <v>2.330857393681861E-3</v>
      </c>
      <c r="L116" s="140">
        <f t="shared" si="96"/>
        <v>1.605924276805105E-3</v>
      </c>
      <c r="M116" s="140">
        <f t="shared" si="96"/>
        <v>1.5170666831268579E-3</v>
      </c>
      <c r="N116" s="140">
        <f t="shared" si="96"/>
        <v>1.471984577889169E-3</v>
      </c>
      <c r="O116" s="140">
        <f t="shared" si="96"/>
        <v>1.2242901452336106E-3</v>
      </c>
      <c r="P116" s="140">
        <f t="shared" si="96"/>
        <v>1.9820622787043154E-3</v>
      </c>
      <c r="Q116" s="140">
        <f t="shared" si="96"/>
        <v>1.9256075078249984E-3</v>
      </c>
      <c r="R116" s="140">
        <f t="shared" si="94"/>
        <v>1.5738045429243141E-3</v>
      </c>
      <c r="S116" s="140">
        <f t="shared" si="94"/>
        <v>1.7484161252804961E-3</v>
      </c>
      <c r="T116" s="140">
        <f t="shared" si="94"/>
        <v>1.8520463295604228E-3</v>
      </c>
      <c r="U116" s="140">
        <f t="shared" si="94"/>
        <v>2.1196718014181086E-3</v>
      </c>
      <c r="V116" s="140">
        <f t="shared" si="94"/>
        <v>2.2685710532011185E-3</v>
      </c>
      <c r="W116" s="140">
        <f t="shared" si="95"/>
        <v>2.8321115719479738E-3</v>
      </c>
      <c r="X116" s="140">
        <f t="shared" si="95"/>
        <v>3.4894105137840158E-3</v>
      </c>
      <c r="Y116" s="140">
        <f t="shared" si="95"/>
        <v>3.2853129171294296E-3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3.691211427228679E-4</v>
      </c>
      <c r="C117" s="140">
        <f t="shared" si="97"/>
        <v>4.1808234815871655E-4</v>
      </c>
      <c r="D117" s="140">
        <f t="shared" si="97"/>
        <v>4.5609638326932027E-4</v>
      </c>
      <c r="E117" s="140">
        <f t="shared" si="97"/>
        <v>4.4231818360993783E-4</v>
      </c>
      <c r="F117" s="140">
        <f t="shared" si="97"/>
        <v>4.1633925387665863E-4</v>
      </c>
      <c r="G117" s="140">
        <f t="shared" si="97"/>
        <v>2.5480136603816124E-4</v>
      </c>
      <c r="H117" s="140">
        <f t="shared" si="97"/>
        <v>1.2740273469081243E-4</v>
      </c>
      <c r="I117" s="140">
        <f t="shared" si="97"/>
        <v>1.3921669215565509E-4</v>
      </c>
      <c r="J117" s="140">
        <f t="shared" si="97"/>
        <v>1.5300828617843919E-2</v>
      </c>
      <c r="K117" s="140">
        <f t="shared" si="97"/>
        <v>1.4591107057121022E-2</v>
      </c>
      <c r="L117" s="140">
        <f t="shared" si="97"/>
        <v>1.6633330112915221E-2</v>
      </c>
      <c r="M117" s="140">
        <f t="shared" si="97"/>
        <v>1.5680476389484197E-2</v>
      </c>
      <c r="N117" s="140">
        <f t="shared" si="97"/>
        <v>1.9626765391083788E-2</v>
      </c>
      <c r="O117" s="140">
        <f t="shared" si="97"/>
        <v>1.6855966725710859E-2</v>
      </c>
      <c r="P117" s="140">
        <f t="shared" si="97"/>
        <v>2.1321788119708879E-2</v>
      </c>
      <c r="Q117" s="140">
        <f t="shared" si="97"/>
        <v>1.9606029679520048E-2</v>
      </c>
      <c r="R117" s="140">
        <f t="shared" ref="R117:V120" si="98">IF(R25=0,0,R25/R$17)</f>
        <v>1.6770567878430259E-2</v>
      </c>
      <c r="S117" s="140">
        <f t="shared" si="98"/>
        <v>1.8956561990060079E-2</v>
      </c>
      <c r="T117" s="140">
        <f t="shared" si="98"/>
        <v>1.5649909944331918E-2</v>
      </c>
      <c r="U117" s="140">
        <f t="shared" si="98"/>
        <v>1.8059117361880223E-2</v>
      </c>
      <c r="V117" s="140">
        <f t="shared" si="98"/>
        <v>9.3891655383559324E-3</v>
      </c>
      <c r="W117" s="140">
        <f t="shared" si="95"/>
        <v>1.1044603894225897E-2</v>
      </c>
      <c r="X117" s="140">
        <f t="shared" si="95"/>
        <v>1.2890367392362278E-2</v>
      </c>
      <c r="Y117" s="140">
        <f t="shared" si="95"/>
        <v>1.6704454817400325E-2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7.8080899258628753E-2</v>
      </c>
      <c r="C118" s="124">
        <f t="shared" si="99"/>
        <v>9.2632865458391403E-2</v>
      </c>
      <c r="D118" s="124">
        <f t="shared" si="99"/>
        <v>8.1895191700422171E-2</v>
      </c>
      <c r="E118" s="124">
        <f t="shared" si="99"/>
        <v>9.1744828073404103E-2</v>
      </c>
      <c r="F118" s="124">
        <f t="shared" si="99"/>
        <v>8.4097024512965107E-2</v>
      </c>
      <c r="G118" s="124">
        <f t="shared" si="99"/>
        <v>9.1594733967337805E-2</v>
      </c>
      <c r="H118" s="124">
        <f t="shared" si="99"/>
        <v>9.8657973794248885E-2</v>
      </c>
      <c r="I118" s="124">
        <f t="shared" si="99"/>
        <v>0.10149498575190791</v>
      </c>
      <c r="J118" s="124">
        <f t="shared" si="99"/>
        <v>9.3115935077865961E-2</v>
      </c>
      <c r="K118" s="124">
        <f t="shared" si="99"/>
        <v>8.1896312374973745E-2</v>
      </c>
      <c r="L118" s="124">
        <f t="shared" si="99"/>
        <v>8.7708166341713814E-2</v>
      </c>
      <c r="M118" s="124">
        <f t="shared" si="99"/>
        <v>8.4278617016893931E-2</v>
      </c>
      <c r="N118" s="124">
        <f t="shared" si="99"/>
        <v>8.6976109377308347E-2</v>
      </c>
      <c r="O118" s="124">
        <f t="shared" si="99"/>
        <v>6.8096999821597948E-2</v>
      </c>
      <c r="P118" s="124">
        <f t="shared" si="99"/>
        <v>6.7923198031789603E-2</v>
      </c>
      <c r="Q118" s="124">
        <f t="shared" si="99"/>
        <v>7.2584173476937741E-2</v>
      </c>
      <c r="R118" s="124">
        <f t="shared" si="98"/>
        <v>7.055425405730853E-2</v>
      </c>
      <c r="S118" s="124">
        <f t="shared" si="98"/>
        <v>6.5437257551870673E-2</v>
      </c>
      <c r="T118" s="124">
        <f t="shared" si="98"/>
        <v>6.3884923897972151E-2</v>
      </c>
      <c r="U118" s="124">
        <f t="shared" si="98"/>
        <v>6.4526989490422612E-2</v>
      </c>
      <c r="V118" s="124">
        <f t="shared" si="98"/>
        <v>5.7414114050184296E-2</v>
      </c>
      <c r="W118" s="124">
        <f t="shared" si="95"/>
        <v>5.8607727130722063E-2</v>
      </c>
      <c r="X118" s="124">
        <f t="shared" si="95"/>
        <v>6.77349630729151E-2</v>
      </c>
      <c r="Y118" s="124">
        <f t="shared" si="95"/>
        <v>6.5790223063856221E-2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7.8080899258628753E-2</v>
      </c>
      <c r="C119" s="140">
        <f t="shared" si="100"/>
        <v>9.2632865458391403E-2</v>
      </c>
      <c r="D119" s="140">
        <f t="shared" si="100"/>
        <v>8.1895191700422171E-2</v>
      </c>
      <c r="E119" s="140">
        <f t="shared" si="100"/>
        <v>9.1744828073404103E-2</v>
      </c>
      <c r="F119" s="140">
        <f t="shared" si="100"/>
        <v>8.4097024512965107E-2</v>
      </c>
      <c r="G119" s="140">
        <f t="shared" si="100"/>
        <v>9.1594733967337805E-2</v>
      </c>
      <c r="H119" s="140">
        <f t="shared" si="100"/>
        <v>9.8657973794248885E-2</v>
      </c>
      <c r="I119" s="140">
        <f t="shared" si="100"/>
        <v>0.10149498575190791</v>
      </c>
      <c r="J119" s="140">
        <f t="shared" si="100"/>
        <v>9.3115935077865961E-2</v>
      </c>
      <c r="K119" s="140">
        <f t="shared" si="100"/>
        <v>8.1896312374973745E-2</v>
      </c>
      <c r="L119" s="140">
        <f t="shared" si="100"/>
        <v>8.7708166341713814E-2</v>
      </c>
      <c r="M119" s="140">
        <f t="shared" si="100"/>
        <v>8.4278617016893931E-2</v>
      </c>
      <c r="N119" s="140">
        <f t="shared" si="100"/>
        <v>8.6976109377308347E-2</v>
      </c>
      <c r="O119" s="140">
        <f t="shared" si="100"/>
        <v>6.8096999821597948E-2</v>
      </c>
      <c r="P119" s="140">
        <f t="shared" si="100"/>
        <v>6.7923198031789603E-2</v>
      </c>
      <c r="Q119" s="140">
        <f t="shared" si="100"/>
        <v>7.2584173476937741E-2</v>
      </c>
      <c r="R119" s="140">
        <f t="shared" si="98"/>
        <v>7.055425405730853E-2</v>
      </c>
      <c r="S119" s="140">
        <f t="shared" si="98"/>
        <v>6.5437257551870673E-2</v>
      </c>
      <c r="T119" s="140">
        <f t="shared" si="98"/>
        <v>6.3884923897972151E-2</v>
      </c>
      <c r="U119" s="140">
        <f t="shared" si="98"/>
        <v>6.4526989490422612E-2</v>
      </c>
      <c r="V119" s="140">
        <f t="shared" si="98"/>
        <v>5.7414114050184296E-2</v>
      </c>
      <c r="W119" s="140">
        <f t="shared" si="95"/>
        <v>5.8607727130722063E-2</v>
      </c>
      <c r="X119" s="140">
        <f t="shared" si="95"/>
        <v>6.77349630729151E-2</v>
      </c>
      <c r="Y119" s="140">
        <f t="shared" si="95"/>
        <v>6.5790223063856221E-2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</v>
      </c>
      <c r="C120" s="127">
        <f t="shared" si="101"/>
        <v>0</v>
      </c>
      <c r="D120" s="127">
        <f t="shared" si="101"/>
        <v>0</v>
      </c>
      <c r="E120" s="127">
        <f t="shared" si="101"/>
        <v>0</v>
      </c>
      <c r="F120" s="127">
        <f t="shared" si="101"/>
        <v>0</v>
      </c>
      <c r="G120" s="127">
        <f t="shared" si="101"/>
        <v>0</v>
      </c>
      <c r="H120" s="127">
        <f t="shared" si="101"/>
        <v>0</v>
      </c>
      <c r="I120" s="127">
        <f t="shared" si="101"/>
        <v>0</v>
      </c>
      <c r="J120" s="127">
        <f t="shared" si="101"/>
        <v>0</v>
      </c>
      <c r="K120" s="127">
        <f t="shared" si="101"/>
        <v>0</v>
      </c>
      <c r="L120" s="127">
        <f t="shared" si="101"/>
        <v>0</v>
      </c>
      <c r="M120" s="127">
        <f t="shared" si="101"/>
        <v>0</v>
      </c>
      <c r="N120" s="127">
        <f t="shared" si="101"/>
        <v>0</v>
      </c>
      <c r="O120" s="127">
        <f t="shared" si="101"/>
        <v>0</v>
      </c>
      <c r="P120" s="127">
        <f t="shared" si="101"/>
        <v>0</v>
      </c>
      <c r="Q120" s="127">
        <f t="shared" si="101"/>
        <v>0</v>
      </c>
      <c r="R120" s="127">
        <f t="shared" si="98"/>
        <v>0</v>
      </c>
      <c r="S120" s="127">
        <f t="shared" si="98"/>
        <v>0</v>
      </c>
      <c r="T120" s="127">
        <f t="shared" si="98"/>
        <v>0</v>
      </c>
      <c r="U120" s="127">
        <f t="shared" si="98"/>
        <v>0</v>
      </c>
      <c r="V120" s="127">
        <f t="shared" si="98"/>
        <v>0</v>
      </c>
      <c r="W120" s="127">
        <f t="shared" si="95"/>
        <v>0</v>
      </c>
      <c r="X120" s="127">
        <f t="shared" si="95"/>
        <v>0</v>
      </c>
      <c r="Y120" s="127">
        <f t="shared" si="95"/>
        <v>0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0.26907394429914056</v>
      </c>
      <c r="C122" s="140">
        <f t="shared" si="103"/>
        <v>0.26323965666371923</v>
      </c>
      <c r="D122" s="140">
        <f t="shared" si="103"/>
        <v>0.27870702802526354</v>
      </c>
      <c r="E122" s="140">
        <f t="shared" si="103"/>
        <v>0.24107102755523854</v>
      </c>
      <c r="F122" s="140">
        <f t="shared" si="103"/>
        <v>0.29086286759763547</v>
      </c>
      <c r="G122" s="140">
        <f t="shared" si="103"/>
        <v>0.29986320948168815</v>
      </c>
      <c r="H122" s="140">
        <f t="shared" si="103"/>
        <v>0.23803948090894717</v>
      </c>
      <c r="I122" s="140">
        <f t="shared" si="103"/>
        <v>0.25252031422782034</v>
      </c>
      <c r="J122" s="140">
        <f t="shared" si="103"/>
        <v>0.25501020840963506</v>
      </c>
      <c r="K122" s="140">
        <f t="shared" si="103"/>
        <v>0.25746723952162603</v>
      </c>
      <c r="L122" s="140">
        <f t="shared" si="103"/>
        <v>0.2893650102713779</v>
      </c>
      <c r="M122" s="140">
        <f t="shared" si="103"/>
        <v>0.23627463675030369</v>
      </c>
      <c r="N122" s="140">
        <f t="shared" si="103"/>
        <v>0.30169972666748196</v>
      </c>
      <c r="O122" s="140">
        <f t="shared" si="103"/>
        <v>0.34076364723782826</v>
      </c>
      <c r="P122" s="140">
        <f t="shared" si="103"/>
        <v>0.29797003016023249</v>
      </c>
      <c r="Q122" s="140">
        <f t="shared" si="103"/>
        <v>0.24640897842121423</v>
      </c>
      <c r="R122" s="140">
        <f t="shared" si="103"/>
        <v>0.25015610271025945</v>
      </c>
      <c r="S122" s="140">
        <f t="shared" si="103"/>
        <v>0.25525331986159294</v>
      </c>
      <c r="T122" s="140">
        <f t="shared" si="103"/>
        <v>0.23899810843294872</v>
      </c>
      <c r="U122" s="140">
        <f t="shared" si="103"/>
        <v>0.23079911219743804</v>
      </c>
      <c r="V122" s="140">
        <f t="shared" si="103"/>
        <v>0.22555261656410669</v>
      </c>
      <c r="W122" s="140">
        <f t="shared" si="103"/>
        <v>0.21854811479057754</v>
      </c>
      <c r="X122" s="140">
        <f t="shared" si="103"/>
        <v>0.26198096631318185</v>
      </c>
      <c r="Y122" s="140">
        <f t="shared" si="103"/>
        <v>0.23899184039406807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0.73092605570085944</v>
      </c>
      <c r="C123" s="127">
        <f t="shared" si="104"/>
        <v>0.73676034333628082</v>
      </c>
      <c r="D123" s="127">
        <f t="shared" si="104"/>
        <v>0.72129297197473652</v>
      </c>
      <c r="E123" s="127">
        <f t="shared" si="104"/>
        <v>0.75892897244476154</v>
      </c>
      <c r="F123" s="127">
        <f t="shared" si="104"/>
        <v>0.70913713240236453</v>
      </c>
      <c r="G123" s="127">
        <f t="shared" si="104"/>
        <v>0.7001367905183119</v>
      </c>
      <c r="H123" s="127">
        <f t="shared" si="104"/>
        <v>0.76196051909105278</v>
      </c>
      <c r="I123" s="127">
        <f t="shared" si="104"/>
        <v>0.74747968577217971</v>
      </c>
      <c r="J123" s="127">
        <f t="shared" si="104"/>
        <v>0.74498979159036505</v>
      </c>
      <c r="K123" s="127">
        <f t="shared" si="104"/>
        <v>0.74253276047837402</v>
      </c>
      <c r="L123" s="127">
        <f t="shared" si="104"/>
        <v>0.71063498972862216</v>
      </c>
      <c r="M123" s="127">
        <f t="shared" si="104"/>
        <v>0.76372536324969631</v>
      </c>
      <c r="N123" s="127">
        <f t="shared" si="104"/>
        <v>0.6983002733325181</v>
      </c>
      <c r="O123" s="127">
        <f t="shared" si="104"/>
        <v>0.65923635276217185</v>
      </c>
      <c r="P123" s="127">
        <f t="shared" si="104"/>
        <v>0.70202996983976751</v>
      </c>
      <c r="Q123" s="127">
        <f t="shared" si="104"/>
        <v>0.75359102157878588</v>
      </c>
      <c r="R123" s="127">
        <f t="shared" si="104"/>
        <v>0.74984389728974055</v>
      </c>
      <c r="S123" s="127">
        <f t="shared" si="104"/>
        <v>0.74474668013840706</v>
      </c>
      <c r="T123" s="127">
        <f t="shared" si="104"/>
        <v>0.76100189156705134</v>
      </c>
      <c r="U123" s="127">
        <f t="shared" si="104"/>
        <v>0.76920088780256202</v>
      </c>
      <c r="V123" s="127">
        <f t="shared" si="104"/>
        <v>0.77444738343589326</v>
      </c>
      <c r="W123" s="127">
        <f t="shared" si="104"/>
        <v>0.78145188520942255</v>
      </c>
      <c r="X123" s="127">
        <f t="shared" si="104"/>
        <v>0.7380190336868182</v>
      </c>
      <c r="Y123" s="127">
        <f t="shared" si="104"/>
        <v>0.76100815960593193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0.7242973105375744</v>
      </c>
      <c r="C127" s="139">
        <f t="shared" ref="C127:Y127" si="107">IF(C35=0,0,C35/C$34)</f>
        <v>0.71949409345533877</v>
      </c>
      <c r="D127" s="139">
        <f t="shared" si="107"/>
        <v>0.74646965986800351</v>
      </c>
      <c r="E127" s="139">
        <f t="shared" si="107"/>
        <v>0.74349690322997797</v>
      </c>
      <c r="F127" s="139">
        <f t="shared" si="107"/>
        <v>0.72322573899357634</v>
      </c>
      <c r="G127" s="139">
        <f t="shared" si="107"/>
        <v>0.71327151874657158</v>
      </c>
      <c r="H127" s="139">
        <f t="shared" si="107"/>
        <v>0.7147623793154505</v>
      </c>
      <c r="I127" s="139">
        <f t="shared" si="107"/>
        <v>0.71822546110058816</v>
      </c>
      <c r="J127" s="139">
        <f t="shared" si="107"/>
        <v>0.72830798800480068</v>
      </c>
      <c r="K127" s="139">
        <f t="shared" si="107"/>
        <v>0.74549208517400178</v>
      </c>
      <c r="L127" s="139">
        <f t="shared" si="107"/>
        <v>0.73759706547732318</v>
      </c>
      <c r="M127" s="139">
        <f t="shared" si="107"/>
        <v>0.73767527773571051</v>
      </c>
      <c r="N127" s="139">
        <f t="shared" si="107"/>
        <v>0.7261964607577398</v>
      </c>
      <c r="O127" s="139">
        <f t="shared" si="107"/>
        <v>0.72522411476018245</v>
      </c>
      <c r="P127" s="139">
        <f t="shared" si="107"/>
        <v>0.71560005658544468</v>
      </c>
      <c r="Q127" s="139">
        <f t="shared" si="107"/>
        <v>0.734030963317716</v>
      </c>
      <c r="R127" s="139">
        <f t="shared" si="107"/>
        <v>0.71670485458641375</v>
      </c>
      <c r="S127" s="139">
        <f t="shared" si="107"/>
        <v>0.71066073867663981</v>
      </c>
      <c r="T127" s="139">
        <f t="shared" si="107"/>
        <v>0.70519632382038977</v>
      </c>
      <c r="U127" s="139">
        <f t="shared" si="107"/>
        <v>0.69973672721160718</v>
      </c>
      <c r="V127" s="139">
        <f t="shared" si="107"/>
        <v>0.85611499032488581</v>
      </c>
      <c r="W127" s="139">
        <f t="shared" si="107"/>
        <v>0.83219658195068869</v>
      </c>
      <c r="X127" s="139">
        <f t="shared" si="107"/>
        <v>0.75069136669259429</v>
      </c>
      <c r="Y127" s="139">
        <f t="shared" si="107"/>
        <v>0.72861479398309426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7.1329126742301178E-3</v>
      </c>
      <c r="C128" s="140">
        <f t="shared" ref="C128:Y128" si="108">IF(C36=0,0,C36/C$34)</f>
        <v>6.766875967411743E-3</v>
      </c>
      <c r="D128" s="140">
        <f t="shared" si="108"/>
        <v>7.1747289218781303E-3</v>
      </c>
      <c r="E128" s="140">
        <f t="shared" si="108"/>
        <v>7.047719874193982E-3</v>
      </c>
      <c r="F128" s="140">
        <f t="shared" si="108"/>
        <v>6.7351456983112592E-3</v>
      </c>
      <c r="G128" s="140">
        <f t="shared" si="108"/>
        <v>6.6890352726267114E-3</v>
      </c>
      <c r="H128" s="140">
        <f t="shared" si="108"/>
        <v>6.8696657594426768E-3</v>
      </c>
      <c r="I128" s="140">
        <f t="shared" si="108"/>
        <v>6.9530012263894596E-3</v>
      </c>
      <c r="J128" s="140">
        <f t="shared" si="108"/>
        <v>7.0720355392062109E-3</v>
      </c>
      <c r="K128" s="140">
        <f t="shared" si="108"/>
        <v>7.0273997926234835E-3</v>
      </c>
      <c r="L128" s="140">
        <f t="shared" si="108"/>
        <v>6.8994007460261627E-3</v>
      </c>
      <c r="M128" s="140">
        <f t="shared" si="108"/>
        <v>6.5801361290882092E-3</v>
      </c>
      <c r="N128" s="140">
        <f t="shared" si="108"/>
        <v>6.8929581891560513E-3</v>
      </c>
      <c r="O128" s="140">
        <f t="shared" si="108"/>
        <v>6.9616208893347464E-3</v>
      </c>
      <c r="P128" s="140">
        <f t="shared" si="108"/>
        <v>6.8512756972674612E-3</v>
      </c>
      <c r="Q128" s="140">
        <f t="shared" si="108"/>
        <v>6.5298650081812779E-3</v>
      </c>
      <c r="R128" s="140">
        <f t="shared" si="108"/>
        <v>6.3820395304970846E-3</v>
      </c>
      <c r="S128" s="140">
        <f t="shared" si="108"/>
        <v>6.0007367376861531E-3</v>
      </c>
      <c r="T128" s="140">
        <f t="shared" si="108"/>
        <v>5.5064583924006429E-3</v>
      </c>
      <c r="U128" s="140">
        <f t="shared" si="108"/>
        <v>5.7115615065659016E-3</v>
      </c>
      <c r="V128" s="140">
        <f t="shared" si="108"/>
        <v>6.7294191258201142E-3</v>
      </c>
      <c r="W128" s="140">
        <f t="shared" si="108"/>
        <v>6.5830848953401262E-3</v>
      </c>
      <c r="X128" s="140">
        <f t="shared" si="108"/>
        <v>6.0070281377137972E-3</v>
      </c>
      <c r="Y128" s="140">
        <f t="shared" si="108"/>
        <v>6.196240227237494E-3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0.61339519707346568</v>
      </c>
      <c r="C129" s="140">
        <f t="shared" ref="C129:Y129" si="109">IF(C37=0,0,C37/C$34)</f>
        <v>0.61105781249457991</v>
      </c>
      <c r="D129" s="140">
        <f t="shared" si="109"/>
        <v>0.63755069872460013</v>
      </c>
      <c r="E129" s="140">
        <f t="shared" si="109"/>
        <v>0.63564543899488468</v>
      </c>
      <c r="F129" s="140">
        <f t="shared" si="109"/>
        <v>0.62064207797913151</v>
      </c>
      <c r="G129" s="140">
        <f t="shared" si="109"/>
        <v>0.6113890328722319</v>
      </c>
      <c r="H129" s="140">
        <f t="shared" si="109"/>
        <v>0.61288696502762785</v>
      </c>
      <c r="I129" s="140">
        <f t="shared" si="109"/>
        <v>0.620898874301547</v>
      </c>
      <c r="J129" s="140">
        <f t="shared" si="109"/>
        <v>0.62766622121207549</v>
      </c>
      <c r="K129" s="140">
        <f t="shared" si="109"/>
        <v>0.63992446055896113</v>
      </c>
      <c r="L129" s="140">
        <f t="shared" si="109"/>
        <v>0.63098703422774349</v>
      </c>
      <c r="M129" s="140">
        <f t="shared" si="109"/>
        <v>0.63609768923819232</v>
      </c>
      <c r="N129" s="140">
        <f t="shared" si="109"/>
        <v>0.6261998482022505</v>
      </c>
      <c r="O129" s="140">
        <f t="shared" si="109"/>
        <v>0.62825681185954718</v>
      </c>
      <c r="P129" s="140">
        <f t="shared" si="109"/>
        <v>0.61808329418384822</v>
      </c>
      <c r="Q129" s="140">
        <f t="shared" si="109"/>
        <v>0.6390217739229056</v>
      </c>
      <c r="R129" s="140">
        <f t="shared" si="109"/>
        <v>0.62007662570132627</v>
      </c>
      <c r="S129" s="140">
        <f t="shared" si="109"/>
        <v>0.61052369656244687</v>
      </c>
      <c r="T129" s="140">
        <f t="shared" si="109"/>
        <v>0.60844293363931623</v>
      </c>
      <c r="U129" s="140">
        <f t="shared" si="109"/>
        <v>0.60520535928560171</v>
      </c>
      <c r="V129" s="140">
        <f t="shared" si="109"/>
        <v>0.7322336880551451</v>
      </c>
      <c r="W129" s="140">
        <f t="shared" si="109"/>
        <v>0.71478146734657877</v>
      </c>
      <c r="X129" s="140">
        <f t="shared" si="109"/>
        <v>0.64393048792877428</v>
      </c>
      <c r="Y129" s="140">
        <f t="shared" si="109"/>
        <v>0.62687312823345431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0.10376920078987856</v>
      </c>
      <c r="C130" s="140">
        <f t="shared" ref="C130:Y130" si="110">IF(C38=0,0,C38/C$34)</f>
        <v>0.1016694049933471</v>
      </c>
      <c r="D130" s="140">
        <f t="shared" si="110"/>
        <v>0.10174423222152519</v>
      </c>
      <c r="E130" s="140">
        <f t="shared" si="110"/>
        <v>0.10080374436089938</v>
      </c>
      <c r="F130" s="140">
        <f t="shared" si="110"/>
        <v>9.5848515316133587E-2</v>
      </c>
      <c r="G130" s="140">
        <f t="shared" si="110"/>
        <v>9.5193450601712915E-2</v>
      </c>
      <c r="H130" s="140">
        <f t="shared" si="110"/>
        <v>9.5005748528380007E-2</v>
      </c>
      <c r="I130" s="140">
        <f t="shared" si="110"/>
        <v>9.0373585572651641E-2</v>
      </c>
      <c r="J130" s="140">
        <f t="shared" si="110"/>
        <v>9.3569731253518959E-2</v>
      </c>
      <c r="K130" s="140">
        <f t="shared" si="110"/>
        <v>9.854022482241713E-2</v>
      </c>
      <c r="L130" s="140">
        <f t="shared" si="110"/>
        <v>9.9710630503553499E-2</v>
      </c>
      <c r="M130" s="140">
        <f t="shared" si="110"/>
        <v>9.4997452368429908E-2</v>
      </c>
      <c r="N130" s="140">
        <f t="shared" si="110"/>
        <v>9.3103654366333249E-2</v>
      </c>
      <c r="O130" s="140">
        <f t="shared" si="110"/>
        <v>9.0005682011300589E-2</v>
      </c>
      <c r="P130" s="140">
        <f t="shared" si="110"/>
        <v>9.0665486704328932E-2</v>
      </c>
      <c r="Q130" s="140">
        <f t="shared" si="110"/>
        <v>8.8479324386629157E-2</v>
      </c>
      <c r="R130" s="140">
        <f t="shared" si="110"/>
        <v>9.024618935459025E-2</v>
      </c>
      <c r="S130" s="140">
        <f t="shared" si="110"/>
        <v>9.413630537650676E-2</v>
      </c>
      <c r="T130" s="140">
        <f t="shared" si="110"/>
        <v>9.1246931788672853E-2</v>
      </c>
      <c r="U130" s="140">
        <f t="shared" si="110"/>
        <v>8.8819806419439568E-2</v>
      </c>
      <c r="V130" s="140">
        <f t="shared" si="110"/>
        <v>0.11715188314392051</v>
      </c>
      <c r="W130" s="140">
        <f t="shared" si="110"/>
        <v>0.11083202970876981</v>
      </c>
      <c r="X130" s="140">
        <f t="shared" si="110"/>
        <v>0.10075385062610626</v>
      </c>
      <c r="Y130" s="140">
        <f t="shared" si="110"/>
        <v>9.5545425522402375E-2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2.7133417112761134E-2</v>
      </c>
      <c r="C131" s="124">
        <f t="shared" ref="C131:Y131" si="111">IF(C39=0,0,C39/C$34)</f>
        <v>2.5975639830272689E-2</v>
      </c>
      <c r="D131" s="124">
        <f t="shared" si="111"/>
        <v>2.7494466561311784E-2</v>
      </c>
      <c r="E131" s="124">
        <f t="shared" si="111"/>
        <v>2.7313914485932886E-2</v>
      </c>
      <c r="F131" s="124">
        <f t="shared" si="111"/>
        <v>2.6064063273417072E-2</v>
      </c>
      <c r="G131" s="124">
        <f t="shared" si="111"/>
        <v>2.7520700747688302E-2</v>
      </c>
      <c r="H131" s="124">
        <f t="shared" si="111"/>
        <v>2.7292885258899977E-2</v>
      </c>
      <c r="I131" s="124">
        <f t="shared" si="111"/>
        <v>2.6058925478841099E-2</v>
      </c>
      <c r="J131" s="124">
        <f t="shared" si="111"/>
        <v>2.776878258892387E-2</v>
      </c>
      <c r="K131" s="124">
        <f t="shared" si="111"/>
        <v>2.8953276478110405E-2</v>
      </c>
      <c r="L131" s="124">
        <f t="shared" si="111"/>
        <v>2.9365609748607479E-2</v>
      </c>
      <c r="M131" s="124">
        <f t="shared" si="111"/>
        <v>2.859835715888227E-2</v>
      </c>
      <c r="N131" s="124">
        <f t="shared" si="111"/>
        <v>3.0198591583191541E-2</v>
      </c>
      <c r="O131" s="124">
        <f t="shared" si="111"/>
        <v>3.0015539236957847E-2</v>
      </c>
      <c r="P131" s="124">
        <f t="shared" si="111"/>
        <v>2.9555633885637263E-2</v>
      </c>
      <c r="Q131" s="124">
        <f t="shared" si="111"/>
        <v>2.7633126934037775E-2</v>
      </c>
      <c r="R131" s="124">
        <f t="shared" si="111"/>
        <v>2.7925298599852162E-2</v>
      </c>
      <c r="S131" s="124">
        <f t="shared" si="111"/>
        <v>2.7147634345430712E-2</v>
      </c>
      <c r="T131" s="124">
        <f t="shared" si="111"/>
        <v>2.4814728888530369E-2</v>
      </c>
      <c r="U131" s="124">
        <f t="shared" si="111"/>
        <v>2.5244245121434226E-2</v>
      </c>
      <c r="V131" s="124">
        <f t="shared" si="111"/>
        <v>3.1755471531590779E-2</v>
      </c>
      <c r="W131" s="124">
        <f t="shared" si="111"/>
        <v>3.0246089307883795E-2</v>
      </c>
      <c r="X131" s="124">
        <f t="shared" si="111"/>
        <v>2.8313638385881221E-2</v>
      </c>
      <c r="Y131" s="124">
        <f t="shared" si="111"/>
        <v>2.701151439213384E-2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0</v>
      </c>
      <c r="C132" s="140">
        <f t="shared" ref="C132:Y132" si="112">IF(C40=0,0,C40/C$34)</f>
        <v>0</v>
      </c>
      <c r="D132" s="140">
        <f t="shared" si="112"/>
        <v>1.2790708365679498E-5</v>
      </c>
      <c r="E132" s="140">
        <f t="shared" si="112"/>
        <v>9.544768979629766E-5</v>
      </c>
      <c r="F132" s="140">
        <f t="shared" si="112"/>
        <v>1.7546741978574277E-4</v>
      </c>
      <c r="G132" s="140">
        <f t="shared" si="112"/>
        <v>2.1991719339394303E-4</v>
      </c>
      <c r="H132" s="140">
        <f t="shared" si="112"/>
        <v>2.1931566805359368E-4</v>
      </c>
      <c r="I132" s="140">
        <f t="shared" si="112"/>
        <v>2.248796260977675E-4</v>
      </c>
      <c r="J132" s="140">
        <f t="shared" si="112"/>
        <v>2.5243192844353615E-4</v>
      </c>
      <c r="K132" s="140">
        <f t="shared" si="112"/>
        <v>2.8798257960507102E-4</v>
      </c>
      <c r="L132" s="140">
        <f t="shared" si="112"/>
        <v>3.1426352748678576E-4</v>
      </c>
      <c r="M132" s="140">
        <f t="shared" si="112"/>
        <v>3.5511763247261406E-4</v>
      </c>
      <c r="N132" s="140">
        <f t="shared" si="112"/>
        <v>3.6009197123695766E-4</v>
      </c>
      <c r="O132" s="140">
        <f t="shared" si="112"/>
        <v>3.7466787857224325E-4</v>
      </c>
      <c r="P132" s="140">
        <f t="shared" si="112"/>
        <v>3.7621540135250467E-4</v>
      </c>
      <c r="Q132" s="140">
        <f t="shared" si="112"/>
        <v>3.6299274115483946E-4</v>
      </c>
      <c r="R132" s="140">
        <f t="shared" si="112"/>
        <v>3.7989209095194346E-4</v>
      </c>
      <c r="S132" s="140">
        <f t="shared" si="112"/>
        <v>4.0018803111074066E-4</v>
      </c>
      <c r="T132" s="140">
        <f t="shared" si="112"/>
        <v>4.0258892915680711E-4</v>
      </c>
      <c r="U132" s="140">
        <f t="shared" si="112"/>
        <v>4.5958095308142386E-4</v>
      </c>
      <c r="V132" s="140">
        <f t="shared" si="112"/>
        <v>5.6698107989138272E-4</v>
      </c>
      <c r="W132" s="140">
        <f t="shared" si="112"/>
        <v>5.9875502591686172E-4</v>
      </c>
      <c r="X132" s="140">
        <f t="shared" si="112"/>
        <v>6.6805725783379826E-4</v>
      </c>
      <c r="Y132" s="140">
        <f t="shared" si="112"/>
        <v>6.579194118786967E-4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2.7133417112761134E-2</v>
      </c>
      <c r="C133" s="140">
        <f t="shared" ref="C133:Y133" si="113">IF(C41=0,0,C41/C$34)</f>
        <v>2.5975639830272689E-2</v>
      </c>
      <c r="D133" s="140">
        <f t="shared" si="113"/>
        <v>2.7481675852946103E-2</v>
      </c>
      <c r="E133" s="140">
        <f t="shared" si="113"/>
        <v>2.7218466796136587E-2</v>
      </c>
      <c r="F133" s="140">
        <f t="shared" si="113"/>
        <v>2.5888595853631329E-2</v>
      </c>
      <c r="G133" s="140">
        <f t="shared" si="113"/>
        <v>2.7300783554294359E-2</v>
      </c>
      <c r="H133" s="140">
        <f t="shared" si="113"/>
        <v>2.7073569590846381E-2</v>
      </c>
      <c r="I133" s="140">
        <f t="shared" si="113"/>
        <v>2.5834045852743334E-2</v>
      </c>
      <c r="J133" s="140">
        <f t="shared" si="113"/>
        <v>2.7516350660480336E-2</v>
      </c>
      <c r="K133" s="140">
        <f t="shared" si="113"/>
        <v>2.8665293898505334E-2</v>
      </c>
      <c r="L133" s="140">
        <f t="shared" si="113"/>
        <v>2.905134622112069E-2</v>
      </c>
      <c r="M133" s="140">
        <f t="shared" si="113"/>
        <v>2.8243239526409655E-2</v>
      </c>
      <c r="N133" s="140">
        <f t="shared" si="113"/>
        <v>2.9838499611954585E-2</v>
      </c>
      <c r="O133" s="140">
        <f t="shared" si="113"/>
        <v>2.9640871358385605E-2</v>
      </c>
      <c r="P133" s="140">
        <f t="shared" si="113"/>
        <v>2.917941848428476E-2</v>
      </c>
      <c r="Q133" s="140">
        <f t="shared" si="113"/>
        <v>2.7270134192882933E-2</v>
      </c>
      <c r="R133" s="140">
        <f t="shared" si="113"/>
        <v>2.7545406508900219E-2</v>
      </c>
      <c r="S133" s="140">
        <f t="shared" si="113"/>
        <v>2.674744631431997E-2</v>
      </c>
      <c r="T133" s="140">
        <f t="shared" si="113"/>
        <v>2.4412139959373559E-2</v>
      </c>
      <c r="U133" s="140">
        <f t="shared" si="113"/>
        <v>2.4784664168352802E-2</v>
      </c>
      <c r="V133" s="140">
        <f t="shared" si="113"/>
        <v>3.1188490451699396E-2</v>
      </c>
      <c r="W133" s="140">
        <f t="shared" si="113"/>
        <v>2.9647334281966933E-2</v>
      </c>
      <c r="X133" s="140">
        <f t="shared" si="113"/>
        <v>2.7645581128047422E-2</v>
      </c>
      <c r="Y133" s="140">
        <f t="shared" si="113"/>
        <v>2.6353594980255142E-2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0.24856927234966453</v>
      </c>
      <c r="C135" s="124">
        <f t="shared" ref="C135:Y135" si="115">IF(C43=0,0,C43/C$34)</f>
        <v>0.25453026671438855</v>
      </c>
      <c r="D135" s="124">
        <f t="shared" si="115"/>
        <v>0.22603587357068466</v>
      </c>
      <c r="E135" s="124">
        <f t="shared" si="115"/>
        <v>0.22918918228408905</v>
      </c>
      <c r="F135" s="124">
        <f t="shared" si="115"/>
        <v>0.25071019773300657</v>
      </c>
      <c r="G135" s="124">
        <f t="shared" si="115"/>
        <v>0.25920778050574012</v>
      </c>
      <c r="H135" s="124">
        <f t="shared" si="115"/>
        <v>0.2579447354256495</v>
      </c>
      <c r="I135" s="124">
        <f t="shared" si="115"/>
        <v>0.25571561342057081</v>
      </c>
      <c r="J135" s="124">
        <f t="shared" si="115"/>
        <v>0.24392322940627537</v>
      </c>
      <c r="K135" s="124">
        <f t="shared" si="115"/>
        <v>0.2255546383478878</v>
      </c>
      <c r="L135" s="124">
        <f t="shared" si="115"/>
        <v>0.23303732477406933</v>
      </c>
      <c r="M135" s="124">
        <f t="shared" si="115"/>
        <v>0.2337263651054072</v>
      </c>
      <c r="N135" s="124">
        <f t="shared" si="115"/>
        <v>0.24360494765906868</v>
      </c>
      <c r="O135" s="124">
        <f t="shared" si="115"/>
        <v>0.24476034600285965</v>
      </c>
      <c r="P135" s="124">
        <f t="shared" si="115"/>
        <v>0.25484430952891812</v>
      </c>
      <c r="Q135" s="124">
        <f t="shared" si="115"/>
        <v>0.23833590974824628</v>
      </c>
      <c r="R135" s="124">
        <f t="shared" si="115"/>
        <v>0.2553698468137342</v>
      </c>
      <c r="S135" s="124">
        <f t="shared" si="115"/>
        <v>0.26219162697792942</v>
      </c>
      <c r="T135" s="124">
        <f t="shared" si="115"/>
        <v>0.26998894729107986</v>
      </c>
      <c r="U135" s="124">
        <f t="shared" si="115"/>
        <v>0.27501902766695863</v>
      </c>
      <c r="V135" s="124">
        <f t="shared" si="115"/>
        <v>0.11212953814352349</v>
      </c>
      <c r="W135" s="124">
        <f t="shared" si="115"/>
        <v>0.13755732874142756</v>
      </c>
      <c r="X135" s="124">
        <f t="shared" si="115"/>
        <v>0.22099499492152441</v>
      </c>
      <c r="Y135" s="124">
        <f t="shared" si="115"/>
        <v>0.24437369162477182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1.4044584636468344E-2</v>
      </c>
      <c r="C136" s="140">
        <f t="shared" ref="C136:Y136" si="116">IF(C44=0,0,C44/C$34)</f>
        <v>1.4466746439564889E-2</v>
      </c>
      <c r="D136" s="140">
        <f t="shared" si="116"/>
        <v>1.2272430660906093E-2</v>
      </c>
      <c r="E136" s="140">
        <f t="shared" si="116"/>
        <v>1.171267944457309E-2</v>
      </c>
      <c r="F136" s="140">
        <f t="shared" si="116"/>
        <v>9.5005275174357574E-3</v>
      </c>
      <c r="G136" s="140">
        <f t="shared" si="116"/>
        <v>9.9504433146870887E-3</v>
      </c>
      <c r="H136" s="140">
        <f t="shared" si="116"/>
        <v>1.0454511948710875E-2</v>
      </c>
      <c r="I136" s="140">
        <f t="shared" si="116"/>
        <v>1.1784787715633932E-2</v>
      </c>
      <c r="J136" s="140">
        <f t="shared" si="116"/>
        <v>1.257695946003661E-2</v>
      </c>
      <c r="K136" s="140">
        <f t="shared" si="116"/>
        <v>1.3022138297376319E-2</v>
      </c>
      <c r="L136" s="140">
        <f t="shared" si="116"/>
        <v>1.3555602245283715E-2</v>
      </c>
      <c r="M136" s="140">
        <f t="shared" si="116"/>
        <v>1.264853143143463E-2</v>
      </c>
      <c r="N136" s="140">
        <f t="shared" si="116"/>
        <v>1.1343014455122768E-2</v>
      </c>
      <c r="O136" s="140">
        <f t="shared" si="116"/>
        <v>1.1110648691369544E-2</v>
      </c>
      <c r="P136" s="140">
        <f t="shared" si="116"/>
        <v>1.0484189693399823E-2</v>
      </c>
      <c r="Q136" s="140">
        <f t="shared" si="116"/>
        <v>9.2680295166522233E-3</v>
      </c>
      <c r="R136" s="140">
        <f t="shared" si="116"/>
        <v>9.4852022532070038E-3</v>
      </c>
      <c r="S136" s="140">
        <f t="shared" si="116"/>
        <v>9.0357884630423106E-3</v>
      </c>
      <c r="T136" s="140">
        <f t="shared" si="116"/>
        <v>8.3260982507080816E-3</v>
      </c>
      <c r="U136" s="140">
        <f t="shared" si="116"/>
        <v>8.3604594789200536E-3</v>
      </c>
      <c r="V136" s="140">
        <f t="shared" si="116"/>
        <v>5.9667998174818323E-3</v>
      </c>
      <c r="W136" s="140">
        <f t="shared" si="116"/>
        <v>6.0918634212849968E-3</v>
      </c>
      <c r="X136" s="140">
        <f t="shared" si="116"/>
        <v>7.4815238770839405E-3</v>
      </c>
      <c r="Y136" s="140">
        <f t="shared" si="116"/>
        <v>7.2642012627367487E-3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0.13990722194561422</v>
      </c>
      <c r="C137" s="140">
        <f t="shared" ref="C137:Y137" si="117">IF(C45=0,0,C45/C$34)</f>
        <v>0.14320700608078415</v>
      </c>
      <c r="D137" s="140">
        <f t="shared" si="117"/>
        <v>0.1320783379209699</v>
      </c>
      <c r="E137" s="140">
        <f t="shared" si="117"/>
        <v>0.13569547053749048</v>
      </c>
      <c r="F137" s="140">
        <f t="shared" si="117"/>
        <v>0.1435257573384856</v>
      </c>
      <c r="G137" s="140">
        <f t="shared" si="117"/>
        <v>0.1479852175669806</v>
      </c>
      <c r="H137" s="140">
        <f t="shared" si="117"/>
        <v>0.14747931685087978</v>
      </c>
      <c r="I137" s="140">
        <f t="shared" si="117"/>
        <v>0.14698349380564668</v>
      </c>
      <c r="J137" s="140">
        <f t="shared" si="117"/>
        <v>0.13921002843587529</v>
      </c>
      <c r="K137" s="140">
        <f t="shared" si="117"/>
        <v>0.12379224237953122</v>
      </c>
      <c r="L137" s="140">
        <f t="shared" si="117"/>
        <v>0.12736834659775123</v>
      </c>
      <c r="M137" s="140">
        <f t="shared" si="117"/>
        <v>0.12885796443180911</v>
      </c>
      <c r="N137" s="140">
        <f t="shared" si="117"/>
        <v>0.13417777110592854</v>
      </c>
      <c r="O137" s="140">
        <f t="shared" si="117"/>
        <v>0.13535946386714326</v>
      </c>
      <c r="P137" s="140">
        <f t="shared" si="117"/>
        <v>0.14205864447261363</v>
      </c>
      <c r="Q137" s="140">
        <f t="shared" si="117"/>
        <v>0.13391375190178958</v>
      </c>
      <c r="R137" s="140">
        <f t="shared" si="117"/>
        <v>0.14779421777098034</v>
      </c>
      <c r="S137" s="140">
        <f t="shared" si="117"/>
        <v>0.15318613045159121</v>
      </c>
      <c r="T137" s="140">
        <f t="shared" si="117"/>
        <v>0.15709326558484504</v>
      </c>
      <c r="U137" s="140">
        <f t="shared" si="117"/>
        <v>0.15737921830557297</v>
      </c>
      <c r="V137" s="140">
        <f t="shared" si="117"/>
        <v>5.4379723007006331E-2</v>
      </c>
      <c r="W137" s="140">
        <f t="shared" si="117"/>
        <v>7.196944379915543E-2</v>
      </c>
      <c r="X137" s="140">
        <f t="shared" si="117"/>
        <v>0.12968444626740058</v>
      </c>
      <c r="Y137" s="140">
        <f t="shared" si="117"/>
        <v>0.1425911954167037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9.4617465767581982E-2</v>
      </c>
      <c r="C138" s="140">
        <f t="shared" ref="C138:Y138" si="118">IF(C46=0,0,C46/C$34)</f>
        <v>9.6856514194039484E-2</v>
      </c>
      <c r="D138" s="140">
        <f t="shared" si="118"/>
        <v>8.1685104988808696E-2</v>
      </c>
      <c r="E138" s="140">
        <f t="shared" si="118"/>
        <v>8.1781032302025478E-2</v>
      </c>
      <c r="F138" s="140">
        <f t="shared" si="118"/>
        <v>9.7683912877085236E-2</v>
      </c>
      <c r="G138" s="140">
        <f t="shared" si="118"/>
        <v>0.10127211962407241</v>
      </c>
      <c r="H138" s="140">
        <f t="shared" si="118"/>
        <v>0.10001090662605885</v>
      </c>
      <c r="I138" s="140">
        <f t="shared" si="118"/>
        <v>9.6947331899290196E-2</v>
      </c>
      <c r="J138" s="140">
        <f t="shared" si="118"/>
        <v>9.2136241510363467E-2</v>
      </c>
      <c r="K138" s="140">
        <f t="shared" si="118"/>
        <v>8.874025767098026E-2</v>
      </c>
      <c r="L138" s="140">
        <f t="shared" si="118"/>
        <v>9.2113375931034414E-2</v>
      </c>
      <c r="M138" s="140">
        <f t="shared" si="118"/>
        <v>9.2219869242163438E-2</v>
      </c>
      <c r="N138" s="140">
        <f t="shared" si="118"/>
        <v>9.8084162098017375E-2</v>
      </c>
      <c r="O138" s="140">
        <f t="shared" si="118"/>
        <v>9.8290233444346856E-2</v>
      </c>
      <c r="P138" s="140">
        <f t="shared" si="118"/>
        <v>0.1023014753629047</v>
      </c>
      <c r="Q138" s="140">
        <f t="shared" si="118"/>
        <v>9.5154128329804452E-2</v>
      </c>
      <c r="R138" s="140">
        <f t="shared" si="118"/>
        <v>9.8090426789546853E-2</v>
      </c>
      <c r="S138" s="140">
        <f t="shared" si="118"/>
        <v>9.9969708063295915E-2</v>
      </c>
      <c r="T138" s="140">
        <f t="shared" si="118"/>
        <v>0.10456958345552672</v>
      </c>
      <c r="U138" s="140">
        <f t="shared" si="118"/>
        <v>0.10927934988246563</v>
      </c>
      <c r="V138" s="140">
        <f t="shared" si="118"/>
        <v>5.1783015319035314E-2</v>
      </c>
      <c r="W138" s="140">
        <f t="shared" si="118"/>
        <v>5.9496021520987145E-2</v>
      </c>
      <c r="X138" s="140">
        <f t="shared" si="118"/>
        <v>8.3829024777039907E-2</v>
      </c>
      <c r="Y138" s="140">
        <f t="shared" si="118"/>
        <v>9.4518294945331358E-2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0.87490729314102678</v>
      </c>
      <c r="C140" s="139">
        <f t="shared" ref="C140:Y140" si="121">IF(C48=0,0,C48/C$47)</f>
        <v>0.87655887967807644</v>
      </c>
      <c r="D140" s="139">
        <f t="shared" si="121"/>
        <v>0.86752046323047705</v>
      </c>
      <c r="E140" s="139">
        <f t="shared" si="121"/>
        <v>0.87820755393480099</v>
      </c>
      <c r="F140" s="139">
        <f t="shared" si="121"/>
        <v>0.895639876176195</v>
      </c>
      <c r="G140" s="139">
        <f t="shared" si="121"/>
        <v>0.88406612686015118</v>
      </c>
      <c r="H140" s="139">
        <f t="shared" si="121"/>
        <v>0.89761040382749047</v>
      </c>
      <c r="I140" s="139">
        <f t="shared" si="121"/>
        <v>0.91288657496429126</v>
      </c>
      <c r="J140" s="139">
        <f t="shared" si="121"/>
        <v>0.86086846074559309</v>
      </c>
      <c r="K140" s="139">
        <f t="shared" si="121"/>
        <v>0.86309523905580221</v>
      </c>
      <c r="L140" s="139">
        <f t="shared" si="121"/>
        <v>0.87185312566638984</v>
      </c>
      <c r="M140" s="139">
        <f t="shared" si="121"/>
        <v>0.86907367948335312</v>
      </c>
      <c r="N140" s="139">
        <f t="shared" si="121"/>
        <v>0.8610633809259336</v>
      </c>
      <c r="O140" s="139">
        <f t="shared" si="121"/>
        <v>0.85975701661538817</v>
      </c>
      <c r="P140" s="139">
        <f t="shared" si="121"/>
        <v>0.87500163062419178</v>
      </c>
      <c r="Q140" s="139">
        <f t="shared" si="121"/>
        <v>0.86356520938571457</v>
      </c>
      <c r="R140" s="139">
        <f t="shared" si="121"/>
        <v>0.88681536754818235</v>
      </c>
      <c r="S140" s="139">
        <f t="shared" si="121"/>
        <v>0.89050328142858859</v>
      </c>
      <c r="T140" s="139">
        <f t="shared" si="121"/>
        <v>0.89708578973374653</v>
      </c>
      <c r="U140" s="139">
        <f t="shared" si="121"/>
        <v>0.88832746628117787</v>
      </c>
      <c r="V140" s="139">
        <f t="shared" si="121"/>
        <v>0.88966977200501407</v>
      </c>
      <c r="W140" s="139">
        <f t="shared" si="121"/>
        <v>0.87756672564686167</v>
      </c>
      <c r="X140" s="139">
        <f t="shared" si="121"/>
        <v>0.887215101788699</v>
      </c>
      <c r="Y140" s="139">
        <f t="shared" si="121"/>
        <v>0.88754072597205136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0.37491838950177059</v>
      </c>
      <c r="C141" s="140">
        <f t="shared" ref="C141:Y141" si="122">IF(C49=0,0,C49/C$47)</f>
        <v>0.37330203685597224</v>
      </c>
      <c r="D141" s="140">
        <f t="shared" si="122"/>
        <v>0.36691490830806966</v>
      </c>
      <c r="E141" s="140">
        <f t="shared" si="122"/>
        <v>0.35690101710497141</v>
      </c>
      <c r="F141" s="140">
        <f t="shared" si="122"/>
        <v>0.36475476147350833</v>
      </c>
      <c r="G141" s="140">
        <f t="shared" si="122"/>
        <v>0.37207462192469076</v>
      </c>
      <c r="H141" s="140">
        <f t="shared" si="122"/>
        <v>0.39011971413356322</v>
      </c>
      <c r="I141" s="140">
        <f t="shared" si="122"/>
        <v>0.41086714576164329</v>
      </c>
      <c r="J141" s="140">
        <f t="shared" si="122"/>
        <v>0.40277078521395532</v>
      </c>
      <c r="K141" s="140">
        <f t="shared" si="122"/>
        <v>0.4222482975644401</v>
      </c>
      <c r="L141" s="140">
        <f t="shared" si="122"/>
        <v>0.41498354473307952</v>
      </c>
      <c r="M141" s="140">
        <f t="shared" si="122"/>
        <v>0.39422760253736833</v>
      </c>
      <c r="N141" s="140">
        <f t="shared" si="122"/>
        <v>0.3940187211693234</v>
      </c>
      <c r="O141" s="140">
        <f t="shared" si="122"/>
        <v>0.38660682419892295</v>
      </c>
      <c r="P141" s="140">
        <f t="shared" si="122"/>
        <v>0.36881674186047814</v>
      </c>
      <c r="Q141" s="140">
        <f t="shared" si="122"/>
        <v>0.38239839687076294</v>
      </c>
      <c r="R141" s="140">
        <f t="shared" si="122"/>
        <v>0.36405300018546377</v>
      </c>
      <c r="S141" s="140">
        <f t="shared" si="122"/>
        <v>0.36565014173376609</v>
      </c>
      <c r="T141" s="140">
        <f t="shared" si="122"/>
        <v>0.36125983076799811</v>
      </c>
      <c r="U141" s="140">
        <f t="shared" si="122"/>
        <v>0.35219654125284533</v>
      </c>
      <c r="V141" s="140">
        <f t="shared" si="122"/>
        <v>0.34404836174631315</v>
      </c>
      <c r="W141" s="140">
        <f t="shared" si="122"/>
        <v>0.34136151253924779</v>
      </c>
      <c r="X141" s="140">
        <f t="shared" si="122"/>
        <v>0.36005596524941402</v>
      </c>
      <c r="Y141" s="140">
        <f t="shared" si="122"/>
        <v>0.35843778850176983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0.49998890363925613</v>
      </c>
      <c r="C142" s="140">
        <f t="shared" ref="C142:Y142" si="123">IF(C50=0,0,C50/C$47)</f>
        <v>0.50325684282210426</v>
      </c>
      <c r="D142" s="140">
        <f t="shared" si="123"/>
        <v>0.50060555492240744</v>
      </c>
      <c r="E142" s="140">
        <f t="shared" si="123"/>
        <v>0.52130653682982964</v>
      </c>
      <c r="F142" s="140">
        <f t="shared" si="123"/>
        <v>0.53088511470268662</v>
      </c>
      <c r="G142" s="140">
        <f t="shared" si="123"/>
        <v>0.51199150493546042</v>
      </c>
      <c r="H142" s="140">
        <f t="shared" si="123"/>
        <v>0.50749068969392719</v>
      </c>
      <c r="I142" s="140">
        <f t="shared" si="123"/>
        <v>0.50201942920264797</v>
      </c>
      <c r="J142" s="140">
        <f t="shared" si="123"/>
        <v>0.45809767553163777</v>
      </c>
      <c r="K142" s="140">
        <f t="shared" si="123"/>
        <v>0.44084694149136222</v>
      </c>
      <c r="L142" s="140">
        <f t="shared" si="123"/>
        <v>0.45686958093331026</v>
      </c>
      <c r="M142" s="140">
        <f t="shared" si="123"/>
        <v>0.47484607694598474</v>
      </c>
      <c r="N142" s="140">
        <f t="shared" si="123"/>
        <v>0.46704465975661019</v>
      </c>
      <c r="O142" s="140">
        <f t="shared" si="123"/>
        <v>0.47315019241646517</v>
      </c>
      <c r="P142" s="140">
        <f t="shared" si="123"/>
        <v>0.5061848887637137</v>
      </c>
      <c r="Q142" s="140">
        <f t="shared" si="123"/>
        <v>0.48116681251495164</v>
      </c>
      <c r="R142" s="140">
        <f t="shared" si="123"/>
        <v>0.52276236736271864</v>
      </c>
      <c r="S142" s="140">
        <f t="shared" si="123"/>
        <v>0.5248531396948225</v>
      </c>
      <c r="T142" s="140">
        <f t="shared" si="123"/>
        <v>0.53582595896574858</v>
      </c>
      <c r="U142" s="140">
        <f t="shared" si="123"/>
        <v>0.53613092502833248</v>
      </c>
      <c r="V142" s="140">
        <f t="shared" si="123"/>
        <v>0.54562141025870092</v>
      </c>
      <c r="W142" s="140">
        <f t="shared" si="123"/>
        <v>0.53620521310761371</v>
      </c>
      <c r="X142" s="140">
        <f t="shared" si="123"/>
        <v>0.52715913653928492</v>
      </c>
      <c r="Y142" s="140">
        <f t="shared" si="123"/>
        <v>0.52910293747028148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9.1272238558914951E-3</v>
      </c>
      <c r="C143" s="124">
        <f t="shared" ref="C143:Y143" si="124">IF(C51=0,0,C51/C$47)</f>
        <v>8.345444376447993E-3</v>
      </c>
      <c r="D143" s="124">
        <f t="shared" si="124"/>
        <v>7.360812513570408E-3</v>
      </c>
      <c r="E143" s="124">
        <f t="shared" si="124"/>
        <v>6.7197266364102627E-3</v>
      </c>
      <c r="F143" s="124">
        <f t="shared" si="124"/>
        <v>7.318433633114409E-3</v>
      </c>
      <c r="G143" s="124">
        <f t="shared" si="124"/>
        <v>6.6166226171750827E-3</v>
      </c>
      <c r="H143" s="124">
        <f t="shared" si="124"/>
        <v>5.8522586660530208E-3</v>
      </c>
      <c r="I143" s="124">
        <f t="shared" si="124"/>
        <v>5.1492053214251985E-3</v>
      </c>
      <c r="J143" s="124">
        <f t="shared" si="124"/>
        <v>5.5005406972207429E-3</v>
      </c>
      <c r="K143" s="124">
        <f t="shared" si="124"/>
        <v>5.4721481646297539E-3</v>
      </c>
      <c r="L143" s="124">
        <f t="shared" si="124"/>
        <v>7.0992436438420273E-3</v>
      </c>
      <c r="M143" s="124">
        <f t="shared" si="124"/>
        <v>8.4084930154805382E-3</v>
      </c>
      <c r="N143" s="124">
        <f t="shared" si="124"/>
        <v>7.5500080310273877E-3</v>
      </c>
      <c r="O143" s="124">
        <f t="shared" si="124"/>
        <v>8.0780189737714204E-3</v>
      </c>
      <c r="P143" s="124">
        <f t="shared" si="124"/>
        <v>8.3999969941093763E-3</v>
      </c>
      <c r="Q143" s="124">
        <f t="shared" si="124"/>
        <v>9.6119711967336541E-3</v>
      </c>
      <c r="R143" s="124">
        <f t="shared" si="124"/>
        <v>9.7153663254675015E-3</v>
      </c>
      <c r="S143" s="124">
        <f t="shared" si="124"/>
        <v>8.8053583378574964E-3</v>
      </c>
      <c r="T143" s="124">
        <f t="shared" si="124"/>
        <v>8.2581842190285557E-3</v>
      </c>
      <c r="U143" s="124">
        <f t="shared" si="124"/>
        <v>7.87992391743156E-3</v>
      </c>
      <c r="V143" s="124">
        <f t="shared" si="124"/>
        <v>6.4707862133851065E-3</v>
      </c>
      <c r="W143" s="124">
        <f t="shared" si="124"/>
        <v>5.4112621215594752E-3</v>
      </c>
      <c r="X143" s="124">
        <f t="shared" si="124"/>
        <v>5.5669262978609623E-3</v>
      </c>
      <c r="Y143" s="124">
        <f t="shared" si="124"/>
        <v>5.0699804536140508E-3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5.3368496244125966E-3</v>
      </c>
      <c r="C144" s="124">
        <f t="shared" ref="C144:Y144" si="125">IF(C52=0,0,C52/C$47)</f>
        <v>5.3266517915536091E-3</v>
      </c>
      <c r="D144" s="124">
        <f t="shared" si="125"/>
        <v>4.8249998356062812E-3</v>
      </c>
      <c r="E144" s="124">
        <f t="shared" si="125"/>
        <v>3.6084034568581577E-3</v>
      </c>
      <c r="F144" s="124">
        <f t="shared" si="125"/>
        <v>3.8345683328066646E-3</v>
      </c>
      <c r="G144" s="124">
        <f t="shared" si="125"/>
        <v>4.2445958460090201E-3</v>
      </c>
      <c r="H144" s="124">
        <f t="shared" si="125"/>
        <v>4.9191479087221596E-3</v>
      </c>
      <c r="I144" s="124">
        <f t="shared" si="125"/>
        <v>4.6266689590843445E-3</v>
      </c>
      <c r="J144" s="124">
        <f t="shared" si="125"/>
        <v>3.5469761191239527E-2</v>
      </c>
      <c r="K144" s="124">
        <f t="shared" si="125"/>
        <v>2.8441394855735512E-2</v>
      </c>
      <c r="L144" s="124">
        <f t="shared" si="125"/>
        <v>3.0233807524261334E-2</v>
      </c>
      <c r="M144" s="124">
        <f t="shared" si="125"/>
        <v>2.9939467021259682E-2</v>
      </c>
      <c r="N144" s="124">
        <f t="shared" si="125"/>
        <v>3.3812483172123237E-2</v>
      </c>
      <c r="O144" s="124">
        <f t="shared" si="125"/>
        <v>2.9804200380711122E-2</v>
      </c>
      <c r="P144" s="124">
        <f t="shared" si="125"/>
        <v>3.4967077345928514E-2</v>
      </c>
      <c r="Q144" s="124">
        <f t="shared" si="125"/>
        <v>3.2198385244559695E-2</v>
      </c>
      <c r="R144" s="124">
        <f t="shared" si="125"/>
        <v>2.4834561539636136E-2</v>
      </c>
      <c r="S144" s="124">
        <f t="shared" si="125"/>
        <v>2.569869230144568E-2</v>
      </c>
      <c r="T144" s="124">
        <f t="shared" si="125"/>
        <v>1.8151542018493984E-2</v>
      </c>
      <c r="U144" s="124">
        <f t="shared" si="125"/>
        <v>2.1845360328888036E-2</v>
      </c>
      <c r="V144" s="124">
        <f t="shared" si="125"/>
        <v>2.0891427959516137E-2</v>
      </c>
      <c r="W144" s="124">
        <f t="shared" si="125"/>
        <v>2.3049302487003296E-2</v>
      </c>
      <c r="X144" s="124">
        <f t="shared" si="125"/>
        <v>2.4435312851918922E-2</v>
      </c>
      <c r="Y144" s="124">
        <f t="shared" si="125"/>
        <v>2.8185728593187437E-2</v>
      </c>
      <c r="DA144" s="176"/>
    </row>
    <row r="145" spans="1:105" ht="11.45" customHeight="1" x14ac:dyDescent="0.25">
      <c r="A145" s="128" t="s">
        <v>27</v>
      </c>
      <c r="B145" s="140">
        <f t="shared" si="119"/>
        <v>1.6902475590042435E-4</v>
      </c>
      <c r="C145" s="140">
        <f t="shared" ref="C145:Y145" si="126">IF(C53=0,0,C53/C$47)</f>
        <v>1.7117474421834435E-4</v>
      </c>
      <c r="D145" s="140">
        <f t="shared" si="126"/>
        <v>1.2297333775185249E-4</v>
      </c>
      <c r="E145" s="140">
        <f t="shared" si="126"/>
        <v>6.6232734624830028E-5</v>
      </c>
      <c r="F145" s="140">
        <f t="shared" si="126"/>
        <v>4.3263614548607094E-5</v>
      </c>
      <c r="G145" s="140">
        <f t="shared" si="126"/>
        <v>5.3499445091113682E-5</v>
      </c>
      <c r="H145" s="140">
        <f t="shared" si="126"/>
        <v>6.3622534540231504E-5</v>
      </c>
      <c r="I145" s="140">
        <f t="shared" si="126"/>
        <v>6.5138732538349883E-5</v>
      </c>
      <c r="J145" s="140">
        <f t="shared" si="126"/>
        <v>1.2895200316557316E-4</v>
      </c>
      <c r="K145" s="140">
        <f t="shared" si="126"/>
        <v>1.3355957370391668E-4</v>
      </c>
      <c r="L145" s="140">
        <f t="shared" si="126"/>
        <v>5.8954418985250315E-5</v>
      </c>
      <c r="M145" s="140">
        <f t="shared" si="126"/>
        <v>3.4508986938878403E-5</v>
      </c>
      <c r="N145" s="140">
        <f t="shared" si="126"/>
        <v>3.6652210306618251E-5</v>
      </c>
      <c r="O145" s="140">
        <f t="shared" si="126"/>
        <v>3.8988642066129891E-5</v>
      </c>
      <c r="P145" s="140">
        <f t="shared" si="126"/>
        <v>3.6299177809670083E-5</v>
      </c>
      <c r="Q145" s="140">
        <f t="shared" si="126"/>
        <v>3.0710251678713585E-5</v>
      </c>
      <c r="R145" s="140">
        <f t="shared" si="126"/>
        <v>6.9917359386736377E-6</v>
      </c>
      <c r="S145" s="140">
        <f t="shared" si="126"/>
        <v>1.1404913352554026E-5</v>
      </c>
      <c r="T145" s="140">
        <f t="shared" si="126"/>
        <v>1.4165617705126699E-5</v>
      </c>
      <c r="U145" s="140">
        <f t="shared" si="126"/>
        <v>1.2248834885166086E-5</v>
      </c>
      <c r="V145" s="140">
        <f t="shared" si="126"/>
        <v>1.5918595244544131E-5</v>
      </c>
      <c r="W145" s="140">
        <f t="shared" si="126"/>
        <v>2.5810650770500024E-5</v>
      </c>
      <c r="X145" s="140">
        <f t="shared" si="126"/>
        <v>4.6055508484414993E-5</v>
      </c>
      <c r="Y145" s="140">
        <f t="shared" si="126"/>
        <v>4.9943419211923638E-5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4.6934122478813024E-3</v>
      </c>
      <c r="C146" s="140">
        <f t="shared" ref="C146:Y146" si="127">IF(C54=0,0,C54/C$47)</f>
        <v>4.6490181136069021E-3</v>
      </c>
      <c r="D146" s="140">
        <f t="shared" si="127"/>
        <v>4.1456267834055014E-3</v>
      </c>
      <c r="E146" s="140">
        <f t="shared" si="127"/>
        <v>2.9431016338038701E-3</v>
      </c>
      <c r="F146" s="140">
        <f t="shared" si="127"/>
        <v>3.2055158080583753E-3</v>
      </c>
      <c r="G146" s="140">
        <f t="shared" si="127"/>
        <v>3.8219884098684496E-3</v>
      </c>
      <c r="H146" s="140">
        <f t="shared" si="127"/>
        <v>4.6590413709645517E-3</v>
      </c>
      <c r="I146" s="140">
        <f t="shared" si="127"/>
        <v>4.3347736943690589E-3</v>
      </c>
      <c r="J146" s="140">
        <f t="shared" si="127"/>
        <v>9.0121281061011221E-3</v>
      </c>
      <c r="K146" s="140">
        <f t="shared" si="127"/>
        <v>6.5221466190446675E-3</v>
      </c>
      <c r="L146" s="140">
        <f t="shared" si="127"/>
        <v>4.5187586648417115E-3</v>
      </c>
      <c r="M146" s="140">
        <f t="shared" si="127"/>
        <v>4.5842062656785473E-3</v>
      </c>
      <c r="N146" s="140">
        <f t="shared" si="127"/>
        <v>4.3762032750138133E-3</v>
      </c>
      <c r="O146" s="140">
        <f t="shared" si="127"/>
        <v>3.7175743906050756E-3</v>
      </c>
      <c r="P146" s="140">
        <f t="shared" si="127"/>
        <v>6.2083225077170512E-3</v>
      </c>
      <c r="Q146" s="140">
        <f t="shared" si="127"/>
        <v>6.281646133272905E-3</v>
      </c>
      <c r="R146" s="140">
        <f t="shared" si="127"/>
        <v>4.8700962298894755E-3</v>
      </c>
      <c r="S146" s="140">
        <f t="shared" si="127"/>
        <v>5.9312852000931752E-3</v>
      </c>
      <c r="T146" s="140">
        <f t="shared" si="127"/>
        <v>5.933671195545288E-3</v>
      </c>
      <c r="U146" s="140">
        <f t="shared" si="127"/>
        <v>7.0680080945973375E-3</v>
      </c>
      <c r="V146" s="140">
        <f t="shared" si="127"/>
        <v>7.2844742469674942E-3</v>
      </c>
      <c r="W146" s="140">
        <f t="shared" si="127"/>
        <v>9.5732113388798303E-3</v>
      </c>
      <c r="X146" s="140">
        <f t="shared" si="127"/>
        <v>1.12896551246408E-2</v>
      </c>
      <c r="Y146" s="140">
        <f t="shared" si="127"/>
        <v>1.0943322426633442E-2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4.7441262063086968E-4</v>
      </c>
      <c r="C147" s="140">
        <f t="shared" ref="C147:Y147" si="128">IF(C55=0,0,C55/C$47)</f>
        <v>5.0645893372836296E-4</v>
      </c>
      <c r="D147" s="140">
        <f t="shared" si="128"/>
        <v>5.5639971444892717E-4</v>
      </c>
      <c r="E147" s="140">
        <f t="shared" si="128"/>
        <v>5.9906908842945726E-4</v>
      </c>
      <c r="F147" s="140">
        <f t="shared" si="128"/>
        <v>5.8578891019968229E-4</v>
      </c>
      <c r="G147" s="140">
        <f t="shared" si="128"/>
        <v>3.6910799104945667E-4</v>
      </c>
      <c r="H147" s="140">
        <f t="shared" si="128"/>
        <v>1.9648400321737626E-4</v>
      </c>
      <c r="I147" s="140">
        <f t="shared" si="128"/>
        <v>2.267565321769356E-4</v>
      </c>
      <c r="J147" s="140">
        <f t="shared" si="128"/>
        <v>2.6328681081972824E-2</v>
      </c>
      <c r="K147" s="140">
        <f t="shared" si="128"/>
        <v>2.1785688662986927E-2</v>
      </c>
      <c r="L147" s="140">
        <f t="shared" si="128"/>
        <v>2.5656094440434374E-2</v>
      </c>
      <c r="M147" s="140">
        <f t="shared" si="128"/>
        <v>2.5320751768642253E-2</v>
      </c>
      <c r="N147" s="140">
        <f t="shared" si="128"/>
        <v>2.939962768680281E-2</v>
      </c>
      <c r="O147" s="140">
        <f t="shared" si="128"/>
        <v>2.6047637348039915E-2</v>
      </c>
      <c r="P147" s="140">
        <f t="shared" si="128"/>
        <v>2.8722455660401797E-2</v>
      </c>
      <c r="Q147" s="140">
        <f t="shared" si="128"/>
        <v>2.5886028859608078E-2</v>
      </c>
      <c r="R147" s="140">
        <f t="shared" si="128"/>
        <v>1.9957473573807984E-2</v>
      </c>
      <c r="S147" s="140">
        <f t="shared" si="128"/>
        <v>1.9756002187999954E-2</v>
      </c>
      <c r="T147" s="140">
        <f t="shared" si="128"/>
        <v>1.2203705205243569E-2</v>
      </c>
      <c r="U147" s="140">
        <f t="shared" si="128"/>
        <v>1.4765103399405533E-2</v>
      </c>
      <c r="V147" s="140">
        <f t="shared" si="128"/>
        <v>1.35910351173041E-2</v>
      </c>
      <c r="W147" s="140">
        <f t="shared" si="128"/>
        <v>1.3450280497352968E-2</v>
      </c>
      <c r="X147" s="140">
        <f t="shared" si="128"/>
        <v>1.3099602218793709E-2</v>
      </c>
      <c r="Y147" s="140">
        <f t="shared" si="128"/>
        <v>1.7192462747342069E-2</v>
      </c>
      <c r="DA147" s="175"/>
    </row>
    <row r="148" spans="1:105" ht="11.45" customHeight="1" x14ac:dyDescent="0.25">
      <c r="A148" s="109" t="s">
        <v>141</v>
      </c>
      <c r="B148" s="124">
        <f t="shared" si="119"/>
        <v>0.1106286333786692</v>
      </c>
      <c r="C148" s="124">
        <f t="shared" ref="C148:Y148" si="129">IF(C56=0,0,C56/C$47)</f>
        <v>0.10976902415392195</v>
      </c>
      <c r="D148" s="124">
        <f t="shared" si="129"/>
        <v>0.12029372442034617</v>
      </c>
      <c r="E148" s="124">
        <f t="shared" si="129"/>
        <v>0.11146431597193061</v>
      </c>
      <c r="F148" s="124">
        <f t="shared" si="129"/>
        <v>9.3207121857883865E-2</v>
      </c>
      <c r="G148" s="124">
        <f t="shared" si="129"/>
        <v>0.10507265467666475</v>
      </c>
      <c r="H148" s="124">
        <f t="shared" si="129"/>
        <v>9.161818959773449E-2</v>
      </c>
      <c r="I148" s="124">
        <f t="shared" si="129"/>
        <v>7.7337550755199186E-2</v>
      </c>
      <c r="J148" s="124">
        <f t="shared" si="129"/>
        <v>9.8161237365946549E-2</v>
      </c>
      <c r="K148" s="124">
        <f t="shared" si="129"/>
        <v>0.10299121792383259</v>
      </c>
      <c r="L148" s="124">
        <f t="shared" si="129"/>
        <v>9.0813823165506832E-2</v>
      </c>
      <c r="M148" s="124">
        <f t="shared" si="129"/>
        <v>9.2578360479906655E-2</v>
      </c>
      <c r="N148" s="124">
        <f t="shared" si="129"/>
        <v>9.7574127870915822E-2</v>
      </c>
      <c r="O148" s="124">
        <f t="shared" si="129"/>
        <v>0.10236076403012929</v>
      </c>
      <c r="P148" s="124">
        <f t="shared" si="129"/>
        <v>8.1631295035770116E-2</v>
      </c>
      <c r="Q148" s="124">
        <f t="shared" si="129"/>
        <v>9.4624434172992003E-2</v>
      </c>
      <c r="R148" s="124">
        <f t="shared" si="129"/>
        <v>7.8634704586713997E-2</v>
      </c>
      <c r="S148" s="124">
        <f t="shared" si="129"/>
        <v>7.4992667932108278E-2</v>
      </c>
      <c r="T148" s="124">
        <f t="shared" si="129"/>
        <v>7.650448402873089E-2</v>
      </c>
      <c r="U148" s="124">
        <f t="shared" si="129"/>
        <v>8.1947249472502384E-2</v>
      </c>
      <c r="V148" s="124">
        <f t="shared" si="129"/>
        <v>8.2968013822084616E-2</v>
      </c>
      <c r="W148" s="124">
        <f t="shared" si="129"/>
        <v>9.39727097445755E-2</v>
      </c>
      <c r="X148" s="124">
        <f t="shared" si="129"/>
        <v>8.2782659061521158E-2</v>
      </c>
      <c r="Y148" s="124">
        <f t="shared" si="129"/>
        <v>7.9203564981147112E-2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0.1106286333786692</v>
      </c>
      <c r="C149" s="140">
        <f t="shared" ref="C149:Y149" si="130">IF(C57=0,0,C57/C$47)</f>
        <v>0.10976902415392195</v>
      </c>
      <c r="D149" s="140">
        <f t="shared" si="130"/>
        <v>0.12029372442034617</v>
      </c>
      <c r="E149" s="140">
        <f t="shared" si="130"/>
        <v>0.11146431597193061</v>
      </c>
      <c r="F149" s="140">
        <f t="shared" si="130"/>
        <v>9.3207121857883865E-2</v>
      </c>
      <c r="G149" s="140">
        <f t="shared" si="130"/>
        <v>0.10507265467666475</v>
      </c>
      <c r="H149" s="140">
        <f t="shared" si="130"/>
        <v>9.161818959773449E-2</v>
      </c>
      <c r="I149" s="140">
        <f t="shared" si="130"/>
        <v>7.7337550755199186E-2</v>
      </c>
      <c r="J149" s="140">
        <f t="shared" si="130"/>
        <v>9.8161237365946549E-2</v>
      </c>
      <c r="K149" s="140">
        <f t="shared" si="130"/>
        <v>0.10299121792383259</v>
      </c>
      <c r="L149" s="140">
        <f t="shared" si="130"/>
        <v>9.0813823165506832E-2</v>
      </c>
      <c r="M149" s="140">
        <f t="shared" si="130"/>
        <v>9.2578360479906655E-2</v>
      </c>
      <c r="N149" s="140">
        <f t="shared" si="130"/>
        <v>9.7574127870915822E-2</v>
      </c>
      <c r="O149" s="140">
        <f t="shared" si="130"/>
        <v>0.10236076403012929</v>
      </c>
      <c r="P149" s="140">
        <f t="shared" si="130"/>
        <v>8.1631295035770116E-2</v>
      </c>
      <c r="Q149" s="140">
        <f t="shared" si="130"/>
        <v>9.4624434172992003E-2</v>
      </c>
      <c r="R149" s="140">
        <f t="shared" si="130"/>
        <v>7.8634704586713997E-2</v>
      </c>
      <c r="S149" s="140">
        <f t="shared" si="130"/>
        <v>7.4992667932108278E-2</v>
      </c>
      <c r="T149" s="140">
        <f t="shared" si="130"/>
        <v>7.650448402873089E-2</v>
      </c>
      <c r="U149" s="140">
        <f t="shared" si="130"/>
        <v>8.1947249472502384E-2</v>
      </c>
      <c r="V149" s="140">
        <f t="shared" si="130"/>
        <v>8.2968013822084616E-2</v>
      </c>
      <c r="W149" s="140">
        <f t="shared" si="130"/>
        <v>9.39727097445755E-2</v>
      </c>
      <c r="X149" s="140">
        <f t="shared" si="130"/>
        <v>8.2782659061521158E-2</v>
      </c>
      <c r="Y149" s="140">
        <f t="shared" si="130"/>
        <v>7.9203564981147112E-2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0</v>
      </c>
      <c r="C150" s="127">
        <f t="shared" ref="C150:Y150" si="131">IF(C58=0,0,C58/C$47)</f>
        <v>0</v>
      </c>
      <c r="D150" s="127">
        <f t="shared" si="131"/>
        <v>0</v>
      </c>
      <c r="E150" s="127">
        <f t="shared" si="131"/>
        <v>0</v>
      </c>
      <c r="F150" s="127">
        <f t="shared" si="131"/>
        <v>0</v>
      </c>
      <c r="G150" s="127">
        <f t="shared" si="131"/>
        <v>0</v>
      </c>
      <c r="H150" s="127">
        <f t="shared" si="131"/>
        <v>0</v>
      </c>
      <c r="I150" s="127">
        <f t="shared" si="131"/>
        <v>0</v>
      </c>
      <c r="J150" s="127">
        <f t="shared" si="131"/>
        <v>0</v>
      </c>
      <c r="K150" s="127">
        <f t="shared" si="131"/>
        <v>0</v>
      </c>
      <c r="L150" s="127">
        <f t="shared" si="131"/>
        <v>0</v>
      </c>
      <c r="M150" s="127">
        <f t="shared" si="131"/>
        <v>0</v>
      </c>
      <c r="N150" s="127">
        <f t="shared" si="131"/>
        <v>0</v>
      </c>
      <c r="O150" s="127">
        <f t="shared" si="131"/>
        <v>0</v>
      </c>
      <c r="P150" s="127">
        <f t="shared" si="131"/>
        <v>0</v>
      </c>
      <c r="Q150" s="127">
        <f t="shared" si="131"/>
        <v>0</v>
      </c>
      <c r="R150" s="127">
        <f t="shared" si="131"/>
        <v>0</v>
      </c>
      <c r="S150" s="127">
        <f t="shared" si="131"/>
        <v>0</v>
      </c>
      <c r="T150" s="127">
        <f t="shared" si="131"/>
        <v>0</v>
      </c>
      <c r="U150" s="127">
        <f t="shared" si="131"/>
        <v>0</v>
      </c>
      <c r="V150" s="127">
        <f t="shared" si="131"/>
        <v>0</v>
      </c>
      <c r="W150" s="127">
        <f t="shared" si="131"/>
        <v>0</v>
      </c>
      <c r="X150" s="127">
        <f t="shared" si="131"/>
        <v>0</v>
      </c>
      <c r="Y150" s="127">
        <f t="shared" si="131"/>
        <v>0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0.49916431537942269</v>
      </c>
      <c r="C152" s="140">
        <f t="shared" si="133"/>
        <v>0.49916563222993915</v>
      </c>
      <c r="D152" s="140">
        <f t="shared" si="133"/>
        <v>0.50883773644488062</v>
      </c>
      <c r="E152" s="140">
        <f t="shared" si="133"/>
        <v>0.48749314808619332</v>
      </c>
      <c r="F152" s="140">
        <f t="shared" si="133"/>
        <v>0.52004986829979039</v>
      </c>
      <c r="G152" s="140">
        <f t="shared" si="133"/>
        <v>0.52690785003737073</v>
      </c>
      <c r="H152" s="140">
        <f t="shared" si="133"/>
        <v>0.47794375324195082</v>
      </c>
      <c r="I152" s="140">
        <f t="shared" si="133"/>
        <v>0.49094404159290977</v>
      </c>
      <c r="J152" s="140">
        <f t="shared" si="133"/>
        <v>0.49614970396756936</v>
      </c>
      <c r="K152" s="140">
        <f t="shared" si="133"/>
        <v>0.49910434493711531</v>
      </c>
      <c r="L152" s="140">
        <f t="shared" si="133"/>
        <v>0.52354696661366473</v>
      </c>
      <c r="M152" s="140">
        <f t="shared" si="133"/>
        <v>0.4800398164481775</v>
      </c>
      <c r="N152" s="140">
        <f t="shared" si="133"/>
        <v>0.53075568566170539</v>
      </c>
      <c r="O152" s="140">
        <f t="shared" si="133"/>
        <v>0.55697510078229651</v>
      </c>
      <c r="P152" s="140">
        <f t="shared" si="133"/>
        <v>0.53046352289644139</v>
      </c>
      <c r="Q152" s="140">
        <f t="shared" si="133"/>
        <v>0.50647081209885492</v>
      </c>
      <c r="R152" s="140">
        <f t="shared" si="133"/>
        <v>0.50410174404459396</v>
      </c>
      <c r="S152" s="140">
        <f t="shared" si="133"/>
        <v>0.50878434885450918</v>
      </c>
      <c r="T152" s="140">
        <f t="shared" si="133"/>
        <v>0.49947538627857407</v>
      </c>
      <c r="U152" s="140">
        <f t="shared" si="133"/>
        <v>0.49383664775584762</v>
      </c>
      <c r="V152" s="140">
        <f t="shared" si="133"/>
        <v>0.44472918168791381</v>
      </c>
      <c r="W152" s="140">
        <f t="shared" si="133"/>
        <v>0.43764466198530977</v>
      </c>
      <c r="X152" s="140">
        <f t="shared" si="133"/>
        <v>0.50554851607426055</v>
      </c>
      <c r="Y152" s="140">
        <f t="shared" si="133"/>
        <v>0.49308992191309403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0.50083568462057726</v>
      </c>
      <c r="C153" s="127">
        <f t="shared" si="134"/>
        <v>0.50083436777006085</v>
      </c>
      <c r="D153" s="127">
        <f t="shared" si="134"/>
        <v>0.49116226355511938</v>
      </c>
      <c r="E153" s="127">
        <f t="shared" si="134"/>
        <v>0.51250685191380663</v>
      </c>
      <c r="F153" s="127">
        <f t="shared" si="134"/>
        <v>0.47995013170020961</v>
      </c>
      <c r="G153" s="127">
        <f t="shared" si="134"/>
        <v>0.47309214996262927</v>
      </c>
      <c r="H153" s="127">
        <f t="shared" si="134"/>
        <v>0.52205624675804918</v>
      </c>
      <c r="I153" s="127">
        <f t="shared" si="134"/>
        <v>0.50905595840709017</v>
      </c>
      <c r="J153" s="127">
        <f t="shared" si="134"/>
        <v>0.5038502960324307</v>
      </c>
      <c r="K153" s="127">
        <f t="shared" si="134"/>
        <v>0.50089565506288469</v>
      </c>
      <c r="L153" s="127">
        <f t="shared" si="134"/>
        <v>0.47645303338633521</v>
      </c>
      <c r="M153" s="127">
        <f t="shared" si="134"/>
        <v>0.5199601835518225</v>
      </c>
      <c r="N153" s="127">
        <f t="shared" si="134"/>
        <v>0.46924431433829461</v>
      </c>
      <c r="O153" s="127">
        <f t="shared" si="134"/>
        <v>0.44302489921770349</v>
      </c>
      <c r="P153" s="127">
        <f t="shared" si="134"/>
        <v>0.4695364771035585</v>
      </c>
      <c r="Q153" s="127">
        <f t="shared" si="134"/>
        <v>0.49352918790114514</v>
      </c>
      <c r="R153" s="127">
        <f t="shared" si="134"/>
        <v>0.49589825595540604</v>
      </c>
      <c r="S153" s="127">
        <f t="shared" si="134"/>
        <v>0.49121565114549082</v>
      </c>
      <c r="T153" s="127">
        <f t="shared" si="134"/>
        <v>0.50052461372142587</v>
      </c>
      <c r="U153" s="127">
        <f t="shared" si="134"/>
        <v>0.50616335224415243</v>
      </c>
      <c r="V153" s="127">
        <f t="shared" si="134"/>
        <v>0.55527081831208625</v>
      </c>
      <c r="W153" s="127">
        <f t="shared" si="134"/>
        <v>0.56235533801469029</v>
      </c>
      <c r="X153" s="127">
        <f t="shared" si="134"/>
        <v>0.49445148392573951</v>
      </c>
      <c r="Y153" s="127">
        <f t="shared" si="134"/>
        <v>0.50691007808690602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0.72508053445051024</v>
      </c>
      <c r="C157" s="139">
        <f t="shared" ref="C157:W157" si="138">IF(C65=0,0,C65/C$64)</f>
        <v>0.72031425656323045</v>
      </c>
      <c r="D157" s="139">
        <f t="shared" si="138"/>
        <v>0.7483642192187443</v>
      </c>
      <c r="E157" s="139">
        <f t="shared" si="138"/>
        <v>0.7450237917357232</v>
      </c>
      <c r="F157" s="139">
        <f t="shared" si="138"/>
        <v>0.72458474961289132</v>
      </c>
      <c r="G157" s="139">
        <f t="shared" si="138"/>
        <v>0.7147914224265729</v>
      </c>
      <c r="H157" s="139">
        <f t="shared" si="138"/>
        <v>0.71644868044849774</v>
      </c>
      <c r="I157" s="139">
        <f t="shared" si="138"/>
        <v>0.71980668283067306</v>
      </c>
      <c r="J157" s="139">
        <f t="shared" si="138"/>
        <v>0.73072975482617664</v>
      </c>
      <c r="K157" s="139">
        <f t="shared" si="138"/>
        <v>0.74911351177400387</v>
      </c>
      <c r="L157" s="139">
        <f t="shared" si="138"/>
        <v>0.74007298440969016</v>
      </c>
      <c r="M157" s="139">
        <f t="shared" si="138"/>
        <v>0.73566563919507688</v>
      </c>
      <c r="N157" s="139">
        <f t="shared" si="138"/>
        <v>0.72056763415697744</v>
      </c>
      <c r="O157" s="139">
        <f t="shared" si="138"/>
        <v>0.71961177182344016</v>
      </c>
      <c r="P157" s="139">
        <f t="shared" si="138"/>
        <v>0.70959019577457305</v>
      </c>
      <c r="Q157" s="139">
        <f t="shared" si="138"/>
        <v>0.72879924483793668</v>
      </c>
      <c r="R157" s="139">
        <f t="shared" si="138"/>
        <v>0.71120890459641206</v>
      </c>
      <c r="S157" s="139">
        <f t="shared" si="138"/>
        <v>0.70518363168056408</v>
      </c>
      <c r="T157" s="139">
        <f t="shared" si="138"/>
        <v>0.69968848202237566</v>
      </c>
      <c r="U157" s="139">
        <f t="shared" si="138"/>
        <v>0.6931758282231697</v>
      </c>
      <c r="V157" s="139">
        <f t="shared" si="138"/>
        <v>0.8570289973238322</v>
      </c>
      <c r="W157" s="139">
        <f t="shared" si="138"/>
        <v>0.83047385445548561</v>
      </c>
      <c r="X157" s="139">
        <f t="shared" ref="X157:Y157" si="139">IF(X65=0,0,X65/X$64)</f>
        <v>0.74243756971030117</v>
      </c>
      <c r="Y157" s="139">
        <f t="shared" si="139"/>
        <v>0.71610234958592434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7.0428414850966349E-3</v>
      </c>
      <c r="C158" s="140">
        <f t="shared" ref="C158:W158" si="140">IF(C66=0,0,C66/C$64)</f>
        <v>6.6800838970662085E-3</v>
      </c>
      <c r="D158" s="140">
        <f t="shared" si="140"/>
        <v>7.0913333899411115E-3</v>
      </c>
      <c r="E158" s="140">
        <f t="shared" si="140"/>
        <v>6.957353542323642E-3</v>
      </c>
      <c r="F158" s="140">
        <f t="shared" si="140"/>
        <v>6.6411062039972973E-3</v>
      </c>
      <c r="G158" s="140">
        <f t="shared" si="140"/>
        <v>6.5859650032334049E-3</v>
      </c>
      <c r="H158" s="140">
        <f t="shared" si="140"/>
        <v>6.752029019959885E-3</v>
      </c>
      <c r="I158" s="140">
        <f t="shared" si="140"/>
        <v>6.8135862125083138E-3</v>
      </c>
      <c r="J158" s="140">
        <f t="shared" si="140"/>
        <v>6.9253419509240138E-3</v>
      </c>
      <c r="K158" s="140">
        <f t="shared" si="140"/>
        <v>6.8842685690651507E-3</v>
      </c>
      <c r="L158" s="140">
        <f t="shared" si="140"/>
        <v>6.6892728432175735E-3</v>
      </c>
      <c r="M158" s="140">
        <f t="shared" si="140"/>
        <v>6.3919351380254796E-3</v>
      </c>
      <c r="N158" s="140">
        <f t="shared" si="140"/>
        <v>6.7389325274388161E-3</v>
      </c>
      <c r="O158" s="140">
        <f t="shared" si="140"/>
        <v>6.8203088134112695E-3</v>
      </c>
      <c r="P158" s="140">
        <f t="shared" si="140"/>
        <v>6.7091868066204976E-3</v>
      </c>
      <c r="Q158" s="140">
        <f t="shared" si="140"/>
        <v>6.4082340373970287E-3</v>
      </c>
      <c r="R158" s="140">
        <f t="shared" si="140"/>
        <v>6.2558163268047855E-3</v>
      </c>
      <c r="S158" s="140">
        <f t="shared" si="140"/>
        <v>5.8702293369269258E-3</v>
      </c>
      <c r="T158" s="140">
        <f t="shared" si="140"/>
        <v>5.3817665159550457E-3</v>
      </c>
      <c r="U158" s="140">
        <f t="shared" si="140"/>
        <v>5.6017350770988603E-3</v>
      </c>
      <c r="V158" s="140">
        <f t="shared" si="140"/>
        <v>6.576104195011423E-3</v>
      </c>
      <c r="W158" s="140">
        <f t="shared" si="140"/>
        <v>6.4713844003884621E-3</v>
      </c>
      <c r="X158" s="140">
        <f t="shared" ref="X158:Y158" si="141">IF(X66=0,0,X66/X$64)</f>
        <v>5.8975020719422505E-3</v>
      </c>
      <c r="Y158" s="140">
        <f t="shared" si="141"/>
        <v>6.1108248181723354E-3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0.60878287307503587</v>
      </c>
      <c r="C159" s="140">
        <f t="shared" ref="C159:W159" si="142">IF(C67=0,0,C67/C$64)</f>
        <v>0.60662456216974925</v>
      </c>
      <c r="D159" s="140">
        <f t="shared" si="142"/>
        <v>0.63406022126378014</v>
      </c>
      <c r="E159" s="140">
        <f t="shared" si="142"/>
        <v>0.63185791976683559</v>
      </c>
      <c r="F159" s="140">
        <f t="shared" si="142"/>
        <v>0.61704241446534414</v>
      </c>
      <c r="G159" s="140">
        <f t="shared" si="142"/>
        <v>0.60813029968873522</v>
      </c>
      <c r="H159" s="140">
        <f t="shared" si="142"/>
        <v>0.60979166265864215</v>
      </c>
      <c r="I159" s="140">
        <f t="shared" si="142"/>
        <v>0.6181405999534092</v>
      </c>
      <c r="J159" s="140">
        <f t="shared" si="142"/>
        <v>0.62568223823731051</v>
      </c>
      <c r="K159" s="140">
        <f t="shared" si="142"/>
        <v>0.63898368716079235</v>
      </c>
      <c r="L159" s="140">
        <f t="shared" si="142"/>
        <v>0.62840111880237204</v>
      </c>
      <c r="M159" s="140">
        <f t="shared" si="142"/>
        <v>0.63114972427353933</v>
      </c>
      <c r="N159" s="140">
        <f t="shared" si="142"/>
        <v>0.61974664987356465</v>
      </c>
      <c r="O159" s="140">
        <f t="shared" si="142"/>
        <v>0.62214114549912558</v>
      </c>
      <c r="P159" s="140">
        <f t="shared" si="142"/>
        <v>0.61169226080385897</v>
      </c>
      <c r="Q159" s="140">
        <f t="shared" si="142"/>
        <v>0.63333328561923419</v>
      </c>
      <c r="R159" s="140">
        <f t="shared" si="142"/>
        <v>0.61423680204897091</v>
      </c>
      <c r="S159" s="140">
        <f t="shared" si="142"/>
        <v>0.60480054508480641</v>
      </c>
      <c r="T159" s="140">
        <f t="shared" si="142"/>
        <v>0.60265655118285355</v>
      </c>
      <c r="U159" s="140">
        <f t="shared" si="142"/>
        <v>0.59922902553212076</v>
      </c>
      <c r="V159" s="140">
        <f t="shared" si="142"/>
        <v>0.73035341141313892</v>
      </c>
      <c r="W159" s="140">
        <f t="shared" si="142"/>
        <v>0.71131088678292054</v>
      </c>
      <c r="X159" s="140">
        <f t="shared" ref="X159:Y159" si="143">IF(X67=0,0,X67/X$64)</f>
        <v>0.63590255511211824</v>
      </c>
      <c r="Y159" s="140">
        <f t="shared" si="143"/>
        <v>0.61607184782220215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0.10925481989037766</v>
      </c>
      <c r="C160" s="140">
        <f t="shared" ref="C160:W160" si="144">IF(C68=0,0,C68/C$64)</f>
        <v>0.10700961049641504</v>
      </c>
      <c r="D160" s="140">
        <f t="shared" si="144"/>
        <v>0.10721266456502293</v>
      </c>
      <c r="E160" s="140">
        <f t="shared" si="144"/>
        <v>0.10620851842656395</v>
      </c>
      <c r="F160" s="140">
        <f t="shared" si="144"/>
        <v>0.10090122894354996</v>
      </c>
      <c r="G160" s="140">
        <f t="shared" si="144"/>
        <v>0.10007515773460436</v>
      </c>
      <c r="H160" s="140">
        <f t="shared" si="144"/>
        <v>9.9904988769895703E-2</v>
      </c>
      <c r="I160" s="140">
        <f t="shared" si="144"/>
        <v>9.4852496664755537E-2</v>
      </c>
      <c r="J160" s="140">
        <f t="shared" si="144"/>
        <v>9.8122174637942067E-2</v>
      </c>
      <c r="K160" s="140">
        <f t="shared" si="144"/>
        <v>0.10324555604414642</v>
      </c>
      <c r="L160" s="140">
        <f t="shared" si="144"/>
        <v>0.10498259276410046</v>
      </c>
      <c r="M160" s="140">
        <f t="shared" si="144"/>
        <v>9.8123979783512144E-2</v>
      </c>
      <c r="N160" s="140">
        <f t="shared" si="144"/>
        <v>9.4082051755973964E-2</v>
      </c>
      <c r="O160" s="140">
        <f t="shared" si="144"/>
        <v>9.0650317510903369E-2</v>
      </c>
      <c r="P160" s="140">
        <f t="shared" si="144"/>
        <v>9.1188748164093683E-2</v>
      </c>
      <c r="Q160" s="140">
        <f t="shared" si="144"/>
        <v>8.905772518130553E-2</v>
      </c>
      <c r="R160" s="140">
        <f t="shared" si="144"/>
        <v>9.0716286220636322E-2</v>
      </c>
      <c r="S160" s="140">
        <f t="shared" si="144"/>
        <v>9.4512857258830754E-2</v>
      </c>
      <c r="T160" s="140">
        <f t="shared" si="144"/>
        <v>9.165016432356711E-2</v>
      </c>
      <c r="U160" s="140">
        <f t="shared" si="144"/>
        <v>8.8345067613950015E-2</v>
      </c>
      <c r="V160" s="140">
        <f t="shared" si="144"/>
        <v>0.12009948171568198</v>
      </c>
      <c r="W160" s="140">
        <f t="shared" si="144"/>
        <v>0.11269158327217665</v>
      </c>
      <c r="X160" s="140">
        <f t="shared" ref="X160:Y160" si="145">IF(X68=0,0,X68/X$64)</f>
        <v>0.10063751252624077</v>
      </c>
      <c r="Y160" s="140">
        <f t="shared" si="145"/>
        <v>9.3919676945549826E-2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2.0297953239848034E-2</v>
      </c>
      <c r="C161" s="124">
        <f t="shared" ref="C161:W161" si="146">IF(C69=0,0,C69/C$64)</f>
        <v>1.9010227945648422E-2</v>
      </c>
      <c r="D161" s="124">
        <f t="shared" si="146"/>
        <v>1.9871762455111804E-2</v>
      </c>
      <c r="E161" s="124">
        <f t="shared" si="146"/>
        <v>2.0254477198416911E-2</v>
      </c>
      <c r="F161" s="124">
        <f t="shared" si="146"/>
        <v>1.8955740810862213E-2</v>
      </c>
      <c r="G161" s="124">
        <f t="shared" si="146"/>
        <v>2.0444298988870697E-2</v>
      </c>
      <c r="H161" s="124">
        <f t="shared" si="146"/>
        <v>1.9994725277196517E-2</v>
      </c>
      <c r="I161" s="124">
        <f t="shared" si="146"/>
        <v>1.9421333355543947E-2</v>
      </c>
      <c r="J161" s="124">
        <f t="shared" si="146"/>
        <v>2.0750733836713931E-2</v>
      </c>
      <c r="K161" s="124">
        <f t="shared" si="146"/>
        <v>2.0961303501410379E-2</v>
      </c>
      <c r="L161" s="124">
        <f t="shared" si="146"/>
        <v>2.1530594284760025E-2</v>
      </c>
      <c r="M161" s="124">
        <f t="shared" si="146"/>
        <v>2.156902794259628E-2</v>
      </c>
      <c r="N161" s="124">
        <f t="shared" si="146"/>
        <v>2.3336070883460246E-2</v>
      </c>
      <c r="O161" s="124">
        <f t="shared" si="146"/>
        <v>2.3057466162928315E-2</v>
      </c>
      <c r="P161" s="124">
        <f t="shared" si="146"/>
        <v>2.2748277857020167E-2</v>
      </c>
      <c r="Q161" s="124">
        <f t="shared" si="146"/>
        <v>2.0853183805032836E-2</v>
      </c>
      <c r="R161" s="124">
        <f t="shared" si="146"/>
        <v>2.0813570719306142E-2</v>
      </c>
      <c r="S161" s="124">
        <f t="shared" si="146"/>
        <v>1.9868169789530689E-2</v>
      </c>
      <c r="T161" s="124">
        <f t="shared" si="146"/>
        <v>1.7616065162901234E-2</v>
      </c>
      <c r="U161" s="124">
        <f t="shared" si="146"/>
        <v>1.7699794405330996E-2</v>
      </c>
      <c r="V161" s="124">
        <f t="shared" si="146"/>
        <v>2.1582630692443663E-2</v>
      </c>
      <c r="W161" s="124">
        <f t="shared" si="146"/>
        <v>1.9716037355874592E-2</v>
      </c>
      <c r="X161" s="124">
        <f t="shared" ref="X161:Y161" si="147">IF(X69=0,0,X69/X$64)</f>
        <v>1.7448488785322486E-2</v>
      </c>
      <c r="Y161" s="124">
        <f t="shared" si="147"/>
        <v>1.6523807274256144E-2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2.0297953239848034E-2</v>
      </c>
      <c r="C163" s="140">
        <f t="shared" ref="C163:W163" si="150">IF(C71=0,0,C71/C$64)</f>
        <v>1.9010227945648422E-2</v>
      </c>
      <c r="D163" s="140">
        <f t="shared" si="150"/>
        <v>1.9871762455111804E-2</v>
      </c>
      <c r="E163" s="140">
        <f t="shared" si="150"/>
        <v>2.0254477198416911E-2</v>
      </c>
      <c r="F163" s="140">
        <f t="shared" si="150"/>
        <v>1.8955740810862213E-2</v>
      </c>
      <c r="G163" s="140">
        <f t="shared" si="150"/>
        <v>2.0444298988870697E-2</v>
      </c>
      <c r="H163" s="140">
        <f t="shared" si="150"/>
        <v>1.9994725277196517E-2</v>
      </c>
      <c r="I163" s="140">
        <f t="shared" si="150"/>
        <v>1.9421333355543947E-2</v>
      </c>
      <c r="J163" s="140">
        <f t="shared" si="150"/>
        <v>2.0750733836713931E-2</v>
      </c>
      <c r="K163" s="140">
        <f t="shared" si="150"/>
        <v>2.0961303501410379E-2</v>
      </c>
      <c r="L163" s="140">
        <f t="shared" si="150"/>
        <v>2.1530594284760025E-2</v>
      </c>
      <c r="M163" s="140">
        <f t="shared" si="150"/>
        <v>2.156902794259628E-2</v>
      </c>
      <c r="N163" s="140">
        <f t="shared" si="150"/>
        <v>2.3336070883460246E-2</v>
      </c>
      <c r="O163" s="140">
        <f t="shared" si="150"/>
        <v>2.3057466162928315E-2</v>
      </c>
      <c r="P163" s="140">
        <f t="shared" si="150"/>
        <v>2.2748277857020167E-2</v>
      </c>
      <c r="Q163" s="140">
        <f t="shared" si="150"/>
        <v>2.0853183805032836E-2</v>
      </c>
      <c r="R163" s="140">
        <f t="shared" si="150"/>
        <v>2.0813570719306142E-2</v>
      </c>
      <c r="S163" s="140">
        <f t="shared" si="150"/>
        <v>1.9868169789530689E-2</v>
      </c>
      <c r="T163" s="140">
        <f t="shared" si="150"/>
        <v>1.7616065162901234E-2</v>
      </c>
      <c r="U163" s="140">
        <f t="shared" si="150"/>
        <v>1.7699794405330996E-2</v>
      </c>
      <c r="V163" s="140">
        <f t="shared" si="150"/>
        <v>2.1582630692443663E-2</v>
      </c>
      <c r="W163" s="140">
        <f t="shared" si="150"/>
        <v>1.9716037355874592E-2</v>
      </c>
      <c r="X163" s="140">
        <f t="shared" ref="X163:Y163" si="151">IF(X71=0,0,X71/X$64)</f>
        <v>1.7448488785322486E-2</v>
      </c>
      <c r="Y163" s="140">
        <f t="shared" si="151"/>
        <v>1.6523807274256144E-2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0.25462151230964181</v>
      </c>
      <c r="C165" s="124">
        <f t="shared" ref="C165:W165" si="154">IF(C73=0,0,C73/C$64)</f>
        <v>0.26067551549112117</v>
      </c>
      <c r="D165" s="124">
        <f t="shared" si="154"/>
        <v>0.23176401832614385</v>
      </c>
      <c r="E165" s="124">
        <f t="shared" si="154"/>
        <v>0.23472173106586006</v>
      </c>
      <c r="F165" s="124">
        <f t="shared" si="154"/>
        <v>0.25645950957624652</v>
      </c>
      <c r="G165" s="124">
        <f t="shared" si="154"/>
        <v>0.26476427858455637</v>
      </c>
      <c r="H165" s="124">
        <f t="shared" si="154"/>
        <v>0.26355659427430572</v>
      </c>
      <c r="I165" s="124">
        <f t="shared" si="154"/>
        <v>0.26077198381378297</v>
      </c>
      <c r="J165" s="124">
        <f t="shared" si="154"/>
        <v>0.24851951133710951</v>
      </c>
      <c r="K165" s="124">
        <f t="shared" si="154"/>
        <v>0.22992518472458573</v>
      </c>
      <c r="L165" s="124">
        <f t="shared" si="154"/>
        <v>0.23839642130554983</v>
      </c>
      <c r="M165" s="124">
        <f t="shared" si="154"/>
        <v>0.24276533286232679</v>
      </c>
      <c r="N165" s="124">
        <f t="shared" si="154"/>
        <v>0.25609629495956238</v>
      </c>
      <c r="O165" s="124">
        <f t="shared" si="154"/>
        <v>0.25733076201363142</v>
      </c>
      <c r="P165" s="124">
        <f t="shared" si="154"/>
        <v>0.26766152636840679</v>
      </c>
      <c r="Q165" s="124">
        <f t="shared" si="154"/>
        <v>0.25034757135703056</v>
      </c>
      <c r="R165" s="124">
        <f t="shared" si="154"/>
        <v>0.26797752468428188</v>
      </c>
      <c r="S165" s="124">
        <f t="shared" si="154"/>
        <v>0.2749481985299051</v>
      </c>
      <c r="T165" s="124">
        <f t="shared" si="154"/>
        <v>0.28269545281472308</v>
      </c>
      <c r="U165" s="124">
        <f t="shared" si="154"/>
        <v>0.28912437737149937</v>
      </c>
      <c r="V165" s="124">
        <f t="shared" si="154"/>
        <v>0.12138837198372417</v>
      </c>
      <c r="W165" s="124">
        <f t="shared" si="154"/>
        <v>0.14981010818863966</v>
      </c>
      <c r="X165" s="124">
        <f t="shared" ref="X165:Y165" si="155">IF(X73=0,0,X73/X$64)</f>
        <v>0.24011394150437643</v>
      </c>
      <c r="Y165" s="124">
        <f t="shared" si="155"/>
        <v>0.26737384313981954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1.4370498649200026E-2</v>
      </c>
      <c r="C166" s="140">
        <f t="shared" ref="C166:W166" si="156">IF(C74=0,0,C74/C$64)</f>
        <v>1.4799862244095409E-2</v>
      </c>
      <c r="D166" s="140">
        <f t="shared" si="156"/>
        <v>1.256725017498252E-2</v>
      </c>
      <c r="E166" s="140">
        <f t="shared" si="156"/>
        <v>1.1979053761537163E-2</v>
      </c>
      <c r="F166" s="140">
        <f t="shared" si="156"/>
        <v>9.702663799408472E-3</v>
      </c>
      <c r="G166" s="140">
        <f t="shared" si="156"/>
        <v>1.0148302703602438E-2</v>
      </c>
      <c r="H166" s="140">
        <f t="shared" si="156"/>
        <v>1.0666383124615108E-2</v>
      </c>
      <c r="I166" s="140">
        <f t="shared" si="156"/>
        <v>1.2002937919454389E-2</v>
      </c>
      <c r="J166" s="140">
        <f t="shared" si="156"/>
        <v>1.2798912519692451E-2</v>
      </c>
      <c r="K166" s="140">
        <f t="shared" si="156"/>
        <v>1.3258991176315987E-2</v>
      </c>
      <c r="L166" s="140">
        <f t="shared" si="156"/>
        <v>1.3859614901123916E-2</v>
      </c>
      <c r="M166" s="140">
        <f t="shared" si="156"/>
        <v>1.3130003047083359E-2</v>
      </c>
      <c r="N166" s="140">
        <f t="shared" si="156"/>
        <v>1.1916475917114823E-2</v>
      </c>
      <c r="O166" s="140">
        <f t="shared" si="156"/>
        <v>1.1673029333498602E-2</v>
      </c>
      <c r="P166" s="140">
        <f t="shared" si="156"/>
        <v>1.1003459007273919E-2</v>
      </c>
      <c r="Q166" s="140">
        <f t="shared" si="156"/>
        <v>9.7270601221701152E-3</v>
      </c>
      <c r="R166" s="140">
        <f t="shared" si="156"/>
        <v>9.9453866780316071E-3</v>
      </c>
      <c r="S166" s="140">
        <f t="shared" si="156"/>
        <v>9.4700388485518087E-3</v>
      </c>
      <c r="T166" s="140">
        <f t="shared" si="156"/>
        <v>8.7096535809985283E-3</v>
      </c>
      <c r="U166" s="140">
        <f t="shared" si="156"/>
        <v>8.7823819719191135E-3</v>
      </c>
      <c r="V166" s="140">
        <f t="shared" si="156"/>
        <v>6.4493135128709904E-3</v>
      </c>
      <c r="W166" s="140">
        <f t="shared" si="156"/>
        <v>6.6286973473356813E-3</v>
      </c>
      <c r="X166" s="140">
        <f t="shared" ref="X166:Y166" si="157">IF(X74=0,0,X74/X$64)</f>
        <v>8.1276754715687294E-3</v>
      </c>
      <c r="Y166" s="140">
        <f t="shared" si="157"/>
        <v>7.947187052938046E-3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0.14332329879042793</v>
      </c>
      <c r="C167" s="140">
        <f t="shared" ref="C167:W167" si="158">IF(C75=0,0,C75/C$64)</f>
        <v>0.14667416411020742</v>
      </c>
      <c r="D167" s="140">
        <f t="shared" si="158"/>
        <v>0.1354354347074806</v>
      </c>
      <c r="E167" s="140">
        <f t="shared" si="158"/>
        <v>0.13898132446931422</v>
      </c>
      <c r="F167" s="140">
        <f t="shared" si="158"/>
        <v>0.1468264648632249</v>
      </c>
      <c r="G167" s="140">
        <f t="shared" si="158"/>
        <v>0.15116666578962612</v>
      </c>
      <c r="H167" s="140">
        <f t="shared" si="158"/>
        <v>0.1506971671634795</v>
      </c>
      <c r="I167" s="140">
        <f t="shared" si="158"/>
        <v>0.14989882238366747</v>
      </c>
      <c r="J167" s="140">
        <f t="shared" si="158"/>
        <v>0.14184223187138392</v>
      </c>
      <c r="K167" s="140">
        <f t="shared" si="158"/>
        <v>0.12619996443274928</v>
      </c>
      <c r="L167" s="140">
        <f t="shared" si="158"/>
        <v>0.13030188323913969</v>
      </c>
      <c r="M167" s="140">
        <f t="shared" si="158"/>
        <v>0.13384580746913233</v>
      </c>
      <c r="N167" s="140">
        <f t="shared" si="158"/>
        <v>0.14106273643815498</v>
      </c>
      <c r="O167" s="140">
        <f t="shared" si="158"/>
        <v>0.14231603709749616</v>
      </c>
      <c r="P167" s="140">
        <f t="shared" si="158"/>
        <v>0.14920805067056475</v>
      </c>
      <c r="Q167" s="140">
        <f t="shared" si="158"/>
        <v>0.14066745373209519</v>
      </c>
      <c r="R167" s="140">
        <f t="shared" si="158"/>
        <v>0.15509572818004866</v>
      </c>
      <c r="S167" s="140">
        <f t="shared" si="158"/>
        <v>0.16064244158684354</v>
      </c>
      <c r="T167" s="140">
        <f t="shared" si="158"/>
        <v>0.16449153589571561</v>
      </c>
      <c r="U167" s="140">
        <f t="shared" si="158"/>
        <v>0.16545504010618756</v>
      </c>
      <c r="V167" s="140">
        <f t="shared" si="158"/>
        <v>5.8875216115237418E-2</v>
      </c>
      <c r="W167" s="140">
        <f t="shared" si="158"/>
        <v>7.8383220076338703E-2</v>
      </c>
      <c r="X167" s="140">
        <f t="shared" ref="X167:Y167" si="159">IF(X75=0,0,X75/X$64)</f>
        <v>0.1409045073593726</v>
      </c>
      <c r="Y167" s="140">
        <f t="shared" si="159"/>
        <v>0.15601213160175345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9.6927714870013865E-2</v>
      </c>
      <c r="C168" s="140">
        <f t="shared" ref="C168:W168" si="160">IF(C76=0,0,C76/C$64)</f>
        <v>9.920148913681831E-2</v>
      </c>
      <c r="D168" s="140">
        <f t="shared" si="160"/>
        <v>8.3761333443680724E-2</v>
      </c>
      <c r="E168" s="140">
        <f t="shared" si="160"/>
        <v>8.3761352835008698E-2</v>
      </c>
      <c r="F168" s="140">
        <f t="shared" si="160"/>
        <v>9.993038091361317E-2</v>
      </c>
      <c r="G168" s="140">
        <f t="shared" si="160"/>
        <v>0.10344931009132782</v>
      </c>
      <c r="H168" s="140">
        <f t="shared" si="160"/>
        <v>0.10219304398621112</v>
      </c>
      <c r="I168" s="140">
        <f t="shared" si="160"/>
        <v>9.8870223510661132E-2</v>
      </c>
      <c r="J168" s="140">
        <f t="shared" si="160"/>
        <v>9.3878366946033104E-2</v>
      </c>
      <c r="K168" s="140">
        <f t="shared" si="160"/>
        <v>9.0466229115520477E-2</v>
      </c>
      <c r="L168" s="140">
        <f t="shared" si="160"/>
        <v>9.42349231652862E-2</v>
      </c>
      <c r="M168" s="140">
        <f t="shared" si="160"/>
        <v>9.5789522346111086E-2</v>
      </c>
      <c r="N168" s="140">
        <f t="shared" si="160"/>
        <v>0.1031170826042926</v>
      </c>
      <c r="O168" s="140">
        <f t="shared" si="160"/>
        <v>0.10334169558263666</v>
      </c>
      <c r="P168" s="140">
        <f t="shared" si="160"/>
        <v>0.10745001669056813</v>
      </c>
      <c r="Q168" s="140">
        <f t="shared" si="160"/>
        <v>9.9953057502765244E-2</v>
      </c>
      <c r="R168" s="140">
        <f t="shared" si="160"/>
        <v>0.10293640982620161</v>
      </c>
      <c r="S168" s="140">
        <f t="shared" si="160"/>
        <v>0.10483571809450976</v>
      </c>
      <c r="T168" s="140">
        <f t="shared" si="160"/>
        <v>0.10949426333800896</v>
      </c>
      <c r="U168" s="140">
        <f t="shared" si="160"/>
        <v>0.1148869552933927</v>
      </c>
      <c r="V168" s="140">
        <f t="shared" si="160"/>
        <v>5.6063842355615755E-2</v>
      </c>
      <c r="W168" s="140">
        <f t="shared" si="160"/>
        <v>6.4798190764965263E-2</v>
      </c>
      <c r="X168" s="140">
        <f t="shared" ref="X168:Y168" si="161">IF(X76=0,0,X76/X$64)</f>
        <v>9.108175867343514E-2</v>
      </c>
      <c r="Y168" s="140">
        <f t="shared" si="161"/>
        <v>0.10341452448512803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0.87563564606815858</v>
      </c>
      <c r="C170" s="139">
        <f t="shared" ref="C170:W170" si="165">IF(C78=0,0,C78/C$77)</f>
        <v>0.87721792411035238</v>
      </c>
      <c r="D170" s="139">
        <f t="shared" si="165"/>
        <v>0.86762063956796653</v>
      </c>
      <c r="E170" s="139">
        <f t="shared" si="165"/>
        <v>0.87866745055802786</v>
      </c>
      <c r="F170" s="139">
        <f t="shared" si="165"/>
        <v>0.89663882860914645</v>
      </c>
      <c r="G170" s="139">
        <f t="shared" si="165"/>
        <v>0.88511345265332542</v>
      </c>
      <c r="H170" s="139">
        <f t="shared" si="165"/>
        <v>0.8983448626689251</v>
      </c>
      <c r="I170" s="139">
        <f t="shared" si="165"/>
        <v>0.91367102927816413</v>
      </c>
      <c r="J170" s="139">
        <f t="shared" si="165"/>
        <v>0.86261706287232531</v>
      </c>
      <c r="K170" s="139">
        <f t="shared" si="165"/>
        <v>0.86425499386287341</v>
      </c>
      <c r="L170" s="139">
        <f t="shared" si="165"/>
        <v>0.87374516709110384</v>
      </c>
      <c r="M170" s="139">
        <f t="shared" si="165"/>
        <v>0.86749264530883319</v>
      </c>
      <c r="N170" s="139">
        <f t="shared" si="165"/>
        <v>0.85520758335238845</v>
      </c>
      <c r="O170" s="139">
        <f t="shared" si="165"/>
        <v>0.85330514879752373</v>
      </c>
      <c r="P170" s="139">
        <f t="shared" si="165"/>
        <v>0.86952020276497066</v>
      </c>
      <c r="Q170" s="139">
        <f t="shared" si="165"/>
        <v>0.85797485161986431</v>
      </c>
      <c r="R170" s="139">
        <f t="shared" si="165"/>
        <v>0.88249644820053541</v>
      </c>
      <c r="S170" s="139">
        <f t="shared" si="165"/>
        <v>0.88587850859694683</v>
      </c>
      <c r="T170" s="139">
        <f t="shared" si="165"/>
        <v>0.89272690110129593</v>
      </c>
      <c r="U170" s="139">
        <f t="shared" si="165"/>
        <v>0.88226901926231271</v>
      </c>
      <c r="V170" s="139">
        <f t="shared" si="165"/>
        <v>0.88304300964147853</v>
      </c>
      <c r="W170" s="139">
        <f t="shared" si="165"/>
        <v>0.86982518055193081</v>
      </c>
      <c r="X170" s="139">
        <f t="shared" ref="X170:Y170" si="166">IF(X78=0,0,X78/X$77)</f>
        <v>0.88127148922303711</v>
      </c>
      <c r="Y170" s="139">
        <f t="shared" si="166"/>
        <v>0.88235016817840473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0.37211130375390067</v>
      </c>
      <c r="C171" s="140">
        <f t="shared" ref="C171:W171" si="167">IF(C79=0,0,C79/C$77)</f>
        <v>0.37029644595050354</v>
      </c>
      <c r="D171" s="140">
        <f t="shared" si="167"/>
        <v>0.36380323190925873</v>
      </c>
      <c r="E171" s="140">
        <f t="shared" si="167"/>
        <v>0.35424549361384411</v>
      </c>
      <c r="F171" s="140">
        <f t="shared" si="167"/>
        <v>0.36250230889479407</v>
      </c>
      <c r="G171" s="140">
        <f t="shared" si="167"/>
        <v>0.37007520427524199</v>
      </c>
      <c r="H171" s="140">
        <f t="shared" si="167"/>
        <v>0.38814724975010623</v>
      </c>
      <c r="I171" s="140">
        <f t="shared" si="167"/>
        <v>0.4091319327903094</v>
      </c>
      <c r="J171" s="140">
        <f t="shared" si="167"/>
        <v>0.40182740467077649</v>
      </c>
      <c r="K171" s="140">
        <f t="shared" si="167"/>
        <v>0.42116390191561198</v>
      </c>
      <c r="L171" s="140">
        <f t="shared" si="167"/>
        <v>0.41403397773150069</v>
      </c>
      <c r="M171" s="140">
        <f t="shared" si="167"/>
        <v>0.39223379680017556</v>
      </c>
      <c r="N171" s="140">
        <f t="shared" si="167"/>
        <v>0.39071750485235729</v>
      </c>
      <c r="O171" s="140">
        <f t="shared" si="167"/>
        <v>0.38320567448435111</v>
      </c>
      <c r="P171" s="140">
        <f t="shared" si="167"/>
        <v>0.36604339347629061</v>
      </c>
      <c r="Q171" s="140">
        <f t="shared" si="167"/>
        <v>0.3794340632455469</v>
      </c>
      <c r="R171" s="140">
        <f t="shared" si="167"/>
        <v>0.3617829120182538</v>
      </c>
      <c r="S171" s="140">
        <f t="shared" si="167"/>
        <v>0.36321396360305352</v>
      </c>
      <c r="T171" s="140">
        <f t="shared" si="167"/>
        <v>0.35899098224091353</v>
      </c>
      <c r="U171" s="140">
        <f t="shared" si="167"/>
        <v>0.34933559565661998</v>
      </c>
      <c r="V171" s="140">
        <f t="shared" si="167"/>
        <v>0.34061970728686924</v>
      </c>
      <c r="W171" s="140">
        <f t="shared" si="167"/>
        <v>0.33723245483374031</v>
      </c>
      <c r="X171" s="140">
        <f t="shared" ref="X171:Y171" si="168">IF(X79=0,0,X79/X$77)</f>
        <v>0.35621206723014831</v>
      </c>
      <c r="Y171" s="140">
        <f t="shared" si="168"/>
        <v>0.3545602885526758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0.50352434231425802</v>
      </c>
      <c r="C172" s="140">
        <f t="shared" ref="C172:W172" si="169">IF(C80=0,0,C80/C$77)</f>
        <v>0.50692147815984878</v>
      </c>
      <c r="D172" s="140">
        <f t="shared" si="169"/>
        <v>0.50381740765870775</v>
      </c>
      <c r="E172" s="140">
        <f t="shared" si="169"/>
        <v>0.52442195694418381</v>
      </c>
      <c r="F172" s="140">
        <f t="shared" si="169"/>
        <v>0.53413651971435239</v>
      </c>
      <c r="G172" s="140">
        <f t="shared" si="169"/>
        <v>0.51503824837808343</v>
      </c>
      <c r="H172" s="140">
        <f t="shared" si="169"/>
        <v>0.51019761291881871</v>
      </c>
      <c r="I172" s="140">
        <f t="shared" si="169"/>
        <v>0.50453909648785478</v>
      </c>
      <c r="J172" s="140">
        <f t="shared" si="169"/>
        <v>0.46078965820154882</v>
      </c>
      <c r="K172" s="140">
        <f t="shared" si="169"/>
        <v>0.44309109194726143</v>
      </c>
      <c r="L172" s="140">
        <f t="shared" si="169"/>
        <v>0.45971118935960315</v>
      </c>
      <c r="M172" s="140">
        <f t="shared" si="169"/>
        <v>0.47525884850865746</v>
      </c>
      <c r="N172" s="140">
        <f t="shared" si="169"/>
        <v>0.46449007850003116</v>
      </c>
      <c r="O172" s="140">
        <f t="shared" si="169"/>
        <v>0.47009947431317262</v>
      </c>
      <c r="P172" s="140">
        <f t="shared" si="169"/>
        <v>0.5034768092886801</v>
      </c>
      <c r="Q172" s="140">
        <f t="shared" si="169"/>
        <v>0.47854078837431735</v>
      </c>
      <c r="R172" s="140">
        <f t="shared" si="169"/>
        <v>0.52071353618228167</v>
      </c>
      <c r="S172" s="140">
        <f t="shared" si="169"/>
        <v>0.52266454499389325</v>
      </c>
      <c r="T172" s="140">
        <f t="shared" si="169"/>
        <v>0.53373591886038241</v>
      </c>
      <c r="U172" s="140">
        <f t="shared" si="169"/>
        <v>0.53293342360569274</v>
      </c>
      <c r="V172" s="140">
        <f t="shared" si="169"/>
        <v>0.54242330235460923</v>
      </c>
      <c r="W172" s="140">
        <f t="shared" si="169"/>
        <v>0.5325927257181905</v>
      </c>
      <c r="X172" s="140">
        <f t="shared" ref="X172:Y172" si="170">IF(X80=0,0,X80/X$77)</f>
        <v>0.5250594219928888</v>
      </c>
      <c r="Y172" s="140">
        <f t="shared" si="170"/>
        <v>0.52778987962572887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6.647874144922709E-3</v>
      </c>
      <c r="C173" s="124">
        <f t="shared" ref="C173:W173" si="171">IF(C81=0,0,C81/C$77)</f>
        <v>5.9643410995303412E-3</v>
      </c>
      <c r="D173" s="124">
        <f t="shared" si="171"/>
        <v>5.1916408889790787E-3</v>
      </c>
      <c r="E173" s="124">
        <f t="shared" si="171"/>
        <v>4.5163422723262635E-3</v>
      </c>
      <c r="F173" s="124">
        <f t="shared" si="171"/>
        <v>4.8338556240223622E-3</v>
      </c>
      <c r="G173" s="124">
        <f t="shared" si="171"/>
        <v>4.2369108374967586E-3</v>
      </c>
      <c r="H173" s="124">
        <f t="shared" si="171"/>
        <v>4.0167390893166713E-3</v>
      </c>
      <c r="I173" s="124">
        <f t="shared" si="171"/>
        <v>3.493181362502611E-3</v>
      </c>
      <c r="J173" s="124">
        <f t="shared" si="171"/>
        <v>3.3925460235289901E-3</v>
      </c>
      <c r="K173" s="124">
        <f t="shared" si="171"/>
        <v>3.648950048497909E-3</v>
      </c>
      <c r="L173" s="124">
        <f t="shared" si="171"/>
        <v>4.8286389733149032E-3</v>
      </c>
      <c r="M173" s="124">
        <f t="shared" si="171"/>
        <v>5.9840573615428262E-3</v>
      </c>
      <c r="N173" s="124">
        <f t="shared" si="171"/>
        <v>5.3848809661074326E-3</v>
      </c>
      <c r="O173" s="124">
        <f t="shared" si="171"/>
        <v>5.8439426898999796E-3</v>
      </c>
      <c r="P173" s="124">
        <f t="shared" si="171"/>
        <v>6.4186464388961599E-3</v>
      </c>
      <c r="Q173" s="124">
        <f t="shared" si="171"/>
        <v>7.5202874871831832E-3</v>
      </c>
      <c r="R173" s="124">
        <f t="shared" si="171"/>
        <v>7.6765261709490469E-3</v>
      </c>
      <c r="S173" s="124">
        <f t="shared" si="171"/>
        <v>7.5778539550373503E-3</v>
      </c>
      <c r="T173" s="124">
        <f t="shared" si="171"/>
        <v>7.1339585516201724E-3</v>
      </c>
      <c r="U173" s="124">
        <f t="shared" si="171"/>
        <v>7.2951527964279167E-3</v>
      </c>
      <c r="V173" s="124">
        <f t="shared" si="171"/>
        <v>6.1665931935687849E-3</v>
      </c>
      <c r="W173" s="124">
        <f t="shared" si="171"/>
        <v>5.0821460362637733E-3</v>
      </c>
      <c r="X173" s="124">
        <f t="shared" ref="X173:Y173" si="172">IF(X81=0,0,X81/X$77)</f>
        <v>5.1625913310314317E-3</v>
      </c>
      <c r="Y173" s="124">
        <f t="shared" si="172"/>
        <v>4.9714131996929619E-3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5.2148220378217406E-3</v>
      </c>
      <c r="C174" s="124">
        <f t="shared" ref="C174:W174" si="173">IF(C82=0,0,C82/C$77)</f>
        <v>5.2059483251986755E-3</v>
      </c>
      <c r="D174" s="124">
        <f t="shared" si="173"/>
        <v>4.7114337080469866E-3</v>
      </c>
      <c r="E174" s="124">
        <f t="shared" si="173"/>
        <v>3.5221026392843972E-3</v>
      </c>
      <c r="F174" s="124">
        <f t="shared" si="173"/>
        <v>3.7433122321083837E-3</v>
      </c>
      <c r="G174" s="124">
        <f t="shared" si="173"/>
        <v>4.1428691455997714E-3</v>
      </c>
      <c r="H174" s="124">
        <f t="shared" si="173"/>
        <v>4.7984654226238448E-3</v>
      </c>
      <c r="I174" s="124">
        <f t="shared" si="173"/>
        <v>4.5117546549630488E-3</v>
      </c>
      <c r="J174" s="124">
        <f t="shared" si="173"/>
        <v>3.4618769635381644E-2</v>
      </c>
      <c r="K174" s="124">
        <f t="shared" si="173"/>
        <v>2.7779594520679164E-2</v>
      </c>
      <c r="L174" s="124">
        <f t="shared" si="173"/>
        <v>2.9518606877093154E-2</v>
      </c>
      <c r="M174" s="124">
        <f t="shared" si="173"/>
        <v>3.0102949716898742E-2</v>
      </c>
      <c r="N174" s="124">
        <f t="shared" si="173"/>
        <v>3.4965614651336185E-2</v>
      </c>
      <c r="O174" s="124">
        <f t="shared" si="173"/>
        <v>3.0896411915488548E-2</v>
      </c>
      <c r="P174" s="124">
        <f t="shared" si="173"/>
        <v>3.6305045933423499E-2</v>
      </c>
      <c r="Q174" s="124">
        <f t="shared" si="173"/>
        <v>3.3378666045120908E-2</v>
      </c>
      <c r="R174" s="124">
        <f t="shared" si="173"/>
        <v>2.5761053146281243E-2</v>
      </c>
      <c r="S174" s="124">
        <f t="shared" si="173"/>
        <v>2.658644757263132E-2</v>
      </c>
      <c r="T174" s="124">
        <f t="shared" si="173"/>
        <v>1.8738919984538135E-2</v>
      </c>
      <c r="U174" s="124">
        <f t="shared" si="173"/>
        <v>2.2663089614815748E-2</v>
      </c>
      <c r="V174" s="124">
        <f t="shared" si="173"/>
        <v>2.1685833013906548E-2</v>
      </c>
      <c r="W174" s="124">
        <f t="shared" si="173"/>
        <v>2.3922724052695379E-2</v>
      </c>
      <c r="X174" s="124">
        <f t="shared" ref="X174:Y174" si="174">IF(X82=0,0,X82/X$77)</f>
        <v>2.5223659519409868E-2</v>
      </c>
      <c r="Y174" s="124">
        <f t="shared" si="174"/>
        <v>2.8901412210169633E-2</v>
      </c>
      <c r="DA174" s="176"/>
    </row>
    <row r="175" spans="1:105" ht="11.45" customHeight="1" x14ac:dyDescent="0.25">
      <c r="A175" s="128" t="s">
        <v>27</v>
      </c>
      <c r="B175" s="140">
        <f t="shared" si="162"/>
        <v>1.6497091410852747E-4</v>
      </c>
      <c r="C175" s="140">
        <f t="shared" ref="C175:W175" si="175">IF(C83=0,0,C83/C$77)</f>
        <v>1.6710860768694613E-4</v>
      </c>
      <c r="D175" s="140">
        <f t="shared" si="175"/>
        <v>1.199197623093037E-4</v>
      </c>
      <c r="E175" s="140">
        <f t="shared" si="175"/>
        <v>6.4557429070925584E-5</v>
      </c>
      <c r="F175" s="140">
        <f t="shared" si="175"/>
        <v>4.2163764959966291E-5</v>
      </c>
      <c r="G175" s="140">
        <f t="shared" si="175"/>
        <v>5.2135804761240057E-5</v>
      </c>
      <c r="H175" s="140">
        <f t="shared" si="175"/>
        <v>6.1968564545886425E-5</v>
      </c>
      <c r="I175" s="140">
        <f t="shared" si="175"/>
        <v>6.3439598725417159E-5</v>
      </c>
      <c r="J175" s="140">
        <f t="shared" si="175"/>
        <v>1.2570304157740502E-4</v>
      </c>
      <c r="K175" s="140">
        <f t="shared" si="175"/>
        <v>1.3029115485094233E-4</v>
      </c>
      <c r="L175" s="140">
        <f t="shared" si="175"/>
        <v>5.7525849714417754E-5</v>
      </c>
      <c r="M175" s="140">
        <f t="shared" si="175"/>
        <v>3.4675978516411496E-5</v>
      </c>
      <c r="N175" s="140">
        <f t="shared" si="175"/>
        <v>3.7874964292689708E-5</v>
      </c>
      <c r="O175" s="140">
        <f t="shared" si="175"/>
        <v>4.0387599953779343E-5</v>
      </c>
      <c r="P175" s="140">
        <f t="shared" si="175"/>
        <v>3.7659500612375203E-5</v>
      </c>
      <c r="Q175" s="140">
        <f t="shared" si="175"/>
        <v>3.1808585751192997E-5</v>
      </c>
      <c r="R175" s="140">
        <f t="shared" si="175"/>
        <v>7.2464436991994297E-6</v>
      </c>
      <c r="S175" s="140">
        <f t="shared" si="175"/>
        <v>1.1791966739462037E-5</v>
      </c>
      <c r="T175" s="140">
        <f t="shared" si="175"/>
        <v>1.4609664525234343E-5</v>
      </c>
      <c r="U175" s="140">
        <f t="shared" si="175"/>
        <v>1.2697097033846733E-5</v>
      </c>
      <c r="V175" s="140">
        <f t="shared" si="175"/>
        <v>1.649642257397266E-5</v>
      </c>
      <c r="W175" s="140">
        <f t="shared" si="175"/>
        <v>2.6764264938698347E-5</v>
      </c>
      <c r="X175" s="140">
        <f t="shared" ref="X175:Y175" si="176">IF(X83=0,0,X83/X$77)</f>
        <v>4.7534746469857744E-5</v>
      </c>
      <c r="Y175" s="140">
        <f t="shared" si="176"/>
        <v>5.1206848384903918E-5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4.5862686366220321E-3</v>
      </c>
      <c r="C176" s="140">
        <f t="shared" ref="C176:W176" si="177">IF(C84=0,0,C84/C$77)</f>
        <v>4.5438388927329324E-3</v>
      </c>
      <c r="D176" s="140">
        <f t="shared" si="177"/>
        <v>4.0481913912045579E-3</v>
      </c>
      <c r="E176" s="140">
        <f t="shared" si="177"/>
        <v>2.8727883987235202E-3</v>
      </c>
      <c r="F176" s="140">
        <f t="shared" si="177"/>
        <v>3.1292894665734803E-3</v>
      </c>
      <c r="G176" s="140">
        <f t="shared" si="177"/>
        <v>3.7304642797343175E-3</v>
      </c>
      <c r="H176" s="140">
        <f t="shared" si="177"/>
        <v>4.5448294704765746E-3</v>
      </c>
      <c r="I176" s="140">
        <f t="shared" si="177"/>
        <v>4.2271865212752157E-3</v>
      </c>
      <c r="J176" s="140">
        <f t="shared" si="177"/>
        <v>8.7959484249880097E-3</v>
      </c>
      <c r="K176" s="140">
        <f t="shared" si="177"/>
        <v>6.3704203684145071E-3</v>
      </c>
      <c r="L176" s="140">
        <f t="shared" si="177"/>
        <v>4.411869535987701E-3</v>
      </c>
      <c r="M176" s="140">
        <f t="shared" si="177"/>
        <v>4.6092413408986279E-3</v>
      </c>
      <c r="N176" s="140">
        <f t="shared" si="177"/>
        <v>4.5254516159814601E-3</v>
      </c>
      <c r="O176" s="140">
        <f t="shared" si="177"/>
        <v>3.8538131963761235E-3</v>
      </c>
      <c r="P176" s="140">
        <f t="shared" si="177"/>
        <v>6.445880776065718E-3</v>
      </c>
      <c r="Q176" s="140">
        <f t="shared" si="177"/>
        <v>6.511914779753619E-3</v>
      </c>
      <c r="R176" s="140">
        <f t="shared" si="177"/>
        <v>5.0517838805499357E-3</v>
      </c>
      <c r="S176" s="140">
        <f t="shared" si="177"/>
        <v>6.1361816493656803E-3</v>
      </c>
      <c r="T176" s="140">
        <f t="shared" si="177"/>
        <v>6.1256875496877054E-3</v>
      </c>
      <c r="U176" s="140">
        <f t="shared" si="177"/>
        <v>7.3325855412529704E-3</v>
      </c>
      <c r="V176" s="140">
        <f t="shared" si="177"/>
        <v>7.5614789365854758E-3</v>
      </c>
      <c r="W176" s="140">
        <f t="shared" si="177"/>
        <v>9.9359851590174568E-3</v>
      </c>
      <c r="X176" s="140">
        <f t="shared" ref="X176:Y176" si="178">IF(X84=0,0,X84/X$77)</f>
        <v>1.1653891795845596E-2</v>
      </c>
      <c r="Y176" s="140">
        <f t="shared" si="178"/>
        <v>1.1221193842517147E-2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4.6358248709118085E-4</v>
      </c>
      <c r="C177" s="140">
        <f t="shared" ref="C177:W177" si="179">IF(C85=0,0,C85/C$77)</f>
        <v>4.9500082477879767E-4</v>
      </c>
      <c r="D177" s="140">
        <f t="shared" si="179"/>
        <v>5.4332255453312553E-4</v>
      </c>
      <c r="E177" s="140">
        <f t="shared" si="179"/>
        <v>5.8475681148995192E-4</v>
      </c>
      <c r="F177" s="140">
        <f t="shared" si="179"/>
        <v>5.718590005749371E-4</v>
      </c>
      <c r="G177" s="140">
        <f t="shared" si="179"/>
        <v>3.6026906110421346E-4</v>
      </c>
      <c r="H177" s="140">
        <f t="shared" si="179"/>
        <v>1.9166738760138387E-4</v>
      </c>
      <c r="I177" s="140">
        <f t="shared" si="179"/>
        <v>2.2112853496241645E-4</v>
      </c>
      <c r="J177" s="140">
        <f t="shared" si="179"/>
        <v>2.5697118168816226E-2</v>
      </c>
      <c r="K177" s="140">
        <f t="shared" si="179"/>
        <v>2.1278882997413713E-2</v>
      </c>
      <c r="L177" s="140">
        <f t="shared" si="179"/>
        <v>2.5049211491391037E-2</v>
      </c>
      <c r="M177" s="140">
        <f t="shared" si="179"/>
        <v>2.5459032397483705E-2</v>
      </c>
      <c r="N177" s="140">
        <f t="shared" si="179"/>
        <v>3.0402288071062031E-2</v>
      </c>
      <c r="O177" s="140">
        <f t="shared" si="179"/>
        <v>2.7002211119158646E-2</v>
      </c>
      <c r="P177" s="140">
        <f t="shared" si="179"/>
        <v>2.9821505656745406E-2</v>
      </c>
      <c r="Q177" s="140">
        <f t="shared" si="179"/>
        <v>2.6834942679616097E-2</v>
      </c>
      <c r="R177" s="140">
        <f t="shared" si="179"/>
        <v>2.070202282203211E-2</v>
      </c>
      <c r="S177" s="140">
        <f t="shared" si="179"/>
        <v>2.043847395652618E-2</v>
      </c>
      <c r="T177" s="140">
        <f t="shared" si="179"/>
        <v>1.2598622770325193E-2</v>
      </c>
      <c r="U177" s="140">
        <f t="shared" si="179"/>
        <v>1.5317806976528932E-2</v>
      </c>
      <c r="V177" s="140">
        <f t="shared" si="179"/>
        <v>1.41078576547471E-2</v>
      </c>
      <c r="W177" s="140">
        <f t="shared" si="179"/>
        <v>1.395997462873922E-2</v>
      </c>
      <c r="X177" s="140">
        <f t="shared" ref="X177:Y177" si="180">IF(X85=0,0,X85/X$77)</f>
        <v>1.3522232977094416E-2</v>
      </c>
      <c r="Y177" s="140">
        <f t="shared" si="180"/>
        <v>1.7629011519267584E-2</v>
      </c>
      <c r="DA177" s="175"/>
    </row>
    <row r="178" spans="1:105" ht="11.45" customHeight="1" x14ac:dyDescent="0.25">
      <c r="A178" s="109" t="s">
        <v>141</v>
      </c>
      <c r="B178" s="124">
        <f t="shared" si="162"/>
        <v>0.11250165774909701</v>
      </c>
      <c r="C178" s="124">
        <f t="shared" ref="C178:W178" si="181">IF(C86=0,0,C86/C$77)</f>
        <v>0.11161178646491862</v>
      </c>
      <c r="D178" s="124">
        <f t="shared" si="181"/>
        <v>0.1224762858350073</v>
      </c>
      <c r="E178" s="124">
        <f t="shared" si="181"/>
        <v>0.11329410453036133</v>
      </c>
      <c r="F178" s="124">
        <f t="shared" si="181"/>
        <v>9.4784003534722744E-2</v>
      </c>
      <c r="G178" s="124">
        <f t="shared" si="181"/>
        <v>0.10650676736357813</v>
      </c>
      <c r="H178" s="124">
        <f t="shared" si="181"/>
        <v>9.2839932819134427E-2</v>
      </c>
      <c r="I178" s="124">
        <f t="shared" si="181"/>
        <v>7.8324034704370063E-2</v>
      </c>
      <c r="J178" s="124">
        <f t="shared" si="181"/>
        <v>9.9371621468764049E-2</v>
      </c>
      <c r="K178" s="124">
        <f t="shared" si="181"/>
        <v>0.10431646156794949</v>
      </c>
      <c r="L178" s="124">
        <f t="shared" si="181"/>
        <v>9.1907587058488213E-2</v>
      </c>
      <c r="M178" s="124">
        <f t="shared" si="181"/>
        <v>9.6420347612725429E-2</v>
      </c>
      <c r="N178" s="124">
        <f t="shared" si="181"/>
        <v>0.10444192103016785</v>
      </c>
      <c r="O178" s="124">
        <f t="shared" si="181"/>
        <v>0.10995449659708781</v>
      </c>
      <c r="P178" s="124">
        <f t="shared" si="181"/>
        <v>8.7756104862709586E-2</v>
      </c>
      <c r="Q178" s="124">
        <f t="shared" si="181"/>
        <v>0.10112619484783175</v>
      </c>
      <c r="R178" s="124">
        <f t="shared" si="181"/>
        <v>8.406597248223438E-2</v>
      </c>
      <c r="S178" s="124">
        <f t="shared" si="181"/>
        <v>7.9957189875384541E-2</v>
      </c>
      <c r="T178" s="124">
        <f t="shared" si="181"/>
        <v>8.1400220362545822E-2</v>
      </c>
      <c r="U178" s="124">
        <f t="shared" si="181"/>
        <v>8.777273832644357E-2</v>
      </c>
      <c r="V178" s="124">
        <f t="shared" si="181"/>
        <v>8.910456415104627E-2</v>
      </c>
      <c r="W178" s="124">
        <f t="shared" si="181"/>
        <v>0.10116994935911011</v>
      </c>
      <c r="X178" s="124">
        <f t="shared" ref="X178:Y178" si="182">IF(X86=0,0,X86/X$77)</f>
        <v>8.8342259926521588E-2</v>
      </c>
      <c r="Y178" s="124">
        <f t="shared" si="182"/>
        <v>8.3777006411732705E-2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0.11250165774909701</v>
      </c>
      <c r="C179" s="140">
        <f t="shared" ref="C179:W179" si="183">IF(C87=0,0,C87/C$77)</f>
        <v>0.11161178646491862</v>
      </c>
      <c r="D179" s="140">
        <f t="shared" si="183"/>
        <v>0.1224762858350073</v>
      </c>
      <c r="E179" s="140">
        <f t="shared" si="183"/>
        <v>0.11329410453036133</v>
      </c>
      <c r="F179" s="140">
        <f t="shared" si="183"/>
        <v>9.4784003534722744E-2</v>
      </c>
      <c r="G179" s="140">
        <f t="shared" si="183"/>
        <v>0.10650676736357813</v>
      </c>
      <c r="H179" s="140">
        <f t="shared" si="183"/>
        <v>9.2839932819134427E-2</v>
      </c>
      <c r="I179" s="140">
        <f t="shared" si="183"/>
        <v>7.8324034704370063E-2</v>
      </c>
      <c r="J179" s="140">
        <f t="shared" si="183"/>
        <v>9.9371621468764049E-2</v>
      </c>
      <c r="K179" s="140">
        <f t="shared" si="183"/>
        <v>0.10431646156794949</v>
      </c>
      <c r="L179" s="140">
        <f t="shared" si="183"/>
        <v>9.1907587058488213E-2</v>
      </c>
      <c r="M179" s="140">
        <f t="shared" si="183"/>
        <v>9.6420347612725429E-2</v>
      </c>
      <c r="N179" s="140">
        <f t="shared" si="183"/>
        <v>0.10444192103016785</v>
      </c>
      <c r="O179" s="140">
        <f t="shared" si="183"/>
        <v>0.10995449659708781</v>
      </c>
      <c r="P179" s="140">
        <f t="shared" si="183"/>
        <v>8.7756104862709586E-2</v>
      </c>
      <c r="Q179" s="140">
        <f t="shared" si="183"/>
        <v>0.10112619484783175</v>
      </c>
      <c r="R179" s="140">
        <f t="shared" si="183"/>
        <v>8.406597248223438E-2</v>
      </c>
      <c r="S179" s="140">
        <f t="shared" si="183"/>
        <v>7.9957189875384541E-2</v>
      </c>
      <c r="T179" s="140">
        <f t="shared" si="183"/>
        <v>8.1400220362545822E-2</v>
      </c>
      <c r="U179" s="140">
        <f t="shared" si="183"/>
        <v>8.777273832644357E-2</v>
      </c>
      <c r="V179" s="140">
        <f t="shared" si="183"/>
        <v>8.910456415104627E-2</v>
      </c>
      <c r="W179" s="140">
        <f t="shared" si="183"/>
        <v>0.10116994935911011</v>
      </c>
      <c r="X179" s="140">
        <f t="shared" ref="X179:Y179" si="184">IF(X87=0,0,X87/X$77)</f>
        <v>8.8342259926521588E-2</v>
      </c>
      <c r="Y179" s="140">
        <f t="shared" si="184"/>
        <v>8.3777006411732705E-2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0</v>
      </c>
      <c r="C180" s="127">
        <f t="shared" ref="C180:W180" si="185">IF(C88=0,0,C88/C$77)</f>
        <v>0</v>
      </c>
      <c r="D180" s="127">
        <f t="shared" si="185"/>
        <v>0</v>
      </c>
      <c r="E180" s="127">
        <f t="shared" si="185"/>
        <v>0</v>
      </c>
      <c r="F180" s="127">
        <f t="shared" si="185"/>
        <v>0</v>
      </c>
      <c r="G180" s="127">
        <f t="shared" si="185"/>
        <v>0</v>
      </c>
      <c r="H180" s="127">
        <f t="shared" si="185"/>
        <v>0</v>
      </c>
      <c r="I180" s="127">
        <f t="shared" si="185"/>
        <v>0</v>
      </c>
      <c r="J180" s="127">
        <f t="shared" si="185"/>
        <v>0</v>
      </c>
      <c r="K180" s="127">
        <f t="shared" si="185"/>
        <v>0</v>
      </c>
      <c r="L180" s="127">
        <f t="shared" si="185"/>
        <v>0</v>
      </c>
      <c r="M180" s="127">
        <f t="shared" si="185"/>
        <v>0</v>
      </c>
      <c r="N180" s="127">
        <f t="shared" si="185"/>
        <v>0</v>
      </c>
      <c r="O180" s="127">
        <f t="shared" si="185"/>
        <v>0</v>
      </c>
      <c r="P180" s="127">
        <f t="shared" si="185"/>
        <v>0</v>
      </c>
      <c r="Q180" s="127">
        <f t="shared" si="185"/>
        <v>0</v>
      </c>
      <c r="R180" s="127">
        <f t="shared" si="185"/>
        <v>0</v>
      </c>
      <c r="S180" s="127">
        <f t="shared" si="185"/>
        <v>0</v>
      </c>
      <c r="T180" s="127">
        <f t="shared" si="185"/>
        <v>0</v>
      </c>
      <c r="U180" s="127">
        <f t="shared" si="185"/>
        <v>0</v>
      </c>
      <c r="V180" s="127">
        <f t="shared" si="185"/>
        <v>0</v>
      </c>
      <c r="W180" s="127">
        <f t="shared" si="185"/>
        <v>0</v>
      </c>
      <c r="X180" s="127">
        <f t="shared" ref="X180:Y180" si="186">IF(X88=0,0,X88/X$77)</f>
        <v>0</v>
      </c>
      <c r="Y180" s="127">
        <f t="shared" si="186"/>
        <v>0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0.49340240339250246</v>
      </c>
      <c r="C182" s="140">
        <f t="shared" ref="C182:W182" si="189">IF(C90=0,0,C90/C$89)</f>
        <v>0.49279913964883065</v>
      </c>
      <c r="D182" s="140">
        <f t="shared" si="189"/>
        <v>0.50096831048520374</v>
      </c>
      <c r="E182" s="140">
        <f t="shared" si="189"/>
        <v>0.4801041795696192</v>
      </c>
      <c r="F182" s="140">
        <f t="shared" si="189"/>
        <v>0.51335465162287242</v>
      </c>
      <c r="G182" s="140">
        <f t="shared" si="189"/>
        <v>0.52163828428111925</v>
      </c>
      <c r="H182" s="140">
        <f t="shared" si="189"/>
        <v>0.47398816063888122</v>
      </c>
      <c r="I182" s="140">
        <f t="shared" si="189"/>
        <v>0.48780014781814335</v>
      </c>
      <c r="J182" s="140">
        <f t="shared" si="189"/>
        <v>0.49166676375324087</v>
      </c>
      <c r="K182" s="140">
        <f t="shared" si="189"/>
        <v>0.49169618754312905</v>
      </c>
      <c r="L182" s="140">
        <f t="shared" si="189"/>
        <v>0.51769164365873444</v>
      </c>
      <c r="M182" s="140">
        <f t="shared" si="189"/>
        <v>0.47451154787745498</v>
      </c>
      <c r="N182" s="140">
        <f t="shared" si="189"/>
        <v>0.52374823169196505</v>
      </c>
      <c r="O182" s="140">
        <f t="shared" si="189"/>
        <v>0.55102984273949163</v>
      </c>
      <c r="P182" s="140">
        <f t="shared" si="189"/>
        <v>0.5244280150649604</v>
      </c>
      <c r="Q182" s="140">
        <f t="shared" si="189"/>
        <v>0.49852956948357746</v>
      </c>
      <c r="R182" s="140">
        <f t="shared" si="189"/>
        <v>0.49650345991238193</v>
      </c>
      <c r="S182" s="140">
        <f t="shared" si="189"/>
        <v>0.50315347142821309</v>
      </c>
      <c r="T182" s="140">
        <f t="shared" si="189"/>
        <v>0.49191651388572932</v>
      </c>
      <c r="U182" s="140">
        <f t="shared" si="189"/>
        <v>0.48595810831881914</v>
      </c>
      <c r="V182" s="140">
        <f t="shared" si="189"/>
        <v>0.43740846563294361</v>
      </c>
      <c r="W182" s="140">
        <f t="shared" si="189"/>
        <v>0.43330057729168603</v>
      </c>
      <c r="X182" s="140">
        <f t="shared" ref="X182:Y182" si="190">IF(X90=0,0,X90/X$89)</f>
        <v>0.49786234992684697</v>
      </c>
      <c r="Y182" s="140">
        <f t="shared" si="190"/>
        <v>0.48485085042897597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0.50659759660749759</v>
      </c>
      <c r="C183" s="127">
        <f t="shared" ref="C183:W183" si="191">IF(C91=0,0,C91/C$89)</f>
        <v>0.50720086035116929</v>
      </c>
      <c r="D183" s="127">
        <f t="shared" si="191"/>
        <v>0.49903168951479632</v>
      </c>
      <c r="E183" s="127">
        <f t="shared" si="191"/>
        <v>0.51989582043038074</v>
      </c>
      <c r="F183" s="127">
        <f t="shared" si="191"/>
        <v>0.48664534837712758</v>
      </c>
      <c r="G183" s="127">
        <f t="shared" si="191"/>
        <v>0.47836171571888081</v>
      </c>
      <c r="H183" s="127">
        <f t="shared" si="191"/>
        <v>0.52601183936111884</v>
      </c>
      <c r="I183" s="127">
        <f t="shared" si="191"/>
        <v>0.51219985218185671</v>
      </c>
      <c r="J183" s="127">
        <f t="shared" si="191"/>
        <v>0.50833323624675908</v>
      </c>
      <c r="K183" s="127">
        <f t="shared" si="191"/>
        <v>0.50830381245687106</v>
      </c>
      <c r="L183" s="127">
        <f t="shared" si="191"/>
        <v>0.48230835634126551</v>
      </c>
      <c r="M183" s="127">
        <f t="shared" si="191"/>
        <v>0.52548845212254502</v>
      </c>
      <c r="N183" s="127">
        <f t="shared" si="191"/>
        <v>0.47625176830803484</v>
      </c>
      <c r="O183" s="127">
        <f t="shared" si="191"/>
        <v>0.44897015726050837</v>
      </c>
      <c r="P183" s="127">
        <f t="shared" si="191"/>
        <v>0.4755719849350396</v>
      </c>
      <c r="Q183" s="127">
        <f t="shared" si="191"/>
        <v>0.50147043051642259</v>
      </c>
      <c r="R183" s="127">
        <f t="shared" si="191"/>
        <v>0.50349654008761824</v>
      </c>
      <c r="S183" s="127">
        <f t="shared" si="191"/>
        <v>0.49684652857178696</v>
      </c>
      <c r="T183" s="127">
        <f t="shared" si="191"/>
        <v>0.50808348611427068</v>
      </c>
      <c r="U183" s="127">
        <f t="shared" si="191"/>
        <v>0.51404189168118097</v>
      </c>
      <c r="V183" s="127">
        <f t="shared" si="191"/>
        <v>0.56259153436705645</v>
      </c>
      <c r="W183" s="127">
        <f t="shared" si="191"/>
        <v>0.56669942270831386</v>
      </c>
      <c r="X183" s="127">
        <f t="shared" ref="X183:Y183" si="192">IF(X91=0,0,X91/X$89)</f>
        <v>0.50213765007315303</v>
      </c>
      <c r="Y183" s="127">
        <f t="shared" si="192"/>
        <v>0.51514914957102398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40.802131521928921</v>
      </c>
      <c r="C186" s="32">
        <f t="shared" si="193"/>
        <v>40.657999993498706</v>
      </c>
      <c r="D186" s="32">
        <f t="shared" si="193"/>
        <v>39.684411362672705</v>
      </c>
      <c r="E186" s="32">
        <f t="shared" si="193"/>
        <v>40.627022031034315</v>
      </c>
      <c r="F186" s="32">
        <f t="shared" si="193"/>
        <v>40.583899497935015</v>
      </c>
      <c r="G186" s="32">
        <f t="shared" si="193"/>
        <v>40.972492626956644</v>
      </c>
      <c r="H186" s="32">
        <f t="shared" si="193"/>
        <v>41.266072326370619</v>
      </c>
      <c r="I186" s="32">
        <f t="shared" si="193"/>
        <v>42.445872044255317</v>
      </c>
      <c r="J186" s="32">
        <f t="shared" si="193"/>
        <v>41.529107619245309</v>
      </c>
      <c r="K186" s="32">
        <f t="shared" si="193"/>
        <v>40.541589917158063</v>
      </c>
      <c r="L186" s="32">
        <f t="shared" si="193"/>
        <v>39.909515838039461</v>
      </c>
      <c r="M186" s="32">
        <f t="shared" si="193"/>
        <v>40.150673173643348</v>
      </c>
      <c r="N186" s="32">
        <f t="shared" si="193"/>
        <v>38.120004635108913</v>
      </c>
      <c r="O186" s="32">
        <f t="shared" si="193"/>
        <v>37.291713723064767</v>
      </c>
      <c r="P186" s="32">
        <f t="shared" si="193"/>
        <v>37.167812016930512</v>
      </c>
      <c r="Q186" s="32">
        <f t="shared" si="193"/>
        <v>37.765324270210265</v>
      </c>
      <c r="R186" s="32">
        <f t="shared" si="193"/>
        <v>36.671432063590061</v>
      </c>
      <c r="S186" s="32">
        <f t="shared" si="193"/>
        <v>35.948538416803515</v>
      </c>
      <c r="T186" s="32">
        <f t="shared" si="193"/>
        <v>36.025503806431132</v>
      </c>
      <c r="U186" s="32">
        <f t="shared" si="193"/>
        <v>35.601048190712739</v>
      </c>
      <c r="V186" s="32">
        <f t="shared" si="193"/>
        <v>38.456706478510426</v>
      </c>
      <c r="W186" s="32">
        <f t="shared" si="193"/>
        <v>37.99514291247251</v>
      </c>
      <c r="X186" s="32">
        <f t="shared" si="193"/>
        <v>33.273388587103028</v>
      </c>
      <c r="Y186" s="32">
        <f t="shared" si="193"/>
        <v>32.08921351789283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40.903418172198933</v>
      </c>
      <c r="C187" s="141">
        <f t="shared" si="194"/>
        <v>41.094397074168519</v>
      </c>
      <c r="D187" s="141">
        <f t="shared" si="194"/>
        <v>41.676995075233471</v>
      </c>
      <c r="E187" s="141">
        <f t="shared" si="194"/>
        <v>42.270429727927272</v>
      </c>
      <c r="F187" s="141">
        <f t="shared" si="194"/>
        <v>41.850464928169274</v>
      </c>
      <c r="G187" s="141">
        <f t="shared" si="194"/>
        <v>42.595314084519991</v>
      </c>
      <c r="H187" s="141">
        <f t="shared" si="194"/>
        <v>43.210803578540947</v>
      </c>
      <c r="I187" s="141">
        <f t="shared" si="194"/>
        <v>44.4198592061203</v>
      </c>
      <c r="J187" s="141">
        <f t="shared" si="194"/>
        <v>43.679251158952326</v>
      </c>
      <c r="K187" s="141">
        <f t="shared" si="194"/>
        <v>42.906707066227078</v>
      </c>
      <c r="L187" s="141">
        <f t="shared" si="194"/>
        <v>42.887723687173711</v>
      </c>
      <c r="M187" s="141">
        <f t="shared" si="194"/>
        <v>43.153715277537508</v>
      </c>
      <c r="N187" s="141">
        <f t="shared" si="194"/>
        <v>41.094569664338906</v>
      </c>
      <c r="O187" s="141">
        <f t="shared" si="194"/>
        <v>40.594237414339574</v>
      </c>
      <c r="P187" s="141">
        <f t="shared" si="194"/>
        <v>40.198566979188875</v>
      </c>
      <c r="Q187" s="141">
        <f t="shared" si="194"/>
        <v>41.485978548676087</v>
      </c>
      <c r="R187" s="141">
        <f t="shared" si="194"/>
        <v>39.643532243394887</v>
      </c>
      <c r="S187" s="141">
        <f t="shared" si="194"/>
        <v>38.689410558252213</v>
      </c>
      <c r="T187" s="141">
        <f t="shared" si="194"/>
        <v>38.889733203182871</v>
      </c>
      <c r="U187" s="141">
        <f t="shared" si="194"/>
        <v>37.807583895833076</v>
      </c>
      <c r="V187" s="141">
        <f t="shared" si="194"/>
        <v>38.840253085836416</v>
      </c>
      <c r="W187" s="141">
        <f t="shared" si="194"/>
        <v>38.117789363385427</v>
      </c>
      <c r="X187" s="141">
        <f t="shared" si="194"/>
        <v>35.307760797262929</v>
      </c>
      <c r="Y187" s="141">
        <f t="shared" si="194"/>
        <v>34.721846908807251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38.225483110294206</v>
      </c>
      <c r="C188" s="97">
        <f t="shared" si="195"/>
        <v>37.905885679073577</v>
      </c>
      <c r="D188" s="97">
        <f t="shared" si="195"/>
        <v>37.674466014044924</v>
      </c>
      <c r="E188" s="97">
        <f t="shared" si="195"/>
        <v>37.442837507963873</v>
      </c>
      <c r="F188" s="97">
        <f t="shared" si="195"/>
        <v>37.016459894600317</v>
      </c>
      <c r="G188" s="97">
        <f t="shared" si="195"/>
        <v>36.388895812389954</v>
      </c>
      <c r="H188" s="97">
        <f t="shared" si="195"/>
        <v>35.787108207832809</v>
      </c>
      <c r="I188" s="97">
        <f t="shared" si="195"/>
        <v>35.200473449383679</v>
      </c>
      <c r="J188" s="97">
        <f t="shared" si="195"/>
        <v>35.069824121215298</v>
      </c>
      <c r="K188" s="97">
        <f t="shared" si="195"/>
        <v>34.953311335855759</v>
      </c>
      <c r="L188" s="97">
        <f t="shared" si="195"/>
        <v>34.578034780046892</v>
      </c>
      <c r="M188" s="97">
        <f t="shared" si="195"/>
        <v>34.05770988264851</v>
      </c>
      <c r="N188" s="97">
        <f t="shared" si="195"/>
        <v>34.162315284595024</v>
      </c>
      <c r="O188" s="97">
        <f t="shared" si="195"/>
        <v>33.830280597257939</v>
      </c>
      <c r="P188" s="97">
        <f t="shared" si="195"/>
        <v>33.588875381868384</v>
      </c>
      <c r="Q188" s="97">
        <f t="shared" si="195"/>
        <v>33.302792403199042</v>
      </c>
      <c r="R188" s="97">
        <f t="shared" si="195"/>
        <v>33.144206415673118</v>
      </c>
      <c r="S188" s="97">
        <f t="shared" si="195"/>
        <v>33.249446031054504</v>
      </c>
      <c r="T188" s="97">
        <f t="shared" si="195"/>
        <v>33.00246801572569</v>
      </c>
      <c r="U188" s="97">
        <f t="shared" si="195"/>
        <v>32.617062054475099</v>
      </c>
      <c r="V188" s="97">
        <f t="shared" si="195"/>
        <v>32.404334623211206</v>
      </c>
      <c r="W188" s="97">
        <f t="shared" si="195"/>
        <v>32.143608916055477</v>
      </c>
      <c r="X188" s="97">
        <f t="shared" si="195"/>
        <v>31.940617463313746</v>
      </c>
      <c r="Y188" s="97">
        <f t="shared" si="195"/>
        <v>31.729203652065184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40.140219689445289</v>
      </c>
      <c r="C189" s="97">
        <f t="shared" si="196"/>
        <v>40.470704988999302</v>
      </c>
      <c r="D189" s="97">
        <f t="shared" si="196"/>
        <v>41.285561011951287</v>
      </c>
      <c r="E189" s="97">
        <f t="shared" si="196"/>
        <v>41.875080900297142</v>
      </c>
      <c r="F189" s="97">
        <f t="shared" si="196"/>
        <v>41.537378428212818</v>
      </c>
      <c r="G189" s="97">
        <f t="shared" si="196"/>
        <v>42.235124149231936</v>
      </c>
      <c r="H189" s="97">
        <f t="shared" si="196"/>
        <v>42.813137633602715</v>
      </c>
      <c r="I189" s="97">
        <f t="shared" si="196"/>
        <v>44.120602578261177</v>
      </c>
      <c r="J189" s="97">
        <f t="shared" si="196"/>
        <v>43.094314310310097</v>
      </c>
      <c r="K189" s="97">
        <f t="shared" si="196"/>
        <v>42.106779874453096</v>
      </c>
      <c r="L189" s="97">
        <f t="shared" si="196"/>
        <v>42.017703163378798</v>
      </c>
      <c r="M189" s="97">
        <f t="shared" si="196"/>
        <v>42.379395296679469</v>
      </c>
      <c r="N189" s="97">
        <f t="shared" si="196"/>
        <v>40.246089398996283</v>
      </c>
      <c r="O189" s="97">
        <f t="shared" si="196"/>
        <v>39.924488612896688</v>
      </c>
      <c r="P189" s="97">
        <f t="shared" si="196"/>
        <v>39.357024977088223</v>
      </c>
      <c r="Q189" s="97">
        <f t="shared" si="196"/>
        <v>40.925145418453511</v>
      </c>
      <c r="R189" s="97">
        <f t="shared" si="196"/>
        <v>38.81872087470007</v>
      </c>
      <c r="S189" s="97">
        <f t="shared" si="196"/>
        <v>37.648550046822955</v>
      </c>
      <c r="T189" s="97">
        <f t="shared" si="196"/>
        <v>37.798095082436546</v>
      </c>
      <c r="U189" s="97">
        <f t="shared" si="196"/>
        <v>36.659090477465917</v>
      </c>
      <c r="V189" s="97">
        <f t="shared" si="196"/>
        <v>36.173526701728285</v>
      </c>
      <c r="W189" s="97">
        <f t="shared" si="196"/>
        <v>35.715755381266618</v>
      </c>
      <c r="X189" s="97">
        <f t="shared" si="196"/>
        <v>34.681287538307828</v>
      </c>
      <c r="Y189" s="97">
        <f t="shared" si="196"/>
        <v>33.944206122192959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46.334049474017476</v>
      </c>
      <c r="C190" s="97">
        <f t="shared" si="197"/>
        <v>45.570422415829185</v>
      </c>
      <c r="D190" s="97">
        <f t="shared" si="197"/>
        <v>44.665211160729804</v>
      </c>
      <c r="E190" s="97">
        <f t="shared" si="197"/>
        <v>45.381224806332682</v>
      </c>
      <c r="F190" s="97">
        <f t="shared" si="197"/>
        <v>44.426458284489868</v>
      </c>
      <c r="G190" s="97">
        <f t="shared" si="197"/>
        <v>45.64230155354128</v>
      </c>
      <c r="H190" s="97">
        <f t="shared" si="197"/>
        <v>46.710321783919809</v>
      </c>
      <c r="I190" s="97">
        <f t="shared" si="197"/>
        <v>47.596954783255846</v>
      </c>
      <c r="J190" s="97">
        <f t="shared" si="197"/>
        <v>49.056039840663274</v>
      </c>
      <c r="K190" s="97">
        <f t="shared" si="197"/>
        <v>49.86823317653306</v>
      </c>
      <c r="L190" s="97">
        <f t="shared" si="197"/>
        <v>50.317634978458912</v>
      </c>
      <c r="M190" s="97">
        <f t="shared" si="197"/>
        <v>50.227914445615532</v>
      </c>
      <c r="N190" s="97">
        <f t="shared" si="197"/>
        <v>48.737567019888616</v>
      </c>
      <c r="O190" s="97">
        <f t="shared" si="197"/>
        <v>46.797741313735038</v>
      </c>
      <c r="P190" s="97">
        <f t="shared" si="197"/>
        <v>47.891750131559462</v>
      </c>
      <c r="Q190" s="97">
        <f t="shared" si="197"/>
        <v>46.988712365668732</v>
      </c>
      <c r="R190" s="97">
        <f t="shared" si="197"/>
        <v>47.186792358723956</v>
      </c>
      <c r="S190" s="97">
        <f t="shared" si="197"/>
        <v>47.748980240127963</v>
      </c>
      <c r="T190" s="97">
        <f t="shared" si="197"/>
        <v>48.816268262332507</v>
      </c>
      <c r="U190" s="97">
        <f t="shared" si="197"/>
        <v>48.702575437967852</v>
      </c>
      <c r="V190" s="97">
        <f t="shared" si="197"/>
        <v>73.586557120015598</v>
      </c>
      <c r="W190" s="97">
        <f t="shared" si="197"/>
        <v>68.65315284275863</v>
      </c>
      <c r="X190" s="97">
        <f t="shared" si="197"/>
        <v>40.20161121545955</v>
      </c>
      <c r="Y190" s="97">
        <f t="shared" si="197"/>
        <v>41.160356236061482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16.231123520131817</v>
      </c>
      <c r="C191" s="130">
        <f t="shared" si="198"/>
        <v>14.921398696765079</v>
      </c>
      <c r="D191" s="130">
        <f t="shared" si="198"/>
        <v>15.302427457775119</v>
      </c>
      <c r="E191" s="130">
        <f t="shared" si="198"/>
        <v>15.174029470706058</v>
      </c>
      <c r="F191" s="130">
        <f t="shared" si="198"/>
        <v>14.519327320829523</v>
      </c>
      <c r="G191" s="130">
        <f t="shared" si="198"/>
        <v>15.41676256470414</v>
      </c>
      <c r="H191" s="130">
        <f t="shared" si="198"/>
        <v>15.087016506000554</v>
      </c>
      <c r="I191" s="130">
        <f t="shared" si="198"/>
        <v>14.787295634531722</v>
      </c>
      <c r="J191" s="130">
        <f t="shared" si="198"/>
        <v>15.151988346820067</v>
      </c>
      <c r="K191" s="130">
        <f t="shared" si="198"/>
        <v>15.524572047408654</v>
      </c>
      <c r="L191" s="130">
        <f t="shared" si="198"/>
        <v>15.368730267437307</v>
      </c>
      <c r="M191" s="130">
        <f t="shared" si="198"/>
        <v>15.189068662022089</v>
      </c>
      <c r="N191" s="130">
        <f t="shared" si="198"/>
        <v>15.051707712189939</v>
      </c>
      <c r="O191" s="130">
        <f t="shared" si="198"/>
        <v>14.763804873179392</v>
      </c>
      <c r="P191" s="130">
        <f t="shared" si="198"/>
        <v>15.038719332267023</v>
      </c>
      <c r="Q191" s="130">
        <f t="shared" si="198"/>
        <v>14.774265640408696</v>
      </c>
      <c r="R191" s="130">
        <f t="shared" si="198"/>
        <v>15.514217191350806</v>
      </c>
      <c r="S191" s="130">
        <f t="shared" si="198"/>
        <v>15.182322586882615</v>
      </c>
      <c r="T191" s="130">
        <f t="shared" si="198"/>
        <v>14.441893251355506</v>
      </c>
      <c r="U191" s="130">
        <f t="shared" si="198"/>
        <v>14.58966619433356</v>
      </c>
      <c r="V191" s="130">
        <f t="shared" si="198"/>
        <v>21.446431766220936</v>
      </c>
      <c r="W191" s="130">
        <f t="shared" si="198"/>
        <v>20.072523970796201</v>
      </c>
      <c r="X191" s="130">
        <f t="shared" si="198"/>
        <v>14.686227135924844</v>
      </c>
      <c r="Y191" s="130">
        <f t="shared" si="198"/>
        <v>13.8609383969421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0</v>
      </c>
      <c r="C192" s="97">
        <f t="shared" si="199"/>
        <v>0</v>
      </c>
      <c r="D192" s="97">
        <f t="shared" si="199"/>
        <v>4.5513158588455092</v>
      </c>
      <c r="E192" s="97">
        <f t="shared" si="199"/>
        <v>4.6638442372853532</v>
      </c>
      <c r="F192" s="97">
        <f t="shared" si="199"/>
        <v>4.6383731345919186</v>
      </c>
      <c r="G192" s="97">
        <f t="shared" si="199"/>
        <v>4.6661985742343495</v>
      </c>
      <c r="H192" s="97">
        <f t="shared" si="199"/>
        <v>4.6379305541182907</v>
      </c>
      <c r="I192" s="97">
        <f t="shared" si="199"/>
        <v>4.5802370042045553</v>
      </c>
      <c r="J192" s="97">
        <f t="shared" si="199"/>
        <v>4.5736427001297981</v>
      </c>
      <c r="K192" s="97">
        <f t="shared" si="199"/>
        <v>4.5728244292499785</v>
      </c>
      <c r="L192" s="97">
        <f t="shared" si="199"/>
        <v>4.5260868929245026</v>
      </c>
      <c r="M192" s="97">
        <f t="shared" si="199"/>
        <v>4.5069397550020049</v>
      </c>
      <c r="N192" s="97">
        <f t="shared" si="199"/>
        <v>4.4483166390646289</v>
      </c>
      <c r="O192" s="97">
        <f t="shared" si="199"/>
        <v>4.4352569678839284</v>
      </c>
      <c r="P192" s="97">
        <f t="shared" si="199"/>
        <v>4.417786031006723</v>
      </c>
      <c r="Q192" s="97">
        <f t="shared" si="199"/>
        <v>4.375726842108314</v>
      </c>
      <c r="R192" s="97">
        <f t="shared" si="199"/>
        <v>4.3742619248855448</v>
      </c>
      <c r="S192" s="97">
        <f t="shared" si="199"/>
        <v>4.3454977391680529</v>
      </c>
      <c r="T192" s="97">
        <f t="shared" si="199"/>
        <v>4.3492351620528007</v>
      </c>
      <c r="U192" s="97">
        <f t="shared" si="199"/>
        <v>4.3653060453112014</v>
      </c>
      <c r="V192" s="97">
        <f t="shared" si="199"/>
        <v>5.6033130723570324</v>
      </c>
      <c r="W192" s="97">
        <f t="shared" si="199"/>
        <v>5.4165533385214113</v>
      </c>
      <c r="X192" s="97">
        <f t="shared" si="199"/>
        <v>4.5320783827994902</v>
      </c>
      <c r="Y192" s="97">
        <f t="shared" si="199"/>
        <v>4.1152194989136222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16.231123520131817</v>
      </c>
      <c r="C193" s="97">
        <f t="shared" si="200"/>
        <v>14.921398696765079</v>
      </c>
      <c r="D193" s="97">
        <f t="shared" si="200"/>
        <v>15.31926993025386</v>
      </c>
      <c r="E193" s="97">
        <f t="shared" si="200"/>
        <v>15.294898404904341</v>
      </c>
      <c r="F193" s="97">
        <f t="shared" si="200"/>
        <v>14.732035382692693</v>
      </c>
      <c r="G193" s="97">
        <f t="shared" si="200"/>
        <v>15.708291082691437</v>
      </c>
      <c r="H193" s="97">
        <f t="shared" si="200"/>
        <v>15.367482970175461</v>
      </c>
      <c r="I193" s="97">
        <f t="shared" si="200"/>
        <v>15.079823059656059</v>
      </c>
      <c r="J193" s="97">
        <f t="shared" si="200"/>
        <v>15.480456085849465</v>
      </c>
      <c r="K193" s="97">
        <f t="shared" si="200"/>
        <v>15.907313552269528</v>
      </c>
      <c r="L193" s="97">
        <f t="shared" si="200"/>
        <v>15.777596118890218</v>
      </c>
      <c r="M193" s="97">
        <f t="shared" si="200"/>
        <v>15.655625117034122</v>
      </c>
      <c r="N193" s="97">
        <f t="shared" si="200"/>
        <v>15.497515469445784</v>
      </c>
      <c r="O193" s="97">
        <f t="shared" si="200"/>
        <v>15.211569734285163</v>
      </c>
      <c r="P193" s="97">
        <f t="shared" si="200"/>
        <v>15.519784175483942</v>
      </c>
      <c r="Q193" s="97">
        <f t="shared" si="200"/>
        <v>15.256878014327048</v>
      </c>
      <c r="R193" s="97">
        <f t="shared" si="200"/>
        <v>16.078955921694352</v>
      </c>
      <c r="S193" s="97">
        <f t="shared" si="200"/>
        <v>15.770755273677308</v>
      </c>
      <c r="T193" s="97">
        <f t="shared" si="200"/>
        <v>15.016564174589822</v>
      </c>
      <c r="U193" s="97">
        <f t="shared" si="200"/>
        <v>15.25208019815749</v>
      </c>
      <c r="V193" s="97">
        <f t="shared" si="200"/>
        <v>22.608528543511966</v>
      </c>
      <c r="W193" s="97">
        <f t="shared" si="200"/>
        <v>21.232802918244889</v>
      </c>
      <c r="X193" s="97">
        <f t="shared" si="200"/>
        <v>15.526883216138932</v>
      </c>
      <c r="Y193" s="97">
        <f t="shared" si="200"/>
        <v>14.731928694743022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48.460358723284315</v>
      </c>
      <c r="C195" s="130">
        <f t="shared" si="202"/>
        <v>47.60913654191431</v>
      </c>
      <c r="D195" s="130">
        <f t="shared" si="202"/>
        <v>41.162989198202133</v>
      </c>
      <c r="E195" s="130">
        <f t="shared" si="202"/>
        <v>43.863445045740121</v>
      </c>
      <c r="F195" s="130">
        <f t="shared" si="202"/>
        <v>45.059371226587857</v>
      </c>
      <c r="G195" s="130">
        <f t="shared" si="202"/>
        <v>44.111475873507366</v>
      </c>
      <c r="H195" s="130">
        <f t="shared" si="202"/>
        <v>43.848299540896917</v>
      </c>
      <c r="I195" s="130">
        <f t="shared" si="202"/>
        <v>45.435117676810059</v>
      </c>
      <c r="J195" s="130">
        <f t="shared" si="202"/>
        <v>43.770235615010378</v>
      </c>
      <c r="K195" s="130">
        <f t="shared" si="202"/>
        <v>41.566854862192692</v>
      </c>
      <c r="L195" s="130">
        <f t="shared" si="202"/>
        <v>39.181629315355373</v>
      </c>
      <c r="M195" s="130">
        <f t="shared" si="202"/>
        <v>39.419369518609358</v>
      </c>
      <c r="N195" s="130">
        <f t="shared" si="202"/>
        <v>37.161674841736641</v>
      </c>
      <c r="O195" s="130">
        <f t="shared" si="202"/>
        <v>35.383486221955273</v>
      </c>
      <c r="P195" s="130">
        <f t="shared" si="202"/>
        <v>35.702146483687919</v>
      </c>
      <c r="Q195" s="130">
        <f t="shared" si="202"/>
        <v>34.464063340994834</v>
      </c>
      <c r="R195" s="130">
        <f t="shared" si="202"/>
        <v>34.553945347544477</v>
      </c>
      <c r="S195" s="130">
        <f t="shared" si="202"/>
        <v>34.22383852567345</v>
      </c>
      <c r="T195" s="130">
        <f t="shared" si="202"/>
        <v>34.147112946552561</v>
      </c>
      <c r="U195" s="130">
        <f t="shared" si="202"/>
        <v>35.030086768152877</v>
      </c>
      <c r="V195" s="130">
        <f t="shared" si="202"/>
        <v>45.202094371291473</v>
      </c>
      <c r="W195" s="130">
        <f t="shared" si="202"/>
        <v>46.158985590709655</v>
      </c>
      <c r="X195" s="130">
        <f t="shared" si="202"/>
        <v>32.192613722248794</v>
      </c>
      <c r="Y195" s="130">
        <f t="shared" si="202"/>
        <v>29.6929068325875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159.6335569251579</v>
      </c>
      <c r="C196" s="97">
        <f t="shared" si="203"/>
        <v>158.75970066535862</v>
      </c>
      <c r="D196" s="97">
        <f t="shared" si="203"/>
        <v>145.22167232792222</v>
      </c>
      <c r="E196" s="97">
        <f t="shared" si="203"/>
        <v>130.30763702327422</v>
      </c>
      <c r="F196" s="97">
        <f t="shared" si="203"/>
        <v>86.889212155063603</v>
      </c>
      <c r="G196" s="97">
        <f t="shared" si="203"/>
        <v>92.034450997891909</v>
      </c>
      <c r="H196" s="97">
        <f t="shared" si="203"/>
        <v>89.841270669078654</v>
      </c>
      <c r="I196" s="97">
        <f t="shared" si="203"/>
        <v>95.070446088841422</v>
      </c>
      <c r="J196" s="97">
        <f t="shared" si="203"/>
        <v>96.925804289810742</v>
      </c>
      <c r="K196" s="97">
        <f t="shared" si="203"/>
        <v>95.74547393734214</v>
      </c>
      <c r="L196" s="97">
        <f t="shared" si="203"/>
        <v>82.86765776925084</v>
      </c>
      <c r="M196" s="97">
        <f t="shared" si="203"/>
        <v>85.901389462610439</v>
      </c>
      <c r="N196" s="97">
        <f t="shared" si="203"/>
        <v>94.690422470543822</v>
      </c>
      <c r="O196" s="97">
        <f t="shared" si="203"/>
        <v>91.514083793960296</v>
      </c>
      <c r="P196" s="97">
        <f t="shared" si="203"/>
        <v>86.090889102185002</v>
      </c>
      <c r="Q196" s="97">
        <f t="shared" si="203"/>
        <v>81.878096808106406</v>
      </c>
      <c r="R196" s="97">
        <f t="shared" si="203"/>
        <v>80.114779927705754</v>
      </c>
      <c r="S196" s="97">
        <f t="shared" si="203"/>
        <v>79.147166630925128</v>
      </c>
      <c r="T196" s="97">
        <f t="shared" si="203"/>
        <v>75.74287582651948</v>
      </c>
      <c r="U196" s="97">
        <f t="shared" si="203"/>
        <v>80.698957348242814</v>
      </c>
      <c r="V196" s="97">
        <f t="shared" si="203"/>
        <v>103.14438765731718</v>
      </c>
      <c r="W196" s="97">
        <f t="shared" si="203"/>
        <v>78.986192291451971</v>
      </c>
      <c r="X196" s="97">
        <f t="shared" si="203"/>
        <v>72.83570116238478</v>
      </c>
      <c r="Y196" s="97">
        <f t="shared" si="203"/>
        <v>73.42806074195552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44.435714276497244</v>
      </c>
      <c r="C197" s="97">
        <f t="shared" si="204"/>
        <v>43.493576102335204</v>
      </c>
      <c r="D197" s="97">
        <f t="shared" si="204"/>
        <v>39.289646626535337</v>
      </c>
      <c r="E197" s="97">
        <f t="shared" si="204"/>
        <v>42.502882143985374</v>
      </c>
      <c r="F197" s="97">
        <f t="shared" si="204"/>
        <v>44.405740505332517</v>
      </c>
      <c r="G197" s="97">
        <f t="shared" si="204"/>
        <v>44.477989226761906</v>
      </c>
      <c r="H197" s="97">
        <f t="shared" si="204"/>
        <v>43.807630471718227</v>
      </c>
      <c r="I197" s="97">
        <f t="shared" si="204"/>
        <v>45.396515846987739</v>
      </c>
      <c r="J197" s="97">
        <f t="shared" si="204"/>
        <v>44.263716816363178</v>
      </c>
      <c r="K197" s="97">
        <f t="shared" si="204"/>
        <v>40.776084058073593</v>
      </c>
      <c r="L197" s="97">
        <f t="shared" si="204"/>
        <v>39.034332726224605</v>
      </c>
      <c r="M197" s="97">
        <f t="shared" si="204"/>
        <v>38.277050978737208</v>
      </c>
      <c r="N197" s="97">
        <f t="shared" si="204"/>
        <v>37.061121046493419</v>
      </c>
      <c r="O197" s="97">
        <f t="shared" si="204"/>
        <v>35.160372238175484</v>
      </c>
      <c r="P197" s="97">
        <f t="shared" si="204"/>
        <v>36.669418867528321</v>
      </c>
      <c r="Q197" s="97">
        <f t="shared" si="204"/>
        <v>35.562722487787426</v>
      </c>
      <c r="R197" s="97">
        <f t="shared" si="204"/>
        <v>35.349174035988717</v>
      </c>
      <c r="S197" s="97">
        <f t="shared" si="204"/>
        <v>35.172614081112989</v>
      </c>
      <c r="T197" s="97">
        <f t="shared" si="204"/>
        <v>35.871430218665132</v>
      </c>
      <c r="U197" s="97">
        <f t="shared" si="204"/>
        <v>37.195812467558042</v>
      </c>
      <c r="V197" s="97">
        <f t="shared" si="204"/>
        <v>39.456692998768801</v>
      </c>
      <c r="W197" s="97">
        <f t="shared" si="204"/>
        <v>36.538105938822213</v>
      </c>
      <c r="X197" s="97">
        <f t="shared" si="204"/>
        <v>31.3862585663719</v>
      </c>
      <c r="Y197" s="97">
        <f t="shared" si="204"/>
        <v>30.492998985767354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49.987541049742788</v>
      </c>
      <c r="C198" s="97">
        <f t="shared" si="205"/>
        <v>49.353047666404855</v>
      </c>
      <c r="D198" s="97">
        <f t="shared" si="205"/>
        <v>39.942358033644489</v>
      </c>
      <c r="E198" s="97">
        <f t="shared" si="205"/>
        <v>42.099655684076104</v>
      </c>
      <c r="F198" s="97">
        <f t="shared" si="205"/>
        <v>43.952031617742811</v>
      </c>
      <c r="G198" s="97">
        <f t="shared" si="205"/>
        <v>41.489228075149548</v>
      </c>
      <c r="H198" s="97">
        <f t="shared" si="205"/>
        <v>41.675125969686476</v>
      </c>
      <c r="I198" s="97">
        <f t="shared" si="205"/>
        <v>42.775533234742241</v>
      </c>
      <c r="J198" s="97">
        <f t="shared" si="205"/>
        <v>40.093446448446628</v>
      </c>
      <c r="K198" s="97">
        <f t="shared" si="205"/>
        <v>39.363156514771063</v>
      </c>
      <c r="L198" s="97">
        <f t="shared" si="205"/>
        <v>36.537657755606226</v>
      </c>
      <c r="M198" s="97">
        <f t="shared" si="205"/>
        <v>38.177954509577916</v>
      </c>
      <c r="N198" s="97">
        <f t="shared" si="205"/>
        <v>34.842931808834471</v>
      </c>
      <c r="O198" s="97">
        <f t="shared" si="205"/>
        <v>33.361941718998288</v>
      </c>
      <c r="P198" s="97">
        <f t="shared" si="205"/>
        <v>32.556753381078472</v>
      </c>
      <c r="Q198" s="97">
        <f t="shared" si="205"/>
        <v>31.334380097991463</v>
      </c>
      <c r="R198" s="97">
        <f t="shared" si="205"/>
        <v>31.733253986859175</v>
      </c>
      <c r="S198" s="97">
        <f t="shared" si="205"/>
        <v>31.322262596190178</v>
      </c>
      <c r="T198" s="97">
        <f t="shared" si="205"/>
        <v>30.599409666257618</v>
      </c>
      <c r="U198" s="97">
        <f t="shared" si="205"/>
        <v>31.078496977453735</v>
      </c>
      <c r="V198" s="97">
        <f t="shared" si="205"/>
        <v>49.573753151323594</v>
      </c>
      <c r="W198" s="97">
        <f t="shared" si="205"/>
        <v>63.751971914710367</v>
      </c>
      <c r="X198" s="97">
        <f t="shared" si="205"/>
        <v>31.872101530554879</v>
      </c>
      <c r="Y198" s="97">
        <f t="shared" si="205"/>
        <v>27.357656741261728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75.22411230765934</v>
      </c>
      <c r="C199" s="32">
        <f t="shared" si="206"/>
        <v>76.062560751011105</v>
      </c>
      <c r="D199" s="32">
        <f t="shared" si="206"/>
        <v>77.312682727559491</v>
      </c>
      <c r="E199" s="32">
        <f t="shared" si="206"/>
        <v>80.879117087982578</v>
      </c>
      <c r="F199" s="32">
        <f t="shared" si="206"/>
        <v>82.673458560806552</v>
      </c>
      <c r="G199" s="32">
        <f t="shared" si="206"/>
        <v>82.529675814044623</v>
      </c>
      <c r="H199" s="32">
        <f t="shared" si="206"/>
        <v>81.051250660297413</v>
      </c>
      <c r="I199" s="32">
        <f t="shared" si="206"/>
        <v>80.677447424493963</v>
      </c>
      <c r="J199" s="32">
        <f t="shared" si="206"/>
        <v>78.384291444358283</v>
      </c>
      <c r="K199" s="32">
        <f t="shared" si="206"/>
        <v>78.095226500797267</v>
      </c>
      <c r="L199" s="32">
        <f t="shared" si="206"/>
        <v>73.093737384713592</v>
      </c>
      <c r="M199" s="32">
        <f t="shared" si="206"/>
        <v>65.748385066574272</v>
      </c>
      <c r="N199" s="32">
        <f t="shared" si="206"/>
        <v>61.146634654595537</v>
      </c>
      <c r="O199" s="32">
        <f t="shared" si="206"/>
        <v>58.255117661979646</v>
      </c>
      <c r="P199" s="32">
        <f t="shared" si="206"/>
        <v>57.510774418100446</v>
      </c>
      <c r="Q199" s="32">
        <f t="shared" si="206"/>
        <v>56.204208634492801</v>
      </c>
      <c r="R199" s="32">
        <f t="shared" si="206"/>
        <v>55.478639160651618</v>
      </c>
      <c r="S199" s="32">
        <f t="shared" si="206"/>
        <v>56.571878150254747</v>
      </c>
      <c r="T199" s="32">
        <f t="shared" si="206"/>
        <v>60.532045394382855</v>
      </c>
      <c r="U199" s="32">
        <f t="shared" si="206"/>
        <v>58.435768895679907</v>
      </c>
      <c r="V199" s="32">
        <f t="shared" si="206"/>
        <v>55.250901679028523</v>
      </c>
      <c r="W199" s="32">
        <f t="shared" si="206"/>
        <v>56.639033310194826</v>
      </c>
      <c r="X199" s="32">
        <f t="shared" si="206"/>
        <v>55.307869940000749</v>
      </c>
      <c r="Y199" s="32">
        <f t="shared" si="206"/>
        <v>54.903263774113576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80.6332074685442</v>
      </c>
      <c r="C200" s="141">
        <f t="shared" si="207"/>
        <v>83.1717837546216</v>
      </c>
      <c r="D200" s="141">
        <f t="shared" si="207"/>
        <v>81.460644041439167</v>
      </c>
      <c r="E200" s="141">
        <f t="shared" si="207"/>
        <v>87.59258805717559</v>
      </c>
      <c r="F200" s="141">
        <f t="shared" si="207"/>
        <v>91.889296913219468</v>
      </c>
      <c r="G200" s="141">
        <f t="shared" si="207"/>
        <v>89.268916458545419</v>
      </c>
      <c r="H200" s="141">
        <f t="shared" si="207"/>
        <v>88.855674350147737</v>
      </c>
      <c r="I200" s="141">
        <f t="shared" si="207"/>
        <v>89.40818401924281</v>
      </c>
      <c r="J200" s="141">
        <f t="shared" si="207"/>
        <v>82.824274722917409</v>
      </c>
      <c r="K200" s="141">
        <f t="shared" si="207"/>
        <v>81.676611294099885</v>
      </c>
      <c r="L200" s="141">
        <f t="shared" si="207"/>
        <v>79.78650811363346</v>
      </c>
      <c r="M200" s="141">
        <f t="shared" si="207"/>
        <v>71.979736163432008</v>
      </c>
      <c r="N200" s="141">
        <f t="shared" si="207"/>
        <v>65.802585817730645</v>
      </c>
      <c r="O200" s="141">
        <f t="shared" si="207"/>
        <v>61.349158440739444</v>
      </c>
      <c r="P200" s="141">
        <f t="shared" si="207"/>
        <v>61.934313718123633</v>
      </c>
      <c r="Q200" s="141">
        <f t="shared" si="207"/>
        <v>60.435409807254423</v>
      </c>
      <c r="R200" s="141">
        <f t="shared" si="207"/>
        <v>60.474119574052395</v>
      </c>
      <c r="S200" s="141">
        <f t="shared" si="207"/>
        <v>61.896982541993502</v>
      </c>
      <c r="T200" s="141">
        <f t="shared" si="207"/>
        <v>66.565236279519667</v>
      </c>
      <c r="U200" s="141">
        <f t="shared" si="207"/>
        <v>63.633544188176877</v>
      </c>
      <c r="V200" s="141">
        <f t="shared" si="207"/>
        <v>58.854437990141697</v>
      </c>
      <c r="W200" s="141">
        <f t="shared" si="207"/>
        <v>58.428647803813753</v>
      </c>
      <c r="X200" s="141">
        <f t="shared" si="207"/>
        <v>58.940429548856692</v>
      </c>
      <c r="Y200" s="141">
        <f t="shared" si="207"/>
        <v>57.784780773522385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620.91098909916559</v>
      </c>
      <c r="C201" s="97">
        <f t="shared" si="208"/>
        <v>600.43444073391197</v>
      </c>
      <c r="D201" s="97">
        <f t="shared" si="208"/>
        <v>573.90896041859446</v>
      </c>
      <c r="E201" s="97">
        <f t="shared" si="208"/>
        <v>552.43012216849058</v>
      </c>
      <c r="F201" s="97">
        <f t="shared" si="208"/>
        <v>533.92273460952424</v>
      </c>
      <c r="G201" s="97">
        <f t="shared" si="208"/>
        <v>515.17380892474716</v>
      </c>
      <c r="H201" s="97">
        <f t="shared" si="208"/>
        <v>501.30323809775376</v>
      </c>
      <c r="I201" s="97">
        <f t="shared" si="208"/>
        <v>492.83829095793487</v>
      </c>
      <c r="J201" s="97">
        <f t="shared" si="208"/>
        <v>482.68326269768573</v>
      </c>
      <c r="K201" s="97">
        <f t="shared" si="208"/>
        <v>472.13451055689836</v>
      </c>
      <c r="L201" s="97">
        <f t="shared" si="208"/>
        <v>469.94656461458732</v>
      </c>
      <c r="M201" s="97">
        <f t="shared" si="208"/>
        <v>467.62866100242292</v>
      </c>
      <c r="N201" s="97">
        <f t="shared" si="208"/>
        <v>464.45474410459866</v>
      </c>
      <c r="O201" s="97">
        <f t="shared" si="208"/>
        <v>461.92113360110284</v>
      </c>
      <c r="P201" s="97">
        <f t="shared" si="208"/>
        <v>455.27853839408567</v>
      </c>
      <c r="Q201" s="97">
        <f t="shared" si="208"/>
        <v>449.25227308459529</v>
      </c>
      <c r="R201" s="97">
        <f t="shared" si="208"/>
        <v>443.83121973174121</v>
      </c>
      <c r="S201" s="97">
        <f t="shared" si="208"/>
        <v>439.84853485170072</v>
      </c>
      <c r="T201" s="97">
        <f t="shared" si="208"/>
        <v>433.57705908284356</v>
      </c>
      <c r="U201" s="97">
        <f t="shared" si="208"/>
        <v>422.68340048289485</v>
      </c>
      <c r="V201" s="97">
        <f t="shared" si="208"/>
        <v>417.04826456608862</v>
      </c>
      <c r="W201" s="97">
        <f t="shared" si="208"/>
        <v>420.77126381354844</v>
      </c>
      <c r="X201" s="97">
        <f t="shared" si="208"/>
        <v>428.24040158776143</v>
      </c>
      <c r="Y201" s="97">
        <f t="shared" si="208"/>
        <v>432.84861729879827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48.795405816427888</v>
      </c>
      <c r="C202" s="97">
        <f t="shared" si="209"/>
        <v>50.744745651353469</v>
      </c>
      <c r="D202" s="97">
        <f t="shared" si="209"/>
        <v>50.00934838910301</v>
      </c>
      <c r="E202" s="97">
        <f t="shared" si="209"/>
        <v>55.576435467166995</v>
      </c>
      <c r="F202" s="97">
        <f t="shared" si="209"/>
        <v>58.572125911318217</v>
      </c>
      <c r="G202" s="97">
        <f t="shared" si="209"/>
        <v>55.765372198908437</v>
      </c>
      <c r="H202" s="97">
        <f t="shared" si="209"/>
        <v>54.430294790196861</v>
      </c>
      <c r="I202" s="97">
        <f t="shared" si="209"/>
        <v>53.539320974163182</v>
      </c>
      <c r="J202" s="97">
        <f t="shared" si="209"/>
        <v>47.920805027797783</v>
      </c>
      <c r="K202" s="97">
        <f t="shared" si="209"/>
        <v>45.57552721503351</v>
      </c>
      <c r="L202" s="97">
        <f t="shared" si="209"/>
        <v>45.485542858943134</v>
      </c>
      <c r="M202" s="97">
        <f t="shared" si="209"/>
        <v>42.280585241404452</v>
      </c>
      <c r="N202" s="97">
        <f t="shared" si="209"/>
        <v>38.165947629644762</v>
      </c>
      <c r="O202" s="97">
        <f t="shared" si="209"/>
        <v>35.906712219424122</v>
      </c>
      <c r="P202" s="97">
        <f t="shared" si="209"/>
        <v>38.008125932725576</v>
      </c>
      <c r="Q202" s="97">
        <f t="shared" si="209"/>
        <v>35.80677247578415</v>
      </c>
      <c r="R202" s="97">
        <f t="shared" si="209"/>
        <v>37.760586523402488</v>
      </c>
      <c r="S202" s="97">
        <f t="shared" si="209"/>
        <v>38.718685145026889</v>
      </c>
      <c r="T202" s="97">
        <f t="shared" si="209"/>
        <v>42.379280203998782</v>
      </c>
      <c r="U202" s="97">
        <f t="shared" si="209"/>
        <v>40.842436442475659</v>
      </c>
      <c r="V202" s="97">
        <f t="shared" si="209"/>
        <v>38.178082797530521</v>
      </c>
      <c r="W202" s="97">
        <f t="shared" si="209"/>
        <v>37.739179834511397</v>
      </c>
      <c r="X202" s="97">
        <f t="shared" si="209"/>
        <v>37.092635236734388</v>
      </c>
      <c r="Y202" s="97">
        <f t="shared" si="209"/>
        <v>36.411185144558928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6.6576125716939085</v>
      </c>
      <c r="C203" s="130">
        <f t="shared" si="210"/>
        <v>6.1638815572054124</v>
      </c>
      <c r="D203" s="130">
        <f t="shared" si="210"/>
        <v>6.1691971512231749</v>
      </c>
      <c r="E203" s="130">
        <f t="shared" si="210"/>
        <v>5.6942952430317924</v>
      </c>
      <c r="F203" s="130">
        <f t="shared" si="210"/>
        <v>5.5903541767199973</v>
      </c>
      <c r="G203" s="130">
        <f t="shared" si="210"/>
        <v>6.1222600362389832</v>
      </c>
      <c r="H203" s="130">
        <f t="shared" si="210"/>
        <v>5.8694616638518653</v>
      </c>
      <c r="I203" s="130">
        <f t="shared" si="210"/>
        <v>5.6759884231350108</v>
      </c>
      <c r="J203" s="130">
        <f t="shared" si="210"/>
        <v>5.8324730979944697</v>
      </c>
      <c r="K203" s="130">
        <f t="shared" si="210"/>
        <v>5.629165387352896</v>
      </c>
      <c r="L203" s="130">
        <f t="shared" si="210"/>
        <v>5.44340723718879</v>
      </c>
      <c r="M203" s="130">
        <f t="shared" si="210"/>
        <v>5.2810932827903221</v>
      </c>
      <c r="N203" s="130">
        <f t="shared" si="210"/>
        <v>5.029762781437217</v>
      </c>
      <c r="O203" s="130">
        <f t="shared" si="210"/>
        <v>4.8303235930735333</v>
      </c>
      <c r="P203" s="130">
        <f t="shared" si="210"/>
        <v>5.0184296372953563</v>
      </c>
      <c r="Q203" s="130">
        <f t="shared" si="210"/>
        <v>5.2564374828216556</v>
      </c>
      <c r="R203" s="130">
        <f t="shared" si="210"/>
        <v>5.5258501979917956</v>
      </c>
      <c r="S203" s="130">
        <f t="shared" si="210"/>
        <v>4.9831257150334203</v>
      </c>
      <c r="T203" s="130">
        <f t="shared" si="210"/>
        <v>4.8611242636897174</v>
      </c>
      <c r="U203" s="130">
        <f t="shared" si="210"/>
        <v>4.626649260420292</v>
      </c>
      <c r="V203" s="130">
        <f t="shared" si="210"/>
        <v>3.7347239161696115</v>
      </c>
      <c r="W203" s="130">
        <f t="shared" si="210"/>
        <v>3.9895838601516074</v>
      </c>
      <c r="X203" s="130">
        <f t="shared" si="210"/>
        <v>3.6949085842404976</v>
      </c>
      <c r="Y203" s="130">
        <f t="shared" si="210"/>
        <v>3.9244839320014511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155.91791385926285</v>
      </c>
      <c r="C204" s="130">
        <f t="shared" si="211"/>
        <v>147.3199599528555</v>
      </c>
      <c r="D204" s="130">
        <f t="shared" si="211"/>
        <v>148.48497321104963</v>
      </c>
      <c r="E204" s="130">
        <f t="shared" si="211"/>
        <v>152.53159145032623</v>
      </c>
      <c r="F204" s="130">
        <f t="shared" si="211"/>
        <v>170.43502843952635</v>
      </c>
      <c r="G204" s="130">
        <f t="shared" si="211"/>
        <v>185.66617040145525</v>
      </c>
      <c r="H204" s="130">
        <f t="shared" si="211"/>
        <v>226.8747680673998</v>
      </c>
      <c r="I204" s="130">
        <f t="shared" si="211"/>
        <v>237.41099271483381</v>
      </c>
      <c r="J204" s="130">
        <f t="shared" si="211"/>
        <v>152.41837069496162</v>
      </c>
      <c r="K204" s="130">
        <f t="shared" si="211"/>
        <v>131.14207854126016</v>
      </c>
      <c r="L204" s="130">
        <f t="shared" si="211"/>
        <v>121.1264668727711</v>
      </c>
      <c r="M204" s="130">
        <f t="shared" si="211"/>
        <v>114.44326056147085</v>
      </c>
      <c r="N204" s="130">
        <f t="shared" si="211"/>
        <v>97.981803734224826</v>
      </c>
      <c r="O204" s="130">
        <f t="shared" si="211"/>
        <v>96.014933274189275</v>
      </c>
      <c r="P204" s="130">
        <f t="shared" si="211"/>
        <v>86.281526367990551</v>
      </c>
      <c r="Q204" s="130">
        <f t="shared" si="211"/>
        <v>84.0347436990413</v>
      </c>
      <c r="R204" s="130">
        <f t="shared" si="211"/>
        <v>75.103066573385817</v>
      </c>
      <c r="S204" s="130">
        <f t="shared" si="211"/>
        <v>70.210962898692713</v>
      </c>
      <c r="T204" s="130">
        <f t="shared" si="211"/>
        <v>62.770728091920056</v>
      </c>
      <c r="U204" s="130">
        <f t="shared" si="211"/>
        <v>63.254172447303887</v>
      </c>
      <c r="V204" s="130">
        <f t="shared" si="211"/>
        <v>98.98551663674688</v>
      </c>
      <c r="W204" s="130">
        <f t="shared" si="211"/>
        <v>94.039375873799472</v>
      </c>
      <c r="X204" s="130">
        <f t="shared" si="211"/>
        <v>82.404236023631029</v>
      </c>
      <c r="Y204" s="130">
        <f t="shared" si="211"/>
        <v>77.379071682048689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637.34462029335054</v>
      </c>
      <c r="C205" s="97">
        <f t="shared" si="212"/>
        <v>641.46795355921051</v>
      </c>
      <c r="D205" s="97">
        <f t="shared" si="212"/>
        <v>502.84255770660781</v>
      </c>
      <c r="E205" s="97">
        <f t="shared" si="212"/>
        <v>387.1922227997527</v>
      </c>
      <c r="F205" s="97">
        <f t="shared" si="212"/>
        <v>254.78607164971217</v>
      </c>
      <c r="G205" s="97">
        <f t="shared" si="212"/>
        <v>293.49456388620484</v>
      </c>
      <c r="H205" s="97">
        <f t="shared" si="212"/>
        <v>362.03669893252754</v>
      </c>
      <c r="I205" s="97">
        <f t="shared" si="212"/>
        <v>473.40267400143455</v>
      </c>
      <c r="J205" s="97">
        <f t="shared" si="212"/>
        <v>557.54875349479767</v>
      </c>
      <c r="K205" s="97">
        <f t="shared" si="212"/>
        <v>699.46422227283688</v>
      </c>
      <c r="L205" s="97">
        <f t="shared" si="212"/>
        <v>808.55443433778862</v>
      </c>
      <c r="M205" s="97">
        <f t="shared" si="212"/>
        <v>789.9564695661079</v>
      </c>
      <c r="N205" s="97">
        <f t="shared" si="212"/>
        <v>971.74948335408317</v>
      </c>
      <c r="O205" s="97">
        <f t="shared" si="212"/>
        <v>800.1584875228765</v>
      </c>
      <c r="P205" s="97">
        <f t="shared" si="212"/>
        <v>617.03229356866757</v>
      </c>
      <c r="Q205" s="97">
        <f t="shared" si="212"/>
        <v>519.60606030399049</v>
      </c>
      <c r="R205" s="97">
        <f t="shared" si="212"/>
        <v>421.86387360448282</v>
      </c>
      <c r="S205" s="97">
        <f t="shared" si="212"/>
        <v>424.00091341069134</v>
      </c>
      <c r="T205" s="97">
        <f t="shared" si="212"/>
        <v>386.03870430789453</v>
      </c>
      <c r="U205" s="97">
        <f t="shared" si="212"/>
        <v>286.88370895798681</v>
      </c>
      <c r="V205" s="97">
        <f t="shared" si="212"/>
        <v>269.40636201801607</v>
      </c>
      <c r="W205" s="97">
        <f t="shared" si="212"/>
        <v>258.14538408262433</v>
      </c>
      <c r="X205" s="97">
        <f t="shared" si="212"/>
        <v>123.32560332150615</v>
      </c>
      <c r="Y205" s="97">
        <f t="shared" si="212"/>
        <v>303.62245674998485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161.52748366513308</v>
      </c>
      <c r="C206" s="97">
        <f t="shared" si="213"/>
        <v>152.96033028795193</v>
      </c>
      <c r="D206" s="97">
        <f t="shared" si="213"/>
        <v>157.32367845494952</v>
      </c>
      <c r="E206" s="97">
        <f t="shared" si="213"/>
        <v>163.35298095574149</v>
      </c>
      <c r="F206" s="97">
        <f t="shared" si="213"/>
        <v>185.36537972699844</v>
      </c>
      <c r="G206" s="97">
        <f t="shared" si="213"/>
        <v>195.08138304549138</v>
      </c>
      <c r="H206" s="97">
        <f t="shared" si="213"/>
        <v>233.71628503775128</v>
      </c>
      <c r="I206" s="97">
        <f t="shared" si="213"/>
        <v>245.94709269360854</v>
      </c>
      <c r="J206" s="97">
        <f t="shared" si="213"/>
        <v>241.74722662125652</v>
      </c>
      <c r="K206" s="97">
        <f t="shared" si="213"/>
        <v>218.52410141708714</v>
      </c>
      <c r="L206" s="97">
        <f t="shared" si="213"/>
        <v>205.67156491957277</v>
      </c>
      <c r="M206" s="97">
        <f t="shared" si="213"/>
        <v>198.67561665727519</v>
      </c>
      <c r="N206" s="97">
        <f t="shared" si="213"/>
        <v>181.78865923666078</v>
      </c>
      <c r="O206" s="97">
        <f t="shared" si="213"/>
        <v>176.89249103654024</v>
      </c>
      <c r="P206" s="97">
        <f t="shared" si="213"/>
        <v>180.13835341719607</v>
      </c>
      <c r="Q206" s="97">
        <f t="shared" si="213"/>
        <v>183.34730645151359</v>
      </c>
      <c r="R206" s="97">
        <f t="shared" si="213"/>
        <v>171.67717085988971</v>
      </c>
      <c r="S206" s="97">
        <f t="shared" si="213"/>
        <v>191.91309137591574</v>
      </c>
      <c r="T206" s="97">
        <f t="shared" si="213"/>
        <v>193.93535055321155</v>
      </c>
      <c r="U206" s="97">
        <f t="shared" si="213"/>
        <v>194.85303682030499</v>
      </c>
      <c r="V206" s="97">
        <f t="shared" si="213"/>
        <v>177.41290043999135</v>
      </c>
      <c r="W206" s="97">
        <f t="shared" si="213"/>
        <v>191.45341634101061</v>
      </c>
      <c r="X206" s="97">
        <f t="shared" si="213"/>
        <v>178.94334152847264</v>
      </c>
      <c r="Y206" s="97">
        <f t="shared" si="213"/>
        <v>182.88185415214687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96.681723488543525</v>
      </c>
      <c r="C207" s="97">
        <f t="shared" si="214"/>
        <v>92.141090348023027</v>
      </c>
      <c r="D207" s="97">
        <f t="shared" si="214"/>
        <v>94.315053069591329</v>
      </c>
      <c r="E207" s="97">
        <f t="shared" si="214"/>
        <v>109.54145848456692</v>
      </c>
      <c r="F207" s="97">
        <f t="shared" si="214"/>
        <v>116.32147279372488</v>
      </c>
      <c r="G207" s="97">
        <f t="shared" si="214"/>
        <v>119.55337334071686</v>
      </c>
      <c r="H207" s="97">
        <f t="shared" si="214"/>
        <v>124.99946907857614</v>
      </c>
      <c r="I207" s="97">
        <f t="shared" si="214"/>
        <v>131.40764889321625</v>
      </c>
      <c r="J207" s="97">
        <f t="shared" si="214"/>
        <v>134.87864368784292</v>
      </c>
      <c r="K207" s="97">
        <f t="shared" si="214"/>
        <v>116.60241295957641</v>
      </c>
      <c r="L207" s="97">
        <f t="shared" si="214"/>
        <v>112.74349854274901</v>
      </c>
      <c r="M207" s="97">
        <f t="shared" si="214"/>
        <v>106.17015045386611</v>
      </c>
      <c r="N207" s="97">
        <f t="shared" si="214"/>
        <v>91.593711817777788</v>
      </c>
      <c r="O207" s="97">
        <f t="shared" si="214"/>
        <v>90.022020286270333</v>
      </c>
      <c r="P207" s="97">
        <f t="shared" si="214"/>
        <v>77.472426747002757</v>
      </c>
      <c r="Q207" s="97">
        <f t="shared" si="214"/>
        <v>74.206955233964024</v>
      </c>
      <c r="R207" s="97">
        <f t="shared" si="214"/>
        <v>66.021227366044911</v>
      </c>
      <c r="S207" s="97">
        <f t="shared" si="214"/>
        <v>58.957639528820351</v>
      </c>
      <c r="T207" s="97">
        <f t="shared" si="214"/>
        <v>47.202523215222577</v>
      </c>
      <c r="U207" s="97">
        <f t="shared" si="214"/>
        <v>47.776984482626347</v>
      </c>
      <c r="V207" s="97">
        <f t="shared" si="214"/>
        <v>79.976963012825976</v>
      </c>
      <c r="W207" s="97">
        <f t="shared" si="214"/>
        <v>68.975844893750519</v>
      </c>
      <c r="X207" s="97">
        <f t="shared" si="214"/>
        <v>56.205620346559755</v>
      </c>
      <c r="Y207" s="97">
        <f t="shared" si="214"/>
        <v>56.507220825949915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106.58100535132118</v>
      </c>
      <c r="C208" s="130">
        <f t="shared" si="215"/>
        <v>90.133377899631284</v>
      </c>
      <c r="D208" s="130">
        <f t="shared" si="215"/>
        <v>113.56259576566517</v>
      </c>
      <c r="E208" s="130">
        <f t="shared" si="215"/>
        <v>98.263146293246578</v>
      </c>
      <c r="F208" s="130">
        <f t="shared" si="215"/>
        <v>91.62934326293346</v>
      </c>
      <c r="G208" s="130">
        <f t="shared" si="215"/>
        <v>94.673697403591476</v>
      </c>
      <c r="H208" s="130">
        <f t="shared" si="215"/>
        <v>75.267802130368764</v>
      </c>
      <c r="I208" s="130">
        <f t="shared" si="215"/>
        <v>61.474920546746596</v>
      </c>
      <c r="J208" s="130">
        <f t="shared" si="215"/>
        <v>82.631388835831515</v>
      </c>
      <c r="K208" s="130">
        <f t="shared" si="215"/>
        <v>98.211045871371027</v>
      </c>
      <c r="L208" s="130">
        <f t="shared" si="215"/>
        <v>75.681912166534431</v>
      </c>
      <c r="M208" s="130">
        <f t="shared" si="215"/>
        <v>72.223274528162804</v>
      </c>
      <c r="N208" s="130">
        <f t="shared" si="215"/>
        <v>68.597337721572814</v>
      </c>
      <c r="O208" s="130">
        <f t="shared" si="215"/>
        <v>87.566829201982728</v>
      </c>
      <c r="P208" s="130">
        <f t="shared" si="215"/>
        <v>69.117461048614956</v>
      </c>
      <c r="Q208" s="130">
        <f t="shared" si="215"/>
        <v>73.270675760597612</v>
      </c>
      <c r="R208" s="130">
        <f t="shared" si="215"/>
        <v>61.832506906347746</v>
      </c>
      <c r="S208" s="130">
        <f t="shared" si="215"/>
        <v>64.832730330344745</v>
      </c>
      <c r="T208" s="130">
        <f t="shared" si="215"/>
        <v>72.489291957158827</v>
      </c>
      <c r="U208" s="130">
        <f t="shared" si="215"/>
        <v>74.211590679006164</v>
      </c>
      <c r="V208" s="130">
        <f t="shared" si="215"/>
        <v>79.841997913291195</v>
      </c>
      <c r="W208" s="130">
        <f t="shared" si="215"/>
        <v>90.81606979230942</v>
      </c>
      <c r="X208" s="130">
        <f t="shared" si="215"/>
        <v>67.594818583326813</v>
      </c>
      <c r="Y208" s="130">
        <f t="shared" si="215"/>
        <v>66.09696726197997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106.58100535132118</v>
      </c>
      <c r="C209" s="97">
        <f t="shared" si="216"/>
        <v>90.133377899631284</v>
      </c>
      <c r="D209" s="97">
        <f t="shared" si="216"/>
        <v>113.56259576566517</v>
      </c>
      <c r="E209" s="97">
        <f t="shared" si="216"/>
        <v>98.263146293246578</v>
      </c>
      <c r="F209" s="97">
        <f t="shared" si="216"/>
        <v>91.62934326293346</v>
      </c>
      <c r="G209" s="97">
        <f t="shared" si="216"/>
        <v>94.673697403591476</v>
      </c>
      <c r="H209" s="97">
        <f t="shared" si="216"/>
        <v>75.267802130368764</v>
      </c>
      <c r="I209" s="97">
        <f t="shared" si="216"/>
        <v>61.474920546746596</v>
      </c>
      <c r="J209" s="97">
        <f t="shared" si="216"/>
        <v>82.631388835831515</v>
      </c>
      <c r="K209" s="97">
        <f t="shared" si="216"/>
        <v>98.211045871371027</v>
      </c>
      <c r="L209" s="97">
        <f t="shared" si="216"/>
        <v>75.681912166534431</v>
      </c>
      <c r="M209" s="97">
        <f t="shared" si="216"/>
        <v>72.223274528162804</v>
      </c>
      <c r="N209" s="97">
        <f t="shared" si="216"/>
        <v>68.597337721572814</v>
      </c>
      <c r="O209" s="97">
        <f t="shared" si="216"/>
        <v>87.566829201982728</v>
      </c>
      <c r="P209" s="97">
        <f t="shared" si="216"/>
        <v>69.117461048614956</v>
      </c>
      <c r="Q209" s="97">
        <f t="shared" si="216"/>
        <v>73.270675760597612</v>
      </c>
      <c r="R209" s="97">
        <f t="shared" si="216"/>
        <v>61.832506906347746</v>
      </c>
      <c r="S209" s="97">
        <f t="shared" si="216"/>
        <v>64.832730330344745</v>
      </c>
      <c r="T209" s="97">
        <f t="shared" si="216"/>
        <v>72.489291957158827</v>
      </c>
      <c r="U209" s="97">
        <f t="shared" si="216"/>
        <v>74.211590679006164</v>
      </c>
      <c r="V209" s="97">
        <f t="shared" si="216"/>
        <v>79.841997913291195</v>
      </c>
      <c r="W209" s="97">
        <f t="shared" si="216"/>
        <v>90.81606979230942</v>
      </c>
      <c r="X209" s="97">
        <f t="shared" si="216"/>
        <v>67.594818583326813</v>
      </c>
      <c r="Y209" s="97">
        <f t="shared" si="216"/>
        <v>66.09696726197997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0</v>
      </c>
      <c r="C210" s="98">
        <f t="shared" si="217"/>
        <v>0</v>
      </c>
      <c r="D210" s="98">
        <f t="shared" si="217"/>
        <v>0</v>
      </c>
      <c r="E210" s="98">
        <f t="shared" si="217"/>
        <v>0</v>
      </c>
      <c r="F210" s="98">
        <f t="shared" si="217"/>
        <v>0</v>
      </c>
      <c r="G210" s="98">
        <f t="shared" si="217"/>
        <v>0</v>
      </c>
      <c r="H210" s="98">
        <f t="shared" si="217"/>
        <v>0</v>
      </c>
      <c r="I210" s="98">
        <f t="shared" si="217"/>
        <v>0</v>
      </c>
      <c r="J210" s="98">
        <f t="shared" si="217"/>
        <v>0</v>
      </c>
      <c r="K210" s="98">
        <f t="shared" si="217"/>
        <v>0</v>
      </c>
      <c r="L210" s="98">
        <f t="shared" si="217"/>
        <v>0</v>
      </c>
      <c r="M210" s="98">
        <f t="shared" si="217"/>
        <v>0</v>
      </c>
      <c r="N210" s="98">
        <f t="shared" si="217"/>
        <v>0</v>
      </c>
      <c r="O210" s="98">
        <f t="shared" si="217"/>
        <v>0</v>
      </c>
      <c r="P210" s="98">
        <f t="shared" si="217"/>
        <v>0</v>
      </c>
      <c r="Q210" s="98">
        <f t="shared" si="217"/>
        <v>0</v>
      </c>
      <c r="R210" s="98">
        <f t="shared" si="217"/>
        <v>0</v>
      </c>
      <c r="S210" s="98">
        <f t="shared" si="217"/>
        <v>0</v>
      </c>
      <c r="T210" s="98">
        <f t="shared" si="217"/>
        <v>0</v>
      </c>
      <c r="U210" s="98">
        <f t="shared" si="217"/>
        <v>0</v>
      </c>
      <c r="V210" s="98">
        <f t="shared" si="217"/>
        <v>0</v>
      </c>
      <c r="W210" s="98">
        <f t="shared" si="217"/>
        <v>0</v>
      </c>
      <c r="X210" s="98">
        <f t="shared" si="217"/>
        <v>0</v>
      </c>
      <c r="Y210" s="98">
        <f t="shared" si="217"/>
        <v>0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15.93209081436124</v>
      </c>
      <c r="C211" s="32">
        <f t="shared" si="218"/>
        <v>12.93254496113213</v>
      </c>
      <c r="D211" s="32">
        <f t="shared" si="218"/>
        <v>11.052435522354813</v>
      </c>
      <c r="E211" s="32">
        <f t="shared" si="218"/>
        <v>9.6247800470756992</v>
      </c>
      <c r="F211" s="32">
        <f t="shared" si="218"/>
        <v>8.9846506840010747</v>
      </c>
      <c r="G211" s="32">
        <f t="shared" si="218"/>
        <v>9.5804962505382818</v>
      </c>
      <c r="H211" s="32">
        <f t="shared" si="218"/>
        <v>10.559771788468291</v>
      </c>
      <c r="I211" s="32">
        <f t="shared" si="218"/>
        <v>12.141512361129319</v>
      </c>
      <c r="J211" s="32">
        <f t="shared" si="218"/>
        <v>10.563070462617464</v>
      </c>
      <c r="K211" s="32">
        <f t="shared" si="218"/>
        <v>6.8458139203441881</v>
      </c>
      <c r="L211" s="32">
        <f t="shared" si="218"/>
        <v>10.376187660758744</v>
      </c>
      <c r="M211" s="32">
        <f t="shared" si="218"/>
        <v>8.8882950861162442</v>
      </c>
      <c r="N211" s="32">
        <f t="shared" si="218"/>
        <v>8.3198851680504973</v>
      </c>
      <c r="O211" s="32">
        <f t="shared" si="218"/>
        <v>9.3719710523396085</v>
      </c>
      <c r="P211" s="32">
        <f t="shared" si="218"/>
        <v>10.821462179091981</v>
      </c>
      <c r="Q211" s="32">
        <f t="shared" si="218"/>
        <v>8.5631651312651389</v>
      </c>
      <c r="R211" s="32">
        <f t="shared" si="218"/>
        <v>7.4415370177008171</v>
      </c>
      <c r="S211" s="32">
        <f t="shared" si="218"/>
        <v>6.1746358064908131</v>
      </c>
      <c r="T211" s="32">
        <f t="shared" si="218"/>
        <v>6.7151433663026587</v>
      </c>
      <c r="U211" s="32">
        <f t="shared" si="218"/>
        <v>7.4310300504057061</v>
      </c>
      <c r="V211" s="32">
        <f t="shared" si="218"/>
        <v>5.5525724540305665</v>
      </c>
      <c r="W211" s="32">
        <f t="shared" si="218"/>
        <v>4.5580835401665789</v>
      </c>
      <c r="X211" s="32">
        <f t="shared" si="218"/>
        <v>5.1210731465143438</v>
      </c>
      <c r="Y211" s="32">
        <f t="shared" si="218"/>
        <v>5.4779142427538909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29.555932012027295</v>
      </c>
      <c r="C212" s="97">
        <f t="shared" si="219"/>
        <v>24.523212283749171</v>
      </c>
      <c r="D212" s="97">
        <f t="shared" si="219"/>
        <v>20.178523352085094</v>
      </c>
      <c r="E212" s="97">
        <f t="shared" si="219"/>
        <v>19.463202908989107</v>
      </c>
      <c r="F212" s="97">
        <f t="shared" si="219"/>
        <v>16.064155742966914</v>
      </c>
      <c r="G212" s="97">
        <f t="shared" si="219"/>
        <v>16.834471592522881</v>
      </c>
      <c r="H212" s="97">
        <f t="shared" si="219"/>
        <v>21.202268391307449</v>
      </c>
      <c r="I212" s="97">
        <f t="shared" si="219"/>
        <v>23.605242088544792</v>
      </c>
      <c r="J212" s="97">
        <f t="shared" si="219"/>
        <v>20.551586211786397</v>
      </c>
      <c r="K212" s="97">
        <f t="shared" si="219"/>
        <v>13.270719329663605</v>
      </c>
      <c r="L212" s="97">
        <f t="shared" si="219"/>
        <v>18.773595223934084</v>
      </c>
      <c r="M212" s="97">
        <f t="shared" si="219"/>
        <v>18.058373088033097</v>
      </c>
      <c r="N212" s="97">
        <f t="shared" si="219"/>
        <v>14.636494390537495</v>
      </c>
      <c r="O212" s="97">
        <f t="shared" si="219"/>
        <v>15.318401959004946</v>
      </c>
      <c r="P212" s="97">
        <f t="shared" si="219"/>
        <v>19.264994359751068</v>
      </c>
      <c r="Q212" s="97">
        <f t="shared" si="219"/>
        <v>17.600792089461724</v>
      </c>
      <c r="R212" s="97">
        <f t="shared" si="219"/>
        <v>14.995803613635127</v>
      </c>
      <c r="S212" s="97">
        <f t="shared" si="219"/>
        <v>12.307609005526846</v>
      </c>
      <c r="T212" s="97">
        <f t="shared" si="219"/>
        <v>14.033788170089258</v>
      </c>
      <c r="U212" s="97">
        <f t="shared" si="219"/>
        <v>15.900039365515623</v>
      </c>
      <c r="V212" s="97">
        <f t="shared" si="219"/>
        <v>10.948181587784921</v>
      </c>
      <c r="W212" s="97">
        <f t="shared" si="219"/>
        <v>9.1276052971151564</v>
      </c>
      <c r="X212" s="97">
        <f t="shared" si="219"/>
        <v>9.8822100183917243</v>
      </c>
      <c r="Y212" s="97">
        <f t="shared" si="219"/>
        <v>11.302077517593712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10.916780908564949</v>
      </c>
      <c r="C213" s="98">
        <f t="shared" si="220"/>
        <v>8.7912752604684634</v>
      </c>
      <c r="D213" s="98">
        <f t="shared" si="220"/>
        <v>7.5261224771048152</v>
      </c>
      <c r="E213" s="98">
        <f t="shared" si="220"/>
        <v>6.4996408114444693</v>
      </c>
      <c r="F213" s="98">
        <f t="shared" si="220"/>
        <v>6.0808891285359454</v>
      </c>
      <c r="G213" s="98">
        <f t="shared" si="220"/>
        <v>6.4736743308699456</v>
      </c>
      <c r="H213" s="98">
        <f t="shared" si="220"/>
        <v>7.2350137420315868</v>
      </c>
      <c r="I213" s="98">
        <f t="shared" si="220"/>
        <v>8.2687320192805913</v>
      </c>
      <c r="J213" s="98">
        <f t="shared" si="220"/>
        <v>7.1439988033120123</v>
      </c>
      <c r="K213" s="98">
        <f t="shared" si="220"/>
        <v>4.6180298440438801</v>
      </c>
      <c r="L213" s="98">
        <f t="shared" si="220"/>
        <v>6.9568289732571342</v>
      </c>
      <c r="M213" s="98">
        <f t="shared" si="220"/>
        <v>6.0513369947211864</v>
      </c>
      <c r="N213" s="98">
        <f t="shared" si="220"/>
        <v>5.5908023527239266</v>
      </c>
      <c r="O213" s="98">
        <f t="shared" si="220"/>
        <v>6.2982214399087972</v>
      </c>
      <c r="P213" s="98">
        <f t="shared" si="220"/>
        <v>7.2376842114588902</v>
      </c>
      <c r="Q213" s="98">
        <f t="shared" si="220"/>
        <v>5.6080444326987671</v>
      </c>
      <c r="R213" s="98">
        <f t="shared" si="220"/>
        <v>4.9213512866392159</v>
      </c>
      <c r="S213" s="98">
        <f t="shared" si="220"/>
        <v>4.0726301025040712</v>
      </c>
      <c r="T213" s="98">
        <f t="shared" si="220"/>
        <v>4.4166704140268092</v>
      </c>
      <c r="U213" s="98">
        <f t="shared" si="220"/>
        <v>4.8898995575598416</v>
      </c>
      <c r="V213" s="98">
        <f t="shared" si="220"/>
        <v>3.9811374100173706</v>
      </c>
      <c r="W213" s="98">
        <f t="shared" si="220"/>
        <v>3.2801285126372686</v>
      </c>
      <c r="X213" s="98">
        <f t="shared" si="220"/>
        <v>3.4309714262204127</v>
      </c>
      <c r="Y213" s="98">
        <f t="shared" si="220"/>
        <v>3.6488569820140269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119.89947871693967</v>
      </c>
      <c r="C216" s="32">
        <f t="shared" si="221"/>
        <v>119.49996025536956</v>
      </c>
      <c r="D216" s="32">
        <f t="shared" si="221"/>
        <v>116.49652913894641</v>
      </c>
      <c r="E216" s="32">
        <f t="shared" si="221"/>
        <v>119.40843343349225</v>
      </c>
      <c r="F216" s="32">
        <f t="shared" si="221"/>
        <v>119.41964985977579</v>
      </c>
      <c r="G216" s="32">
        <f t="shared" si="221"/>
        <v>120.74020345504054</v>
      </c>
      <c r="H216" s="32">
        <f t="shared" si="221"/>
        <v>121.57107855235745</v>
      </c>
      <c r="I216" s="32">
        <f t="shared" si="221"/>
        <v>125.29014497416294</v>
      </c>
      <c r="J216" s="32">
        <f t="shared" si="221"/>
        <v>122.69551020760329</v>
      </c>
      <c r="K216" s="32">
        <f t="shared" si="221"/>
        <v>119.71431355187306</v>
      </c>
      <c r="L216" s="32">
        <f t="shared" si="221"/>
        <v>117.4352248465602</v>
      </c>
      <c r="M216" s="32">
        <f t="shared" si="221"/>
        <v>116.36180019665007</v>
      </c>
      <c r="N216" s="32">
        <f t="shared" si="221"/>
        <v>109.15215630060335</v>
      </c>
      <c r="O216" s="32">
        <f t="shared" si="221"/>
        <v>106.77220978000656</v>
      </c>
      <c r="P216" s="32">
        <f t="shared" si="221"/>
        <v>106.52548288576942</v>
      </c>
      <c r="Q216" s="32">
        <f t="shared" si="221"/>
        <v>108.22649848416815</v>
      </c>
      <c r="R216" s="32">
        <f t="shared" si="221"/>
        <v>105.19531346037785</v>
      </c>
      <c r="S216" s="32">
        <f t="shared" si="221"/>
        <v>103.19329814433898</v>
      </c>
      <c r="T216" s="32">
        <f t="shared" si="221"/>
        <v>103.57028727854185</v>
      </c>
      <c r="U216" s="32">
        <f t="shared" si="221"/>
        <v>101.93921231874506</v>
      </c>
      <c r="V216" s="32">
        <f t="shared" si="221"/>
        <v>106.92707089992339</v>
      </c>
      <c r="W216" s="32">
        <f t="shared" si="221"/>
        <v>105.01811862973209</v>
      </c>
      <c r="X216" s="32">
        <f t="shared" si="221"/>
        <v>92.187310306254233</v>
      </c>
      <c r="Y216" s="32">
        <f t="shared" si="221"/>
        <v>88.288577214536886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120.32709151763498</v>
      </c>
      <c r="C217" s="141">
        <f t="shared" si="222"/>
        <v>120.9202787917996</v>
      </c>
      <c r="D217" s="141">
        <f t="shared" si="222"/>
        <v>122.65642330796017</v>
      </c>
      <c r="E217" s="141">
        <f t="shared" si="222"/>
        <v>124.49377950741726</v>
      </c>
      <c r="F217" s="141">
        <f t="shared" si="222"/>
        <v>123.37797047412387</v>
      </c>
      <c r="G217" s="141">
        <f t="shared" si="222"/>
        <v>125.7899058346588</v>
      </c>
      <c r="H217" s="141">
        <f t="shared" si="222"/>
        <v>127.60064767201318</v>
      </c>
      <c r="I217" s="141">
        <f t="shared" si="222"/>
        <v>131.40554945114206</v>
      </c>
      <c r="J217" s="141">
        <f t="shared" si="222"/>
        <v>129.47710328528129</v>
      </c>
      <c r="K217" s="141">
        <f t="shared" si="222"/>
        <v>127.31368307106861</v>
      </c>
      <c r="L217" s="141">
        <f t="shared" si="222"/>
        <v>126.62232728608039</v>
      </c>
      <c r="M217" s="141">
        <f t="shared" si="222"/>
        <v>124.72428850429853</v>
      </c>
      <c r="N217" s="141">
        <f t="shared" si="222"/>
        <v>116.75740521241261</v>
      </c>
      <c r="O217" s="141">
        <f t="shared" si="222"/>
        <v>115.3284086209089</v>
      </c>
      <c r="P217" s="141">
        <f t="shared" si="222"/>
        <v>114.24424373468156</v>
      </c>
      <c r="Q217" s="141">
        <f t="shared" si="222"/>
        <v>118.04164743097112</v>
      </c>
      <c r="R217" s="141">
        <f t="shared" si="222"/>
        <v>112.84899731332273</v>
      </c>
      <c r="S217" s="141">
        <f t="shared" si="222"/>
        <v>110.20524611380591</v>
      </c>
      <c r="T217" s="141">
        <f t="shared" si="222"/>
        <v>110.93146966781944</v>
      </c>
      <c r="U217" s="141">
        <f t="shared" si="222"/>
        <v>107.24230840438204</v>
      </c>
      <c r="V217" s="141">
        <f t="shared" si="222"/>
        <v>108.10880049064598</v>
      </c>
      <c r="W217" s="141">
        <f t="shared" si="222"/>
        <v>105.13901252481931</v>
      </c>
      <c r="X217" s="141">
        <f t="shared" si="222"/>
        <v>96.748180644545087</v>
      </c>
      <c r="Y217" s="141">
        <f t="shared" si="222"/>
        <v>93.891305289134564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110.90941971152262</v>
      </c>
      <c r="C218" s="97">
        <f t="shared" si="223"/>
        <v>109.98212297767365</v>
      </c>
      <c r="D218" s="97">
        <f t="shared" si="223"/>
        <v>109.31066983516907</v>
      </c>
      <c r="E218" s="97">
        <f t="shared" si="223"/>
        <v>108.63861075029182</v>
      </c>
      <c r="F218" s="97">
        <f t="shared" si="223"/>
        <v>107.40149640069185</v>
      </c>
      <c r="G218" s="97">
        <f t="shared" si="223"/>
        <v>105.5806490882088</v>
      </c>
      <c r="H218" s="97">
        <f t="shared" si="223"/>
        <v>103.6244966862272</v>
      </c>
      <c r="I218" s="97">
        <f t="shared" si="223"/>
        <v>101.82007333426591</v>
      </c>
      <c r="J218" s="97">
        <f t="shared" si="223"/>
        <v>101.46270759130745</v>
      </c>
      <c r="K218" s="97">
        <f t="shared" si="223"/>
        <v>101.11061960311591</v>
      </c>
      <c r="L218" s="97">
        <f t="shared" si="223"/>
        <v>98.648337445694324</v>
      </c>
      <c r="M218" s="97">
        <f t="shared" si="223"/>
        <v>95.880551406689392</v>
      </c>
      <c r="N218" s="97">
        <f t="shared" si="223"/>
        <v>95.633959087281312</v>
      </c>
      <c r="O218" s="97">
        <f t="shared" si="223"/>
        <v>94.895399745982047</v>
      </c>
      <c r="P218" s="97">
        <f t="shared" si="223"/>
        <v>94.271500344482703</v>
      </c>
      <c r="Q218" s="97">
        <f t="shared" si="223"/>
        <v>93.66022590122536</v>
      </c>
      <c r="R218" s="97">
        <f t="shared" si="223"/>
        <v>93.196723956603179</v>
      </c>
      <c r="S218" s="97">
        <f t="shared" si="223"/>
        <v>93.369528107241663</v>
      </c>
      <c r="T218" s="97">
        <f t="shared" si="223"/>
        <v>92.730804374711155</v>
      </c>
      <c r="U218" s="97">
        <f t="shared" si="223"/>
        <v>91.599064089710723</v>
      </c>
      <c r="V218" s="97">
        <f t="shared" si="223"/>
        <v>88.046034086515121</v>
      </c>
      <c r="W218" s="97">
        <f t="shared" si="223"/>
        <v>87.337052046668703</v>
      </c>
      <c r="X218" s="97">
        <f t="shared" si="223"/>
        <v>86.881208932088242</v>
      </c>
      <c r="Y218" s="97">
        <f t="shared" si="223"/>
        <v>86.094657799968402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117.06747287567323</v>
      </c>
      <c r="C219" s="97">
        <f t="shared" si="224"/>
        <v>118.08648868364757</v>
      </c>
      <c r="D219" s="97">
        <f t="shared" si="224"/>
        <v>120.53329134237434</v>
      </c>
      <c r="E219" s="97">
        <f t="shared" si="224"/>
        <v>122.3432937278933</v>
      </c>
      <c r="F219" s="97">
        <f t="shared" si="224"/>
        <v>121.51640265112152</v>
      </c>
      <c r="G219" s="97">
        <f t="shared" si="224"/>
        <v>123.7976187272492</v>
      </c>
      <c r="H219" s="97">
        <f t="shared" si="224"/>
        <v>125.49178277404776</v>
      </c>
      <c r="I219" s="97">
        <f t="shared" si="224"/>
        <v>129.65500411574067</v>
      </c>
      <c r="J219" s="97">
        <f t="shared" si="224"/>
        <v>126.91738522762716</v>
      </c>
      <c r="K219" s="97">
        <f t="shared" si="224"/>
        <v>124.15333589120938</v>
      </c>
      <c r="L219" s="97">
        <f t="shared" si="224"/>
        <v>123.13194719500875</v>
      </c>
      <c r="M219" s="97">
        <f t="shared" si="224"/>
        <v>121.86554492524206</v>
      </c>
      <c r="N219" s="97">
        <f t="shared" si="224"/>
        <v>114.05236419494018</v>
      </c>
      <c r="O219" s="97">
        <f t="shared" si="224"/>
        <v>113.19753503548702</v>
      </c>
      <c r="P219" s="97">
        <f t="shared" si="224"/>
        <v>111.63355581548745</v>
      </c>
      <c r="Q219" s="97">
        <f t="shared" si="224"/>
        <v>116.23777223742609</v>
      </c>
      <c r="R219" s="97">
        <f t="shared" si="224"/>
        <v>110.30627424351314</v>
      </c>
      <c r="S219" s="97">
        <f t="shared" si="224"/>
        <v>107.06022682040957</v>
      </c>
      <c r="T219" s="97">
        <f t="shared" si="224"/>
        <v>107.63290483179536</v>
      </c>
      <c r="U219" s="97">
        <f t="shared" si="224"/>
        <v>103.93223119873433</v>
      </c>
      <c r="V219" s="97">
        <f t="shared" si="224"/>
        <v>100.32052379728142</v>
      </c>
      <c r="W219" s="97">
        <f t="shared" si="224"/>
        <v>98.238599659264295</v>
      </c>
      <c r="X219" s="97">
        <f t="shared" si="224"/>
        <v>94.890100435274732</v>
      </c>
      <c r="Y219" s="97">
        <f t="shared" si="224"/>
        <v>91.783118827795434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143.3530161993198</v>
      </c>
      <c r="C220" s="97">
        <f t="shared" si="225"/>
        <v>140.97344247439781</v>
      </c>
      <c r="D220" s="97">
        <f t="shared" si="225"/>
        <v>138.16521776016654</v>
      </c>
      <c r="E220" s="97">
        <f t="shared" si="225"/>
        <v>140.5331918954758</v>
      </c>
      <c r="F220" s="97">
        <f t="shared" si="225"/>
        <v>137.61785288646456</v>
      </c>
      <c r="G220" s="97">
        <f t="shared" si="225"/>
        <v>141.39897696485684</v>
      </c>
      <c r="H220" s="97">
        <f t="shared" si="225"/>
        <v>144.70624865972846</v>
      </c>
      <c r="I220" s="97">
        <f t="shared" si="225"/>
        <v>147.45784152104022</v>
      </c>
      <c r="J220" s="97">
        <f t="shared" si="225"/>
        <v>151.98486439096166</v>
      </c>
      <c r="K220" s="97">
        <f t="shared" si="225"/>
        <v>154.28620739015744</v>
      </c>
      <c r="L220" s="97">
        <f t="shared" si="225"/>
        <v>155.88989935454222</v>
      </c>
      <c r="M220" s="97">
        <f t="shared" si="225"/>
        <v>150.35779283540913</v>
      </c>
      <c r="N220" s="97">
        <f t="shared" si="225"/>
        <v>141.02083200946416</v>
      </c>
      <c r="O220" s="97">
        <f t="shared" si="225"/>
        <v>134.94915961616201</v>
      </c>
      <c r="P220" s="97">
        <f t="shared" si="225"/>
        <v>138.05320073323225</v>
      </c>
      <c r="Q220" s="97">
        <f t="shared" si="225"/>
        <v>135.53883039869061</v>
      </c>
      <c r="R220" s="97">
        <f t="shared" si="225"/>
        <v>136.06466847968417</v>
      </c>
      <c r="S220" s="97">
        <f t="shared" si="225"/>
        <v>137.61573681555689</v>
      </c>
      <c r="T220" s="97">
        <f t="shared" si="225"/>
        <v>140.96285029297491</v>
      </c>
      <c r="U220" s="97">
        <f t="shared" si="225"/>
        <v>138.70844446709773</v>
      </c>
      <c r="V220" s="97">
        <f t="shared" si="225"/>
        <v>209.75191088349337</v>
      </c>
      <c r="W220" s="97">
        <f t="shared" si="225"/>
        <v>192.94024778726151</v>
      </c>
      <c r="X220" s="97">
        <f t="shared" si="225"/>
        <v>111.25404545837165</v>
      </c>
      <c r="Y220" s="97">
        <f t="shared" si="225"/>
        <v>111.31950361932071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35.680487776630329</v>
      </c>
      <c r="C221" s="130">
        <f t="shared" si="226"/>
        <v>32.096106668306632</v>
      </c>
      <c r="D221" s="130">
        <f t="shared" si="226"/>
        <v>32.467172005604176</v>
      </c>
      <c r="E221" s="130">
        <f t="shared" si="226"/>
        <v>33.071814756661581</v>
      </c>
      <c r="F221" s="130">
        <f t="shared" si="226"/>
        <v>31.071853186107642</v>
      </c>
      <c r="G221" s="130">
        <f t="shared" si="226"/>
        <v>33.749351885108972</v>
      </c>
      <c r="H221" s="130">
        <f t="shared" si="226"/>
        <v>32.561656621729639</v>
      </c>
      <c r="I221" s="130">
        <f t="shared" si="226"/>
        <v>32.530650340189538</v>
      </c>
      <c r="J221" s="130">
        <f t="shared" si="226"/>
        <v>33.452017791750023</v>
      </c>
      <c r="K221" s="130">
        <f t="shared" si="226"/>
        <v>33.18833836000254</v>
      </c>
      <c r="L221" s="130">
        <f t="shared" si="226"/>
        <v>33.157128110538643</v>
      </c>
      <c r="M221" s="130">
        <f t="shared" si="226"/>
        <v>33.200011417588563</v>
      </c>
      <c r="N221" s="130">
        <f t="shared" si="226"/>
        <v>33.30475151406921</v>
      </c>
      <c r="O221" s="130">
        <f t="shared" si="226"/>
        <v>32.472043203530376</v>
      </c>
      <c r="P221" s="130">
        <f t="shared" si="226"/>
        <v>33.174593947884588</v>
      </c>
      <c r="Q221" s="130">
        <f t="shared" si="226"/>
        <v>31.951307299528761</v>
      </c>
      <c r="R221" s="130">
        <f t="shared" si="226"/>
        <v>33.170128689473088</v>
      </c>
      <c r="S221" s="130">
        <f t="shared" si="226"/>
        <v>31.895861880366855</v>
      </c>
      <c r="T221" s="130">
        <f t="shared" si="226"/>
        <v>29.474647630576499</v>
      </c>
      <c r="U221" s="130">
        <f t="shared" si="226"/>
        <v>29.290695047677598</v>
      </c>
      <c r="V221" s="130">
        <f t="shared" si="226"/>
        <v>40.52811840857445</v>
      </c>
      <c r="W221" s="130">
        <f t="shared" si="226"/>
        <v>36.165005774439521</v>
      </c>
      <c r="X221" s="130">
        <f t="shared" si="226"/>
        <v>25.07532036253011</v>
      </c>
      <c r="Y221" s="130">
        <f t="shared" si="226"/>
        <v>23.329168826381363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35.680487776630329</v>
      </c>
      <c r="C223" s="97">
        <f t="shared" si="228"/>
        <v>32.096106668306632</v>
      </c>
      <c r="D223" s="97">
        <f t="shared" si="228"/>
        <v>32.518034416056828</v>
      </c>
      <c r="E223" s="97">
        <f t="shared" si="228"/>
        <v>33.45214630295343</v>
      </c>
      <c r="F223" s="97">
        <f t="shared" si="228"/>
        <v>31.740739363003332</v>
      </c>
      <c r="G223" s="97">
        <f t="shared" si="228"/>
        <v>34.664550245568904</v>
      </c>
      <c r="H223" s="97">
        <f t="shared" si="228"/>
        <v>33.435651987681133</v>
      </c>
      <c r="I223" s="97">
        <f t="shared" si="228"/>
        <v>33.462956867102349</v>
      </c>
      <c r="J223" s="97">
        <f t="shared" si="228"/>
        <v>34.490734904710415</v>
      </c>
      <c r="K223" s="97">
        <f t="shared" si="228"/>
        <v>34.348203891114458</v>
      </c>
      <c r="L223" s="97">
        <f t="shared" si="228"/>
        <v>34.407452127329222</v>
      </c>
      <c r="M223" s="97">
        <f t="shared" si="228"/>
        <v>34.650066904484021</v>
      </c>
      <c r="N223" s="97">
        <f t="shared" si="228"/>
        <v>34.705012664116005</v>
      </c>
      <c r="O223" s="97">
        <f t="shared" si="228"/>
        <v>33.879776415223652</v>
      </c>
      <c r="P223" s="97">
        <f t="shared" si="228"/>
        <v>34.677204912820244</v>
      </c>
      <c r="Q223" s="97">
        <f t="shared" si="228"/>
        <v>33.434217212615849</v>
      </c>
      <c r="R223" s="97">
        <f t="shared" si="228"/>
        <v>34.851684486902158</v>
      </c>
      <c r="S223" s="97">
        <f t="shared" si="228"/>
        <v>33.627786864635176</v>
      </c>
      <c r="T223" s="97">
        <f t="shared" si="228"/>
        <v>31.1529193817837</v>
      </c>
      <c r="U223" s="97">
        <f t="shared" si="228"/>
        <v>31.18837532287537</v>
      </c>
      <c r="V223" s="97">
        <f t="shared" si="228"/>
        <v>43.500866180167854</v>
      </c>
      <c r="W223" s="97">
        <f t="shared" si="228"/>
        <v>39.0281047726073</v>
      </c>
      <c r="X223" s="97">
        <f t="shared" si="228"/>
        <v>27.151291577703507</v>
      </c>
      <c r="Y223" s="97">
        <f t="shared" si="228"/>
        <v>25.414133508427387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145.87091946562484</v>
      </c>
      <c r="C225" s="130">
        <f t="shared" si="230"/>
        <v>143.30880112229525</v>
      </c>
      <c r="D225" s="130">
        <f t="shared" si="230"/>
        <v>123.899225126521</v>
      </c>
      <c r="E225" s="130">
        <f t="shared" si="230"/>
        <v>132.03283048423049</v>
      </c>
      <c r="F225" s="130">
        <f t="shared" si="230"/>
        <v>135.62943570065579</v>
      </c>
      <c r="G225" s="130">
        <f t="shared" si="230"/>
        <v>132.77688124355956</v>
      </c>
      <c r="H225" s="130">
        <f t="shared" si="230"/>
        <v>131.98880866608229</v>
      </c>
      <c r="I225" s="130">
        <f t="shared" si="230"/>
        <v>136.76557429098057</v>
      </c>
      <c r="J225" s="130">
        <f t="shared" si="230"/>
        <v>131.75353794562724</v>
      </c>
      <c r="K225" s="130">
        <f t="shared" si="230"/>
        <v>125.12014813500591</v>
      </c>
      <c r="L225" s="130">
        <f t="shared" si="230"/>
        <v>117.9447629109233</v>
      </c>
      <c r="M225" s="130">
        <f t="shared" si="230"/>
        <v>118.6605175582028</v>
      </c>
      <c r="N225" s="130">
        <f t="shared" si="230"/>
        <v>111.86438635807447</v>
      </c>
      <c r="O225" s="130">
        <f t="shared" si="230"/>
        <v>106.51166100187191</v>
      </c>
      <c r="P225" s="130">
        <f t="shared" si="230"/>
        <v>107.47113929275487</v>
      </c>
      <c r="Q225" s="130">
        <f t="shared" si="230"/>
        <v>103.74347001163257</v>
      </c>
      <c r="R225" s="130">
        <f t="shared" si="230"/>
        <v>104.01474753855234</v>
      </c>
      <c r="S225" s="130">
        <f t="shared" si="230"/>
        <v>103.0222507036401</v>
      </c>
      <c r="T225" s="130">
        <f t="shared" si="230"/>
        <v>102.79025566358899</v>
      </c>
      <c r="U225" s="130">
        <f t="shared" si="230"/>
        <v>105.4488067876847</v>
      </c>
      <c r="V225" s="130">
        <f t="shared" si="230"/>
        <v>136.06022783704464</v>
      </c>
      <c r="W225" s="130">
        <f t="shared" si="230"/>
        <v>138.94719743519076</v>
      </c>
      <c r="X225" s="130">
        <f t="shared" si="230"/>
        <v>96.909262706438199</v>
      </c>
      <c r="Y225" s="130">
        <f t="shared" si="230"/>
        <v>89.384585327799584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479.9782662968625</v>
      </c>
      <c r="C226" s="97">
        <f t="shared" si="231"/>
        <v>477.36307697874804</v>
      </c>
      <c r="D226" s="97">
        <f t="shared" si="231"/>
        <v>436.55015902518147</v>
      </c>
      <c r="E226" s="97">
        <f t="shared" si="231"/>
        <v>391.70231380614104</v>
      </c>
      <c r="F226" s="97">
        <f t="shared" si="231"/>
        <v>261.1145917940093</v>
      </c>
      <c r="G226" s="97">
        <f t="shared" si="231"/>
        <v>276.60557334913835</v>
      </c>
      <c r="H226" s="97">
        <f t="shared" si="231"/>
        <v>270.03896581526101</v>
      </c>
      <c r="I226" s="97">
        <f t="shared" si="231"/>
        <v>285.82010802510376</v>
      </c>
      <c r="J226" s="97">
        <f t="shared" si="231"/>
        <v>291.41566598362255</v>
      </c>
      <c r="K226" s="97">
        <f t="shared" si="231"/>
        <v>287.86690249111803</v>
      </c>
      <c r="L226" s="97">
        <f t="shared" si="231"/>
        <v>249.30979090003316</v>
      </c>
      <c r="M226" s="97">
        <f t="shared" si="231"/>
        <v>258.42975242634196</v>
      </c>
      <c r="N226" s="97">
        <f t="shared" si="231"/>
        <v>284.84249627645704</v>
      </c>
      <c r="O226" s="97">
        <f t="shared" si="231"/>
        <v>275.28210882551309</v>
      </c>
      <c r="P226" s="97">
        <f t="shared" si="231"/>
        <v>258.96320914277862</v>
      </c>
      <c r="Q226" s="97">
        <f t="shared" si="231"/>
        <v>246.26478904948482</v>
      </c>
      <c r="R226" s="97">
        <f t="shared" si="231"/>
        <v>240.9662635613702</v>
      </c>
      <c r="S226" s="97">
        <f t="shared" si="231"/>
        <v>238.11751039079968</v>
      </c>
      <c r="T226" s="97">
        <f t="shared" si="231"/>
        <v>227.78559631038391</v>
      </c>
      <c r="U226" s="97">
        <f t="shared" si="231"/>
        <v>242.73286823037751</v>
      </c>
      <c r="V226" s="97">
        <f t="shared" si="231"/>
        <v>309.97966607710089</v>
      </c>
      <c r="W226" s="97">
        <f t="shared" si="231"/>
        <v>237.55564890126672</v>
      </c>
      <c r="X226" s="97">
        <f t="shared" si="231"/>
        <v>219.22733552076113</v>
      </c>
      <c r="Y226" s="97">
        <f t="shared" si="231"/>
        <v>221.02076129821873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133.76523949511099</v>
      </c>
      <c r="C227" s="97">
        <f t="shared" si="232"/>
        <v>130.92911228175979</v>
      </c>
      <c r="D227" s="97">
        <f t="shared" si="232"/>
        <v>118.26925937694445</v>
      </c>
      <c r="E227" s="97">
        <f t="shared" si="232"/>
        <v>127.94681714455491</v>
      </c>
      <c r="F227" s="97">
        <f t="shared" si="232"/>
        <v>133.67051817977517</v>
      </c>
      <c r="G227" s="97">
        <f t="shared" si="232"/>
        <v>133.88821812629817</v>
      </c>
      <c r="H227" s="97">
        <f t="shared" si="232"/>
        <v>131.87451303921375</v>
      </c>
      <c r="I227" s="97">
        <f t="shared" si="232"/>
        <v>136.65754930213299</v>
      </c>
      <c r="J227" s="97">
        <f t="shared" si="232"/>
        <v>133.24747395849283</v>
      </c>
      <c r="K227" s="97">
        <f t="shared" si="232"/>
        <v>122.74862097999228</v>
      </c>
      <c r="L227" s="97">
        <f t="shared" si="232"/>
        <v>117.50541092161505</v>
      </c>
      <c r="M227" s="97">
        <f t="shared" si="232"/>
        <v>115.22575871016164</v>
      </c>
      <c r="N227" s="97">
        <f t="shared" si="232"/>
        <v>111.56543364857274</v>
      </c>
      <c r="O227" s="97">
        <f t="shared" si="232"/>
        <v>105.84359202400427</v>
      </c>
      <c r="P227" s="97">
        <f t="shared" si="232"/>
        <v>110.38628897557409</v>
      </c>
      <c r="Q227" s="97">
        <f t="shared" si="232"/>
        <v>107.05423160592338</v>
      </c>
      <c r="R227" s="97">
        <f t="shared" si="232"/>
        <v>106.41189702844162</v>
      </c>
      <c r="S227" s="97">
        <f t="shared" si="232"/>
        <v>105.88044375642396</v>
      </c>
      <c r="T227" s="97">
        <f t="shared" si="232"/>
        <v>107.98409640440568</v>
      </c>
      <c r="U227" s="97">
        <f t="shared" si="232"/>
        <v>111.97089647256472</v>
      </c>
      <c r="V227" s="97">
        <f t="shared" si="232"/>
        <v>118.77684593576933</v>
      </c>
      <c r="W227" s="97">
        <f t="shared" si="232"/>
        <v>109.99099645821116</v>
      </c>
      <c r="X227" s="97">
        <f t="shared" si="232"/>
        <v>94.482342915928172</v>
      </c>
      <c r="Y227" s="97">
        <f t="shared" si="232"/>
        <v>91.793355382446151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150.47795470741841</v>
      </c>
      <c r="C228" s="97">
        <f t="shared" si="233"/>
        <v>148.56793343821707</v>
      </c>
      <c r="D228" s="97">
        <f t="shared" si="233"/>
        <v>120.23404402974271</v>
      </c>
      <c r="E228" s="97">
        <f t="shared" si="233"/>
        <v>126.73298082260662</v>
      </c>
      <c r="F228" s="97">
        <f t="shared" si="233"/>
        <v>132.30476002741193</v>
      </c>
      <c r="G228" s="97">
        <f t="shared" si="233"/>
        <v>124.89141067274294</v>
      </c>
      <c r="H228" s="97">
        <f t="shared" si="233"/>
        <v>125.45501511770613</v>
      </c>
      <c r="I228" s="97">
        <f t="shared" si="233"/>
        <v>128.76758123145038</v>
      </c>
      <c r="J228" s="97">
        <f t="shared" si="233"/>
        <v>120.69367070346624</v>
      </c>
      <c r="K228" s="97">
        <f t="shared" si="233"/>
        <v>118.49527219745531</v>
      </c>
      <c r="L228" s="97">
        <f t="shared" si="233"/>
        <v>109.98964728815282</v>
      </c>
      <c r="M228" s="97">
        <f t="shared" si="233"/>
        <v>114.9274476973639</v>
      </c>
      <c r="N228" s="97">
        <f t="shared" si="233"/>
        <v>104.88799817910706</v>
      </c>
      <c r="O228" s="97">
        <f t="shared" si="233"/>
        <v>100.4297600865644</v>
      </c>
      <c r="P228" s="97">
        <f t="shared" si="233"/>
        <v>98.005894225191639</v>
      </c>
      <c r="Q228" s="97">
        <f t="shared" si="233"/>
        <v>94.325680082293289</v>
      </c>
      <c r="R228" s="97">
        <f t="shared" si="233"/>
        <v>95.526864423738843</v>
      </c>
      <c r="S228" s="97">
        <f t="shared" si="233"/>
        <v>94.289695258127139</v>
      </c>
      <c r="T228" s="97">
        <f t="shared" si="233"/>
        <v>92.11368443290425</v>
      </c>
      <c r="U228" s="97">
        <f t="shared" si="233"/>
        <v>93.55588537340121</v>
      </c>
      <c r="V228" s="97">
        <f t="shared" si="233"/>
        <v>149.23232518995843</v>
      </c>
      <c r="W228" s="97">
        <f t="shared" si="233"/>
        <v>191.91314757299426</v>
      </c>
      <c r="X228" s="97">
        <f t="shared" si="233"/>
        <v>95.944880460763443</v>
      </c>
      <c r="Y228" s="97">
        <f t="shared" si="233"/>
        <v>82.355005778662218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231.73807238382986</v>
      </c>
      <c r="C229" s="32">
        <f t="shared" si="234"/>
        <v>234.27198753940075</v>
      </c>
      <c r="D229" s="32">
        <f t="shared" si="234"/>
        <v>238.32722834979771</v>
      </c>
      <c r="E229" s="32">
        <f t="shared" si="234"/>
        <v>249.43025404388413</v>
      </c>
      <c r="F229" s="32">
        <f t="shared" si="234"/>
        <v>254.92639580830507</v>
      </c>
      <c r="G229" s="32">
        <f t="shared" si="234"/>
        <v>254.52698637061022</v>
      </c>
      <c r="H229" s="32">
        <f t="shared" si="234"/>
        <v>250.12079531740312</v>
      </c>
      <c r="I229" s="32">
        <f t="shared" si="234"/>
        <v>249.04525572657045</v>
      </c>
      <c r="J229" s="32">
        <f t="shared" si="234"/>
        <v>241.76021047083768</v>
      </c>
      <c r="K229" s="32">
        <f t="shared" si="234"/>
        <v>240.69000780480417</v>
      </c>
      <c r="L229" s="32">
        <f t="shared" si="234"/>
        <v>225.36566993258162</v>
      </c>
      <c r="M229" s="32">
        <f t="shared" si="234"/>
        <v>196.84795066906025</v>
      </c>
      <c r="N229" s="32">
        <f t="shared" si="234"/>
        <v>177.99968196278095</v>
      </c>
      <c r="O229" s="32">
        <f t="shared" si="234"/>
        <v>169.16643528992302</v>
      </c>
      <c r="P229" s="32">
        <f t="shared" si="234"/>
        <v>166.74480895775375</v>
      </c>
      <c r="Q229" s="32">
        <f t="shared" si="234"/>
        <v>163.20837253554257</v>
      </c>
      <c r="R229" s="32">
        <f t="shared" si="234"/>
        <v>161.00134142904449</v>
      </c>
      <c r="S229" s="32">
        <f t="shared" si="234"/>
        <v>164.61230748769705</v>
      </c>
      <c r="T229" s="32">
        <f t="shared" si="234"/>
        <v>176.50828317157948</v>
      </c>
      <c r="U229" s="32">
        <f t="shared" si="234"/>
        <v>169.56248348666949</v>
      </c>
      <c r="V229" s="32">
        <f t="shared" si="234"/>
        <v>160.22930222547058</v>
      </c>
      <c r="W229" s="32">
        <f t="shared" si="234"/>
        <v>164.27582263787545</v>
      </c>
      <c r="X229" s="32">
        <f t="shared" si="234"/>
        <v>161.29010798966794</v>
      </c>
      <c r="Y229" s="32">
        <f t="shared" si="234"/>
        <v>161.18306079034107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248.60831523954559</v>
      </c>
      <c r="C230" s="141">
        <f t="shared" si="235"/>
        <v>256.36093022605013</v>
      </c>
      <c r="D230" s="141">
        <f t="shared" si="235"/>
        <v>251.14290024483893</v>
      </c>
      <c r="E230" s="141">
        <f t="shared" si="235"/>
        <v>270.27598332274567</v>
      </c>
      <c r="F230" s="141">
        <f t="shared" si="235"/>
        <v>283.65977157061667</v>
      </c>
      <c r="G230" s="141">
        <f t="shared" si="235"/>
        <v>275.63740359865062</v>
      </c>
      <c r="H230" s="141">
        <f t="shared" si="235"/>
        <v>274.42928774065166</v>
      </c>
      <c r="I230" s="141">
        <f t="shared" si="235"/>
        <v>276.23355462459989</v>
      </c>
      <c r="J230" s="141">
        <f t="shared" si="235"/>
        <v>255.97330570230113</v>
      </c>
      <c r="K230" s="141">
        <f t="shared" si="235"/>
        <v>252.06611030276454</v>
      </c>
      <c r="L230" s="141">
        <f t="shared" si="235"/>
        <v>246.5349570108832</v>
      </c>
      <c r="M230" s="141">
        <f t="shared" si="235"/>
        <v>215.11230927859449</v>
      </c>
      <c r="N230" s="141">
        <f t="shared" si="235"/>
        <v>190.25060657771186</v>
      </c>
      <c r="O230" s="141">
        <f t="shared" si="235"/>
        <v>176.81428983110246</v>
      </c>
      <c r="P230" s="141">
        <f t="shared" si="235"/>
        <v>178.44535644141172</v>
      </c>
      <c r="Q230" s="141">
        <f t="shared" si="235"/>
        <v>174.35904797784769</v>
      </c>
      <c r="R230" s="141">
        <f t="shared" si="235"/>
        <v>174.64373263037243</v>
      </c>
      <c r="S230" s="141">
        <f t="shared" si="235"/>
        <v>179.17186942296539</v>
      </c>
      <c r="T230" s="141">
        <f t="shared" si="235"/>
        <v>193.1576282428671</v>
      </c>
      <c r="U230" s="141">
        <f t="shared" si="235"/>
        <v>183.38552702401688</v>
      </c>
      <c r="V230" s="141">
        <f t="shared" si="235"/>
        <v>169.40834912729173</v>
      </c>
      <c r="W230" s="141">
        <f t="shared" si="235"/>
        <v>167.97145413713056</v>
      </c>
      <c r="X230" s="141">
        <f t="shared" si="235"/>
        <v>170.73198550232959</v>
      </c>
      <c r="Y230" s="141">
        <f t="shared" si="235"/>
        <v>168.65040511092133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1898.4789450790047</v>
      </c>
      <c r="C231" s="97">
        <f t="shared" si="236"/>
        <v>1834.442903890086</v>
      </c>
      <c r="D231" s="97">
        <f t="shared" si="236"/>
        <v>1754.1515803924406</v>
      </c>
      <c r="E231" s="97">
        <f t="shared" si="236"/>
        <v>1691.0117573892444</v>
      </c>
      <c r="F231" s="97">
        <f t="shared" si="236"/>
        <v>1636.2020049827277</v>
      </c>
      <c r="G231" s="97">
        <f t="shared" si="236"/>
        <v>1580.2922504069286</v>
      </c>
      <c r="H231" s="97">
        <f t="shared" si="236"/>
        <v>1539.1792722600137</v>
      </c>
      <c r="I231" s="97">
        <f t="shared" si="236"/>
        <v>1514.929871926935</v>
      </c>
      <c r="J231" s="97">
        <f t="shared" si="236"/>
        <v>1485.2501966479117</v>
      </c>
      <c r="K231" s="97">
        <f t="shared" si="236"/>
        <v>1451.384737359348</v>
      </c>
      <c r="L231" s="97">
        <f t="shared" si="236"/>
        <v>1445.6434007872042</v>
      </c>
      <c r="M231" s="97">
        <f t="shared" si="236"/>
        <v>1392.9800996809927</v>
      </c>
      <c r="N231" s="97">
        <f t="shared" si="236"/>
        <v>1340.7138064564438</v>
      </c>
      <c r="O231" s="97">
        <f t="shared" si="236"/>
        <v>1329.5674127856548</v>
      </c>
      <c r="P231" s="97">
        <f t="shared" si="236"/>
        <v>1310.093316680596</v>
      </c>
      <c r="Q231" s="97">
        <f t="shared" si="236"/>
        <v>1294.4465840030309</v>
      </c>
      <c r="R231" s="97">
        <f t="shared" si="236"/>
        <v>1279.9852891435464</v>
      </c>
      <c r="S231" s="97">
        <f t="shared" si="236"/>
        <v>1271.339807177638</v>
      </c>
      <c r="T231" s="97">
        <f t="shared" si="236"/>
        <v>1256.347853607479</v>
      </c>
      <c r="U231" s="97">
        <f t="shared" si="236"/>
        <v>1216.5331630535179</v>
      </c>
      <c r="V231" s="97">
        <f t="shared" si="236"/>
        <v>1197.3997605195632</v>
      </c>
      <c r="W231" s="97">
        <f t="shared" si="236"/>
        <v>1205.6429208169488</v>
      </c>
      <c r="X231" s="97">
        <f t="shared" si="236"/>
        <v>1235.5122469418759</v>
      </c>
      <c r="Y231" s="97">
        <f t="shared" si="236"/>
        <v>1256.9950685661095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151.38378435851527</v>
      </c>
      <c r="C232" s="97">
        <f t="shared" si="237"/>
        <v>157.43145290997722</v>
      </c>
      <c r="D232" s="97">
        <f t="shared" si="237"/>
        <v>155.1499426181029</v>
      </c>
      <c r="E232" s="97">
        <f t="shared" si="237"/>
        <v>172.42137823032567</v>
      </c>
      <c r="F232" s="97">
        <f t="shared" si="237"/>
        <v>181.71526458324081</v>
      </c>
      <c r="G232" s="97">
        <f t="shared" si="237"/>
        <v>173.00753909889087</v>
      </c>
      <c r="H232" s="97">
        <f t="shared" si="237"/>
        <v>168.86556984664884</v>
      </c>
      <c r="I232" s="97">
        <f t="shared" si="237"/>
        <v>166.10139592947817</v>
      </c>
      <c r="J232" s="97">
        <f t="shared" si="237"/>
        <v>148.6704064293744</v>
      </c>
      <c r="K232" s="97">
        <f t="shared" si="237"/>
        <v>141.17911666092445</v>
      </c>
      <c r="L232" s="97">
        <f t="shared" si="237"/>
        <v>141.11520329379093</v>
      </c>
      <c r="M232" s="97">
        <f t="shared" si="237"/>
        <v>126.69636504826015</v>
      </c>
      <c r="N232" s="97">
        <f t="shared" si="237"/>
        <v>110.49452212456674</v>
      </c>
      <c r="O232" s="97">
        <f t="shared" si="237"/>
        <v>103.59683789756897</v>
      </c>
      <c r="P232" s="97">
        <f t="shared" si="237"/>
        <v>109.60991942450703</v>
      </c>
      <c r="Q232" s="97">
        <f t="shared" si="237"/>
        <v>103.40988833559402</v>
      </c>
      <c r="R232" s="97">
        <f t="shared" si="237"/>
        <v>109.15332703780173</v>
      </c>
      <c r="S232" s="97">
        <f t="shared" si="237"/>
        <v>112.1934614391669</v>
      </c>
      <c r="T232" s="97">
        <f t="shared" si="237"/>
        <v>123.09374884470517</v>
      </c>
      <c r="U232" s="97">
        <f t="shared" si="237"/>
        <v>117.80527771558333</v>
      </c>
      <c r="V232" s="97">
        <f t="shared" si="237"/>
        <v>110.06864536946154</v>
      </c>
      <c r="W232" s="97">
        <f t="shared" si="237"/>
        <v>108.72125936579761</v>
      </c>
      <c r="X232" s="97">
        <f t="shared" si="237"/>
        <v>107.73956226681332</v>
      </c>
      <c r="Y232" s="97">
        <f t="shared" si="237"/>
        <v>106.62939301565395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14.938360089282872</v>
      </c>
      <c r="C233" s="130">
        <f t="shared" si="238"/>
        <v>13.568027350845394</v>
      </c>
      <c r="D233" s="130">
        <f t="shared" si="238"/>
        <v>13.413139967902804</v>
      </c>
      <c r="E233" s="130">
        <f t="shared" si="238"/>
        <v>11.802878871029399</v>
      </c>
      <c r="F233" s="130">
        <f t="shared" si="238"/>
        <v>11.385800218691152</v>
      </c>
      <c r="G233" s="130">
        <f t="shared" si="238"/>
        <v>12.090615988345842</v>
      </c>
      <c r="H233" s="130">
        <f t="shared" si="238"/>
        <v>12.431927249084696</v>
      </c>
      <c r="I233" s="130">
        <f t="shared" si="238"/>
        <v>11.886350977389448</v>
      </c>
      <c r="J233" s="130">
        <f t="shared" si="238"/>
        <v>11.095040663675571</v>
      </c>
      <c r="K233" s="130">
        <f t="shared" si="238"/>
        <v>11.56878236580226</v>
      </c>
      <c r="L233" s="130">
        <f t="shared" si="238"/>
        <v>11.415398381861271</v>
      </c>
      <c r="M233" s="130">
        <f t="shared" si="238"/>
        <v>11.2524534938635</v>
      </c>
      <c r="N233" s="130">
        <f t="shared" si="238"/>
        <v>10.442941943791043</v>
      </c>
      <c r="O233" s="130">
        <f t="shared" si="238"/>
        <v>10.147461667566303</v>
      </c>
      <c r="P233" s="130">
        <f t="shared" si="238"/>
        <v>11.11822015605452</v>
      </c>
      <c r="Q233" s="130">
        <f t="shared" si="238"/>
        <v>11.942275419711359</v>
      </c>
      <c r="R233" s="130">
        <f t="shared" si="238"/>
        <v>12.670926050816341</v>
      </c>
      <c r="S233" s="130">
        <f t="shared" si="238"/>
        <v>12.478510414659283</v>
      </c>
      <c r="T233" s="130">
        <f t="shared" si="238"/>
        <v>12.245104048501601</v>
      </c>
      <c r="U233" s="130">
        <f t="shared" si="238"/>
        <v>12.428821527353444</v>
      </c>
      <c r="V233" s="130">
        <f t="shared" si="238"/>
        <v>10.321654600056592</v>
      </c>
      <c r="W233" s="130">
        <f t="shared" si="238"/>
        <v>10.867608512451618</v>
      </c>
      <c r="X233" s="130">
        <f t="shared" si="238"/>
        <v>9.9925602146586101</v>
      </c>
      <c r="Y233" s="130">
        <f t="shared" si="238"/>
        <v>11.29737039384808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469.3435569244981</v>
      </c>
      <c r="C234" s="130">
        <f t="shared" si="239"/>
        <v>443.46214899751129</v>
      </c>
      <c r="D234" s="130">
        <f t="shared" si="239"/>
        <v>446.95233014968659</v>
      </c>
      <c r="E234" s="130">
        <f t="shared" si="239"/>
        <v>459.15513591123079</v>
      </c>
      <c r="F234" s="130">
        <f t="shared" si="239"/>
        <v>513.0351591427609</v>
      </c>
      <c r="G234" s="130">
        <f t="shared" si="239"/>
        <v>558.88357627312189</v>
      </c>
      <c r="H234" s="130">
        <f t="shared" si="239"/>
        <v>682.9497765955814</v>
      </c>
      <c r="I234" s="130">
        <f t="shared" si="239"/>
        <v>714.66744025307776</v>
      </c>
      <c r="J234" s="130">
        <f t="shared" si="239"/>
        <v>458.8243598636779</v>
      </c>
      <c r="K234" s="130">
        <f t="shared" si="239"/>
        <v>394.77591201650813</v>
      </c>
      <c r="L234" s="130">
        <f t="shared" si="239"/>
        <v>364.6276972362561</v>
      </c>
      <c r="M234" s="130">
        <f t="shared" si="239"/>
        <v>344.50935446463723</v>
      </c>
      <c r="N234" s="130">
        <f t="shared" si="239"/>
        <v>294.95529532477326</v>
      </c>
      <c r="O234" s="130">
        <f t="shared" si="239"/>
        <v>289.03435756030683</v>
      </c>
      <c r="P234" s="130">
        <f t="shared" si="239"/>
        <v>259.73386767206597</v>
      </c>
      <c r="Q234" s="130">
        <f t="shared" si="239"/>
        <v>252.96903314645931</v>
      </c>
      <c r="R234" s="130">
        <f t="shared" si="239"/>
        <v>226.08329904478944</v>
      </c>
      <c r="S234" s="130">
        <f t="shared" si="239"/>
        <v>211.35665246487446</v>
      </c>
      <c r="T234" s="130">
        <f t="shared" si="239"/>
        <v>188.95915547134808</v>
      </c>
      <c r="U234" s="130">
        <f t="shared" si="239"/>
        <v>190.41453113886374</v>
      </c>
      <c r="V234" s="130">
        <f t="shared" si="239"/>
        <v>297.97663346700466</v>
      </c>
      <c r="W234" s="130">
        <f t="shared" si="239"/>
        <v>283.08730876460072</v>
      </c>
      <c r="X234" s="130">
        <f t="shared" si="239"/>
        <v>248.06216447181799</v>
      </c>
      <c r="Y234" s="130">
        <f t="shared" si="239"/>
        <v>232.93489326907539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1916.3362126013219</v>
      </c>
      <c r="C235" s="97">
        <f t="shared" si="240"/>
        <v>1928.7836573825257</v>
      </c>
      <c r="D235" s="97">
        <f t="shared" si="240"/>
        <v>1511.5925537323644</v>
      </c>
      <c r="E235" s="97">
        <f t="shared" si="240"/>
        <v>1163.8925624237766</v>
      </c>
      <c r="F235" s="97">
        <f t="shared" si="240"/>
        <v>765.66882635425952</v>
      </c>
      <c r="G235" s="97">
        <f t="shared" si="240"/>
        <v>882.0852543626138</v>
      </c>
      <c r="H235" s="97">
        <f t="shared" si="240"/>
        <v>1088.1860311951143</v>
      </c>
      <c r="I235" s="97">
        <f t="shared" si="240"/>
        <v>1423.2393870963892</v>
      </c>
      <c r="J235" s="97">
        <f t="shared" si="240"/>
        <v>1676.3177000028827</v>
      </c>
      <c r="K235" s="97">
        <f t="shared" si="240"/>
        <v>2102.9986148568219</v>
      </c>
      <c r="L235" s="97">
        <f t="shared" si="240"/>
        <v>2432.5598476230598</v>
      </c>
      <c r="M235" s="97">
        <f t="shared" si="240"/>
        <v>2376.5419411104431</v>
      </c>
      <c r="N235" s="97">
        <f t="shared" si="240"/>
        <v>2923.1630968806762</v>
      </c>
      <c r="O235" s="97">
        <f t="shared" si="240"/>
        <v>2406.9444473252506</v>
      </c>
      <c r="P235" s="97">
        <f t="shared" si="240"/>
        <v>1856.0461455754187</v>
      </c>
      <c r="Q235" s="97">
        <f t="shared" si="240"/>
        <v>1562.8193841570492</v>
      </c>
      <c r="R235" s="97">
        <f t="shared" si="240"/>
        <v>1268.8665118437586</v>
      </c>
      <c r="S235" s="97">
        <f t="shared" si="240"/>
        <v>1275.6242099679916</v>
      </c>
      <c r="T235" s="97">
        <f t="shared" si="240"/>
        <v>1160.9548158834737</v>
      </c>
      <c r="U235" s="97">
        <f t="shared" si="240"/>
        <v>862.91208476756481</v>
      </c>
      <c r="V235" s="97">
        <f t="shared" si="240"/>
        <v>809.64651624907719</v>
      </c>
      <c r="W235" s="97">
        <f t="shared" si="240"/>
        <v>776.38752353493453</v>
      </c>
      <c r="X235" s="97">
        <f t="shared" si="240"/>
        <v>371.19630876330126</v>
      </c>
      <c r="Y235" s="97">
        <f t="shared" si="240"/>
        <v>913.91309888936553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486.24767012999985</v>
      </c>
      <c r="C236" s="97">
        <f t="shared" si="241"/>
        <v>460.45788950086029</v>
      </c>
      <c r="D236" s="97">
        <f t="shared" si="241"/>
        <v>473.57399546467252</v>
      </c>
      <c r="E236" s="97">
        <f t="shared" si="241"/>
        <v>491.74298141849351</v>
      </c>
      <c r="F236" s="97">
        <f t="shared" si="241"/>
        <v>557.98836093552336</v>
      </c>
      <c r="G236" s="97">
        <f t="shared" si="241"/>
        <v>587.23650101203577</v>
      </c>
      <c r="H236" s="97">
        <f t="shared" si="241"/>
        <v>703.55828303896499</v>
      </c>
      <c r="I236" s="97">
        <f t="shared" si="241"/>
        <v>740.37679584882278</v>
      </c>
      <c r="J236" s="97">
        <f t="shared" si="241"/>
        <v>727.7339003724536</v>
      </c>
      <c r="K236" s="97">
        <f t="shared" si="241"/>
        <v>657.82511291759056</v>
      </c>
      <c r="L236" s="97">
        <f t="shared" si="241"/>
        <v>619.13500405578748</v>
      </c>
      <c r="M236" s="97">
        <f t="shared" si="241"/>
        <v>598.0750366390688</v>
      </c>
      <c r="N236" s="97">
        <f t="shared" si="241"/>
        <v>547.24007335578494</v>
      </c>
      <c r="O236" s="97">
        <f t="shared" si="241"/>
        <v>532.50109317821466</v>
      </c>
      <c r="P236" s="97">
        <f t="shared" si="241"/>
        <v>542.27214256463685</v>
      </c>
      <c r="Q236" s="97">
        <f t="shared" si="241"/>
        <v>551.9292010313053</v>
      </c>
      <c r="R236" s="97">
        <f t="shared" si="241"/>
        <v>516.80113965542046</v>
      </c>
      <c r="S236" s="97">
        <f t="shared" si="241"/>
        <v>577.71774456935975</v>
      </c>
      <c r="T236" s="97">
        <f t="shared" si="241"/>
        <v>583.80536997555771</v>
      </c>
      <c r="U236" s="97">
        <f t="shared" si="241"/>
        <v>586.56788938810314</v>
      </c>
      <c r="V236" s="97">
        <f t="shared" si="241"/>
        <v>534.06768639319023</v>
      </c>
      <c r="W236" s="97">
        <f t="shared" si="241"/>
        <v>576.33398058277453</v>
      </c>
      <c r="X236" s="97">
        <f t="shared" si="241"/>
        <v>538.67478728190338</v>
      </c>
      <c r="Y236" s="97">
        <f t="shared" si="241"/>
        <v>550.53092806726613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291.04188168941863</v>
      </c>
      <c r="C237" s="97">
        <f t="shared" si="242"/>
        <v>277.37317197268487</v>
      </c>
      <c r="D237" s="97">
        <f t="shared" si="242"/>
        <v>283.90612877399195</v>
      </c>
      <c r="E237" s="97">
        <f t="shared" si="242"/>
        <v>329.75366025750998</v>
      </c>
      <c r="F237" s="97">
        <f t="shared" si="242"/>
        <v>350.15183547957355</v>
      </c>
      <c r="G237" s="97">
        <f t="shared" si="242"/>
        <v>359.88110986693516</v>
      </c>
      <c r="H237" s="97">
        <f t="shared" si="242"/>
        <v>376.28705176235326</v>
      </c>
      <c r="I237" s="97">
        <f t="shared" si="242"/>
        <v>395.57765441361875</v>
      </c>
      <c r="J237" s="97">
        <f t="shared" si="242"/>
        <v>406.02642197703557</v>
      </c>
      <c r="K237" s="97">
        <f t="shared" si="242"/>
        <v>351.00931647441212</v>
      </c>
      <c r="L237" s="97">
        <f t="shared" si="242"/>
        <v>339.39279090342404</v>
      </c>
      <c r="M237" s="97">
        <f t="shared" si="242"/>
        <v>319.60498067665736</v>
      </c>
      <c r="N237" s="97">
        <f t="shared" si="242"/>
        <v>275.72539334720517</v>
      </c>
      <c r="O237" s="97">
        <f t="shared" si="242"/>
        <v>270.99411587034632</v>
      </c>
      <c r="P237" s="97">
        <f t="shared" si="242"/>
        <v>233.21595898282845</v>
      </c>
      <c r="Q237" s="97">
        <f t="shared" si="242"/>
        <v>223.38471344861952</v>
      </c>
      <c r="R237" s="97">
        <f t="shared" si="242"/>
        <v>198.74422075645538</v>
      </c>
      <c r="S237" s="97">
        <f t="shared" si="242"/>
        <v>177.48072468389154</v>
      </c>
      <c r="T237" s="97">
        <f t="shared" si="242"/>
        <v>142.09418989799809</v>
      </c>
      <c r="U237" s="97">
        <f t="shared" si="242"/>
        <v>143.82349593630735</v>
      </c>
      <c r="V237" s="97">
        <f t="shared" si="242"/>
        <v>240.75538754556987</v>
      </c>
      <c r="W237" s="97">
        <f t="shared" si="242"/>
        <v>207.63862046143029</v>
      </c>
      <c r="X237" s="97">
        <f t="shared" si="242"/>
        <v>169.19629602095605</v>
      </c>
      <c r="Y237" s="97">
        <f t="shared" si="242"/>
        <v>170.10420671878865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333.89622243470751</v>
      </c>
      <c r="C238" s="130">
        <f t="shared" si="243"/>
        <v>282.27038987263711</v>
      </c>
      <c r="D238" s="130">
        <f t="shared" si="243"/>
        <v>356.42426784238677</v>
      </c>
      <c r="E238" s="130">
        <f t="shared" si="243"/>
        <v>308.01711516721872</v>
      </c>
      <c r="F238" s="130">
        <f t="shared" si="243"/>
        <v>287.32222740726519</v>
      </c>
      <c r="G238" s="130">
        <f t="shared" si="243"/>
        <v>295.9651210384439</v>
      </c>
      <c r="H238" s="130">
        <f t="shared" si="243"/>
        <v>235.37071501553402</v>
      </c>
      <c r="I238" s="130">
        <f t="shared" si="243"/>
        <v>192.18909296826953</v>
      </c>
      <c r="J238" s="130">
        <f t="shared" si="243"/>
        <v>258.002071299904</v>
      </c>
      <c r="K238" s="130">
        <f t="shared" si="243"/>
        <v>306.58193538677472</v>
      </c>
      <c r="L238" s="130">
        <f t="shared" si="243"/>
        <v>236.15605927303824</v>
      </c>
      <c r="M238" s="130">
        <f t="shared" si="243"/>
        <v>225.20715814022884</v>
      </c>
      <c r="N238" s="130">
        <f t="shared" si="243"/>
        <v>213.74408282973815</v>
      </c>
      <c r="O238" s="130">
        <f t="shared" si="243"/>
        <v>273.14874784730029</v>
      </c>
      <c r="P238" s="130">
        <f t="shared" si="243"/>
        <v>215.43265576748308</v>
      </c>
      <c r="Q238" s="130">
        <f t="shared" si="243"/>
        <v>227.38623161522713</v>
      </c>
      <c r="R238" s="130">
        <f t="shared" si="243"/>
        <v>191.83441904414619</v>
      </c>
      <c r="S238" s="130">
        <f t="shared" si="243"/>
        <v>201.13828143219172</v>
      </c>
      <c r="T238" s="130">
        <f t="shared" si="243"/>
        <v>224.90146765968478</v>
      </c>
      <c r="U238" s="130">
        <f t="shared" si="243"/>
        <v>230.6471076768016</v>
      </c>
      <c r="V238" s="130">
        <f t="shared" si="243"/>
        <v>248.66990243109041</v>
      </c>
      <c r="W238" s="130">
        <f t="shared" si="243"/>
        <v>283.57654307477759</v>
      </c>
      <c r="X238" s="130">
        <f t="shared" si="243"/>
        <v>210.36008579884449</v>
      </c>
      <c r="Y238" s="130">
        <f t="shared" si="243"/>
        <v>205.24986370981935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333.89622243470751</v>
      </c>
      <c r="C239" s="97">
        <f t="shared" si="244"/>
        <v>282.27038987263711</v>
      </c>
      <c r="D239" s="97">
        <f t="shared" si="244"/>
        <v>356.42426784238677</v>
      </c>
      <c r="E239" s="97">
        <f t="shared" si="244"/>
        <v>308.01711516721872</v>
      </c>
      <c r="F239" s="97">
        <f t="shared" si="244"/>
        <v>287.32222740726519</v>
      </c>
      <c r="G239" s="97">
        <f t="shared" si="244"/>
        <v>295.9651210384439</v>
      </c>
      <c r="H239" s="97">
        <f t="shared" si="244"/>
        <v>235.37071501553402</v>
      </c>
      <c r="I239" s="97">
        <f t="shared" si="244"/>
        <v>192.18909296826953</v>
      </c>
      <c r="J239" s="97">
        <f t="shared" si="244"/>
        <v>258.002071299904</v>
      </c>
      <c r="K239" s="97">
        <f t="shared" si="244"/>
        <v>306.58193538677472</v>
      </c>
      <c r="L239" s="97">
        <f t="shared" si="244"/>
        <v>236.15605927303824</v>
      </c>
      <c r="M239" s="97">
        <f t="shared" si="244"/>
        <v>225.20715814022884</v>
      </c>
      <c r="N239" s="97">
        <f t="shared" si="244"/>
        <v>213.74408282973815</v>
      </c>
      <c r="O239" s="97">
        <f t="shared" si="244"/>
        <v>273.14874784730029</v>
      </c>
      <c r="P239" s="97">
        <f t="shared" si="244"/>
        <v>215.43265576748308</v>
      </c>
      <c r="Q239" s="97">
        <f t="shared" si="244"/>
        <v>227.38623161522713</v>
      </c>
      <c r="R239" s="97">
        <f t="shared" si="244"/>
        <v>191.83441904414619</v>
      </c>
      <c r="S239" s="97">
        <f t="shared" si="244"/>
        <v>201.13828143219172</v>
      </c>
      <c r="T239" s="97">
        <f t="shared" si="244"/>
        <v>224.90146765968478</v>
      </c>
      <c r="U239" s="97">
        <f t="shared" si="244"/>
        <v>230.6471076768016</v>
      </c>
      <c r="V239" s="97">
        <f t="shared" si="244"/>
        <v>248.66990243109041</v>
      </c>
      <c r="W239" s="97">
        <f t="shared" si="244"/>
        <v>283.57654307477759</v>
      </c>
      <c r="X239" s="97">
        <f t="shared" si="244"/>
        <v>210.36008579884449</v>
      </c>
      <c r="Y239" s="97">
        <f t="shared" si="244"/>
        <v>205.24986370981935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0</v>
      </c>
      <c r="C240" s="98">
        <f t="shared" si="245"/>
        <v>0</v>
      </c>
      <c r="D240" s="98">
        <f t="shared" si="245"/>
        <v>0</v>
      </c>
      <c r="E240" s="98">
        <f t="shared" si="245"/>
        <v>0</v>
      </c>
      <c r="F240" s="98">
        <f t="shared" si="245"/>
        <v>0</v>
      </c>
      <c r="G240" s="98">
        <f t="shared" si="245"/>
        <v>0</v>
      </c>
      <c r="H240" s="98">
        <f t="shared" si="245"/>
        <v>0</v>
      </c>
      <c r="I240" s="98">
        <f t="shared" si="245"/>
        <v>0</v>
      </c>
      <c r="J240" s="98">
        <f t="shared" si="245"/>
        <v>0</v>
      </c>
      <c r="K240" s="98">
        <f t="shared" si="245"/>
        <v>0</v>
      </c>
      <c r="L240" s="98">
        <f t="shared" si="245"/>
        <v>0</v>
      </c>
      <c r="M240" s="98">
        <f t="shared" si="245"/>
        <v>0</v>
      </c>
      <c r="N240" s="98">
        <f t="shared" si="245"/>
        <v>0</v>
      </c>
      <c r="O240" s="98">
        <f t="shared" si="245"/>
        <v>0</v>
      </c>
      <c r="P240" s="98">
        <f t="shared" si="245"/>
        <v>0</v>
      </c>
      <c r="Q240" s="98">
        <f t="shared" si="245"/>
        <v>0</v>
      </c>
      <c r="R240" s="98">
        <f t="shared" si="245"/>
        <v>0</v>
      </c>
      <c r="S240" s="98">
        <f t="shared" si="245"/>
        <v>0</v>
      </c>
      <c r="T240" s="98">
        <f t="shared" si="245"/>
        <v>0</v>
      </c>
      <c r="U240" s="98">
        <f t="shared" si="245"/>
        <v>0</v>
      </c>
      <c r="V240" s="98">
        <f t="shared" si="245"/>
        <v>0</v>
      </c>
      <c r="W240" s="98">
        <f t="shared" si="245"/>
        <v>0</v>
      </c>
      <c r="X240" s="98">
        <f t="shared" si="245"/>
        <v>0</v>
      </c>
      <c r="Y240" s="98">
        <f t="shared" si="245"/>
        <v>0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50.773077394673706</v>
      </c>
      <c r="C241" s="32">
        <f t="shared" si="246"/>
        <v>41.147981537295259</v>
      </c>
      <c r="D241" s="32">
        <f t="shared" si="246"/>
        <v>35.008892655529188</v>
      </c>
      <c r="E241" s="32">
        <f t="shared" si="246"/>
        <v>30.555480151785861</v>
      </c>
      <c r="F241" s="32">
        <f t="shared" si="246"/>
        <v>28.550454368586454</v>
      </c>
      <c r="G241" s="32">
        <f t="shared" si="246"/>
        <v>30.566274928905258</v>
      </c>
      <c r="H241" s="32">
        <f t="shared" si="246"/>
        <v>33.842273021240175</v>
      </c>
      <c r="I241" s="32">
        <f t="shared" si="246"/>
        <v>38.996913674442361</v>
      </c>
      <c r="J241" s="32">
        <f t="shared" si="246"/>
        <v>33.798625230408213</v>
      </c>
      <c r="K241" s="32">
        <f t="shared" si="246"/>
        <v>21.72217952803086</v>
      </c>
      <c r="L241" s="32">
        <f t="shared" si="246"/>
        <v>33.050779070642207</v>
      </c>
      <c r="M241" s="32">
        <f t="shared" si="246"/>
        <v>28.362042860060594</v>
      </c>
      <c r="N241" s="32">
        <f t="shared" si="246"/>
        <v>26.403681191146813</v>
      </c>
      <c r="O241" s="32">
        <f t="shared" si="246"/>
        <v>29.815223370124656</v>
      </c>
      <c r="P241" s="32">
        <f t="shared" si="246"/>
        <v>34.446869400857743</v>
      </c>
      <c r="Q241" s="32">
        <f t="shared" si="246"/>
        <v>27.062272307435432</v>
      </c>
      <c r="R241" s="32">
        <f t="shared" si="246"/>
        <v>23.467897683996014</v>
      </c>
      <c r="S241" s="32">
        <f t="shared" si="246"/>
        <v>19.370687741545662</v>
      </c>
      <c r="T241" s="32">
        <f t="shared" si="246"/>
        <v>21.166675677695295</v>
      </c>
      <c r="U241" s="32">
        <f t="shared" si="246"/>
        <v>23.560633742147399</v>
      </c>
      <c r="V241" s="32">
        <f t="shared" si="246"/>
        <v>17.514716052603166</v>
      </c>
      <c r="W241" s="32">
        <f t="shared" si="246"/>
        <v>14.282856476405446</v>
      </c>
      <c r="X241" s="32">
        <f t="shared" si="246"/>
        <v>16.146195211548751</v>
      </c>
      <c r="Y241" s="32">
        <f t="shared" si="246"/>
        <v>17.34941019096102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93.102877275678154</v>
      </c>
      <c r="C242" s="97">
        <f t="shared" si="247"/>
        <v>77.031288358536401</v>
      </c>
      <c r="D242" s="97">
        <f t="shared" si="247"/>
        <v>62.927533366717043</v>
      </c>
      <c r="E242" s="97">
        <f t="shared" si="247"/>
        <v>60.852661883093866</v>
      </c>
      <c r="F242" s="97">
        <f t="shared" si="247"/>
        <v>50.389754722268179</v>
      </c>
      <c r="G242" s="97">
        <f t="shared" si="247"/>
        <v>53.172709110728107</v>
      </c>
      <c r="H242" s="97">
        <f t="shared" si="247"/>
        <v>67.387295081996385</v>
      </c>
      <c r="I242" s="97">
        <f t="shared" si="247"/>
        <v>75.331366163604329</v>
      </c>
      <c r="J242" s="97">
        <f t="shared" si="247"/>
        <v>65.164688072603354</v>
      </c>
      <c r="K242" s="97">
        <f t="shared" si="247"/>
        <v>41.483774319812255</v>
      </c>
      <c r="L242" s="97">
        <f t="shared" si="247"/>
        <v>59.129858600512634</v>
      </c>
      <c r="M242" s="97">
        <f t="shared" si="247"/>
        <v>56.959634108830237</v>
      </c>
      <c r="N242" s="97">
        <f t="shared" si="247"/>
        <v>45.836572299129159</v>
      </c>
      <c r="O242" s="97">
        <f t="shared" si="247"/>
        <v>48.212530820273507</v>
      </c>
      <c r="P242" s="97">
        <f t="shared" si="247"/>
        <v>60.626578234661373</v>
      </c>
      <c r="Q242" s="97">
        <f t="shared" si="247"/>
        <v>54.751831889870807</v>
      </c>
      <c r="R242" s="97">
        <f t="shared" si="247"/>
        <v>46.57848547660447</v>
      </c>
      <c r="S242" s="97">
        <f t="shared" si="247"/>
        <v>38.183357561795788</v>
      </c>
      <c r="T242" s="97">
        <f t="shared" si="247"/>
        <v>43.566191289931893</v>
      </c>
      <c r="U242" s="97">
        <f t="shared" si="247"/>
        <v>49.607994134448774</v>
      </c>
      <c r="V242" s="97">
        <f t="shared" si="247"/>
        <v>33.965844383757798</v>
      </c>
      <c r="W242" s="97">
        <f t="shared" si="247"/>
        <v>28.317654272749639</v>
      </c>
      <c r="X242" s="97">
        <f t="shared" si="247"/>
        <v>30.683842431475124</v>
      </c>
      <c r="Y242" s="97">
        <f t="shared" si="247"/>
        <v>35.197336744461424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35.190316147431218</v>
      </c>
      <c r="C243" s="98">
        <f t="shared" si="248"/>
        <v>28.327110472481444</v>
      </c>
      <c r="D243" s="98">
        <f t="shared" si="248"/>
        <v>24.221152192985436</v>
      </c>
      <c r="E243" s="98">
        <f t="shared" si="248"/>
        <v>20.93169057834745</v>
      </c>
      <c r="F243" s="98">
        <f t="shared" si="248"/>
        <v>19.592748958804503</v>
      </c>
      <c r="G243" s="98">
        <f t="shared" si="248"/>
        <v>20.884112813585539</v>
      </c>
      <c r="H243" s="98">
        <f t="shared" si="248"/>
        <v>23.362675406462202</v>
      </c>
      <c r="I243" s="98">
        <f t="shared" si="248"/>
        <v>26.722081950580041</v>
      </c>
      <c r="J243" s="98">
        <f t="shared" si="248"/>
        <v>23.062013383281062</v>
      </c>
      <c r="K243" s="98">
        <f t="shared" si="248"/>
        <v>14.870006088158664</v>
      </c>
      <c r="L243" s="98">
        <f t="shared" si="248"/>
        <v>22.431581838444483</v>
      </c>
      <c r="M243" s="98">
        <f t="shared" si="248"/>
        <v>19.514771564151594</v>
      </c>
      <c r="N243" s="98">
        <f t="shared" si="248"/>
        <v>18.007725812728378</v>
      </c>
      <c r="O243" s="98">
        <f t="shared" si="248"/>
        <v>20.305533014304629</v>
      </c>
      <c r="P243" s="98">
        <f t="shared" si="248"/>
        <v>23.335137757014905</v>
      </c>
      <c r="Q243" s="98">
        <f t="shared" si="248"/>
        <v>18.008347971464659</v>
      </c>
      <c r="R243" s="98">
        <f t="shared" si="248"/>
        <v>15.757953528368187</v>
      </c>
      <c r="S243" s="98">
        <f t="shared" si="248"/>
        <v>12.922862521047312</v>
      </c>
      <c r="T243" s="98">
        <f t="shared" si="248"/>
        <v>14.131946959590447</v>
      </c>
      <c r="U243" s="98">
        <f t="shared" si="248"/>
        <v>15.745110191720938</v>
      </c>
      <c r="V243" s="98">
        <f t="shared" si="248"/>
        <v>12.723435043864397</v>
      </c>
      <c r="W243" s="98">
        <f t="shared" si="248"/>
        <v>10.357754166317639</v>
      </c>
      <c r="X243" s="98">
        <f t="shared" si="248"/>
        <v>10.985641495785579</v>
      </c>
      <c r="Y243" s="98">
        <f t="shared" si="248"/>
        <v>11.744333871611172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58651.062706545621</v>
      </c>
      <c r="C4" s="29">
        <f t="shared" si="0"/>
        <v>57538.673938765714</v>
      </c>
      <c r="D4" s="29">
        <f t="shared" si="0"/>
        <v>57358.878439561966</v>
      </c>
      <c r="E4" s="29">
        <f t="shared" si="0"/>
        <v>57583.2164668306</v>
      </c>
      <c r="F4" s="29">
        <f t="shared" si="0"/>
        <v>58472.64630201563</v>
      </c>
      <c r="G4" s="29">
        <f t="shared" si="0"/>
        <v>57558.849513423927</v>
      </c>
      <c r="H4" s="29">
        <f t="shared" si="0"/>
        <v>57367.74426072889</v>
      </c>
      <c r="I4" s="29">
        <f t="shared" si="0"/>
        <v>58290.090034796391</v>
      </c>
      <c r="J4" s="29">
        <f t="shared" si="0"/>
        <v>58910.46479061657</v>
      </c>
      <c r="K4" s="29">
        <f t="shared" si="0"/>
        <v>59316.377606143418</v>
      </c>
      <c r="L4" s="29">
        <f t="shared" ref="L4" si="1">L5+L6+L13</f>
        <v>59198.811995750977</v>
      </c>
      <c r="M4" s="29">
        <f t="shared" ref="M4:V4" si="2">M5+M6+M13</f>
        <v>60311.669321103225</v>
      </c>
      <c r="N4" s="29">
        <f t="shared" si="2"/>
        <v>59813.953548350539</v>
      </c>
      <c r="O4" s="29">
        <f t="shared" si="2"/>
        <v>60061.823698539723</v>
      </c>
      <c r="P4" s="29">
        <f t="shared" si="2"/>
        <v>61666.587750154693</v>
      </c>
      <c r="Q4" s="29">
        <f t="shared" si="2"/>
        <v>64412.810214905207</v>
      </c>
      <c r="R4" s="29">
        <f t="shared" si="2"/>
        <v>66821.707315306645</v>
      </c>
      <c r="S4" s="29">
        <f t="shared" si="2"/>
        <v>68014.26693266767</v>
      </c>
      <c r="T4" s="29">
        <f t="shared" si="2"/>
        <v>68955.482530725712</v>
      </c>
      <c r="U4" s="29">
        <f t="shared" si="2"/>
        <v>70318.307906861024</v>
      </c>
      <c r="V4" s="29">
        <f t="shared" si="2"/>
        <v>62954.128283826773</v>
      </c>
      <c r="W4" s="29">
        <f t="shared" ref="W4:Y4" si="3">W5+W6+W13</f>
        <v>65373.248742507552</v>
      </c>
      <c r="X4" s="29">
        <f t="shared" si="3"/>
        <v>69521.960360778787</v>
      </c>
      <c r="Y4" s="29">
        <f t="shared" si="3"/>
        <v>70746.382296143682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618.06270654561922</v>
      </c>
      <c r="C5" s="152">
        <f t="shared" si="4"/>
        <v>586.67393876571509</v>
      </c>
      <c r="D5" s="152">
        <f t="shared" si="4"/>
        <v>609.87843956196934</v>
      </c>
      <c r="E5" s="152">
        <f t="shared" si="4"/>
        <v>616.21646683060283</v>
      </c>
      <c r="F5" s="152">
        <f t="shared" si="4"/>
        <v>615.64630201562716</v>
      </c>
      <c r="G5" s="152">
        <f t="shared" si="4"/>
        <v>631.84951342392662</v>
      </c>
      <c r="H5" s="152">
        <f t="shared" si="4"/>
        <v>665.7442607288873</v>
      </c>
      <c r="I5" s="152">
        <f t="shared" si="4"/>
        <v>712.09003479639273</v>
      </c>
      <c r="J5" s="152">
        <f t="shared" si="4"/>
        <v>712.46479061656851</v>
      </c>
      <c r="K5" s="152">
        <f t="shared" si="4"/>
        <v>686.37760614342051</v>
      </c>
      <c r="L5" s="152">
        <f t="shared" ref="L5:L7" si="5">IF(L32=0,0,L32*L142)</f>
        <v>686.81199575097514</v>
      </c>
      <c r="M5" s="152">
        <f t="shared" ref="M5:V5" si="6">IF(M32=0,0,M32*M142)</f>
        <v>681.66932110322568</v>
      </c>
      <c r="N5" s="152">
        <f t="shared" si="6"/>
        <v>682.95354835054638</v>
      </c>
      <c r="O5" s="152">
        <f t="shared" si="6"/>
        <v>691.82369853973341</v>
      </c>
      <c r="P5" s="152">
        <f t="shared" si="6"/>
        <v>706.58775015468927</v>
      </c>
      <c r="Q5" s="152">
        <f t="shared" si="6"/>
        <v>713.81021490519925</v>
      </c>
      <c r="R5" s="152">
        <f t="shared" si="6"/>
        <v>711.70731530665466</v>
      </c>
      <c r="S5" s="152">
        <f t="shared" si="6"/>
        <v>668.26693266766108</v>
      </c>
      <c r="T5" s="152">
        <f t="shared" si="6"/>
        <v>634.48253072571617</v>
      </c>
      <c r="U5" s="152">
        <f t="shared" si="6"/>
        <v>665.3079068610208</v>
      </c>
      <c r="V5" s="152">
        <f t="shared" si="6"/>
        <v>593.12828382677606</v>
      </c>
      <c r="W5" s="152">
        <f t="shared" ref="W5:Y5" si="7">IF(W32=0,0,W32*W142)</f>
        <v>613.24874250755204</v>
      </c>
      <c r="X5" s="152">
        <f t="shared" si="7"/>
        <v>614.96036077878864</v>
      </c>
      <c r="Y5" s="152">
        <f t="shared" si="7"/>
        <v>658.38229614367913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50615</v>
      </c>
      <c r="C6" s="116">
        <f t="shared" si="8"/>
        <v>49620</v>
      </c>
      <c r="D6" s="116">
        <f t="shared" si="8"/>
        <v>49454</v>
      </c>
      <c r="E6" s="116">
        <f t="shared" si="8"/>
        <v>49695</v>
      </c>
      <c r="F6" s="116">
        <f t="shared" si="8"/>
        <v>50557</v>
      </c>
      <c r="G6" s="116">
        <f t="shared" si="8"/>
        <v>49758</v>
      </c>
      <c r="H6" s="116">
        <f t="shared" si="8"/>
        <v>49648</v>
      </c>
      <c r="I6" s="116">
        <f t="shared" si="8"/>
        <v>50733</v>
      </c>
      <c r="J6" s="116">
        <f t="shared" si="8"/>
        <v>51459</v>
      </c>
      <c r="K6" s="116">
        <f t="shared" si="8"/>
        <v>51884</v>
      </c>
      <c r="L6" s="116">
        <f t="shared" ref="L6" si="9">SUM(L7:L12)</f>
        <v>51691</v>
      </c>
      <c r="M6" s="116">
        <f t="shared" ref="M6:V6" si="10">SUM(M7:M12)</f>
        <v>52957</v>
      </c>
      <c r="N6" s="116">
        <f t="shared" si="10"/>
        <v>52664.999999999993</v>
      </c>
      <c r="O6" s="116">
        <f t="shared" si="10"/>
        <v>52903.999999999993</v>
      </c>
      <c r="P6" s="116">
        <f t="shared" si="10"/>
        <v>54402.000000000007</v>
      </c>
      <c r="Q6" s="116">
        <f t="shared" si="10"/>
        <v>56844.000000000007</v>
      </c>
      <c r="R6" s="116">
        <f t="shared" si="10"/>
        <v>59041</v>
      </c>
      <c r="S6" s="116">
        <f t="shared" si="10"/>
        <v>60046</v>
      </c>
      <c r="T6" s="116">
        <f t="shared" si="10"/>
        <v>61213</v>
      </c>
      <c r="U6" s="116">
        <f t="shared" si="10"/>
        <v>62724</v>
      </c>
      <c r="V6" s="116">
        <f t="shared" si="10"/>
        <v>57814</v>
      </c>
      <c r="W6" s="116">
        <f t="shared" ref="W6:Y6" si="11">SUM(W7:W12)</f>
        <v>59926</v>
      </c>
      <c r="X6" s="116">
        <f t="shared" si="11"/>
        <v>60712</v>
      </c>
      <c r="Y6" s="116">
        <f t="shared" si="11"/>
        <v>62262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45644.180190236548</v>
      </c>
      <c r="C7" s="87">
        <f t="shared" si="12"/>
        <v>44062.984799181046</v>
      </c>
      <c r="D7" s="87">
        <f t="shared" si="12"/>
        <v>43372.942235184171</v>
      </c>
      <c r="E7" s="87">
        <f t="shared" si="12"/>
        <v>43239.268965554773</v>
      </c>
      <c r="F7" s="87">
        <f t="shared" si="12"/>
        <v>43135.368982138447</v>
      </c>
      <c r="G7" s="87">
        <f t="shared" si="12"/>
        <v>40875.844244146028</v>
      </c>
      <c r="H7" s="87">
        <f t="shared" si="12"/>
        <v>39549.230363173017</v>
      </c>
      <c r="I7" s="87">
        <f t="shared" si="12"/>
        <v>37804.64022500829</v>
      </c>
      <c r="J7" s="87">
        <f t="shared" si="12"/>
        <v>36494.751714846578</v>
      </c>
      <c r="K7" s="87">
        <f t="shared" si="12"/>
        <v>35485.07569305697</v>
      </c>
      <c r="L7" s="87">
        <f t="shared" si="5"/>
        <v>33517.891380407316</v>
      </c>
      <c r="M7" s="87">
        <f t="shared" ref="M7:V7" si="13">IF(M34=0,0,M34*M144)</f>
        <v>33090.088974434046</v>
      </c>
      <c r="N7" s="87">
        <f t="shared" si="13"/>
        <v>31258.546121359002</v>
      </c>
      <c r="O7" s="87">
        <f t="shared" si="13"/>
        <v>30507.295349969954</v>
      </c>
      <c r="P7" s="87">
        <f t="shared" si="13"/>
        <v>31150.766224254461</v>
      </c>
      <c r="Q7" s="87">
        <f t="shared" si="13"/>
        <v>30683.430010267319</v>
      </c>
      <c r="R7" s="87">
        <f t="shared" si="13"/>
        <v>33421.398058101935</v>
      </c>
      <c r="S7" s="87">
        <f t="shared" si="13"/>
        <v>33117.457341019188</v>
      </c>
      <c r="T7" s="87">
        <f t="shared" si="13"/>
        <v>33678.543086113074</v>
      </c>
      <c r="U7" s="87">
        <f t="shared" si="13"/>
        <v>34838.443835497179</v>
      </c>
      <c r="V7" s="87">
        <f t="shared" si="13"/>
        <v>32451.253751460972</v>
      </c>
      <c r="W7" s="87">
        <f t="shared" ref="W7:Y7" si="14">IF(W34=0,0,W34*W144)</f>
        <v>33840.898871661542</v>
      </c>
      <c r="X7" s="87">
        <f t="shared" si="14"/>
        <v>33831.626647597222</v>
      </c>
      <c r="Y7" s="87">
        <f t="shared" si="14"/>
        <v>34759.874258940145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4717.5986499090213</v>
      </c>
      <c r="C8" s="87">
        <f t="shared" si="15"/>
        <v>5313.0316083745429</v>
      </c>
      <c r="D8" s="87">
        <f t="shared" si="15"/>
        <v>5861.9833437862762</v>
      </c>
      <c r="E8" s="87">
        <f t="shared" si="15"/>
        <v>6269.8443898811602</v>
      </c>
      <c r="F8" s="87">
        <f t="shared" si="15"/>
        <v>7254.9917128209636</v>
      </c>
      <c r="G8" s="87">
        <f t="shared" si="15"/>
        <v>8745.8657877249934</v>
      </c>
      <c r="H8" s="87">
        <f t="shared" si="15"/>
        <v>9985.1851972638469</v>
      </c>
      <c r="I8" s="87">
        <f t="shared" si="15"/>
        <v>12832.939974799068</v>
      </c>
      <c r="J8" s="87">
        <f t="shared" si="15"/>
        <v>14888.170877444594</v>
      </c>
      <c r="K8" s="87">
        <f t="shared" si="15"/>
        <v>16344.044282756338</v>
      </c>
      <c r="L8" s="87">
        <f t="shared" ref="L8" si="16">IF(L35=0,0,L35*L145)</f>
        <v>18172.127400166239</v>
      </c>
      <c r="M8" s="87">
        <f t="shared" ref="M8:V8" si="17">IF(M35=0,0,M35*M145)</f>
        <v>19858.241156270902</v>
      </c>
      <c r="N8" s="87">
        <f t="shared" si="17"/>
        <v>21388.00397338768</v>
      </c>
      <c r="O8" s="87">
        <f t="shared" si="17"/>
        <v>22369.162371868617</v>
      </c>
      <c r="P8" s="87">
        <f t="shared" si="17"/>
        <v>23193.318405649374</v>
      </c>
      <c r="Q8" s="87">
        <f t="shared" si="17"/>
        <v>25867.796365871247</v>
      </c>
      <c r="R8" s="87">
        <f t="shared" si="17"/>
        <v>25445.40214914579</v>
      </c>
      <c r="S8" s="87">
        <f t="shared" si="17"/>
        <v>26729.154016850065</v>
      </c>
      <c r="T8" s="87">
        <f t="shared" si="17"/>
        <v>27244.287532699185</v>
      </c>
      <c r="U8" s="87">
        <f t="shared" si="17"/>
        <v>27417.141898261449</v>
      </c>
      <c r="V8" s="87">
        <f t="shared" si="17"/>
        <v>24380.765101884273</v>
      </c>
      <c r="W8" s="87">
        <f t="shared" ref="W8:Y8" si="18">IF(W35=0,0,W35*W145)</f>
        <v>23783.836628958867</v>
      </c>
      <c r="X8" s="87">
        <f t="shared" si="18"/>
        <v>23153.755340751166</v>
      </c>
      <c r="Y8" s="87">
        <f t="shared" si="18"/>
        <v>21786.649716215834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253.22115985442997</v>
      </c>
      <c r="C9" s="87">
        <f t="shared" si="19"/>
        <v>243.98359244441309</v>
      </c>
      <c r="D9" s="87">
        <f t="shared" si="19"/>
        <v>219.07442102955162</v>
      </c>
      <c r="E9" s="87">
        <f t="shared" si="19"/>
        <v>185.88664456406426</v>
      </c>
      <c r="F9" s="87">
        <f t="shared" si="19"/>
        <v>166.63930504058999</v>
      </c>
      <c r="G9" s="87">
        <f t="shared" si="19"/>
        <v>136.28996812898038</v>
      </c>
      <c r="H9" s="87">
        <f t="shared" si="19"/>
        <v>113.58443956313388</v>
      </c>
      <c r="I9" s="87">
        <f t="shared" si="19"/>
        <v>95.419800192642285</v>
      </c>
      <c r="J9" s="87">
        <f t="shared" si="19"/>
        <v>76.077407708830094</v>
      </c>
      <c r="K9" s="87">
        <f t="shared" si="19"/>
        <v>54.272934369684144</v>
      </c>
      <c r="L9" s="87">
        <f t="shared" ref="L9" si="20">IF(L36=0,0,L36*L146)</f>
        <v>0</v>
      </c>
      <c r="M9" s="87">
        <f t="shared" ref="M9:V9" si="21">IF(M36=0,0,M36*M146)</f>
        <v>0</v>
      </c>
      <c r="N9" s="87">
        <f t="shared" si="21"/>
        <v>0</v>
      </c>
      <c r="O9" s="87">
        <f t="shared" si="21"/>
        <v>0</v>
      </c>
      <c r="P9" s="87">
        <f t="shared" si="21"/>
        <v>0</v>
      </c>
      <c r="Q9" s="87">
        <f t="shared" si="21"/>
        <v>0</v>
      </c>
      <c r="R9" s="87">
        <f t="shared" si="21"/>
        <v>0</v>
      </c>
      <c r="S9" s="87">
        <f t="shared" si="21"/>
        <v>0</v>
      </c>
      <c r="T9" s="87">
        <f t="shared" si="21"/>
        <v>0</v>
      </c>
      <c r="U9" s="87">
        <f t="shared" si="21"/>
        <v>0</v>
      </c>
      <c r="V9" s="87">
        <f t="shared" si="21"/>
        <v>0</v>
      </c>
      <c r="W9" s="87">
        <f t="shared" ref="W9:Y9" si="22">IF(W36=0,0,W36*W146)</f>
        <v>0</v>
      </c>
      <c r="X9" s="87">
        <f t="shared" si="22"/>
        <v>0</v>
      </c>
      <c r="Y9" s="87">
        <f t="shared" si="22"/>
        <v>0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1.1500363666789526</v>
      </c>
      <c r="R10" s="87">
        <f t="shared" si="25"/>
        <v>3.1059291552385986</v>
      </c>
      <c r="S10" s="87">
        <f t="shared" si="25"/>
        <v>5.6048821118653231</v>
      </c>
      <c r="T10" s="87">
        <f t="shared" si="25"/>
        <v>9.6247289960859721</v>
      </c>
      <c r="U10" s="87">
        <f t="shared" si="25"/>
        <v>13.660319306819732</v>
      </c>
      <c r="V10" s="87">
        <f t="shared" si="25"/>
        <v>15.481819292205751</v>
      </c>
      <c r="W10" s="87">
        <f t="shared" ref="W10:Y10" si="26">IF(W37=0,0,W37*W147)</f>
        <v>18.867582034074424</v>
      </c>
      <c r="X10" s="87">
        <f t="shared" si="26"/>
        <v>23.68610689795246</v>
      </c>
      <c r="Y10" s="87">
        <f t="shared" si="26"/>
        <v>26.758053568216713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0.65160498111879706</v>
      </c>
      <c r="O11" s="87">
        <f t="shared" si="29"/>
        <v>0.85900872701605013</v>
      </c>
      <c r="P11" s="87">
        <f t="shared" si="29"/>
        <v>2.8978228870919565</v>
      </c>
      <c r="Q11" s="87">
        <f t="shared" si="29"/>
        <v>159.01037229771157</v>
      </c>
      <c r="R11" s="87">
        <f t="shared" si="29"/>
        <v>16.110429498766269</v>
      </c>
      <c r="S11" s="87">
        <f t="shared" si="29"/>
        <v>24.230426336537843</v>
      </c>
      <c r="T11" s="87">
        <f t="shared" si="29"/>
        <v>87.126723140961246</v>
      </c>
      <c r="U11" s="87">
        <f t="shared" si="29"/>
        <v>163.02055179457309</v>
      </c>
      <c r="V11" s="87">
        <f t="shared" si="29"/>
        <v>465.19328033661179</v>
      </c>
      <c r="W11" s="87">
        <f t="shared" ref="W11:Y11" si="30">IF(W38=0,0,W38*W148)</f>
        <v>1216.6213346485308</v>
      </c>
      <c r="X11" s="87">
        <f t="shared" si="30"/>
        <v>1773.2398043715898</v>
      </c>
      <c r="Y11" s="87">
        <f t="shared" si="30"/>
        <v>2322.5673581985989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0.60708981700626885</v>
      </c>
      <c r="L12" s="87">
        <f t="shared" ref="L12" si="32">IF(L39=0,0,L39*L149)</f>
        <v>0.98121942644599203</v>
      </c>
      <c r="M12" s="87">
        <f t="shared" ref="M12:V12" si="33">IF(M39=0,0,M39*M149)</f>
        <v>8.6698692950504341</v>
      </c>
      <c r="N12" s="87">
        <f t="shared" si="33"/>
        <v>17.798300272198642</v>
      </c>
      <c r="O12" s="87">
        <f t="shared" si="33"/>
        <v>26.683269434412669</v>
      </c>
      <c r="P12" s="87">
        <f t="shared" si="33"/>
        <v>55.017547209077023</v>
      </c>
      <c r="Q12" s="87">
        <f t="shared" si="33"/>
        <v>132.61321519704867</v>
      </c>
      <c r="R12" s="87">
        <f t="shared" si="33"/>
        <v>154.98343409826813</v>
      </c>
      <c r="S12" s="87">
        <f t="shared" si="33"/>
        <v>169.55333368234619</v>
      </c>
      <c r="T12" s="87">
        <f t="shared" si="33"/>
        <v>193.41792905069701</v>
      </c>
      <c r="U12" s="87">
        <f t="shared" si="33"/>
        <v>291.73339513997831</v>
      </c>
      <c r="V12" s="87">
        <f t="shared" si="33"/>
        <v>501.30604702593411</v>
      </c>
      <c r="W12" s="87">
        <f t="shared" ref="W12:Y12" si="34">IF(W39=0,0,W39*W149)</f>
        <v>1065.7755826969894</v>
      </c>
      <c r="X12" s="87">
        <f t="shared" si="34"/>
        <v>1929.6921003820714</v>
      </c>
      <c r="Y12" s="87">
        <f t="shared" si="34"/>
        <v>3366.1506130772109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7418</v>
      </c>
      <c r="C13" s="116">
        <f t="shared" si="35"/>
        <v>7332</v>
      </c>
      <c r="D13" s="116">
        <f t="shared" si="35"/>
        <v>7295</v>
      </c>
      <c r="E13" s="116">
        <f t="shared" si="35"/>
        <v>7272</v>
      </c>
      <c r="F13" s="116">
        <f t="shared" si="35"/>
        <v>7300</v>
      </c>
      <c r="G13" s="116">
        <f t="shared" si="35"/>
        <v>7169</v>
      </c>
      <c r="H13" s="116">
        <f t="shared" si="35"/>
        <v>7054</v>
      </c>
      <c r="I13" s="116">
        <f t="shared" si="35"/>
        <v>6845</v>
      </c>
      <c r="J13" s="116">
        <f t="shared" si="35"/>
        <v>6739</v>
      </c>
      <c r="K13" s="116">
        <f t="shared" si="35"/>
        <v>6746.0000000000009</v>
      </c>
      <c r="L13" s="116">
        <f t="shared" ref="L13" si="36">SUM(L14:L18)</f>
        <v>6821</v>
      </c>
      <c r="M13" s="116">
        <f t="shared" ref="M13:V13" si="37">SUM(M14:M18)</f>
        <v>6673</v>
      </c>
      <c r="N13" s="116">
        <f t="shared" si="37"/>
        <v>6466</v>
      </c>
      <c r="O13" s="116">
        <f t="shared" si="37"/>
        <v>6466</v>
      </c>
      <c r="P13" s="116">
        <f t="shared" si="37"/>
        <v>6558</v>
      </c>
      <c r="Q13" s="116">
        <f t="shared" si="37"/>
        <v>6854.9999999999991</v>
      </c>
      <c r="R13" s="116">
        <f t="shared" si="37"/>
        <v>7069</v>
      </c>
      <c r="S13" s="116">
        <f t="shared" si="37"/>
        <v>7300</v>
      </c>
      <c r="T13" s="116">
        <f t="shared" si="37"/>
        <v>7107.9999999999991</v>
      </c>
      <c r="U13" s="116">
        <f t="shared" si="37"/>
        <v>6929</v>
      </c>
      <c r="V13" s="116">
        <f t="shared" si="37"/>
        <v>4547</v>
      </c>
      <c r="W13" s="116">
        <f t="shared" ref="W13:Y13" si="38">SUM(W14:W18)</f>
        <v>4833.9999999999991</v>
      </c>
      <c r="X13" s="116">
        <f t="shared" si="38"/>
        <v>8195</v>
      </c>
      <c r="Y13" s="116">
        <f t="shared" si="38"/>
        <v>7826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459.87218448460743</v>
      </c>
      <c r="C14" s="101">
        <f t="shared" si="39"/>
        <v>466.44277414372124</v>
      </c>
      <c r="D14" s="101">
        <f t="shared" si="39"/>
        <v>464.27040926084157</v>
      </c>
      <c r="E14" s="101">
        <f t="shared" si="39"/>
        <v>295.39096057471215</v>
      </c>
      <c r="F14" s="101">
        <f t="shared" si="39"/>
        <v>243.21376666625264</v>
      </c>
      <c r="G14" s="101">
        <f t="shared" si="39"/>
        <v>229.44860523951854</v>
      </c>
      <c r="H14" s="101">
        <f t="shared" si="39"/>
        <v>231.14955727898587</v>
      </c>
      <c r="I14" s="101">
        <f t="shared" si="39"/>
        <v>225.65532161677936</v>
      </c>
      <c r="J14" s="101">
        <f t="shared" si="39"/>
        <v>227.95302539251097</v>
      </c>
      <c r="K14" s="101">
        <f t="shared" si="39"/>
        <v>219.55023165461913</v>
      </c>
      <c r="L14" s="101">
        <f t="shared" ref="L14" si="40">IF(L41=0,0,L41*L151)</f>
        <v>212.3159845878622</v>
      </c>
      <c r="M14" s="101">
        <f t="shared" ref="M14:V14" si="41">IF(M41=0,0,M41*M151)</f>
        <v>206.27684924669597</v>
      </c>
      <c r="N14" s="101">
        <f t="shared" si="41"/>
        <v>201.03498184849295</v>
      </c>
      <c r="O14" s="101">
        <f t="shared" si="41"/>
        <v>214.60261563057284</v>
      </c>
      <c r="P14" s="101">
        <f t="shared" si="41"/>
        <v>193.0425636045006</v>
      </c>
      <c r="Q14" s="101">
        <f t="shared" si="41"/>
        <v>172.15408722934561</v>
      </c>
      <c r="R14" s="101">
        <f t="shared" si="41"/>
        <v>157.29354219656531</v>
      </c>
      <c r="S14" s="101">
        <f t="shared" si="41"/>
        <v>145.36882583498576</v>
      </c>
      <c r="T14" s="101">
        <f t="shared" si="41"/>
        <v>130.9960984947042</v>
      </c>
      <c r="U14" s="101">
        <f t="shared" si="41"/>
        <v>115.71222196131335</v>
      </c>
      <c r="V14" s="101">
        <f t="shared" si="41"/>
        <v>105.71107232519375</v>
      </c>
      <c r="W14" s="101">
        <f t="shared" ref="W14:Y14" si="42">IF(W41=0,0,W41*W151)</f>
        <v>101.16845471277983</v>
      </c>
      <c r="X14" s="101">
        <f t="shared" si="42"/>
        <v>103.93739443623895</v>
      </c>
      <c r="Y14" s="101">
        <f t="shared" si="42"/>
        <v>96.388869156995952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6958.1278155153923</v>
      </c>
      <c r="C15" s="101">
        <f t="shared" si="43"/>
        <v>6865.5572258562788</v>
      </c>
      <c r="D15" s="101">
        <f t="shared" si="43"/>
        <v>6830.7295907391581</v>
      </c>
      <c r="E15" s="101">
        <f t="shared" si="43"/>
        <v>6976.6090394252878</v>
      </c>
      <c r="F15" s="101">
        <f t="shared" si="43"/>
        <v>7056.7862333337471</v>
      </c>
      <c r="G15" s="101">
        <f t="shared" si="43"/>
        <v>6939.5513947604813</v>
      </c>
      <c r="H15" s="101">
        <f t="shared" si="43"/>
        <v>6822.8504427210137</v>
      </c>
      <c r="I15" s="101">
        <f t="shared" si="43"/>
        <v>6619.3446783832205</v>
      </c>
      <c r="J15" s="101">
        <f t="shared" si="43"/>
        <v>6511.0469746074887</v>
      </c>
      <c r="K15" s="101">
        <f t="shared" si="43"/>
        <v>6526.4497683453819</v>
      </c>
      <c r="L15" s="101">
        <f t="shared" ref="L15" si="44">IF(L42=0,0,L42*L152)</f>
        <v>6608.6840154121383</v>
      </c>
      <c r="M15" s="101">
        <f t="shared" ref="M15:V15" si="45">IF(M42=0,0,M42*M152)</f>
        <v>6466.7231507533043</v>
      </c>
      <c r="N15" s="101">
        <f t="shared" si="45"/>
        <v>6264.9650181515071</v>
      </c>
      <c r="O15" s="101">
        <f t="shared" si="45"/>
        <v>6251.3973843694275</v>
      </c>
      <c r="P15" s="101">
        <f t="shared" si="45"/>
        <v>6364.9574363954998</v>
      </c>
      <c r="Q15" s="101">
        <f t="shared" si="45"/>
        <v>6658.941593391839</v>
      </c>
      <c r="R15" s="101">
        <f t="shared" si="45"/>
        <v>6854.1103716415782</v>
      </c>
      <c r="S15" s="101">
        <f t="shared" si="45"/>
        <v>7032.9886283559581</v>
      </c>
      <c r="T15" s="101">
        <f t="shared" si="45"/>
        <v>6854.8793960011863</v>
      </c>
      <c r="U15" s="101">
        <f t="shared" si="45"/>
        <v>6647.0050537403895</v>
      </c>
      <c r="V15" s="101">
        <f t="shared" si="45"/>
        <v>4332.4411321416283</v>
      </c>
      <c r="W15" s="101">
        <f t="shared" ref="W15:Y15" si="46">IF(W42=0,0,W42*W152)</f>
        <v>4526.7338693317897</v>
      </c>
      <c r="X15" s="101">
        <f t="shared" si="46"/>
        <v>7492.5562994923675</v>
      </c>
      <c r="Y15" s="101">
        <f t="shared" si="46"/>
        <v>6791.8175380477905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:Y16" si="50">IF(W43=0,0,W43*W153)</f>
        <v>0</v>
      </c>
      <c r="X16" s="101">
        <f t="shared" si="50"/>
        <v>0</v>
      </c>
      <c r="Y16" s="101">
        <f t="shared" si="50"/>
        <v>0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23.904319378815028</v>
      </c>
      <c r="R17" s="101">
        <f t="shared" si="53"/>
        <v>54.447381081192248</v>
      </c>
      <c r="S17" s="101">
        <f t="shared" si="53"/>
        <v>117.48253309380854</v>
      </c>
      <c r="T17" s="101">
        <f t="shared" si="53"/>
        <v>117.02650725737871</v>
      </c>
      <c r="U17" s="101">
        <f t="shared" si="53"/>
        <v>115.27733543468355</v>
      </c>
      <c r="V17" s="101">
        <f t="shared" si="53"/>
        <v>79.348553969924396</v>
      </c>
      <c r="W17" s="101">
        <f t="shared" ref="W17:Y17" si="54">IF(W44=0,0,W44*W154)</f>
        <v>87.132231804641776</v>
      </c>
      <c r="X17" s="101">
        <f t="shared" si="54"/>
        <v>156.1454627737738</v>
      </c>
      <c r="Y17" s="101">
        <f t="shared" si="54"/>
        <v>163.14264795222348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0</v>
      </c>
      <c r="Q18" s="101">
        <f t="shared" si="57"/>
        <v>0</v>
      </c>
      <c r="R18" s="101">
        <f t="shared" si="57"/>
        <v>3.1487050806644548</v>
      </c>
      <c r="S18" s="101">
        <f t="shared" si="57"/>
        <v>4.1600127152476354</v>
      </c>
      <c r="T18" s="101">
        <f t="shared" si="57"/>
        <v>5.09799824673083</v>
      </c>
      <c r="U18" s="101">
        <f t="shared" si="57"/>
        <v>51.00538886361371</v>
      </c>
      <c r="V18" s="101">
        <f t="shared" si="57"/>
        <v>29.499241563253708</v>
      </c>
      <c r="W18" s="101">
        <f t="shared" ref="W18:Y18" si="58">IF(W45=0,0,W45*W155)</f>
        <v>118.96544415078826</v>
      </c>
      <c r="X18" s="101">
        <f t="shared" si="58"/>
        <v>442.3608432976194</v>
      </c>
      <c r="Y18" s="101">
        <f t="shared" si="58"/>
        <v>774.65094484298993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16027.026126554678</v>
      </c>
      <c r="C19" s="29">
        <f t="shared" si="59"/>
        <v>16276.608917336447</v>
      </c>
      <c r="D19" s="29">
        <f t="shared" si="59"/>
        <v>16753.24942614507</v>
      </c>
      <c r="E19" s="29">
        <f t="shared" si="59"/>
        <v>16864.702954266944</v>
      </c>
      <c r="F19" s="29">
        <f t="shared" si="59"/>
        <v>17280.838752088293</v>
      </c>
      <c r="G19" s="29">
        <f t="shared" si="59"/>
        <v>18107.01387690601</v>
      </c>
      <c r="H19" s="29">
        <f t="shared" si="59"/>
        <v>19168.962134755875</v>
      </c>
      <c r="I19" s="29">
        <f t="shared" si="59"/>
        <v>20022.430093756946</v>
      </c>
      <c r="J19" s="29">
        <f t="shared" si="59"/>
        <v>20565.447161915094</v>
      </c>
      <c r="K19" s="29">
        <f t="shared" si="59"/>
        <v>18479.750024200457</v>
      </c>
      <c r="L19" s="29">
        <f t="shared" ref="L19" si="60">L20+L26</f>
        <v>18759.735426253217</v>
      </c>
      <c r="M19" s="29">
        <f t="shared" ref="M19:V19" si="61">M20+M26</f>
        <v>19822.462319143455</v>
      </c>
      <c r="N19" s="29">
        <f t="shared" si="61"/>
        <v>19858.478402146749</v>
      </c>
      <c r="O19" s="29">
        <f t="shared" si="61"/>
        <v>20522.358097210312</v>
      </c>
      <c r="P19" s="29">
        <f t="shared" si="61"/>
        <v>20704.454356806062</v>
      </c>
      <c r="Q19" s="29">
        <f t="shared" si="61"/>
        <v>20340.277658907999</v>
      </c>
      <c r="R19" s="29">
        <f t="shared" si="61"/>
        <v>21819.325561911595</v>
      </c>
      <c r="S19" s="29">
        <f t="shared" si="61"/>
        <v>21600.216572929796</v>
      </c>
      <c r="T19" s="29">
        <f t="shared" si="61"/>
        <v>20578.258927321338</v>
      </c>
      <c r="U19" s="29">
        <f t="shared" si="61"/>
        <v>20696.309637542436</v>
      </c>
      <c r="V19" s="29">
        <f t="shared" si="61"/>
        <v>21375.542891265839</v>
      </c>
      <c r="W19" s="29">
        <f t="shared" ref="W19:Y19" si="62">W20+W26</f>
        <v>21991.89143924987</v>
      </c>
      <c r="X19" s="29">
        <f t="shared" si="62"/>
        <v>22089.841409892175</v>
      </c>
      <c r="Y19" s="29">
        <f t="shared" si="62"/>
        <v>22660.734734370923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891.89194246848967</v>
      </c>
      <c r="C20" s="152">
        <f t="shared" si="63"/>
        <v>960.18212143342384</v>
      </c>
      <c r="D20" s="152">
        <f t="shared" si="63"/>
        <v>1005.7487899215297</v>
      </c>
      <c r="E20" s="152">
        <f t="shared" si="63"/>
        <v>1086.7241556638753</v>
      </c>
      <c r="F20" s="152">
        <f t="shared" si="63"/>
        <v>1211.2084201098453</v>
      </c>
      <c r="G20" s="152">
        <f t="shared" si="63"/>
        <v>1320.5006533147575</v>
      </c>
      <c r="H20" s="152">
        <f t="shared" si="63"/>
        <v>1476.7034056146174</v>
      </c>
      <c r="I20" s="152">
        <f t="shared" si="63"/>
        <v>1634.8360727756294</v>
      </c>
      <c r="J20" s="152">
        <f t="shared" si="63"/>
        <v>1651.029082937773</v>
      </c>
      <c r="K20" s="152">
        <f t="shared" si="63"/>
        <v>1564.0017803800708</v>
      </c>
      <c r="L20" s="152">
        <f t="shared" ref="L20" si="64">SUM(L21:L25)</f>
        <v>1515.9861567065977</v>
      </c>
      <c r="M20" s="152">
        <f t="shared" ref="M20:V20" si="65">SUM(M21:M25)</f>
        <v>1384.067152552989</v>
      </c>
      <c r="N20" s="152">
        <f t="shared" si="65"/>
        <v>1287.4407845205774</v>
      </c>
      <c r="O20" s="152">
        <f t="shared" si="65"/>
        <v>1225.6368940032871</v>
      </c>
      <c r="P20" s="152">
        <f t="shared" si="65"/>
        <v>1187.1885667930449</v>
      </c>
      <c r="Q20" s="152">
        <f t="shared" si="65"/>
        <v>1211.6550329970532</v>
      </c>
      <c r="R20" s="152">
        <f t="shared" si="65"/>
        <v>1220.4624805731762</v>
      </c>
      <c r="S20" s="152">
        <f t="shared" si="65"/>
        <v>1248.1151525680741</v>
      </c>
      <c r="T20" s="152">
        <f t="shared" si="65"/>
        <v>1272.2589273213393</v>
      </c>
      <c r="U20" s="152">
        <f t="shared" si="65"/>
        <v>1235.3096375424345</v>
      </c>
      <c r="V20" s="152">
        <f t="shared" si="65"/>
        <v>1166.5428912658383</v>
      </c>
      <c r="W20" s="152">
        <f t="shared" ref="W20:Y20" si="66">SUM(W21:W25)</f>
        <v>1187.8914392498687</v>
      </c>
      <c r="X20" s="152">
        <f t="shared" si="66"/>
        <v>1233.8414098921739</v>
      </c>
      <c r="Y20" s="152">
        <f t="shared" si="66"/>
        <v>1221.7347343709239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137.56583836802795</v>
      </c>
      <c r="C21" s="87">
        <f t="shared" si="67"/>
        <v>151.39679791528943</v>
      </c>
      <c r="D21" s="87">
        <f t="shared" si="67"/>
        <v>151.20676204330428</v>
      </c>
      <c r="E21" s="87">
        <f t="shared" si="67"/>
        <v>146.10713255461266</v>
      </c>
      <c r="F21" s="87">
        <f t="shared" si="67"/>
        <v>146.98885742413941</v>
      </c>
      <c r="G21" s="87">
        <f t="shared" si="67"/>
        <v>145.52686918886201</v>
      </c>
      <c r="H21" s="87">
        <f t="shared" si="67"/>
        <v>144.5853224864718</v>
      </c>
      <c r="I21" s="87">
        <f t="shared" si="67"/>
        <v>137.84876131996654</v>
      </c>
      <c r="J21" s="87">
        <f t="shared" si="67"/>
        <v>124.51911437182336</v>
      </c>
      <c r="K21" s="87">
        <f t="shared" si="67"/>
        <v>112.5470187005312</v>
      </c>
      <c r="L21" s="87">
        <f t="shared" ref="L21" si="68">IF(L48=0,0,L48*L158)</f>
        <v>100.86524689576949</v>
      </c>
      <c r="M21" s="87">
        <f t="shared" ref="M21:V21" si="69">IF(M48=0,0,M48*M158)</f>
        <v>87.281199465615302</v>
      </c>
      <c r="N21" s="87">
        <f t="shared" si="69"/>
        <v>74.326225167976531</v>
      </c>
      <c r="O21" s="87">
        <f t="shared" si="69"/>
        <v>68.157411541265773</v>
      </c>
      <c r="P21" s="87">
        <f t="shared" si="69"/>
        <v>63.182029919098703</v>
      </c>
      <c r="Q21" s="87">
        <f t="shared" si="69"/>
        <v>59.928602647537971</v>
      </c>
      <c r="R21" s="87">
        <f t="shared" si="69"/>
        <v>58.553584001353045</v>
      </c>
      <c r="S21" s="87">
        <f t="shared" si="69"/>
        <v>57.186776450235286</v>
      </c>
      <c r="T21" s="87">
        <f t="shared" si="69"/>
        <v>53.685367587430157</v>
      </c>
      <c r="U21" s="87">
        <f t="shared" si="69"/>
        <v>51.260013414093223</v>
      </c>
      <c r="V21" s="87">
        <f t="shared" si="69"/>
        <v>48.103260296359338</v>
      </c>
      <c r="W21" s="87">
        <f t="shared" ref="W21:Y21" si="70">IF(W48=0,0,W48*W158)</f>
        <v>50.867334473575802</v>
      </c>
      <c r="X21" s="87">
        <f t="shared" si="70"/>
        <v>51.977554715792706</v>
      </c>
      <c r="Y21" s="87">
        <f t="shared" si="70"/>
        <v>51.396943680549768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754.32610410046175</v>
      </c>
      <c r="C22" s="87">
        <f t="shared" si="71"/>
        <v>808.78532351813442</v>
      </c>
      <c r="D22" s="87">
        <f t="shared" si="71"/>
        <v>854.54202787822544</v>
      </c>
      <c r="E22" s="87">
        <f t="shared" si="71"/>
        <v>940.61702310926262</v>
      </c>
      <c r="F22" s="87">
        <f t="shared" si="71"/>
        <v>1064.2195626857058</v>
      </c>
      <c r="G22" s="87">
        <f t="shared" si="71"/>
        <v>1174.9737841258955</v>
      </c>
      <c r="H22" s="87">
        <f t="shared" si="71"/>
        <v>1332.1180831281456</v>
      </c>
      <c r="I22" s="87">
        <f t="shared" si="71"/>
        <v>1496.9873114556628</v>
      </c>
      <c r="J22" s="87">
        <f t="shared" si="71"/>
        <v>1526.5099685659495</v>
      </c>
      <c r="K22" s="87">
        <f t="shared" si="71"/>
        <v>1451.4547616795396</v>
      </c>
      <c r="L22" s="87">
        <f t="shared" ref="L22" si="72">IF(L49=0,0,L49*L159)</f>
        <v>1415.1209098108282</v>
      </c>
      <c r="M22" s="87">
        <f t="shared" ref="M22:V22" si="73">IF(M49=0,0,M49*M159)</f>
        <v>1296.7859530873736</v>
      </c>
      <c r="N22" s="87">
        <f t="shared" si="73"/>
        <v>1213.0769858537451</v>
      </c>
      <c r="O22" s="87">
        <f t="shared" si="73"/>
        <v>1157.3544793152594</v>
      </c>
      <c r="P22" s="87">
        <f t="shared" si="73"/>
        <v>1123.9098251929918</v>
      </c>
      <c r="Q22" s="87">
        <f t="shared" si="73"/>
        <v>1149.9029263918319</v>
      </c>
      <c r="R22" s="87">
        <f t="shared" si="73"/>
        <v>1159.9619865736067</v>
      </c>
      <c r="S22" s="87">
        <f t="shared" si="73"/>
        <v>1188.6884496624348</v>
      </c>
      <c r="T22" s="87">
        <f t="shared" si="73"/>
        <v>1216.2982010618175</v>
      </c>
      <c r="U22" s="87">
        <f t="shared" si="73"/>
        <v>1181.3032149209971</v>
      </c>
      <c r="V22" s="87">
        <f t="shared" si="73"/>
        <v>1114.6538445376552</v>
      </c>
      <c r="W22" s="87">
        <f t="shared" ref="W22:Y22" si="74">IF(W49=0,0,W49*W159)</f>
        <v>1129.2572915985575</v>
      </c>
      <c r="X22" s="87">
        <f t="shared" si="74"/>
        <v>1169.7828223304282</v>
      </c>
      <c r="Y22" s="87">
        <f t="shared" si="74"/>
        <v>1153.4252784198325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:Y23" si="78">IF(W50=0,0,W50*W160)</f>
        <v>0</v>
      </c>
      <c r="X23" s="87">
        <f t="shared" si="78"/>
        <v>0</v>
      </c>
      <c r="Y23" s="87">
        <f t="shared" si="78"/>
        <v>0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0.68397953409355516</v>
      </c>
      <c r="R24" s="87">
        <f t="shared" si="81"/>
        <v>0.72101300648858324</v>
      </c>
      <c r="S24" s="87">
        <f t="shared" si="81"/>
        <v>0.77185390068943061</v>
      </c>
      <c r="T24" s="87">
        <f t="shared" si="81"/>
        <v>0.76284706838749294</v>
      </c>
      <c r="U24" s="87">
        <f t="shared" si="81"/>
        <v>0.73212324126974726</v>
      </c>
      <c r="V24" s="87">
        <f t="shared" si="81"/>
        <v>0.67709997450390191</v>
      </c>
      <c r="W24" s="87">
        <f t="shared" ref="W24:Y24" si="82">IF(W51=0,0,W51*W161)</f>
        <v>0.66095892680792945</v>
      </c>
      <c r="X24" s="87">
        <f t="shared" si="82"/>
        <v>0.63608361194320406</v>
      </c>
      <c r="Y24" s="87">
        <f t="shared" si="82"/>
        <v>0.58606602564027166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3.7573498855570799E-2</v>
      </c>
      <c r="O25" s="87">
        <f t="shared" si="85"/>
        <v>0.12500314676215271</v>
      </c>
      <c r="P25" s="87">
        <f t="shared" si="85"/>
        <v>9.6711680954299301E-2</v>
      </c>
      <c r="Q25" s="87">
        <f t="shared" si="85"/>
        <v>1.1395244235897988</v>
      </c>
      <c r="R25" s="87">
        <f t="shared" si="85"/>
        <v>1.2258969917277662</v>
      </c>
      <c r="S25" s="87">
        <f t="shared" si="85"/>
        <v>1.4680725547145863</v>
      </c>
      <c r="T25" s="87">
        <f t="shared" si="85"/>
        <v>1.5125116037041717</v>
      </c>
      <c r="U25" s="87">
        <f t="shared" si="85"/>
        <v>2.0142859660744374</v>
      </c>
      <c r="V25" s="87">
        <f t="shared" si="85"/>
        <v>3.1086864573199091</v>
      </c>
      <c r="W25" s="87">
        <f t="shared" ref="W25:Y25" si="86">IF(W52=0,0,W52*W162)</f>
        <v>7.1058542509273721</v>
      </c>
      <c r="X25" s="87">
        <f t="shared" si="86"/>
        <v>11.444949234009899</v>
      </c>
      <c r="Y25" s="87">
        <f t="shared" si="86"/>
        <v>16.326446244901312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15135.134184086188</v>
      </c>
      <c r="C26" s="116">
        <f t="shared" si="87"/>
        <v>15316.426795903024</v>
      </c>
      <c r="D26" s="116">
        <f t="shared" si="87"/>
        <v>15747.50063622354</v>
      </c>
      <c r="E26" s="116">
        <f t="shared" si="87"/>
        <v>15777.978798603068</v>
      </c>
      <c r="F26" s="116">
        <f t="shared" si="87"/>
        <v>16069.630331978449</v>
      </c>
      <c r="G26" s="116">
        <f t="shared" si="87"/>
        <v>16786.513223591253</v>
      </c>
      <c r="H26" s="116">
        <f t="shared" si="87"/>
        <v>17692.258729141256</v>
      </c>
      <c r="I26" s="116">
        <f t="shared" si="87"/>
        <v>18387.594020981316</v>
      </c>
      <c r="J26" s="116">
        <f t="shared" si="87"/>
        <v>18914.41807897732</v>
      </c>
      <c r="K26" s="116">
        <f t="shared" si="87"/>
        <v>16915.748243820388</v>
      </c>
      <c r="L26" s="116">
        <f t="shared" ref="L26" si="88">SUM(L27:L28)</f>
        <v>17243.749269546621</v>
      </c>
      <c r="M26" s="116">
        <f t="shared" ref="M26:V26" si="89">SUM(M27:M28)</f>
        <v>18438.395166590464</v>
      </c>
      <c r="N26" s="116">
        <f t="shared" si="89"/>
        <v>18571.037617626171</v>
      </c>
      <c r="O26" s="116">
        <f t="shared" si="89"/>
        <v>19296.721203207024</v>
      </c>
      <c r="P26" s="116">
        <f t="shared" si="89"/>
        <v>19517.265790013018</v>
      </c>
      <c r="Q26" s="116">
        <f t="shared" si="89"/>
        <v>19128.622625910946</v>
      </c>
      <c r="R26" s="116">
        <f t="shared" si="89"/>
        <v>20598.863081338419</v>
      </c>
      <c r="S26" s="116">
        <f t="shared" si="89"/>
        <v>20352.101420361723</v>
      </c>
      <c r="T26" s="116">
        <f t="shared" si="89"/>
        <v>19306</v>
      </c>
      <c r="U26" s="116">
        <f t="shared" si="89"/>
        <v>19461</v>
      </c>
      <c r="V26" s="116">
        <f t="shared" si="89"/>
        <v>20209</v>
      </c>
      <c r="W26" s="116">
        <f t="shared" ref="W26:Y26" si="90">SUM(W27:W28)</f>
        <v>20804</v>
      </c>
      <c r="X26" s="116">
        <f t="shared" si="90"/>
        <v>20856</v>
      </c>
      <c r="Y26" s="116">
        <f t="shared" si="90"/>
        <v>21439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11000</v>
      </c>
      <c r="C27" s="101">
        <f t="shared" si="91"/>
        <v>10887</v>
      </c>
      <c r="D27" s="101">
        <f t="shared" si="91"/>
        <v>11057</v>
      </c>
      <c r="E27" s="101">
        <f t="shared" si="91"/>
        <v>11012</v>
      </c>
      <c r="F27" s="101">
        <f t="shared" si="91"/>
        <v>10538</v>
      </c>
      <c r="G27" s="101">
        <f t="shared" si="91"/>
        <v>11058</v>
      </c>
      <c r="H27" s="101">
        <f t="shared" si="91"/>
        <v>11495</v>
      </c>
      <c r="I27" s="101">
        <f t="shared" si="91"/>
        <v>11800</v>
      </c>
      <c r="J27" s="101">
        <f t="shared" si="91"/>
        <v>10718</v>
      </c>
      <c r="K27" s="101">
        <f t="shared" si="91"/>
        <v>10002</v>
      </c>
      <c r="L27" s="101">
        <f t="shared" ref="L27:V27" si="92">IF(L54=0,0,L54*L164)</f>
        <v>10573</v>
      </c>
      <c r="M27" s="101">
        <f t="shared" si="92"/>
        <v>12025</v>
      </c>
      <c r="N27" s="101">
        <f t="shared" si="92"/>
        <v>12292</v>
      </c>
      <c r="O27" s="101">
        <f t="shared" si="92"/>
        <v>12217</v>
      </c>
      <c r="P27" s="101">
        <f t="shared" si="92"/>
        <v>12943</v>
      </c>
      <c r="Q27" s="101">
        <f t="shared" si="92"/>
        <v>12532.000000000002</v>
      </c>
      <c r="R27" s="101">
        <f t="shared" si="92"/>
        <v>13037</v>
      </c>
      <c r="S27" s="101">
        <f t="shared" si="92"/>
        <v>12577.000000000002</v>
      </c>
      <c r="T27" s="101">
        <f t="shared" si="92"/>
        <v>12075</v>
      </c>
      <c r="U27" s="101">
        <f t="shared" si="92"/>
        <v>12165</v>
      </c>
      <c r="V27" s="101">
        <f t="shared" si="92"/>
        <v>12407</v>
      </c>
      <c r="W27" s="101">
        <f t="shared" ref="W27:Y27" si="93">IF(W54=0,0,W54*W164)</f>
        <v>12863</v>
      </c>
      <c r="X27" s="101">
        <f t="shared" si="93"/>
        <v>12755</v>
      </c>
      <c r="Y27" s="101">
        <f t="shared" si="93"/>
        <v>13921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4135.1341840861878</v>
      </c>
      <c r="C28" s="88">
        <f t="shared" si="94"/>
        <v>4429.426795903024</v>
      </c>
      <c r="D28" s="88">
        <f t="shared" si="94"/>
        <v>4690.5006362235399</v>
      </c>
      <c r="E28" s="88">
        <f t="shared" si="94"/>
        <v>4765.9787986030678</v>
      </c>
      <c r="F28" s="88">
        <f t="shared" si="94"/>
        <v>5531.6303319784492</v>
      </c>
      <c r="G28" s="88">
        <f t="shared" si="94"/>
        <v>5728.5132235912533</v>
      </c>
      <c r="H28" s="88">
        <f t="shared" si="94"/>
        <v>6197.2587291412565</v>
      </c>
      <c r="I28" s="88">
        <f t="shared" si="94"/>
        <v>6587.5940209813161</v>
      </c>
      <c r="J28" s="88">
        <f t="shared" si="94"/>
        <v>8196.41807897732</v>
      </c>
      <c r="K28" s="88">
        <f t="shared" si="94"/>
        <v>6913.7482438203879</v>
      </c>
      <c r="L28" s="88">
        <f t="shared" ref="L28:V28" si="95">IF(L55=0,0,L55*L165)</f>
        <v>6670.7492695466208</v>
      </c>
      <c r="M28" s="88">
        <f t="shared" si="95"/>
        <v>6413.3951665904642</v>
      </c>
      <c r="N28" s="88">
        <f t="shared" si="95"/>
        <v>6279.0376176261707</v>
      </c>
      <c r="O28" s="88">
        <f t="shared" si="95"/>
        <v>7079.7212032070238</v>
      </c>
      <c r="P28" s="88">
        <f t="shared" si="95"/>
        <v>6574.265790013018</v>
      </c>
      <c r="Q28" s="88">
        <f t="shared" si="95"/>
        <v>6596.6226259109426</v>
      </c>
      <c r="R28" s="88">
        <f t="shared" si="95"/>
        <v>7561.8630813384189</v>
      </c>
      <c r="S28" s="88">
        <f t="shared" si="95"/>
        <v>7775.1014203617233</v>
      </c>
      <c r="T28" s="88">
        <f t="shared" si="95"/>
        <v>7231</v>
      </c>
      <c r="U28" s="88">
        <f t="shared" si="95"/>
        <v>7296</v>
      </c>
      <c r="V28" s="88">
        <f t="shared" si="95"/>
        <v>7802</v>
      </c>
      <c r="W28" s="88">
        <f t="shared" ref="W28:Y28" si="96">IF(W55=0,0,W55*W165)</f>
        <v>7941</v>
      </c>
      <c r="X28" s="88">
        <f t="shared" si="96"/>
        <v>8101</v>
      </c>
      <c r="Y28" s="88">
        <f t="shared" si="96"/>
        <v>7518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31776.954410941682</v>
      </c>
      <c r="C30" s="62">
        <f t="shared" ref="C30:V30" si="98">C31+C46</f>
        <v>32465.808699037956</v>
      </c>
      <c r="D30" s="62">
        <f t="shared" si="98"/>
        <v>33379.288293377605</v>
      </c>
      <c r="E30" s="62">
        <f t="shared" si="98"/>
        <v>34599.784594078352</v>
      </c>
      <c r="F30" s="62">
        <f t="shared" si="98"/>
        <v>35784.695445499412</v>
      </c>
      <c r="G30" s="62">
        <f t="shared" si="98"/>
        <v>36897.901039969292</v>
      </c>
      <c r="H30" s="62">
        <f t="shared" si="98"/>
        <v>38581.432585069648</v>
      </c>
      <c r="I30" s="62">
        <f t="shared" si="98"/>
        <v>41746.830804475627</v>
      </c>
      <c r="J30" s="62">
        <f t="shared" si="98"/>
        <v>42453.420303714243</v>
      </c>
      <c r="K30" s="62">
        <f t="shared" si="98"/>
        <v>41718.059403794548</v>
      </c>
      <c r="L30" s="62">
        <f t="shared" si="98"/>
        <v>41916.074153238485</v>
      </c>
      <c r="M30" s="62">
        <f t="shared" si="98"/>
        <v>42933.91687724409</v>
      </c>
      <c r="N30" s="62">
        <f t="shared" si="98"/>
        <v>41529.940056795371</v>
      </c>
      <c r="O30" s="62">
        <f t="shared" si="98"/>
        <v>42004.018613297325</v>
      </c>
      <c r="P30" s="62">
        <f t="shared" si="98"/>
        <v>42877.236686659409</v>
      </c>
      <c r="Q30" s="62">
        <f t="shared" si="98"/>
        <v>46348.921149849652</v>
      </c>
      <c r="R30" s="62">
        <f t="shared" si="98"/>
        <v>47528.592774039018</v>
      </c>
      <c r="S30" s="62">
        <f t="shared" si="98"/>
        <v>47871.589020491985</v>
      </c>
      <c r="T30" s="62">
        <f t="shared" si="98"/>
        <v>49142.676657297066</v>
      </c>
      <c r="U30" s="62">
        <f t="shared" si="98"/>
        <v>49667.403710079219</v>
      </c>
      <c r="V30" s="62">
        <f t="shared" si="98"/>
        <v>46744.215640124807</v>
      </c>
      <c r="W30" s="62">
        <f t="shared" ref="W30:Y30" si="99">W31+W46</f>
        <v>49775.141927608027</v>
      </c>
      <c r="X30" s="62">
        <f t="shared" si="99"/>
        <v>50136.052643844436</v>
      </c>
      <c r="Y30" s="62">
        <f t="shared" si="99"/>
        <v>51812.739686233712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25235.748326094694</v>
      </c>
      <c r="C31" s="29">
        <f t="shared" ref="C31:V31" si="101">C32+C33+C40</f>
        <v>25416.49352348383</v>
      </c>
      <c r="D31" s="29">
        <f t="shared" si="101"/>
        <v>26066.518076190714</v>
      </c>
      <c r="E31" s="29">
        <f t="shared" si="101"/>
        <v>26695.262276644731</v>
      </c>
      <c r="F31" s="29">
        <f t="shared" si="101"/>
        <v>27141.986021635337</v>
      </c>
      <c r="G31" s="29">
        <f t="shared" si="101"/>
        <v>27644.774350071348</v>
      </c>
      <c r="H31" s="29">
        <f t="shared" si="101"/>
        <v>28342.894748048588</v>
      </c>
      <c r="I31" s="29">
        <f t="shared" si="101"/>
        <v>30481.424557955324</v>
      </c>
      <c r="J31" s="29">
        <f t="shared" si="101"/>
        <v>31026.57655244373</v>
      </c>
      <c r="K31" s="29">
        <f t="shared" si="101"/>
        <v>31112.656027385736</v>
      </c>
      <c r="L31" s="29">
        <f t="shared" si="101"/>
        <v>31580.806101337865</v>
      </c>
      <c r="M31" s="29">
        <f t="shared" si="101"/>
        <v>33421.704732927465</v>
      </c>
      <c r="N31" s="29">
        <f t="shared" si="101"/>
        <v>32645.399096870035</v>
      </c>
      <c r="O31" s="29">
        <f t="shared" si="101"/>
        <v>33453.81554711589</v>
      </c>
      <c r="P31" s="29">
        <f t="shared" si="101"/>
        <v>34583.923763363004</v>
      </c>
      <c r="Q31" s="29">
        <f t="shared" si="101"/>
        <v>37958.489467686413</v>
      </c>
      <c r="R31" s="29">
        <f t="shared" si="101"/>
        <v>39020.019219719696</v>
      </c>
      <c r="S31" s="29">
        <f t="shared" si="101"/>
        <v>39226.93543237148</v>
      </c>
      <c r="T31" s="29">
        <f t="shared" si="101"/>
        <v>40387.724774927876</v>
      </c>
      <c r="U31" s="29">
        <f t="shared" si="101"/>
        <v>41099.318483813971</v>
      </c>
      <c r="V31" s="29">
        <f t="shared" si="101"/>
        <v>38566.055546161078</v>
      </c>
      <c r="W31" s="29">
        <f t="shared" ref="W31:Y31" si="102">W32+W33+W40</f>
        <v>41400.611352568638</v>
      </c>
      <c r="X31" s="29">
        <f t="shared" si="102"/>
        <v>41405.025317689142</v>
      </c>
      <c r="Y31" s="29">
        <f t="shared" si="102"/>
        <v>43175.956972723849</v>
      </c>
      <c r="DA31" s="173" t="s">
        <v>475</v>
      </c>
    </row>
    <row r="32" spans="1:105" ht="11.45" customHeight="1" x14ac:dyDescent="0.25">
      <c r="A32" s="136" t="s">
        <v>173</v>
      </c>
      <c r="B32" s="152">
        <v>559.46837012763615</v>
      </c>
      <c r="C32" s="152">
        <v>531.06554464837575</v>
      </c>
      <c r="D32" s="152">
        <v>552.16653306202056</v>
      </c>
      <c r="E32" s="152">
        <v>557.67059740140985</v>
      </c>
      <c r="F32" s="152">
        <v>557.08000000000004</v>
      </c>
      <c r="G32" s="152">
        <v>572.26</v>
      </c>
      <c r="H32" s="152">
        <v>602.79</v>
      </c>
      <c r="I32" s="152">
        <v>643.72</v>
      </c>
      <c r="J32" s="152">
        <v>643.72</v>
      </c>
      <c r="K32" s="152">
        <v>619.85247216486562</v>
      </c>
      <c r="L32" s="152">
        <v>621.31216882815522</v>
      </c>
      <c r="M32" s="152">
        <v>617.20060942527437</v>
      </c>
      <c r="N32" s="152">
        <v>622.2034951645411</v>
      </c>
      <c r="O32" s="152">
        <v>630.60903728296751</v>
      </c>
      <c r="P32" s="152">
        <v>642.67130297911376</v>
      </c>
      <c r="Q32" s="152">
        <v>648.12027629476131</v>
      </c>
      <c r="R32" s="152">
        <v>646.22996649381867</v>
      </c>
      <c r="S32" s="152">
        <v>607.16838444197526</v>
      </c>
      <c r="T32" s="152">
        <v>576.77197470206829</v>
      </c>
      <c r="U32" s="152">
        <v>604.50672336017647</v>
      </c>
      <c r="V32" s="152">
        <v>539.54270550717422</v>
      </c>
      <c r="W32" s="152">
        <v>557.65933580267927</v>
      </c>
      <c r="X32" s="152">
        <v>559.27676560210432</v>
      </c>
      <c r="Y32" s="152">
        <v>598.12506029313374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24047.279955967057</v>
      </c>
      <c r="C33" s="116">
        <f t="shared" ref="C33:V33" si="104">SUM(C34:C39)</f>
        <v>24260.427978835454</v>
      </c>
      <c r="D33" s="116">
        <f t="shared" si="104"/>
        <v>24898.551995441077</v>
      </c>
      <c r="E33" s="116">
        <f t="shared" si="104"/>
        <v>25527.247504522689</v>
      </c>
      <c r="F33" s="116">
        <f t="shared" si="104"/>
        <v>25983.906021635335</v>
      </c>
      <c r="G33" s="116">
        <f t="shared" si="104"/>
        <v>26460.514350071349</v>
      </c>
      <c r="H33" s="116">
        <f t="shared" si="104"/>
        <v>27116.104748048587</v>
      </c>
      <c r="I33" s="116">
        <f t="shared" si="104"/>
        <v>29217.704557955323</v>
      </c>
      <c r="J33" s="116">
        <f t="shared" si="104"/>
        <v>29753.856552443729</v>
      </c>
      <c r="K33" s="116">
        <f t="shared" si="104"/>
        <v>29853.628228732319</v>
      </c>
      <c r="L33" s="116">
        <f t="shared" si="104"/>
        <v>30308.344070831241</v>
      </c>
      <c r="M33" s="116">
        <f t="shared" si="104"/>
        <v>32168.976860102161</v>
      </c>
      <c r="N33" s="116">
        <f t="shared" si="104"/>
        <v>31424.801514205472</v>
      </c>
      <c r="O33" s="116">
        <f t="shared" si="104"/>
        <v>32246.36289104653</v>
      </c>
      <c r="P33" s="116">
        <f t="shared" si="104"/>
        <v>33346.207543877237</v>
      </c>
      <c r="Q33" s="116">
        <f t="shared" si="104"/>
        <v>36704.369191391655</v>
      </c>
      <c r="R33" s="116">
        <f t="shared" si="104"/>
        <v>37749.789253225877</v>
      </c>
      <c r="S33" s="116">
        <f t="shared" si="104"/>
        <v>37971.767047929505</v>
      </c>
      <c r="T33" s="116">
        <f t="shared" si="104"/>
        <v>39168.952800225808</v>
      </c>
      <c r="U33" s="116">
        <f t="shared" si="104"/>
        <v>39870.57335509183</v>
      </c>
      <c r="V33" s="116">
        <f t="shared" si="104"/>
        <v>37404.898495236746</v>
      </c>
      <c r="W33" s="116">
        <f t="shared" ref="W33:Y33" si="105">SUM(W34:W39)</f>
        <v>40220.957085836766</v>
      </c>
      <c r="X33" s="116">
        <f t="shared" si="105"/>
        <v>40220.461740900399</v>
      </c>
      <c r="Y33" s="116">
        <f t="shared" si="105"/>
        <v>41952.833121333853</v>
      </c>
      <c r="DA33" s="176" t="s">
        <v>477</v>
      </c>
    </row>
    <row r="34" spans="1:105" ht="11.45" customHeight="1" x14ac:dyDescent="0.25">
      <c r="A34" s="111" t="s">
        <v>110</v>
      </c>
      <c r="B34" s="87">
        <v>21819.399194291374</v>
      </c>
      <c r="C34" s="87">
        <v>21696.356526245087</v>
      </c>
      <c r="D34" s="87">
        <v>22008.655232747209</v>
      </c>
      <c r="E34" s="87">
        <v>22397.079476881067</v>
      </c>
      <c r="F34" s="87">
        <v>22380.967590906039</v>
      </c>
      <c r="G34" s="87">
        <v>21991.603671762059</v>
      </c>
      <c r="H34" s="87">
        <v>21890.300961369314</v>
      </c>
      <c r="I34" s="87">
        <v>22140.75805508046</v>
      </c>
      <c r="J34" s="87">
        <v>21511.019060952276</v>
      </c>
      <c r="K34" s="87">
        <v>20849.872870238927</v>
      </c>
      <c r="L34" s="87">
        <v>20117.629427041302</v>
      </c>
      <c r="M34" s="87">
        <v>20608.011907493819</v>
      </c>
      <c r="N34" s="87">
        <v>19161.914468487488</v>
      </c>
      <c r="O34" s="87">
        <v>19124.510731614875</v>
      </c>
      <c r="P34" s="87">
        <v>19640.340030039697</v>
      </c>
      <c r="Q34" s="87">
        <v>20411.665352138843</v>
      </c>
      <c r="R34" s="87">
        <v>21979.320392515401</v>
      </c>
      <c r="S34" s="87">
        <v>21560.553675235464</v>
      </c>
      <c r="T34" s="87">
        <v>22183.64220335619</v>
      </c>
      <c r="U34" s="87">
        <v>22775.470249553833</v>
      </c>
      <c r="V34" s="87">
        <v>21547.899271377693</v>
      </c>
      <c r="W34" s="87">
        <v>23212.937337901592</v>
      </c>
      <c r="X34" s="87">
        <v>22795.715140906668</v>
      </c>
      <c r="Y34" s="87">
        <v>23622.13997866814</v>
      </c>
      <c r="DA34" s="171" t="s">
        <v>478</v>
      </c>
    </row>
    <row r="35" spans="1:105" ht="11.45" customHeight="1" x14ac:dyDescent="0.25">
      <c r="A35" s="111" t="s">
        <v>111</v>
      </c>
      <c r="B35" s="87">
        <v>2106.9125903519425</v>
      </c>
      <c r="C35" s="87">
        <v>2444.1251892003966</v>
      </c>
      <c r="D35" s="87">
        <v>2778.9923713876888</v>
      </c>
      <c r="E35" s="87">
        <v>3034.1563881345842</v>
      </c>
      <c r="F35" s="87">
        <v>3516.8222043731921</v>
      </c>
      <c r="G35" s="87">
        <v>4396.034823879967</v>
      </c>
      <c r="H35" s="87">
        <v>5163.4261684966286</v>
      </c>
      <c r="I35" s="87">
        <v>7021.6906285313889</v>
      </c>
      <c r="J35" s="87">
        <v>8198.6069728440652</v>
      </c>
      <c r="K35" s="87">
        <v>8971.9192618698689</v>
      </c>
      <c r="L35" s="87">
        <v>10189.996593156333</v>
      </c>
      <c r="M35" s="87">
        <v>11554.391885276564</v>
      </c>
      <c r="N35" s="87">
        <v>12249.222686183832</v>
      </c>
      <c r="O35" s="87">
        <v>13101.001601781576</v>
      </c>
      <c r="P35" s="87">
        <v>13661.906541394315</v>
      </c>
      <c r="Q35" s="87">
        <v>16076.892861817765</v>
      </c>
      <c r="R35" s="87">
        <v>15633.892338648879</v>
      </c>
      <c r="S35" s="87">
        <v>16257.594547196473</v>
      </c>
      <c r="T35" s="87">
        <v>16765.756807053156</v>
      </c>
      <c r="U35" s="87">
        <v>16745.531475284894</v>
      </c>
      <c r="V35" s="87">
        <v>15124.775521953366</v>
      </c>
      <c r="W35" s="87">
        <v>15241.870699637813</v>
      </c>
      <c r="X35" s="87">
        <v>14575.381565707699</v>
      </c>
      <c r="Y35" s="87">
        <v>13832.467037507011</v>
      </c>
      <c r="DA35" s="171" t="s">
        <v>479</v>
      </c>
    </row>
    <row r="36" spans="1:105" ht="11.45" customHeight="1" x14ac:dyDescent="0.25">
      <c r="A36" s="111" t="s">
        <v>112</v>
      </c>
      <c r="B36" s="87">
        <v>120.96817132374026</v>
      </c>
      <c r="C36" s="87">
        <v>119.94626338997227</v>
      </c>
      <c r="D36" s="87">
        <v>110.90439130618017</v>
      </c>
      <c r="E36" s="87">
        <v>96.011639507039888</v>
      </c>
      <c r="F36" s="87">
        <v>86.116226356105017</v>
      </c>
      <c r="G36" s="87">
        <v>72.875854429322061</v>
      </c>
      <c r="H36" s="87">
        <v>62.377618182644291</v>
      </c>
      <c r="I36" s="87">
        <v>55.255874343473799</v>
      </c>
      <c r="J36" s="87">
        <v>44.230518647387839</v>
      </c>
      <c r="K36" s="87">
        <v>31.400124947845253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0</v>
      </c>
      <c r="S36" s="87">
        <v>0</v>
      </c>
      <c r="T36" s="87">
        <v>0</v>
      </c>
      <c r="U36" s="87">
        <v>0</v>
      </c>
      <c r="V36" s="87">
        <v>0</v>
      </c>
      <c r="W36" s="87">
        <v>0</v>
      </c>
      <c r="X36" s="87">
        <v>0</v>
      </c>
      <c r="Y36" s="87">
        <v>0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0.76554896464897138</v>
      </c>
      <c r="R37" s="87">
        <v>2.0472960000661251</v>
      </c>
      <c r="S37" s="87">
        <v>3.6540246615542724</v>
      </c>
      <c r="T37" s="87">
        <v>6.3491424613607306</v>
      </c>
      <c r="U37" s="87">
        <v>8.9517480767738018</v>
      </c>
      <c r="V37" s="87">
        <v>10.326323398758586</v>
      </c>
      <c r="W37" s="87">
        <v>13.055142705316149</v>
      </c>
      <c r="X37" s="87">
        <v>16.176868790693629</v>
      </c>
      <c r="Y37" s="87">
        <v>18.58750130391968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0.40963699334899034</v>
      </c>
      <c r="O38" s="87">
        <v>0.55163793360259405</v>
      </c>
      <c r="P38" s="87">
        <v>1.8714048059303832</v>
      </c>
      <c r="Q38" s="87">
        <v>108.17400464811261</v>
      </c>
      <c r="R38" s="87">
        <v>10.852561734580242</v>
      </c>
      <c r="S38" s="87">
        <v>16.143663672017741</v>
      </c>
      <c r="T38" s="87">
        <v>58.737302283020661</v>
      </c>
      <c r="U38" s="87">
        <v>109.17555622708198</v>
      </c>
      <c r="V38" s="87">
        <v>317.09778962925014</v>
      </c>
      <c r="W38" s="87">
        <v>860.3137385163509</v>
      </c>
      <c r="X38" s="87">
        <v>1237.6684015493388</v>
      </c>
      <c r="Y38" s="87">
        <v>1648.8109577997966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0.43597167567710227</v>
      </c>
      <c r="L39" s="87">
        <v>0.71805063360663857</v>
      </c>
      <c r="M39" s="87">
        <v>6.5730673317780646</v>
      </c>
      <c r="N39" s="87">
        <v>13.254722540801161</v>
      </c>
      <c r="O39" s="87">
        <v>20.298919716475346</v>
      </c>
      <c r="P39" s="87">
        <v>42.089567637286443</v>
      </c>
      <c r="Q39" s="87">
        <v>106.87142382228548</v>
      </c>
      <c r="R39" s="87">
        <v>123.67666432695351</v>
      </c>
      <c r="S39" s="87">
        <v>133.82113716399834</v>
      </c>
      <c r="T39" s="87">
        <v>154.46734507208021</v>
      </c>
      <c r="U39" s="87">
        <v>231.44432594923961</v>
      </c>
      <c r="V39" s="87">
        <v>404.79958887767452</v>
      </c>
      <c r="W39" s="87">
        <v>892.78016707569805</v>
      </c>
      <c r="X39" s="87">
        <v>1595.5197639460039</v>
      </c>
      <c r="Y39" s="87">
        <v>2830.8276460549882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629</v>
      </c>
      <c r="C40" s="116">
        <f t="shared" ref="C40:V40" si="107">SUM(C41:C45)</f>
        <v>625</v>
      </c>
      <c r="D40" s="116">
        <f t="shared" si="107"/>
        <v>615.7995476876182</v>
      </c>
      <c r="E40" s="116">
        <f t="shared" si="107"/>
        <v>610.34417472063046</v>
      </c>
      <c r="F40" s="116">
        <f t="shared" si="107"/>
        <v>601</v>
      </c>
      <c r="G40" s="116">
        <f t="shared" si="107"/>
        <v>612</v>
      </c>
      <c r="H40" s="116">
        <f t="shared" si="107"/>
        <v>624</v>
      </c>
      <c r="I40" s="116">
        <f t="shared" si="107"/>
        <v>620</v>
      </c>
      <c r="J40" s="116">
        <f t="shared" si="107"/>
        <v>629</v>
      </c>
      <c r="K40" s="116">
        <f t="shared" si="107"/>
        <v>639.17532648855058</v>
      </c>
      <c r="L40" s="116">
        <f t="shared" si="107"/>
        <v>651.14986167847155</v>
      </c>
      <c r="M40" s="116">
        <f t="shared" si="107"/>
        <v>635.52726340002619</v>
      </c>
      <c r="N40" s="116">
        <f t="shared" si="107"/>
        <v>598.39408750002099</v>
      </c>
      <c r="O40" s="116">
        <f t="shared" si="107"/>
        <v>576.84361878639095</v>
      </c>
      <c r="P40" s="116">
        <f t="shared" si="107"/>
        <v>595.04491650665477</v>
      </c>
      <c r="Q40" s="116">
        <f t="shared" si="107"/>
        <v>606</v>
      </c>
      <c r="R40" s="116">
        <f t="shared" si="107"/>
        <v>624</v>
      </c>
      <c r="S40" s="116">
        <f t="shared" si="107"/>
        <v>648</v>
      </c>
      <c r="T40" s="116">
        <f t="shared" si="107"/>
        <v>642</v>
      </c>
      <c r="U40" s="116">
        <f t="shared" si="107"/>
        <v>624.23840536196644</v>
      </c>
      <c r="V40" s="116">
        <f t="shared" si="107"/>
        <v>621.61434541715153</v>
      </c>
      <c r="W40" s="116">
        <f t="shared" ref="W40:Y40" si="108">SUM(W41:W45)</f>
        <v>621.99493092919079</v>
      </c>
      <c r="X40" s="116">
        <f t="shared" si="108"/>
        <v>625.28681118664213</v>
      </c>
      <c r="Y40" s="116">
        <f t="shared" si="108"/>
        <v>624.99879109686458</v>
      </c>
      <c r="DA40" s="176" t="s">
        <v>484</v>
      </c>
    </row>
    <row r="41" spans="1:105" ht="11.45" customHeight="1" x14ac:dyDescent="0.25">
      <c r="A41" s="111" t="s">
        <v>110</v>
      </c>
      <c r="B41" s="101">
        <v>71.258358805606008</v>
      </c>
      <c r="C41" s="101">
        <v>72.303257400750439</v>
      </c>
      <c r="D41" s="101">
        <v>71.917131062968792</v>
      </c>
      <c r="E41" s="101">
        <v>45.738521113365813</v>
      </c>
      <c r="F41" s="101">
        <v>37.607448522867159</v>
      </c>
      <c r="G41" s="101">
        <v>35.570446571752214</v>
      </c>
      <c r="H41" s="101">
        <v>35.92186073769868</v>
      </c>
      <c r="I41" s="101">
        <v>35.123485583570542</v>
      </c>
      <c r="J41" s="101">
        <v>35.550611533802432</v>
      </c>
      <c r="K41" s="101">
        <v>34.272958457172777</v>
      </c>
      <c r="L41" s="101">
        <v>33.159364166805688</v>
      </c>
      <c r="M41" s="101">
        <v>32.211410922070002</v>
      </c>
      <c r="N41" s="101">
        <v>31.335338277460171</v>
      </c>
      <c r="O41" s="101">
        <v>33.369368621281609</v>
      </c>
      <c r="P41" s="101">
        <v>30.050749007334272</v>
      </c>
      <c r="Q41" s="101">
        <v>26.752471110705773</v>
      </c>
      <c r="R41" s="101">
        <v>24.440734665195674</v>
      </c>
      <c r="S41" s="101">
        <v>22.596357324314866</v>
      </c>
      <c r="T41" s="101">
        <v>20.385855641185927</v>
      </c>
      <c r="U41" s="101">
        <v>18.00430344922966</v>
      </c>
      <c r="V41" s="101">
        <v>16.829383888634922</v>
      </c>
      <c r="W41" s="101">
        <v>16.061253184298288</v>
      </c>
      <c r="X41" s="101">
        <v>15.980346551924072</v>
      </c>
      <c r="Y41" s="101">
        <v>14.871151460134804</v>
      </c>
      <c r="DA41" s="175" t="s">
        <v>485</v>
      </c>
    </row>
    <row r="42" spans="1:105" ht="11.45" customHeight="1" x14ac:dyDescent="0.25">
      <c r="A42" s="111" t="s">
        <v>111</v>
      </c>
      <c r="B42" s="101">
        <v>557.74164119439399</v>
      </c>
      <c r="C42" s="101">
        <v>552.69674259924955</v>
      </c>
      <c r="D42" s="101">
        <v>543.88241662464941</v>
      </c>
      <c r="E42" s="101">
        <v>564.60565360726468</v>
      </c>
      <c r="F42" s="101">
        <v>563.39255147713288</v>
      </c>
      <c r="G42" s="101">
        <v>576.4295534282478</v>
      </c>
      <c r="H42" s="101">
        <v>588.07813926230131</v>
      </c>
      <c r="I42" s="101">
        <v>584.87651441642947</v>
      </c>
      <c r="J42" s="101">
        <v>593.44938846619755</v>
      </c>
      <c r="K42" s="101">
        <v>604.90236803137782</v>
      </c>
      <c r="L42" s="101">
        <v>617.99049751166581</v>
      </c>
      <c r="M42" s="101">
        <v>603.31585247795624</v>
      </c>
      <c r="N42" s="101">
        <v>567.05874922256078</v>
      </c>
      <c r="O42" s="101">
        <v>543.47425016510931</v>
      </c>
      <c r="P42" s="101">
        <v>564.9941674993205</v>
      </c>
      <c r="Q42" s="101">
        <v>577.17557958645318</v>
      </c>
      <c r="R42" s="101">
        <v>594.56306543595372</v>
      </c>
      <c r="S42" s="101">
        <v>614.77057307343466</v>
      </c>
      <c r="T42" s="101">
        <v>610.73349686801907</v>
      </c>
      <c r="U42" s="101">
        <v>591.43856394155193</v>
      </c>
      <c r="V42" s="101">
        <v>589.96279820926111</v>
      </c>
      <c r="W42" s="101">
        <v>579.54746019808351</v>
      </c>
      <c r="X42" s="101">
        <v>564.23528187521504</v>
      </c>
      <c r="Y42" s="101">
        <v>536.10402039468522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2.0719493028410136</v>
      </c>
      <c r="R44" s="101">
        <v>4.7230639784459632</v>
      </c>
      <c r="S44" s="101">
        <v>10.269432813384601</v>
      </c>
      <c r="T44" s="101">
        <v>10.426442811706201</v>
      </c>
      <c r="U44" s="101">
        <v>10.257170135011709</v>
      </c>
      <c r="V44" s="101">
        <v>10.805154301269075</v>
      </c>
      <c r="W44" s="101">
        <v>11.15534182070768</v>
      </c>
      <c r="X44" s="101">
        <v>11.758707666656472</v>
      </c>
      <c r="Y44" s="101">
        <v>12.877470423058696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0</v>
      </c>
      <c r="R45" s="101">
        <v>0.27313592040468498</v>
      </c>
      <c r="S45" s="101">
        <v>0.36363678886587336</v>
      </c>
      <c r="T45" s="101">
        <v>0.45420467908877143</v>
      </c>
      <c r="U45" s="101">
        <v>4.5383678361732036</v>
      </c>
      <c r="V45" s="101">
        <v>4.0170090179863926</v>
      </c>
      <c r="W45" s="101">
        <v>15.230875726101322</v>
      </c>
      <c r="X45" s="101">
        <v>33.312475092846562</v>
      </c>
      <c r="Y45" s="101">
        <v>61.146148818985864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6541.2060848469882</v>
      </c>
      <c r="C46" s="29">
        <f t="shared" ref="C46:V46" si="110">C47+C53</f>
        <v>7049.3151755541248</v>
      </c>
      <c r="D46" s="29">
        <f t="shared" si="110"/>
        <v>7312.7702171868896</v>
      </c>
      <c r="E46" s="29">
        <f t="shared" si="110"/>
        <v>7904.5223174336215</v>
      </c>
      <c r="F46" s="29">
        <f t="shared" si="110"/>
        <v>8642.7094238640711</v>
      </c>
      <c r="G46" s="29">
        <f t="shared" si="110"/>
        <v>9253.1266898979447</v>
      </c>
      <c r="H46" s="29">
        <f t="shared" si="110"/>
        <v>10238.537837021058</v>
      </c>
      <c r="I46" s="29">
        <f t="shared" si="110"/>
        <v>11265.406246520306</v>
      </c>
      <c r="J46" s="29">
        <f t="shared" si="110"/>
        <v>11426.843751270513</v>
      </c>
      <c r="K46" s="29">
        <f t="shared" si="110"/>
        <v>10605.403376408813</v>
      </c>
      <c r="L46" s="29">
        <f t="shared" si="110"/>
        <v>10335.268051900619</v>
      </c>
      <c r="M46" s="29">
        <f t="shared" si="110"/>
        <v>9512.2121443166234</v>
      </c>
      <c r="N46" s="29">
        <f t="shared" si="110"/>
        <v>8884.5409599253344</v>
      </c>
      <c r="O46" s="29">
        <f t="shared" si="110"/>
        <v>8550.203066181437</v>
      </c>
      <c r="P46" s="29">
        <f t="shared" si="110"/>
        <v>8293.312923296402</v>
      </c>
      <c r="Q46" s="29">
        <f t="shared" si="110"/>
        <v>8390.4316821632401</v>
      </c>
      <c r="R46" s="29">
        <f t="shared" si="110"/>
        <v>8508.5735543193259</v>
      </c>
      <c r="S46" s="29">
        <f t="shared" si="110"/>
        <v>8644.6535881205018</v>
      </c>
      <c r="T46" s="29">
        <f t="shared" si="110"/>
        <v>8754.9518823691906</v>
      </c>
      <c r="U46" s="29">
        <f t="shared" si="110"/>
        <v>8568.0852262652497</v>
      </c>
      <c r="V46" s="29">
        <f t="shared" si="110"/>
        <v>8178.1600939637283</v>
      </c>
      <c r="W46" s="29">
        <f t="shared" ref="W46:Y46" si="111">W47+W53</f>
        <v>8374.5305750393873</v>
      </c>
      <c r="X46" s="29">
        <f t="shared" si="111"/>
        <v>8731.0273261552975</v>
      </c>
      <c r="Y46" s="29">
        <f t="shared" si="111"/>
        <v>8636.7827135098614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4855.1722910664439</v>
      </c>
      <c r="C47" s="152">
        <f t="shared" ref="C47:V47" si="113">SUM(C48:C52)</f>
        <v>5304.3703780448786</v>
      </c>
      <c r="D47" s="152">
        <f t="shared" si="113"/>
        <v>5571.6462699918038</v>
      </c>
      <c r="E47" s="152">
        <f t="shared" si="113"/>
        <v>6058.1650976311003</v>
      </c>
      <c r="F47" s="152">
        <f t="shared" si="113"/>
        <v>6805.3992104183089</v>
      </c>
      <c r="G47" s="152">
        <f t="shared" si="113"/>
        <v>7416.9297454791722</v>
      </c>
      <c r="H47" s="152">
        <f t="shared" si="113"/>
        <v>8301.6680717024974</v>
      </c>
      <c r="I47" s="152">
        <f t="shared" si="113"/>
        <v>9261.7061609832108</v>
      </c>
      <c r="J47" s="152">
        <f t="shared" si="113"/>
        <v>9363.8279990434439</v>
      </c>
      <c r="K47" s="152">
        <f t="shared" si="113"/>
        <v>8826.918948985618</v>
      </c>
      <c r="L47" s="152">
        <f t="shared" si="113"/>
        <v>8568.7912674578474</v>
      </c>
      <c r="M47" s="152">
        <f t="shared" si="113"/>
        <v>7701.4300213011147</v>
      </c>
      <c r="N47" s="152">
        <f t="shared" si="113"/>
        <v>7056.7900265755425</v>
      </c>
      <c r="O47" s="152">
        <f t="shared" si="113"/>
        <v>6683.2790854216528</v>
      </c>
      <c r="P47" s="152">
        <f t="shared" si="113"/>
        <v>6430.3131065442803</v>
      </c>
      <c r="Q47" s="152">
        <f t="shared" si="113"/>
        <v>6567.4312823036616</v>
      </c>
      <c r="R47" s="152">
        <f t="shared" si="113"/>
        <v>6616.8540950504366</v>
      </c>
      <c r="S47" s="152">
        <f t="shared" si="113"/>
        <v>6804.7663292389561</v>
      </c>
      <c r="T47" s="152">
        <f t="shared" si="113"/>
        <v>6986.7990609268227</v>
      </c>
      <c r="U47" s="152">
        <f t="shared" si="113"/>
        <v>6772.2415011721077</v>
      </c>
      <c r="V47" s="152">
        <f t="shared" si="113"/>
        <v>6319.3228336214452</v>
      </c>
      <c r="W47" s="152">
        <f t="shared" ref="W47:Y47" si="114">SUM(W48:W52)</f>
        <v>6482.1860905561971</v>
      </c>
      <c r="X47" s="152">
        <f t="shared" si="114"/>
        <v>6837.1129309838943</v>
      </c>
      <c r="Y47" s="152">
        <f t="shared" si="114"/>
        <v>6796.4687739439896</v>
      </c>
      <c r="DA47" s="174" t="s">
        <v>491</v>
      </c>
    </row>
    <row r="48" spans="1:105" ht="11.45" customHeight="1" x14ac:dyDescent="0.25">
      <c r="A48" s="111" t="s">
        <v>110</v>
      </c>
      <c r="B48" s="87">
        <v>932.07525379964147</v>
      </c>
      <c r="C48" s="87">
        <v>1050.6512729031647</v>
      </c>
      <c r="D48" s="87">
        <v>1049.0030371379244</v>
      </c>
      <c r="E48" s="87">
        <v>1004.9603337842561</v>
      </c>
      <c r="F48" s="87">
        <v>1012.4894955940056</v>
      </c>
      <c r="G48" s="87">
        <v>999.34711805492816</v>
      </c>
      <c r="H48" s="87">
        <v>985.62316673726059</v>
      </c>
      <c r="I48" s="87">
        <v>951.14017483416899</v>
      </c>
      <c r="J48" s="87">
        <v>852.09924076831635</v>
      </c>
      <c r="K48" s="87">
        <v>765.55008823197841</v>
      </c>
      <c r="L48" s="87">
        <v>685.04194550927241</v>
      </c>
      <c r="M48" s="87">
        <v>580.53510937416081</v>
      </c>
      <c r="N48" s="87">
        <v>485.96645947398724</v>
      </c>
      <c r="O48" s="87">
        <v>447.28746513808824</v>
      </c>
      <c r="P48" s="87">
        <v>418.50378232866314</v>
      </c>
      <c r="Q48" s="87">
        <v>403.78402378323386</v>
      </c>
      <c r="R48" s="87">
        <v>397.22854419009946</v>
      </c>
      <c r="S48" s="87">
        <v>391.97360240181098</v>
      </c>
      <c r="T48" s="87">
        <v>369.19177273397349</v>
      </c>
      <c r="U48" s="87">
        <v>355.4161644075848</v>
      </c>
      <c r="V48" s="87">
        <v>331.47192399864667</v>
      </c>
      <c r="W48" s="87">
        <v>357.68208187773041</v>
      </c>
      <c r="X48" s="87">
        <v>369.33429337152103</v>
      </c>
      <c r="Y48" s="87">
        <v>366.63583280957283</v>
      </c>
      <c r="DA48" s="171" t="s">
        <v>492</v>
      </c>
    </row>
    <row r="49" spans="1:105" ht="11.45" customHeight="1" x14ac:dyDescent="0.25">
      <c r="A49" s="111" t="s">
        <v>111</v>
      </c>
      <c r="B49" s="87">
        <v>3921.2119299551018</v>
      </c>
      <c r="C49" s="87">
        <v>4251.6017476595243</v>
      </c>
      <c r="D49" s="87">
        <v>4520.3832894194884</v>
      </c>
      <c r="E49" s="87">
        <v>5051.1047906397725</v>
      </c>
      <c r="F49" s="87">
        <v>5790.8897179751139</v>
      </c>
      <c r="G49" s="87">
        <v>6415.8646857860822</v>
      </c>
      <c r="H49" s="87">
        <v>7314.6063600605012</v>
      </c>
      <c r="I49" s="87">
        <v>8309.3424714713019</v>
      </c>
      <c r="J49" s="87">
        <v>8510.7131128855508</v>
      </c>
      <c r="K49" s="87">
        <v>8060.5738354487094</v>
      </c>
      <c r="L49" s="87">
        <v>7883.7493219485759</v>
      </c>
      <c r="M49" s="87">
        <v>7120.8949119269537</v>
      </c>
      <c r="N49" s="87">
        <v>6570.6242590408565</v>
      </c>
      <c r="O49" s="87">
        <v>6235.3278236802771</v>
      </c>
      <c r="P49" s="87">
        <v>6011.295747280159</v>
      </c>
      <c r="Q49" s="87">
        <v>6152.9871694516696</v>
      </c>
      <c r="R49" s="87">
        <v>6208.2496333294357</v>
      </c>
      <c r="S49" s="87">
        <v>6399.8107457565648</v>
      </c>
      <c r="T49" s="87">
        <v>6604.4548951828683</v>
      </c>
      <c r="U49" s="87">
        <v>6401.2248889198336</v>
      </c>
      <c r="V49" s="87">
        <v>5966.9473888352122</v>
      </c>
      <c r="W49" s="87">
        <v>6082.3607163437309</v>
      </c>
      <c r="X49" s="87">
        <v>6402.7646377512183</v>
      </c>
      <c r="Y49" s="87">
        <v>6339.2685454254179</v>
      </c>
      <c r="DA49" s="171" t="s">
        <v>493</v>
      </c>
    </row>
    <row r="50" spans="1:105" ht="11.45" customHeight="1" x14ac:dyDescent="0.25">
      <c r="A50" s="111" t="s">
        <v>112</v>
      </c>
      <c r="B50" s="87">
        <v>1.8851073117006643</v>
      </c>
      <c r="C50" s="87">
        <v>2.1173574821897128</v>
      </c>
      <c r="D50" s="87">
        <v>2.2599434343911504</v>
      </c>
      <c r="E50" s="87">
        <v>2.0999732070715482</v>
      </c>
      <c r="F50" s="87">
        <v>2.019996849190099</v>
      </c>
      <c r="G50" s="87">
        <v>1.7179416381626036</v>
      </c>
      <c r="H50" s="87">
        <v>1.4385449047341028</v>
      </c>
      <c r="I50" s="87">
        <v>1.2235146777396206</v>
      </c>
      <c r="J50" s="87">
        <v>1.0156453895757789</v>
      </c>
      <c r="K50" s="87">
        <v>0.795025304932091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X50" s="87">
        <v>0</v>
      </c>
      <c r="Y50" s="87">
        <v>0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4.6084840336757544</v>
      </c>
      <c r="R51" s="87">
        <v>4.8668399319014295</v>
      </c>
      <c r="S51" s="87">
        <v>5.1878949850715221</v>
      </c>
      <c r="T51" s="87">
        <v>5.1228200657046736</v>
      </c>
      <c r="U51" s="87">
        <v>4.9071247065961963</v>
      </c>
      <c r="V51" s="87">
        <v>4.4942032079056373</v>
      </c>
      <c r="W51" s="87">
        <v>4.4257513255796761</v>
      </c>
      <c r="X51" s="87">
        <v>4.2962572597383604</v>
      </c>
      <c r="Y51" s="87">
        <v>3.9662250864661579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0.19930806069940152</v>
      </c>
      <c r="O52" s="87">
        <v>0.6637966032875311</v>
      </c>
      <c r="P52" s="87">
        <v>0.5135769354579901</v>
      </c>
      <c r="Q52" s="87">
        <v>6.0516050350812822</v>
      </c>
      <c r="R52" s="87">
        <v>6.5090775990005483</v>
      </c>
      <c r="S52" s="87">
        <v>7.7940860955082876</v>
      </c>
      <c r="T52" s="87">
        <v>8.0295729442755484</v>
      </c>
      <c r="U52" s="87">
        <v>10.693323138093724</v>
      </c>
      <c r="V52" s="87">
        <v>16.409317579681048</v>
      </c>
      <c r="W52" s="87">
        <v>37.717541009155539</v>
      </c>
      <c r="X52" s="87">
        <v>60.717742601417207</v>
      </c>
      <c r="Y52" s="87">
        <v>86.598170622533345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1686.0337937805443</v>
      </c>
      <c r="C53" s="116">
        <f t="shared" ref="C53:V53" si="116">SUM(C54:C55)</f>
        <v>1744.9447975092462</v>
      </c>
      <c r="D53" s="116">
        <f t="shared" si="116"/>
        <v>1741.1239471950853</v>
      </c>
      <c r="E53" s="116">
        <f t="shared" si="116"/>
        <v>1846.3572198025211</v>
      </c>
      <c r="F53" s="116">
        <f t="shared" si="116"/>
        <v>1837.3102134457617</v>
      </c>
      <c r="G53" s="116">
        <f t="shared" si="116"/>
        <v>1836.1969444187723</v>
      </c>
      <c r="H53" s="116">
        <f t="shared" si="116"/>
        <v>1936.8697653185602</v>
      </c>
      <c r="I53" s="116">
        <f t="shared" si="116"/>
        <v>2003.7000855370943</v>
      </c>
      <c r="J53" s="116">
        <f t="shared" si="116"/>
        <v>2063.0157522270702</v>
      </c>
      <c r="K53" s="116">
        <f t="shared" si="116"/>
        <v>1778.4844274231941</v>
      </c>
      <c r="L53" s="116">
        <f t="shared" si="116"/>
        <v>1766.4767844427708</v>
      </c>
      <c r="M53" s="116">
        <f t="shared" si="116"/>
        <v>1810.7821230155082</v>
      </c>
      <c r="N53" s="116">
        <f t="shared" si="116"/>
        <v>1827.7509333497924</v>
      </c>
      <c r="O53" s="116">
        <f t="shared" si="116"/>
        <v>1866.9239807597837</v>
      </c>
      <c r="P53" s="116">
        <f t="shared" si="116"/>
        <v>1862.9998167521214</v>
      </c>
      <c r="Q53" s="116">
        <f t="shared" si="116"/>
        <v>1823.0003998595785</v>
      </c>
      <c r="R53" s="116">
        <f t="shared" si="116"/>
        <v>1891.7194592688902</v>
      </c>
      <c r="S53" s="116">
        <f t="shared" si="116"/>
        <v>1839.8872588815461</v>
      </c>
      <c r="T53" s="116">
        <f t="shared" si="116"/>
        <v>1768.1528214423677</v>
      </c>
      <c r="U53" s="116">
        <f t="shared" si="116"/>
        <v>1795.8437250931418</v>
      </c>
      <c r="V53" s="116">
        <f t="shared" si="116"/>
        <v>1858.8372603422831</v>
      </c>
      <c r="W53" s="116">
        <f t="shared" ref="W53:Y53" si="117">SUM(W54:W55)</f>
        <v>1892.3444844831904</v>
      </c>
      <c r="X53" s="116">
        <f t="shared" si="117"/>
        <v>1893.9143951714038</v>
      </c>
      <c r="Y53" s="116">
        <f t="shared" si="117"/>
        <v>1840.3139395658723</v>
      </c>
      <c r="DA53" s="176" t="s">
        <v>497</v>
      </c>
    </row>
    <row r="54" spans="1:105" ht="11.45" customHeight="1" x14ac:dyDescent="0.25">
      <c r="A54" s="128" t="s">
        <v>27</v>
      </c>
      <c r="B54" s="101">
        <v>1396</v>
      </c>
      <c r="C54" s="101">
        <v>1434</v>
      </c>
      <c r="D54" s="101">
        <v>1414</v>
      </c>
      <c r="E54" s="101">
        <v>1512</v>
      </c>
      <c r="F54" s="101">
        <v>1442</v>
      </c>
      <c r="G54" s="101">
        <v>1427</v>
      </c>
      <c r="H54" s="101">
        <v>1497</v>
      </c>
      <c r="I54" s="101">
        <v>1537</v>
      </c>
      <c r="J54" s="101">
        <v>1474</v>
      </c>
      <c r="K54" s="101">
        <v>1275</v>
      </c>
      <c r="L54" s="101">
        <v>1296</v>
      </c>
      <c r="M54" s="101">
        <v>1357</v>
      </c>
      <c r="N54" s="101">
        <v>1382</v>
      </c>
      <c r="O54" s="101">
        <v>1365</v>
      </c>
      <c r="P54" s="101">
        <v>1398</v>
      </c>
      <c r="Q54" s="101">
        <v>1352</v>
      </c>
      <c r="R54" s="101">
        <v>1349</v>
      </c>
      <c r="S54" s="101">
        <v>1285</v>
      </c>
      <c r="T54" s="101">
        <v>1257</v>
      </c>
      <c r="U54" s="101">
        <v>1277</v>
      </c>
      <c r="V54" s="101">
        <v>1296</v>
      </c>
      <c r="W54" s="101">
        <v>1327</v>
      </c>
      <c r="X54" s="101">
        <v>1315</v>
      </c>
      <c r="Y54" s="101">
        <v>1297</v>
      </c>
      <c r="DA54" s="175" t="s">
        <v>498</v>
      </c>
    </row>
    <row r="55" spans="1:105" ht="11.45" customHeight="1" x14ac:dyDescent="0.25">
      <c r="A55" s="138" t="s">
        <v>116</v>
      </c>
      <c r="B55" s="88">
        <v>290.03379378054439</v>
      </c>
      <c r="C55" s="88">
        <v>310.94479750924609</v>
      </c>
      <c r="D55" s="88">
        <v>327.12394719508535</v>
      </c>
      <c r="E55" s="88">
        <v>334.35721980252106</v>
      </c>
      <c r="F55" s="88">
        <v>395.31021344576163</v>
      </c>
      <c r="G55" s="88">
        <v>409.19694441877226</v>
      </c>
      <c r="H55" s="88">
        <v>439.86976531856016</v>
      </c>
      <c r="I55" s="88">
        <v>466.7000855370942</v>
      </c>
      <c r="J55" s="88">
        <v>589.01575222707027</v>
      </c>
      <c r="K55" s="88">
        <v>503.48442742319412</v>
      </c>
      <c r="L55" s="88">
        <v>470.47678444277091</v>
      </c>
      <c r="M55" s="88">
        <v>453.78212301550815</v>
      </c>
      <c r="N55" s="88">
        <v>445.75093334979226</v>
      </c>
      <c r="O55" s="88">
        <v>501.92398075978383</v>
      </c>
      <c r="P55" s="88">
        <v>464.99981675212149</v>
      </c>
      <c r="Q55" s="88">
        <v>471.00039985957852</v>
      </c>
      <c r="R55" s="88">
        <v>542.71945926889032</v>
      </c>
      <c r="S55" s="88">
        <v>554.88725888154602</v>
      </c>
      <c r="T55" s="88">
        <v>511.15282144236767</v>
      </c>
      <c r="U55" s="88">
        <v>518.84372509314176</v>
      </c>
      <c r="V55" s="88">
        <v>562.83726034228323</v>
      </c>
      <c r="W55" s="88">
        <v>565.3444844831904</v>
      </c>
      <c r="X55" s="88">
        <v>578.91439517140384</v>
      </c>
      <c r="Y55" s="88">
        <v>543.31393956587226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2384364</v>
      </c>
      <c r="C57" s="54">
        <f t="shared" si="118"/>
        <v>2419553</v>
      </c>
      <c r="D57" s="54">
        <f t="shared" si="118"/>
        <v>2449909</v>
      </c>
      <c r="E57" s="54">
        <f t="shared" si="118"/>
        <v>2472138</v>
      </c>
      <c r="F57" s="54">
        <f t="shared" si="118"/>
        <v>2523216</v>
      </c>
      <c r="G57" s="54">
        <f t="shared" si="118"/>
        <v>2616030</v>
      </c>
      <c r="H57" s="54">
        <f t="shared" si="118"/>
        <v>2724787</v>
      </c>
      <c r="I57" s="54">
        <f t="shared" si="118"/>
        <v>2814541</v>
      </c>
      <c r="J57" s="54">
        <f t="shared" si="118"/>
        <v>2849275</v>
      </c>
      <c r="K57" s="54">
        <f t="shared" si="118"/>
        <v>2847696</v>
      </c>
      <c r="L57" s="54">
        <f t="shared" ref="L57" si="119">L58+L73</f>
        <v>2870057</v>
      </c>
      <c r="M57" s="54">
        <f t="shared" ref="M57:V57" si="120">M58+M73</f>
        <v>2884803</v>
      </c>
      <c r="N57" s="54">
        <f t="shared" si="120"/>
        <v>2912330</v>
      </c>
      <c r="O57" s="54">
        <f t="shared" si="120"/>
        <v>2937785</v>
      </c>
      <c r="P57" s="54">
        <f t="shared" si="120"/>
        <v>2983624</v>
      </c>
      <c r="Q57" s="54">
        <f t="shared" si="120"/>
        <v>3021872</v>
      </c>
      <c r="R57" s="54">
        <f t="shared" si="120"/>
        <v>3020808</v>
      </c>
      <c r="S57" s="54">
        <f t="shared" si="120"/>
        <v>3135765</v>
      </c>
      <c r="T57" s="54">
        <f t="shared" si="120"/>
        <v>3248167</v>
      </c>
      <c r="U57" s="54">
        <f t="shared" si="120"/>
        <v>3296128</v>
      </c>
      <c r="V57" s="54">
        <f t="shared" si="120"/>
        <v>3385541</v>
      </c>
      <c r="W57" s="54">
        <f t="shared" ref="W57:Y57" si="121">W58+W73</f>
        <v>3496514</v>
      </c>
      <c r="X57" s="54">
        <f t="shared" si="121"/>
        <v>3423014</v>
      </c>
      <c r="Y57" s="54">
        <f t="shared" si="121"/>
        <v>3440076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2006338</v>
      </c>
      <c r="C58" s="28">
        <f t="shared" si="122"/>
        <v>2032950</v>
      </c>
      <c r="D58" s="28">
        <f t="shared" si="122"/>
        <v>2053598</v>
      </c>
      <c r="E58" s="28">
        <f t="shared" si="122"/>
        <v>2064891</v>
      </c>
      <c r="F58" s="28">
        <f t="shared" si="122"/>
        <v>2092493</v>
      </c>
      <c r="G58" s="28">
        <f t="shared" si="122"/>
        <v>2151381</v>
      </c>
      <c r="H58" s="28">
        <f t="shared" si="122"/>
        <v>2219046</v>
      </c>
      <c r="I58" s="28">
        <f t="shared" si="122"/>
        <v>2280676</v>
      </c>
      <c r="J58" s="28">
        <f t="shared" si="122"/>
        <v>2318898</v>
      </c>
      <c r="K58" s="28">
        <f t="shared" si="122"/>
        <v>2340695</v>
      </c>
      <c r="L58" s="28">
        <f t="shared" ref="L58" si="123">L59+L60+L67</f>
        <v>2383952</v>
      </c>
      <c r="M58" s="28">
        <f t="shared" ref="M58:V58" si="124">M59+M60+M67</f>
        <v>2414111</v>
      </c>
      <c r="N58" s="28">
        <f t="shared" si="124"/>
        <v>2451074</v>
      </c>
      <c r="O58" s="28">
        <f t="shared" si="124"/>
        <v>2490322</v>
      </c>
      <c r="P58" s="28">
        <f t="shared" si="124"/>
        <v>2541065</v>
      </c>
      <c r="Q58" s="28">
        <f t="shared" si="124"/>
        <v>2581495</v>
      </c>
      <c r="R58" s="28">
        <f t="shared" si="124"/>
        <v>2577519</v>
      </c>
      <c r="S58" s="28">
        <f t="shared" si="124"/>
        <v>2693335</v>
      </c>
      <c r="T58" s="28">
        <f t="shared" si="124"/>
        <v>2812037</v>
      </c>
      <c r="U58" s="28">
        <f t="shared" si="124"/>
        <v>2868844</v>
      </c>
      <c r="V58" s="28">
        <f t="shared" si="124"/>
        <v>2961465</v>
      </c>
      <c r="W58" s="28">
        <f t="shared" ref="W58:Y58" si="125">W59+W60+W67</f>
        <v>3074293</v>
      </c>
      <c r="X58" s="28">
        <f t="shared" si="125"/>
        <v>3008873</v>
      </c>
      <c r="Y58" s="28">
        <f t="shared" si="125"/>
        <v>3034578</v>
      </c>
      <c r="DA58" s="173" t="s">
        <v>501</v>
      </c>
    </row>
    <row r="59" spans="1:105" ht="11.45" customHeight="1" x14ac:dyDescent="0.25">
      <c r="A59" s="136" t="s">
        <v>173</v>
      </c>
      <c r="B59" s="137">
        <v>138310</v>
      </c>
      <c r="C59" s="137">
        <v>146365</v>
      </c>
      <c r="D59" s="137">
        <v>151322</v>
      </c>
      <c r="E59" s="137">
        <v>155740</v>
      </c>
      <c r="F59" s="137">
        <v>162128</v>
      </c>
      <c r="G59" s="137">
        <v>171917</v>
      </c>
      <c r="H59" s="137">
        <v>184036</v>
      </c>
      <c r="I59" s="137">
        <v>197177</v>
      </c>
      <c r="J59" s="137">
        <v>204770</v>
      </c>
      <c r="K59" s="137">
        <v>205239</v>
      </c>
      <c r="L59" s="137">
        <v>203608</v>
      </c>
      <c r="M59" s="137">
        <v>200597</v>
      </c>
      <c r="N59" s="137">
        <v>199243</v>
      </c>
      <c r="O59" s="137">
        <v>198076</v>
      </c>
      <c r="P59" s="137">
        <v>197512</v>
      </c>
      <c r="Q59" s="137">
        <v>198035</v>
      </c>
      <c r="R59" s="137">
        <v>197500</v>
      </c>
      <c r="S59" s="137">
        <v>198000</v>
      </c>
      <c r="T59" s="137">
        <v>199227</v>
      </c>
      <c r="U59" s="137">
        <v>194254</v>
      </c>
      <c r="V59" s="137">
        <v>195856</v>
      </c>
      <c r="W59" s="137">
        <v>196938</v>
      </c>
      <c r="X59" s="137">
        <v>196419</v>
      </c>
      <c r="Y59" s="137">
        <v>195920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1854060</v>
      </c>
      <c r="C60" s="110">
        <f t="shared" si="126"/>
        <v>1872631</v>
      </c>
      <c r="D60" s="110">
        <f t="shared" si="126"/>
        <v>1888290</v>
      </c>
      <c r="E60" s="110">
        <f t="shared" si="126"/>
        <v>1895019</v>
      </c>
      <c r="F60" s="110">
        <f t="shared" si="126"/>
        <v>1916174</v>
      </c>
      <c r="G60" s="110">
        <f t="shared" si="126"/>
        <v>1965062.0000000002</v>
      </c>
      <c r="H60" s="110">
        <f t="shared" si="126"/>
        <v>2020457.9999999998</v>
      </c>
      <c r="I60" s="110">
        <f t="shared" si="126"/>
        <v>2069016.9999999998</v>
      </c>
      <c r="J60" s="110">
        <f t="shared" si="126"/>
        <v>2099676</v>
      </c>
      <c r="K60" s="110">
        <f t="shared" si="126"/>
        <v>2120946</v>
      </c>
      <c r="L60" s="110">
        <f t="shared" ref="L60" si="127">SUM(L61:L66)</f>
        <v>2165848</v>
      </c>
      <c r="M60" s="110">
        <f t="shared" ref="M60:V60" si="128">SUM(M61:M66)</f>
        <v>2199500</v>
      </c>
      <c r="N60" s="110">
        <f t="shared" si="128"/>
        <v>2238346</v>
      </c>
      <c r="O60" s="110">
        <f t="shared" si="128"/>
        <v>2278976</v>
      </c>
      <c r="P60" s="110">
        <f t="shared" si="128"/>
        <v>2330145</v>
      </c>
      <c r="Q60" s="110">
        <f t="shared" si="128"/>
        <v>2370077</v>
      </c>
      <c r="R60" s="110">
        <f t="shared" si="128"/>
        <v>2366642</v>
      </c>
      <c r="S60" s="110">
        <f t="shared" si="128"/>
        <v>2481853</v>
      </c>
      <c r="T60" s="110">
        <f t="shared" si="128"/>
        <v>2599652</v>
      </c>
      <c r="U60" s="110">
        <f t="shared" si="128"/>
        <v>2661587</v>
      </c>
      <c r="V60" s="110">
        <f t="shared" si="128"/>
        <v>2753311</v>
      </c>
      <c r="W60" s="110">
        <f t="shared" ref="W60:Y60" si="129">SUM(W61:W66)</f>
        <v>2865432</v>
      </c>
      <c r="X60" s="110">
        <f t="shared" si="129"/>
        <v>2801077</v>
      </c>
      <c r="Y60" s="110">
        <f t="shared" si="129"/>
        <v>2827864</v>
      </c>
      <c r="DA60" s="176" t="s">
        <v>503</v>
      </c>
    </row>
    <row r="61" spans="1:105" ht="11.45" customHeight="1" x14ac:dyDescent="0.25">
      <c r="A61" s="111" t="s">
        <v>110</v>
      </c>
      <c r="B61" s="84">
        <v>1730094</v>
      </c>
      <c r="C61" s="84">
        <v>1730499</v>
      </c>
      <c r="D61" s="84">
        <v>1731299</v>
      </c>
      <c r="E61" s="84">
        <v>1731699</v>
      </c>
      <c r="F61" s="84">
        <v>1731701</v>
      </c>
      <c r="G61" s="84">
        <v>1731953.0000000002</v>
      </c>
      <c r="H61" s="84">
        <v>1747295.9999999998</v>
      </c>
      <c r="I61" s="84">
        <v>1711180.9999999998</v>
      </c>
      <c r="J61" s="84">
        <v>1680820</v>
      </c>
      <c r="K61" s="84">
        <v>1654583</v>
      </c>
      <c r="L61" s="84">
        <v>1632782</v>
      </c>
      <c r="M61" s="84">
        <v>1612286</v>
      </c>
      <c r="N61" s="84">
        <v>1587898</v>
      </c>
      <c r="O61" s="84">
        <v>1563578</v>
      </c>
      <c r="P61" s="84">
        <v>1538209</v>
      </c>
      <c r="Q61" s="84">
        <v>1496991</v>
      </c>
      <c r="R61" s="84">
        <v>1598307</v>
      </c>
      <c r="S61" s="84">
        <v>1683628</v>
      </c>
      <c r="T61" s="84">
        <v>1767014</v>
      </c>
      <c r="U61" s="84">
        <v>1809473</v>
      </c>
      <c r="V61" s="84">
        <v>1861080</v>
      </c>
      <c r="W61" s="84">
        <v>1918400</v>
      </c>
      <c r="X61" s="84">
        <v>1840957</v>
      </c>
      <c r="Y61" s="84">
        <v>1811572</v>
      </c>
      <c r="DA61" s="171" t="s">
        <v>504</v>
      </c>
    </row>
    <row r="62" spans="1:105" ht="11.45" customHeight="1" x14ac:dyDescent="0.25">
      <c r="A62" s="111" t="s">
        <v>111</v>
      </c>
      <c r="B62" s="84">
        <v>116561</v>
      </c>
      <c r="C62" s="84">
        <v>134693</v>
      </c>
      <c r="D62" s="84">
        <v>149921</v>
      </c>
      <c r="E62" s="84">
        <v>157150</v>
      </c>
      <c r="F62" s="84">
        <v>178770</v>
      </c>
      <c r="G62" s="84">
        <v>227940</v>
      </c>
      <c r="H62" s="84">
        <v>268503</v>
      </c>
      <c r="I62" s="84">
        <v>353639</v>
      </c>
      <c r="J62" s="84">
        <v>415308</v>
      </c>
      <c r="K62" s="84">
        <v>463634</v>
      </c>
      <c r="L62" s="84">
        <v>533015</v>
      </c>
      <c r="M62" s="84">
        <v>586748</v>
      </c>
      <c r="N62" s="84">
        <v>649478</v>
      </c>
      <c r="O62" s="84">
        <v>713920</v>
      </c>
      <c r="P62" s="84">
        <v>788825</v>
      </c>
      <c r="Q62" s="84">
        <v>858072</v>
      </c>
      <c r="R62" s="84">
        <v>758786</v>
      </c>
      <c r="S62" s="84">
        <v>787395</v>
      </c>
      <c r="T62" s="84">
        <v>816905</v>
      </c>
      <c r="U62" s="84">
        <v>826925</v>
      </c>
      <c r="V62" s="84">
        <v>834388</v>
      </c>
      <c r="W62" s="84">
        <v>813999</v>
      </c>
      <c r="X62" s="84">
        <v>749434</v>
      </c>
      <c r="Y62" s="84">
        <v>692248</v>
      </c>
      <c r="DA62" s="171" t="s">
        <v>505</v>
      </c>
    </row>
    <row r="63" spans="1:105" ht="11.45" customHeight="1" x14ac:dyDescent="0.25">
      <c r="A63" s="111" t="s">
        <v>112</v>
      </c>
      <c r="B63" s="84">
        <v>7405</v>
      </c>
      <c r="C63" s="84">
        <v>7439</v>
      </c>
      <c r="D63" s="84">
        <v>7070</v>
      </c>
      <c r="E63" s="84">
        <v>6170</v>
      </c>
      <c r="F63" s="84">
        <v>5703</v>
      </c>
      <c r="G63" s="84">
        <v>5169</v>
      </c>
      <c r="H63" s="84">
        <v>4659</v>
      </c>
      <c r="I63" s="84">
        <v>4197</v>
      </c>
      <c r="J63" s="84">
        <v>3548</v>
      </c>
      <c r="K63" s="84">
        <v>2698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0</v>
      </c>
      <c r="U63" s="84">
        <v>0</v>
      </c>
      <c r="V63" s="84">
        <v>0</v>
      </c>
      <c r="W63" s="84">
        <v>0</v>
      </c>
      <c r="X63" s="84">
        <v>0</v>
      </c>
      <c r="Y63" s="84">
        <v>0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36</v>
      </c>
      <c r="R64" s="84">
        <v>93</v>
      </c>
      <c r="S64" s="84">
        <v>175</v>
      </c>
      <c r="T64" s="84">
        <v>309</v>
      </c>
      <c r="U64" s="84">
        <v>446</v>
      </c>
      <c r="V64" s="84">
        <v>578</v>
      </c>
      <c r="W64" s="84">
        <v>708</v>
      </c>
      <c r="X64" s="84">
        <v>832</v>
      </c>
      <c r="Y64" s="84">
        <v>944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33</v>
      </c>
      <c r="O65" s="84">
        <v>44</v>
      </c>
      <c r="P65" s="84">
        <v>144</v>
      </c>
      <c r="Q65" s="84">
        <v>7487</v>
      </c>
      <c r="R65" s="84">
        <v>770</v>
      </c>
      <c r="S65" s="84">
        <v>1223</v>
      </c>
      <c r="T65" s="84">
        <v>4526</v>
      </c>
      <c r="U65" s="84">
        <v>8412</v>
      </c>
      <c r="V65" s="84">
        <v>26749</v>
      </c>
      <c r="W65" s="84">
        <v>69205</v>
      </c>
      <c r="X65" s="84">
        <v>97180</v>
      </c>
      <c r="Y65" s="84">
        <v>123000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31</v>
      </c>
      <c r="L66" s="84">
        <v>51</v>
      </c>
      <c r="M66" s="84">
        <v>466</v>
      </c>
      <c r="N66" s="84">
        <v>937</v>
      </c>
      <c r="O66" s="84">
        <v>1434</v>
      </c>
      <c r="P66" s="84">
        <v>2967</v>
      </c>
      <c r="Q66" s="84">
        <v>7491</v>
      </c>
      <c r="R66" s="84">
        <v>8686</v>
      </c>
      <c r="S66" s="84">
        <v>9432</v>
      </c>
      <c r="T66" s="84">
        <v>10898</v>
      </c>
      <c r="U66" s="84">
        <v>16331</v>
      </c>
      <c r="V66" s="84">
        <v>30516</v>
      </c>
      <c r="W66" s="84">
        <v>63120</v>
      </c>
      <c r="X66" s="84">
        <v>112674</v>
      </c>
      <c r="Y66" s="84">
        <v>200100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13968</v>
      </c>
      <c r="C67" s="110">
        <f t="shared" si="130"/>
        <v>13954</v>
      </c>
      <c r="D67" s="110">
        <f t="shared" si="130"/>
        <v>13986</v>
      </c>
      <c r="E67" s="110">
        <f t="shared" si="130"/>
        <v>14132</v>
      </c>
      <c r="F67" s="110">
        <f t="shared" si="130"/>
        <v>14191</v>
      </c>
      <c r="G67" s="110">
        <f t="shared" si="130"/>
        <v>14402</v>
      </c>
      <c r="H67" s="110">
        <f t="shared" si="130"/>
        <v>14552</v>
      </c>
      <c r="I67" s="110">
        <f t="shared" si="130"/>
        <v>14482</v>
      </c>
      <c r="J67" s="110">
        <f t="shared" si="130"/>
        <v>14452</v>
      </c>
      <c r="K67" s="110">
        <f t="shared" si="130"/>
        <v>14510</v>
      </c>
      <c r="L67" s="110">
        <f t="shared" ref="L67" si="131">SUM(L68:L72)</f>
        <v>14496</v>
      </c>
      <c r="M67" s="110">
        <f t="shared" ref="M67:V67" si="132">SUM(M68:M72)</f>
        <v>14014</v>
      </c>
      <c r="N67" s="110">
        <f t="shared" si="132"/>
        <v>13485</v>
      </c>
      <c r="O67" s="110">
        <f t="shared" si="132"/>
        <v>13270</v>
      </c>
      <c r="P67" s="110">
        <f t="shared" si="132"/>
        <v>13408</v>
      </c>
      <c r="Q67" s="110">
        <f t="shared" si="132"/>
        <v>13383</v>
      </c>
      <c r="R67" s="110">
        <f t="shared" si="132"/>
        <v>13377</v>
      </c>
      <c r="S67" s="110">
        <f t="shared" si="132"/>
        <v>13482</v>
      </c>
      <c r="T67" s="110">
        <f t="shared" si="132"/>
        <v>13158</v>
      </c>
      <c r="U67" s="110">
        <f t="shared" si="132"/>
        <v>13003</v>
      </c>
      <c r="V67" s="110">
        <f t="shared" si="132"/>
        <v>12298</v>
      </c>
      <c r="W67" s="110">
        <f t="shared" ref="W67:Y67" si="133">SUM(W68:W72)</f>
        <v>11923</v>
      </c>
      <c r="X67" s="110">
        <f t="shared" si="133"/>
        <v>11377</v>
      </c>
      <c r="Y67" s="110">
        <f t="shared" si="133"/>
        <v>10794</v>
      </c>
      <c r="DA67" s="176" t="s">
        <v>510</v>
      </c>
    </row>
    <row r="68" spans="1:105" ht="11.45" customHeight="1" x14ac:dyDescent="0.25">
      <c r="A68" s="111" t="s">
        <v>110</v>
      </c>
      <c r="B68" s="102">
        <v>1589</v>
      </c>
      <c r="C68" s="102">
        <v>1589</v>
      </c>
      <c r="D68" s="102">
        <v>1577</v>
      </c>
      <c r="E68" s="102">
        <v>1003</v>
      </c>
      <c r="F68" s="102">
        <v>825</v>
      </c>
      <c r="G68" s="102">
        <v>762</v>
      </c>
      <c r="H68" s="102">
        <v>747</v>
      </c>
      <c r="I68" s="102">
        <v>717</v>
      </c>
      <c r="J68" s="102">
        <v>699</v>
      </c>
      <c r="K68" s="102">
        <v>679</v>
      </c>
      <c r="L68" s="102">
        <v>657</v>
      </c>
      <c r="M68" s="102">
        <v>639</v>
      </c>
      <c r="N68" s="102">
        <v>622</v>
      </c>
      <c r="O68" s="102">
        <v>662</v>
      </c>
      <c r="P68" s="102">
        <v>595</v>
      </c>
      <c r="Q68" s="102">
        <v>529</v>
      </c>
      <c r="R68" s="102">
        <v>478</v>
      </c>
      <c r="S68" s="102">
        <v>437</v>
      </c>
      <c r="T68" s="102">
        <v>396</v>
      </c>
      <c r="U68" s="102">
        <v>363</v>
      </c>
      <c r="V68" s="102">
        <v>328</v>
      </c>
      <c r="W68" s="102">
        <v>309</v>
      </c>
      <c r="X68" s="102">
        <v>297</v>
      </c>
      <c r="Y68" s="102">
        <v>267</v>
      </c>
      <c r="DA68" s="175" t="s">
        <v>511</v>
      </c>
    </row>
    <row r="69" spans="1:105" ht="11.45" customHeight="1" x14ac:dyDescent="0.25">
      <c r="A69" s="111" t="s">
        <v>111</v>
      </c>
      <c r="B69" s="102">
        <v>12379</v>
      </c>
      <c r="C69" s="102">
        <v>12365</v>
      </c>
      <c r="D69" s="102">
        <v>12409</v>
      </c>
      <c r="E69" s="102">
        <v>13129</v>
      </c>
      <c r="F69" s="102">
        <v>13366</v>
      </c>
      <c r="G69" s="102">
        <v>13640</v>
      </c>
      <c r="H69" s="102">
        <v>13805</v>
      </c>
      <c r="I69" s="102">
        <v>13765</v>
      </c>
      <c r="J69" s="102">
        <v>13753</v>
      </c>
      <c r="K69" s="102">
        <v>13831</v>
      </c>
      <c r="L69" s="102">
        <v>13839</v>
      </c>
      <c r="M69" s="102">
        <v>13375</v>
      </c>
      <c r="N69" s="102">
        <v>12863</v>
      </c>
      <c r="O69" s="102">
        <v>12608</v>
      </c>
      <c r="P69" s="102">
        <v>12813</v>
      </c>
      <c r="Q69" s="102">
        <v>12821</v>
      </c>
      <c r="R69" s="102">
        <v>12820</v>
      </c>
      <c r="S69" s="102">
        <v>12883</v>
      </c>
      <c r="T69" s="102">
        <v>12598</v>
      </c>
      <c r="U69" s="102">
        <v>12386</v>
      </c>
      <c r="V69" s="102">
        <v>11724</v>
      </c>
      <c r="W69" s="102">
        <v>11123</v>
      </c>
      <c r="X69" s="102">
        <v>10187</v>
      </c>
      <c r="Y69" s="102">
        <v>9007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33</v>
      </c>
      <c r="R71" s="102">
        <v>73</v>
      </c>
      <c r="S71" s="102">
        <v>154</v>
      </c>
      <c r="T71" s="102">
        <v>154</v>
      </c>
      <c r="U71" s="102">
        <v>154</v>
      </c>
      <c r="V71" s="102">
        <v>154</v>
      </c>
      <c r="W71" s="102">
        <v>154</v>
      </c>
      <c r="X71" s="102">
        <v>154</v>
      </c>
      <c r="Y71" s="102">
        <v>160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6</v>
      </c>
      <c r="S72" s="102">
        <v>8</v>
      </c>
      <c r="T72" s="102">
        <v>10</v>
      </c>
      <c r="U72" s="102">
        <v>100</v>
      </c>
      <c r="V72" s="102">
        <v>92</v>
      </c>
      <c r="W72" s="102">
        <v>337</v>
      </c>
      <c r="X72" s="102">
        <v>739</v>
      </c>
      <c r="Y72" s="102">
        <v>1360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378026</v>
      </c>
      <c r="C73" s="28">
        <f t="shared" si="134"/>
        <v>386603</v>
      </c>
      <c r="D73" s="28">
        <f t="shared" si="134"/>
        <v>396311</v>
      </c>
      <c r="E73" s="28">
        <f t="shared" si="134"/>
        <v>407247</v>
      </c>
      <c r="F73" s="28">
        <f t="shared" si="134"/>
        <v>430723</v>
      </c>
      <c r="G73" s="28">
        <f t="shared" si="134"/>
        <v>464649</v>
      </c>
      <c r="H73" s="28">
        <f t="shared" si="134"/>
        <v>505741</v>
      </c>
      <c r="I73" s="28">
        <f t="shared" si="134"/>
        <v>533865</v>
      </c>
      <c r="J73" s="28">
        <f t="shared" si="134"/>
        <v>530377</v>
      </c>
      <c r="K73" s="28">
        <f t="shared" si="134"/>
        <v>507001</v>
      </c>
      <c r="L73" s="28">
        <f t="shared" ref="L73" si="135">L74+L80</f>
        <v>486105</v>
      </c>
      <c r="M73" s="28">
        <f t="shared" ref="M73:V73" si="136">M74+M80</f>
        <v>470692</v>
      </c>
      <c r="N73" s="28">
        <f t="shared" si="136"/>
        <v>461256</v>
      </c>
      <c r="O73" s="28">
        <f t="shared" si="136"/>
        <v>447463</v>
      </c>
      <c r="P73" s="28">
        <f t="shared" si="136"/>
        <v>442559</v>
      </c>
      <c r="Q73" s="28">
        <f t="shared" si="136"/>
        <v>440377</v>
      </c>
      <c r="R73" s="28">
        <f t="shared" si="136"/>
        <v>443289</v>
      </c>
      <c r="S73" s="28">
        <f t="shared" si="136"/>
        <v>442430</v>
      </c>
      <c r="T73" s="28">
        <f t="shared" si="136"/>
        <v>436130</v>
      </c>
      <c r="U73" s="28">
        <f t="shared" si="136"/>
        <v>427284</v>
      </c>
      <c r="V73" s="28">
        <f t="shared" si="136"/>
        <v>424076</v>
      </c>
      <c r="W73" s="28">
        <f t="shared" ref="W73:Y73" si="137">W74+W80</f>
        <v>422221</v>
      </c>
      <c r="X73" s="28">
        <f t="shared" si="137"/>
        <v>414141</v>
      </c>
      <c r="Y73" s="28">
        <f t="shared" si="137"/>
        <v>405498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338279</v>
      </c>
      <c r="C74" s="137">
        <f t="shared" si="138"/>
        <v>345061</v>
      </c>
      <c r="D74" s="137">
        <f t="shared" si="138"/>
        <v>353421</v>
      </c>
      <c r="E74" s="137">
        <f t="shared" si="138"/>
        <v>363707</v>
      </c>
      <c r="F74" s="137">
        <f t="shared" si="138"/>
        <v>385132</v>
      </c>
      <c r="G74" s="137">
        <f t="shared" si="138"/>
        <v>413192</v>
      </c>
      <c r="H74" s="137">
        <f t="shared" si="138"/>
        <v>452034</v>
      </c>
      <c r="I74" s="137">
        <f t="shared" si="138"/>
        <v>474292</v>
      </c>
      <c r="J74" s="137">
        <f t="shared" si="138"/>
        <v>470672</v>
      </c>
      <c r="K74" s="137">
        <f t="shared" si="138"/>
        <v>452138</v>
      </c>
      <c r="L74" s="137">
        <f t="shared" ref="L74" si="139">SUM(L75:L79)</f>
        <v>431723</v>
      </c>
      <c r="M74" s="137">
        <f t="shared" ref="M74:V74" si="140">SUM(M75:M79)</f>
        <v>417607</v>
      </c>
      <c r="N74" s="137">
        <f t="shared" si="140"/>
        <v>408998</v>
      </c>
      <c r="O74" s="137">
        <f t="shared" si="140"/>
        <v>395568</v>
      </c>
      <c r="P74" s="137">
        <f t="shared" si="140"/>
        <v>391228</v>
      </c>
      <c r="Q74" s="137">
        <f t="shared" si="140"/>
        <v>395654</v>
      </c>
      <c r="R74" s="137">
        <f t="shared" si="140"/>
        <v>397001</v>
      </c>
      <c r="S74" s="137">
        <f t="shared" si="140"/>
        <v>395548</v>
      </c>
      <c r="T74" s="137">
        <f t="shared" si="140"/>
        <v>389461</v>
      </c>
      <c r="U74" s="137">
        <f t="shared" si="140"/>
        <v>380175</v>
      </c>
      <c r="V74" s="137">
        <f t="shared" si="140"/>
        <v>376435</v>
      </c>
      <c r="W74" s="137">
        <f t="shared" ref="W74:Y74" si="141">SUM(W75:W79)</f>
        <v>373470</v>
      </c>
      <c r="X74" s="137">
        <f t="shared" si="141"/>
        <v>364888</v>
      </c>
      <c r="Y74" s="137">
        <f t="shared" si="141"/>
        <v>356198</v>
      </c>
      <c r="DA74" s="174" t="s">
        <v>517</v>
      </c>
    </row>
    <row r="75" spans="1:105" ht="11.45" customHeight="1" x14ac:dyDescent="0.25">
      <c r="A75" s="111" t="s">
        <v>110</v>
      </c>
      <c r="B75" s="84">
        <v>70493</v>
      </c>
      <c r="C75" s="84">
        <v>70493</v>
      </c>
      <c r="D75" s="84">
        <v>70493</v>
      </c>
      <c r="E75" s="84">
        <v>70495</v>
      </c>
      <c r="F75" s="84">
        <v>70511</v>
      </c>
      <c r="G75" s="84">
        <v>70672</v>
      </c>
      <c r="H75" s="84">
        <v>72306</v>
      </c>
      <c r="I75" s="84">
        <v>65680</v>
      </c>
      <c r="J75" s="84">
        <v>61322</v>
      </c>
      <c r="K75" s="84">
        <v>56777</v>
      </c>
      <c r="L75" s="84">
        <v>51196</v>
      </c>
      <c r="M75" s="84">
        <v>48160</v>
      </c>
      <c r="N75" s="84">
        <v>43922</v>
      </c>
      <c r="O75" s="84">
        <v>39684</v>
      </c>
      <c r="P75" s="84">
        <v>35446</v>
      </c>
      <c r="Q75" s="84">
        <v>31403</v>
      </c>
      <c r="R75" s="84">
        <v>29854</v>
      </c>
      <c r="S75" s="84">
        <v>27980</v>
      </c>
      <c r="T75" s="84">
        <v>25922</v>
      </c>
      <c r="U75" s="84">
        <v>23952</v>
      </c>
      <c r="V75" s="84">
        <v>23040</v>
      </c>
      <c r="W75" s="84">
        <v>22470</v>
      </c>
      <c r="X75" s="84">
        <v>22019</v>
      </c>
      <c r="Y75" s="84">
        <v>21436</v>
      </c>
      <c r="DA75" s="171" t="s">
        <v>518</v>
      </c>
    </row>
    <row r="76" spans="1:105" ht="11.45" customHeight="1" x14ac:dyDescent="0.25">
      <c r="A76" s="111" t="s">
        <v>111</v>
      </c>
      <c r="B76" s="84">
        <v>267586</v>
      </c>
      <c r="C76" s="84">
        <v>274350</v>
      </c>
      <c r="D76" s="84">
        <v>282693</v>
      </c>
      <c r="E76" s="84">
        <v>293000</v>
      </c>
      <c r="F76" s="84">
        <v>314430</v>
      </c>
      <c r="G76" s="84">
        <v>342349</v>
      </c>
      <c r="H76" s="84">
        <v>379576</v>
      </c>
      <c r="I76" s="84">
        <v>408482</v>
      </c>
      <c r="J76" s="84">
        <v>409245</v>
      </c>
      <c r="K76" s="84">
        <v>395278</v>
      </c>
      <c r="L76" s="84">
        <v>380527</v>
      </c>
      <c r="M76" s="84">
        <v>369447</v>
      </c>
      <c r="N76" s="84">
        <v>365060</v>
      </c>
      <c r="O76" s="84">
        <v>355831</v>
      </c>
      <c r="P76" s="84">
        <v>355741</v>
      </c>
      <c r="Q76" s="84">
        <v>363338</v>
      </c>
      <c r="R76" s="84">
        <v>366177</v>
      </c>
      <c r="S76" s="84">
        <v>366455</v>
      </c>
      <c r="T76" s="84">
        <v>362411</v>
      </c>
      <c r="U76" s="84">
        <v>354898</v>
      </c>
      <c r="V76" s="84">
        <v>351593</v>
      </c>
      <c r="W76" s="84">
        <v>347556</v>
      </c>
      <c r="X76" s="84">
        <v>337602</v>
      </c>
      <c r="Y76" s="84">
        <v>327446</v>
      </c>
      <c r="DA76" s="171" t="s">
        <v>519</v>
      </c>
    </row>
    <row r="77" spans="1:105" ht="11.45" customHeight="1" x14ac:dyDescent="0.25">
      <c r="A77" s="111" t="s">
        <v>112</v>
      </c>
      <c r="B77" s="84">
        <v>200</v>
      </c>
      <c r="C77" s="84">
        <v>218</v>
      </c>
      <c r="D77" s="84">
        <v>235</v>
      </c>
      <c r="E77" s="84">
        <v>212</v>
      </c>
      <c r="F77" s="84">
        <v>191</v>
      </c>
      <c r="G77" s="84">
        <v>171</v>
      </c>
      <c r="H77" s="84">
        <v>152</v>
      </c>
      <c r="I77" s="84">
        <v>130</v>
      </c>
      <c r="J77" s="84">
        <v>105</v>
      </c>
      <c r="K77" s="84">
        <v>83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430</v>
      </c>
      <c r="R78" s="84">
        <v>450</v>
      </c>
      <c r="S78" s="84">
        <v>490</v>
      </c>
      <c r="T78" s="84">
        <v>486</v>
      </c>
      <c r="U78" s="84">
        <v>470</v>
      </c>
      <c r="V78" s="84">
        <v>452</v>
      </c>
      <c r="W78" s="84">
        <v>426</v>
      </c>
      <c r="X78" s="84">
        <v>396</v>
      </c>
      <c r="Y78" s="84">
        <v>362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16</v>
      </c>
      <c r="O79" s="84">
        <v>53</v>
      </c>
      <c r="P79" s="84">
        <v>41</v>
      </c>
      <c r="Q79" s="84">
        <v>483</v>
      </c>
      <c r="R79" s="84">
        <v>520</v>
      </c>
      <c r="S79" s="84">
        <v>623</v>
      </c>
      <c r="T79" s="84">
        <v>642</v>
      </c>
      <c r="U79" s="84">
        <v>855</v>
      </c>
      <c r="V79" s="84">
        <v>1350</v>
      </c>
      <c r="W79" s="84">
        <v>3018</v>
      </c>
      <c r="X79" s="84">
        <v>4871</v>
      </c>
      <c r="Y79" s="84">
        <v>6954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39747</v>
      </c>
      <c r="C80" s="110">
        <f t="shared" si="142"/>
        <v>41542</v>
      </c>
      <c r="D80" s="110">
        <f t="shared" si="142"/>
        <v>42890</v>
      </c>
      <c r="E80" s="110">
        <f t="shared" si="142"/>
        <v>43540</v>
      </c>
      <c r="F80" s="110">
        <f t="shared" si="142"/>
        <v>45591</v>
      </c>
      <c r="G80" s="110">
        <f t="shared" si="142"/>
        <v>51457</v>
      </c>
      <c r="H80" s="110">
        <f t="shared" si="142"/>
        <v>53707</v>
      </c>
      <c r="I80" s="110">
        <f t="shared" si="142"/>
        <v>59573</v>
      </c>
      <c r="J80" s="110">
        <f t="shared" si="142"/>
        <v>59705</v>
      </c>
      <c r="K80" s="110">
        <f t="shared" si="142"/>
        <v>54863</v>
      </c>
      <c r="L80" s="110">
        <f t="shared" ref="L80" si="143">SUM(L81:L82)</f>
        <v>54382</v>
      </c>
      <c r="M80" s="110">
        <f t="shared" ref="M80:V80" si="144">SUM(M81:M82)</f>
        <v>53085</v>
      </c>
      <c r="N80" s="110">
        <f t="shared" si="144"/>
        <v>52258</v>
      </c>
      <c r="O80" s="110">
        <f t="shared" si="144"/>
        <v>51895</v>
      </c>
      <c r="P80" s="110">
        <f t="shared" si="144"/>
        <v>51331</v>
      </c>
      <c r="Q80" s="110">
        <f t="shared" si="144"/>
        <v>44723</v>
      </c>
      <c r="R80" s="110">
        <f t="shared" si="144"/>
        <v>46288</v>
      </c>
      <c r="S80" s="110">
        <f t="shared" si="144"/>
        <v>46882</v>
      </c>
      <c r="T80" s="110">
        <f t="shared" si="144"/>
        <v>46669</v>
      </c>
      <c r="U80" s="110">
        <f t="shared" si="144"/>
        <v>47109</v>
      </c>
      <c r="V80" s="110">
        <f t="shared" si="144"/>
        <v>47641</v>
      </c>
      <c r="W80" s="110">
        <f t="shared" ref="W80:Y80" si="145">SUM(W81:W82)</f>
        <v>48751</v>
      </c>
      <c r="X80" s="110">
        <f t="shared" si="145"/>
        <v>49253</v>
      </c>
      <c r="Y80" s="110">
        <f t="shared" si="145"/>
        <v>49300</v>
      </c>
      <c r="DA80" s="176" t="s">
        <v>523</v>
      </c>
    </row>
    <row r="81" spans="1:105" ht="11.45" customHeight="1" x14ac:dyDescent="0.25">
      <c r="A81" s="128" t="s">
        <v>27</v>
      </c>
      <c r="B81" s="102">
        <v>36335</v>
      </c>
      <c r="C81" s="102">
        <v>37884</v>
      </c>
      <c r="D81" s="102">
        <v>39041</v>
      </c>
      <c r="E81" s="102">
        <v>39606</v>
      </c>
      <c r="F81" s="102">
        <v>40940</v>
      </c>
      <c r="G81" s="102">
        <v>46643</v>
      </c>
      <c r="H81" s="102">
        <v>48532</v>
      </c>
      <c r="I81" s="102">
        <v>54082</v>
      </c>
      <c r="J81" s="102">
        <v>52775</v>
      </c>
      <c r="K81" s="102">
        <v>48940</v>
      </c>
      <c r="L81" s="102">
        <v>48847</v>
      </c>
      <c r="M81" s="102">
        <v>47746</v>
      </c>
      <c r="N81" s="102">
        <v>47014</v>
      </c>
      <c r="O81" s="102">
        <v>45990</v>
      </c>
      <c r="P81" s="102">
        <v>45860</v>
      </c>
      <c r="Q81" s="102">
        <v>39182</v>
      </c>
      <c r="R81" s="102">
        <v>39903</v>
      </c>
      <c r="S81" s="102">
        <v>40354</v>
      </c>
      <c r="T81" s="102">
        <v>40655</v>
      </c>
      <c r="U81" s="102">
        <v>41005</v>
      </c>
      <c r="V81" s="102">
        <v>41019</v>
      </c>
      <c r="W81" s="102">
        <v>42100</v>
      </c>
      <c r="X81" s="102">
        <v>42442</v>
      </c>
      <c r="Y81" s="102">
        <v>42908</v>
      </c>
      <c r="DA81" s="175" t="s">
        <v>524</v>
      </c>
    </row>
    <row r="82" spans="1:105" ht="11.45" customHeight="1" x14ac:dyDescent="0.25">
      <c r="A82" s="138" t="s">
        <v>116</v>
      </c>
      <c r="B82" s="86">
        <v>3412</v>
      </c>
      <c r="C82" s="86">
        <v>3658</v>
      </c>
      <c r="D82" s="86">
        <v>3849</v>
      </c>
      <c r="E82" s="86">
        <v>3934</v>
      </c>
      <c r="F82" s="86">
        <v>4651</v>
      </c>
      <c r="G82" s="86">
        <v>4814</v>
      </c>
      <c r="H82" s="86">
        <v>5175</v>
      </c>
      <c r="I82" s="86">
        <v>5491</v>
      </c>
      <c r="J82" s="86">
        <v>6930</v>
      </c>
      <c r="K82" s="86">
        <v>5923</v>
      </c>
      <c r="L82" s="86">
        <v>5535</v>
      </c>
      <c r="M82" s="86">
        <v>5339</v>
      </c>
      <c r="N82" s="86">
        <v>5244</v>
      </c>
      <c r="O82" s="86">
        <v>5905</v>
      </c>
      <c r="P82" s="86">
        <v>5471</v>
      </c>
      <c r="Q82" s="86">
        <v>5541</v>
      </c>
      <c r="R82" s="86">
        <v>6385</v>
      </c>
      <c r="S82" s="86">
        <v>6528</v>
      </c>
      <c r="T82" s="86">
        <v>6014</v>
      </c>
      <c r="U82" s="86">
        <v>6104</v>
      </c>
      <c r="V82" s="86">
        <v>6622</v>
      </c>
      <c r="W82" s="86">
        <v>6651</v>
      </c>
      <c r="X82" s="86">
        <v>6811</v>
      </c>
      <c r="Y82" s="86">
        <v>6392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2384364</v>
      </c>
      <c r="C84" s="54">
        <f t="shared" si="146"/>
        <v>2419553</v>
      </c>
      <c r="D84" s="54">
        <f t="shared" ref="D84:V84" si="147">D85+D100</f>
        <v>2449909</v>
      </c>
      <c r="E84" s="54">
        <f t="shared" si="147"/>
        <v>2472138</v>
      </c>
      <c r="F84" s="54">
        <f t="shared" si="147"/>
        <v>2523216</v>
      </c>
      <c r="G84" s="54">
        <f t="shared" si="147"/>
        <v>2616030</v>
      </c>
      <c r="H84" s="54">
        <f t="shared" si="147"/>
        <v>2724787</v>
      </c>
      <c r="I84" s="54">
        <f t="shared" si="147"/>
        <v>2814541</v>
      </c>
      <c r="J84" s="54">
        <f t="shared" si="147"/>
        <v>2849275</v>
      </c>
      <c r="K84" s="54">
        <f t="shared" si="147"/>
        <v>2847696</v>
      </c>
      <c r="L84" s="54">
        <f t="shared" si="147"/>
        <v>2870057</v>
      </c>
      <c r="M84" s="54">
        <f t="shared" si="147"/>
        <v>2884803</v>
      </c>
      <c r="N84" s="54">
        <f t="shared" si="147"/>
        <v>2912330</v>
      </c>
      <c r="O84" s="54">
        <f t="shared" si="147"/>
        <v>2937785</v>
      </c>
      <c r="P84" s="54">
        <f t="shared" si="147"/>
        <v>2983624</v>
      </c>
      <c r="Q84" s="54">
        <f t="shared" si="147"/>
        <v>3021872</v>
      </c>
      <c r="R84" s="54">
        <f t="shared" si="147"/>
        <v>3020808</v>
      </c>
      <c r="S84" s="54">
        <f t="shared" si="147"/>
        <v>3135765</v>
      </c>
      <c r="T84" s="54">
        <f t="shared" si="147"/>
        <v>3248167</v>
      </c>
      <c r="U84" s="54">
        <f t="shared" si="147"/>
        <v>3296128</v>
      </c>
      <c r="V84" s="54">
        <f t="shared" si="147"/>
        <v>3385541</v>
      </c>
      <c r="W84" s="54">
        <f t="shared" ref="W84:Y84" si="148">W85+W100</f>
        <v>3496514</v>
      </c>
      <c r="X84" s="54">
        <f t="shared" si="148"/>
        <v>3423014</v>
      </c>
      <c r="Y84" s="54">
        <f t="shared" si="148"/>
        <v>3440076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2006338</v>
      </c>
      <c r="C85" s="28">
        <f t="shared" si="149"/>
        <v>2032950</v>
      </c>
      <c r="D85" s="28">
        <f t="shared" ref="D85:V85" si="150">D86+D87+D94</f>
        <v>2053598</v>
      </c>
      <c r="E85" s="28">
        <f t="shared" si="150"/>
        <v>2064891</v>
      </c>
      <c r="F85" s="28">
        <f t="shared" si="150"/>
        <v>2092493</v>
      </c>
      <c r="G85" s="28">
        <f t="shared" si="150"/>
        <v>2151381</v>
      </c>
      <c r="H85" s="28">
        <f t="shared" si="150"/>
        <v>2219046</v>
      </c>
      <c r="I85" s="28">
        <f t="shared" si="150"/>
        <v>2280676</v>
      </c>
      <c r="J85" s="28">
        <f t="shared" si="150"/>
        <v>2318898</v>
      </c>
      <c r="K85" s="28">
        <f t="shared" si="150"/>
        <v>2340695</v>
      </c>
      <c r="L85" s="28">
        <f t="shared" si="150"/>
        <v>2383952</v>
      </c>
      <c r="M85" s="28">
        <f t="shared" si="150"/>
        <v>2414111</v>
      </c>
      <c r="N85" s="28">
        <f t="shared" si="150"/>
        <v>2451074</v>
      </c>
      <c r="O85" s="28">
        <f t="shared" si="150"/>
        <v>2490322</v>
      </c>
      <c r="P85" s="28">
        <f t="shared" si="150"/>
        <v>2541065</v>
      </c>
      <c r="Q85" s="28">
        <f t="shared" si="150"/>
        <v>2581495</v>
      </c>
      <c r="R85" s="28">
        <f t="shared" si="150"/>
        <v>2577519</v>
      </c>
      <c r="S85" s="28">
        <f t="shared" si="150"/>
        <v>2693335</v>
      </c>
      <c r="T85" s="28">
        <f t="shared" si="150"/>
        <v>2812037</v>
      </c>
      <c r="U85" s="28">
        <f t="shared" si="150"/>
        <v>2868844</v>
      </c>
      <c r="V85" s="28">
        <f t="shared" si="150"/>
        <v>2961465</v>
      </c>
      <c r="W85" s="28">
        <f t="shared" ref="W85:Y85" si="151">W86+W87+W94</f>
        <v>3074293</v>
      </c>
      <c r="X85" s="28">
        <f t="shared" si="151"/>
        <v>3008873</v>
      </c>
      <c r="Y85" s="28">
        <f t="shared" si="151"/>
        <v>3034578</v>
      </c>
      <c r="DA85" s="173"/>
    </row>
    <row r="86" spans="1:105" ht="11.45" hidden="1" customHeight="1" x14ac:dyDescent="0.25">
      <c r="A86" s="136" t="s">
        <v>173</v>
      </c>
      <c r="B86" s="137">
        <v>138310</v>
      </c>
      <c r="C86" s="137">
        <v>146365</v>
      </c>
      <c r="D86" s="137">
        <v>151322</v>
      </c>
      <c r="E86" s="137">
        <v>155740</v>
      </c>
      <c r="F86" s="137">
        <v>162128</v>
      </c>
      <c r="G86" s="137">
        <v>171917</v>
      </c>
      <c r="H86" s="137">
        <v>184036</v>
      </c>
      <c r="I86" s="137">
        <v>197177</v>
      </c>
      <c r="J86" s="137">
        <v>204770</v>
      </c>
      <c r="K86" s="137">
        <v>205239</v>
      </c>
      <c r="L86" s="137">
        <v>203608</v>
      </c>
      <c r="M86" s="137">
        <v>200597</v>
      </c>
      <c r="N86" s="137">
        <v>199243</v>
      </c>
      <c r="O86" s="137">
        <v>198076</v>
      </c>
      <c r="P86" s="137">
        <v>197512</v>
      </c>
      <c r="Q86" s="137">
        <v>198035</v>
      </c>
      <c r="R86" s="137">
        <v>197500</v>
      </c>
      <c r="S86" s="137">
        <v>198000</v>
      </c>
      <c r="T86" s="137">
        <v>199227</v>
      </c>
      <c r="U86" s="137">
        <v>194254</v>
      </c>
      <c r="V86" s="137">
        <v>195856</v>
      </c>
      <c r="W86" s="137">
        <v>196938</v>
      </c>
      <c r="X86" s="137">
        <v>196419</v>
      </c>
      <c r="Y86" s="137">
        <v>195920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1854060</v>
      </c>
      <c r="C87" s="110">
        <f t="shared" si="152"/>
        <v>1872631</v>
      </c>
      <c r="D87" s="110">
        <f t="shared" ref="D87:V87" si="153">SUM(D88:D93)</f>
        <v>1888290</v>
      </c>
      <c r="E87" s="110">
        <f t="shared" si="153"/>
        <v>1895019</v>
      </c>
      <c r="F87" s="110">
        <f t="shared" si="153"/>
        <v>1916174</v>
      </c>
      <c r="G87" s="110">
        <f t="shared" si="153"/>
        <v>1965062.0000000002</v>
      </c>
      <c r="H87" s="110">
        <f t="shared" si="153"/>
        <v>2020457.9999999998</v>
      </c>
      <c r="I87" s="110">
        <f t="shared" si="153"/>
        <v>2069016.9999999998</v>
      </c>
      <c r="J87" s="110">
        <f t="shared" si="153"/>
        <v>2099676</v>
      </c>
      <c r="K87" s="110">
        <f t="shared" si="153"/>
        <v>2120946</v>
      </c>
      <c r="L87" s="110">
        <f t="shared" si="153"/>
        <v>2165848</v>
      </c>
      <c r="M87" s="110">
        <f t="shared" si="153"/>
        <v>2199500</v>
      </c>
      <c r="N87" s="110">
        <f t="shared" si="153"/>
        <v>2238346</v>
      </c>
      <c r="O87" s="110">
        <f t="shared" si="153"/>
        <v>2278976</v>
      </c>
      <c r="P87" s="110">
        <f t="shared" si="153"/>
        <v>2330145</v>
      </c>
      <c r="Q87" s="110">
        <f t="shared" si="153"/>
        <v>2370077</v>
      </c>
      <c r="R87" s="110">
        <f t="shared" si="153"/>
        <v>2366642</v>
      </c>
      <c r="S87" s="110">
        <f t="shared" si="153"/>
        <v>2481853</v>
      </c>
      <c r="T87" s="110">
        <f t="shared" si="153"/>
        <v>2599652</v>
      </c>
      <c r="U87" s="110">
        <f t="shared" si="153"/>
        <v>2661587</v>
      </c>
      <c r="V87" s="110">
        <f t="shared" si="153"/>
        <v>2753311</v>
      </c>
      <c r="W87" s="110">
        <f t="shared" ref="W87:Y87" si="154">SUM(W88:W93)</f>
        <v>2865432</v>
      </c>
      <c r="X87" s="110">
        <f t="shared" si="154"/>
        <v>2801077</v>
      </c>
      <c r="Y87" s="110">
        <f t="shared" si="154"/>
        <v>2827864</v>
      </c>
      <c r="DA87" s="176"/>
    </row>
    <row r="88" spans="1:105" ht="11.45" hidden="1" customHeight="1" x14ac:dyDescent="0.25">
      <c r="A88" s="111" t="s">
        <v>110</v>
      </c>
      <c r="B88" s="84">
        <v>1730094</v>
      </c>
      <c r="C88" s="84">
        <v>1730499</v>
      </c>
      <c r="D88" s="84">
        <v>1731299</v>
      </c>
      <c r="E88" s="84">
        <v>1731699</v>
      </c>
      <c r="F88" s="84">
        <v>1731701</v>
      </c>
      <c r="G88" s="84">
        <v>1731953.0000000002</v>
      </c>
      <c r="H88" s="84">
        <v>1747295.9999999998</v>
      </c>
      <c r="I88" s="84">
        <v>1711180.9999999998</v>
      </c>
      <c r="J88" s="84">
        <v>1680820</v>
      </c>
      <c r="K88" s="84">
        <v>1654583</v>
      </c>
      <c r="L88" s="84">
        <v>1632782</v>
      </c>
      <c r="M88" s="84">
        <v>1612286</v>
      </c>
      <c r="N88" s="84">
        <v>1587898</v>
      </c>
      <c r="O88" s="84">
        <v>1563578</v>
      </c>
      <c r="P88" s="84">
        <v>1538209</v>
      </c>
      <c r="Q88" s="84">
        <v>1496991</v>
      </c>
      <c r="R88" s="84">
        <v>1598307</v>
      </c>
      <c r="S88" s="84">
        <v>1683628</v>
      </c>
      <c r="T88" s="84">
        <v>1767014</v>
      </c>
      <c r="U88" s="84">
        <v>1809473</v>
      </c>
      <c r="V88" s="84">
        <v>1861080</v>
      </c>
      <c r="W88" s="84">
        <v>1918400</v>
      </c>
      <c r="X88" s="84">
        <v>1840957</v>
      </c>
      <c r="Y88" s="84">
        <v>1811572</v>
      </c>
      <c r="DA88" s="171"/>
    </row>
    <row r="89" spans="1:105" ht="11.45" hidden="1" customHeight="1" x14ac:dyDescent="0.25">
      <c r="A89" s="111" t="s">
        <v>111</v>
      </c>
      <c r="B89" s="84">
        <v>116561</v>
      </c>
      <c r="C89" s="84">
        <v>134693</v>
      </c>
      <c r="D89" s="84">
        <v>149921</v>
      </c>
      <c r="E89" s="84">
        <v>157150</v>
      </c>
      <c r="F89" s="84">
        <v>178770</v>
      </c>
      <c r="G89" s="84">
        <v>227940</v>
      </c>
      <c r="H89" s="84">
        <v>268503</v>
      </c>
      <c r="I89" s="84">
        <v>353639</v>
      </c>
      <c r="J89" s="84">
        <v>415308</v>
      </c>
      <c r="K89" s="84">
        <v>463634</v>
      </c>
      <c r="L89" s="84">
        <v>533015</v>
      </c>
      <c r="M89" s="84">
        <v>586748</v>
      </c>
      <c r="N89" s="84">
        <v>649478</v>
      </c>
      <c r="O89" s="84">
        <v>713920</v>
      </c>
      <c r="P89" s="84">
        <v>788825</v>
      </c>
      <c r="Q89" s="84">
        <v>858072</v>
      </c>
      <c r="R89" s="84">
        <v>758786</v>
      </c>
      <c r="S89" s="84">
        <v>787395</v>
      </c>
      <c r="T89" s="84">
        <v>816905</v>
      </c>
      <c r="U89" s="84">
        <v>826925</v>
      </c>
      <c r="V89" s="84">
        <v>834388</v>
      </c>
      <c r="W89" s="84">
        <v>813999</v>
      </c>
      <c r="X89" s="84">
        <v>749434</v>
      </c>
      <c r="Y89" s="84">
        <v>692248</v>
      </c>
      <c r="DA89" s="171"/>
    </row>
    <row r="90" spans="1:105" ht="11.45" hidden="1" customHeight="1" x14ac:dyDescent="0.25">
      <c r="A90" s="111" t="s">
        <v>112</v>
      </c>
      <c r="B90" s="84">
        <v>7405</v>
      </c>
      <c r="C90" s="84">
        <v>7439</v>
      </c>
      <c r="D90" s="84">
        <v>7070</v>
      </c>
      <c r="E90" s="84">
        <v>6170</v>
      </c>
      <c r="F90" s="84">
        <v>5703</v>
      </c>
      <c r="G90" s="84">
        <v>5169</v>
      </c>
      <c r="H90" s="84">
        <v>4659</v>
      </c>
      <c r="I90" s="84">
        <v>4197</v>
      </c>
      <c r="J90" s="84">
        <v>3548</v>
      </c>
      <c r="K90" s="84">
        <v>2698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0</v>
      </c>
      <c r="S90" s="84">
        <v>0</v>
      </c>
      <c r="T90" s="84">
        <v>0</v>
      </c>
      <c r="U90" s="84">
        <v>0</v>
      </c>
      <c r="V90" s="84">
        <v>0</v>
      </c>
      <c r="W90" s="84">
        <v>0</v>
      </c>
      <c r="X90" s="84">
        <v>0</v>
      </c>
      <c r="Y90" s="84">
        <v>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36</v>
      </c>
      <c r="R91" s="84">
        <v>93</v>
      </c>
      <c r="S91" s="84">
        <v>175</v>
      </c>
      <c r="T91" s="84">
        <v>309</v>
      </c>
      <c r="U91" s="84">
        <v>446</v>
      </c>
      <c r="V91" s="84">
        <v>578</v>
      </c>
      <c r="W91" s="84">
        <v>708</v>
      </c>
      <c r="X91" s="84">
        <v>832</v>
      </c>
      <c r="Y91" s="84">
        <v>944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33</v>
      </c>
      <c r="O92" s="84">
        <v>44</v>
      </c>
      <c r="P92" s="84">
        <v>144</v>
      </c>
      <c r="Q92" s="84">
        <v>7487</v>
      </c>
      <c r="R92" s="84">
        <v>770</v>
      </c>
      <c r="S92" s="84">
        <v>1223</v>
      </c>
      <c r="T92" s="84">
        <v>4526</v>
      </c>
      <c r="U92" s="84">
        <v>8412</v>
      </c>
      <c r="V92" s="84">
        <v>26749</v>
      </c>
      <c r="W92" s="84">
        <v>69205</v>
      </c>
      <c r="X92" s="84">
        <v>97180</v>
      </c>
      <c r="Y92" s="84">
        <v>123000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31</v>
      </c>
      <c r="L93" s="84">
        <v>51</v>
      </c>
      <c r="M93" s="84">
        <v>466</v>
      </c>
      <c r="N93" s="84">
        <v>937</v>
      </c>
      <c r="O93" s="84">
        <v>1434</v>
      </c>
      <c r="P93" s="84">
        <v>2967</v>
      </c>
      <c r="Q93" s="84">
        <v>7491</v>
      </c>
      <c r="R93" s="84">
        <v>8686</v>
      </c>
      <c r="S93" s="84">
        <v>9432</v>
      </c>
      <c r="T93" s="84">
        <v>10898</v>
      </c>
      <c r="U93" s="84">
        <v>16331</v>
      </c>
      <c r="V93" s="84">
        <v>30516</v>
      </c>
      <c r="W93" s="84">
        <v>63120</v>
      </c>
      <c r="X93" s="84">
        <v>112674</v>
      </c>
      <c r="Y93" s="84">
        <v>200100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13968</v>
      </c>
      <c r="C94" s="110">
        <f t="shared" si="155"/>
        <v>13954</v>
      </c>
      <c r="D94" s="110">
        <f t="shared" ref="D94:V94" si="156">SUM(D95:D99)</f>
        <v>13986</v>
      </c>
      <c r="E94" s="110">
        <f t="shared" si="156"/>
        <v>14132</v>
      </c>
      <c r="F94" s="110">
        <f t="shared" si="156"/>
        <v>14191</v>
      </c>
      <c r="G94" s="110">
        <f t="shared" si="156"/>
        <v>14402</v>
      </c>
      <c r="H94" s="110">
        <f t="shared" si="156"/>
        <v>14552</v>
      </c>
      <c r="I94" s="110">
        <f t="shared" si="156"/>
        <v>14482</v>
      </c>
      <c r="J94" s="110">
        <f t="shared" si="156"/>
        <v>14452</v>
      </c>
      <c r="K94" s="110">
        <f t="shared" si="156"/>
        <v>14510</v>
      </c>
      <c r="L94" s="110">
        <f t="shared" si="156"/>
        <v>14496</v>
      </c>
      <c r="M94" s="110">
        <f t="shared" si="156"/>
        <v>14014</v>
      </c>
      <c r="N94" s="110">
        <f t="shared" si="156"/>
        <v>13485</v>
      </c>
      <c r="O94" s="110">
        <f t="shared" si="156"/>
        <v>13270</v>
      </c>
      <c r="P94" s="110">
        <f t="shared" si="156"/>
        <v>13408</v>
      </c>
      <c r="Q94" s="110">
        <f t="shared" si="156"/>
        <v>13383</v>
      </c>
      <c r="R94" s="110">
        <f t="shared" si="156"/>
        <v>13377</v>
      </c>
      <c r="S94" s="110">
        <f t="shared" si="156"/>
        <v>13482</v>
      </c>
      <c r="T94" s="110">
        <f t="shared" si="156"/>
        <v>13158</v>
      </c>
      <c r="U94" s="110">
        <f t="shared" si="156"/>
        <v>13003</v>
      </c>
      <c r="V94" s="110">
        <f t="shared" si="156"/>
        <v>12298</v>
      </c>
      <c r="W94" s="110">
        <f t="shared" ref="W94:Y94" si="157">SUM(W95:W99)</f>
        <v>11923</v>
      </c>
      <c r="X94" s="110">
        <f t="shared" si="157"/>
        <v>11377</v>
      </c>
      <c r="Y94" s="110">
        <f t="shared" si="157"/>
        <v>10794</v>
      </c>
      <c r="DA94" s="176"/>
    </row>
    <row r="95" spans="1:105" ht="11.45" hidden="1" customHeight="1" x14ac:dyDescent="0.25">
      <c r="A95" s="111" t="s">
        <v>110</v>
      </c>
      <c r="B95" s="102">
        <v>1589</v>
      </c>
      <c r="C95" s="102">
        <v>1589</v>
      </c>
      <c r="D95" s="102">
        <v>1577</v>
      </c>
      <c r="E95" s="102">
        <v>1003</v>
      </c>
      <c r="F95" s="102">
        <v>825</v>
      </c>
      <c r="G95" s="102">
        <v>762</v>
      </c>
      <c r="H95" s="102">
        <v>747</v>
      </c>
      <c r="I95" s="102">
        <v>717</v>
      </c>
      <c r="J95" s="102">
        <v>699</v>
      </c>
      <c r="K95" s="102">
        <v>679</v>
      </c>
      <c r="L95" s="102">
        <v>657</v>
      </c>
      <c r="M95" s="102">
        <v>639</v>
      </c>
      <c r="N95" s="102">
        <v>622</v>
      </c>
      <c r="O95" s="102">
        <v>662</v>
      </c>
      <c r="P95" s="102">
        <v>595</v>
      </c>
      <c r="Q95" s="102">
        <v>529</v>
      </c>
      <c r="R95" s="102">
        <v>478</v>
      </c>
      <c r="S95" s="102">
        <v>437</v>
      </c>
      <c r="T95" s="102">
        <v>396</v>
      </c>
      <c r="U95" s="102">
        <v>363</v>
      </c>
      <c r="V95" s="102">
        <v>328</v>
      </c>
      <c r="W95" s="102">
        <v>309</v>
      </c>
      <c r="X95" s="102">
        <v>297</v>
      </c>
      <c r="Y95" s="102">
        <v>267</v>
      </c>
      <c r="DA95" s="175"/>
    </row>
    <row r="96" spans="1:105" ht="11.45" hidden="1" customHeight="1" x14ac:dyDescent="0.25">
      <c r="A96" s="111" t="s">
        <v>111</v>
      </c>
      <c r="B96" s="102">
        <v>12379</v>
      </c>
      <c r="C96" s="102">
        <v>12365</v>
      </c>
      <c r="D96" s="102">
        <v>12409</v>
      </c>
      <c r="E96" s="102">
        <v>13129</v>
      </c>
      <c r="F96" s="102">
        <v>13366</v>
      </c>
      <c r="G96" s="102">
        <v>13640</v>
      </c>
      <c r="H96" s="102">
        <v>13805</v>
      </c>
      <c r="I96" s="102">
        <v>13765</v>
      </c>
      <c r="J96" s="102">
        <v>13753</v>
      </c>
      <c r="K96" s="102">
        <v>13831</v>
      </c>
      <c r="L96" s="102">
        <v>13839</v>
      </c>
      <c r="M96" s="102">
        <v>13375</v>
      </c>
      <c r="N96" s="102">
        <v>12863</v>
      </c>
      <c r="O96" s="102">
        <v>12608</v>
      </c>
      <c r="P96" s="102">
        <v>12813</v>
      </c>
      <c r="Q96" s="102">
        <v>12821</v>
      </c>
      <c r="R96" s="102">
        <v>12820</v>
      </c>
      <c r="S96" s="102">
        <v>12883</v>
      </c>
      <c r="T96" s="102">
        <v>12598</v>
      </c>
      <c r="U96" s="102">
        <v>12386</v>
      </c>
      <c r="V96" s="102">
        <v>11724</v>
      </c>
      <c r="W96" s="102">
        <v>11123</v>
      </c>
      <c r="X96" s="102">
        <v>10187</v>
      </c>
      <c r="Y96" s="102">
        <v>9007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X97" s="102">
        <v>0</v>
      </c>
      <c r="Y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33</v>
      </c>
      <c r="R98" s="102">
        <v>73</v>
      </c>
      <c r="S98" s="102">
        <v>154</v>
      </c>
      <c r="T98" s="102">
        <v>154</v>
      </c>
      <c r="U98" s="102">
        <v>154</v>
      </c>
      <c r="V98" s="102">
        <v>154</v>
      </c>
      <c r="W98" s="102">
        <v>154</v>
      </c>
      <c r="X98" s="102">
        <v>154</v>
      </c>
      <c r="Y98" s="102">
        <v>160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v>0</v>
      </c>
      <c r="R99" s="102">
        <v>6</v>
      </c>
      <c r="S99" s="102">
        <v>8</v>
      </c>
      <c r="T99" s="102">
        <v>10</v>
      </c>
      <c r="U99" s="102">
        <v>100</v>
      </c>
      <c r="V99" s="102">
        <v>92</v>
      </c>
      <c r="W99" s="102">
        <v>337</v>
      </c>
      <c r="X99" s="102">
        <v>739</v>
      </c>
      <c r="Y99" s="102">
        <v>1360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378026</v>
      </c>
      <c r="C100" s="28">
        <f t="shared" si="158"/>
        <v>386603</v>
      </c>
      <c r="D100" s="28">
        <f t="shared" ref="D100:V100" si="159">D101+D107</f>
        <v>396311</v>
      </c>
      <c r="E100" s="28">
        <f t="shared" si="159"/>
        <v>407247</v>
      </c>
      <c r="F100" s="28">
        <f t="shared" si="159"/>
        <v>430723</v>
      </c>
      <c r="G100" s="28">
        <f t="shared" si="159"/>
        <v>464649</v>
      </c>
      <c r="H100" s="28">
        <f t="shared" si="159"/>
        <v>505741</v>
      </c>
      <c r="I100" s="28">
        <f t="shared" si="159"/>
        <v>533865</v>
      </c>
      <c r="J100" s="28">
        <f t="shared" si="159"/>
        <v>530377</v>
      </c>
      <c r="K100" s="28">
        <f t="shared" si="159"/>
        <v>507001</v>
      </c>
      <c r="L100" s="28">
        <f t="shared" si="159"/>
        <v>486105</v>
      </c>
      <c r="M100" s="28">
        <f t="shared" si="159"/>
        <v>470692</v>
      </c>
      <c r="N100" s="28">
        <f t="shared" si="159"/>
        <v>461256</v>
      </c>
      <c r="O100" s="28">
        <f t="shared" si="159"/>
        <v>447463</v>
      </c>
      <c r="P100" s="28">
        <f t="shared" si="159"/>
        <v>442559</v>
      </c>
      <c r="Q100" s="28">
        <f t="shared" si="159"/>
        <v>440377</v>
      </c>
      <c r="R100" s="28">
        <f t="shared" si="159"/>
        <v>443289</v>
      </c>
      <c r="S100" s="28">
        <f t="shared" si="159"/>
        <v>442430</v>
      </c>
      <c r="T100" s="28">
        <f t="shared" si="159"/>
        <v>436130</v>
      </c>
      <c r="U100" s="28">
        <f t="shared" si="159"/>
        <v>427284</v>
      </c>
      <c r="V100" s="28">
        <f t="shared" si="159"/>
        <v>424076</v>
      </c>
      <c r="W100" s="28">
        <f t="shared" ref="W100:Y100" si="160">W101+W107</f>
        <v>422221</v>
      </c>
      <c r="X100" s="28">
        <f t="shared" si="160"/>
        <v>414141</v>
      </c>
      <c r="Y100" s="28">
        <f t="shared" si="160"/>
        <v>405498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338279</v>
      </c>
      <c r="C101" s="137">
        <f t="shared" si="161"/>
        <v>345061</v>
      </c>
      <c r="D101" s="137">
        <f t="shared" ref="D101:V101" si="162">SUM(D102:D106)</f>
        <v>353421</v>
      </c>
      <c r="E101" s="137">
        <f t="shared" si="162"/>
        <v>363707</v>
      </c>
      <c r="F101" s="137">
        <f t="shared" si="162"/>
        <v>385132</v>
      </c>
      <c r="G101" s="137">
        <f t="shared" si="162"/>
        <v>413192</v>
      </c>
      <c r="H101" s="137">
        <f t="shared" si="162"/>
        <v>452034</v>
      </c>
      <c r="I101" s="137">
        <f t="shared" si="162"/>
        <v>474292</v>
      </c>
      <c r="J101" s="137">
        <f t="shared" si="162"/>
        <v>470672</v>
      </c>
      <c r="K101" s="137">
        <f t="shared" si="162"/>
        <v>452138</v>
      </c>
      <c r="L101" s="137">
        <f t="shared" si="162"/>
        <v>431723</v>
      </c>
      <c r="M101" s="137">
        <f t="shared" si="162"/>
        <v>417607</v>
      </c>
      <c r="N101" s="137">
        <f t="shared" si="162"/>
        <v>408998</v>
      </c>
      <c r="O101" s="137">
        <f t="shared" si="162"/>
        <v>395568</v>
      </c>
      <c r="P101" s="137">
        <f t="shared" si="162"/>
        <v>391228</v>
      </c>
      <c r="Q101" s="137">
        <f t="shared" si="162"/>
        <v>395654</v>
      </c>
      <c r="R101" s="137">
        <f t="shared" si="162"/>
        <v>397001</v>
      </c>
      <c r="S101" s="137">
        <f t="shared" si="162"/>
        <v>395548</v>
      </c>
      <c r="T101" s="137">
        <f t="shared" si="162"/>
        <v>389461</v>
      </c>
      <c r="U101" s="137">
        <f t="shared" si="162"/>
        <v>380175</v>
      </c>
      <c r="V101" s="137">
        <f t="shared" si="162"/>
        <v>376435</v>
      </c>
      <c r="W101" s="137">
        <f t="shared" ref="W101:Y101" si="163">SUM(W102:W106)</f>
        <v>373470</v>
      </c>
      <c r="X101" s="137">
        <f t="shared" si="163"/>
        <v>364888</v>
      </c>
      <c r="Y101" s="137">
        <f t="shared" si="163"/>
        <v>356198</v>
      </c>
      <c r="DA101" s="174"/>
    </row>
    <row r="102" spans="1:105" ht="11.45" hidden="1" customHeight="1" x14ac:dyDescent="0.25">
      <c r="A102" s="111" t="s">
        <v>110</v>
      </c>
      <c r="B102" s="84">
        <v>70493</v>
      </c>
      <c r="C102" s="84">
        <v>70493</v>
      </c>
      <c r="D102" s="84">
        <v>70493</v>
      </c>
      <c r="E102" s="84">
        <v>70495</v>
      </c>
      <c r="F102" s="84">
        <v>70511</v>
      </c>
      <c r="G102" s="84">
        <v>70672</v>
      </c>
      <c r="H102" s="84">
        <v>72306</v>
      </c>
      <c r="I102" s="84">
        <v>65680</v>
      </c>
      <c r="J102" s="84">
        <v>61322</v>
      </c>
      <c r="K102" s="84">
        <v>56777</v>
      </c>
      <c r="L102" s="84">
        <v>51196</v>
      </c>
      <c r="M102" s="84">
        <v>48160</v>
      </c>
      <c r="N102" s="84">
        <v>43922</v>
      </c>
      <c r="O102" s="84">
        <v>39684</v>
      </c>
      <c r="P102" s="84">
        <v>35446</v>
      </c>
      <c r="Q102" s="84">
        <v>31403</v>
      </c>
      <c r="R102" s="84">
        <v>29854</v>
      </c>
      <c r="S102" s="84">
        <v>27980</v>
      </c>
      <c r="T102" s="84">
        <v>25922</v>
      </c>
      <c r="U102" s="84">
        <v>23952</v>
      </c>
      <c r="V102" s="84">
        <v>23040</v>
      </c>
      <c r="W102" s="84">
        <v>22470</v>
      </c>
      <c r="X102" s="84">
        <v>22019</v>
      </c>
      <c r="Y102" s="84">
        <v>21436</v>
      </c>
      <c r="DA102" s="171"/>
    </row>
    <row r="103" spans="1:105" ht="11.45" hidden="1" customHeight="1" x14ac:dyDescent="0.25">
      <c r="A103" s="111" t="s">
        <v>111</v>
      </c>
      <c r="B103" s="84">
        <v>267586</v>
      </c>
      <c r="C103" s="84">
        <v>274350</v>
      </c>
      <c r="D103" s="84">
        <v>282693</v>
      </c>
      <c r="E103" s="84">
        <v>293000</v>
      </c>
      <c r="F103" s="84">
        <v>314430</v>
      </c>
      <c r="G103" s="84">
        <v>342349</v>
      </c>
      <c r="H103" s="84">
        <v>379576</v>
      </c>
      <c r="I103" s="84">
        <v>408482</v>
      </c>
      <c r="J103" s="84">
        <v>409245</v>
      </c>
      <c r="K103" s="84">
        <v>395278</v>
      </c>
      <c r="L103" s="84">
        <v>380527</v>
      </c>
      <c r="M103" s="84">
        <v>369447</v>
      </c>
      <c r="N103" s="84">
        <v>365060</v>
      </c>
      <c r="O103" s="84">
        <v>355831</v>
      </c>
      <c r="P103" s="84">
        <v>355741</v>
      </c>
      <c r="Q103" s="84">
        <v>363338</v>
      </c>
      <c r="R103" s="84">
        <v>366177</v>
      </c>
      <c r="S103" s="84">
        <v>366455</v>
      </c>
      <c r="T103" s="84">
        <v>362411</v>
      </c>
      <c r="U103" s="84">
        <v>354898</v>
      </c>
      <c r="V103" s="84">
        <v>351593</v>
      </c>
      <c r="W103" s="84">
        <v>347556</v>
      </c>
      <c r="X103" s="84">
        <v>337602</v>
      </c>
      <c r="Y103" s="84">
        <v>327446</v>
      </c>
      <c r="DA103" s="171"/>
    </row>
    <row r="104" spans="1:105" ht="11.45" hidden="1" customHeight="1" x14ac:dyDescent="0.25">
      <c r="A104" s="111" t="s">
        <v>112</v>
      </c>
      <c r="B104" s="84">
        <v>200</v>
      </c>
      <c r="C104" s="84">
        <v>218</v>
      </c>
      <c r="D104" s="84">
        <v>235</v>
      </c>
      <c r="E104" s="84">
        <v>212</v>
      </c>
      <c r="F104" s="84">
        <v>191</v>
      </c>
      <c r="G104" s="84">
        <v>171</v>
      </c>
      <c r="H104" s="84">
        <v>152</v>
      </c>
      <c r="I104" s="84">
        <v>130</v>
      </c>
      <c r="J104" s="84">
        <v>105</v>
      </c>
      <c r="K104" s="84">
        <v>83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X104" s="84">
        <v>0</v>
      </c>
      <c r="Y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430</v>
      </c>
      <c r="R105" s="84">
        <v>450</v>
      </c>
      <c r="S105" s="84">
        <v>490</v>
      </c>
      <c r="T105" s="84">
        <v>486</v>
      </c>
      <c r="U105" s="84">
        <v>470</v>
      </c>
      <c r="V105" s="84">
        <v>452</v>
      </c>
      <c r="W105" s="84">
        <v>426</v>
      </c>
      <c r="X105" s="84">
        <v>396</v>
      </c>
      <c r="Y105" s="84">
        <v>362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16</v>
      </c>
      <c r="O106" s="84">
        <v>53</v>
      </c>
      <c r="P106" s="84">
        <v>41</v>
      </c>
      <c r="Q106" s="84">
        <v>483</v>
      </c>
      <c r="R106" s="84">
        <v>520</v>
      </c>
      <c r="S106" s="84">
        <v>623</v>
      </c>
      <c r="T106" s="84">
        <v>642</v>
      </c>
      <c r="U106" s="84">
        <v>855</v>
      </c>
      <c r="V106" s="84">
        <v>1350</v>
      </c>
      <c r="W106" s="84">
        <v>3018</v>
      </c>
      <c r="X106" s="84">
        <v>4871</v>
      </c>
      <c r="Y106" s="84">
        <v>6954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39747</v>
      </c>
      <c r="C107" s="110">
        <f t="shared" si="164"/>
        <v>41542</v>
      </c>
      <c r="D107" s="110">
        <f t="shared" ref="D107:V107" si="165">SUM(D108:D109)</f>
        <v>42890</v>
      </c>
      <c r="E107" s="110">
        <f t="shared" si="165"/>
        <v>43540</v>
      </c>
      <c r="F107" s="110">
        <f t="shared" si="165"/>
        <v>45591</v>
      </c>
      <c r="G107" s="110">
        <f t="shared" si="165"/>
        <v>51457</v>
      </c>
      <c r="H107" s="110">
        <f t="shared" si="165"/>
        <v>53707</v>
      </c>
      <c r="I107" s="110">
        <f t="shared" si="165"/>
        <v>59573</v>
      </c>
      <c r="J107" s="110">
        <f t="shared" si="165"/>
        <v>59705</v>
      </c>
      <c r="K107" s="110">
        <f t="shared" si="165"/>
        <v>54863</v>
      </c>
      <c r="L107" s="110">
        <f t="shared" si="165"/>
        <v>54382</v>
      </c>
      <c r="M107" s="110">
        <f t="shared" si="165"/>
        <v>53085</v>
      </c>
      <c r="N107" s="110">
        <f t="shared" si="165"/>
        <v>52258</v>
      </c>
      <c r="O107" s="110">
        <f t="shared" si="165"/>
        <v>51895</v>
      </c>
      <c r="P107" s="110">
        <f t="shared" si="165"/>
        <v>51331</v>
      </c>
      <c r="Q107" s="110">
        <f t="shared" si="165"/>
        <v>44723</v>
      </c>
      <c r="R107" s="110">
        <f t="shared" si="165"/>
        <v>46288</v>
      </c>
      <c r="S107" s="110">
        <f t="shared" si="165"/>
        <v>46882</v>
      </c>
      <c r="T107" s="110">
        <f t="shared" si="165"/>
        <v>46669</v>
      </c>
      <c r="U107" s="110">
        <f t="shared" si="165"/>
        <v>47109</v>
      </c>
      <c r="V107" s="110">
        <f t="shared" si="165"/>
        <v>47641</v>
      </c>
      <c r="W107" s="110">
        <f t="shared" ref="W107:Y107" si="166">SUM(W108:W109)</f>
        <v>48751</v>
      </c>
      <c r="X107" s="110">
        <f t="shared" si="166"/>
        <v>49253</v>
      </c>
      <c r="Y107" s="110">
        <f t="shared" si="166"/>
        <v>49300</v>
      </c>
      <c r="DA107" s="176"/>
    </row>
    <row r="108" spans="1:105" ht="11.45" hidden="1" customHeight="1" x14ac:dyDescent="0.25">
      <c r="A108" s="128" t="s">
        <v>27</v>
      </c>
      <c r="B108" s="102">
        <v>36335</v>
      </c>
      <c r="C108" s="102">
        <v>37884</v>
      </c>
      <c r="D108" s="102">
        <v>39041</v>
      </c>
      <c r="E108" s="102">
        <v>39606</v>
      </c>
      <c r="F108" s="102">
        <v>40940</v>
      </c>
      <c r="G108" s="102">
        <v>46643</v>
      </c>
      <c r="H108" s="102">
        <v>48532</v>
      </c>
      <c r="I108" s="102">
        <v>54082</v>
      </c>
      <c r="J108" s="102">
        <v>52775</v>
      </c>
      <c r="K108" s="102">
        <v>48940</v>
      </c>
      <c r="L108" s="102">
        <v>48847</v>
      </c>
      <c r="M108" s="102">
        <v>47746</v>
      </c>
      <c r="N108" s="102">
        <v>47014</v>
      </c>
      <c r="O108" s="102">
        <v>45990</v>
      </c>
      <c r="P108" s="102">
        <v>45860</v>
      </c>
      <c r="Q108" s="102">
        <v>39182</v>
      </c>
      <c r="R108" s="102">
        <v>39903</v>
      </c>
      <c r="S108" s="102">
        <v>40354</v>
      </c>
      <c r="T108" s="102">
        <v>40655</v>
      </c>
      <c r="U108" s="102">
        <v>41005</v>
      </c>
      <c r="V108" s="102">
        <v>41019</v>
      </c>
      <c r="W108" s="102">
        <v>42100</v>
      </c>
      <c r="X108" s="102">
        <v>42442</v>
      </c>
      <c r="Y108" s="102">
        <v>42908</v>
      </c>
      <c r="DA108" s="175"/>
    </row>
    <row r="109" spans="1:105" ht="11.45" hidden="1" customHeight="1" x14ac:dyDescent="0.25">
      <c r="A109" s="138" t="s">
        <v>116</v>
      </c>
      <c r="B109" s="86">
        <v>3412</v>
      </c>
      <c r="C109" s="86">
        <v>3658</v>
      </c>
      <c r="D109" s="86">
        <v>3849</v>
      </c>
      <c r="E109" s="86">
        <v>3934</v>
      </c>
      <c r="F109" s="86">
        <v>4651</v>
      </c>
      <c r="G109" s="86">
        <v>4814</v>
      </c>
      <c r="H109" s="86">
        <v>5175</v>
      </c>
      <c r="I109" s="86">
        <v>5491</v>
      </c>
      <c r="J109" s="86">
        <v>6930</v>
      </c>
      <c r="K109" s="86">
        <v>5923</v>
      </c>
      <c r="L109" s="86">
        <v>5535</v>
      </c>
      <c r="M109" s="86">
        <v>5339</v>
      </c>
      <c r="N109" s="86">
        <v>5244</v>
      </c>
      <c r="O109" s="86">
        <v>5905</v>
      </c>
      <c r="P109" s="86">
        <v>5471</v>
      </c>
      <c r="Q109" s="86">
        <v>5541</v>
      </c>
      <c r="R109" s="86">
        <v>6385</v>
      </c>
      <c r="S109" s="86">
        <v>6528</v>
      </c>
      <c r="T109" s="86">
        <v>6014</v>
      </c>
      <c r="U109" s="86">
        <v>6104</v>
      </c>
      <c r="V109" s="86">
        <v>6622</v>
      </c>
      <c r="W109" s="86">
        <v>6651</v>
      </c>
      <c r="X109" s="86">
        <v>6811</v>
      </c>
      <c r="Y109" s="86">
        <v>6392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121644</v>
      </c>
      <c r="C111" s="54">
        <f t="shared" si="167"/>
        <v>170949</v>
      </c>
      <c r="D111" s="54">
        <f t="shared" si="167"/>
        <v>174968</v>
      </c>
      <c r="E111" s="54">
        <f t="shared" si="167"/>
        <v>152815</v>
      </c>
      <c r="F111" s="54">
        <f t="shared" si="167"/>
        <v>197792</v>
      </c>
      <c r="G111" s="54">
        <f t="shared" si="167"/>
        <v>255292</v>
      </c>
      <c r="H111" s="54">
        <f t="shared" si="167"/>
        <v>245121</v>
      </c>
      <c r="I111" s="54">
        <f t="shared" si="167"/>
        <v>311405</v>
      </c>
      <c r="J111" s="54">
        <f t="shared" si="167"/>
        <v>217123</v>
      </c>
      <c r="K111" s="54">
        <f t="shared" si="167"/>
        <v>159911</v>
      </c>
      <c r="L111" s="54">
        <f t="shared" ref="L111" si="168">L112+L127</f>
        <v>206993</v>
      </c>
      <c r="M111" s="54">
        <f t="shared" ref="M111:V111" si="169">M112+M127</f>
        <v>213948.00000000003</v>
      </c>
      <c r="N111" s="54">
        <f t="shared" si="169"/>
        <v>235869</v>
      </c>
      <c r="O111" s="54">
        <f t="shared" si="169"/>
        <v>245587.99999999997</v>
      </c>
      <c r="P111" s="54">
        <f t="shared" si="169"/>
        <v>273756</v>
      </c>
      <c r="Q111" s="54">
        <f t="shared" si="169"/>
        <v>274965</v>
      </c>
      <c r="R111" s="54">
        <f t="shared" si="169"/>
        <v>308859</v>
      </c>
      <c r="S111" s="54">
        <f t="shared" si="169"/>
        <v>293920</v>
      </c>
      <c r="T111" s="54">
        <f t="shared" si="169"/>
        <v>291766</v>
      </c>
      <c r="U111" s="54">
        <f t="shared" si="169"/>
        <v>299758</v>
      </c>
      <c r="V111" s="54">
        <f t="shared" si="169"/>
        <v>284671</v>
      </c>
      <c r="W111" s="54">
        <f t="shared" ref="W111:Y111" si="170">W112+W127</f>
        <v>311677</v>
      </c>
      <c r="X111" s="54">
        <f t="shared" si="170"/>
        <v>259170</v>
      </c>
      <c r="Y111" s="54">
        <f t="shared" si="170"/>
        <v>296807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121303</v>
      </c>
      <c r="C112" s="28">
        <f t="shared" si="171"/>
        <v>119817</v>
      </c>
      <c r="D112" s="28">
        <f t="shared" si="171"/>
        <v>121633</v>
      </c>
      <c r="E112" s="28">
        <f t="shared" si="171"/>
        <v>100959</v>
      </c>
      <c r="F112" s="28">
        <f t="shared" si="171"/>
        <v>136263</v>
      </c>
      <c r="G112" s="28">
        <f t="shared" si="171"/>
        <v>187608</v>
      </c>
      <c r="H112" s="28">
        <f t="shared" si="171"/>
        <v>171698</v>
      </c>
      <c r="I112" s="28">
        <f t="shared" si="171"/>
        <v>247252</v>
      </c>
      <c r="J112" s="28">
        <f t="shared" si="171"/>
        <v>177187</v>
      </c>
      <c r="K112" s="28">
        <f t="shared" si="171"/>
        <v>130651.00000000001</v>
      </c>
      <c r="L112" s="28">
        <f t="shared" ref="L112" si="172">L113+L114+L121</f>
        <v>173736</v>
      </c>
      <c r="M112" s="28">
        <f t="shared" ref="M112:V112" si="173">M113+M114+M121</f>
        <v>168501.00000000003</v>
      </c>
      <c r="N112" s="28">
        <f t="shared" si="173"/>
        <v>180957</v>
      </c>
      <c r="O112" s="28">
        <f t="shared" si="173"/>
        <v>194772.99999999997</v>
      </c>
      <c r="P112" s="28">
        <f t="shared" si="173"/>
        <v>217983</v>
      </c>
      <c r="Q112" s="28">
        <f t="shared" si="173"/>
        <v>218465</v>
      </c>
      <c r="R112" s="28">
        <f t="shared" si="173"/>
        <v>246611</v>
      </c>
      <c r="S112" s="28">
        <f t="shared" si="173"/>
        <v>230393</v>
      </c>
      <c r="T112" s="28">
        <f t="shared" si="173"/>
        <v>231151</v>
      </c>
      <c r="U112" s="28">
        <f t="shared" si="173"/>
        <v>239455</v>
      </c>
      <c r="V112" s="28">
        <f t="shared" si="173"/>
        <v>227388</v>
      </c>
      <c r="W112" s="28">
        <f t="shared" ref="W112:Y112" si="174">W113+W114+W121</f>
        <v>253077</v>
      </c>
      <c r="X112" s="28">
        <f t="shared" si="174"/>
        <v>204459</v>
      </c>
      <c r="Y112" s="28">
        <f t="shared" si="174"/>
        <v>244259</v>
      </c>
      <c r="DA112" s="173" t="s">
        <v>527</v>
      </c>
    </row>
    <row r="113" spans="1:105" ht="11.45" customHeight="1" x14ac:dyDescent="0.25">
      <c r="A113" s="136" t="s">
        <v>173</v>
      </c>
      <c r="B113" s="137">
        <v>6435</v>
      </c>
      <c r="C113" s="137">
        <v>19754</v>
      </c>
      <c r="D113" s="137">
        <v>13946</v>
      </c>
      <c r="E113" s="137">
        <v>13042</v>
      </c>
      <c r="F113" s="137">
        <v>17012</v>
      </c>
      <c r="G113" s="137">
        <v>23831</v>
      </c>
      <c r="H113" s="137">
        <v>28661</v>
      </c>
      <c r="I113" s="137">
        <v>31009</v>
      </c>
      <c r="J113" s="137">
        <v>20574</v>
      </c>
      <c r="K113" s="137">
        <v>7299</v>
      </c>
      <c r="L113" s="137">
        <v>5146</v>
      </c>
      <c r="M113" s="137">
        <v>3830</v>
      </c>
      <c r="N113" s="137">
        <v>3335</v>
      </c>
      <c r="O113" s="137">
        <v>3553</v>
      </c>
      <c r="P113" s="137">
        <v>4694</v>
      </c>
      <c r="Q113" s="137">
        <v>6798</v>
      </c>
      <c r="R113" s="137">
        <v>5825</v>
      </c>
      <c r="S113" s="137">
        <v>6753</v>
      </c>
      <c r="T113" s="137">
        <v>8184</v>
      </c>
      <c r="U113" s="137">
        <v>7980</v>
      </c>
      <c r="V113" s="137">
        <v>8046</v>
      </c>
      <c r="W113" s="137">
        <v>8090</v>
      </c>
      <c r="X113" s="137">
        <v>6168</v>
      </c>
      <c r="Y113" s="137">
        <v>5238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113631</v>
      </c>
      <c r="C114" s="110">
        <f t="shared" si="175"/>
        <v>99005</v>
      </c>
      <c r="D114" s="110">
        <f t="shared" si="175"/>
        <v>106422</v>
      </c>
      <c r="E114" s="110">
        <f t="shared" si="175"/>
        <v>86697</v>
      </c>
      <c r="F114" s="110">
        <f t="shared" si="175"/>
        <v>117494</v>
      </c>
      <c r="G114" s="110">
        <f t="shared" si="175"/>
        <v>161334</v>
      </c>
      <c r="H114" s="110">
        <f t="shared" si="175"/>
        <v>139849</v>
      </c>
      <c r="I114" s="110">
        <f t="shared" si="175"/>
        <v>212331</v>
      </c>
      <c r="J114" s="110">
        <f t="shared" si="175"/>
        <v>155422</v>
      </c>
      <c r="K114" s="110">
        <f t="shared" si="175"/>
        <v>122240.00000000001</v>
      </c>
      <c r="L114" s="110">
        <f t="shared" ref="L114" si="176">SUM(L115:L120)</f>
        <v>167586</v>
      </c>
      <c r="M114" s="110">
        <f t="shared" ref="M114:V114" si="177">SUM(M115:M120)</f>
        <v>163869.00000000003</v>
      </c>
      <c r="N114" s="110">
        <f t="shared" si="177"/>
        <v>176858</v>
      </c>
      <c r="O114" s="110">
        <f t="shared" si="177"/>
        <v>190603.99999999997</v>
      </c>
      <c r="P114" s="110">
        <f t="shared" si="177"/>
        <v>212491</v>
      </c>
      <c r="Q114" s="110">
        <f t="shared" si="177"/>
        <v>210832</v>
      </c>
      <c r="R114" s="110">
        <f t="shared" si="177"/>
        <v>239747</v>
      </c>
      <c r="S114" s="110">
        <f t="shared" si="177"/>
        <v>222347</v>
      </c>
      <c r="T114" s="110">
        <f t="shared" si="177"/>
        <v>222205</v>
      </c>
      <c r="U114" s="110">
        <f t="shared" si="177"/>
        <v>230591</v>
      </c>
      <c r="V114" s="110">
        <f t="shared" si="177"/>
        <v>218902</v>
      </c>
      <c r="W114" s="110">
        <f t="shared" ref="W114:Y114" si="178">SUM(W115:W120)</f>
        <v>244241</v>
      </c>
      <c r="X114" s="110">
        <f t="shared" si="178"/>
        <v>197577</v>
      </c>
      <c r="Y114" s="110">
        <f t="shared" si="178"/>
        <v>238390</v>
      </c>
      <c r="DA114" s="176" t="s">
        <v>529</v>
      </c>
    </row>
    <row r="115" spans="1:105" ht="11.45" customHeight="1" x14ac:dyDescent="0.25">
      <c r="A115" s="111" t="s">
        <v>110</v>
      </c>
      <c r="B115" s="84">
        <v>79476</v>
      </c>
      <c r="C115" s="84">
        <v>68759</v>
      </c>
      <c r="D115" s="84">
        <v>79538</v>
      </c>
      <c r="E115" s="84">
        <v>67812</v>
      </c>
      <c r="F115" s="84">
        <v>84994</v>
      </c>
      <c r="G115" s="84">
        <v>102028</v>
      </c>
      <c r="H115" s="84">
        <v>89639</v>
      </c>
      <c r="I115" s="84">
        <v>117219</v>
      </c>
      <c r="J115" s="84">
        <v>82188</v>
      </c>
      <c r="K115" s="84">
        <v>59670.000000000015</v>
      </c>
      <c r="L115" s="84">
        <v>80630</v>
      </c>
      <c r="M115" s="84">
        <v>88018.000000000029</v>
      </c>
      <c r="N115" s="84">
        <v>86591</v>
      </c>
      <c r="O115" s="84">
        <v>91853.999999999971</v>
      </c>
      <c r="P115" s="84">
        <v>94435</v>
      </c>
      <c r="Q115" s="84">
        <v>80469</v>
      </c>
      <c r="R115" s="84">
        <v>157597</v>
      </c>
      <c r="S115" s="84">
        <v>143286</v>
      </c>
      <c r="T115" s="84">
        <v>144700</v>
      </c>
      <c r="U115" s="84">
        <v>160422</v>
      </c>
      <c r="V115" s="84">
        <v>139828</v>
      </c>
      <c r="W115" s="84">
        <v>142218</v>
      </c>
      <c r="X115" s="84">
        <v>98141</v>
      </c>
      <c r="Y115" s="84">
        <v>103149</v>
      </c>
      <c r="DA115" s="171" t="s">
        <v>530</v>
      </c>
    </row>
    <row r="116" spans="1:105" ht="11.45" customHeight="1" x14ac:dyDescent="0.25">
      <c r="A116" s="111" t="s">
        <v>111</v>
      </c>
      <c r="B116" s="84">
        <v>34155</v>
      </c>
      <c r="C116" s="84">
        <v>29788</v>
      </c>
      <c r="D116" s="84">
        <v>26884</v>
      </c>
      <c r="E116" s="84">
        <v>18885</v>
      </c>
      <c r="F116" s="84">
        <v>32500</v>
      </c>
      <c r="G116" s="84">
        <v>59306</v>
      </c>
      <c r="H116" s="84">
        <v>50210</v>
      </c>
      <c r="I116" s="84">
        <v>95112</v>
      </c>
      <c r="J116" s="84">
        <v>73234</v>
      </c>
      <c r="K116" s="84">
        <v>62539</v>
      </c>
      <c r="L116" s="84">
        <v>86936</v>
      </c>
      <c r="M116" s="84">
        <v>75436</v>
      </c>
      <c r="N116" s="84">
        <v>89762</v>
      </c>
      <c r="O116" s="84">
        <v>98206</v>
      </c>
      <c r="P116" s="84">
        <v>116387</v>
      </c>
      <c r="Q116" s="84">
        <v>118311</v>
      </c>
      <c r="R116" s="84">
        <v>80225</v>
      </c>
      <c r="S116" s="84">
        <v>77498</v>
      </c>
      <c r="T116" s="84">
        <v>72492</v>
      </c>
      <c r="U116" s="84">
        <v>60601</v>
      </c>
      <c r="V116" s="84">
        <v>46295</v>
      </c>
      <c r="W116" s="84">
        <v>26648</v>
      </c>
      <c r="X116" s="84">
        <v>21478</v>
      </c>
      <c r="Y116" s="84">
        <v>21365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458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0</v>
      </c>
      <c r="S117" s="84">
        <v>0</v>
      </c>
      <c r="T117" s="84">
        <v>0</v>
      </c>
      <c r="U117" s="84">
        <v>0</v>
      </c>
      <c r="V117" s="84">
        <v>0</v>
      </c>
      <c r="W117" s="84">
        <v>0</v>
      </c>
      <c r="X117" s="84">
        <v>0</v>
      </c>
      <c r="Y117" s="84">
        <v>0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36</v>
      </c>
      <c r="R118" s="84">
        <v>93</v>
      </c>
      <c r="S118" s="84">
        <v>175</v>
      </c>
      <c r="T118" s="84">
        <v>141</v>
      </c>
      <c r="U118" s="84">
        <v>144</v>
      </c>
      <c r="V118" s="84">
        <v>139</v>
      </c>
      <c r="W118" s="84">
        <v>137</v>
      </c>
      <c r="X118" s="84">
        <v>130</v>
      </c>
      <c r="Y118" s="84">
        <v>118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33</v>
      </c>
      <c r="O119" s="84">
        <v>11</v>
      </c>
      <c r="P119" s="84">
        <v>100</v>
      </c>
      <c r="Q119" s="84">
        <v>7487</v>
      </c>
      <c r="R119" s="84">
        <v>567</v>
      </c>
      <c r="S119" s="84">
        <v>620</v>
      </c>
      <c r="T119" s="84">
        <v>3328</v>
      </c>
      <c r="U119" s="84">
        <v>3923</v>
      </c>
      <c r="V119" s="84">
        <v>18392</v>
      </c>
      <c r="W119" s="84">
        <v>42542</v>
      </c>
      <c r="X119" s="84">
        <v>28127</v>
      </c>
      <c r="Y119" s="84">
        <v>26080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31</v>
      </c>
      <c r="L120" s="84">
        <v>20</v>
      </c>
      <c r="M120" s="84">
        <v>415</v>
      </c>
      <c r="N120" s="84">
        <v>472</v>
      </c>
      <c r="O120" s="84">
        <v>533</v>
      </c>
      <c r="P120" s="84">
        <v>1569</v>
      </c>
      <c r="Q120" s="84">
        <v>4529</v>
      </c>
      <c r="R120" s="84">
        <v>1265</v>
      </c>
      <c r="S120" s="84">
        <v>768</v>
      </c>
      <c r="T120" s="84">
        <v>1544</v>
      </c>
      <c r="U120" s="84">
        <v>5501</v>
      </c>
      <c r="V120" s="84">
        <v>14248</v>
      </c>
      <c r="W120" s="84">
        <v>32696</v>
      </c>
      <c r="X120" s="84">
        <v>49701</v>
      </c>
      <c r="Y120" s="84">
        <v>87678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1237</v>
      </c>
      <c r="C121" s="110">
        <f t="shared" si="179"/>
        <v>1058</v>
      </c>
      <c r="D121" s="110">
        <f t="shared" si="179"/>
        <v>1265</v>
      </c>
      <c r="E121" s="110">
        <f t="shared" si="179"/>
        <v>1220</v>
      </c>
      <c r="F121" s="110">
        <f t="shared" si="179"/>
        <v>1757</v>
      </c>
      <c r="G121" s="110">
        <f t="shared" si="179"/>
        <v>2443</v>
      </c>
      <c r="H121" s="110">
        <f t="shared" si="179"/>
        <v>3188</v>
      </c>
      <c r="I121" s="110">
        <f t="shared" si="179"/>
        <v>3912</v>
      </c>
      <c r="J121" s="110">
        <f t="shared" si="179"/>
        <v>1191</v>
      </c>
      <c r="K121" s="110">
        <f t="shared" si="179"/>
        <v>1112</v>
      </c>
      <c r="L121" s="110">
        <f t="shared" ref="L121" si="180">SUM(L122:L126)</f>
        <v>1004</v>
      </c>
      <c r="M121" s="110">
        <f t="shared" ref="M121:V121" si="181">SUM(M122:M126)</f>
        <v>802</v>
      </c>
      <c r="N121" s="110">
        <f t="shared" si="181"/>
        <v>764</v>
      </c>
      <c r="O121" s="110">
        <f t="shared" si="181"/>
        <v>616</v>
      </c>
      <c r="P121" s="110">
        <f t="shared" si="181"/>
        <v>798</v>
      </c>
      <c r="Q121" s="110">
        <f t="shared" si="181"/>
        <v>835</v>
      </c>
      <c r="R121" s="110">
        <f t="shared" si="181"/>
        <v>1039</v>
      </c>
      <c r="S121" s="110">
        <f t="shared" si="181"/>
        <v>1293</v>
      </c>
      <c r="T121" s="110">
        <f t="shared" si="181"/>
        <v>762</v>
      </c>
      <c r="U121" s="110">
        <f t="shared" si="181"/>
        <v>884</v>
      </c>
      <c r="V121" s="110">
        <f t="shared" si="181"/>
        <v>440</v>
      </c>
      <c r="W121" s="110">
        <f t="shared" ref="W121:Y121" si="182">SUM(W122:W126)</f>
        <v>746</v>
      </c>
      <c r="X121" s="110">
        <f t="shared" si="182"/>
        <v>714</v>
      </c>
      <c r="Y121" s="110">
        <f t="shared" si="182"/>
        <v>631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90</v>
      </c>
      <c r="H122" s="102">
        <v>126</v>
      </c>
      <c r="I122" s="102">
        <v>99</v>
      </c>
      <c r="J122" s="102">
        <v>90</v>
      </c>
      <c r="K122" s="102">
        <v>72</v>
      </c>
      <c r="L122" s="102">
        <v>54</v>
      </c>
      <c r="M122" s="102">
        <v>45</v>
      </c>
      <c r="N122" s="102">
        <v>36</v>
      </c>
      <c r="O122" s="102">
        <v>40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1237</v>
      </c>
      <c r="C123" s="102">
        <v>1058</v>
      </c>
      <c r="D123" s="102">
        <v>1265</v>
      </c>
      <c r="E123" s="102">
        <v>1220</v>
      </c>
      <c r="F123" s="102">
        <v>1757</v>
      </c>
      <c r="G123" s="102">
        <v>2353</v>
      </c>
      <c r="H123" s="102">
        <v>3062</v>
      </c>
      <c r="I123" s="102">
        <v>3813</v>
      </c>
      <c r="J123" s="102">
        <v>1101</v>
      </c>
      <c r="K123" s="102">
        <v>1040</v>
      </c>
      <c r="L123" s="102">
        <v>950</v>
      </c>
      <c r="M123" s="102">
        <v>757</v>
      </c>
      <c r="N123" s="102">
        <v>728</v>
      </c>
      <c r="O123" s="102">
        <v>576</v>
      </c>
      <c r="P123" s="102">
        <v>798</v>
      </c>
      <c r="Q123" s="102">
        <v>802</v>
      </c>
      <c r="R123" s="102">
        <v>993</v>
      </c>
      <c r="S123" s="102">
        <v>1210</v>
      </c>
      <c r="T123" s="102">
        <v>760</v>
      </c>
      <c r="U123" s="102">
        <v>783</v>
      </c>
      <c r="V123" s="102">
        <v>436</v>
      </c>
      <c r="W123" s="102">
        <v>500</v>
      </c>
      <c r="X123" s="102">
        <v>309</v>
      </c>
      <c r="Y123" s="102">
        <v>0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33</v>
      </c>
      <c r="R125" s="102">
        <v>40</v>
      </c>
      <c r="S125" s="102">
        <v>81</v>
      </c>
      <c r="T125" s="102">
        <v>0</v>
      </c>
      <c r="U125" s="102">
        <v>1</v>
      </c>
      <c r="V125" s="102">
        <v>1</v>
      </c>
      <c r="W125" s="102">
        <v>1</v>
      </c>
      <c r="X125" s="102">
        <v>2</v>
      </c>
      <c r="Y125" s="102">
        <v>8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6</v>
      </c>
      <c r="S126" s="102">
        <v>2</v>
      </c>
      <c r="T126" s="102">
        <v>2</v>
      </c>
      <c r="U126" s="102">
        <v>100</v>
      </c>
      <c r="V126" s="102">
        <v>3</v>
      </c>
      <c r="W126" s="102">
        <v>245</v>
      </c>
      <c r="X126" s="102">
        <v>403</v>
      </c>
      <c r="Y126" s="102">
        <v>623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341</v>
      </c>
      <c r="C127" s="28">
        <f t="shared" si="183"/>
        <v>51132</v>
      </c>
      <c r="D127" s="28">
        <f t="shared" si="183"/>
        <v>53335</v>
      </c>
      <c r="E127" s="28">
        <f t="shared" si="183"/>
        <v>51856</v>
      </c>
      <c r="F127" s="28">
        <f t="shared" si="183"/>
        <v>61529</v>
      </c>
      <c r="G127" s="28">
        <f t="shared" si="183"/>
        <v>67684</v>
      </c>
      <c r="H127" s="28">
        <f t="shared" si="183"/>
        <v>73423</v>
      </c>
      <c r="I127" s="28">
        <f t="shared" si="183"/>
        <v>64153</v>
      </c>
      <c r="J127" s="28">
        <f t="shared" si="183"/>
        <v>39936</v>
      </c>
      <c r="K127" s="28">
        <f t="shared" si="183"/>
        <v>29260</v>
      </c>
      <c r="L127" s="28">
        <f t="shared" ref="L127" si="184">L128+L134</f>
        <v>33257</v>
      </c>
      <c r="M127" s="28">
        <f t="shared" ref="M127:V127" si="185">M128+M134</f>
        <v>45447</v>
      </c>
      <c r="N127" s="28">
        <f t="shared" si="185"/>
        <v>54912</v>
      </c>
      <c r="O127" s="28">
        <f t="shared" si="185"/>
        <v>50815</v>
      </c>
      <c r="P127" s="28">
        <f t="shared" si="185"/>
        <v>55773</v>
      </c>
      <c r="Q127" s="28">
        <f t="shared" si="185"/>
        <v>56500</v>
      </c>
      <c r="R127" s="28">
        <f t="shared" si="185"/>
        <v>62248</v>
      </c>
      <c r="S127" s="28">
        <f t="shared" si="185"/>
        <v>63527</v>
      </c>
      <c r="T127" s="28">
        <f t="shared" si="185"/>
        <v>60615</v>
      </c>
      <c r="U127" s="28">
        <f t="shared" si="185"/>
        <v>60303</v>
      </c>
      <c r="V127" s="28">
        <f t="shared" si="185"/>
        <v>57283</v>
      </c>
      <c r="W127" s="28">
        <f t="shared" ref="W127:Y127" si="186">W128+W134</f>
        <v>58600</v>
      </c>
      <c r="X127" s="28">
        <f t="shared" si="186"/>
        <v>54711</v>
      </c>
      <c r="Y127" s="28">
        <f t="shared" si="186"/>
        <v>52548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0</v>
      </c>
      <c r="C128" s="137">
        <f t="shared" si="187"/>
        <v>49057</v>
      </c>
      <c r="D128" s="137">
        <f t="shared" si="187"/>
        <v>50638</v>
      </c>
      <c r="E128" s="137">
        <f t="shared" si="187"/>
        <v>49317</v>
      </c>
      <c r="F128" s="137">
        <f t="shared" si="187"/>
        <v>57207</v>
      </c>
      <c r="G128" s="137">
        <f t="shared" si="187"/>
        <v>60742</v>
      </c>
      <c r="H128" s="137">
        <f t="shared" si="187"/>
        <v>69997</v>
      </c>
      <c r="I128" s="137">
        <f t="shared" si="187"/>
        <v>56055</v>
      </c>
      <c r="J128" s="137">
        <f t="shared" si="187"/>
        <v>36577</v>
      </c>
      <c r="K128" s="137">
        <f t="shared" si="187"/>
        <v>28732</v>
      </c>
      <c r="L128" s="137">
        <f t="shared" ref="L128" si="188">SUM(L129:L133)</f>
        <v>32768</v>
      </c>
      <c r="M128" s="137">
        <f t="shared" ref="M128:V128" si="189">SUM(M129:M133)</f>
        <v>43455</v>
      </c>
      <c r="N128" s="137">
        <f t="shared" si="189"/>
        <v>51994</v>
      </c>
      <c r="O128" s="137">
        <f t="shared" si="189"/>
        <v>47428</v>
      </c>
      <c r="P128" s="137">
        <f t="shared" si="189"/>
        <v>52566</v>
      </c>
      <c r="Q128" s="137">
        <f t="shared" si="189"/>
        <v>55535</v>
      </c>
      <c r="R128" s="137">
        <f t="shared" si="189"/>
        <v>59703</v>
      </c>
      <c r="S128" s="137">
        <f t="shared" si="189"/>
        <v>58965</v>
      </c>
      <c r="T128" s="137">
        <f t="shared" si="189"/>
        <v>56951</v>
      </c>
      <c r="U128" s="137">
        <f t="shared" si="189"/>
        <v>56203</v>
      </c>
      <c r="V128" s="137">
        <f t="shared" si="189"/>
        <v>54175</v>
      </c>
      <c r="W128" s="137">
        <f t="shared" ref="W128:Y128" si="190">SUM(W129:W133)</f>
        <v>54647</v>
      </c>
      <c r="X128" s="137">
        <f t="shared" si="190"/>
        <v>50264</v>
      </c>
      <c r="Y128" s="137">
        <f t="shared" si="190"/>
        <v>48851</v>
      </c>
      <c r="DA128" s="174" t="s">
        <v>543</v>
      </c>
    </row>
    <row r="129" spans="1:105" ht="11.45" customHeight="1" x14ac:dyDescent="0.25">
      <c r="A129" s="111" t="s">
        <v>110</v>
      </c>
      <c r="B129" s="84">
        <v>0</v>
      </c>
      <c r="C129" s="84">
        <v>8812</v>
      </c>
      <c r="D129" s="84">
        <v>8812</v>
      </c>
      <c r="E129" s="84">
        <v>8135</v>
      </c>
      <c r="F129" s="84">
        <v>7472</v>
      </c>
      <c r="G129" s="84">
        <v>6967</v>
      </c>
      <c r="H129" s="84">
        <v>8071</v>
      </c>
      <c r="I129" s="84">
        <v>181</v>
      </c>
      <c r="J129" s="84">
        <v>3449</v>
      </c>
      <c r="K129" s="84">
        <v>4255</v>
      </c>
      <c r="L129" s="84">
        <v>3745</v>
      </c>
      <c r="M129" s="84">
        <v>6290</v>
      </c>
      <c r="N129" s="84">
        <v>4561</v>
      </c>
      <c r="O129" s="84">
        <v>3368</v>
      </c>
      <c r="P129" s="84">
        <v>1822</v>
      </c>
      <c r="Q129" s="84">
        <v>2284</v>
      </c>
      <c r="R129" s="84">
        <v>2521</v>
      </c>
      <c r="S129" s="84">
        <v>2217</v>
      </c>
      <c r="T129" s="84">
        <v>1952</v>
      </c>
      <c r="U129" s="84">
        <v>1991</v>
      </c>
      <c r="V129" s="84">
        <v>1972</v>
      </c>
      <c r="W129" s="84">
        <v>2001</v>
      </c>
      <c r="X129" s="84">
        <v>2258</v>
      </c>
      <c r="Y129" s="84">
        <v>2243</v>
      </c>
      <c r="DA129" s="171" t="s">
        <v>544</v>
      </c>
    </row>
    <row r="130" spans="1:105" ht="11.45" customHeight="1" x14ac:dyDescent="0.25">
      <c r="A130" s="111" t="s">
        <v>111</v>
      </c>
      <c r="B130" s="84">
        <v>0</v>
      </c>
      <c r="C130" s="84">
        <v>40212</v>
      </c>
      <c r="D130" s="84">
        <v>41792</v>
      </c>
      <c r="E130" s="84">
        <v>41182</v>
      </c>
      <c r="F130" s="84">
        <v>49735</v>
      </c>
      <c r="G130" s="84">
        <v>53775</v>
      </c>
      <c r="H130" s="84">
        <v>61926</v>
      </c>
      <c r="I130" s="84">
        <v>55874</v>
      </c>
      <c r="J130" s="84">
        <v>33128</v>
      </c>
      <c r="K130" s="84">
        <v>24477</v>
      </c>
      <c r="L130" s="84">
        <v>29023</v>
      </c>
      <c r="M130" s="84">
        <v>37165</v>
      </c>
      <c r="N130" s="84">
        <v>47417</v>
      </c>
      <c r="O130" s="84">
        <v>44007</v>
      </c>
      <c r="P130" s="84">
        <v>50703</v>
      </c>
      <c r="Q130" s="84">
        <v>52338</v>
      </c>
      <c r="R130" s="84">
        <v>57099</v>
      </c>
      <c r="S130" s="84">
        <v>56596</v>
      </c>
      <c r="T130" s="84">
        <v>54857</v>
      </c>
      <c r="U130" s="84">
        <v>53989</v>
      </c>
      <c r="V130" s="84">
        <v>51697</v>
      </c>
      <c r="W130" s="84">
        <v>50966</v>
      </c>
      <c r="X130" s="84">
        <v>46071</v>
      </c>
      <c r="Y130" s="84">
        <v>43646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33</v>
      </c>
      <c r="D131" s="84">
        <v>34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X131" s="84">
        <v>0</v>
      </c>
      <c r="Y131" s="84">
        <v>0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430</v>
      </c>
      <c r="R132" s="84">
        <v>22</v>
      </c>
      <c r="S132" s="84">
        <v>46</v>
      </c>
      <c r="T132" s="84">
        <v>7</v>
      </c>
      <c r="U132" s="84">
        <v>0</v>
      </c>
      <c r="V132" s="84">
        <v>2</v>
      </c>
      <c r="W132" s="84">
        <v>0</v>
      </c>
      <c r="X132" s="84">
        <v>0</v>
      </c>
      <c r="Y132" s="84">
        <v>0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16</v>
      </c>
      <c r="O133" s="84">
        <v>53</v>
      </c>
      <c r="P133" s="84">
        <v>41</v>
      </c>
      <c r="Q133" s="84">
        <v>483</v>
      </c>
      <c r="R133" s="84">
        <v>61</v>
      </c>
      <c r="S133" s="84">
        <v>106</v>
      </c>
      <c r="T133" s="84">
        <v>135</v>
      </c>
      <c r="U133" s="84">
        <v>223</v>
      </c>
      <c r="V133" s="84">
        <v>504</v>
      </c>
      <c r="W133" s="84">
        <v>1680</v>
      </c>
      <c r="X133" s="84">
        <v>1935</v>
      </c>
      <c r="Y133" s="84">
        <v>2962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341</v>
      </c>
      <c r="C134" s="110">
        <f t="shared" si="191"/>
        <v>2075</v>
      </c>
      <c r="D134" s="110">
        <f t="shared" si="191"/>
        <v>2697</v>
      </c>
      <c r="E134" s="110">
        <f t="shared" si="191"/>
        <v>2539</v>
      </c>
      <c r="F134" s="110">
        <f t="shared" si="191"/>
        <v>4322</v>
      </c>
      <c r="G134" s="110">
        <f t="shared" si="191"/>
        <v>6942</v>
      </c>
      <c r="H134" s="110">
        <f t="shared" si="191"/>
        <v>3426</v>
      </c>
      <c r="I134" s="110">
        <f t="shared" si="191"/>
        <v>8098</v>
      </c>
      <c r="J134" s="110">
        <f t="shared" si="191"/>
        <v>3359</v>
      </c>
      <c r="K134" s="110">
        <f t="shared" si="191"/>
        <v>528</v>
      </c>
      <c r="L134" s="110">
        <f t="shared" ref="L134" si="192">SUM(L135:L136)</f>
        <v>489</v>
      </c>
      <c r="M134" s="110">
        <f t="shared" ref="M134:V134" si="193">SUM(M135:M136)</f>
        <v>1992</v>
      </c>
      <c r="N134" s="110">
        <f t="shared" si="193"/>
        <v>2918</v>
      </c>
      <c r="O134" s="110">
        <f t="shared" si="193"/>
        <v>3387</v>
      </c>
      <c r="P134" s="110">
        <f t="shared" si="193"/>
        <v>3207</v>
      </c>
      <c r="Q134" s="110">
        <f t="shared" si="193"/>
        <v>965</v>
      </c>
      <c r="R134" s="110">
        <f t="shared" si="193"/>
        <v>2545</v>
      </c>
      <c r="S134" s="110">
        <f t="shared" si="193"/>
        <v>4562</v>
      </c>
      <c r="T134" s="110">
        <f t="shared" si="193"/>
        <v>3664</v>
      </c>
      <c r="U134" s="110">
        <f t="shared" si="193"/>
        <v>4100</v>
      </c>
      <c r="V134" s="110">
        <f t="shared" si="193"/>
        <v>3108</v>
      </c>
      <c r="W134" s="110">
        <f t="shared" ref="W134:Y134" si="194">SUM(W135:W136)</f>
        <v>3953</v>
      </c>
      <c r="X134" s="110">
        <f t="shared" si="194"/>
        <v>4447</v>
      </c>
      <c r="Y134" s="110">
        <f t="shared" si="194"/>
        <v>3697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1680</v>
      </c>
      <c r="D135" s="102">
        <v>2326</v>
      </c>
      <c r="E135" s="102">
        <v>2241</v>
      </c>
      <c r="F135" s="102">
        <v>3360</v>
      </c>
      <c r="G135" s="102">
        <v>6496</v>
      </c>
      <c r="H135" s="102">
        <v>2750</v>
      </c>
      <c r="I135" s="102">
        <v>7436</v>
      </c>
      <c r="J135" s="102">
        <v>1540</v>
      </c>
      <c r="K135" s="102">
        <v>528</v>
      </c>
      <c r="L135" s="102">
        <v>489</v>
      </c>
      <c r="M135" s="102">
        <v>1797</v>
      </c>
      <c r="N135" s="102">
        <v>2609</v>
      </c>
      <c r="O135" s="102">
        <v>2318</v>
      </c>
      <c r="P135" s="102">
        <v>3207</v>
      </c>
      <c r="Q135" s="102">
        <v>459</v>
      </c>
      <c r="R135" s="102">
        <v>1254</v>
      </c>
      <c r="S135" s="102">
        <v>3951</v>
      </c>
      <c r="T135" s="102">
        <v>3664</v>
      </c>
      <c r="U135" s="102">
        <v>3509</v>
      </c>
      <c r="V135" s="102">
        <v>2078</v>
      </c>
      <c r="W135" s="102">
        <v>3402</v>
      </c>
      <c r="X135" s="102">
        <v>3753</v>
      </c>
      <c r="Y135" s="102">
        <v>3573</v>
      </c>
      <c r="DA135" s="175" t="s">
        <v>550</v>
      </c>
    </row>
    <row r="136" spans="1:105" ht="11.45" customHeight="1" x14ac:dyDescent="0.25">
      <c r="A136" s="138" t="s">
        <v>116</v>
      </c>
      <c r="B136" s="86">
        <v>341</v>
      </c>
      <c r="C136" s="86">
        <v>395</v>
      </c>
      <c r="D136" s="86">
        <v>371</v>
      </c>
      <c r="E136" s="86">
        <v>298</v>
      </c>
      <c r="F136" s="86">
        <v>962</v>
      </c>
      <c r="G136" s="86">
        <v>446</v>
      </c>
      <c r="H136" s="86">
        <v>676</v>
      </c>
      <c r="I136" s="86">
        <v>662</v>
      </c>
      <c r="J136" s="86">
        <v>1819</v>
      </c>
      <c r="K136" s="86">
        <v>0</v>
      </c>
      <c r="L136" s="86">
        <v>0</v>
      </c>
      <c r="M136" s="86">
        <v>195</v>
      </c>
      <c r="N136" s="86">
        <v>309</v>
      </c>
      <c r="O136" s="86">
        <v>1069</v>
      </c>
      <c r="P136" s="86">
        <v>0</v>
      </c>
      <c r="Q136" s="86">
        <v>506</v>
      </c>
      <c r="R136" s="86">
        <v>1291</v>
      </c>
      <c r="S136" s="86">
        <v>611</v>
      </c>
      <c r="T136" s="86">
        <v>0</v>
      </c>
      <c r="U136" s="86">
        <v>591</v>
      </c>
      <c r="V136" s="86">
        <v>1030</v>
      </c>
      <c r="W136" s="86">
        <v>551</v>
      </c>
      <c r="X136" s="86">
        <v>694</v>
      </c>
      <c r="Y136" s="86">
        <v>124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2.3241261542420069</v>
      </c>
      <c r="C141" s="32">
        <f t="shared" si="195"/>
        <v>2.2638321012142084</v>
      </c>
      <c r="D141" s="32">
        <f t="shared" si="195"/>
        <v>2.200481025962338</v>
      </c>
      <c r="E141" s="32">
        <f t="shared" si="195"/>
        <v>2.1570575284142932</v>
      </c>
      <c r="F141" s="32">
        <f t="shared" si="195"/>
        <v>2.1543245308359564</v>
      </c>
      <c r="G141" s="32">
        <f t="shared" si="195"/>
        <v>2.0820878761586048</v>
      </c>
      <c r="H141" s="32">
        <f t="shared" si="195"/>
        <v>2.024060872070192</v>
      </c>
      <c r="I141" s="32">
        <f t="shared" si="195"/>
        <v>1.9123151519367982</v>
      </c>
      <c r="J141" s="32">
        <f t="shared" si="195"/>
        <v>1.8987097945221623</v>
      </c>
      <c r="K141" s="32">
        <f t="shared" si="195"/>
        <v>1.9065031784471382</v>
      </c>
      <c r="L141" s="32">
        <f t="shared" ref="L141" si="196">IF(L4=0,0,L4/L31)</f>
        <v>1.8745187125936955</v>
      </c>
      <c r="M141" s="32">
        <f t="shared" ref="M141:V141" si="197">IF(M4=0,0,M4/M31)</f>
        <v>1.8045659191550287</v>
      </c>
      <c r="N141" s="32">
        <f t="shared" si="197"/>
        <v>1.83223226559008</v>
      </c>
      <c r="O141" s="32">
        <f t="shared" si="197"/>
        <v>1.7953654229350755</v>
      </c>
      <c r="P141" s="32">
        <f t="shared" si="197"/>
        <v>1.7830998059127725</v>
      </c>
      <c r="Q141" s="32">
        <f t="shared" si="197"/>
        <v>1.6969276469691721</v>
      </c>
      <c r="R141" s="32">
        <f t="shared" si="197"/>
        <v>1.7124980625723707</v>
      </c>
      <c r="S141" s="32">
        <f t="shared" si="197"/>
        <v>1.7338664410817024</v>
      </c>
      <c r="T141" s="32">
        <f t="shared" si="197"/>
        <v>1.7073376357544234</v>
      </c>
      <c r="U141" s="32">
        <f t="shared" si="197"/>
        <v>1.7109361055355281</v>
      </c>
      <c r="V141" s="32">
        <f t="shared" si="197"/>
        <v>1.6323714570310346</v>
      </c>
      <c r="W141" s="32">
        <f t="shared" ref="W141:Y141" si="198">IF(W4=0,0,W4/W31)</f>
        <v>1.579040661641137</v>
      </c>
      <c r="X141" s="32">
        <f t="shared" si="198"/>
        <v>1.679070591730262</v>
      </c>
      <c r="Y141" s="32">
        <f t="shared" si="198"/>
        <v>1.6385596812790342</v>
      </c>
      <c r="DA141" s="173" t="s">
        <v>552</v>
      </c>
    </row>
    <row r="142" spans="1:105" ht="11.45" customHeight="1" x14ac:dyDescent="0.25">
      <c r="A142" s="136" t="s">
        <v>173</v>
      </c>
      <c r="B142" s="141">
        <v>1.1047321699430754</v>
      </c>
      <c r="C142" s="141">
        <v>1.1047109809282736</v>
      </c>
      <c r="D142" s="141">
        <v>1.1045190228750543</v>
      </c>
      <c r="E142" s="141">
        <v>1.1049828872133487</v>
      </c>
      <c r="F142" s="141">
        <v>1.1051308645358424</v>
      </c>
      <c r="G142" s="141">
        <v>1.1041301391394238</v>
      </c>
      <c r="H142" s="141">
        <v>1.1044381305743083</v>
      </c>
      <c r="I142" s="141">
        <v>1.1062108289262298</v>
      </c>
      <c r="J142" s="141">
        <v>1.1067930010199598</v>
      </c>
      <c r="K142" s="141">
        <v>1.1073241407688712</v>
      </c>
      <c r="L142" s="141">
        <v>1.1054217673643152</v>
      </c>
      <c r="M142" s="141">
        <v>1.1044534154591703</v>
      </c>
      <c r="N142" s="141">
        <v>1.0976369526338645</v>
      </c>
      <c r="O142" s="141">
        <v>1.0970722866905214</v>
      </c>
      <c r="P142" s="141">
        <v>1.0994543351777024</v>
      </c>
      <c r="Q142" s="141">
        <v>1.1013545494764965</v>
      </c>
      <c r="R142" s="141">
        <v>1.1013220559363557</v>
      </c>
      <c r="S142" s="141">
        <v>1.1006286720311353</v>
      </c>
      <c r="T142" s="141">
        <v>1.1000578366406555</v>
      </c>
      <c r="U142" s="141">
        <v>1.1005798300519776</v>
      </c>
      <c r="V142" s="141">
        <v>1.0993166579265139</v>
      </c>
      <c r="W142" s="141">
        <v>1.0996834503359636</v>
      </c>
      <c r="X142" s="141">
        <v>1.0995635767502994</v>
      </c>
      <c r="Y142" s="141">
        <v>1.100743539856053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2.1048118578351089</v>
      </c>
      <c r="C143" s="130">
        <f t="shared" si="199"/>
        <v>2.0453060450247609</v>
      </c>
      <c r="D143" s="130">
        <f t="shared" si="199"/>
        <v>1.9862199219077086</v>
      </c>
      <c r="E143" s="130">
        <f t="shared" si="199"/>
        <v>1.946743376511529</v>
      </c>
      <c r="F143" s="130">
        <f t="shared" si="199"/>
        <v>1.9457043893979618</v>
      </c>
      <c r="G143" s="130">
        <f t="shared" si="199"/>
        <v>1.8804623123233366</v>
      </c>
      <c r="H143" s="130">
        <f t="shared" si="199"/>
        <v>1.8309414446251879</v>
      </c>
      <c r="I143" s="130">
        <f t="shared" si="199"/>
        <v>1.7363787048831167</v>
      </c>
      <c r="J143" s="130">
        <f t="shared" si="199"/>
        <v>1.7294900884293467</v>
      </c>
      <c r="K143" s="130">
        <f t="shared" si="199"/>
        <v>1.737946208831822</v>
      </c>
      <c r="L143" s="130">
        <f t="shared" ref="L143" si="200">IF(L6=0,0,L6/L33)</f>
        <v>1.7055039324879326</v>
      </c>
      <c r="M143" s="130">
        <f t="shared" ref="M143:V143" si="201">IF(M6=0,0,M6/M33)</f>
        <v>1.6462133760206827</v>
      </c>
      <c r="N143" s="130">
        <f t="shared" si="201"/>
        <v>1.6759055733794519</v>
      </c>
      <c r="O143" s="130">
        <f t="shared" si="201"/>
        <v>1.6406191352107256</v>
      </c>
      <c r="P143" s="130">
        <f t="shared" si="201"/>
        <v>1.6314298988398417</v>
      </c>
      <c r="Q143" s="130">
        <f t="shared" si="201"/>
        <v>1.5486984588562753</v>
      </c>
      <c r="R143" s="130">
        <f t="shared" si="201"/>
        <v>1.5640087313852937</v>
      </c>
      <c r="S143" s="130">
        <f t="shared" si="201"/>
        <v>1.581332781384851</v>
      </c>
      <c r="T143" s="130">
        <f t="shared" si="201"/>
        <v>1.562793887092307</v>
      </c>
      <c r="U143" s="130">
        <f t="shared" si="201"/>
        <v>1.5731903186185203</v>
      </c>
      <c r="V143" s="130">
        <f t="shared" si="201"/>
        <v>1.5456264373331265</v>
      </c>
      <c r="W143" s="130">
        <f t="shared" ref="W143:Y143" si="202">IF(W6=0,0,W6/W33)</f>
        <v>1.4899197916178399</v>
      </c>
      <c r="X143" s="130">
        <f t="shared" si="202"/>
        <v>1.5094804328977072</v>
      </c>
      <c r="Y143" s="130">
        <f t="shared" si="202"/>
        <v>1.4840952414328969</v>
      </c>
      <c r="DA143" s="176" t="s">
        <v>554</v>
      </c>
    </row>
    <row r="144" spans="1:105" ht="11.45" customHeight="1" x14ac:dyDescent="0.25">
      <c r="A144" s="111" t="s">
        <v>110</v>
      </c>
      <c r="B144" s="96">
        <v>2.0919082044284001</v>
      </c>
      <c r="C144" s="96">
        <v>2.0308932859708531</v>
      </c>
      <c r="D144" s="96">
        <v>1.9707220535059555</v>
      </c>
      <c r="E144" s="96">
        <v>1.9305762168762957</v>
      </c>
      <c r="F144" s="96">
        <v>1.9273236872772852</v>
      </c>
      <c r="G144" s="96">
        <v>1.8587022963055648</v>
      </c>
      <c r="H144" s="96">
        <v>1.8067010788461575</v>
      </c>
      <c r="I144" s="96">
        <v>1.7074681964800011</v>
      </c>
      <c r="J144" s="96">
        <v>1.6965608003710719</v>
      </c>
      <c r="K144" s="96">
        <v>1.7019324728693337</v>
      </c>
      <c r="L144" s="96">
        <v>1.6660954762072477</v>
      </c>
      <c r="M144" s="96">
        <v>1.605690501488952</v>
      </c>
      <c r="N144" s="96">
        <v>1.6312851292998356</v>
      </c>
      <c r="O144" s="96">
        <v>1.59519350733183</v>
      </c>
      <c r="P144" s="96">
        <v>1.5860604336080579</v>
      </c>
      <c r="Q144" s="96">
        <v>1.5032301128262493</v>
      </c>
      <c r="R144" s="96">
        <v>1.5205837788088705</v>
      </c>
      <c r="S144" s="96">
        <v>1.5360207274759381</v>
      </c>
      <c r="T144" s="96">
        <v>1.518170135335928</v>
      </c>
      <c r="U144" s="96">
        <v>1.5296476188534309</v>
      </c>
      <c r="V144" s="96">
        <v>1.5060054505900871</v>
      </c>
      <c r="W144" s="96">
        <v>1.4578464749657873</v>
      </c>
      <c r="X144" s="96">
        <v>1.4841221886865366</v>
      </c>
      <c r="Y144" s="96">
        <v>1.4714955668847058</v>
      </c>
      <c r="DA144" s="171" t="s">
        <v>555</v>
      </c>
    </row>
    <row r="145" spans="1:105" ht="11.45" customHeight="1" x14ac:dyDescent="0.25">
      <c r="A145" s="111" t="s">
        <v>111</v>
      </c>
      <c r="B145" s="96">
        <v>2.2391050637373549</v>
      </c>
      <c r="C145" s="96">
        <v>2.1737968381696184</v>
      </c>
      <c r="D145" s="96">
        <v>2.109391664453939</v>
      </c>
      <c r="E145" s="96">
        <v>2.0664209710481978</v>
      </c>
      <c r="F145" s="96">
        <v>2.0629395776105293</v>
      </c>
      <c r="G145" s="96">
        <v>1.9894896510409896</v>
      </c>
      <c r="H145" s="96">
        <v>1.9338293744153818</v>
      </c>
      <c r="I145" s="96">
        <v>1.8276139826859792</v>
      </c>
      <c r="J145" s="96">
        <v>1.8159390890133065</v>
      </c>
      <c r="K145" s="96">
        <v>1.8216887385754315</v>
      </c>
      <c r="L145" s="96">
        <v>1.7833300761229651</v>
      </c>
      <c r="M145" s="96">
        <v>1.7186747129094435</v>
      </c>
      <c r="N145" s="96">
        <v>1.7460703035068244</v>
      </c>
      <c r="O145" s="96">
        <v>1.707439099070615</v>
      </c>
      <c r="P145" s="96">
        <v>1.6976633777559347</v>
      </c>
      <c r="Q145" s="96">
        <v>1.6090047118063866</v>
      </c>
      <c r="R145" s="96">
        <v>1.6275794663266081</v>
      </c>
      <c r="S145" s="96">
        <v>1.644102633956962</v>
      </c>
      <c r="T145" s="96">
        <v>1.6249959871324051</v>
      </c>
      <c r="U145" s="96">
        <v>1.637281082342894</v>
      </c>
      <c r="V145" s="96">
        <v>1.6119753358650506</v>
      </c>
      <c r="W145" s="96">
        <v>1.560427659940983</v>
      </c>
      <c r="X145" s="96">
        <v>1.5885522609731382</v>
      </c>
      <c r="Y145" s="96">
        <v>1.5750371685065938</v>
      </c>
      <c r="DA145" s="171" t="s">
        <v>556</v>
      </c>
    </row>
    <row r="146" spans="1:105" ht="11.45" customHeight="1" x14ac:dyDescent="0.25">
      <c r="A146" s="111" t="s">
        <v>112</v>
      </c>
      <c r="B146" s="96">
        <v>2.0932874911099426</v>
      </c>
      <c r="C146" s="96">
        <v>2.0341074873768061</v>
      </c>
      <c r="D146" s="96">
        <v>1.9753448754318499</v>
      </c>
      <c r="E146" s="96">
        <v>1.9360844739083374</v>
      </c>
      <c r="F146" s="96">
        <v>1.9350511755067918</v>
      </c>
      <c r="G146" s="96">
        <v>1.8701663149783017</v>
      </c>
      <c r="H146" s="96">
        <v>1.8209165863075096</v>
      </c>
      <c r="I146" s="96">
        <v>1.7268716010085576</v>
      </c>
      <c r="J146" s="96">
        <v>1.7200207014376274</v>
      </c>
      <c r="K146" s="96">
        <v>1.7284305224845442</v>
      </c>
      <c r="L146" s="96">
        <v>0</v>
      </c>
      <c r="M146" s="96">
        <v>0</v>
      </c>
      <c r="N146" s="96">
        <v>0</v>
      </c>
      <c r="O146" s="96">
        <v>0</v>
      </c>
      <c r="P146" s="96">
        <v>0</v>
      </c>
      <c r="Q146" s="96">
        <v>0</v>
      </c>
      <c r="R146" s="96">
        <v>0</v>
      </c>
      <c r="S146" s="96">
        <v>0</v>
      </c>
      <c r="T146" s="96">
        <v>0</v>
      </c>
      <c r="U146" s="96">
        <v>0</v>
      </c>
      <c r="V146" s="96">
        <v>0</v>
      </c>
      <c r="W146" s="96">
        <v>0</v>
      </c>
      <c r="X146" s="96">
        <v>0</v>
      </c>
      <c r="Y146" s="96">
        <v>0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1.5022375050905867</v>
      </c>
      <c r="R147" s="96">
        <v>1.517088469443735</v>
      </c>
      <c r="S147" s="96">
        <v>1.5338927979433057</v>
      </c>
      <c r="T147" s="96">
        <v>1.5159100704795379</v>
      </c>
      <c r="U147" s="96">
        <v>1.525994609059965</v>
      </c>
      <c r="V147" s="96">
        <v>1.4992576442131331</v>
      </c>
      <c r="W147" s="96">
        <v>1.4452221978693047</v>
      </c>
      <c r="X147" s="96">
        <v>1.464196019910776</v>
      </c>
      <c r="Y147" s="96">
        <v>1.43957238418991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1.5906888091126623</v>
      </c>
      <c r="O148" s="96">
        <v>1.5571966224405613</v>
      </c>
      <c r="P148" s="96">
        <v>1.5484746421025042</v>
      </c>
      <c r="Q148" s="96">
        <v>1.4699499460611485</v>
      </c>
      <c r="R148" s="96">
        <v>1.4844817189505159</v>
      </c>
      <c r="S148" s="96">
        <v>1.5009248723718835</v>
      </c>
      <c r="T148" s="96">
        <v>1.483328647290415</v>
      </c>
      <c r="U148" s="96">
        <v>1.4931964390957173</v>
      </c>
      <c r="V148" s="96">
        <v>1.4670341312707178</v>
      </c>
      <c r="W148" s="96">
        <v>1.414160067636079</v>
      </c>
      <c r="X148" s="96">
        <v>1.432726085720385</v>
      </c>
      <c r="Y148" s="96">
        <v>1.4086316852829963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1.3924982994902251</v>
      </c>
      <c r="L149" s="96">
        <v>1.3665045061202776</v>
      </c>
      <c r="M149" s="96">
        <v>1.3189990087481986</v>
      </c>
      <c r="N149" s="96">
        <v>1.3427893505436479</v>
      </c>
      <c r="O149" s="96">
        <v>1.3145167234074802</v>
      </c>
      <c r="P149" s="96">
        <v>1.307154012205578</v>
      </c>
      <c r="Q149" s="96">
        <v>1.2408669263878129</v>
      </c>
      <c r="R149" s="96">
        <v>1.2531340082762223</v>
      </c>
      <c r="S149" s="96">
        <v>1.2670145933265975</v>
      </c>
      <c r="T149" s="96">
        <v>1.2521606360259576</v>
      </c>
      <c r="U149" s="96">
        <v>1.2604905907434572</v>
      </c>
      <c r="V149" s="96">
        <v>1.2384055241158425</v>
      </c>
      <c r="W149" s="96">
        <v>1.1937715711001264</v>
      </c>
      <c r="X149" s="96">
        <v>1.2094441848903206</v>
      </c>
      <c r="Y149" s="96">
        <v>1.1891047544940587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11.793322734499204</v>
      </c>
      <c r="C150" s="130">
        <f t="shared" si="203"/>
        <v>11.731199999999999</v>
      </c>
      <c r="D150" s="130">
        <f t="shared" si="203"/>
        <v>11.846387395692918</v>
      </c>
      <c r="E150" s="130">
        <f t="shared" si="203"/>
        <v>11.914589015826314</v>
      </c>
      <c r="F150" s="130">
        <f t="shared" si="203"/>
        <v>12.146422628951747</v>
      </c>
      <c r="G150" s="130">
        <f t="shared" si="203"/>
        <v>11.714052287581699</v>
      </c>
      <c r="H150" s="130">
        <f t="shared" si="203"/>
        <v>11.304487179487179</v>
      </c>
      <c r="I150" s="130">
        <f t="shared" si="203"/>
        <v>11.040322580645162</v>
      </c>
      <c r="J150" s="130">
        <f t="shared" si="203"/>
        <v>10.713831478537362</v>
      </c>
      <c r="K150" s="130">
        <f t="shared" si="203"/>
        <v>10.554224671125256</v>
      </c>
      <c r="L150" s="130">
        <f t="shared" ref="L150" si="204">IF(L13=0,0,L13/L40)</f>
        <v>10.475315133166859</v>
      </c>
      <c r="M150" s="130">
        <f t="shared" ref="M150:V150" si="205">IF(M13=0,0,M13/M40)</f>
        <v>10.499942936043245</v>
      </c>
      <c r="N150" s="130">
        <f t="shared" si="205"/>
        <v>10.805588048193696</v>
      </c>
      <c r="O150" s="130">
        <f t="shared" si="205"/>
        <v>11.209277158346104</v>
      </c>
      <c r="P150" s="130">
        <f t="shared" si="205"/>
        <v>11.021016763743175</v>
      </c>
      <c r="Q150" s="130">
        <f t="shared" si="205"/>
        <v>11.311881188118811</v>
      </c>
      <c r="R150" s="130">
        <f t="shared" si="205"/>
        <v>11.328525641025641</v>
      </c>
      <c r="S150" s="130">
        <f t="shared" si="205"/>
        <v>11.265432098765432</v>
      </c>
      <c r="T150" s="130">
        <f t="shared" si="205"/>
        <v>11.071651090342678</v>
      </c>
      <c r="U150" s="130">
        <f t="shared" si="205"/>
        <v>11.099925830391994</v>
      </c>
      <c r="V150" s="130">
        <f t="shared" si="205"/>
        <v>7.3148247519104626</v>
      </c>
      <c r="W150" s="130">
        <f t="shared" ref="W150:Y150" si="206">IF(W13=0,0,W13/W40)</f>
        <v>7.7717675171058778</v>
      </c>
      <c r="X150" s="130">
        <f t="shared" si="206"/>
        <v>13.105985690707094</v>
      </c>
      <c r="Y150" s="130">
        <f t="shared" si="206"/>
        <v>12.521624219889247</v>
      </c>
      <c r="DA150" s="176" t="s">
        <v>561</v>
      </c>
    </row>
    <row r="151" spans="1:105" ht="11.45" customHeight="1" x14ac:dyDescent="0.25">
      <c r="A151" s="111" t="s">
        <v>110</v>
      </c>
      <c r="B151" s="97">
        <v>6.4535893359422776</v>
      </c>
      <c r="C151" s="97">
        <v>6.4512</v>
      </c>
      <c r="D151" s="97">
        <v>6.455630284449728</v>
      </c>
      <c r="E151" s="97">
        <v>6.4582534236856279</v>
      </c>
      <c r="F151" s="97">
        <v>6.4671701011135285</v>
      </c>
      <c r="G151" s="97">
        <v>6.4505404725992959</v>
      </c>
      <c r="H151" s="97">
        <v>6.4347879684418148</v>
      </c>
      <c r="I151" s="97">
        <v>6.4246277915632755</v>
      </c>
      <c r="J151" s="97">
        <v>6.4120704414822063</v>
      </c>
      <c r="K151" s="97">
        <v>6.4059317181202022</v>
      </c>
      <c r="L151" s="97">
        <v>6.4028967358910327</v>
      </c>
      <c r="M151" s="97">
        <v>6.4038439590785865</v>
      </c>
      <c r="N151" s="97">
        <v>6.4155995403151422</v>
      </c>
      <c r="O151" s="97">
        <v>6.4311260445517728</v>
      </c>
      <c r="P151" s="97">
        <v>6.423885260143968</v>
      </c>
      <c r="Q151" s="97">
        <v>6.4350723533891854</v>
      </c>
      <c r="R151" s="97">
        <v>6.4357125246548321</v>
      </c>
      <c r="S151" s="97">
        <v>6.4332858499525178</v>
      </c>
      <c r="T151" s="97">
        <v>6.425832734243949</v>
      </c>
      <c r="U151" s="97">
        <v>6.4269202242458459</v>
      </c>
      <c r="V151" s="97">
        <v>6.2813394135350178</v>
      </c>
      <c r="W151" s="97">
        <v>6.2989141352733027</v>
      </c>
      <c r="X151" s="97">
        <v>6.5040763727195037</v>
      </c>
      <c r="Y151" s="97">
        <v>6.481600931534202</v>
      </c>
      <c r="DA151" s="175" t="s">
        <v>562</v>
      </c>
    </row>
    <row r="152" spans="1:105" ht="11.45" customHeight="1" x14ac:dyDescent="0.25">
      <c r="A152" s="111" t="s">
        <v>111</v>
      </c>
      <c r="B152" s="97">
        <v>12.475539392423135</v>
      </c>
      <c r="C152" s="97">
        <v>12.421924532373028</v>
      </c>
      <c r="D152" s="97">
        <v>12.559202838604106</v>
      </c>
      <c r="E152" s="97">
        <v>12.356604994745878</v>
      </c>
      <c r="F152" s="97">
        <v>12.525522772411325</v>
      </c>
      <c r="G152" s="97">
        <v>12.038854277141596</v>
      </c>
      <c r="H152" s="97">
        <v>11.601945366103481</v>
      </c>
      <c r="I152" s="97">
        <v>11.317508081150745</v>
      </c>
      <c r="J152" s="97">
        <v>10.971528661333103</v>
      </c>
      <c r="K152" s="97">
        <v>10.789261396984378</v>
      </c>
      <c r="L152" s="97">
        <v>10.693827885739273</v>
      </c>
      <c r="M152" s="97">
        <v>10.718636223783932</v>
      </c>
      <c r="N152" s="97">
        <v>11.048176272283591</v>
      </c>
      <c r="O152" s="97">
        <v>11.502656073347048</v>
      </c>
      <c r="P152" s="97">
        <v>11.265527686005989</v>
      </c>
      <c r="Q152" s="97">
        <v>11.537115964197543</v>
      </c>
      <c r="R152" s="97">
        <v>11.52797872941521</v>
      </c>
      <c r="S152" s="97">
        <v>11.440021589185376</v>
      </c>
      <c r="T152" s="97">
        <v>11.224010851139775</v>
      </c>
      <c r="U152" s="97">
        <v>11.238707549677587</v>
      </c>
      <c r="V152" s="97">
        <v>7.343583604410429</v>
      </c>
      <c r="W152" s="97">
        <v>7.8108078806601924</v>
      </c>
      <c r="X152" s="97">
        <v>13.279134680467223</v>
      </c>
      <c r="Y152" s="97">
        <v>12.668842761237988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11.537115964197543</v>
      </c>
      <c r="R154" s="97">
        <v>11.527978729415212</v>
      </c>
      <c r="S154" s="97">
        <v>11.440021589185376</v>
      </c>
      <c r="T154" s="97">
        <v>11.224010851139775</v>
      </c>
      <c r="U154" s="97">
        <v>11.238707549677585</v>
      </c>
      <c r="V154" s="97">
        <v>7.3435836044104281</v>
      </c>
      <c r="W154" s="97">
        <v>7.8108078806601933</v>
      </c>
      <c r="X154" s="97">
        <v>13.279134680467225</v>
      </c>
      <c r="Y154" s="97">
        <v>12.66884276123799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11.527978729415212</v>
      </c>
      <c r="S155" s="97">
        <v>11.440021589185376</v>
      </c>
      <c r="T155" s="97">
        <v>11.224010851139775</v>
      </c>
      <c r="U155" s="97">
        <v>11.238707549677585</v>
      </c>
      <c r="V155" s="97">
        <v>7.3435836044104281</v>
      </c>
      <c r="W155" s="97">
        <v>7.8108078806601933</v>
      </c>
      <c r="X155" s="97">
        <v>13.279134680467225</v>
      </c>
      <c r="Y155" s="97">
        <v>12.66884276123799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2.4501637647041941</v>
      </c>
      <c r="C156" s="32">
        <f t="shared" si="207"/>
        <v>2.30896314209089</v>
      </c>
      <c r="D156" s="32">
        <f t="shared" si="207"/>
        <v>2.2909579993051921</v>
      </c>
      <c r="E156" s="32">
        <f t="shared" si="207"/>
        <v>2.1335511846264792</v>
      </c>
      <c r="F156" s="32">
        <f t="shared" si="207"/>
        <v>1.9994700625214585</v>
      </c>
      <c r="G156" s="32">
        <f t="shared" si="207"/>
        <v>1.956853557044048</v>
      </c>
      <c r="H156" s="32">
        <f t="shared" si="207"/>
        <v>1.8722362938820918</v>
      </c>
      <c r="I156" s="32">
        <f t="shared" si="207"/>
        <v>1.7773375993379321</v>
      </c>
      <c r="J156" s="32">
        <f t="shared" si="207"/>
        <v>1.799748697852676</v>
      </c>
      <c r="K156" s="32">
        <f t="shared" si="207"/>
        <v>1.7424844080242845</v>
      </c>
      <c r="L156" s="32">
        <f t="shared" ref="L156" si="208">IF(L19=0,0,L19/L46)</f>
        <v>1.8151184209299118</v>
      </c>
      <c r="M156" s="32">
        <f t="shared" ref="M156:V156" si="209">IF(M19=0,0,M19/M46)</f>
        <v>2.0838961556368378</v>
      </c>
      <c r="N156" s="32">
        <f t="shared" si="209"/>
        <v>2.2351721368296378</v>
      </c>
      <c r="O156" s="32">
        <f t="shared" si="209"/>
        <v>2.4002187946134592</v>
      </c>
      <c r="P156" s="32">
        <f t="shared" si="209"/>
        <v>2.4965239522852243</v>
      </c>
      <c r="Q156" s="32">
        <f t="shared" si="209"/>
        <v>2.424223023250196</v>
      </c>
      <c r="R156" s="32">
        <f t="shared" si="209"/>
        <v>2.5643928941338405</v>
      </c>
      <c r="S156" s="32">
        <f t="shared" si="209"/>
        <v>2.4986792533379072</v>
      </c>
      <c r="T156" s="32">
        <f t="shared" si="209"/>
        <v>2.3504708196925721</v>
      </c>
      <c r="U156" s="32">
        <f t="shared" si="209"/>
        <v>2.4155116447836464</v>
      </c>
      <c r="V156" s="32">
        <f t="shared" si="209"/>
        <v>2.613734953298732</v>
      </c>
      <c r="W156" s="32">
        <f t="shared" ref="W156:Y156" si="210">IF(W19=0,0,W19/W46)</f>
        <v>2.6260446770350989</v>
      </c>
      <c r="X156" s="32">
        <f t="shared" si="210"/>
        <v>2.5300392021129343</v>
      </c>
      <c r="Y156" s="32">
        <f t="shared" si="210"/>
        <v>2.6237472315847961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0.18369933938484079</v>
      </c>
      <c r="C157" s="141">
        <f t="shared" si="211"/>
        <v>0.18101717131361675</v>
      </c>
      <c r="D157" s="141">
        <f t="shared" si="211"/>
        <v>0.18051196023307653</v>
      </c>
      <c r="E157" s="141">
        <f t="shared" si="211"/>
        <v>0.17938173327247431</v>
      </c>
      <c r="F157" s="141">
        <f t="shared" si="211"/>
        <v>0.17797757084633917</v>
      </c>
      <c r="G157" s="141">
        <f t="shared" si="211"/>
        <v>0.17803871664277796</v>
      </c>
      <c r="H157" s="141">
        <f t="shared" si="211"/>
        <v>0.17788032391323694</v>
      </c>
      <c r="I157" s="141">
        <f t="shared" si="211"/>
        <v>0.17651564888364774</v>
      </c>
      <c r="J157" s="141">
        <f t="shared" si="211"/>
        <v>0.17631988574613211</v>
      </c>
      <c r="K157" s="141">
        <f t="shared" si="211"/>
        <v>0.17718546974534127</v>
      </c>
      <c r="L157" s="141">
        <f t="shared" ref="L157" si="212">IF(L20=0,0,L20/L47)</f>
        <v>0.17691948717013783</v>
      </c>
      <c r="M157" s="141">
        <f t="shared" ref="M157:V157" si="213">IF(M20=0,0,M20/M47)</f>
        <v>0.17971560459873637</v>
      </c>
      <c r="N157" s="141">
        <f t="shared" si="213"/>
        <v>0.18244000171071201</v>
      </c>
      <c r="O157" s="141">
        <f t="shared" si="213"/>
        <v>0.18338855497996323</v>
      </c>
      <c r="P157" s="141">
        <f t="shared" si="213"/>
        <v>0.18462375736957742</v>
      </c>
      <c r="Q157" s="141">
        <f t="shared" si="213"/>
        <v>0.18449451252911173</v>
      </c>
      <c r="R157" s="141">
        <f t="shared" si="213"/>
        <v>0.18444754305314229</v>
      </c>
      <c r="S157" s="141">
        <f t="shared" si="213"/>
        <v>0.18341778279808515</v>
      </c>
      <c r="T157" s="141">
        <f t="shared" si="213"/>
        <v>0.18209467829644008</v>
      </c>
      <c r="U157" s="141">
        <f t="shared" si="213"/>
        <v>0.18240779472034968</v>
      </c>
      <c r="V157" s="141">
        <f t="shared" si="213"/>
        <v>0.18459935059170285</v>
      </c>
      <c r="W157" s="141">
        <f t="shared" ref="W157:Y157" si="214">IF(W20=0,0,W20/W47)</f>
        <v>0.18325475736966121</v>
      </c>
      <c r="X157" s="141">
        <f t="shared" si="214"/>
        <v>0.1804623416852964</v>
      </c>
      <c r="Y157" s="141">
        <f t="shared" si="214"/>
        <v>0.17976022181618168</v>
      </c>
      <c r="DA157" s="174" t="s">
        <v>568</v>
      </c>
    </row>
    <row r="158" spans="1:105" ht="11.45" customHeight="1" x14ac:dyDescent="0.25">
      <c r="A158" s="111" t="s">
        <v>110</v>
      </c>
      <c r="B158" s="96">
        <v>0.14759091372422495</v>
      </c>
      <c r="C158" s="96">
        <v>0.14409804834381351</v>
      </c>
      <c r="D158" s="96">
        <v>0.14414330244062334</v>
      </c>
      <c r="E158" s="96">
        <v>0.14538596961776085</v>
      </c>
      <c r="F158" s="96">
        <v>0.14517568632937197</v>
      </c>
      <c r="G158" s="96">
        <v>0.14562194312633547</v>
      </c>
      <c r="H158" s="96">
        <v>0.14669432229875151</v>
      </c>
      <c r="I158" s="96">
        <v>0.14493001659192919</v>
      </c>
      <c r="J158" s="96">
        <v>0.14613217382936244</v>
      </c>
      <c r="K158" s="96">
        <v>0.14701457217574898</v>
      </c>
      <c r="L158" s="96">
        <v>0.14723951950239261</v>
      </c>
      <c r="M158" s="96">
        <v>0.15034611698112074</v>
      </c>
      <c r="N158" s="96">
        <v>0.15294517495801591</v>
      </c>
      <c r="O158" s="96">
        <v>0.1523794357175289</v>
      </c>
      <c r="P158" s="96">
        <v>0.15097122794813841</v>
      </c>
      <c r="Q158" s="96">
        <v>0.14841746854182089</v>
      </c>
      <c r="R158" s="96">
        <v>0.14740527803896031</v>
      </c>
      <c r="S158" s="96">
        <v>0.14589445845287635</v>
      </c>
      <c r="T158" s="96">
        <v>0.14541322844188603</v>
      </c>
      <c r="U158" s="96">
        <v>0.1442253294796946</v>
      </c>
      <c r="V158" s="96">
        <v>0.14512016497830366</v>
      </c>
      <c r="W158" s="96">
        <v>0.14221381794284071</v>
      </c>
      <c r="X158" s="96">
        <v>0.14073308557758921</v>
      </c>
      <c r="Y158" s="96">
        <v>0.14018527127228411</v>
      </c>
      <c r="DA158" s="171" t="s">
        <v>569</v>
      </c>
    </row>
    <row r="159" spans="1:105" ht="11.45" customHeight="1" x14ac:dyDescent="0.25">
      <c r="A159" s="111" t="s">
        <v>111</v>
      </c>
      <c r="B159" s="96">
        <v>0.19237065416892651</v>
      </c>
      <c r="C159" s="96">
        <v>0.19023073456100748</v>
      </c>
      <c r="D159" s="96">
        <v>0.18904194028820209</v>
      </c>
      <c r="E159" s="96">
        <v>0.18622005721447804</v>
      </c>
      <c r="F159" s="96">
        <v>0.1837747936007714</v>
      </c>
      <c r="G159" s="96">
        <v>0.1831356865628683</v>
      </c>
      <c r="H159" s="96">
        <v>0.18211753545642984</v>
      </c>
      <c r="I159" s="96">
        <v>0.18015713235978795</v>
      </c>
      <c r="J159" s="96">
        <v>0.17936334456565736</v>
      </c>
      <c r="K159" s="96">
        <v>0.18006841588577066</v>
      </c>
      <c r="L159" s="96">
        <v>0.17949846602441968</v>
      </c>
      <c r="M159" s="96">
        <v>0.18210996919998867</v>
      </c>
      <c r="N159" s="96">
        <v>0.18462126854759817</v>
      </c>
      <c r="O159" s="96">
        <v>0.18561245086744357</v>
      </c>
      <c r="P159" s="96">
        <v>0.18696631682137921</v>
      </c>
      <c r="Q159" s="96">
        <v>0.1868853119182283</v>
      </c>
      <c r="R159" s="96">
        <v>0.18684203359772572</v>
      </c>
      <c r="S159" s="96">
        <v>0.18573806271546422</v>
      </c>
      <c r="T159" s="96">
        <v>0.18416329891948485</v>
      </c>
      <c r="U159" s="96">
        <v>0.18454330779188335</v>
      </c>
      <c r="V159" s="96">
        <v>0.18680470463394569</v>
      </c>
      <c r="W159" s="96">
        <v>0.18566101950582506</v>
      </c>
      <c r="X159" s="96">
        <v>0.18269964437444633</v>
      </c>
      <c r="Y159" s="96">
        <v>0.18194926909227949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X160" s="96">
        <v>0</v>
      </c>
      <c r="Y160" s="96">
        <v>0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0.14841746854182089</v>
      </c>
      <c r="R161" s="96">
        <v>0.148148083063601</v>
      </c>
      <c r="S161" s="96">
        <v>0.14877978504007625</v>
      </c>
      <c r="T161" s="96">
        <v>0.14891154844466686</v>
      </c>
      <c r="U161" s="96">
        <v>0.14919597219235561</v>
      </c>
      <c r="V161" s="96">
        <v>0.15066073855157078</v>
      </c>
      <c r="W161" s="96">
        <v>0.14934389173376306</v>
      </c>
      <c r="X161" s="96">
        <v>0.14805528940367532</v>
      </c>
      <c r="Y161" s="96">
        <v>0.14776418707049402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0.18851971527754485</v>
      </c>
      <c r="O162" s="96">
        <v>0.18831543599810524</v>
      </c>
      <c r="P162" s="96">
        <v>0.1883100160408395</v>
      </c>
      <c r="Q162" s="96">
        <v>0.1883011890207559</v>
      </c>
      <c r="R162" s="96">
        <v>0.18833651513326549</v>
      </c>
      <c r="S162" s="96">
        <v>0.18835724121146583</v>
      </c>
      <c r="T162" s="96">
        <v>0.18836762729485795</v>
      </c>
      <c r="U162" s="96">
        <v>0.18836856794299772</v>
      </c>
      <c r="V162" s="96">
        <v>0.18944641922033748</v>
      </c>
      <c r="W162" s="96">
        <v>0.1883965407289542</v>
      </c>
      <c r="X162" s="96">
        <v>0.1884943139131586</v>
      </c>
      <c r="Y162" s="96">
        <v>0.18853107551273232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8.9767679864524652</v>
      </c>
      <c r="C163" s="130">
        <f t="shared" si="215"/>
        <v>8.7775996225014481</v>
      </c>
      <c r="D163" s="130">
        <f t="shared" si="215"/>
        <v>9.0444454925753206</v>
      </c>
      <c r="E163" s="130">
        <f t="shared" si="215"/>
        <v>8.545463808076434</v>
      </c>
      <c r="F163" s="130">
        <f t="shared" si="215"/>
        <v>8.7462804127349028</v>
      </c>
      <c r="G163" s="130">
        <f t="shared" si="215"/>
        <v>9.1420004126544487</v>
      </c>
      <c r="H163" s="130">
        <f t="shared" si="215"/>
        <v>9.1344596554386204</v>
      </c>
      <c r="I163" s="130">
        <f t="shared" si="215"/>
        <v>9.1768195019328456</v>
      </c>
      <c r="J163" s="130">
        <f t="shared" si="215"/>
        <v>9.1683342982518656</v>
      </c>
      <c r="K163" s="130">
        <f t="shared" si="215"/>
        <v>9.5113277254438682</v>
      </c>
      <c r="L163" s="130">
        <f t="shared" ref="L163" si="216">IF(L26=0,0,L26/L53)</f>
        <v>9.7616619824336404</v>
      </c>
      <c r="M163" s="130">
        <f t="shared" ref="M163:V163" si="217">IF(M26=0,0,M26/M53)</f>
        <v>10.182558648129834</v>
      </c>
      <c r="N163" s="130">
        <f t="shared" si="217"/>
        <v>10.160595340848923</v>
      </c>
      <c r="O163" s="130">
        <f t="shared" si="217"/>
        <v>10.336104416717504</v>
      </c>
      <c r="P163" s="130">
        <f t="shared" si="217"/>
        <v>10.47625749316424</v>
      </c>
      <c r="Q163" s="130">
        <f t="shared" si="217"/>
        <v>10.492933861881973</v>
      </c>
      <c r="R163" s="130">
        <f t="shared" si="217"/>
        <v>10.888962938140651</v>
      </c>
      <c r="S163" s="130">
        <f t="shared" si="217"/>
        <v>11.061602455323058</v>
      </c>
      <c r="T163" s="130">
        <f t="shared" si="217"/>
        <v>10.918739469731561</v>
      </c>
      <c r="U163" s="130">
        <f t="shared" si="217"/>
        <v>10.836689032610925</v>
      </c>
      <c r="V163" s="130">
        <f t="shared" si="217"/>
        <v>10.871850070553648</v>
      </c>
      <c r="W163" s="130">
        <f t="shared" ref="W163:Y163" si="218">IF(W26=0,0,W26/W53)</f>
        <v>10.993769987752355</v>
      </c>
      <c r="X163" s="130">
        <f t="shared" si="218"/>
        <v>11.012113352732863</v>
      </c>
      <c r="Y163" s="130">
        <f t="shared" si="218"/>
        <v>11.64964278054506</v>
      </c>
      <c r="DA163" s="176" t="s">
        <v>574</v>
      </c>
    </row>
    <row r="164" spans="1:105" ht="11.45" customHeight="1" x14ac:dyDescent="0.25">
      <c r="A164" s="128" t="s">
        <v>27</v>
      </c>
      <c r="B164" s="97">
        <v>7.8796561604584525</v>
      </c>
      <c r="C164" s="97">
        <v>7.5920502092050208</v>
      </c>
      <c r="D164" s="97">
        <v>7.8196605374823198</v>
      </c>
      <c r="E164" s="97">
        <v>7.2830687830687832</v>
      </c>
      <c r="F164" s="97">
        <v>7.3079056865464631</v>
      </c>
      <c r="G164" s="97">
        <v>7.749124036440084</v>
      </c>
      <c r="H164" s="97">
        <v>7.6786907147628591</v>
      </c>
      <c r="I164" s="97">
        <v>7.6772934287573191</v>
      </c>
      <c r="J164" s="97">
        <v>7.2713704206241516</v>
      </c>
      <c r="K164" s="97">
        <v>7.8447058823529412</v>
      </c>
      <c r="L164" s="97">
        <v>8.1581790123456788</v>
      </c>
      <c r="M164" s="97">
        <v>8.8614591009579957</v>
      </c>
      <c r="N164" s="97">
        <v>8.8943560057887119</v>
      </c>
      <c r="O164" s="97">
        <v>8.9501831501831504</v>
      </c>
      <c r="P164" s="97">
        <v>9.2582260371959944</v>
      </c>
      <c r="Q164" s="97">
        <v>9.2692307692307701</v>
      </c>
      <c r="R164" s="97">
        <v>9.6641957005189028</v>
      </c>
      <c r="S164" s="97">
        <v>9.7875486381322965</v>
      </c>
      <c r="T164" s="97">
        <v>9.6062052505966591</v>
      </c>
      <c r="U164" s="97">
        <v>9.5262333594361781</v>
      </c>
      <c r="V164" s="97">
        <v>9.5733024691358022</v>
      </c>
      <c r="W164" s="97">
        <v>9.6932931424265263</v>
      </c>
      <c r="X164" s="97">
        <v>9.6996197718631176</v>
      </c>
      <c r="Y164" s="97">
        <v>10.733230531996917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13.933281647068959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13.861910981613585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13327.224539097924</v>
      </c>
      <c r="C167" s="54">
        <f t="shared" si="219"/>
        <v>13418.101896936318</v>
      </c>
      <c r="D167" s="54">
        <f t="shared" si="219"/>
        <v>13624.705363904375</v>
      </c>
      <c r="E167" s="54">
        <f t="shared" si="219"/>
        <v>13995.895291475781</v>
      </c>
      <c r="F167" s="54">
        <f t="shared" si="219"/>
        <v>14182.176811457843</v>
      </c>
      <c r="G167" s="54">
        <f t="shared" si="219"/>
        <v>14104.540483086697</v>
      </c>
      <c r="H167" s="54">
        <f t="shared" si="219"/>
        <v>14159.430658275178</v>
      </c>
      <c r="I167" s="54">
        <f t="shared" si="219"/>
        <v>14832.553799882689</v>
      </c>
      <c r="J167" s="54">
        <f t="shared" si="219"/>
        <v>14899.727230160037</v>
      </c>
      <c r="K167" s="54">
        <f t="shared" si="219"/>
        <v>14649.758753671231</v>
      </c>
      <c r="L167" s="54">
        <f t="shared" si="219"/>
        <v>14604.613829355476</v>
      </c>
      <c r="M167" s="54">
        <f>IF(M30=0,0,M30*1000000/M57)</f>
        <v>14882.789874124537</v>
      </c>
      <c r="N167" s="54">
        <f t="shared" ref="N167:V167" si="220">IF(N30=0,0,N30*1000000/N57)</f>
        <v>14260.039232090929</v>
      </c>
      <c r="O167" s="54">
        <f t="shared" si="220"/>
        <v>14297.853183026438</v>
      </c>
      <c r="P167" s="54">
        <f t="shared" si="220"/>
        <v>14370.857952161334</v>
      </c>
      <c r="Q167" s="54">
        <f t="shared" si="220"/>
        <v>15337.81746872457</v>
      </c>
      <c r="R167" s="54">
        <f t="shared" si="220"/>
        <v>15733.735071556688</v>
      </c>
      <c r="S167" s="54">
        <f t="shared" si="220"/>
        <v>15266.319070622952</v>
      </c>
      <c r="T167" s="54">
        <f t="shared" si="220"/>
        <v>15129.356543951424</v>
      </c>
      <c r="U167" s="54">
        <f t="shared" si="220"/>
        <v>15068.408663158474</v>
      </c>
      <c r="V167" s="54">
        <f t="shared" si="220"/>
        <v>13807.015079753815</v>
      </c>
      <c r="W167" s="54">
        <f t="shared" ref="W167:Y191" si="221">IF(W30=0,0,W30*1000000/W57)</f>
        <v>14235.647827409821</v>
      </c>
      <c r="X167" s="54">
        <f t="shared" si="221"/>
        <v>14646.756526220586</v>
      </c>
      <c r="Y167" s="54">
        <f t="shared" si="221"/>
        <v>15061.510177750059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12578.014435301875</v>
      </c>
      <c r="C168" s="28">
        <f t="shared" si="219"/>
        <v>12502.271833288487</v>
      </c>
      <c r="D168" s="28">
        <f t="shared" si="219"/>
        <v>12693.096738597678</v>
      </c>
      <c r="E168" s="28">
        <f t="shared" si="219"/>
        <v>12928.170192346584</v>
      </c>
      <c r="F168" s="28">
        <f t="shared" si="219"/>
        <v>12971.123928077817</v>
      </c>
      <c r="G168" s="28">
        <f t="shared" si="219"/>
        <v>12849.780838480654</v>
      </c>
      <c r="H168" s="28">
        <f t="shared" si="219"/>
        <v>12772.558454420769</v>
      </c>
      <c r="I168" s="28">
        <f t="shared" si="219"/>
        <v>13365.083228812566</v>
      </c>
      <c r="J168" s="28">
        <f t="shared" si="219"/>
        <v>13379.879818967342</v>
      </c>
      <c r="K168" s="28">
        <f t="shared" si="219"/>
        <v>13292.058994181529</v>
      </c>
      <c r="L168" s="28">
        <f t="shared" si="219"/>
        <v>13247.24914819504</v>
      </c>
      <c r="M168" s="28">
        <f t="shared" ref="M168:M192" si="222">IF(M31=0,0,M31*1000000/M58)</f>
        <v>13844.311522099631</v>
      </c>
      <c r="N168" s="28">
        <f t="shared" si="219"/>
        <v>13318.8141593726</v>
      </c>
      <c r="O168" s="28">
        <f t="shared" si="219"/>
        <v>13433.53010057169</v>
      </c>
      <c r="P168" s="28">
        <f t="shared" si="219"/>
        <v>13610.011457150056</v>
      </c>
      <c r="Q168" s="28">
        <f t="shared" si="219"/>
        <v>14704.072433875106</v>
      </c>
      <c r="R168" s="28">
        <f t="shared" si="219"/>
        <v>15138.596153789631</v>
      </c>
      <c r="S168" s="28">
        <f t="shared" si="219"/>
        <v>14564.447212237425</v>
      </c>
      <c r="T168" s="28">
        <f t="shared" si="219"/>
        <v>14362.444297471149</v>
      </c>
      <c r="U168" s="28">
        <f t="shared" si="219"/>
        <v>14326.090398715989</v>
      </c>
      <c r="V168" s="28">
        <f t="shared" si="219"/>
        <v>13022.627498944299</v>
      </c>
      <c r="W168" s="28">
        <f t="shared" si="221"/>
        <v>13466.709696365517</v>
      </c>
      <c r="X168" s="28">
        <f t="shared" si="221"/>
        <v>13760.974729637688</v>
      </c>
      <c r="Y168" s="28">
        <f t="shared" si="221"/>
        <v>14227.993801024013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4045.0319581204267</v>
      </c>
      <c r="C169" s="137">
        <f t="shared" si="219"/>
        <v>3628.3643265013889</v>
      </c>
      <c r="D169" s="137">
        <f t="shared" si="219"/>
        <v>3648.9508006900551</v>
      </c>
      <c r="E169" s="137">
        <f t="shared" si="219"/>
        <v>3580.7794876166035</v>
      </c>
      <c r="F169" s="137">
        <f t="shared" si="219"/>
        <v>3436.050527977894</v>
      </c>
      <c r="G169" s="137">
        <f t="shared" si="219"/>
        <v>3328.6993142039473</v>
      </c>
      <c r="H169" s="137">
        <f t="shared" si="219"/>
        <v>3275.3917711752047</v>
      </c>
      <c r="I169" s="137">
        <f t="shared" si="219"/>
        <v>3264.6809719186313</v>
      </c>
      <c r="J169" s="137">
        <f t="shared" si="219"/>
        <v>3143.6245543780828</v>
      </c>
      <c r="K169" s="137">
        <f t="shared" si="219"/>
        <v>3020.1495435315201</v>
      </c>
      <c r="L169" s="137">
        <f t="shared" si="219"/>
        <v>3051.5115753219679</v>
      </c>
      <c r="M169" s="137">
        <f t="shared" si="222"/>
        <v>3076.8187431779857</v>
      </c>
      <c r="N169" s="137">
        <f t="shared" si="219"/>
        <v>3122.8374154401467</v>
      </c>
      <c r="O169" s="137">
        <f t="shared" si="219"/>
        <v>3183.6721121335622</v>
      </c>
      <c r="P169" s="137">
        <f t="shared" si="219"/>
        <v>3253.8342124990572</v>
      </c>
      <c r="Q169" s="137">
        <f t="shared" si="219"/>
        <v>3272.756211249331</v>
      </c>
      <c r="R169" s="137">
        <f t="shared" si="219"/>
        <v>3272.0504632598413</v>
      </c>
      <c r="S169" s="137">
        <f t="shared" si="219"/>
        <v>3066.5069921311879</v>
      </c>
      <c r="T169" s="137">
        <f t="shared" si="219"/>
        <v>2895.0492388183748</v>
      </c>
      <c r="U169" s="137">
        <f t="shared" si="219"/>
        <v>3111.9396427367078</v>
      </c>
      <c r="V169" s="137">
        <f t="shared" si="219"/>
        <v>2754.792835078702</v>
      </c>
      <c r="W169" s="137">
        <f t="shared" si="221"/>
        <v>2831.6492287048682</v>
      </c>
      <c r="X169" s="137">
        <f t="shared" si="221"/>
        <v>2847.3659147134663</v>
      </c>
      <c r="Y169" s="137">
        <f t="shared" si="221"/>
        <v>3052.9045543749171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12970.065669917401</v>
      </c>
      <c r="C170" s="110">
        <f t="shared" si="219"/>
        <v>12955.263465592236</v>
      </c>
      <c r="D170" s="110">
        <f t="shared" si="219"/>
        <v>13185.767014304518</v>
      </c>
      <c r="E170" s="110">
        <f t="shared" si="219"/>
        <v>13470.707947795083</v>
      </c>
      <c r="F170" s="110">
        <f t="shared" si="219"/>
        <v>13560.306121278827</v>
      </c>
      <c r="G170" s="110">
        <f t="shared" si="219"/>
        <v>13465.485745524236</v>
      </c>
      <c r="H170" s="110">
        <f t="shared" si="219"/>
        <v>13420.771304352078</v>
      </c>
      <c r="I170" s="110">
        <f t="shared" si="219"/>
        <v>14121.53914537934</v>
      </c>
      <c r="J170" s="110">
        <f t="shared" si="219"/>
        <v>14170.689455155809</v>
      </c>
      <c r="K170" s="110">
        <f t="shared" si="219"/>
        <v>14075.619194799076</v>
      </c>
      <c r="L170" s="110">
        <f t="shared" si="219"/>
        <v>13993.753980349147</v>
      </c>
      <c r="M170" s="110">
        <f t="shared" si="222"/>
        <v>14625.586206002346</v>
      </c>
      <c r="N170" s="110">
        <f t="shared" si="219"/>
        <v>14039.295763123964</v>
      </c>
      <c r="O170" s="110">
        <f t="shared" si="219"/>
        <v>14149.496480457246</v>
      </c>
      <c r="P170" s="110">
        <f t="shared" si="219"/>
        <v>14310.786472033815</v>
      </c>
      <c r="Q170" s="110">
        <f t="shared" si="219"/>
        <v>15486.572457937718</v>
      </c>
      <c r="R170" s="110">
        <f t="shared" si="219"/>
        <v>15950.781425000434</v>
      </c>
      <c r="S170" s="110">
        <f t="shared" si="219"/>
        <v>15299.764751550356</v>
      </c>
      <c r="T170" s="110">
        <f t="shared" si="219"/>
        <v>15066.998506040734</v>
      </c>
      <c r="U170" s="110">
        <f t="shared" si="219"/>
        <v>14980.000035727491</v>
      </c>
      <c r="V170" s="110">
        <f t="shared" si="219"/>
        <v>13585.424419993509</v>
      </c>
      <c r="W170" s="110">
        <f t="shared" si="221"/>
        <v>14036.611961420396</v>
      </c>
      <c r="X170" s="110">
        <f t="shared" si="221"/>
        <v>14358.92756282687</v>
      </c>
      <c r="Y170" s="110">
        <f t="shared" si="221"/>
        <v>14835.520067914813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12611.684217326558</v>
      </c>
      <c r="C171" s="84">
        <f t="shared" si="219"/>
        <v>12537.63020160375</v>
      </c>
      <c r="D171" s="84">
        <f t="shared" si="219"/>
        <v>12712.22084270089</v>
      </c>
      <c r="E171" s="84">
        <f t="shared" si="219"/>
        <v>12933.586885989462</v>
      </c>
      <c r="F171" s="84">
        <f t="shared" si="219"/>
        <v>12924.267867782048</v>
      </c>
      <c r="G171" s="84">
        <f t="shared" si="219"/>
        <v>12697.575322056693</v>
      </c>
      <c r="H171" s="84">
        <f t="shared" si="219"/>
        <v>12528.101112444208</v>
      </c>
      <c r="I171" s="84">
        <f t="shared" si="219"/>
        <v>12938.87558071324</v>
      </c>
      <c r="J171" s="84">
        <f t="shared" si="219"/>
        <v>12797.931403096271</v>
      </c>
      <c r="K171" s="84">
        <f t="shared" si="219"/>
        <v>12601.285562730263</v>
      </c>
      <c r="L171" s="84">
        <f t="shared" si="219"/>
        <v>12321.074967167266</v>
      </c>
      <c r="M171" s="84">
        <f t="shared" si="222"/>
        <v>12781.858744350457</v>
      </c>
      <c r="N171" s="84">
        <f t="shared" si="219"/>
        <v>12067.4718832617</v>
      </c>
      <c r="O171" s="84">
        <f t="shared" si="219"/>
        <v>12231.248285416446</v>
      </c>
      <c r="P171" s="84">
        <f t="shared" si="219"/>
        <v>12768.316938751299</v>
      </c>
      <c r="Q171" s="84">
        <f t="shared" si="219"/>
        <v>13635.128970139996</v>
      </c>
      <c r="R171" s="84">
        <f t="shared" si="219"/>
        <v>13751.626184778894</v>
      </c>
      <c r="S171" s="84">
        <f t="shared" si="219"/>
        <v>12806.008022695905</v>
      </c>
      <c r="T171" s="84">
        <f t="shared" si="219"/>
        <v>12554.310380877678</v>
      </c>
      <c r="U171" s="84">
        <f t="shared" si="219"/>
        <v>12586.79750930455</v>
      </c>
      <c r="V171" s="84">
        <f t="shared" si="219"/>
        <v>11578.169273420644</v>
      </c>
      <c r="W171" s="84">
        <f t="shared" si="221"/>
        <v>12100.154992650954</v>
      </c>
      <c r="X171" s="84">
        <f t="shared" si="221"/>
        <v>12382.535355745229</v>
      </c>
      <c r="Y171" s="84">
        <f t="shared" si="221"/>
        <v>13039.581081330547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18075.622123625762</v>
      </c>
      <c r="C172" s="84">
        <f t="shared" si="219"/>
        <v>18145.896143083875</v>
      </c>
      <c r="D172" s="84">
        <f t="shared" si="219"/>
        <v>18536.378301823552</v>
      </c>
      <c r="E172" s="84">
        <f t="shared" si="219"/>
        <v>19307.390315842087</v>
      </c>
      <c r="F172" s="84">
        <f t="shared" si="219"/>
        <v>19672.328714958843</v>
      </c>
      <c r="G172" s="84">
        <f t="shared" si="219"/>
        <v>19285.929735368813</v>
      </c>
      <c r="H172" s="84">
        <f t="shared" si="219"/>
        <v>19230.422633998984</v>
      </c>
      <c r="I172" s="84">
        <f t="shared" si="219"/>
        <v>19855.53241732781</v>
      </c>
      <c r="J172" s="84">
        <f t="shared" si="219"/>
        <v>19741.028279840662</v>
      </c>
      <c r="K172" s="84">
        <f t="shared" si="219"/>
        <v>19351.297061625915</v>
      </c>
      <c r="L172" s="84">
        <f t="shared" si="219"/>
        <v>19117.654462175233</v>
      </c>
      <c r="M172" s="84">
        <f t="shared" si="222"/>
        <v>19692.256105306817</v>
      </c>
      <c r="N172" s="84">
        <f t="shared" si="219"/>
        <v>18860.104093108363</v>
      </c>
      <c r="O172" s="84">
        <f t="shared" si="219"/>
        <v>18350.797850993917</v>
      </c>
      <c r="P172" s="84">
        <f t="shared" si="219"/>
        <v>17319.312320722995</v>
      </c>
      <c r="Q172" s="84">
        <f t="shared" si="219"/>
        <v>18736.065110873871</v>
      </c>
      <c r="R172" s="84">
        <f t="shared" si="219"/>
        <v>20603.822867908577</v>
      </c>
      <c r="S172" s="84">
        <f t="shared" si="219"/>
        <v>20647.317480040481</v>
      </c>
      <c r="T172" s="84">
        <f t="shared" si="219"/>
        <v>20523.50861734615</v>
      </c>
      <c r="U172" s="84">
        <f t="shared" si="219"/>
        <v>20250.36306229089</v>
      </c>
      <c r="V172" s="84">
        <f t="shared" si="219"/>
        <v>18126.789361727839</v>
      </c>
      <c r="W172" s="84">
        <f t="shared" si="221"/>
        <v>18724.679882454173</v>
      </c>
      <c r="X172" s="84">
        <f t="shared" si="221"/>
        <v>19448.519236794298</v>
      </c>
      <c r="Y172" s="84">
        <f t="shared" si="221"/>
        <v>19981.953053684534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16336.012332713066</v>
      </c>
      <c r="C173" s="84">
        <f t="shared" si="219"/>
        <v>16123.97679660872</v>
      </c>
      <c r="D173" s="84">
        <f t="shared" si="219"/>
        <v>15686.618289417282</v>
      </c>
      <c r="E173" s="84">
        <f t="shared" si="219"/>
        <v>15561.04368023337</v>
      </c>
      <c r="F173" s="84">
        <f t="shared" si="219"/>
        <v>15100.162433123796</v>
      </c>
      <c r="G173" s="84">
        <f t="shared" si="219"/>
        <v>14098.636956727039</v>
      </c>
      <c r="H173" s="84">
        <f t="shared" si="219"/>
        <v>13388.62807096894</v>
      </c>
      <c r="I173" s="84">
        <f t="shared" si="219"/>
        <v>13165.564532636121</v>
      </c>
      <c r="J173" s="84">
        <f t="shared" si="219"/>
        <v>12466.324308733889</v>
      </c>
      <c r="K173" s="84">
        <f t="shared" si="219"/>
        <v>11638.296867251762</v>
      </c>
      <c r="L173" s="84">
        <f t="shared" si="219"/>
        <v>0</v>
      </c>
      <c r="M173" s="84">
        <f t="shared" si="222"/>
        <v>0</v>
      </c>
      <c r="N173" s="84">
        <f t="shared" si="219"/>
        <v>0</v>
      </c>
      <c r="O173" s="84">
        <f t="shared" si="219"/>
        <v>0</v>
      </c>
      <c r="P173" s="84">
        <f t="shared" si="219"/>
        <v>0</v>
      </c>
      <c r="Q173" s="84">
        <f t="shared" si="219"/>
        <v>0</v>
      </c>
      <c r="R173" s="84">
        <f t="shared" si="219"/>
        <v>0</v>
      </c>
      <c r="S173" s="84">
        <f t="shared" si="219"/>
        <v>0</v>
      </c>
      <c r="T173" s="84">
        <f t="shared" si="219"/>
        <v>0</v>
      </c>
      <c r="U173" s="84">
        <f t="shared" si="219"/>
        <v>0</v>
      </c>
      <c r="V173" s="84">
        <f t="shared" si="219"/>
        <v>0</v>
      </c>
      <c r="W173" s="84">
        <f t="shared" si="221"/>
        <v>0</v>
      </c>
      <c r="X173" s="84">
        <f t="shared" si="221"/>
        <v>0</v>
      </c>
      <c r="Y173" s="84">
        <f t="shared" si="221"/>
        <v>0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21265.249018026982</v>
      </c>
      <c r="R174" s="84">
        <f t="shared" si="219"/>
        <v>22013.935484581991</v>
      </c>
      <c r="S174" s="84">
        <f t="shared" si="219"/>
        <v>20880.14092316727</v>
      </c>
      <c r="T174" s="84">
        <f t="shared" si="219"/>
        <v>20547.386606345404</v>
      </c>
      <c r="U174" s="84">
        <f t="shared" si="219"/>
        <v>20071.184028640811</v>
      </c>
      <c r="V174" s="84">
        <f t="shared" si="219"/>
        <v>17865.611416537347</v>
      </c>
      <c r="W174" s="84">
        <f t="shared" si="221"/>
        <v>18439.467097904166</v>
      </c>
      <c r="X174" s="84">
        <f t="shared" si="221"/>
        <v>19443.351911891379</v>
      </c>
      <c r="Y174" s="84">
        <f t="shared" si="221"/>
        <v>19690.149686355595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12413.242222696677</v>
      </c>
      <c r="O175" s="84">
        <f t="shared" si="219"/>
        <v>12537.22576369532</v>
      </c>
      <c r="P175" s="84">
        <f t="shared" si="219"/>
        <v>12995.866707849884</v>
      </c>
      <c r="Q175" s="84">
        <f t="shared" si="219"/>
        <v>14448.244243103059</v>
      </c>
      <c r="R175" s="84">
        <f t="shared" si="219"/>
        <v>14094.236018935379</v>
      </c>
      <c r="S175" s="84">
        <f t="shared" si="219"/>
        <v>13200.052062156779</v>
      </c>
      <c r="T175" s="84">
        <f t="shared" si="219"/>
        <v>12977.751277733243</v>
      </c>
      <c r="U175" s="84">
        <f t="shared" si="219"/>
        <v>12978.549242401567</v>
      </c>
      <c r="V175" s="84">
        <f t="shared" si="219"/>
        <v>11854.566138145357</v>
      </c>
      <c r="W175" s="84">
        <f t="shared" si="221"/>
        <v>12431.381237141115</v>
      </c>
      <c r="X175" s="84">
        <f t="shared" si="221"/>
        <v>12735.834549797682</v>
      </c>
      <c r="Y175" s="84">
        <f t="shared" si="221"/>
        <v>13404.967136583711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14063.602441196848</v>
      </c>
      <c r="L176" s="84">
        <f t="shared" si="219"/>
        <v>14079.424188365461</v>
      </c>
      <c r="M176" s="84">
        <f t="shared" si="222"/>
        <v>14105.294703386404</v>
      </c>
      <c r="N176" s="84">
        <f t="shared" si="219"/>
        <v>14145.915198293662</v>
      </c>
      <c r="O176" s="84">
        <f t="shared" si="219"/>
        <v>14155.453079829391</v>
      </c>
      <c r="P176" s="84">
        <f t="shared" si="219"/>
        <v>14185.900787760849</v>
      </c>
      <c r="Q176" s="84">
        <f t="shared" si="219"/>
        <v>14266.643148082429</v>
      </c>
      <c r="R176" s="84">
        <f t="shared" si="219"/>
        <v>14238.621267206254</v>
      </c>
      <c r="S176" s="84">
        <f t="shared" si="219"/>
        <v>14187.991641645287</v>
      </c>
      <c r="T176" s="84">
        <f t="shared" si="219"/>
        <v>14173.916780334024</v>
      </c>
      <c r="U176" s="84">
        <f t="shared" si="219"/>
        <v>14172.085356024714</v>
      </c>
      <c r="V176" s="84">
        <f t="shared" si="219"/>
        <v>13265.15889624048</v>
      </c>
      <c r="W176" s="84">
        <f t="shared" si="221"/>
        <v>14144.172482187865</v>
      </c>
      <c r="X176" s="84">
        <f t="shared" si="221"/>
        <v>14160.496334078882</v>
      </c>
      <c r="Y176" s="84">
        <f t="shared" si="221"/>
        <v>14147.064697925978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45031.500572737685</v>
      </c>
      <c r="C177" s="110">
        <f t="shared" si="219"/>
        <v>44790.024365773257</v>
      </c>
      <c r="D177" s="110">
        <f t="shared" si="219"/>
        <v>44029.711689376396</v>
      </c>
      <c r="E177" s="110">
        <f t="shared" si="219"/>
        <v>43188.803758889786</v>
      </c>
      <c r="F177" s="110">
        <f t="shared" si="219"/>
        <v>42350.785709252341</v>
      </c>
      <c r="G177" s="110">
        <f t="shared" si="219"/>
        <v>42494.098041938618</v>
      </c>
      <c r="H177" s="110">
        <f t="shared" si="219"/>
        <v>42880.703683342494</v>
      </c>
      <c r="I177" s="110">
        <f t="shared" si="219"/>
        <v>42811.76633061732</v>
      </c>
      <c r="J177" s="110">
        <f t="shared" si="219"/>
        <v>43523.387766399115</v>
      </c>
      <c r="K177" s="110">
        <f t="shared" si="219"/>
        <v>44050.677221816026</v>
      </c>
      <c r="L177" s="110">
        <f t="shared" si="219"/>
        <v>44919.278537422157</v>
      </c>
      <c r="M177" s="110">
        <f t="shared" si="222"/>
        <v>45349.455073499797</v>
      </c>
      <c r="N177" s="110">
        <f t="shared" si="219"/>
        <v>44374.793288841007</v>
      </c>
      <c r="O177" s="110">
        <f t="shared" si="219"/>
        <v>43469.752734468042</v>
      </c>
      <c r="P177" s="110">
        <f t="shared" si="219"/>
        <v>44379.841624899665</v>
      </c>
      <c r="Q177" s="110">
        <f t="shared" si="219"/>
        <v>45281.327056713744</v>
      </c>
      <c r="R177" s="110">
        <f t="shared" si="219"/>
        <v>46647.230320699709</v>
      </c>
      <c r="S177" s="110">
        <f t="shared" si="219"/>
        <v>48064.085447263016</v>
      </c>
      <c r="T177" s="110">
        <f t="shared" si="219"/>
        <v>48791.609667122662</v>
      </c>
      <c r="U177" s="110">
        <f t="shared" si="219"/>
        <v>48007.260275472312</v>
      </c>
      <c r="V177" s="110">
        <f t="shared" si="219"/>
        <v>50545.970516925641</v>
      </c>
      <c r="W177" s="110">
        <f t="shared" si="221"/>
        <v>52167.653353115049</v>
      </c>
      <c r="X177" s="110">
        <f t="shared" si="221"/>
        <v>54960.60571210707</v>
      </c>
      <c r="Y177" s="110">
        <f t="shared" si="221"/>
        <v>57902.426449589082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44844.782130651984</v>
      </c>
      <c r="C178" s="102">
        <f t="shared" si="219"/>
        <v>45502.364632316203</v>
      </c>
      <c r="D178" s="102">
        <f t="shared" si="219"/>
        <v>45603.760978420287</v>
      </c>
      <c r="E178" s="102">
        <f t="shared" si="219"/>
        <v>45601.715965469404</v>
      </c>
      <c r="F178" s="102">
        <f t="shared" si="219"/>
        <v>45584.786088323825</v>
      </c>
      <c r="G178" s="102">
        <f t="shared" si="219"/>
        <v>46680.376078414978</v>
      </c>
      <c r="H178" s="102">
        <f t="shared" si="219"/>
        <v>48088.166984871059</v>
      </c>
      <c r="I178" s="102">
        <f t="shared" si="219"/>
        <v>48986.730242078855</v>
      </c>
      <c r="J178" s="102">
        <f t="shared" si="219"/>
        <v>50859.243968243827</v>
      </c>
      <c r="K178" s="102">
        <f t="shared" si="219"/>
        <v>50475.638375806739</v>
      </c>
      <c r="L178" s="102">
        <f t="shared" si="219"/>
        <v>50470.873922078674</v>
      </c>
      <c r="M178" s="102">
        <f t="shared" si="222"/>
        <v>50409.093774757435</v>
      </c>
      <c r="N178" s="102">
        <f t="shared" si="219"/>
        <v>50378.357359260721</v>
      </c>
      <c r="O178" s="102">
        <f t="shared" si="219"/>
        <v>50406.901240606661</v>
      </c>
      <c r="P178" s="102">
        <f t="shared" si="219"/>
        <v>50505.46051652819</v>
      </c>
      <c r="Q178" s="102">
        <f t="shared" si="219"/>
        <v>50571.779037250992</v>
      </c>
      <c r="R178" s="102">
        <f t="shared" si="219"/>
        <v>51131.244069447013</v>
      </c>
      <c r="S178" s="102">
        <f t="shared" si="219"/>
        <v>51707.91149728802</v>
      </c>
      <c r="T178" s="102">
        <f t="shared" si="219"/>
        <v>51479.433437338201</v>
      </c>
      <c r="U178" s="102">
        <f t="shared" si="219"/>
        <v>49598.632091541767</v>
      </c>
      <c r="V178" s="102">
        <f t="shared" si="219"/>
        <v>51309.097221447941</v>
      </c>
      <c r="W178" s="102">
        <f t="shared" si="221"/>
        <v>51978.165644978275</v>
      </c>
      <c r="X178" s="102">
        <f t="shared" si="221"/>
        <v>53805.880646209</v>
      </c>
      <c r="Y178" s="102">
        <f t="shared" si="221"/>
        <v>55697.196479905637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45055.468227998543</v>
      </c>
      <c r="C179" s="102">
        <f t="shared" si="219"/>
        <v>44698.48302460571</v>
      </c>
      <c r="D179" s="102">
        <f t="shared" si="219"/>
        <v>43829.673351974328</v>
      </c>
      <c r="E179" s="102">
        <f t="shared" si="219"/>
        <v>43004.467484748624</v>
      </c>
      <c r="F179" s="102">
        <f t="shared" si="219"/>
        <v>42151.170991854924</v>
      </c>
      <c r="G179" s="102">
        <f t="shared" si="219"/>
        <v>42260.231189754239</v>
      </c>
      <c r="H179" s="102">
        <f t="shared" si="219"/>
        <v>42598.923524976555</v>
      </c>
      <c r="I179" s="102">
        <f t="shared" si="219"/>
        <v>42490.120916558626</v>
      </c>
      <c r="J179" s="102">
        <f t="shared" si="219"/>
        <v>43150.540861353707</v>
      </c>
      <c r="K179" s="102">
        <f t="shared" si="219"/>
        <v>43735.259058012998</v>
      </c>
      <c r="L179" s="102">
        <f t="shared" si="219"/>
        <v>44655.719164077302</v>
      </c>
      <c r="M179" s="102">
        <f t="shared" si="222"/>
        <v>45107.727288071495</v>
      </c>
      <c r="N179" s="102">
        <f t="shared" si="219"/>
        <v>44084.486451260265</v>
      </c>
      <c r="O179" s="102">
        <f t="shared" si="219"/>
        <v>43105.508420456004</v>
      </c>
      <c r="P179" s="102">
        <f t="shared" si="219"/>
        <v>44095.384960533869</v>
      </c>
      <c r="Q179" s="102">
        <f t="shared" si="219"/>
        <v>45017.984524331427</v>
      </c>
      <c r="R179" s="102">
        <f t="shared" si="219"/>
        <v>46377.774214972989</v>
      </c>
      <c r="S179" s="102">
        <f t="shared" si="219"/>
        <v>47719.519760415642</v>
      </c>
      <c r="T179" s="102">
        <f t="shared" si="219"/>
        <v>48478.607466901027</v>
      </c>
      <c r="U179" s="102">
        <f t="shared" si="219"/>
        <v>47750.570316611651</v>
      </c>
      <c r="V179" s="102">
        <f t="shared" si="219"/>
        <v>50320.94832900555</v>
      </c>
      <c r="W179" s="102">
        <f t="shared" si="221"/>
        <v>52103.520650731232</v>
      </c>
      <c r="X179" s="102">
        <f t="shared" si="221"/>
        <v>55387.776762070782</v>
      </c>
      <c r="Y179" s="102">
        <f t="shared" si="221"/>
        <v>59520.819406537717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X180" s="102">
        <f t="shared" si="221"/>
        <v>0</v>
      </c>
      <c r="Y180" s="102">
        <f t="shared" si="221"/>
        <v>0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62786.342510333743</v>
      </c>
      <c r="R181" s="102">
        <f t="shared" si="223"/>
        <v>64699.506554054286</v>
      </c>
      <c r="S181" s="102">
        <f t="shared" si="223"/>
        <v>66684.628658341564</v>
      </c>
      <c r="T181" s="102">
        <f t="shared" si="223"/>
        <v>67704.174101988319</v>
      </c>
      <c r="U181" s="102">
        <f t="shared" si="223"/>
        <v>66605.0008766994</v>
      </c>
      <c r="V181" s="102">
        <f t="shared" si="223"/>
        <v>70163.339618630358</v>
      </c>
      <c r="W181" s="102">
        <f t="shared" si="221"/>
        <v>72437.284550049866</v>
      </c>
      <c r="X181" s="102">
        <f t="shared" si="221"/>
        <v>76355.244588678383</v>
      </c>
      <c r="Y181" s="102">
        <f t="shared" si="221"/>
        <v>80484.190144116845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0</v>
      </c>
      <c r="Q182" s="102">
        <f t="shared" si="223"/>
        <v>0</v>
      </c>
      <c r="R182" s="102">
        <f t="shared" si="223"/>
        <v>45522.65340078083</v>
      </c>
      <c r="S182" s="102">
        <f t="shared" si="223"/>
        <v>45454.59860823417</v>
      </c>
      <c r="T182" s="102">
        <f t="shared" si="223"/>
        <v>45420.467908877145</v>
      </c>
      <c r="U182" s="102">
        <f t="shared" si="223"/>
        <v>45383.67836173204</v>
      </c>
      <c r="V182" s="102">
        <f t="shared" si="223"/>
        <v>43663.141499852092</v>
      </c>
      <c r="W182" s="102">
        <f t="shared" si="221"/>
        <v>45195.476932051402</v>
      </c>
      <c r="X182" s="102">
        <f t="shared" si="221"/>
        <v>45077.774144582625</v>
      </c>
      <c r="Y182" s="102">
        <f t="shared" si="221"/>
        <v>44960.403543371962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17303.587808370296</v>
      </c>
      <c r="C183" s="28">
        <f t="shared" si="223"/>
        <v>18233.989843726315</v>
      </c>
      <c r="D183" s="28">
        <f t="shared" si="223"/>
        <v>18452.100035545038</v>
      </c>
      <c r="E183" s="28">
        <f t="shared" si="223"/>
        <v>19409.65143373339</v>
      </c>
      <c r="F183" s="28">
        <f t="shared" si="223"/>
        <v>20065.586058473938</v>
      </c>
      <c r="G183" s="28">
        <f t="shared" si="223"/>
        <v>19914.229213660084</v>
      </c>
      <c r="H183" s="28">
        <f t="shared" si="223"/>
        <v>20244.626868339841</v>
      </c>
      <c r="I183" s="28">
        <f t="shared" si="223"/>
        <v>21101.601053675189</v>
      </c>
      <c r="J183" s="28">
        <f t="shared" si="223"/>
        <v>21544.757316532417</v>
      </c>
      <c r="K183" s="28">
        <f t="shared" si="223"/>
        <v>20917.914119318924</v>
      </c>
      <c r="L183" s="28">
        <f t="shared" si="223"/>
        <v>21261.390135671551</v>
      </c>
      <c r="M183" s="28">
        <f t="shared" si="222"/>
        <v>20208.994723336331</v>
      </c>
      <c r="N183" s="28">
        <f t="shared" si="223"/>
        <v>19261.626862144523</v>
      </c>
      <c r="O183" s="28">
        <f t="shared" si="223"/>
        <v>19108.178924696425</v>
      </c>
      <c r="P183" s="28">
        <f t="shared" si="223"/>
        <v>18739.451515608998</v>
      </c>
      <c r="Q183" s="28">
        <f t="shared" si="223"/>
        <v>19052.838095911549</v>
      </c>
      <c r="R183" s="28">
        <f t="shared" si="223"/>
        <v>19194.190594215794</v>
      </c>
      <c r="S183" s="28">
        <f t="shared" si="223"/>
        <v>19539.031232331672</v>
      </c>
      <c r="T183" s="28">
        <f t="shared" si="223"/>
        <v>20074.179447341827</v>
      </c>
      <c r="U183" s="28">
        <f t="shared" si="223"/>
        <v>20052.436380171621</v>
      </c>
      <c r="V183" s="28">
        <f t="shared" si="223"/>
        <v>19284.656745403485</v>
      </c>
      <c r="W183" s="28">
        <f t="shared" si="221"/>
        <v>19834.471935406786</v>
      </c>
      <c r="X183" s="28">
        <f t="shared" si="221"/>
        <v>21082.257796632784</v>
      </c>
      <c r="Y183" s="28">
        <f t="shared" si="221"/>
        <v>21299.199289539927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14352.567824388872</v>
      </c>
      <c r="C184" s="137">
        <f t="shared" si="223"/>
        <v>15372.26860770959</v>
      </c>
      <c r="D184" s="137">
        <f t="shared" si="223"/>
        <v>15764.898718502307</v>
      </c>
      <c r="E184" s="137">
        <f t="shared" si="223"/>
        <v>16656.718450926433</v>
      </c>
      <c r="F184" s="137">
        <f t="shared" si="223"/>
        <v>17670.30319583496</v>
      </c>
      <c r="G184" s="137">
        <f t="shared" si="223"/>
        <v>17950.322720379805</v>
      </c>
      <c r="H184" s="137">
        <f t="shared" si="223"/>
        <v>18365.140833880854</v>
      </c>
      <c r="I184" s="137">
        <f t="shared" si="223"/>
        <v>19527.434915586204</v>
      </c>
      <c r="J184" s="137">
        <f t="shared" si="223"/>
        <v>19894.593260366972</v>
      </c>
      <c r="K184" s="137">
        <f t="shared" si="223"/>
        <v>19522.621299217535</v>
      </c>
      <c r="L184" s="137">
        <f t="shared" si="223"/>
        <v>19847.891512515773</v>
      </c>
      <c r="M184" s="137">
        <f t="shared" si="222"/>
        <v>18441.812568518046</v>
      </c>
      <c r="N184" s="137">
        <f t="shared" si="223"/>
        <v>17253.849717053734</v>
      </c>
      <c r="O184" s="137">
        <f t="shared" si="223"/>
        <v>16895.398731499143</v>
      </c>
      <c r="P184" s="137">
        <f t="shared" si="223"/>
        <v>16436.229274347133</v>
      </c>
      <c r="Q184" s="137">
        <f t="shared" si="223"/>
        <v>16598.925531660647</v>
      </c>
      <c r="R184" s="137">
        <f t="shared" si="223"/>
        <v>16667.096795853002</v>
      </c>
      <c r="S184" s="137">
        <f t="shared" si="223"/>
        <v>17203.38954877526</v>
      </c>
      <c r="T184" s="137">
        <f t="shared" si="223"/>
        <v>17939.66292113157</v>
      </c>
      <c r="U184" s="137">
        <f t="shared" si="223"/>
        <v>17813.484582553054</v>
      </c>
      <c r="V184" s="137">
        <f t="shared" si="223"/>
        <v>16787.288200144634</v>
      </c>
      <c r="W184" s="137">
        <f t="shared" si="221"/>
        <v>17356.644685131865</v>
      </c>
      <c r="X184" s="137">
        <f t="shared" si="221"/>
        <v>18737.56585852068</v>
      </c>
      <c r="Y184" s="137">
        <f t="shared" si="221"/>
        <v>19080.592181719127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13222.238432179671</v>
      </c>
      <c r="C185" s="84">
        <f t="shared" si="223"/>
        <v>14904.334797826234</v>
      </c>
      <c r="D185" s="84">
        <f t="shared" si="223"/>
        <v>14880.953245541037</v>
      </c>
      <c r="E185" s="84">
        <f t="shared" si="223"/>
        <v>14255.767554922422</v>
      </c>
      <c r="F185" s="84">
        <f t="shared" si="223"/>
        <v>14359.312668860257</v>
      </c>
      <c r="G185" s="84">
        <f t="shared" si="223"/>
        <v>14140.637282869144</v>
      </c>
      <c r="H185" s="84">
        <f t="shared" si="223"/>
        <v>13631.27771882362</v>
      </c>
      <c r="I185" s="84">
        <f t="shared" si="223"/>
        <v>14481.427753260796</v>
      </c>
      <c r="J185" s="84">
        <f t="shared" si="223"/>
        <v>13895.490048731555</v>
      </c>
      <c r="K185" s="84">
        <f t="shared" si="223"/>
        <v>13483.454360603386</v>
      </c>
      <c r="L185" s="84">
        <f t="shared" si="223"/>
        <v>13380.77087095227</v>
      </c>
      <c r="M185" s="84">
        <f t="shared" si="222"/>
        <v>12054.300443815631</v>
      </c>
      <c r="N185" s="84">
        <f t="shared" si="223"/>
        <v>11064.306258230208</v>
      </c>
      <c r="O185" s="84">
        <f t="shared" si="223"/>
        <v>11271.229340240103</v>
      </c>
      <c r="P185" s="84">
        <f t="shared" si="223"/>
        <v>11806.798576106277</v>
      </c>
      <c r="Q185" s="84">
        <f t="shared" si="223"/>
        <v>12858.135330485427</v>
      </c>
      <c r="R185" s="84">
        <f t="shared" si="223"/>
        <v>13305.705908424314</v>
      </c>
      <c r="S185" s="84">
        <f t="shared" si="223"/>
        <v>14009.063702709471</v>
      </c>
      <c r="T185" s="84">
        <f t="shared" si="223"/>
        <v>14242.410799088555</v>
      </c>
      <c r="U185" s="84">
        <f t="shared" si="223"/>
        <v>14838.68421875354</v>
      </c>
      <c r="V185" s="84">
        <f t="shared" si="223"/>
        <v>14386.802256885707</v>
      </c>
      <c r="W185" s="84">
        <f t="shared" si="221"/>
        <v>15918.205691042744</v>
      </c>
      <c r="X185" s="84">
        <f t="shared" si="221"/>
        <v>16773.436276466735</v>
      </c>
      <c r="Y185" s="84">
        <f t="shared" si="221"/>
        <v>17103.742900241316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14654.024986191736</v>
      </c>
      <c r="C186" s="84">
        <f t="shared" si="223"/>
        <v>15496.999262473208</v>
      </c>
      <c r="D186" s="84">
        <f t="shared" si="223"/>
        <v>15990.432339744839</v>
      </c>
      <c r="E186" s="84">
        <f t="shared" si="223"/>
        <v>17239.265497064069</v>
      </c>
      <c r="F186" s="84">
        <f t="shared" si="223"/>
        <v>18417.103068966429</v>
      </c>
      <c r="G186" s="84">
        <f t="shared" si="223"/>
        <v>18740.713966700889</v>
      </c>
      <c r="H186" s="84">
        <f t="shared" si="223"/>
        <v>19270.465888413655</v>
      </c>
      <c r="I186" s="84">
        <f t="shared" si="223"/>
        <v>20342.003984193434</v>
      </c>
      <c r="J186" s="84">
        <f t="shared" si="223"/>
        <v>20796.132177266798</v>
      </c>
      <c r="K186" s="84">
        <f t="shared" si="223"/>
        <v>20392.164085652905</v>
      </c>
      <c r="L186" s="84">
        <f t="shared" si="223"/>
        <v>20717.976180267302</v>
      </c>
      <c r="M186" s="84">
        <f t="shared" si="222"/>
        <v>19274.469441968547</v>
      </c>
      <c r="N186" s="84">
        <f t="shared" si="223"/>
        <v>17998.751599848947</v>
      </c>
      <c r="O186" s="84">
        <f t="shared" si="223"/>
        <v>17523.284434690278</v>
      </c>
      <c r="P186" s="84">
        <f t="shared" si="223"/>
        <v>16897.955949075757</v>
      </c>
      <c r="Q186" s="84">
        <f t="shared" si="223"/>
        <v>16934.609563138645</v>
      </c>
      <c r="R186" s="84">
        <f t="shared" si="223"/>
        <v>16954.231514621169</v>
      </c>
      <c r="S186" s="84">
        <f t="shared" si="223"/>
        <v>17464.110861515233</v>
      </c>
      <c r="T186" s="84">
        <f t="shared" si="223"/>
        <v>18223.660140511376</v>
      </c>
      <c r="U186" s="84">
        <f t="shared" si="223"/>
        <v>18036.801810435205</v>
      </c>
      <c r="V186" s="84">
        <f t="shared" si="223"/>
        <v>16971.178006488219</v>
      </c>
      <c r="W186" s="84">
        <f t="shared" si="221"/>
        <v>17500.376101531067</v>
      </c>
      <c r="X186" s="84">
        <f t="shared" si="221"/>
        <v>18965.422710029023</v>
      </c>
      <c r="Y186" s="84">
        <f t="shared" si="221"/>
        <v>19359.737316764957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9425.5365585033214</v>
      </c>
      <c r="C187" s="84">
        <f t="shared" si="223"/>
        <v>9712.6490008702403</v>
      </c>
      <c r="D187" s="84">
        <f t="shared" si="223"/>
        <v>9616.7805718772343</v>
      </c>
      <c r="E187" s="84">
        <f t="shared" si="223"/>
        <v>9905.5339956205116</v>
      </c>
      <c r="F187" s="84">
        <f t="shared" si="223"/>
        <v>10575.899733979575</v>
      </c>
      <c r="G187" s="84">
        <f t="shared" si="223"/>
        <v>10046.442328436278</v>
      </c>
      <c r="H187" s="84">
        <f t="shared" si="223"/>
        <v>9464.1112153559388</v>
      </c>
      <c r="I187" s="84">
        <f t="shared" si="223"/>
        <v>9411.6513672278506</v>
      </c>
      <c r="J187" s="84">
        <f t="shared" si="223"/>
        <v>9672.8132340550364</v>
      </c>
      <c r="K187" s="84">
        <f t="shared" si="223"/>
        <v>9578.6181317119408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X187" s="84">
        <f t="shared" si="221"/>
        <v>0</v>
      </c>
      <c r="Y187" s="84">
        <f t="shared" si="221"/>
        <v>0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10717.4047294785</v>
      </c>
      <c r="R188" s="84">
        <f t="shared" si="223"/>
        <v>10815.199848669843</v>
      </c>
      <c r="S188" s="84">
        <f t="shared" si="223"/>
        <v>10587.54078586025</v>
      </c>
      <c r="T188" s="84">
        <f t="shared" si="223"/>
        <v>10540.782028198917</v>
      </c>
      <c r="U188" s="84">
        <f t="shared" si="223"/>
        <v>10440.690865098291</v>
      </c>
      <c r="V188" s="84">
        <f t="shared" si="223"/>
        <v>9942.9274511186668</v>
      </c>
      <c r="W188" s="84">
        <f t="shared" si="221"/>
        <v>10389.087618731633</v>
      </c>
      <c r="X188" s="84">
        <f t="shared" si="221"/>
        <v>10849.13449428879</v>
      </c>
      <c r="Y188" s="84">
        <f t="shared" si="221"/>
        <v>10956.422890790491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12456.753793712594</v>
      </c>
      <c r="O189" s="84">
        <f t="shared" si="223"/>
        <v>12524.464212972283</v>
      </c>
      <c r="P189" s="84">
        <f t="shared" si="223"/>
        <v>12526.266718487563</v>
      </c>
      <c r="Q189" s="84">
        <f t="shared" si="223"/>
        <v>12529.202971182778</v>
      </c>
      <c r="R189" s="84">
        <f t="shared" si="223"/>
        <v>12517.456921154901</v>
      </c>
      <c r="S189" s="84">
        <f t="shared" si="223"/>
        <v>12510.571581875261</v>
      </c>
      <c r="T189" s="84">
        <f t="shared" si="223"/>
        <v>12507.122966161291</v>
      </c>
      <c r="U189" s="84">
        <f t="shared" si="223"/>
        <v>12506.810687828918</v>
      </c>
      <c r="V189" s="84">
        <f t="shared" si="223"/>
        <v>12155.050059022999</v>
      </c>
      <c r="W189" s="84">
        <f t="shared" si="221"/>
        <v>12497.528498726157</v>
      </c>
      <c r="X189" s="84">
        <f t="shared" si="221"/>
        <v>12465.149374136154</v>
      </c>
      <c r="Y189" s="84">
        <f t="shared" si="221"/>
        <v>12453.001239938647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42419.145942600553</v>
      </c>
      <c r="C190" s="110">
        <f t="shared" si="223"/>
        <v>42004.352161890281</v>
      </c>
      <c r="D190" s="110">
        <f t="shared" si="223"/>
        <v>40595.102522617985</v>
      </c>
      <c r="E190" s="110">
        <f t="shared" si="223"/>
        <v>42405.999536116695</v>
      </c>
      <c r="F190" s="110">
        <f t="shared" si="223"/>
        <v>40299.844562430342</v>
      </c>
      <c r="G190" s="110">
        <f t="shared" si="223"/>
        <v>35684.104095045812</v>
      </c>
      <c r="H190" s="110">
        <f t="shared" si="223"/>
        <v>36063.637241301134</v>
      </c>
      <c r="I190" s="110">
        <f t="shared" si="223"/>
        <v>33634.365996963294</v>
      </c>
      <c r="J190" s="110">
        <f t="shared" si="223"/>
        <v>34553.483832628255</v>
      </c>
      <c r="K190" s="110">
        <f t="shared" si="223"/>
        <v>32416.827869842957</v>
      </c>
      <c r="L190" s="110">
        <f t="shared" si="223"/>
        <v>32482.747682004541</v>
      </c>
      <c r="M190" s="110">
        <f t="shared" si="222"/>
        <v>34110.994122925651</v>
      </c>
      <c r="N190" s="110">
        <f t="shared" si="223"/>
        <v>34975.524003019491</v>
      </c>
      <c r="O190" s="110">
        <f t="shared" si="223"/>
        <v>35975.026125056051</v>
      </c>
      <c r="P190" s="110">
        <f t="shared" si="223"/>
        <v>36293.853943077702</v>
      </c>
      <c r="Q190" s="110">
        <f t="shared" si="223"/>
        <v>40762.032955293216</v>
      </c>
      <c r="R190" s="110">
        <f t="shared" si="223"/>
        <v>40868.463948947676</v>
      </c>
      <c r="S190" s="110">
        <f t="shared" si="223"/>
        <v>39245.067592712468</v>
      </c>
      <c r="T190" s="110">
        <f t="shared" si="223"/>
        <v>37887.094676174071</v>
      </c>
      <c r="U190" s="110">
        <f t="shared" si="223"/>
        <v>38121.032607211826</v>
      </c>
      <c r="V190" s="110">
        <f t="shared" si="223"/>
        <v>39017.595355728954</v>
      </c>
      <c r="W190" s="110">
        <f t="shared" si="221"/>
        <v>38816.526522188062</v>
      </c>
      <c r="X190" s="110">
        <f t="shared" si="221"/>
        <v>38452.772321917524</v>
      </c>
      <c r="Y190" s="110">
        <f t="shared" si="221"/>
        <v>37328.883155494368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38420.255951561856</v>
      </c>
      <c r="C191" s="102">
        <f t="shared" si="223"/>
        <v>37852.391510928093</v>
      </c>
      <c r="D191" s="102">
        <f t="shared" si="223"/>
        <v>36218.334571348067</v>
      </c>
      <c r="E191" s="102">
        <f t="shared" si="223"/>
        <v>38176.033934252388</v>
      </c>
      <c r="F191" s="102">
        <f t="shared" si="223"/>
        <v>35222.276502198336</v>
      </c>
      <c r="G191" s="102">
        <f t="shared" si="223"/>
        <v>30594.087001264928</v>
      </c>
      <c r="H191" s="102">
        <f t="shared" si="223"/>
        <v>30845.627627132613</v>
      </c>
      <c r="I191" s="102">
        <f t="shared" si="223"/>
        <v>28419.806959801783</v>
      </c>
      <c r="J191" s="102">
        <f t="shared" si="223"/>
        <v>27929.891046897206</v>
      </c>
      <c r="K191" s="102">
        <f t="shared" si="223"/>
        <v>26052.308949734368</v>
      </c>
      <c r="L191" s="102">
        <f t="shared" si="223"/>
        <v>26531.823858169388</v>
      </c>
      <c r="M191" s="102">
        <f t="shared" si="222"/>
        <v>28421.229003476732</v>
      </c>
      <c r="N191" s="102">
        <f t="shared" si="223"/>
        <v>29395.499213000381</v>
      </c>
      <c r="O191" s="102">
        <f t="shared" si="223"/>
        <v>29680.365296803651</v>
      </c>
      <c r="P191" s="102">
        <f t="shared" si="223"/>
        <v>30484.081988661143</v>
      </c>
      <c r="Q191" s="102">
        <f t="shared" si="223"/>
        <v>34505.640345056403</v>
      </c>
      <c r="R191" s="102">
        <f t="shared" si="223"/>
        <v>33806.981931183116</v>
      </c>
      <c r="S191" s="102">
        <f t="shared" si="223"/>
        <v>31843.187788075531</v>
      </c>
      <c r="T191" s="102">
        <f t="shared" si="223"/>
        <v>30918.706186200958</v>
      </c>
      <c r="U191" s="102">
        <f t="shared" si="223"/>
        <v>31142.543592244849</v>
      </c>
      <c r="V191" s="102">
        <f t="shared" si="223"/>
        <v>31595.114459153076</v>
      </c>
      <c r="W191" s="102">
        <f t="shared" si="221"/>
        <v>31520.19002375297</v>
      </c>
      <c r="X191" s="102">
        <f t="shared" si="221"/>
        <v>30983.459780406203</v>
      </c>
      <c r="Y191" s="102">
        <f t="shared" si="221"/>
        <v>30227.463410086697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85004.042725833642</v>
      </c>
      <c r="C192" s="86">
        <f t="shared" si="223"/>
        <v>85004.045245829999</v>
      </c>
      <c r="D192" s="86">
        <f t="shared" si="223"/>
        <v>84989.33416344125</v>
      </c>
      <c r="E192" s="86">
        <f t="shared" si="223"/>
        <v>84991.66746378268</v>
      </c>
      <c r="F192" s="86">
        <f t="shared" si="223"/>
        <v>84994.670704313394</v>
      </c>
      <c r="G192" s="86">
        <f t="shared" si="223"/>
        <v>85001.442546483653</v>
      </c>
      <c r="H192" s="86">
        <f t="shared" si="223"/>
        <v>84998.988467354618</v>
      </c>
      <c r="I192" s="86">
        <f t="shared" si="223"/>
        <v>84993.641511035181</v>
      </c>
      <c r="J192" s="86">
        <f t="shared" si="223"/>
        <v>84995.058041424272</v>
      </c>
      <c r="K192" s="86">
        <f t="shared" si="223"/>
        <v>85004.968330777323</v>
      </c>
      <c r="L192" s="86">
        <f t="shared" si="223"/>
        <v>85000.322392551199</v>
      </c>
      <c r="M192" s="86">
        <f t="shared" si="222"/>
        <v>84993.842108167853</v>
      </c>
      <c r="N192" s="86">
        <f t="shared" si="223"/>
        <v>85002.084925589676</v>
      </c>
      <c r="O192" s="86">
        <f t="shared" si="223"/>
        <v>84999.827393697517</v>
      </c>
      <c r="P192" s="86">
        <f t="shared" si="223"/>
        <v>84993.569137657018</v>
      </c>
      <c r="Q192" s="86">
        <f t="shared" si="223"/>
        <v>85002.779256375841</v>
      </c>
      <c r="R192" s="86">
        <f t="shared" si="223"/>
        <v>84999.132226920949</v>
      </c>
      <c r="S192" s="86">
        <f t="shared" si="223"/>
        <v>85001.111961021146</v>
      </c>
      <c r="T192" s="86">
        <f t="shared" si="223"/>
        <v>84993.817998398343</v>
      </c>
      <c r="U192" s="86">
        <f t="shared" si="223"/>
        <v>85000.610270829246</v>
      </c>
      <c r="V192" s="86">
        <f t="shared" ref="V192:W192" si="224">IF(V55=0,0,V55*1000000/V82)</f>
        <v>84995.055926047004</v>
      </c>
      <c r="W192" s="86">
        <f t="shared" si="224"/>
        <v>85001.426023634107</v>
      </c>
      <c r="X192" s="86">
        <f t="shared" ref="X192:Y192" si="225">IF(X55=0,0,X55*1000000/X82)</f>
        <v>84996.974771898967</v>
      </c>
      <c r="Y192" s="86">
        <f t="shared" si="225"/>
        <v>84999.051872007563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29232.892317518596</v>
      </c>
      <c r="C195" s="28">
        <f t="shared" si="226"/>
        <v>28303.044314304687</v>
      </c>
      <c r="D195" s="28">
        <f t="shared" si="226"/>
        <v>27930.918533988621</v>
      </c>
      <c r="E195" s="28">
        <f t="shared" si="226"/>
        <v>27886.806842022459</v>
      </c>
      <c r="F195" s="28">
        <f t="shared" si="226"/>
        <v>27944.010470771293</v>
      </c>
      <c r="G195" s="28">
        <f t="shared" si="226"/>
        <v>26754.372895095719</v>
      </c>
      <c r="H195" s="28">
        <f t="shared" si="226"/>
        <v>25852.435803822405</v>
      </c>
      <c r="I195" s="28">
        <f t="shared" si="226"/>
        <v>25558.251165354657</v>
      </c>
      <c r="J195" s="28">
        <f t="shared" si="226"/>
        <v>25404.508861802704</v>
      </c>
      <c r="K195" s="28">
        <f t="shared" si="226"/>
        <v>25341.352720513958</v>
      </c>
      <c r="L195" s="28">
        <f t="shared" si="226"/>
        <v>24832.216418682496</v>
      </c>
      <c r="M195" s="28">
        <f>IF(M4=0,0,M4*1000000/M58)</f>
        <v>24982.972746946278</v>
      </c>
      <c r="N195" s="28">
        <f t="shared" ref="N195:V195" si="227">IF(N4=0,0,N4*1000000/N58)</f>
        <v>24403.161042200496</v>
      </c>
      <c r="O195" s="28">
        <f t="shared" si="227"/>
        <v>24118.095450523961</v>
      </c>
      <c r="P195" s="28">
        <f t="shared" si="227"/>
        <v>24268.008787714873</v>
      </c>
      <c r="Q195" s="28">
        <f t="shared" si="227"/>
        <v>24951.747036079949</v>
      </c>
      <c r="R195" s="28">
        <f t="shared" si="227"/>
        <v>25924.816583430285</v>
      </c>
      <c r="S195" s="28">
        <f t="shared" si="227"/>
        <v>25252.806254204424</v>
      </c>
      <c r="T195" s="28">
        <f t="shared" si="227"/>
        <v>24521.541690498991</v>
      </c>
      <c r="U195" s="28">
        <f t="shared" si="227"/>
        <v>24511.025314329054</v>
      </c>
      <c r="V195" s="28">
        <f t="shared" si="227"/>
        <v>21257.765424824123</v>
      </c>
      <c r="W195" s="28">
        <f t="shared" ref="W195:Y195" si="228">IF(W4=0,0,W4*1000000/W58)</f>
        <v>21264.482189078124</v>
      </c>
      <c r="X195" s="28">
        <f t="shared" si="228"/>
        <v>23105.647982077939</v>
      </c>
      <c r="Y195" s="28">
        <f t="shared" si="228"/>
        <v>23313.41698784598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4468.6769325834666</v>
      </c>
      <c r="C196" s="137">
        <f t="shared" si="229"/>
        <v>4008.2939142945042</v>
      </c>
      <c r="D196" s="137">
        <f t="shared" si="229"/>
        <v>4030.3355728973274</v>
      </c>
      <c r="E196" s="137">
        <f t="shared" si="229"/>
        <v>3956.7000567009304</v>
      </c>
      <c r="F196" s="137">
        <f t="shared" si="229"/>
        <v>3797.2854905730483</v>
      </c>
      <c r="G196" s="137">
        <f t="shared" si="229"/>
        <v>3675.3172369453087</v>
      </c>
      <c r="H196" s="137">
        <f t="shared" si="229"/>
        <v>3617.4675646552159</v>
      </c>
      <c r="I196" s="137">
        <f t="shared" si="229"/>
        <v>3611.425444125799</v>
      </c>
      <c r="J196" s="137">
        <f t="shared" si="229"/>
        <v>3479.341654620152</v>
      </c>
      <c r="K196" s="137">
        <f t="shared" si="229"/>
        <v>3344.2844982845386</v>
      </c>
      <c r="L196" s="137">
        <f t="shared" si="229"/>
        <v>3373.2073187250753</v>
      </c>
      <c r="M196" s="137">
        <f>IF(M5=0,0,M5*1000000/M59)</f>
        <v>3398.2029696517184</v>
      </c>
      <c r="N196" s="137">
        <f t="shared" ref="N196:V196" si="230">IF(N5=0,0,N5*1000000/N59)</f>
        <v>3427.7417442547357</v>
      </c>
      <c r="O196" s="137">
        <f t="shared" si="230"/>
        <v>3492.7184441312093</v>
      </c>
      <c r="P196" s="137">
        <f t="shared" si="230"/>
        <v>3577.442130881614</v>
      </c>
      <c r="Q196" s="137">
        <f t="shared" si="230"/>
        <v>3604.4649425869129</v>
      </c>
      <c r="R196" s="137">
        <f t="shared" si="230"/>
        <v>3603.5813433248341</v>
      </c>
      <c r="S196" s="137">
        <f t="shared" si="230"/>
        <v>3375.0855185235409</v>
      </c>
      <c r="T196" s="137">
        <f t="shared" si="230"/>
        <v>3184.7216026227179</v>
      </c>
      <c r="U196" s="137">
        <f t="shared" si="230"/>
        <v>3424.9380031351775</v>
      </c>
      <c r="V196" s="137">
        <f t="shared" si="230"/>
        <v>3028.3896527386246</v>
      </c>
      <c r="W196" s="137">
        <f t="shared" ref="W196:Y196" si="231">IF(W5=0,0,W5*1000000/W59)</f>
        <v>3113.9177939633387</v>
      </c>
      <c r="X196" s="137">
        <f t="shared" si="231"/>
        <v>3130.859849499227</v>
      </c>
      <c r="Y196" s="137">
        <f t="shared" si="231"/>
        <v>3360.4649660253122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27299.548018942212</v>
      </c>
      <c r="C197" s="110">
        <f t="shared" si="232"/>
        <v>26497.478681064236</v>
      </c>
      <c r="D197" s="110">
        <f t="shared" si="232"/>
        <v>26189.83312944516</v>
      </c>
      <c r="E197" s="110">
        <f t="shared" si="232"/>
        <v>26224.011474291288</v>
      </c>
      <c r="F197" s="110">
        <f t="shared" si="232"/>
        <v>26384.347141752263</v>
      </c>
      <c r="G197" s="110">
        <f t="shared" si="232"/>
        <v>25321.338461585434</v>
      </c>
      <c r="H197" s="110">
        <f t="shared" si="232"/>
        <v>24572.646399974663</v>
      </c>
      <c r="I197" s="110">
        <f t="shared" si="232"/>
        <v>24520.339852210014</v>
      </c>
      <c r="J197" s="110">
        <f t="shared" si="232"/>
        <v>24508.066958902229</v>
      </c>
      <c r="K197" s="110">
        <f t="shared" si="232"/>
        <v>24462.669016561478</v>
      </c>
      <c r="L197" s="110">
        <f t="shared" si="232"/>
        <v>23866.402443754134</v>
      </c>
      <c r="M197" s="110">
        <f>IF(M6=0,0,M6*1000000/M60)</f>
        <v>24076.835644464652</v>
      </c>
      <c r="N197" s="110">
        <f t="shared" ref="N197:V197" si="233">IF(N6=0,0,N6*1000000/N60)</f>
        <v>23528.534015741978</v>
      </c>
      <c r="O197" s="110">
        <f t="shared" si="233"/>
        <v>23213.934679434969</v>
      </c>
      <c r="P197" s="110">
        <f t="shared" si="233"/>
        <v>23347.044926388706</v>
      </c>
      <c r="Q197" s="110">
        <f t="shared" si="233"/>
        <v>23984.030898574183</v>
      </c>
      <c r="R197" s="110">
        <f t="shared" si="233"/>
        <v>24947.161421119035</v>
      </c>
      <c r="S197" s="110">
        <f t="shared" si="233"/>
        <v>24194.019549103028</v>
      </c>
      <c r="T197" s="110">
        <f t="shared" si="233"/>
        <v>23546.613162069385</v>
      </c>
      <c r="U197" s="110">
        <f t="shared" si="233"/>
        <v>23566.391029111579</v>
      </c>
      <c r="V197" s="110">
        <f t="shared" si="233"/>
        <v>20997.991145933025</v>
      </c>
      <c r="W197" s="110">
        <f t="shared" ref="W197:Y209" si="234">IF(W6=0,0,W6*1000000/W60)</f>
        <v>20913.425968579955</v>
      </c>
      <c r="X197" s="110">
        <f t="shared" si="234"/>
        <v>21674.52019348272</v>
      </c>
      <c r="Y197" s="110">
        <f t="shared" si="234"/>
        <v>22017.32473697462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26382.485685885593</v>
      </c>
      <c r="C198" s="84">
        <f t="shared" si="232"/>
        <v>25462.588998422445</v>
      </c>
      <c r="D198" s="84">
        <f t="shared" si="232"/>
        <v>25052.253963748706</v>
      </c>
      <c r="E198" s="84">
        <f t="shared" si="232"/>
        <v>24969.275240994404</v>
      </c>
      <c r="F198" s="84">
        <f t="shared" si="232"/>
        <v>24909.247602293035</v>
      </c>
      <c r="G198" s="84">
        <f t="shared" si="232"/>
        <v>23601.012408619645</v>
      </c>
      <c r="H198" s="84">
        <f t="shared" si="232"/>
        <v>22634.533795746698</v>
      </c>
      <c r="I198" s="84">
        <f t="shared" si="232"/>
        <v>22092.718552279566</v>
      </c>
      <c r="J198" s="84">
        <f t="shared" si="232"/>
        <v>21712.46874433109</v>
      </c>
      <c r="K198" s="84">
        <f t="shared" si="232"/>
        <v>21446.537099110148</v>
      </c>
      <c r="L198" s="84">
        <f t="shared" si="232"/>
        <v>20528.087264807746</v>
      </c>
      <c r="M198" s="84">
        <f t="shared" ref="M198:M219" si="235">IF(M7=0,0,M7*1000000/M61)</f>
        <v>20523.709177177028</v>
      </c>
      <c r="N198" s="84">
        <f t="shared" si="232"/>
        <v>19685.487431408692</v>
      </c>
      <c r="O198" s="84">
        <f t="shared" si="232"/>
        <v>19511.207851459891</v>
      </c>
      <c r="P198" s="84">
        <f t="shared" si="232"/>
        <v>20251.322300320997</v>
      </c>
      <c r="Q198" s="84">
        <f t="shared" si="232"/>
        <v>20496.736460184009</v>
      </c>
      <c r="R198" s="84">
        <f t="shared" si="232"/>
        <v>20910.499708818104</v>
      </c>
      <c r="S198" s="84">
        <f t="shared" si="232"/>
        <v>19670.293759084067</v>
      </c>
      <c r="T198" s="84">
        <f t="shared" si="232"/>
        <v>19059.579089986313</v>
      </c>
      <c r="U198" s="84">
        <f t="shared" si="232"/>
        <v>19253.364839098002</v>
      </c>
      <c r="V198" s="84">
        <f t="shared" si="232"/>
        <v>17436.786033626158</v>
      </c>
      <c r="W198" s="84">
        <f t="shared" si="234"/>
        <v>17640.168302575865</v>
      </c>
      <c r="X198" s="84">
        <f t="shared" si="234"/>
        <v>18377.19547365703</v>
      </c>
      <c r="Y198" s="84">
        <f t="shared" si="234"/>
        <v>19187.685755211576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40473.217027213403</v>
      </c>
      <c r="C199" s="84">
        <f t="shared" si="232"/>
        <v>39445.491661590007</v>
      </c>
      <c r="D199" s="84">
        <f t="shared" si="232"/>
        <v>39100.48187903146</v>
      </c>
      <c r="E199" s="84">
        <f t="shared" si="232"/>
        <v>39897.196244868974</v>
      </c>
      <c r="F199" s="84">
        <f t="shared" si="232"/>
        <v>40582.825489852679</v>
      </c>
      <c r="G199" s="84">
        <f t="shared" si="232"/>
        <v>38369.157619219935</v>
      </c>
      <c r="H199" s="84">
        <f t="shared" si="232"/>
        <v>37188.356172049651</v>
      </c>
      <c r="I199" s="84">
        <f t="shared" si="232"/>
        <v>36288.248679583048</v>
      </c>
      <c r="J199" s="84">
        <f t="shared" si="232"/>
        <v>35848.504910679767</v>
      </c>
      <c r="K199" s="84">
        <f t="shared" si="232"/>
        <v>35252.039933991764</v>
      </c>
      <c r="L199" s="84">
        <f t="shared" si="232"/>
        <v>34093.088187323505</v>
      </c>
      <c r="M199" s="84">
        <f t="shared" si="235"/>
        <v>33844.58260832743</v>
      </c>
      <c r="N199" s="84">
        <f t="shared" si="232"/>
        <v>32931.06767802401</v>
      </c>
      <c r="O199" s="84">
        <f t="shared" si="232"/>
        <v>31332.869749928028</v>
      </c>
      <c r="P199" s="84">
        <f t="shared" si="232"/>
        <v>29402.362254808573</v>
      </c>
      <c r="Q199" s="84">
        <f t="shared" si="232"/>
        <v>30146.417044107307</v>
      </c>
      <c r="R199" s="84">
        <f t="shared" si="232"/>
        <v>33534.359027638609</v>
      </c>
      <c r="S199" s="84">
        <f t="shared" si="232"/>
        <v>33946.309053080171</v>
      </c>
      <c r="T199" s="84">
        <f t="shared" si="232"/>
        <v>33350.619145064826</v>
      </c>
      <c r="U199" s="84">
        <f t="shared" si="232"/>
        <v>33155.536352464187</v>
      </c>
      <c r="V199" s="84">
        <f t="shared" si="232"/>
        <v>29219.937369526255</v>
      </c>
      <c r="W199" s="84">
        <f t="shared" si="234"/>
        <v>29218.508412121962</v>
      </c>
      <c r="X199" s="84">
        <f t="shared" si="234"/>
        <v>30894.989206189159</v>
      </c>
      <c r="Y199" s="84">
        <f t="shared" si="234"/>
        <v>31472.318758906975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34195.970270686019</v>
      </c>
      <c r="C200" s="84">
        <f t="shared" si="232"/>
        <v>32797.901928271691</v>
      </c>
      <c r="D200" s="84">
        <f t="shared" si="232"/>
        <v>30986.481050855957</v>
      </c>
      <c r="E200" s="84">
        <f t="shared" si="232"/>
        <v>30127.495067109281</v>
      </c>
      <c r="F200" s="84">
        <f t="shared" si="232"/>
        <v>29219.587066559703</v>
      </c>
      <c r="G200" s="84">
        <f t="shared" si="232"/>
        <v>26366.795923579099</v>
      </c>
      <c r="H200" s="84">
        <f t="shared" si="232"/>
        <v>24379.574922329659</v>
      </c>
      <c r="I200" s="84">
        <f t="shared" si="232"/>
        <v>22735.239502654822</v>
      </c>
      <c r="J200" s="84">
        <f t="shared" si="232"/>
        <v>21442.335881857409</v>
      </c>
      <c r="K200" s="84">
        <f t="shared" si="232"/>
        <v>20115.987535094198</v>
      </c>
      <c r="L200" s="84">
        <f t="shared" si="232"/>
        <v>0</v>
      </c>
      <c r="M200" s="84">
        <f t="shared" si="235"/>
        <v>0</v>
      </c>
      <c r="N200" s="84">
        <f t="shared" si="232"/>
        <v>0</v>
      </c>
      <c r="O200" s="84">
        <f t="shared" si="232"/>
        <v>0</v>
      </c>
      <c r="P200" s="84">
        <f t="shared" si="232"/>
        <v>0</v>
      </c>
      <c r="Q200" s="84">
        <f t="shared" si="232"/>
        <v>0</v>
      </c>
      <c r="R200" s="84">
        <f t="shared" si="232"/>
        <v>0</v>
      </c>
      <c r="S200" s="84">
        <f t="shared" si="232"/>
        <v>0</v>
      </c>
      <c r="T200" s="84">
        <f t="shared" si="232"/>
        <v>0</v>
      </c>
      <c r="U200" s="84">
        <f t="shared" si="232"/>
        <v>0</v>
      </c>
      <c r="V200" s="84">
        <f t="shared" si="232"/>
        <v>0</v>
      </c>
      <c r="W200" s="84">
        <f t="shared" si="234"/>
        <v>0</v>
      </c>
      <c r="X200" s="84">
        <f t="shared" si="234"/>
        <v>0</v>
      </c>
      <c r="Y200" s="84">
        <f t="shared" si="234"/>
        <v>0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0</v>
      </c>
      <c r="L201" s="84">
        <f t="shared" si="232"/>
        <v>0</v>
      </c>
      <c r="M201" s="84">
        <f t="shared" si="235"/>
        <v>0</v>
      </c>
      <c r="N201" s="84">
        <f t="shared" si="232"/>
        <v>0</v>
      </c>
      <c r="O201" s="84">
        <f t="shared" si="232"/>
        <v>0</v>
      </c>
      <c r="P201" s="84">
        <f t="shared" si="232"/>
        <v>0</v>
      </c>
      <c r="Q201" s="84">
        <f t="shared" si="232"/>
        <v>31945.454629970907</v>
      </c>
      <c r="R201" s="84">
        <f t="shared" si="232"/>
        <v>33397.087690737622</v>
      </c>
      <c r="S201" s="84">
        <f t="shared" si="232"/>
        <v>32027.897782087559</v>
      </c>
      <c r="T201" s="84">
        <f t="shared" si="232"/>
        <v>31147.990278595378</v>
      </c>
      <c r="U201" s="84">
        <f t="shared" si="232"/>
        <v>30628.51862515635</v>
      </c>
      <c r="V201" s="84">
        <f t="shared" si="232"/>
        <v>26785.154484785035</v>
      </c>
      <c r="W201" s="84">
        <f t="shared" si="234"/>
        <v>26649.127166771781</v>
      </c>
      <c r="X201" s="84">
        <f t="shared" si="234"/>
        <v>28468.878483115936</v>
      </c>
      <c r="Y201" s="84">
        <f t="shared" si="234"/>
        <v>28345.395729043128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19745.605488448396</v>
      </c>
      <c r="O202" s="84">
        <f t="shared" si="232"/>
        <v>19522.925614001138</v>
      </c>
      <c r="P202" s="84">
        <f t="shared" si="232"/>
        <v>20123.770049249699</v>
      </c>
      <c r="Q202" s="84">
        <f t="shared" si="232"/>
        <v>21238.195845827646</v>
      </c>
      <c r="R202" s="84">
        <f t="shared" si="232"/>
        <v>20922.635712683466</v>
      </c>
      <c r="S202" s="84">
        <f t="shared" si="232"/>
        <v>19812.286456694881</v>
      </c>
      <c r="T202" s="84">
        <f t="shared" si="232"/>
        <v>19250.270247671509</v>
      </c>
      <c r="U202" s="84">
        <f t="shared" si="232"/>
        <v>19379.523513382443</v>
      </c>
      <c r="V202" s="84">
        <f t="shared" si="232"/>
        <v>17391.05313606534</v>
      </c>
      <c r="W202" s="84">
        <f t="shared" si="234"/>
        <v>17579.962931125363</v>
      </c>
      <c r="X202" s="84">
        <f t="shared" si="234"/>
        <v>18246.962382914076</v>
      </c>
      <c r="Y202" s="84">
        <f t="shared" si="234"/>
        <v>18882.661448769097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19583.54248407319</v>
      </c>
      <c r="L203" s="84">
        <f t="shared" si="232"/>
        <v>19239.596596980238</v>
      </c>
      <c r="M203" s="84">
        <f t="shared" si="235"/>
        <v>18604.869731867886</v>
      </c>
      <c r="N203" s="84">
        <f t="shared" si="232"/>
        <v>18994.984281962261</v>
      </c>
      <c r="O203" s="84">
        <f t="shared" si="232"/>
        <v>18607.579800845655</v>
      </c>
      <c r="P203" s="84">
        <f t="shared" si="232"/>
        <v>18543.157131471864</v>
      </c>
      <c r="Q203" s="84">
        <f t="shared" si="232"/>
        <v>17703.005633032797</v>
      </c>
      <c r="R203" s="84">
        <f t="shared" si="232"/>
        <v>17842.900540901235</v>
      </c>
      <c r="S203" s="84">
        <f t="shared" si="232"/>
        <v>17976.392459960367</v>
      </c>
      <c r="T203" s="84">
        <f t="shared" si="232"/>
        <v>17748.020650642044</v>
      </c>
      <c r="U203" s="84">
        <f t="shared" si="232"/>
        <v>17863.780242482291</v>
      </c>
      <c r="V203" s="84">
        <f t="shared" si="232"/>
        <v>16427.646055378624</v>
      </c>
      <c r="W203" s="84">
        <f t="shared" si="234"/>
        <v>16884.911005972583</v>
      </c>
      <c r="X203" s="84">
        <f t="shared" si="234"/>
        <v>17126.329946412407</v>
      </c>
      <c r="Y203" s="84">
        <f t="shared" si="234"/>
        <v>16822.341894438836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531071.01947308134</v>
      </c>
      <c r="C204" s="110">
        <f t="shared" si="232"/>
        <v>525440.73383975925</v>
      </c>
      <c r="D204" s="110">
        <f t="shared" si="232"/>
        <v>521593.02159302158</v>
      </c>
      <c r="E204" s="110">
        <f t="shared" si="232"/>
        <v>514576.84687234648</v>
      </c>
      <c r="F204" s="110">
        <f t="shared" si="232"/>
        <v>514410.54189274891</v>
      </c>
      <c r="G204" s="110">
        <f t="shared" si="232"/>
        <v>497778.08637689211</v>
      </c>
      <c r="H204" s="110">
        <f t="shared" si="232"/>
        <v>484744.36503573391</v>
      </c>
      <c r="I204" s="110">
        <f t="shared" si="232"/>
        <v>472655.71053721861</v>
      </c>
      <c r="J204" s="110">
        <f t="shared" si="232"/>
        <v>466302.24190423469</v>
      </c>
      <c r="K204" s="110">
        <f t="shared" si="232"/>
        <v>464920.74431426608</v>
      </c>
      <c r="L204" s="110">
        <f t="shared" si="232"/>
        <v>470543.59823399561</v>
      </c>
      <c r="M204" s="110">
        <f t="shared" si="235"/>
        <v>476166.69045240473</v>
      </c>
      <c r="N204" s="110">
        <f t="shared" si="232"/>
        <v>479495.73600296624</v>
      </c>
      <c r="O204" s="110">
        <f t="shared" si="232"/>
        <v>487264.50640542578</v>
      </c>
      <c r="P204" s="110">
        <f t="shared" si="232"/>
        <v>489110.97852028639</v>
      </c>
      <c r="Q204" s="110">
        <f t="shared" si="232"/>
        <v>512216.99170589546</v>
      </c>
      <c r="R204" s="110">
        <f t="shared" si="232"/>
        <v>528444.34477087541</v>
      </c>
      <c r="S204" s="110">
        <f t="shared" si="232"/>
        <v>541462.69099540124</v>
      </c>
      <c r="T204" s="110">
        <f t="shared" si="232"/>
        <v>540203.67837057298</v>
      </c>
      <c r="U204" s="110">
        <f t="shared" si="232"/>
        <v>532877.02837806661</v>
      </c>
      <c r="V204" s="110">
        <f t="shared" si="232"/>
        <v>369734.91624654416</v>
      </c>
      <c r="W204" s="110">
        <f t="shared" si="234"/>
        <v>405434.87377337908</v>
      </c>
      <c r="X204" s="110">
        <f t="shared" si="234"/>
        <v>720312.91201546986</v>
      </c>
      <c r="Y204" s="110">
        <f t="shared" si="234"/>
        <v>725032.4254215305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289409.80773103051</v>
      </c>
      <c r="C205" s="102">
        <f t="shared" si="232"/>
        <v>293544.85471599823</v>
      </c>
      <c r="D205" s="102">
        <f t="shared" si="232"/>
        <v>294401.02045709675</v>
      </c>
      <c r="E205" s="102">
        <f t="shared" si="232"/>
        <v>294507.43825993239</v>
      </c>
      <c r="F205" s="102">
        <f t="shared" si="232"/>
        <v>294804.56565606379</v>
      </c>
      <c r="G205" s="102">
        <f t="shared" si="232"/>
        <v>301113.65516997187</v>
      </c>
      <c r="H205" s="102">
        <f t="shared" si="232"/>
        <v>309437.15833866916</v>
      </c>
      <c r="I205" s="102">
        <f t="shared" si="232"/>
        <v>314721.50853107305</v>
      </c>
      <c r="J205" s="102">
        <f t="shared" si="232"/>
        <v>326113.05492490839</v>
      </c>
      <c r="K205" s="102">
        <f t="shared" si="232"/>
        <v>323343.49286394572</v>
      </c>
      <c r="L205" s="102">
        <f t="shared" si="232"/>
        <v>323159.79389324534</v>
      </c>
      <c r="M205" s="102">
        <f t="shared" si="235"/>
        <v>322811.97065210633</v>
      </c>
      <c r="N205" s="102">
        <f t="shared" si="232"/>
        <v>323207.36631590506</v>
      </c>
      <c r="O205" s="102">
        <f t="shared" si="232"/>
        <v>324173.13539361459</v>
      </c>
      <c r="P205" s="102">
        <f t="shared" si="232"/>
        <v>324441.28336890857</v>
      </c>
      <c r="Q205" s="102">
        <f t="shared" si="232"/>
        <v>325433.05714432063</v>
      </c>
      <c r="R205" s="102">
        <f t="shared" si="232"/>
        <v>329065.98785892321</v>
      </c>
      <c r="S205" s="102">
        <f t="shared" si="232"/>
        <v>332651.77536610013</v>
      </c>
      <c r="T205" s="102">
        <f t="shared" si="232"/>
        <v>330798.22852198029</v>
      </c>
      <c r="U205" s="102">
        <f t="shared" si="232"/>
        <v>318766.45168405882</v>
      </c>
      <c r="V205" s="102">
        <f t="shared" si="232"/>
        <v>322289.85464998096</v>
      </c>
      <c r="W205" s="102">
        <f t="shared" si="234"/>
        <v>327406.00230673084</v>
      </c>
      <c r="X205" s="102">
        <f t="shared" si="234"/>
        <v>349957.55702437356</v>
      </c>
      <c r="Y205" s="102">
        <f t="shared" si="234"/>
        <v>361007.00058799982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562091.2687224648</v>
      </c>
      <c r="C206" s="102">
        <f t="shared" si="232"/>
        <v>555241.1828432089</v>
      </c>
      <c r="D206" s="102">
        <f t="shared" si="232"/>
        <v>550465.75797720673</v>
      </c>
      <c r="E206" s="102">
        <f t="shared" si="232"/>
        <v>531389.21771843161</v>
      </c>
      <c r="F206" s="102">
        <f t="shared" si="232"/>
        <v>527965.45214228239</v>
      </c>
      <c r="G206" s="102">
        <f t="shared" si="232"/>
        <v>508764.76501176547</v>
      </c>
      <c r="H206" s="102">
        <f t="shared" si="232"/>
        <v>494230.38339159824</v>
      </c>
      <c r="I206" s="102">
        <f t="shared" si="232"/>
        <v>480882.28684222454</v>
      </c>
      <c r="J206" s="102">
        <f t="shared" si="232"/>
        <v>473427.39581236738</v>
      </c>
      <c r="K206" s="102">
        <f t="shared" si="232"/>
        <v>471871.142241731</v>
      </c>
      <c r="L206" s="102">
        <f t="shared" si="232"/>
        <v>477540.57485455147</v>
      </c>
      <c r="M206" s="102">
        <f t="shared" si="235"/>
        <v>483493.31968249008</v>
      </c>
      <c r="N206" s="102">
        <f t="shared" si="232"/>
        <v>487053.17718662112</v>
      </c>
      <c r="O206" s="102">
        <f t="shared" si="232"/>
        <v>495827.83822727058</v>
      </c>
      <c r="P206" s="102">
        <f t="shared" si="232"/>
        <v>496757.78009798646</v>
      </c>
      <c r="Q206" s="102">
        <f t="shared" si="232"/>
        <v>519377.70793166204</v>
      </c>
      <c r="R206" s="102">
        <f t="shared" si="232"/>
        <v>534641.99466782983</v>
      </c>
      <c r="S206" s="102">
        <f t="shared" si="232"/>
        <v>545912.336284713</v>
      </c>
      <c r="T206" s="102">
        <f t="shared" si="232"/>
        <v>544124.41625664278</v>
      </c>
      <c r="U206" s="102">
        <f t="shared" si="232"/>
        <v>536654.69511871389</v>
      </c>
      <c r="V206" s="102">
        <f t="shared" si="232"/>
        <v>369536.09110726957</v>
      </c>
      <c r="W206" s="102">
        <f t="shared" si="234"/>
        <v>406970.58970887261</v>
      </c>
      <c r="X206" s="102">
        <f t="shared" si="234"/>
        <v>735501.74727519066</v>
      </c>
      <c r="Y206" s="102">
        <f t="shared" si="234"/>
        <v>754059.90208146896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0</v>
      </c>
      <c r="S207" s="102">
        <f t="shared" si="232"/>
        <v>0</v>
      </c>
      <c r="T207" s="102">
        <f t="shared" si="232"/>
        <v>0</v>
      </c>
      <c r="U207" s="102">
        <f t="shared" si="232"/>
        <v>0</v>
      </c>
      <c r="V207" s="102">
        <f t="shared" si="232"/>
        <v>0</v>
      </c>
      <c r="W207" s="102">
        <f t="shared" si="234"/>
        <v>0</v>
      </c>
      <c r="X207" s="102">
        <f t="shared" si="234"/>
        <v>0</v>
      </c>
      <c r="Y207" s="102">
        <f t="shared" si="234"/>
        <v>0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0</v>
      </c>
      <c r="G208" s="102">
        <f t="shared" si="232"/>
        <v>0</v>
      </c>
      <c r="H208" s="102">
        <f t="shared" si="232"/>
        <v>0</v>
      </c>
      <c r="I208" s="102">
        <f t="shared" si="232"/>
        <v>0</v>
      </c>
      <c r="J208" s="102">
        <f t="shared" si="232"/>
        <v>0</v>
      </c>
      <c r="K208" s="102">
        <f t="shared" si="232"/>
        <v>0</v>
      </c>
      <c r="L208" s="102">
        <f t="shared" si="232"/>
        <v>0</v>
      </c>
      <c r="M208" s="102">
        <f t="shared" si="235"/>
        <v>0</v>
      </c>
      <c r="N208" s="102">
        <f t="shared" si="232"/>
        <v>0</v>
      </c>
      <c r="O208" s="102">
        <f t="shared" si="232"/>
        <v>0</v>
      </c>
      <c r="P208" s="102">
        <f t="shared" si="232"/>
        <v>0</v>
      </c>
      <c r="Q208" s="102">
        <f t="shared" si="232"/>
        <v>724373.31450954638</v>
      </c>
      <c r="R208" s="102">
        <f t="shared" si="232"/>
        <v>745854.53535879788</v>
      </c>
      <c r="S208" s="102">
        <f t="shared" si="232"/>
        <v>762873.59151823737</v>
      </c>
      <c r="T208" s="102">
        <f t="shared" si="232"/>
        <v>759912.38478817348</v>
      </c>
      <c r="U208" s="102">
        <f t="shared" si="232"/>
        <v>748554.12619924382</v>
      </c>
      <c r="V208" s="102">
        <f t="shared" si="232"/>
        <v>515250.35045405448</v>
      </c>
      <c r="W208" s="102">
        <f t="shared" si="234"/>
        <v>565793.71301715448</v>
      </c>
      <c r="X208" s="102">
        <f t="shared" si="234"/>
        <v>1013931.5764530766</v>
      </c>
      <c r="Y208" s="102">
        <f t="shared" si="234"/>
        <v>1019641.5497013967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0</v>
      </c>
      <c r="K209" s="102">
        <f t="shared" si="232"/>
        <v>0</v>
      </c>
      <c r="L209" s="102">
        <f t="shared" si="232"/>
        <v>0</v>
      </c>
      <c r="M209" s="102">
        <f t="shared" si="235"/>
        <v>0</v>
      </c>
      <c r="N209" s="102">
        <f t="shared" si="232"/>
        <v>0</v>
      </c>
      <c r="O209" s="102">
        <f t="shared" si="232"/>
        <v>0</v>
      </c>
      <c r="P209" s="102">
        <f t="shared" si="232"/>
        <v>0</v>
      </c>
      <c r="Q209" s="102">
        <f t="shared" si="232"/>
        <v>0</v>
      </c>
      <c r="R209" s="102">
        <f t="shared" si="232"/>
        <v>524784.18011074245</v>
      </c>
      <c r="S209" s="102">
        <f t="shared" si="232"/>
        <v>520001.58940595441</v>
      </c>
      <c r="T209" s="102">
        <f t="shared" si="232"/>
        <v>509799.82467308297</v>
      </c>
      <c r="U209" s="102">
        <f t="shared" si="232"/>
        <v>510053.88863613713</v>
      </c>
      <c r="V209" s="102">
        <f t="shared" si="232"/>
        <v>320643.93003536639</v>
      </c>
      <c r="W209" s="102">
        <f t="shared" si="234"/>
        <v>353013.18739106308</v>
      </c>
      <c r="X209" s="102">
        <f t="shared" si="234"/>
        <v>598593.8339615959</v>
      </c>
      <c r="Y209" s="102">
        <f t="shared" si="234"/>
        <v>569596.28297278669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42396.62384744615</v>
      </c>
      <c r="C210" s="28">
        <f t="shared" si="232"/>
        <v>42101.61048242369</v>
      </c>
      <c r="D210" s="28">
        <f t="shared" si="232"/>
        <v>42272.986180411521</v>
      </c>
      <c r="E210" s="28">
        <f t="shared" si="232"/>
        <v>41411.484809628913</v>
      </c>
      <c r="F210" s="28">
        <f t="shared" ref="B210:V219" si="236">IF(F19=0,0,F19*1000000/F73)</f>
        <v>40120.538610866599</v>
      </c>
      <c r="G210" s="28">
        <f t="shared" si="236"/>
        <v>38969.23027254123</v>
      </c>
      <c r="H210" s="28">
        <f t="shared" si="236"/>
        <v>37902.725179006397</v>
      </c>
      <c r="I210" s="28">
        <f t="shared" si="236"/>
        <v>37504.668958925846</v>
      </c>
      <c r="J210" s="28">
        <f t="shared" si="236"/>
        <v>38775.148925981128</v>
      </c>
      <c r="K210" s="28">
        <f t="shared" si="236"/>
        <v>36449.139201304257</v>
      </c>
      <c r="L210" s="28">
        <f t="shared" si="236"/>
        <v>38591.940889834943</v>
      </c>
      <c r="M210" s="28">
        <f t="shared" si="235"/>
        <v>42113.446413245721</v>
      </c>
      <c r="N210" s="28">
        <f t="shared" si="236"/>
        <v>43053.05167227472</v>
      </c>
      <c r="O210" s="28">
        <f t="shared" si="236"/>
        <v>45863.810185893162</v>
      </c>
      <c r="P210" s="28">
        <f t="shared" si="236"/>
        <v>46783.489561405506</v>
      </c>
      <c r="Q210" s="28">
        <f t="shared" si="236"/>
        <v>46188.328770367203</v>
      </c>
      <c r="R210" s="28">
        <f t="shared" si="236"/>
        <v>49221.445968457585</v>
      </c>
      <c r="S210" s="28">
        <f t="shared" si="236"/>
        <v>48821.771970548551</v>
      </c>
      <c r="T210" s="28">
        <f t="shared" si="236"/>
        <v>47183.773020249326</v>
      </c>
      <c r="U210" s="28">
        <f t="shared" si="236"/>
        <v>48436.893582587778</v>
      </c>
      <c r="V210" s="28">
        <f t="shared" si="236"/>
        <v>50404.981397829251</v>
      </c>
      <c r="W210" s="28">
        <f t="shared" ref="W210:Y210" si="237">IF(W19=0,0,W19*1000000/W73)</f>
        <v>52086.209447777044</v>
      </c>
      <c r="X210" s="28">
        <f t="shared" si="237"/>
        <v>53338.938694531993</v>
      </c>
      <c r="Y210" s="28">
        <f t="shared" si="237"/>
        <v>55883.715170903241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2636.5572278163577</v>
      </c>
      <c r="C211" s="137">
        <f t="shared" si="236"/>
        <v>2782.6445800406996</v>
      </c>
      <c r="D211" s="137">
        <f t="shared" si="236"/>
        <v>2845.7527705527677</v>
      </c>
      <c r="E211" s="137">
        <f t="shared" si="236"/>
        <v>2987.9110263587868</v>
      </c>
      <c r="F211" s="137">
        <f t="shared" si="236"/>
        <v>3144.9176389130103</v>
      </c>
      <c r="G211" s="137">
        <f t="shared" si="236"/>
        <v>3195.8524204601194</v>
      </c>
      <c r="H211" s="137">
        <f t="shared" si="236"/>
        <v>3266.7972002429406</v>
      </c>
      <c r="I211" s="137">
        <f t="shared" si="236"/>
        <v>3446.8978451578973</v>
      </c>
      <c r="J211" s="137">
        <f t="shared" si="236"/>
        <v>3507.812410633675</v>
      </c>
      <c r="K211" s="137">
        <f t="shared" si="236"/>
        <v>3459.124825562264</v>
      </c>
      <c r="L211" s="137">
        <f t="shared" si="236"/>
        <v>3511.4787878028224</v>
      </c>
      <c r="M211" s="137">
        <f t="shared" si="235"/>
        <v>3314.2814956477955</v>
      </c>
      <c r="N211" s="137">
        <f t="shared" si="236"/>
        <v>3147.7923718956508</v>
      </c>
      <c r="O211" s="137">
        <f t="shared" si="236"/>
        <v>3098.4227591799313</v>
      </c>
      <c r="P211" s="137">
        <f t="shared" si="236"/>
        <v>3034.5184056178105</v>
      </c>
      <c r="Q211" s="137">
        <f t="shared" si="236"/>
        <v>3062.4106744707578</v>
      </c>
      <c r="R211" s="137">
        <f t="shared" si="236"/>
        <v>3074.2050538239855</v>
      </c>
      <c r="S211" s="137">
        <f t="shared" si="236"/>
        <v>3155.4075676481089</v>
      </c>
      <c r="T211" s="137">
        <f t="shared" si="236"/>
        <v>3266.7171483700276</v>
      </c>
      <c r="U211" s="137">
        <f t="shared" si="236"/>
        <v>3249.3184389884514</v>
      </c>
      <c r="V211" s="137">
        <f t="shared" si="236"/>
        <v>3098.9224999424559</v>
      </c>
      <c r="W211" s="137">
        <f t="shared" ref="W211:Y211" si="238">IF(W20=0,0,W20*1000000/W74)</f>
        <v>3180.6877105252593</v>
      </c>
      <c r="X211" s="137">
        <f t="shared" si="238"/>
        <v>3381.4250123111037</v>
      </c>
      <c r="Y211" s="137">
        <f t="shared" si="238"/>
        <v>3429.9314829699324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1951.4822516849611</v>
      </c>
      <c r="C212" s="84">
        <f t="shared" si="236"/>
        <v>2147.6855562295468</v>
      </c>
      <c r="D212" s="84">
        <f t="shared" si="236"/>
        <v>2144.9897442767974</v>
      </c>
      <c r="E212" s="84">
        <f t="shared" si="236"/>
        <v>2072.5885886178121</v>
      </c>
      <c r="F212" s="84">
        <f t="shared" si="236"/>
        <v>2084.6230719198338</v>
      </c>
      <c r="G212" s="84">
        <f t="shared" si="236"/>
        <v>2059.1870781761095</v>
      </c>
      <c r="H212" s="84">
        <f t="shared" si="236"/>
        <v>1999.6310470289022</v>
      </c>
      <c r="I212" s="84">
        <f t="shared" si="236"/>
        <v>2098.793564554911</v>
      </c>
      <c r="J212" s="84">
        <f t="shared" si="236"/>
        <v>2030.5781672454154</v>
      </c>
      <c r="K212" s="84">
        <f t="shared" si="236"/>
        <v>1982.264274275344</v>
      </c>
      <c r="L212" s="84">
        <f t="shared" si="236"/>
        <v>1970.1782736106238</v>
      </c>
      <c r="M212" s="84">
        <f t="shared" si="235"/>
        <v>1812.3172646514806</v>
      </c>
      <c r="N212" s="84">
        <f t="shared" si="236"/>
        <v>1692.2322564540898</v>
      </c>
      <c r="O212" s="84">
        <f t="shared" si="236"/>
        <v>1717.5035667086424</v>
      </c>
      <c r="P212" s="84">
        <f t="shared" si="236"/>
        <v>1782.4868791710969</v>
      </c>
      <c r="Q212" s="84">
        <f t="shared" si="236"/>
        <v>1908.3718959187966</v>
      </c>
      <c r="R212" s="84">
        <f t="shared" si="236"/>
        <v>1961.3312789359231</v>
      </c>
      <c r="S212" s="84">
        <f t="shared" si="236"/>
        <v>2043.8447623386448</v>
      </c>
      <c r="T212" s="84">
        <f t="shared" si="236"/>
        <v>2071.0349350910483</v>
      </c>
      <c r="U212" s="84">
        <f t="shared" si="236"/>
        <v>2140.114120494874</v>
      </c>
      <c r="V212" s="84">
        <f t="shared" si="236"/>
        <v>2087.815117029485</v>
      </c>
      <c r="W212" s="84">
        <f t="shared" ref="W212:Y212" si="239">IF(W21=0,0,W21*1000000/W75)</f>
        <v>2263.7888061226436</v>
      </c>
      <c r="X212" s="84">
        <f t="shared" si="239"/>
        <v>2360.5774429262324</v>
      </c>
      <c r="Y212" s="84">
        <f t="shared" si="239"/>
        <v>2397.6928382417323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2819.0043728014984</v>
      </c>
      <c r="C213" s="84">
        <f t="shared" si="236"/>
        <v>2948.0055531916692</v>
      </c>
      <c r="D213" s="84">
        <f t="shared" si="236"/>
        <v>3022.8623555525796</v>
      </c>
      <c r="E213" s="84">
        <f t="shared" si="236"/>
        <v>3210.2970071988484</v>
      </c>
      <c r="F213" s="84">
        <f t="shared" si="236"/>
        <v>3384.5993152234387</v>
      </c>
      <c r="G213" s="84">
        <f t="shared" si="236"/>
        <v>3432.0935189701022</v>
      </c>
      <c r="H213" s="84">
        <f t="shared" si="236"/>
        <v>3509.4897546950961</v>
      </c>
      <c r="I213" s="84">
        <f t="shared" si="236"/>
        <v>3664.7571042436703</v>
      </c>
      <c r="J213" s="84">
        <f t="shared" si="236"/>
        <v>3730.0638213440589</v>
      </c>
      <c r="K213" s="84">
        <f t="shared" si="236"/>
        <v>3671.9846833862234</v>
      </c>
      <c r="L213" s="84">
        <f t="shared" si="236"/>
        <v>3718.8449434884469</v>
      </c>
      <c r="M213" s="84">
        <f t="shared" si="235"/>
        <v>3510.0730364230153</v>
      </c>
      <c r="N213" s="84">
        <f t="shared" si="236"/>
        <v>3322.9523526372241</v>
      </c>
      <c r="O213" s="84">
        <f t="shared" si="236"/>
        <v>3252.5397711701889</v>
      </c>
      <c r="P213" s="84">
        <f t="shared" si="236"/>
        <v>3159.3485856086077</v>
      </c>
      <c r="Q213" s="84">
        <f t="shared" si="236"/>
        <v>3164.8297904205779</v>
      </c>
      <c r="R213" s="84">
        <f t="shared" si="236"/>
        <v>3167.7630942784685</v>
      </c>
      <c r="S213" s="84">
        <f t="shared" si="236"/>
        <v>3243.7501184659368</v>
      </c>
      <c r="T213" s="84">
        <f t="shared" si="236"/>
        <v>3356.1293698640975</v>
      </c>
      <c r="U213" s="84">
        <f t="shared" si="236"/>
        <v>3328.5710680843431</v>
      </c>
      <c r="V213" s="84">
        <f t="shared" si="236"/>
        <v>3170.2958947921466</v>
      </c>
      <c r="W213" s="84">
        <f t="shared" ref="W213:Y213" si="240">IF(W22=0,0,W22*1000000/W76)</f>
        <v>3249.1376687456336</v>
      </c>
      <c r="X213" s="84">
        <f t="shared" si="240"/>
        <v>3464.9759845333501</v>
      </c>
      <c r="Y213" s="84">
        <f t="shared" si="240"/>
        <v>3522.4900546039116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0</v>
      </c>
      <c r="O214" s="84">
        <f t="shared" si="236"/>
        <v>0</v>
      </c>
      <c r="P214" s="84">
        <f t="shared" si="236"/>
        <v>0</v>
      </c>
      <c r="Q214" s="84">
        <f t="shared" si="236"/>
        <v>0</v>
      </c>
      <c r="R214" s="84">
        <f t="shared" si="236"/>
        <v>0</v>
      </c>
      <c r="S214" s="84">
        <f t="shared" si="236"/>
        <v>0</v>
      </c>
      <c r="T214" s="84">
        <f t="shared" si="236"/>
        <v>0</v>
      </c>
      <c r="U214" s="84">
        <f t="shared" si="236"/>
        <v>0</v>
      </c>
      <c r="V214" s="84">
        <f t="shared" si="236"/>
        <v>0</v>
      </c>
      <c r="W214" s="84">
        <f t="shared" ref="W214:Y214" si="241">IF(W23=0,0,W23*1000000/W77)</f>
        <v>0</v>
      </c>
      <c r="X214" s="84">
        <f t="shared" si="241"/>
        <v>0</v>
      </c>
      <c r="Y214" s="84">
        <f t="shared" si="241"/>
        <v>0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0</v>
      </c>
      <c r="O215" s="84">
        <f t="shared" si="236"/>
        <v>0</v>
      </c>
      <c r="P215" s="84">
        <f t="shared" si="236"/>
        <v>0</v>
      </c>
      <c r="Q215" s="84">
        <f t="shared" si="236"/>
        <v>1590.6500792873376</v>
      </c>
      <c r="R215" s="84">
        <f t="shared" si="236"/>
        <v>1602.2511255301852</v>
      </c>
      <c r="S215" s="84">
        <f t="shared" si="236"/>
        <v>1575.2120422233279</v>
      </c>
      <c r="T215" s="84">
        <f t="shared" si="236"/>
        <v>1569.6441736368167</v>
      </c>
      <c r="U215" s="84">
        <f t="shared" si="236"/>
        <v>1557.7090239781858</v>
      </c>
      <c r="V215" s="84">
        <f t="shared" si="236"/>
        <v>1498.0087931502255</v>
      </c>
      <c r="W215" s="84">
        <f t="shared" ref="W215:Y215" si="242">IF(W24=0,0,W24*1000000/W78)</f>
        <v>1551.5467765444353</v>
      </c>
      <c r="X215" s="84">
        <f t="shared" si="242"/>
        <v>1606.2717473313235</v>
      </c>
      <c r="Y215" s="84">
        <f t="shared" si="242"/>
        <v>1618.9669216582088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0</v>
      </c>
      <c r="N216" s="84">
        <f t="shared" si="236"/>
        <v>2348.3436784731748</v>
      </c>
      <c r="O216" s="84">
        <f t="shared" si="236"/>
        <v>2358.5499389085417</v>
      </c>
      <c r="P216" s="84">
        <f t="shared" si="236"/>
        <v>2358.8214866902267</v>
      </c>
      <c r="Q216" s="84">
        <f t="shared" si="236"/>
        <v>2359.2638169561051</v>
      </c>
      <c r="R216" s="84">
        <f t="shared" si="236"/>
        <v>2357.4942148610885</v>
      </c>
      <c r="S216" s="84">
        <f t="shared" si="236"/>
        <v>2356.4567491405883</v>
      </c>
      <c r="T216" s="84">
        <f t="shared" si="236"/>
        <v>2355.9370774208282</v>
      </c>
      <c r="U216" s="84">
        <f t="shared" si="236"/>
        <v>2355.8900188005114</v>
      </c>
      <c r="V216" s="84">
        <f t="shared" si="236"/>
        <v>2302.7307091258585</v>
      </c>
      <c r="W216" s="84">
        <f t="shared" ref="W216:Y216" si="243">IF(W25=0,0,W25*1000000/W79)</f>
        <v>2354.491136821528</v>
      </c>
      <c r="X216" s="84">
        <f t="shared" si="243"/>
        <v>2349.6097791028328</v>
      </c>
      <c r="Y216" s="84">
        <f t="shared" si="243"/>
        <v>2347.7777171270222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380786.83131019166</v>
      </c>
      <c r="C217" s="110">
        <f t="shared" si="236"/>
        <v>368697.38567962602</v>
      </c>
      <c r="D217" s="110">
        <f t="shared" si="236"/>
        <v>367160.19203132525</v>
      </c>
      <c r="E217" s="110">
        <f t="shared" si="236"/>
        <v>362378.93428119126</v>
      </c>
      <c r="F217" s="110">
        <f t="shared" si="236"/>
        <v>352473.74113264569</v>
      </c>
      <c r="G217" s="110">
        <f t="shared" si="236"/>
        <v>326224.0943621131</v>
      </c>
      <c r="H217" s="110">
        <f t="shared" si="236"/>
        <v>329421.83940903901</v>
      </c>
      <c r="I217" s="110">
        <f t="shared" si="236"/>
        <v>308656.50581607968</v>
      </c>
      <c r="J217" s="110">
        <f t="shared" si="236"/>
        <v>316797.89094677701</v>
      </c>
      <c r="K217" s="110">
        <f t="shared" si="236"/>
        <v>308327.0736893788</v>
      </c>
      <c r="L217" s="110">
        <f t="shared" si="236"/>
        <v>317085.60313240811</v>
      </c>
      <c r="M217" s="110">
        <f t="shared" si="235"/>
        <v>347337.19820270257</v>
      </c>
      <c r="N217" s="110">
        <f t="shared" si="236"/>
        <v>355372.14622882946</v>
      </c>
      <c r="O217" s="110">
        <f t="shared" si="236"/>
        <v>371841.62642271939</v>
      </c>
      <c r="P217" s="110">
        <f t="shared" si="236"/>
        <v>380223.75932697626</v>
      </c>
      <c r="Q217" s="110">
        <f t="shared" si="236"/>
        <v>427713.31587574503</v>
      </c>
      <c r="R217" s="110">
        <f t="shared" si="236"/>
        <v>445015.18927882856</v>
      </c>
      <c r="S217" s="110">
        <f t="shared" si="236"/>
        <v>434113.33604286774</v>
      </c>
      <c r="T217" s="110">
        <f t="shared" si="236"/>
        <v>413679.31603419827</v>
      </c>
      <c r="U217" s="110">
        <f t="shared" si="236"/>
        <v>413105.77596637583</v>
      </c>
      <c r="V217" s="110">
        <f t="shared" si="236"/>
        <v>424193.4468210155</v>
      </c>
      <c r="W217" s="110">
        <f t="shared" ref="W217:Y217" si="244">IF(W26=0,0,W26*1000000/W80)</f>
        <v>426739.96430842445</v>
      </c>
      <c r="X217" s="110">
        <f t="shared" si="244"/>
        <v>423446.28753578465</v>
      </c>
      <c r="Y217" s="110">
        <f t="shared" si="244"/>
        <v>434868.15415821504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302738.4064951149</v>
      </c>
      <c r="C218" s="163">
        <f t="shared" si="236"/>
        <v>287377.25688945199</v>
      </c>
      <c r="D218" s="163">
        <f t="shared" si="236"/>
        <v>283215.0815809021</v>
      </c>
      <c r="E218" s="163">
        <f t="shared" si="236"/>
        <v>278038.6810079281</v>
      </c>
      <c r="F218" s="163">
        <f t="shared" si="236"/>
        <v>257401.0747435271</v>
      </c>
      <c r="G218" s="163">
        <f t="shared" si="236"/>
        <v>237077.37495444118</v>
      </c>
      <c r="H218" s="163">
        <f t="shared" si="236"/>
        <v>236854.03445149591</v>
      </c>
      <c r="I218" s="163">
        <f t="shared" si="236"/>
        <v>218187.19721903777</v>
      </c>
      <c r="J218" s="163">
        <f t="shared" si="236"/>
        <v>203088.58360966368</v>
      </c>
      <c r="K218" s="163">
        <f t="shared" si="236"/>
        <v>204372.70126685739</v>
      </c>
      <c r="L218" s="163">
        <f t="shared" si="236"/>
        <v>216451.36855896984</v>
      </c>
      <c r="M218" s="163">
        <f t="shared" si="235"/>
        <v>251853.55841327022</v>
      </c>
      <c r="N218" s="163">
        <f t="shared" si="236"/>
        <v>261454.0349683073</v>
      </c>
      <c r="O218" s="163">
        <f t="shared" si="236"/>
        <v>265644.70537073276</v>
      </c>
      <c r="P218" s="163">
        <f t="shared" si="236"/>
        <v>282228.52158744005</v>
      </c>
      <c r="Q218" s="163">
        <f t="shared" si="236"/>
        <v>319840.74319840746</v>
      </c>
      <c r="R218" s="163">
        <f t="shared" si="236"/>
        <v>326717.28942686011</v>
      </c>
      <c r="S218" s="163">
        <f t="shared" si="236"/>
        <v>311666.74926896964</v>
      </c>
      <c r="T218" s="163">
        <f t="shared" si="236"/>
        <v>297011.43770753907</v>
      </c>
      <c r="U218" s="163">
        <f t="shared" si="236"/>
        <v>296671.1376661383</v>
      </c>
      <c r="V218" s="163">
        <f t="shared" si="236"/>
        <v>302469.58726443845</v>
      </c>
      <c r="W218" s="163">
        <f t="shared" ref="W218:Y218" si="245">IF(W27=0,0,W27*1000000/W81)</f>
        <v>305534.44180522568</v>
      </c>
      <c r="X218" s="163">
        <f t="shared" si="245"/>
        <v>300527.77908675367</v>
      </c>
      <c r="Y218" s="163">
        <f t="shared" si="245"/>
        <v>324438.33317796217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1211938.5064730914</v>
      </c>
      <c r="C219" s="86">
        <f t="shared" si="236"/>
        <v>1210887.5877263597</v>
      </c>
      <c r="D219" s="86">
        <f t="shared" si="236"/>
        <v>1218628.3804166121</v>
      </c>
      <c r="E219" s="86">
        <f t="shared" si="236"/>
        <v>1211484.1887653959</v>
      </c>
      <c r="F219" s="86">
        <f t="shared" si="236"/>
        <v>1189342.1483505587</v>
      </c>
      <c r="G219" s="86">
        <f t="shared" si="236"/>
        <v>1189969.5105091927</v>
      </c>
      <c r="H219" s="86">
        <f t="shared" si="236"/>
        <v>1197537.918674639</v>
      </c>
      <c r="I219" s="86">
        <f t="shared" si="236"/>
        <v>1199707.5252196898</v>
      </c>
      <c r="J219" s="86">
        <f t="shared" si="236"/>
        <v>1182744.3115407387</v>
      </c>
      <c r="K219" s="86">
        <f t="shared" si="236"/>
        <v>1167271.3563769015</v>
      </c>
      <c r="L219" s="86">
        <f t="shared" si="236"/>
        <v>1205194.0866389559</v>
      </c>
      <c r="M219" s="86">
        <f t="shared" si="235"/>
        <v>1201235.2812493846</v>
      </c>
      <c r="N219" s="86">
        <f t="shared" si="236"/>
        <v>1197375.5945129998</v>
      </c>
      <c r="O219" s="86">
        <f t="shared" si="236"/>
        <v>1198936.698256905</v>
      </c>
      <c r="P219" s="86">
        <f t="shared" si="236"/>
        <v>1201657.0626965852</v>
      </c>
      <c r="Q219" s="86">
        <f t="shared" si="236"/>
        <v>1190511.2120395133</v>
      </c>
      <c r="R219" s="86">
        <f t="shared" si="236"/>
        <v>1184316.8490741455</v>
      </c>
      <c r="S219" s="86">
        <f t="shared" si="236"/>
        <v>1191038.8205210972</v>
      </c>
      <c r="T219" s="86">
        <f t="shared" si="236"/>
        <v>1202361.1572996343</v>
      </c>
      <c r="U219" s="86">
        <f t="shared" si="236"/>
        <v>1195281.7824377457</v>
      </c>
      <c r="V219" s="86">
        <f t="shared" si="236"/>
        <v>1178193.8991241318</v>
      </c>
      <c r="W219" s="86">
        <f t="shared" ref="W219:Y219" si="246">IF(W28=0,0,W28*1000000/W82)</f>
        <v>1193955.7961208841</v>
      </c>
      <c r="X219" s="86">
        <f t="shared" si="246"/>
        <v>1189399.5008075172</v>
      </c>
      <c r="Y219" s="86">
        <f t="shared" si="246"/>
        <v>1176157.6971214018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1.053796262205905E-2</v>
      </c>
      <c r="C223" s="154">
        <f t="shared" si="251"/>
        <v>1.0196167179488184E-2</v>
      </c>
      <c r="D223" s="154">
        <f t="shared" si="251"/>
        <v>1.0632677209764265E-2</v>
      </c>
      <c r="E223" s="154">
        <f t="shared" si="251"/>
        <v>1.0701320708362293E-2</v>
      </c>
      <c r="F223" s="154">
        <f t="shared" si="251"/>
        <v>1.0528791511089947E-2</v>
      </c>
      <c r="G223" s="154">
        <f t="shared" si="251"/>
        <v>1.0977452099291284E-2</v>
      </c>
      <c r="H223" s="154">
        <f t="shared" si="251"/>
        <v>1.1604853377242213E-2</v>
      </c>
      <c r="I223" s="154">
        <f t="shared" si="251"/>
        <v>1.2216313860062819E-2</v>
      </c>
      <c r="J223" s="154">
        <f t="shared" si="251"/>
        <v>1.2094027659582342E-2</v>
      </c>
      <c r="K223" s="154">
        <f t="shared" si="251"/>
        <v>1.1571468687803553E-2</v>
      </c>
      <c r="L223" s="154">
        <f t="shared" ref="L223" si="252">IF(L5=0,0,L5/L$4)</f>
        <v>1.1601786802753261E-2</v>
      </c>
      <c r="M223" s="154">
        <f t="shared" ref="M223:V223" si="253">IF(M5=0,0,M5/M$4)</f>
        <v>1.1302444929421108E-2</v>
      </c>
      <c r="N223" s="154">
        <f t="shared" si="253"/>
        <v>1.1417963666261948E-2</v>
      </c>
      <c r="O223" s="154">
        <f t="shared" si="253"/>
        <v>1.1518526343990344E-2</v>
      </c>
      <c r="P223" s="154">
        <f t="shared" si="253"/>
        <v>1.1458194395601478E-2</v>
      </c>
      <c r="Q223" s="154">
        <f t="shared" si="253"/>
        <v>1.1081805195638283E-2</v>
      </c>
      <c r="R223" s="154">
        <f t="shared" si="253"/>
        <v>1.0650840032392079E-2</v>
      </c>
      <c r="S223" s="154">
        <f t="shared" si="253"/>
        <v>9.8253934476604399E-3</v>
      </c>
      <c r="T223" s="154">
        <f t="shared" si="253"/>
        <v>9.201335520246684E-3</v>
      </c>
      <c r="U223" s="154">
        <f t="shared" si="253"/>
        <v>9.4613753752755773E-3</v>
      </c>
      <c r="V223" s="154">
        <f t="shared" si="253"/>
        <v>9.4215947388338883E-3</v>
      </c>
      <c r="W223" s="154">
        <f t="shared" ref="W223:Y223" si="254">IF(W5=0,0,W5/W$4)</f>
        <v>9.3807291866894807E-3</v>
      </c>
      <c r="X223" s="154">
        <f t="shared" si="254"/>
        <v>8.8455555278864392E-3</v>
      </c>
      <c r="Y223" s="154">
        <f t="shared" si="254"/>
        <v>9.3062326973511814E-3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0.86298521568563535</v>
      </c>
      <c r="C224" s="156">
        <f t="shared" si="255"/>
        <v>0.8623764957254143</v>
      </c>
      <c r="D224" s="156">
        <f t="shared" si="255"/>
        <v>0.86218561703762742</v>
      </c>
      <c r="E224" s="156">
        <f t="shared" si="255"/>
        <v>0.86301188174553578</v>
      </c>
      <c r="F224" s="156">
        <f t="shared" si="255"/>
        <v>0.86462650824574072</v>
      </c>
      <c r="G224" s="156">
        <f t="shared" si="255"/>
        <v>0.86447176099993783</v>
      </c>
      <c r="H224" s="156">
        <f t="shared" si="255"/>
        <v>0.86543406298766667</v>
      </c>
      <c r="I224" s="156">
        <f t="shared" si="255"/>
        <v>0.87035377659761426</v>
      </c>
      <c r="J224" s="156">
        <f t="shared" si="255"/>
        <v>0.87351203530474497</v>
      </c>
      <c r="K224" s="156">
        <f t="shared" si="255"/>
        <v>0.87469940164765481</v>
      </c>
      <c r="L224" s="156">
        <f t="shared" ref="L224" si="256">IF(L6=0,0,L6/L$4)</f>
        <v>0.87317630637098165</v>
      </c>
      <c r="M224" s="156">
        <f t="shared" ref="M224:V224" si="257">IF(M6=0,0,M6/M$4)</f>
        <v>0.87805561670086607</v>
      </c>
      <c r="N224" s="156">
        <f t="shared" si="257"/>
        <v>0.8804801701901932</v>
      </c>
      <c r="O224" s="156">
        <f t="shared" si="257"/>
        <v>0.88082573492163607</v>
      </c>
      <c r="P224" s="156">
        <f t="shared" si="257"/>
        <v>0.88219572356447662</v>
      </c>
      <c r="Q224" s="156">
        <f t="shared" si="257"/>
        <v>0.88249526468954209</v>
      </c>
      <c r="R224" s="156">
        <f t="shared" si="257"/>
        <v>0.8835601838397753</v>
      </c>
      <c r="S224" s="156">
        <f t="shared" si="257"/>
        <v>0.8828441841392477</v>
      </c>
      <c r="T224" s="156">
        <f t="shared" si="257"/>
        <v>0.8877176658538245</v>
      </c>
      <c r="U224" s="156">
        <f t="shared" si="257"/>
        <v>0.89200098618812129</v>
      </c>
      <c r="V224" s="156">
        <f t="shared" si="257"/>
        <v>0.91835121184344481</v>
      </c>
      <c r="W224" s="156">
        <f t="shared" ref="W224:Y224" si="258">IF(W6=0,0,W6/W$4)</f>
        <v>0.91667465137057513</v>
      </c>
      <c r="X224" s="156">
        <f t="shared" si="258"/>
        <v>0.87327802157677681</v>
      </c>
      <c r="Y224" s="156">
        <f t="shared" si="258"/>
        <v>0.88007326988639312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0.7782327904033447</v>
      </c>
      <c r="C225" s="103">
        <f t="shared" si="259"/>
        <v>0.76579771105038186</v>
      </c>
      <c r="D225" s="103">
        <f t="shared" si="259"/>
        <v>0.75616789266347795</v>
      </c>
      <c r="E225" s="103">
        <f t="shared" si="259"/>
        <v>0.7509005508655755</v>
      </c>
      <c r="F225" s="103">
        <f t="shared" si="259"/>
        <v>0.7377016726648733</v>
      </c>
      <c r="G225" s="103">
        <f t="shared" si="259"/>
        <v>0.71015742304948137</v>
      </c>
      <c r="H225" s="103">
        <f t="shared" si="259"/>
        <v>0.68939838706969092</v>
      </c>
      <c r="I225" s="103">
        <f t="shared" si="259"/>
        <v>0.64856033336782859</v>
      </c>
      <c r="J225" s="103">
        <f t="shared" si="259"/>
        <v>0.6194952262651231</v>
      </c>
      <c r="K225" s="103">
        <f t="shared" si="259"/>
        <v>0.59823403122617125</v>
      </c>
      <c r="L225" s="103">
        <f t="shared" ref="L225" si="260">IF(L7=0,0,L7/L$4)</f>
        <v>0.56619195977806247</v>
      </c>
      <c r="M225" s="103">
        <f t="shared" ref="M225:V225" si="261">IF(M7=0,0,M7/M$4)</f>
        <v>0.54865151880078589</v>
      </c>
      <c r="N225" s="103">
        <f t="shared" si="261"/>
        <v>0.52259622156711638</v>
      </c>
      <c r="O225" s="103">
        <f t="shared" si="261"/>
        <v>0.50793155237994669</v>
      </c>
      <c r="P225" s="103">
        <f t="shared" si="261"/>
        <v>0.50514820684522665</v>
      </c>
      <c r="Q225" s="103">
        <f t="shared" si="261"/>
        <v>0.47635602154130413</v>
      </c>
      <c r="R225" s="103">
        <f t="shared" si="261"/>
        <v>0.50015779902777491</v>
      </c>
      <c r="S225" s="103">
        <f t="shared" si="261"/>
        <v>0.48691927200810087</v>
      </c>
      <c r="T225" s="103">
        <f t="shared" si="261"/>
        <v>0.48840994000885035</v>
      </c>
      <c r="U225" s="103">
        <f t="shared" si="261"/>
        <v>0.49543916616483258</v>
      </c>
      <c r="V225" s="103">
        <f t="shared" si="261"/>
        <v>0.51547459453581002</v>
      </c>
      <c r="W225" s="103">
        <f t="shared" ref="W225:Y225" si="262">IF(W7=0,0,W7/W$4)</f>
        <v>0.51765667949216088</v>
      </c>
      <c r="X225" s="103">
        <f t="shared" si="262"/>
        <v>0.48663223062224709</v>
      </c>
      <c r="Y225" s="103">
        <f t="shared" si="262"/>
        <v>0.49133076675830067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8.0435007179887372E-2</v>
      </c>
      <c r="C226" s="103">
        <f t="shared" si="263"/>
        <v>9.2338443774856921E-2</v>
      </c>
      <c r="D226" s="103">
        <f t="shared" si="263"/>
        <v>0.10219836062455342</v>
      </c>
      <c r="E226" s="103">
        <f t="shared" si="263"/>
        <v>0.10888319157184889</v>
      </c>
      <c r="F226" s="103">
        <f t="shared" si="263"/>
        <v>0.12407496789778222</v>
      </c>
      <c r="G226" s="103">
        <f t="shared" si="263"/>
        <v>0.15194650104473117</v>
      </c>
      <c r="H226" s="103">
        <f t="shared" si="263"/>
        <v>0.17405574031083543</v>
      </c>
      <c r="I226" s="103">
        <f t="shared" si="263"/>
        <v>0.22015646170967343</v>
      </c>
      <c r="J226" s="103">
        <f t="shared" si="263"/>
        <v>0.25272540168136687</v>
      </c>
      <c r="K226" s="103">
        <f t="shared" si="263"/>
        <v>0.27554016179611718</v>
      </c>
      <c r="L226" s="103">
        <f t="shared" ref="L226" si="264">IF(L8=0,0,L8/L$4)</f>
        <v>0.30696777160782468</v>
      </c>
      <c r="M226" s="103">
        <f t="shared" ref="M226:V226" si="265">IF(M8=0,0,M8/M$4)</f>
        <v>0.32926034679200045</v>
      </c>
      <c r="N226" s="103">
        <f t="shared" si="265"/>
        <v>0.35757549375328807</v>
      </c>
      <c r="O226" s="103">
        <f t="shared" si="265"/>
        <v>0.37243561707588435</v>
      </c>
      <c r="P226" s="103">
        <f t="shared" si="265"/>
        <v>0.37610834735364762</v>
      </c>
      <c r="Q226" s="103">
        <f t="shared" si="265"/>
        <v>0.40159397299336286</v>
      </c>
      <c r="R226" s="103">
        <f t="shared" si="265"/>
        <v>0.38079545063220926</v>
      </c>
      <c r="S226" s="103">
        <f t="shared" si="265"/>
        <v>0.39299334128398711</v>
      </c>
      <c r="T226" s="103">
        <f t="shared" si="265"/>
        <v>0.39509965752990661</v>
      </c>
      <c r="U226" s="103">
        <f t="shared" si="265"/>
        <v>0.38990047847249654</v>
      </c>
      <c r="V226" s="103">
        <f t="shared" si="265"/>
        <v>0.38727825746334438</v>
      </c>
      <c r="W226" s="103">
        <f t="shared" ref="W226:Y226" si="266">IF(W8=0,0,W8/W$4)</f>
        <v>0.36381604228724734</v>
      </c>
      <c r="X226" s="103">
        <f t="shared" si="266"/>
        <v>0.33304232534003009</v>
      </c>
      <c r="Y226" s="103">
        <f t="shared" si="266"/>
        <v>0.30795425870706894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4.3174181024032803E-3</v>
      </c>
      <c r="C227" s="103">
        <f t="shared" si="267"/>
        <v>4.2403409001755465E-3</v>
      </c>
      <c r="D227" s="103">
        <f t="shared" si="267"/>
        <v>3.8193637495960884E-3</v>
      </c>
      <c r="E227" s="103">
        <f t="shared" si="267"/>
        <v>3.2281393081114132E-3</v>
      </c>
      <c r="F227" s="103">
        <f t="shared" si="267"/>
        <v>2.849867683085274E-3</v>
      </c>
      <c r="G227" s="103">
        <f t="shared" si="267"/>
        <v>2.3678369057254125E-3</v>
      </c>
      <c r="H227" s="103">
        <f t="shared" si="267"/>
        <v>1.9799356071402681E-3</v>
      </c>
      <c r="I227" s="103">
        <f t="shared" si="267"/>
        <v>1.6369815201122736E-3</v>
      </c>
      <c r="J227" s="103">
        <f t="shared" si="267"/>
        <v>1.2914073582550977E-3</v>
      </c>
      <c r="K227" s="103">
        <f t="shared" si="267"/>
        <v>9.1497384971908798E-4</v>
      </c>
      <c r="L227" s="103">
        <f t="shared" ref="L227" si="268">IF(L9=0,0,L9/L$4)</f>
        <v>0</v>
      </c>
      <c r="M227" s="103">
        <f t="shared" ref="M227:V227" si="269">IF(M9=0,0,M9/M$4)</f>
        <v>0</v>
      </c>
      <c r="N227" s="103">
        <f t="shared" si="269"/>
        <v>0</v>
      </c>
      <c r="O227" s="103">
        <f t="shared" si="269"/>
        <v>0</v>
      </c>
      <c r="P227" s="103">
        <f t="shared" si="269"/>
        <v>0</v>
      </c>
      <c r="Q227" s="103">
        <f t="shared" si="269"/>
        <v>0</v>
      </c>
      <c r="R227" s="103">
        <f t="shared" si="269"/>
        <v>0</v>
      </c>
      <c r="S227" s="103">
        <f t="shared" si="269"/>
        <v>0</v>
      </c>
      <c r="T227" s="103">
        <f t="shared" si="269"/>
        <v>0</v>
      </c>
      <c r="U227" s="103">
        <f t="shared" si="269"/>
        <v>0</v>
      </c>
      <c r="V227" s="103">
        <f t="shared" si="269"/>
        <v>0</v>
      </c>
      <c r="W227" s="103">
        <f t="shared" ref="W227:Y227" si="270">IF(W9=0,0,W9/W$4)</f>
        <v>0</v>
      </c>
      <c r="X227" s="103">
        <f t="shared" si="270"/>
        <v>0</v>
      </c>
      <c r="Y227" s="103">
        <f t="shared" si="270"/>
        <v>0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0</v>
      </c>
      <c r="L228" s="103">
        <f t="shared" ref="L228" si="272">IF(L10=0,0,L10/L$4)</f>
        <v>0</v>
      </c>
      <c r="M228" s="103">
        <f t="shared" ref="M228:V228" si="273">IF(M10=0,0,M10/M$4)</f>
        <v>0</v>
      </c>
      <c r="N228" s="103">
        <f t="shared" si="273"/>
        <v>0</v>
      </c>
      <c r="O228" s="103">
        <f t="shared" si="273"/>
        <v>0</v>
      </c>
      <c r="P228" s="103">
        <f t="shared" si="273"/>
        <v>0</v>
      </c>
      <c r="Q228" s="103">
        <f t="shared" si="273"/>
        <v>1.7854156073023387E-5</v>
      </c>
      <c r="R228" s="103">
        <f t="shared" si="273"/>
        <v>4.6480841032433972E-5</v>
      </c>
      <c r="S228" s="103">
        <f t="shared" si="273"/>
        <v>8.2407447211244787E-5</v>
      </c>
      <c r="T228" s="103">
        <f t="shared" si="273"/>
        <v>1.3957887963146821E-4</v>
      </c>
      <c r="U228" s="103">
        <f t="shared" si="273"/>
        <v>1.9426405033683811E-4</v>
      </c>
      <c r="V228" s="103">
        <f t="shared" si="273"/>
        <v>2.4592222486834284E-4</v>
      </c>
      <c r="W228" s="103">
        <f t="shared" ref="W228:Y228" si="274">IF(W10=0,0,W10/W$4)</f>
        <v>2.8861319265912792E-4</v>
      </c>
      <c r="X228" s="103">
        <f t="shared" si="274"/>
        <v>3.4069964044505156E-4</v>
      </c>
      <c r="Y228" s="103">
        <f t="shared" si="274"/>
        <v>3.7822504416137854E-4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1.0893862426132273E-5</v>
      </c>
      <c r="O229" s="103">
        <f t="shared" si="277"/>
        <v>1.4302075330372212E-5</v>
      </c>
      <c r="P229" s="103">
        <f t="shared" si="277"/>
        <v>4.6991782630046481E-5</v>
      </c>
      <c r="Q229" s="103">
        <f t="shared" si="277"/>
        <v>2.4686141121182813E-3</v>
      </c>
      <c r="R229" s="103">
        <f t="shared" si="277"/>
        <v>2.4109574786449525E-4</v>
      </c>
      <c r="S229" s="103">
        <f t="shared" si="277"/>
        <v>3.5625505396574115E-4</v>
      </c>
      <c r="T229" s="103">
        <f t="shared" si="277"/>
        <v>1.2635213320730321E-3</v>
      </c>
      <c r="U229" s="103">
        <f t="shared" si="277"/>
        <v>2.3183230178191903E-3</v>
      </c>
      <c r="V229" s="103">
        <f t="shared" si="277"/>
        <v>7.3894007115673501E-3</v>
      </c>
      <c r="W229" s="103">
        <f t="shared" ref="W229:Y229" si="278">IF(W11=0,0,W11/W$4)</f>
        <v>1.8610385104778325E-2</v>
      </c>
      <c r="X229" s="103">
        <f t="shared" si="278"/>
        <v>2.5506182437455737E-2</v>
      </c>
      <c r="Y229" s="103">
        <f t="shared" si="278"/>
        <v>3.28294858735865E-2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1.0234775647247083E-5</v>
      </c>
      <c r="L230" s="103">
        <f t="shared" ref="L230" si="280">IF(L12=0,0,L12/L$4)</f>
        <v>1.6574985094572837E-5</v>
      </c>
      <c r="M230" s="103">
        <f t="shared" ref="M230:V230" si="281">IF(M12=0,0,M12/M$4)</f>
        <v>1.4375110807978949E-4</v>
      </c>
      <c r="N230" s="103">
        <f t="shared" si="281"/>
        <v>2.9756100736279549E-4</v>
      </c>
      <c r="O230" s="103">
        <f t="shared" si="281"/>
        <v>4.4426339047479532E-4</v>
      </c>
      <c r="P230" s="103">
        <f t="shared" si="281"/>
        <v>8.9217758297221506E-4</v>
      </c>
      <c r="Q230" s="103">
        <f t="shared" si="281"/>
        <v>2.0588018866837423E-3</v>
      </c>
      <c r="R230" s="103">
        <f t="shared" si="281"/>
        <v>2.3193575908942174E-3</v>
      </c>
      <c r="S230" s="103">
        <f t="shared" si="281"/>
        <v>2.4929083459827557E-3</v>
      </c>
      <c r="T230" s="103">
        <f t="shared" si="281"/>
        <v>2.804968103363099E-3</v>
      </c>
      <c r="U230" s="103">
        <f t="shared" si="281"/>
        <v>4.1487544826361447E-3</v>
      </c>
      <c r="V230" s="103">
        <f t="shared" si="281"/>
        <v>7.9630369078547321E-3</v>
      </c>
      <c r="W230" s="103">
        <f t="shared" ref="W230:Y230" si="282">IF(W12=0,0,W12/W$4)</f>
        <v>1.6302931293729506E-2</v>
      </c>
      <c r="X230" s="103">
        <f t="shared" si="282"/>
        <v>2.7756583536598867E-2</v>
      </c>
      <c r="Y230" s="103">
        <f t="shared" si="282"/>
        <v>4.7580533503275638E-2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0.12647682169230551</v>
      </c>
      <c r="C231" s="156">
        <f t="shared" si="283"/>
        <v>0.12742733709509749</v>
      </c>
      <c r="D231" s="156">
        <f t="shared" si="283"/>
        <v>0.12718170575260834</v>
      </c>
      <c r="E231" s="156">
        <f t="shared" si="283"/>
        <v>0.12628679754610195</v>
      </c>
      <c r="F231" s="156">
        <f t="shared" si="283"/>
        <v>0.12484470024316925</v>
      </c>
      <c r="G231" s="156">
        <f t="shared" si="283"/>
        <v>0.12455078690077083</v>
      </c>
      <c r="H231" s="156">
        <f t="shared" si="283"/>
        <v>0.12296108363509106</v>
      </c>
      <c r="I231" s="156">
        <f t="shared" si="283"/>
        <v>0.11742990954232294</v>
      </c>
      <c r="J231" s="156">
        <f t="shared" si="283"/>
        <v>0.1143939370356726</v>
      </c>
      <c r="K231" s="156">
        <f t="shared" si="283"/>
        <v>0.11372912966454167</v>
      </c>
      <c r="L231" s="156">
        <f t="shared" ref="L231" si="284">IF(L13=0,0,L13/L$4)</f>
        <v>0.11522190682626504</v>
      </c>
      <c r="M231" s="156">
        <f t="shared" ref="M231:V231" si="285">IF(M13=0,0,M13/M$4)</f>
        <v>0.11064193836971278</v>
      </c>
      <c r="N231" s="156">
        <f t="shared" si="285"/>
        <v>0.10810186614354486</v>
      </c>
      <c r="O231" s="156">
        <f t="shared" si="285"/>
        <v>0.10765573873437358</v>
      </c>
      <c r="P231" s="156">
        <f t="shared" si="285"/>
        <v>0.106346082039922</v>
      </c>
      <c r="Q231" s="156">
        <f t="shared" si="285"/>
        <v>0.10642293011481967</v>
      </c>
      <c r="R231" s="156">
        <f t="shared" si="285"/>
        <v>0.10578897612783272</v>
      </c>
      <c r="S231" s="156">
        <f t="shared" si="285"/>
        <v>0.10733042241309176</v>
      </c>
      <c r="T231" s="156">
        <f t="shared" si="285"/>
        <v>0.10308099862592887</v>
      </c>
      <c r="U231" s="156">
        <f t="shared" si="285"/>
        <v>9.8537638436603098E-2</v>
      </c>
      <c r="V231" s="156">
        <f t="shared" si="285"/>
        <v>7.2227193417721366E-2</v>
      </c>
      <c r="W231" s="156">
        <f t="shared" ref="W231:Y231" si="286">IF(W13=0,0,W13/W$4)</f>
        <v>7.3944619442735365E-2</v>
      </c>
      <c r="X231" s="156">
        <f t="shared" si="286"/>
        <v>0.11787642289533677</v>
      </c>
      <c r="Y231" s="156">
        <f t="shared" si="286"/>
        <v>0.11062049741625569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7.8408158908480352E-3</v>
      </c>
      <c r="C232" s="103">
        <f t="shared" si="287"/>
        <v>8.1065958287485536E-3</v>
      </c>
      <c r="D232" s="103">
        <f t="shared" si="287"/>
        <v>8.09413332148806E-3</v>
      </c>
      <c r="E232" s="103">
        <f t="shared" si="287"/>
        <v>5.1298100158205795E-3</v>
      </c>
      <c r="F232" s="103">
        <f t="shared" si="287"/>
        <v>4.1594451773233447E-3</v>
      </c>
      <c r="G232" s="103">
        <f t="shared" si="287"/>
        <v>3.986330636890272E-3</v>
      </c>
      <c r="H232" s="103">
        <f t="shared" si="287"/>
        <v>4.0292600006798483E-3</v>
      </c>
      <c r="I232" s="103">
        <f t="shared" si="287"/>
        <v>3.8712467502121533E-3</v>
      </c>
      <c r="J232" s="103">
        <f t="shared" si="287"/>
        <v>3.8694827175904407E-3</v>
      </c>
      <c r="K232" s="103">
        <f t="shared" si="287"/>
        <v>3.7013425383528517E-3</v>
      </c>
      <c r="L232" s="103">
        <f t="shared" ref="L232" si="288">IF(L14=0,0,L14/L$4)</f>
        <v>3.5864906309792379E-3</v>
      </c>
      <c r="M232" s="103">
        <f t="shared" ref="M232:V232" si="289">IF(M14=0,0,M14/M$4)</f>
        <v>3.4201813938935215E-3</v>
      </c>
      <c r="N232" s="103">
        <f t="shared" si="289"/>
        <v>3.3610047475960028E-3</v>
      </c>
      <c r="O232" s="103">
        <f t="shared" si="289"/>
        <v>3.5730286297615444E-3</v>
      </c>
      <c r="P232" s="103">
        <f t="shared" si="289"/>
        <v>3.1304239564320037E-3</v>
      </c>
      <c r="Q232" s="103">
        <f t="shared" si="289"/>
        <v>2.6726684747176103E-3</v>
      </c>
      <c r="R232" s="103">
        <f t="shared" si="289"/>
        <v>2.3539288131977222E-3</v>
      </c>
      <c r="S232" s="103">
        <f t="shared" si="289"/>
        <v>2.1373284222690669E-3</v>
      </c>
      <c r="T232" s="103">
        <f t="shared" si="289"/>
        <v>1.8997198436880483E-3</v>
      </c>
      <c r="U232" s="103">
        <f t="shared" si="289"/>
        <v>1.6455490100043093E-3</v>
      </c>
      <c r="V232" s="103">
        <f t="shared" si="289"/>
        <v>1.6791761748903677E-3</v>
      </c>
      <c r="W232" s="103">
        <f t="shared" ref="W232:Y232" si="290">IF(W14=0,0,W14/W$4)</f>
        <v>1.5475512791365564E-3</v>
      </c>
      <c r="X232" s="103">
        <f t="shared" si="290"/>
        <v>1.4950296841007352E-3</v>
      </c>
      <c r="Y232" s="103">
        <f t="shared" si="290"/>
        <v>1.3624565105465473E-3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0.11863600580145747</v>
      </c>
      <c r="C233" s="103">
        <f t="shared" si="291"/>
        <v>0.11932074126634895</v>
      </c>
      <c r="D233" s="103">
        <f t="shared" si="291"/>
        <v>0.11908757243112027</v>
      </c>
      <c r="E233" s="103">
        <f t="shared" si="291"/>
        <v>0.12115698753028137</v>
      </c>
      <c r="F233" s="103">
        <f t="shared" si="291"/>
        <v>0.12068525506584589</v>
      </c>
      <c r="G233" s="103">
        <f t="shared" si="291"/>
        <v>0.12056445626388054</v>
      </c>
      <c r="H233" s="103">
        <f t="shared" si="291"/>
        <v>0.1189318236344112</v>
      </c>
      <c r="I233" s="103">
        <f t="shared" si="291"/>
        <v>0.11355866279211078</v>
      </c>
      <c r="J233" s="103">
        <f t="shared" si="291"/>
        <v>0.11052445431808217</v>
      </c>
      <c r="K233" s="103">
        <f t="shared" si="291"/>
        <v>0.11002778712618883</v>
      </c>
      <c r="L233" s="103">
        <f t="shared" ref="L233" si="292">IF(L15=0,0,L15/L$4)</f>
        <v>0.1116354161952858</v>
      </c>
      <c r="M233" s="103">
        <f t="shared" ref="M233:V233" si="293">IF(M15=0,0,M15/M$4)</f>
        <v>0.10722175697581926</v>
      </c>
      <c r="N233" s="103">
        <f t="shared" si="293"/>
        <v>0.10474086139594886</v>
      </c>
      <c r="O233" s="103">
        <f t="shared" si="293"/>
        <v>0.10408271010461204</v>
      </c>
      <c r="P233" s="103">
        <f t="shared" si="293"/>
        <v>0.10321565808349001</v>
      </c>
      <c r="Q233" s="103">
        <f t="shared" si="293"/>
        <v>0.10337915037668938</v>
      </c>
      <c r="R233" s="103">
        <f t="shared" si="293"/>
        <v>0.10257311055073159</v>
      </c>
      <c r="S233" s="103">
        <f t="shared" si="293"/>
        <v>0.10340460826135833</v>
      </c>
      <c r="T233" s="103">
        <f t="shared" si="293"/>
        <v>9.9410215756908615E-2</v>
      </c>
      <c r="U233" s="103">
        <f t="shared" si="293"/>
        <v>9.4527374898505406E-2</v>
      </c>
      <c r="V233" s="103">
        <f t="shared" si="293"/>
        <v>6.8819015531578001E-2</v>
      </c>
      <c r="W233" s="103">
        <f t="shared" ref="W233:Y233" si="294">IF(W15=0,0,W15/W$4)</f>
        <v>6.9244437998816757E-2</v>
      </c>
      <c r="X233" s="103">
        <f t="shared" si="294"/>
        <v>0.10777251188847857</v>
      </c>
      <c r="Y233" s="103">
        <f t="shared" si="294"/>
        <v>9.600232997946534E-2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0</v>
      </c>
      <c r="S234" s="103">
        <f t="shared" si="297"/>
        <v>0</v>
      </c>
      <c r="T234" s="103">
        <f t="shared" si="297"/>
        <v>0</v>
      </c>
      <c r="U234" s="103">
        <f t="shared" si="297"/>
        <v>0</v>
      </c>
      <c r="V234" s="103">
        <f t="shared" si="297"/>
        <v>0</v>
      </c>
      <c r="W234" s="103">
        <f t="shared" ref="W234:Y234" si="298">IF(W16=0,0,W16/W$4)</f>
        <v>0</v>
      </c>
      <c r="X234" s="103">
        <f t="shared" si="298"/>
        <v>0</v>
      </c>
      <c r="Y234" s="103">
        <f t="shared" si="298"/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0</v>
      </c>
      <c r="G235" s="103">
        <f t="shared" si="299"/>
        <v>0</v>
      </c>
      <c r="H235" s="103">
        <f t="shared" si="299"/>
        <v>0</v>
      </c>
      <c r="I235" s="103">
        <f t="shared" si="299"/>
        <v>0</v>
      </c>
      <c r="J235" s="103">
        <f t="shared" si="299"/>
        <v>0</v>
      </c>
      <c r="K235" s="103">
        <f t="shared" si="299"/>
        <v>0</v>
      </c>
      <c r="L235" s="103">
        <f t="shared" ref="L235" si="300">IF(L17=0,0,L17/L$4)</f>
        <v>0</v>
      </c>
      <c r="M235" s="103">
        <f t="shared" ref="M235:V235" si="301">IF(M17=0,0,M17/M$4)</f>
        <v>0</v>
      </c>
      <c r="N235" s="103">
        <f t="shared" si="301"/>
        <v>0</v>
      </c>
      <c r="O235" s="103">
        <f t="shared" si="301"/>
        <v>0</v>
      </c>
      <c r="P235" s="103">
        <f t="shared" si="301"/>
        <v>0</v>
      </c>
      <c r="Q235" s="103">
        <f t="shared" si="301"/>
        <v>3.7111126341268585E-4</v>
      </c>
      <c r="R235" s="103">
        <f t="shared" si="301"/>
        <v>8.1481577272899384E-4</v>
      </c>
      <c r="S235" s="103">
        <f t="shared" si="301"/>
        <v>1.7273219045367812E-3</v>
      </c>
      <c r="T235" s="103">
        <f t="shared" si="301"/>
        <v>1.6971312934433188E-3</v>
      </c>
      <c r="U235" s="103">
        <f t="shared" si="301"/>
        <v>1.6393644680325965E-3</v>
      </c>
      <c r="V235" s="103">
        <f t="shared" si="301"/>
        <v>1.2604185957779267E-3</v>
      </c>
      <c r="W235" s="103">
        <f t="shared" ref="W235:Y235" si="302">IF(W17=0,0,W17/W$4)</f>
        <v>1.3328423090588416E-3</v>
      </c>
      <c r="X235" s="103">
        <f t="shared" si="302"/>
        <v>2.2459876269810158E-3</v>
      </c>
      <c r="Y235" s="103">
        <f t="shared" si="302"/>
        <v>2.3060210664809675E-3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0</v>
      </c>
      <c r="K236" s="103">
        <f t="shared" si="303"/>
        <v>0</v>
      </c>
      <c r="L236" s="103">
        <f t="shared" ref="L236" si="304">IF(L18=0,0,L18/L$4)</f>
        <v>0</v>
      </c>
      <c r="M236" s="103">
        <f t="shared" ref="M236:V236" si="305">IF(M18=0,0,M18/M$4)</f>
        <v>0</v>
      </c>
      <c r="N236" s="103">
        <f t="shared" si="305"/>
        <v>0</v>
      </c>
      <c r="O236" s="103">
        <f t="shared" si="305"/>
        <v>0</v>
      </c>
      <c r="P236" s="103">
        <f t="shared" si="305"/>
        <v>0</v>
      </c>
      <c r="Q236" s="103">
        <f t="shared" si="305"/>
        <v>0</v>
      </c>
      <c r="R236" s="103">
        <f t="shared" si="305"/>
        <v>4.71209911744232E-5</v>
      </c>
      <c r="S236" s="103">
        <f t="shared" si="305"/>
        <v>6.1163824927583772E-5</v>
      </c>
      <c r="T236" s="103">
        <f t="shared" si="305"/>
        <v>7.3931731888892584E-5</v>
      </c>
      <c r="U236" s="103">
        <f t="shared" si="305"/>
        <v>7.2535006006077497E-4</v>
      </c>
      <c r="V236" s="103">
        <f t="shared" si="305"/>
        <v>4.6858311547508491E-4</v>
      </c>
      <c r="W236" s="103">
        <f t="shared" ref="W236:Y236" si="306">IF(W18=0,0,W18/W$4)</f>
        <v>1.8197878557232163E-3</v>
      </c>
      <c r="X236" s="103">
        <f t="shared" si="306"/>
        <v>6.3628936957764474E-3</v>
      </c>
      <c r="Y236" s="103">
        <f t="shared" si="306"/>
        <v>1.0949689859762843E-2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5.5649247429049975E-2</v>
      </c>
      <c r="C238" s="154">
        <f t="shared" si="311"/>
        <v>5.8991533574952473E-2</v>
      </c>
      <c r="D238" s="154">
        <f t="shared" si="311"/>
        <v>6.0033057727413831E-2</v>
      </c>
      <c r="E238" s="154">
        <f t="shared" si="311"/>
        <v>6.4437788119412018E-2</v>
      </c>
      <c r="F238" s="154">
        <f t="shared" si="311"/>
        <v>7.0089677792027169E-2</v>
      </c>
      <c r="G238" s="154">
        <f t="shared" si="311"/>
        <v>7.2927577252202044E-2</v>
      </c>
      <c r="H238" s="154">
        <f t="shared" si="311"/>
        <v>7.7036168950282286E-2</v>
      </c>
      <c r="I238" s="154">
        <f t="shared" si="311"/>
        <v>8.1650232520246196E-2</v>
      </c>
      <c r="J238" s="154">
        <f t="shared" si="311"/>
        <v>8.0281701143619863E-2</v>
      </c>
      <c r="K238" s="154">
        <f t="shared" si="311"/>
        <v>8.4633275792795185E-2</v>
      </c>
      <c r="L238" s="154">
        <f t="shared" ref="L238" si="312">IF(L20=0,0,L20/L$19)</f>
        <v>8.0810636304873396E-2</v>
      </c>
      <c r="M238" s="154">
        <f t="shared" ref="M238:V238" si="313">IF(M20=0,0,M20/M$19)</f>
        <v>6.9823169809551472E-2</v>
      </c>
      <c r="N238" s="154">
        <f t="shared" si="313"/>
        <v>6.4830787054732344E-2</v>
      </c>
      <c r="O238" s="154">
        <f t="shared" si="313"/>
        <v>5.9722030392301409E-2</v>
      </c>
      <c r="P238" s="154">
        <f t="shared" si="313"/>
        <v>5.7339765942819296E-2</v>
      </c>
      <c r="Q238" s="154">
        <f t="shared" si="313"/>
        <v>5.9569247446649799E-2</v>
      </c>
      <c r="R238" s="154">
        <f t="shared" si="313"/>
        <v>5.5934931495025146E-2</v>
      </c>
      <c r="S238" s="154">
        <f t="shared" si="313"/>
        <v>5.7782529557238747E-2</v>
      </c>
      <c r="T238" s="154">
        <f t="shared" si="313"/>
        <v>6.1825392119650456E-2</v>
      </c>
      <c r="U238" s="154">
        <f t="shared" si="313"/>
        <v>5.9687435063380714E-2</v>
      </c>
      <c r="V238" s="154">
        <f t="shared" si="313"/>
        <v>5.4573719937774962E-2</v>
      </c>
      <c r="W238" s="154">
        <f t="shared" ref="W238:Y238" si="314">IF(W20=0,0,W20/W$19)</f>
        <v>5.401497377027735E-2</v>
      </c>
      <c r="X238" s="154">
        <f t="shared" si="314"/>
        <v>5.585560289897059E-2</v>
      </c>
      <c r="Y238" s="154">
        <f t="shared" si="314"/>
        <v>5.3914171305215627E-2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8.5833664512532E-3</v>
      </c>
      <c r="C239" s="103">
        <f t="shared" si="315"/>
        <v>9.3014950893140005E-3</v>
      </c>
      <c r="D239" s="103">
        <f t="shared" si="315"/>
        <v>9.0255184649332253E-3</v>
      </c>
      <c r="E239" s="103">
        <f t="shared" si="315"/>
        <v>8.6634868666717931E-3</v>
      </c>
      <c r="F239" s="103">
        <f t="shared" si="315"/>
        <v>8.5058867531170399E-3</v>
      </c>
      <c r="G239" s="103">
        <f t="shared" si="315"/>
        <v>8.0370441077791087E-3</v>
      </c>
      <c r="H239" s="103">
        <f t="shared" si="315"/>
        <v>7.5426787047755389E-3</v>
      </c>
      <c r="I239" s="103">
        <f t="shared" si="315"/>
        <v>6.8847168238059279E-3</v>
      </c>
      <c r="J239" s="103">
        <f t="shared" si="315"/>
        <v>6.0547730079226689E-3</v>
      </c>
      <c r="K239" s="103">
        <f t="shared" si="315"/>
        <v>6.0902890219371704E-3</v>
      </c>
      <c r="L239" s="103">
        <f t="shared" ref="L239" si="316">IF(L21=0,0,L21/L$19)</f>
        <v>5.376688135730002E-3</v>
      </c>
      <c r="M239" s="103">
        <f t="shared" ref="M239:V239" si="317">IF(M21=0,0,M21/M$19)</f>
        <v>4.4031461914458463E-3</v>
      </c>
      <c r="N239" s="103">
        <f t="shared" si="317"/>
        <v>3.7427955789372911E-3</v>
      </c>
      <c r="O239" s="103">
        <f t="shared" si="317"/>
        <v>3.3211296293738628E-3</v>
      </c>
      <c r="P239" s="103">
        <f t="shared" si="317"/>
        <v>3.051615310901889E-3</v>
      </c>
      <c r="Q239" s="103">
        <f t="shared" si="317"/>
        <v>2.9463020934373686E-3</v>
      </c>
      <c r="R239" s="103">
        <f t="shared" si="317"/>
        <v>2.6835652566441267E-3</v>
      </c>
      <c r="S239" s="103">
        <f t="shared" si="317"/>
        <v>2.6475094014522015E-3</v>
      </c>
      <c r="T239" s="103">
        <f t="shared" si="317"/>
        <v>2.6088391528669699E-3</v>
      </c>
      <c r="U239" s="103">
        <f t="shared" si="317"/>
        <v>2.4767707051072149E-3</v>
      </c>
      <c r="V239" s="103">
        <f t="shared" si="317"/>
        <v>2.2503877698476882E-3</v>
      </c>
      <c r="W239" s="103">
        <f t="shared" ref="W239:Y239" si="318">IF(W21=0,0,W21/W$19)</f>
        <v>2.3130040730735281E-3</v>
      </c>
      <c r="X239" s="103">
        <f t="shared" si="318"/>
        <v>2.3530071471004927E-3</v>
      </c>
      <c r="Y239" s="103">
        <f t="shared" si="318"/>
        <v>2.2681057910533182E-3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4.7065880977796778E-2</v>
      </c>
      <c r="C240" s="103">
        <f t="shared" si="319"/>
        <v>4.9690038485638473E-2</v>
      </c>
      <c r="D240" s="103">
        <f t="shared" si="319"/>
        <v>5.1007539262480611E-2</v>
      </c>
      <c r="E240" s="103">
        <f t="shared" si="319"/>
        <v>5.5774301252740223E-2</v>
      </c>
      <c r="F240" s="103">
        <f t="shared" si="319"/>
        <v>6.1583791038910124E-2</v>
      </c>
      <c r="G240" s="103">
        <f t="shared" si="319"/>
        <v>6.4890533144422932E-2</v>
      </c>
      <c r="H240" s="103">
        <f t="shared" si="319"/>
        <v>6.9493490245506745E-2</v>
      </c>
      <c r="I240" s="103">
        <f t="shared" si="319"/>
        <v>7.4765515696440257E-2</v>
      </c>
      <c r="J240" s="103">
        <f t="shared" si="319"/>
        <v>7.4226928135697201E-2</v>
      </c>
      <c r="K240" s="103">
        <f t="shared" si="319"/>
        <v>7.8542986770858012E-2</v>
      </c>
      <c r="L240" s="103">
        <f t="shared" ref="L240" si="320">IF(L22=0,0,L22/L$19)</f>
        <v>7.5433948169143381E-2</v>
      </c>
      <c r="M240" s="103">
        <f t="shared" ref="M240:V240" si="321">IF(M22=0,0,M22/M$19)</f>
        <v>6.542002361810563E-2</v>
      </c>
      <c r="N240" s="103">
        <f t="shared" si="321"/>
        <v>6.1086099412460952E-2</v>
      </c>
      <c r="O240" s="103">
        <f t="shared" si="321"/>
        <v>5.6394809691610599E-2</v>
      </c>
      <c r="P240" s="103">
        <f t="shared" si="321"/>
        <v>5.4283479575183063E-2</v>
      </c>
      <c r="Q240" s="103">
        <f t="shared" si="321"/>
        <v>5.6533295448316229E-2</v>
      </c>
      <c r="R240" s="103">
        <f t="shared" si="321"/>
        <v>5.3162137540972751E-2</v>
      </c>
      <c r="S240" s="103">
        <f t="shared" si="321"/>
        <v>5.5031320896668408E-2</v>
      </c>
      <c r="T240" s="103">
        <f t="shared" si="321"/>
        <v>5.91059819665775E-2</v>
      </c>
      <c r="U240" s="103">
        <f t="shared" si="321"/>
        <v>5.707796392735405E-2</v>
      </c>
      <c r="V240" s="103">
        <f t="shared" si="321"/>
        <v>5.2146223850675098E-2</v>
      </c>
      <c r="W240" s="103">
        <f t="shared" ref="W240:Y240" si="322">IF(W22=0,0,W22/W$19)</f>
        <v>5.134880256743736E-2</v>
      </c>
      <c r="X240" s="103">
        <f t="shared" si="322"/>
        <v>5.2955691289235843E-2</v>
      </c>
      <c r="Y240" s="103">
        <f t="shared" si="322"/>
        <v>5.0899729948754122E-2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0</v>
      </c>
      <c r="O241" s="103">
        <f t="shared" si="325"/>
        <v>0</v>
      </c>
      <c r="P241" s="103">
        <f t="shared" si="325"/>
        <v>0</v>
      </c>
      <c r="Q241" s="103">
        <f t="shared" si="325"/>
        <v>0</v>
      </c>
      <c r="R241" s="103">
        <f t="shared" si="325"/>
        <v>0</v>
      </c>
      <c r="S241" s="103">
        <f t="shared" si="325"/>
        <v>0</v>
      </c>
      <c r="T241" s="103">
        <f t="shared" si="325"/>
        <v>0</v>
      </c>
      <c r="U241" s="103">
        <f t="shared" si="325"/>
        <v>0</v>
      </c>
      <c r="V241" s="103">
        <f t="shared" si="325"/>
        <v>0</v>
      </c>
      <c r="W241" s="103">
        <f t="shared" ref="W241:Y241" si="326">IF(W23=0,0,W23/W$19)</f>
        <v>0</v>
      </c>
      <c r="X241" s="103">
        <f t="shared" si="326"/>
        <v>0</v>
      </c>
      <c r="Y241" s="103">
        <f t="shared" si="326"/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0</v>
      </c>
      <c r="O242" s="103">
        <f t="shared" si="329"/>
        <v>0</v>
      </c>
      <c r="P242" s="103">
        <f t="shared" si="329"/>
        <v>0</v>
      </c>
      <c r="Q242" s="103">
        <f t="shared" si="329"/>
        <v>3.3626853357825585E-5</v>
      </c>
      <c r="R242" s="103">
        <f t="shared" si="329"/>
        <v>3.3044697208570144E-5</v>
      </c>
      <c r="S242" s="103">
        <f t="shared" si="329"/>
        <v>3.5733618599766583E-5</v>
      </c>
      <c r="T242" s="103">
        <f t="shared" si="329"/>
        <v>3.7070535028338882E-5</v>
      </c>
      <c r="U242" s="103">
        <f t="shared" si="329"/>
        <v>3.5374579047739964E-5</v>
      </c>
      <c r="V242" s="103">
        <f t="shared" si="329"/>
        <v>3.1676387259411719E-5</v>
      </c>
      <c r="W242" s="103">
        <f t="shared" ref="W242:Y242" si="330">IF(W24=0,0,W24/W$19)</f>
        <v>3.0054664858352645E-5</v>
      </c>
      <c r="X242" s="103">
        <f t="shared" si="330"/>
        <v>2.8795300072111695E-5</v>
      </c>
      <c r="Y242" s="103">
        <f t="shared" si="330"/>
        <v>2.5862622395528485E-5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0</v>
      </c>
      <c r="N243" s="103">
        <f t="shared" si="333"/>
        <v>1.8920633340925564E-6</v>
      </c>
      <c r="O243" s="103">
        <f t="shared" si="333"/>
        <v>6.0910713169528457E-6</v>
      </c>
      <c r="P243" s="103">
        <f t="shared" si="333"/>
        <v>4.6710567343450804E-6</v>
      </c>
      <c r="Q243" s="103">
        <f t="shared" si="333"/>
        <v>5.6023051538371968E-5</v>
      </c>
      <c r="R243" s="103">
        <f t="shared" si="333"/>
        <v>5.6184000199700265E-5</v>
      </c>
      <c r="S243" s="103">
        <f t="shared" si="333"/>
        <v>6.7965640518365456E-5</v>
      </c>
      <c r="T243" s="103">
        <f t="shared" si="333"/>
        <v>7.3500465177646333E-5</v>
      </c>
      <c r="U243" s="103">
        <f t="shared" si="333"/>
        <v>9.7325851871707012E-5</v>
      </c>
      <c r="V243" s="103">
        <f t="shared" si="333"/>
        <v>1.4543192999276453E-4</v>
      </c>
      <c r="W243" s="103">
        <f t="shared" ref="W243:Y243" si="334">IF(W25=0,0,W25/W$19)</f>
        <v>3.2311246490810016E-4</v>
      </c>
      <c r="X243" s="103">
        <f t="shared" si="334"/>
        <v>5.181091625621482E-4</v>
      </c>
      <c r="Y243" s="103">
        <f t="shared" si="334"/>
        <v>7.2047294301265494E-4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0.94435075257095002</v>
      </c>
      <c r="C244" s="156">
        <f t="shared" si="335"/>
        <v>0.94100846642504754</v>
      </c>
      <c r="D244" s="156">
        <f t="shared" si="335"/>
        <v>0.93996694227258615</v>
      </c>
      <c r="E244" s="156">
        <f t="shared" si="335"/>
        <v>0.93556221188058786</v>
      </c>
      <c r="F244" s="156">
        <f t="shared" si="335"/>
        <v>0.92991032220797287</v>
      </c>
      <c r="G244" s="156">
        <f t="shared" si="335"/>
        <v>0.927072422747798</v>
      </c>
      <c r="H244" s="156">
        <f t="shared" si="335"/>
        <v>0.92296383104971769</v>
      </c>
      <c r="I244" s="156">
        <f t="shared" si="335"/>
        <v>0.91834976747975383</v>
      </c>
      <c r="J244" s="156">
        <f t="shared" si="335"/>
        <v>0.91971829885638012</v>
      </c>
      <c r="K244" s="156">
        <f t="shared" si="335"/>
        <v>0.91536672420720488</v>
      </c>
      <c r="L244" s="156">
        <f t="shared" ref="L244" si="336">IF(L26=0,0,L26/L$19)</f>
        <v>0.91918936369512672</v>
      </c>
      <c r="M244" s="156">
        <f t="shared" ref="M244:V244" si="337">IF(M26=0,0,M26/M$19)</f>
        <v>0.93017683019044839</v>
      </c>
      <c r="N244" s="156">
        <f t="shared" si="337"/>
        <v>0.93516921294526756</v>
      </c>
      <c r="O244" s="156">
        <f t="shared" si="337"/>
        <v>0.94027796960769849</v>
      </c>
      <c r="P244" s="156">
        <f t="shared" si="337"/>
        <v>0.9426602340571808</v>
      </c>
      <c r="Q244" s="156">
        <f t="shared" si="337"/>
        <v>0.94043075255335029</v>
      </c>
      <c r="R244" s="156">
        <f t="shared" si="337"/>
        <v>0.94406506850497485</v>
      </c>
      <c r="S244" s="156">
        <f t="shared" si="337"/>
        <v>0.94221747044276138</v>
      </c>
      <c r="T244" s="156">
        <f t="shared" si="337"/>
        <v>0.93817460788034956</v>
      </c>
      <c r="U244" s="156">
        <f t="shared" si="337"/>
        <v>0.94031256493661919</v>
      </c>
      <c r="V244" s="156">
        <f t="shared" si="337"/>
        <v>0.94542628006222496</v>
      </c>
      <c r="W244" s="156">
        <f t="shared" ref="W244:Y244" si="338">IF(W26=0,0,W26/W$19)</f>
        <v>0.94598502622972258</v>
      </c>
      <c r="X244" s="156">
        <f t="shared" si="338"/>
        <v>0.94414439710102938</v>
      </c>
      <c r="Y244" s="156">
        <f t="shared" si="338"/>
        <v>0.94608582869478441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0.68634067937123056</v>
      </c>
      <c r="C245" s="103">
        <f t="shared" si="339"/>
        <v>0.6688739684839452</v>
      </c>
      <c r="D245" s="103">
        <f t="shared" si="339"/>
        <v>0.65999136756983268</v>
      </c>
      <c r="E245" s="103">
        <f t="shared" si="339"/>
        <v>0.65296139694022004</v>
      </c>
      <c r="F245" s="103">
        <f t="shared" si="339"/>
        <v>0.60980836353944579</v>
      </c>
      <c r="G245" s="103">
        <f t="shared" si="339"/>
        <v>0.61070257498965963</v>
      </c>
      <c r="H245" s="103">
        <f t="shared" si="339"/>
        <v>0.5996673121471735</v>
      </c>
      <c r="I245" s="103">
        <f t="shared" si="339"/>
        <v>0.5893390534887808</v>
      </c>
      <c r="J245" s="103">
        <f t="shared" si="339"/>
        <v>0.52116542449164616</v>
      </c>
      <c r="K245" s="103">
        <f t="shared" si="339"/>
        <v>0.5412410875093937</v>
      </c>
      <c r="L245" s="103">
        <f t="shared" ref="L245" si="340">IF(L27=0,0,L27/L$19)</f>
        <v>0.56360069903777366</v>
      </c>
      <c r="M245" s="103">
        <f t="shared" ref="M245:V245" si="341">IF(M27=0,0,M27/M$19)</f>
        <v>0.60663502880703724</v>
      </c>
      <c r="N245" s="103">
        <f t="shared" si="341"/>
        <v>0.618979951589403</v>
      </c>
      <c r="O245" s="103">
        <f t="shared" si="341"/>
        <v>0.59530196004428493</v>
      </c>
      <c r="P245" s="103">
        <f t="shared" si="341"/>
        <v>0.62513118080531882</v>
      </c>
      <c r="Q245" s="103">
        <f t="shared" si="341"/>
        <v>0.61611744982800809</v>
      </c>
      <c r="R245" s="103">
        <f t="shared" si="341"/>
        <v>0.59749784488104163</v>
      </c>
      <c r="S245" s="103">
        <f t="shared" si="341"/>
        <v>0.58226268044747165</v>
      </c>
      <c r="T245" s="103">
        <f t="shared" si="341"/>
        <v>0.5867843359657734</v>
      </c>
      <c r="U245" s="103">
        <f t="shared" si="341"/>
        <v>0.58778594894681535</v>
      </c>
      <c r="V245" s="103">
        <f t="shared" si="341"/>
        <v>0.5804297024460402</v>
      </c>
      <c r="W245" s="103">
        <f t="shared" ref="W245:Y245" si="342">IF(W27=0,0,W27/W$19)</f>
        <v>0.58489739436612775</v>
      </c>
      <c r="X245" s="103">
        <f t="shared" si="342"/>
        <v>0.57741473844570534</v>
      </c>
      <c r="Y245" s="103">
        <f t="shared" si="342"/>
        <v>0.614322534691921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0.25801007319971941</v>
      </c>
      <c r="C246" s="105">
        <f t="shared" si="343"/>
        <v>0.27213449794110239</v>
      </c>
      <c r="D246" s="105">
        <f t="shared" si="343"/>
        <v>0.27997557470275342</v>
      </c>
      <c r="E246" s="105">
        <f t="shared" si="343"/>
        <v>0.28260081494036787</v>
      </c>
      <c r="F246" s="105">
        <f t="shared" si="343"/>
        <v>0.32010195866852714</v>
      </c>
      <c r="G246" s="105">
        <f t="shared" si="343"/>
        <v>0.31636984775813837</v>
      </c>
      <c r="H246" s="105">
        <f t="shared" si="343"/>
        <v>0.32329651890254418</v>
      </c>
      <c r="I246" s="105">
        <f t="shared" si="343"/>
        <v>0.32901071399097293</v>
      </c>
      <c r="J246" s="105">
        <f t="shared" si="343"/>
        <v>0.39855287436473391</v>
      </c>
      <c r="K246" s="105">
        <f t="shared" si="343"/>
        <v>0.37412563669781118</v>
      </c>
      <c r="L246" s="105">
        <f t="shared" ref="L246" si="344">IF(L28=0,0,L28/L$19)</f>
        <v>0.355588664657353</v>
      </c>
      <c r="M246" s="105">
        <f t="shared" ref="M246:V246" si="345">IF(M28=0,0,M28/M$19)</f>
        <v>0.32354180138341121</v>
      </c>
      <c r="N246" s="105">
        <f t="shared" si="345"/>
        <v>0.31618926135586456</v>
      </c>
      <c r="O246" s="105">
        <f t="shared" si="345"/>
        <v>0.34497600956341362</v>
      </c>
      <c r="P246" s="105">
        <f t="shared" si="345"/>
        <v>0.31752905325186198</v>
      </c>
      <c r="Q246" s="105">
        <f t="shared" si="345"/>
        <v>0.32431330272534209</v>
      </c>
      <c r="R246" s="105">
        <f t="shared" si="345"/>
        <v>0.34656722362393327</v>
      </c>
      <c r="S246" s="105">
        <f t="shared" si="345"/>
        <v>0.35995478999528979</v>
      </c>
      <c r="T246" s="105">
        <f t="shared" si="345"/>
        <v>0.35139027191457617</v>
      </c>
      <c r="U246" s="105">
        <f t="shared" si="345"/>
        <v>0.35252661598980389</v>
      </c>
      <c r="V246" s="105">
        <f t="shared" si="345"/>
        <v>0.36499657761618487</v>
      </c>
      <c r="W246" s="105">
        <f t="shared" ref="W246:Y246" si="346">IF(W28=0,0,W28/W$19)</f>
        <v>0.36108763186359483</v>
      </c>
      <c r="X246" s="105">
        <f t="shared" si="346"/>
        <v>0.36672965865532409</v>
      </c>
      <c r="Y246" s="105">
        <f t="shared" si="346"/>
        <v>0.33176329400286342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2.216967624253588E-2</v>
      </c>
      <c r="C250" s="154">
        <f t="shared" si="351"/>
        <v>2.08945244220133E-2</v>
      </c>
      <c r="D250" s="154">
        <f t="shared" si="351"/>
        <v>2.1182980076129624E-2</v>
      </c>
      <c r="E250" s="154">
        <f t="shared" si="351"/>
        <v>2.0890246052735251E-2</v>
      </c>
      <c r="F250" s="154">
        <f t="shared" si="351"/>
        <v>2.0524658717160273E-2</v>
      </c>
      <c r="G250" s="154">
        <f t="shared" si="351"/>
        <v>2.0700476435559081E-2</v>
      </c>
      <c r="H250" s="154">
        <f t="shared" si="351"/>
        <v>2.1267764120723842E-2</v>
      </c>
      <c r="I250" s="154">
        <f t="shared" si="351"/>
        <v>2.1118435550020777E-2</v>
      </c>
      <c r="J250" s="154">
        <f t="shared" si="351"/>
        <v>2.0747374397298728E-2</v>
      </c>
      <c r="K250" s="154">
        <f t="shared" si="351"/>
        <v>1.9922840133586282E-2</v>
      </c>
      <c r="L250" s="154">
        <f t="shared" ref="L250" si="352">IF(L32=0,0,L32/L$31)</f>
        <v>1.9673727353078378E-2</v>
      </c>
      <c r="M250" s="154">
        <f t="shared" ref="M250:V250" si="353">IF(M32=0,0,M32/M$31)</f>
        <v>1.846705948596335E-2</v>
      </c>
      <c r="N250" s="154">
        <f t="shared" si="353"/>
        <v>1.9059454391053731E-2</v>
      </c>
      <c r="O250" s="154">
        <f t="shared" si="353"/>
        <v>1.8850137928058654E-2</v>
      </c>
      <c r="P250" s="154">
        <f t="shared" si="353"/>
        <v>1.858294933150232E-2</v>
      </c>
      <c r="Q250" s="154">
        <f t="shared" si="353"/>
        <v>1.7074448572209334E-2</v>
      </c>
      <c r="R250" s="154">
        <f t="shared" si="353"/>
        <v>1.6561497903292446E-2</v>
      </c>
      <c r="S250" s="154">
        <f t="shared" si="353"/>
        <v>1.5478353782919224E-2</v>
      </c>
      <c r="T250" s="154">
        <f t="shared" si="353"/>
        <v>1.4280873159265463E-2</v>
      </c>
      <c r="U250" s="154">
        <f t="shared" si="353"/>
        <v>1.4708436676346534E-2</v>
      </c>
      <c r="V250" s="154">
        <f t="shared" si="353"/>
        <v>1.3990093045978645E-2</v>
      </c>
      <c r="W250" s="154">
        <f t="shared" ref="W250:Y250" si="354">IF(W32=0,0,W32/W$31)</f>
        <v>1.3469833357136649E-2</v>
      </c>
      <c r="X250" s="154">
        <f t="shared" si="354"/>
        <v>1.350746102220517E-2</v>
      </c>
      <c r="Y250" s="154">
        <f t="shared" si="354"/>
        <v>1.3853197525442127E-2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0.95290536445480722</v>
      </c>
      <c r="C251" s="156">
        <f t="shared" si="355"/>
        <v>0.95451514412953076</v>
      </c>
      <c r="D251" s="156">
        <f t="shared" si="355"/>
        <v>0.95519286168809547</v>
      </c>
      <c r="E251" s="156">
        <f t="shared" si="355"/>
        <v>0.95624636461639412</v>
      </c>
      <c r="F251" s="156">
        <f t="shared" si="355"/>
        <v>0.95733252536948188</v>
      </c>
      <c r="G251" s="156">
        <f t="shared" si="355"/>
        <v>0.95716152409119082</v>
      </c>
      <c r="H251" s="156">
        <f t="shared" si="355"/>
        <v>0.95671613605789274</v>
      </c>
      <c r="I251" s="156">
        <f t="shared" si="355"/>
        <v>0.9585413077529481</v>
      </c>
      <c r="J251" s="156">
        <f t="shared" si="355"/>
        <v>0.95897968318068405</v>
      </c>
      <c r="K251" s="156">
        <f t="shared" si="355"/>
        <v>0.95953325882736573</v>
      </c>
      <c r="L251" s="156">
        <f t="shared" ref="L251" si="356">IF(L33=0,0,L33/L$31)</f>
        <v>0.95970774063133502</v>
      </c>
      <c r="M251" s="156">
        <f t="shared" ref="M251:V251" si="357">IF(M33=0,0,M33/M$31)</f>
        <v>0.96251753515160754</v>
      </c>
      <c r="N251" s="156">
        <f t="shared" si="357"/>
        <v>0.96261042546783904</v>
      </c>
      <c r="O251" s="156">
        <f t="shared" si="357"/>
        <v>0.96390687769624361</v>
      </c>
      <c r="P251" s="156">
        <f t="shared" si="357"/>
        <v>0.96421122635029166</v>
      </c>
      <c r="Q251" s="156">
        <f t="shared" si="357"/>
        <v>0.96696074333088589</v>
      </c>
      <c r="R251" s="156">
        <f t="shared" si="357"/>
        <v>0.96744671089623968</v>
      </c>
      <c r="S251" s="156">
        <f t="shared" si="357"/>
        <v>0.9680023848254492</v>
      </c>
      <c r="T251" s="156">
        <f t="shared" si="357"/>
        <v>0.96982320788076026</v>
      </c>
      <c r="U251" s="156">
        <f t="shared" si="357"/>
        <v>0.97010302909995805</v>
      </c>
      <c r="V251" s="156">
        <f t="shared" si="357"/>
        <v>0.96989173420822095</v>
      </c>
      <c r="W251" s="156">
        <f t="shared" ref="W251:Y251" si="358">IF(W33=0,0,W33/W$31)</f>
        <v>0.97150635635097493</v>
      </c>
      <c r="X251" s="156">
        <f t="shared" si="358"/>
        <v>0.97139082592753123</v>
      </c>
      <c r="Y251" s="156">
        <f t="shared" si="358"/>
        <v>0.9716711814364023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0.86462263422279062</v>
      </c>
      <c r="C252" s="103">
        <f t="shared" si="359"/>
        <v>0.85363295712677734</v>
      </c>
      <c r="D252" s="103">
        <f t="shared" si="359"/>
        <v>0.8443266249990643</v>
      </c>
      <c r="E252" s="103">
        <f t="shared" si="359"/>
        <v>0.83899080086865907</v>
      </c>
      <c r="F252" s="103">
        <f t="shared" si="359"/>
        <v>0.82458842816681843</v>
      </c>
      <c r="G252" s="103">
        <f t="shared" si="359"/>
        <v>0.79550671650554827</v>
      </c>
      <c r="H252" s="103">
        <f t="shared" si="359"/>
        <v>0.77233822289363951</v>
      </c>
      <c r="I252" s="103">
        <f t="shared" si="359"/>
        <v>0.72636887468902633</v>
      </c>
      <c r="J252" s="103">
        <f t="shared" si="359"/>
        <v>0.69330946082925204</v>
      </c>
      <c r="K252" s="103">
        <f t="shared" si="359"/>
        <v>0.67014120722726522</v>
      </c>
      <c r="L252" s="103">
        <f t="shared" ref="L252" si="360">IF(L34=0,0,L34/L$31)</f>
        <v>0.637020770226288</v>
      </c>
      <c r="M252" s="103">
        <f t="shared" ref="M252:V252" si="361">IF(M34=0,0,M34/M$31)</f>
        <v>0.61660564810120411</v>
      </c>
      <c r="N252" s="103">
        <f t="shared" si="361"/>
        <v>0.58697136498860225</v>
      </c>
      <c r="O252" s="103">
        <f t="shared" si="361"/>
        <v>0.57166904339148339</v>
      </c>
      <c r="P252" s="103">
        <f t="shared" si="361"/>
        <v>0.56790375101526169</v>
      </c>
      <c r="Q252" s="103">
        <f t="shared" si="361"/>
        <v>0.53773650212069257</v>
      </c>
      <c r="R252" s="103">
        <f t="shared" si="361"/>
        <v>0.56328317699565944</v>
      </c>
      <c r="S252" s="103">
        <f t="shared" si="361"/>
        <v>0.54963645356407109</v>
      </c>
      <c r="T252" s="103">
        <f t="shared" si="361"/>
        <v>0.54926694501809326</v>
      </c>
      <c r="U252" s="103">
        <f t="shared" si="361"/>
        <v>0.55415688361166948</v>
      </c>
      <c r="V252" s="103">
        <f t="shared" si="361"/>
        <v>0.55872707141611222</v>
      </c>
      <c r="W252" s="103">
        <f t="shared" ref="W252:Y252" si="362">IF(W34=0,0,W34/W$31)</f>
        <v>0.56069068981179138</v>
      </c>
      <c r="X252" s="103">
        <f t="shared" si="362"/>
        <v>0.55055430991773446</v>
      </c>
      <c r="Y252" s="103">
        <f t="shared" si="362"/>
        <v>0.54711329255750563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8.3489205991696999E-2</v>
      </c>
      <c r="C253" s="103">
        <f t="shared" si="363"/>
        <v>9.6162957606332367E-2</v>
      </c>
      <c r="D253" s="103">
        <f t="shared" si="363"/>
        <v>0.10661156826795498</v>
      </c>
      <c r="E253" s="103">
        <f t="shared" si="363"/>
        <v>0.11365898400590431</v>
      </c>
      <c r="F253" s="103">
        <f t="shared" si="363"/>
        <v>0.12957129229857658</v>
      </c>
      <c r="G253" s="103">
        <f t="shared" si="363"/>
        <v>0.15901865460039905</v>
      </c>
      <c r="H253" s="103">
        <f t="shared" si="363"/>
        <v>0.18217709286212311</v>
      </c>
      <c r="I253" s="103">
        <f t="shared" si="363"/>
        <v>0.23035966101849406</v>
      </c>
      <c r="J253" s="103">
        <f t="shared" si="363"/>
        <v>0.2642446535790402</v>
      </c>
      <c r="K253" s="103">
        <f t="shared" si="363"/>
        <v>0.28836879930703047</v>
      </c>
      <c r="L253" s="103">
        <f t="shared" ref="L253" si="364">IF(L35=0,0,L35/L$31)</f>
        <v>0.32266423347327577</v>
      </c>
      <c r="M253" s="103">
        <f t="shared" ref="M253:V253" si="365">IF(M35=0,0,M35/M$31)</f>
        <v>0.34571521643218389</v>
      </c>
      <c r="N253" s="103">
        <f t="shared" si="365"/>
        <v>0.37522049125012102</v>
      </c>
      <c r="O253" s="103">
        <f t="shared" si="365"/>
        <v>0.39161457034191832</v>
      </c>
      <c r="P253" s="103">
        <f t="shared" si="365"/>
        <v>0.3950363363878121</v>
      </c>
      <c r="Q253" s="103">
        <f t="shared" si="365"/>
        <v>0.42353879427957275</v>
      </c>
      <c r="R253" s="103">
        <f t="shared" si="365"/>
        <v>0.40066336847799189</v>
      </c>
      <c r="S253" s="103">
        <f t="shared" si="365"/>
        <v>0.41444977457454196</v>
      </c>
      <c r="T253" s="103">
        <f t="shared" si="365"/>
        <v>0.41512011138248367</v>
      </c>
      <c r="U253" s="103">
        <f t="shared" si="365"/>
        <v>0.40744061198678366</v>
      </c>
      <c r="V253" s="103">
        <f t="shared" si="365"/>
        <v>0.39217844054209761</v>
      </c>
      <c r="W253" s="103">
        <f t="shared" ref="W253:Y253" si="366">IF(W35=0,0,W35/W$31)</f>
        <v>0.3681556914664294</v>
      </c>
      <c r="X253" s="103">
        <f t="shared" si="366"/>
        <v>0.35201962693839423</v>
      </c>
      <c r="Y253" s="103">
        <f t="shared" si="366"/>
        <v>0.320374301054765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4.7935242403196231E-3</v>
      </c>
      <c r="C254" s="103">
        <f t="shared" si="367"/>
        <v>4.7192293964211348E-3</v>
      </c>
      <c r="D254" s="103">
        <f t="shared" si="367"/>
        <v>4.2546684210761848E-3</v>
      </c>
      <c r="E254" s="103">
        <f t="shared" si="367"/>
        <v>3.5965797418307808E-3</v>
      </c>
      <c r="F254" s="103">
        <f t="shared" si="367"/>
        <v>3.1728049040869858E-3</v>
      </c>
      <c r="G254" s="103">
        <f t="shared" si="367"/>
        <v>2.6361529852434473E-3</v>
      </c>
      <c r="H254" s="103">
        <f t="shared" si="367"/>
        <v>2.2008203021301838E-3</v>
      </c>
      <c r="I254" s="103">
        <f t="shared" si="367"/>
        <v>1.8127720454276671E-3</v>
      </c>
      <c r="J254" s="103">
        <f t="shared" si="367"/>
        <v>1.4255687723918136E-3</v>
      </c>
      <c r="K254" s="103">
        <f t="shared" si="367"/>
        <v>1.0092396136223947E-3</v>
      </c>
      <c r="L254" s="103">
        <f t="shared" ref="L254" si="368">IF(L36=0,0,L36/L$31)</f>
        <v>0</v>
      </c>
      <c r="M254" s="103">
        <f t="shared" ref="M254:V254" si="369">IF(M36=0,0,M36/M$31)</f>
        <v>0</v>
      </c>
      <c r="N254" s="103">
        <f t="shared" si="369"/>
        <v>0</v>
      </c>
      <c r="O254" s="103">
        <f t="shared" si="369"/>
        <v>0</v>
      </c>
      <c r="P254" s="103">
        <f t="shared" si="369"/>
        <v>0</v>
      </c>
      <c r="Q254" s="103">
        <f t="shared" si="369"/>
        <v>0</v>
      </c>
      <c r="R254" s="103">
        <f t="shared" si="369"/>
        <v>0</v>
      </c>
      <c r="S254" s="103">
        <f t="shared" si="369"/>
        <v>0</v>
      </c>
      <c r="T254" s="103">
        <f t="shared" si="369"/>
        <v>0</v>
      </c>
      <c r="U254" s="103">
        <f t="shared" si="369"/>
        <v>0</v>
      </c>
      <c r="V254" s="103">
        <f t="shared" si="369"/>
        <v>0</v>
      </c>
      <c r="W254" s="103">
        <f t="shared" ref="W254:Y254" si="370">IF(W36=0,0,W36/W$31)</f>
        <v>0</v>
      </c>
      <c r="X254" s="103">
        <f t="shared" si="370"/>
        <v>0</v>
      </c>
      <c r="Y254" s="103">
        <f t="shared" si="370"/>
        <v>0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0</v>
      </c>
      <c r="L255" s="103">
        <f t="shared" ref="L255" si="372">IF(L37=0,0,L37/L$31)</f>
        <v>0</v>
      </c>
      <c r="M255" s="103">
        <f t="shared" ref="M255:V255" si="373">IF(M37=0,0,M37/M$31)</f>
        <v>0</v>
      </c>
      <c r="N255" s="103">
        <f t="shared" si="373"/>
        <v>0</v>
      </c>
      <c r="O255" s="103">
        <f t="shared" si="373"/>
        <v>0</v>
      </c>
      <c r="P255" s="103">
        <f t="shared" si="373"/>
        <v>0</v>
      </c>
      <c r="Q255" s="103">
        <f t="shared" si="373"/>
        <v>2.016805661617999E-5</v>
      </c>
      <c r="R255" s="103">
        <f t="shared" si="373"/>
        <v>5.2467836792645027E-5</v>
      </c>
      <c r="S255" s="103">
        <f t="shared" si="373"/>
        <v>9.3150908203214864E-5</v>
      </c>
      <c r="T255" s="103">
        <f t="shared" si="373"/>
        <v>1.5720475705782236E-4</v>
      </c>
      <c r="U255" s="103">
        <f t="shared" si="373"/>
        <v>2.1780770112524479E-4</v>
      </c>
      <c r="V255" s="103">
        <f t="shared" si="373"/>
        <v>2.677567942202086E-4</v>
      </c>
      <c r="W255" s="103">
        <f t="shared" ref="W255:Y255" si="374">IF(W37=0,0,W37/W$31)</f>
        <v>3.1533695466809001E-4</v>
      </c>
      <c r="X255" s="103">
        <f t="shared" si="374"/>
        <v>3.9069819826393183E-4</v>
      </c>
      <c r="Y255" s="103">
        <f t="shared" si="374"/>
        <v>4.3050583257858585E-4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1.254807736102284E-5</v>
      </c>
      <c r="O256" s="103">
        <f t="shared" si="377"/>
        <v>1.6489537129947847E-5</v>
      </c>
      <c r="P256" s="103">
        <f t="shared" si="377"/>
        <v>5.4111986214614657E-5</v>
      </c>
      <c r="Q256" s="103">
        <f t="shared" si="377"/>
        <v>2.8497974014534953E-3</v>
      </c>
      <c r="R256" s="103">
        <f t="shared" si="377"/>
        <v>2.781280468743501E-4</v>
      </c>
      <c r="S256" s="103">
        <f t="shared" si="377"/>
        <v>4.1154537039606232E-4</v>
      </c>
      <c r="T256" s="103">
        <f t="shared" si="377"/>
        <v>1.4543355093744707E-3</v>
      </c>
      <c r="U256" s="103">
        <f t="shared" si="377"/>
        <v>2.6563836154625846E-3</v>
      </c>
      <c r="V256" s="103">
        <f t="shared" si="377"/>
        <v>8.2221991629324014E-3</v>
      </c>
      <c r="W256" s="103">
        <f t="shared" ref="W256:Y256" si="378">IF(W38=0,0,W38/W$31)</f>
        <v>2.0780218224071563E-2</v>
      </c>
      <c r="X256" s="103">
        <f t="shared" si="378"/>
        <v>2.9891743624187075E-2</v>
      </c>
      <c r="Y256" s="103">
        <f t="shared" si="378"/>
        <v>3.818817400715456E-2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1.4012679447661258E-5</v>
      </c>
      <c r="L257" s="103">
        <f t="shared" ref="L257" si="380">IF(L39=0,0,L39/L$31)</f>
        <v>2.273693177123239E-5</v>
      </c>
      <c r="M257" s="103">
        <f t="shared" ref="M257:V257" si="381">IF(M39=0,0,M39/M$31)</f>
        <v>1.9667061821960864E-4</v>
      </c>
      <c r="N257" s="103">
        <f t="shared" si="381"/>
        <v>4.060211517546432E-4</v>
      </c>
      <c r="O257" s="103">
        <f t="shared" si="381"/>
        <v>6.0677442571196788E-4</v>
      </c>
      <c r="P257" s="103">
        <f t="shared" si="381"/>
        <v>1.2170269610030386E-3</v>
      </c>
      <c r="Q257" s="103">
        <f t="shared" si="381"/>
        <v>2.8154814725507922E-3</v>
      </c>
      <c r="R257" s="103">
        <f t="shared" si="381"/>
        <v>3.1695695389214614E-3</v>
      </c>
      <c r="S257" s="103">
        <f t="shared" si="381"/>
        <v>3.4114604082368443E-3</v>
      </c>
      <c r="T257" s="103">
        <f t="shared" si="381"/>
        <v>3.8246112137510489E-3</v>
      </c>
      <c r="U257" s="103">
        <f t="shared" si="381"/>
        <v>5.6313421849169759E-3</v>
      </c>
      <c r="V257" s="103">
        <f t="shared" si="381"/>
        <v>1.0496266292858381E-2</v>
      </c>
      <c r="W257" s="103">
        <f t="shared" ref="W257:Y257" si="382">IF(W39=0,0,W39/W$31)</f>
        <v>2.1564419894014607E-2</v>
      </c>
      <c r="X257" s="103">
        <f t="shared" si="382"/>
        <v>3.8534447248951748E-2</v>
      </c>
      <c r="Y257" s="103">
        <f t="shared" si="382"/>
        <v>6.5564907984398513E-2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2.4924959302656813E-2</v>
      </c>
      <c r="C258" s="156">
        <f t="shared" si="383"/>
        <v>2.4590331448455894E-2</v>
      </c>
      <c r="D258" s="156">
        <f t="shared" si="383"/>
        <v>2.3624158235774979E-2</v>
      </c>
      <c r="E258" s="156">
        <f t="shared" si="383"/>
        <v>2.2863389330870558E-2</v>
      </c>
      <c r="F258" s="156">
        <f t="shared" si="383"/>
        <v>2.2142815913357729E-2</v>
      </c>
      <c r="G258" s="156">
        <f t="shared" si="383"/>
        <v>2.2137999473250194E-2</v>
      </c>
      <c r="H258" s="156">
        <f t="shared" si="383"/>
        <v>2.2016099821383365E-2</v>
      </c>
      <c r="I258" s="156">
        <f t="shared" si="383"/>
        <v>2.0340256697031132E-2</v>
      </c>
      <c r="J258" s="156">
        <f t="shared" si="383"/>
        <v>2.027294242201718E-2</v>
      </c>
      <c r="K258" s="156">
        <f t="shared" si="383"/>
        <v>2.0543901039047928E-2</v>
      </c>
      <c r="L258" s="156">
        <f t="shared" ref="L258" si="384">IF(L40=0,0,L40/L$31)</f>
        <v>2.0618532015586732E-2</v>
      </c>
      <c r="M258" s="156">
        <f t="shared" ref="M258:V258" si="385">IF(M40=0,0,M40/M$31)</f>
        <v>1.9015405362428957E-2</v>
      </c>
      <c r="N258" s="156">
        <f t="shared" si="385"/>
        <v>1.8330120141107225E-2</v>
      </c>
      <c r="O258" s="156">
        <f t="shared" si="385"/>
        <v>1.7242984375697667E-2</v>
      </c>
      <c r="P258" s="156">
        <f t="shared" si="385"/>
        <v>1.7205824318206036E-2</v>
      </c>
      <c r="Q258" s="156">
        <f t="shared" si="385"/>
        <v>1.5964808096904915E-2</v>
      </c>
      <c r="R258" s="156">
        <f t="shared" si="385"/>
        <v>1.5991791200467856E-2</v>
      </c>
      <c r="S258" s="156">
        <f t="shared" si="385"/>
        <v>1.6519261391631606E-2</v>
      </c>
      <c r="T258" s="156">
        <f t="shared" si="385"/>
        <v>1.5895918959974307E-2</v>
      </c>
      <c r="U258" s="156">
        <f t="shared" si="385"/>
        <v>1.5188534223695425E-2</v>
      </c>
      <c r="V258" s="156">
        <f t="shared" si="385"/>
        <v>1.6118172745800238E-2</v>
      </c>
      <c r="W258" s="156">
        <f t="shared" ref="W258:Y258" si="386">IF(W40=0,0,W40/W$31)</f>
        <v>1.5023810291888361E-2</v>
      </c>
      <c r="X258" s="156">
        <f t="shared" si="386"/>
        <v>1.5101713050263631E-2</v>
      </c>
      <c r="Y258" s="156">
        <f t="shared" si="386"/>
        <v>1.4475621038155653E-2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2.8237069844258291E-3</v>
      </c>
      <c r="C259" s="103">
        <f t="shared" si="387"/>
        <v>2.8447377028599599E-3</v>
      </c>
      <c r="D259" s="103">
        <f t="shared" si="387"/>
        <v>2.7589849496875555E-3</v>
      </c>
      <c r="E259" s="103">
        <f t="shared" si="387"/>
        <v>1.713357248165407E-3</v>
      </c>
      <c r="F259" s="103">
        <f t="shared" si="387"/>
        <v>1.3855820459449659E-3</v>
      </c>
      <c r="G259" s="103">
        <f t="shared" si="387"/>
        <v>1.2866969403083736E-3</v>
      </c>
      <c r="H259" s="103">
        <f t="shared" si="387"/>
        <v>1.2674026791202019E-3</v>
      </c>
      <c r="I259" s="103">
        <f t="shared" si="387"/>
        <v>1.1522914723617697E-3</v>
      </c>
      <c r="J259" s="103">
        <f t="shared" si="387"/>
        <v>1.1458116068239689E-3</v>
      </c>
      <c r="K259" s="103">
        <f t="shared" si="387"/>
        <v>1.1015761054602765E-3</v>
      </c>
      <c r="L259" s="103">
        <f t="shared" ref="L259" si="388">IF(L41=0,0,L41/L$31)</f>
        <v>1.0499847299781544E-3</v>
      </c>
      <c r="M259" s="103">
        <f t="shared" ref="M259:V259" si="389">IF(M41=0,0,M41/M$31)</f>
        <v>9.6378719097278524E-4</v>
      </c>
      <c r="N259" s="103">
        <f t="shared" si="389"/>
        <v>9.5986997078753838E-4</v>
      </c>
      <c r="O259" s="103">
        <f t="shared" si="389"/>
        <v>9.9747571616411439E-4</v>
      </c>
      <c r="P259" s="103">
        <f t="shared" si="389"/>
        <v>8.6892248586231799E-4</v>
      </c>
      <c r="Q259" s="103">
        <f t="shared" si="389"/>
        <v>7.0478228943962108E-4</v>
      </c>
      <c r="R259" s="103">
        <f t="shared" si="389"/>
        <v>6.2636398325616324E-4</v>
      </c>
      <c r="S259" s="103">
        <f t="shared" si="389"/>
        <v>5.7604187212818923E-4</v>
      </c>
      <c r="T259" s="103">
        <f t="shared" si="389"/>
        <v>5.0475375265113167E-4</v>
      </c>
      <c r="U259" s="103">
        <f t="shared" si="389"/>
        <v>4.3806817517716857E-4</v>
      </c>
      <c r="V259" s="103">
        <f t="shared" si="389"/>
        <v>4.3637814783757797E-4</v>
      </c>
      <c r="W259" s="103">
        <f t="shared" ref="W259:Y259" si="390">IF(W41=0,0,W41/W$31)</f>
        <v>3.8794724666068952E-4</v>
      </c>
      <c r="X259" s="103">
        <f t="shared" si="390"/>
        <v>3.8595186041576733E-4</v>
      </c>
      <c r="Y259" s="103">
        <f t="shared" si="390"/>
        <v>3.4443131091522919E-4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2.2101252318230982E-2</v>
      </c>
      <c r="C260" s="103">
        <f t="shared" si="391"/>
        <v>2.1745593745595933E-2</v>
      </c>
      <c r="D260" s="103">
        <f t="shared" si="391"/>
        <v>2.0865173286087422E-2</v>
      </c>
      <c r="E260" s="103">
        <f t="shared" si="391"/>
        <v>2.1150032082705154E-2</v>
      </c>
      <c r="F260" s="103">
        <f t="shared" si="391"/>
        <v>2.0757233867412767E-2</v>
      </c>
      <c r="G260" s="103">
        <f t="shared" si="391"/>
        <v>2.0851302532941821E-2</v>
      </c>
      <c r="H260" s="103">
        <f t="shared" si="391"/>
        <v>2.0748697142263163E-2</v>
      </c>
      <c r="I260" s="103">
        <f t="shared" si="391"/>
        <v>1.9187965224669364E-2</v>
      </c>
      <c r="J260" s="103">
        <f t="shared" si="391"/>
        <v>1.9127130815193211E-2</v>
      </c>
      <c r="K260" s="103">
        <f t="shared" si="391"/>
        <v>1.9442324933587652E-2</v>
      </c>
      <c r="L260" s="103">
        <f t="shared" ref="L260" si="392">IF(L42=0,0,L42/L$31)</f>
        <v>1.9568547285608577E-2</v>
      </c>
      <c r="M260" s="103">
        <f t="shared" ref="M260:V260" si="393">IF(M42=0,0,M42/M$31)</f>
        <v>1.8051618171456174E-2</v>
      </c>
      <c r="N260" s="103">
        <f t="shared" si="393"/>
        <v>1.7370250170319686E-2</v>
      </c>
      <c r="O260" s="103">
        <f t="shared" si="393"/>
        <v>1.6245508659533552E-2</v>
      </c>
      <c r="P260" s="103">
        <f t="shared" si="393"/>
        <v>1.6336901832343719E-2</v>
      </c>
      <c r="Q260" s="103">
        <f t="shared" si="393"/>
        <v>1.5205441198543886E-2</v>
      </c>
      <c r="R260" s="103">
        <f t="shared" si="393"/>
        <v>1.5237385253144036E-2</v>
      </c>
      <c r="S260" s="103">
        <f t="shared" si="393"/>
        <v>1.567215400074572E-2</v>
      </c>
      <c r="T260" s="103">
        <f t="shared" si="393"/>
        <v>1.5121760393077496E-2</v>
      </c>
      <c r="U260" s="103">
        <f t="shared" si="393"/>
        <v>1.4390471320697849E-2</v>
      </c>
      <c r="V260" s="103">
        <f t="shared" si="393"/>
        <v>1.5297462752007752E-2</v>
      </c>
      <c r="W260" s="103">
        <f t="shared" ref="W260:Y260" si="394">IF(W42=0,0,W42/W$31)</f>
        <v>1.3998524206868418E-2</v>
      </c>
      <c r="X260" s="103">
        <f t="shared" si="394"/>
        <v>1.3627217410108942E-2</v>
      </c>
      <c r="Y260" s="103">
        <f t="shared" si="394"/>
        <v>1.2416725835014282E-2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0</v>
      </c>
      <c r="S261" s="103">
        <f t="shared" si="397"/>
        <v>0</v>
      </c>
      <c r="T261" s="103">
        <f t="shared" si="397"/>
        <v>0</v>
      </c>
      <c r="U261" s="103">
        <f t="shared" si="397"/>
        <v>0</v>
      </c>
      <c r="V261" s="103">
        <f t="shared" si="397"/>
        <v>0</v>
      </c>
      <c r="W261" s="103">
        <f t="shared" ref="W261:Y261" si="398">IF(W43=0,0,W43/W$31)</f>
        <v>0</v>
      </c>
      <c r="X261" s="103">
        <f t="shared" si="398"/>
        <v>0</v>
      </c>
      <c r="Y261" s="103">
        <f t="shared" si="398"/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0</v>
      </c>
      <c r="G262" s="103">
        <f t="shared" si="399"/>
        <v>0</v>
      </c>
      <c r="H262" s="103">
        <f t="shared" si="399"/>
        <v>0</v>
      </c>
      <c r="I262" s="103">
        <f t="shared" si="399"/>
        <v>0</v>
      </c>
      <c r="J262" s="103">
        <f t="shared" si="399"/>
        <v>0</v>
      </c>
      <c r="K262" s="103">
        <f t="shared" si="399"/>
        <v>0</v>
      </c>
      <c r="L262" s="103">
        <f t="shared" ref="L262" si="400">IF(L44=0,0,L44/L$31)</f>
        <v>0</v>
      </c>
      <c r="M262" s="103">
        <f t="shared" ref="M262:V262" si="401">IF(M44=0,0,M44/M$31)</f>
        <v>0</v>
      </c>
      <c r="N262" s="103">
        <f t="shared" si="401"/>
        <v>0</v>
      </c>
      <c r="O262" s="103">
        <f t="shared" si="401"/>
        <v>0</v>
      </c>
      <c r="P262" s="103">
        <f t="shared" si="401"/>
        <v>0</v>
      </c>
      <c r="Q262" s="103">
        <f t="shared" si="401"/>
        <v>5.458460892140711E-5</v>
      </c>
      <c r="R262" s="103">
        <f t="shared" si="401"/>
        <v>1.2104207206692124E-4</v>
      </c>
      <c r="S262" s="103">
        <f t="shared" si="401"/>
        <v>2.6179543979644904E-4</v>
      </c>
      <c r="T262" s="103">
        <f t="shared" si="401"/>
        <v>2.5815870712724047E-4</v>
      </c>
      <c r="U262" s="103">
        <f t="shared" si="401"/>
        <v>2.4957032168431846E-4</v>
      </c>
      <c r="V262" s="103">
        <f t="shared" si="401"/>
        <v>2.8017265826773505E-4</v>
      </c>
      <c r="W262" s="103">
        <f t="shared" ref="W262:Y262" si="402">IF(W44=0,0,W44/W$31)</f>
        <v>2.6944872204201313E-4</v>
      </c>
      <c r="X262" s="103">
        <f t="shared" si="402"/>
        <v>2.839922829761655E-4</v>
      </c>
      <c r="Y262" s="103">
        <f t="shared" si="402"/>
        <v>2.9825558773819327E-4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0</v>
      </c>
      <c r="K263" s="103">
        <f t="shared" si="403"/>
        <v>0</v>
      </c>
      <c r="L263" s="103">
        <f t="shared" ref="L263" si="404">IF(L45=0,0,L45/L$31)</f>
        <v>0</v>
      </c>
      <c r="M263" s="103">
        <f t="shared" ref="M263:V263" si="405">IF(M45=0,0,M45/M$31)</f>
        <v>0</v>
      </c>
      <c r="N263" s="103">
        <f t="shared" si="405"/>
        <v>0</v>
      </c>
      <c r="O263" s="103">
        <f t="shared" si="405"/>
        <v>0</v>
      </c>
      <c r="P263" s="103">
        <f t="shared" si="405"/>
        <v>0</v>
      </c>
      <c r="Q263" s="103">
        <f t="shared" si="405"/>
        <v>0</v>
      </c>
      <c r="R263" s="103">
        <f t="shared" si="405"/>
        <v>6.999892000736105E-6</v>
      </c>
      <c r="S263" s="103">
        <f t="shared" si="405"/>
        <v>9.2700789612483261E-6</v>
      </c>
      <c r="T263" s="103">
        <f t="shared" si="405"/>
        <v>1.1246107118436521E-5</v>
      </c>
      <c r="U263" s="103">
        <f t="shared" si="405"/>
        <v>1.1042440613609046E-4</v>
      </c>
      <c r="V263" s="103">
        <f t="shared" si="405"/>
        <v>1.0415918768716941E-4</v>
      </c>
      <c r="W263" s="103">
        <f t="shared" ref="W263:Y263" si="406">IF(W45=0,0,W45/W$31)</f>
        <v>3.6789011631723997E-4</v>
      </c>
      <c r="X263" s="103">
        <f t="shared" si="406"/>
        <v>8.0455149676275498E-4</v>
      </c>
      <c r="Y263" s="103">
        <f t="shared" si="406"/>
        <v>1.4162083044879487E-3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0.74224420207669028</v>
      </c>
      <c r="C265" s="154">
        <f t="shared" si="411"/>
        <v>0.75246605463741645</v>
      </c>
      <c r="D265" s="154">
        <f t="shared" si="411"/>
        <v>0.76190637809143835</v>
      </c>
      <c r="E265" s="154">
        <f t="shared" si="411"/>
        <v>0.76641760935631309</v>
      </c>
      <c r="F265" s="154">
        <f t="shared" si="411"/>
        <v>0.78741501960338744</v>
      </c>
      <c r="G265" s="154">
        <f t="shared" si="411"/>
        <v>0.80155929925573899</v>
      </c>
      <c r="H265" s="154">
        <f t="shared" si="411"/>
        <v>0.810825549883195</v>
      </c>
      <c r="I265" s="154">
        <f t="shared" si="411"/>
        <v>0.82213689931013323</v>
      </c>
      <c r="J265" s="154">
        <f t="shared" si="411"/>
        <v>0.81945882895286026</v>
      </c>
      <c r="K265" s="154">
        <f t="shared" si="411"/>
        <v>0.83230393373067324</v>
      </c>
      <c r="L265" s="154">
        <f t="shared" ref="L265" si="412">IF(L47=0,0,L47/L$46)</f>
        <v>0.82908263476360222</v>
      </c>
      <c r="M265" s="154">
        <f t="shared" ref="M265:V265" si="413">IF(M47=0,0,M47/M$46)</f>
        <v>0.80963606619124673</v>
      </c>
      <c r="N265" s="154">
        <f t="shared" si="413"/>
        <v>0.79427739242870776</v>
      </c>
      <c r="O265" s="154">
        <f t="shared" si="413"/>
        <v>0.78165150391058935</v>
      </c>
      <c r="P265" s="154">
        <f t="shared" si="413"/>
        <v>0.77536120559024779</v>
      </c>
      <c r="Q265" s="154">
        <f t="shared" si="413"/>
        <v>0.78272865224145793</v>
      </c>
      <c r="R265" s="154">
        <f t="shared" si="413"/>
        <v>0.77766902440320684</v>
      </c>
      <c r="S265" s="154">
        <f t="shared" si="413"/>
        <v>0.78716472093110568</v>
      </c>
      <c r="T265" s="154">
        <f t="shared" si="413"/>
        <v>0.79803968711660289</v>
      </c>
      <c r="U265" s="154">
        <f t="shared" si="413"/>
        <v>0.79040314403175771</v>
      </c>
      <c r="V265" s="154">
        <f t="shared" si="413"/>
        <v>0.77270715674613843</v>
      </c>
      <c r="W265" s="154">
        <f t="shared" ref="W265:Y265" si="414">IF(W47=0,0,W47/W$46)</f>
        <v>0.77403575429966232</v>
      </c>
      <c r="X265" s="154">
        <f t="shared" si="414"/>
        <v>0.78308229668485219</v>
      </c>
      <c r="Y265" s="154">
        <f t="shared" si="414"/>
        <v>0.78692135710590372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0.14249287389963722</v>
      </c>
      <c r="C266" s="103">
        <f t="shared" si="415"/>
        <v>0.14904302712221634</v>
      </c>
      <c r="D266" s="103">
        <f t="shared" si="415"/>
        <v>0.14344810598212118</v>
      </c>
      <c r="E266" s="103">
        <f t="shared" si="415"/>
        <v>0.12713738963931964</v>
      </c>
      <c r="F266" s="103">
        <f t="shared" si="415"/>
        <v>0.11714954720082807</v>
      </c>
      <c r="G266" s="103">
        <f t="shared" si="415"/>
        <v>0.10800101971433726</v>
      </c>
      <c r="H266" s="103">
        <f t="shared" si="415"/>
        <v>9.6266008137743178E-2</v>
      </c>
      <c r="I266" s="103">
        <f t="shared" si="415"/>
        <v>8.4430170916202876E-2</v>
      </c>
      <c r="J266" s="103">
        <f t="shared" si="415"/>
        <v>7.4569956439071314E-2</v>
      </c>
      <c r="K266" s="103">
        <f t="shared" si="415"/>
        <v>7.2184909999265676E-2</v>
      </c>
      <c r="L266" s="103">
        <f t="shared" ref="L266" si="416">IF(L48=0,0,L48/L$46)</f>
        <v>6.6281971794944938E-2</v>
      </c>
      <c r="M266" s="103">
        <f t="shared" ref="M266:V266" si="417">IF(M48=0,0,M48/M$46)</f>
        <v>6.1030504846448376E-2</v>
      </c>
      <c r="N266" s="103">
        <f t="shared" si="417"/>
        <v>5.469798177148269E-2</v>
      </c>
      <c r="O266" s="103">
        <f t="shared" si="417"/>
        <v>5.2313080949766146E-2</v>
      </c>
      <c r="P266" s="103">
        <f t="shared" si="417"/>
        <v>5.0462798907908259E-2</v>
      </c>
      <c r="Q266" s="103">
        <f t="shared" si="417"/>
        <v>4.8124344381662298E-2</v>
      </c>
      <c r="R266" s="103">
        <f t="shared" si="417"/>
        <v>4.6685680232316826E-2</v>
      </c>
      <c r="S266" s="103">
        <f t="shared" si="417"/>
        <v>4.5342892969182917E-2</v>
      </c>
      <c r="T266" s="103">
        <f t="shared" si="417"/>
        <v>4.2169480505935796E-2</v>
      </c>
      <c r="U266" s="103">
        <f t="shared" si="417"/>
        <v>4.1481399288380731E-2</v>
      </c>
      <c r="V266" s="103">
        <f t="shared" si="417"/>
        <v>4.053135670984296E-2</v>
      </c>
      <c r="W266" s="103">
        <f t="shared" ref="W266:Y266" si="418">IF(W48=0,0,W48/W$46)</f>
        <v>4.2710702250442038E-2</v>
      </c>
      <c r="X266" s="103">
        <f t="shared" si="418"/>
        <v>4.2301355794078947E-2</v>
      </c>
      <c r="Y266" s="103">
        <f t="shared" si="418"/>
        <v>4.2450510215577421E-2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0.59946313861579348</v>
      </c>
      <c r="C267" s="103">
        <f t="shared" si="419"/>
        <v>0.60312266394378078</v>
      </c>
      <c r="D267" s="103">
        <f t="shared" si="419"/>
        <v>0.61814923143563649</v>
      </c>
      <c r="E267" s="103">
        <f t="shared" si="419"/>
        <v>0.63901455240368343</v>
      </c>
      <c r="F267" s="103">
        <f t="shared" si="419"/>
        <v>0.67003174976419178</v>
      </c>
      <c r="G267" s="103">
        <f t="shared" si="419"/>
        <v>0.69337261887817558</v>
      </c>
      <c r="H267" s="103">
        <f t="shared" si="419"/>
        <v>0.71441903878227142</v>
      </c>
      <c r="I267" s="103">
        <f t="shared" si="419"/>
        <v>0.73759812026645</v>
      </c>
      <c r="J267" s="103">
        <f t="shared" si="419"/>
        <v>0.74479999010569065</v>
      </c>
      <c r="K267" s="103">
        <f t="shared" si="419"/>
        <v>0.76004405955732446</v>
      </c>
      <c r="L267" s="103">
        <f t="shared" ref="L267" si="420">IF(L49=0,0,L49/L$46)</f>
        <v>0.76280066296865734</v>
      </c>
      <c r="M267" s="103">
        <f t="shared" ref="M267:V267" si="421">IF(M49=0,0,M49/M$46)</f>
        <v>0.74860556134479828</v>
      </c>
      <c r="N267" s="103">
        <f t="shared" si="421"/>
        <v>0.73955697752741023</v>
      </c>
      <c r="O267" s="103">
        <f t="shared" si="421"/>
        <v>0.72926078777506809</v>
      </c>
      <c r="P267" s="103">
        <f t="shared" si="421"/>
        <v>0.7248364800505811</v>
      </c>
      <c r="Q267" s="103">
        <f t="shared" si="421"/>
        <v>0.73333380242305868</v>
      </c>
      <c r="R267" s="103">
        <f t="shared" si="421"/>
        <v>0.72964634949625085</v>
      </c>
      <c r="S267" s="103">
        <f t="shared" si="421"/>
        <v>0.74032009270460486</v>
      </c>
      <c r="T267" s="103">
        <f t="shared" si="421"/>
        <v>0.75436792616564641</v>
      </c>
      <c r="U267" s="103">
        <f t="shared" si="421"/>
        <v>0.74710098229380817</v>
      </c>
      <c r="V267" s="103">
        <f t="shared" si="421"/>
        <v>0.72961978247887271</v>
      </c>
      <c r="W267" s="103">
        <f t="shared" ref="W267:Y267" si="422">IF(W49=0,0,W49/W$46)</f>
        <v>0.72629273507848224</v>
      </c>
      <c r="X267" s="103">
        <f t="shared" si="422"/>
        <v>0.7333346235866921</v>
      </c>
      <c r="Y267" s="103">
        <f t="shared" si="422"/>
        <v>0.73398495200178915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2.8818956125959766E-4</v>
      </c>
      <c r="C268" s="103">
        <f t="shared" si="423"/>
        <v>3.0036357141930087E-4</v>
      </c>
      <c r="D268" s="103">
        <f t="shared" si="423"/>
        <v>3.0904067368063917E-4</v>
      </c>
      <c r="E268" s="103">
        <f t="shared" si="423"/>
        <v>2.6566731331000292E-4</v>
      </c>
      <c r="F268" s="103">
        <f t="shared" si="423"/>
        <v>2.3372263836760789E-4</v>
      </c>
      <c r="G268" s="103">
        <f t="shared" si="423"/>
        <v>1.8566066322621064E-4</v>
      </c>
      <c r="H268" s="103">
        <f t="shared" si="423"/>
        <v>1.4050296318020473E-4</v>
      </c>
      <c r="I268" s="103">
        <f t="shared" si="423"/>
        <v>1.0860812748031556E-4</v>
      </c>
      <c r="J268" s="103">
        <f t="shared" si="423"/>
        <v>8.8882408098286332E-5</v>
      </c>
      <c r="K268" s="103">
        <f t="shared" si="423"/>
        <v>7.4964174083239952E-5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0</v>
      </c>
      <c r="O268" s="103">
        <f t="shared" si="425"/>
        <v>0</v>
      </c>
      <c r="P268" s="103">
        <f t="shared" si="425"/>
        <v>0</v>
      </c>
      <c r="Q268" s="103">
        <f t="shared" si="425"/>
        <v>0</v>
      </c>
      <c r="R268" s="103">
        <f t="shared" si="425"/>
        <v>0</v>
      </c>
      <c r="S268" s="103">
        <f t="shared" si="425"/>
        <v>0</v>
      </c>
      <c r="T268" s="103">
        <f t="shared" si="425"/>
        <v>0</v>
      </c>
      <c r="U268" s="103">
        <f t="shared" si="425"/>
        <v>0</v>
      </c>
      <c r="V268" s="103">
        <f t="shared" si="425"/>
        <v>0</v>
      </c>
      <c r="W268" s="103">
        <f t="shared" ref="W268:Y268" si="426">IF(W50=0,0,W50/W$46)</f>
        <v>0</v>
      </c>
      <c r="X268" s="103">
        <f t="shared" si="426"/>
        <v>0</v>
      </c>
      <c r="Y268" s="103">
        <f t="shared" si="426"/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0</v>
      </c>
      <c r="O269" s="103">
        <f t="shared" si="429"/>
        <v>0</v>
      </c>
      <c r="P269" s="103">
        <f t="shared" si="429"/>
        <v>0</v>
      </c>
      <c r="Q269" s="103">
        <f t="shared" si="429"/>
        <v>5.4925469966851388E-4</v>
      </c>
      <c r="R269" s="103">
        <f t="shared" si="429"/>
        <v>5.7199246158374075E-4</v>
      </c>
      <c r="S269" s="103">
        <f t="shared" si="429"/>
        <v>6.0012757390310429E-4</v>
      </c>
      <c r="T269" s="103">
        <f t="shared" si="429"/>
        <v>5.8513400582144376E-4</v>
      </c>
      <c r="U269" s="103">
        <f t="shared" si="429"/>
        <v>5.7272127634229507E-4</v>
      </c>
      <c r="V269" s="103">
        <f t="shared" si="429"/>
        <v>5.4953720106589658E-4</v>
      </c>
      <c r="W269" s="103">
        <f t="shared" ref="W269:Y269" si="430">IF(W51=0,0,W51/W$46)</f>
        <v>5.2847754103027566E-4</v>
      </c>
      <c r="X269" s="103">
        <f t="shared" si="430"/>
        <v>4.9206778300512027E-4</v>
      </c>
      <c r="Y269" s="103">
        <f t="shared" si="430"/>
        <v>4.5922483151765458E-4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0</v>
      </c>
      <c r="N270" s="103">
        <f t="shared" si="433"/>
        <v>2.2433129814855006E-5</v>
      </c>
      <c r="O270" s="103">
        <f t="shared" si="433"/>
        <v>7.7635185755183002E-5</v>
      </c>
      <c r="P270" s="103">
        <f t="shared" si="433"/>
        <v>6.1926631758379988E-5</v>
      </c>
      <c r="Q270" s="103">
        <f t="shared" si="433"/>
        <v>7.2125073706827967E-4</v>
      </c>
      <c r="R270" s="103">
        <f t="shared" si="433"/>
        <v>7.6500221305558964E-4</v>
      </c>
      <c r="S270" s="103">
        <f t="shared" si="433"/>
        <v>9.0160768341474484E-4</v>
      </c>
      <c r="T270" s="103">
        <f t="shared" si="433"/>
        <v>9.1714643919923566E-4</v>
      </c>
      <c r="U270" s="103">
        <f t="shared" si="433"/>
        <v>1.2480411732266167E-3</v>
      </c>
      <c r="V270" s="103">
        <f t="shared" si="433"/>
        <v>2.0064803563570135E-3</v>
      </c>
      <c r="W270" s="103">
        <f t="shared" ref="W270:Y270" si="434">IF(W52=0,0,W52/W$46)</f>
        <v>4.5038394297077537E-3</v>
      </c>
      <c r="X270" s="103">
        <f t="shared" si="434"/>
        <v>6.9542495210760296E-3</v>
      </c>
      <c r="Y270" s="103">
        <f t="shared" si="434"/>
        <v>1.0026670057019545E-2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0.25775579792330972</v>
      </c>
      <c r="C271" s="156">
        <f t="shared" si="435"/>
        <v>0.24753394536258361</v>
      </c>
      <c r="D271" s="156">
        <f t="shared" si="435"/>
        <v>0.23809362190856162</v>
      </c>
      <c r="E271" s="156">
        <f t="shared" si="435"/>
        <v>0.23358239064368685</v>
      </c>
      <c r="F271" s="156">
        <f t="shared" si="435"/>
        <v>0.2125849803966125</v>
      </c>
      <c r="G271" s="156">
        <f t="shared" si="435"/>
        <v>0.19844070074426098</v>
      </c>
      <c r="H271" s="156">
        <f t="shared" si="435"/>
        <v>0.18917445011680495</v>
      </c>
      <c r="I271" s="156">
        <f t="shared" si="435"/>
        <v>0.17786310068986669</v>
      </c>
      <c r="J271" s="156">
        <f t="shared" si="435"/>
        <v>0.18054117104713979</v>
      </c>
      <c r="K271" s="156">
        <f t="shared" si="435"/>
        <v>0.16769606626932676</v>
      </c>
      <c r="L271" s="156">
        <f t="shared" ref="L271" si="436">IF(L53=0,0,L53/L$46)</f>
        <v>0.17091736523639772</v>
      </c>
      <c r="M271" s="156">
        <f t="shared" ref="M271:V271" si="437">IF(M53=0,0,M53/M$46)</f>
        <v>0.19036393380875322</v>
      </c>
      <c r="N271" s="156">
        <f t="shared" si="437"/>
        <v>0.20572260757129232</v>
      </c>
      <c r="O271" s="156">
        <f t="shared" si="437"/>
        <v>0.21834849608941057</v>
      </c>
      <c r="P271" s="156">
        <f t="shared" si="437"/>
        <v>0.22463879440975221</v>
      </c>
      <c r="Q271" s="156">
        <f t="shared" si="437"/>
        <v>0.21727134775854207</v>
      </c>
      <c r="R271" s="156">
        <f t="shared" si="437"/>
        <v>0.22233097559679321</v>
      </c>
      <c r="S271" s="156">
        <f t="shared" si="437"/>
        <v>0.21283527906889438</v>
      </c>
      <c r="T271" s="156">
        <f t="shared" si="437"/>
        <v>0.20196031288339705</v>
      </c>
      <c r="U271" s="156">
        <f t="shared" si="437"/>
        <v>0.20959685596824223</v>
      </c>
      <c r="V271" s="156">
        <f t="shared" si="437"/>
        <v>0.22729284325386151</v>
      </c>
      <c r="W271" s="156">
        <f t="shared" ref="W271:Y271" si="438">IF(W53=0,0,W53/W$46)</f>
        <v>0.22596424570033768</v>
      </c>
      <c r="X271" s="156">
        <f t="shared" si="438"/>
        <v>0.2169177033151479</v>
      </c>
      <c r="Y271" s="156">
        <f t="shared" si="438"/>
        <v>0.21307864289409637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0.21341629997469422</v>
      </c>
      <c r="C272" s="104">
        <f t="shared" si="439"/>
        <v>0.20342401556577838</v>
      </c>
      <c r="D272" s="104">
        <f t="shared" si="439"/>
        <v>0.19336037616452606</v>
      </c>
      <c r="E272" s="104">
        <f t="shared" si="439"/>
        <v>0.19128290607330517</v>
      </c>
      <c r="F272" s="104">
        <f t="shared" si="439"/>
        <v>0.16684582684434343</v>
      </c>
      <c r="G272" s="104">
        <f t="shared" si="439"/>
        <v>0.15421814137246387</v>
      </c>
      <c r="H272" s="104">
        <f t="shared" si="439"/>
        <v>0.14621228380746579</v>
      </c>
      <c r="I272" s="104">
        <f t="shared" si="439"/>
        <v>0.1364353815890797</v>
      </c>
      <c r="J272" s="104">
        <f t="shared" si="439"/>
        <v>0.12899450032613868</v>
      </c>
      <c r="K272" s="104">
        <f t="shared" si="439"/>
        <v>0.12022173553871354</v>
      </c>
      <c r="L272" s="104">
        <f t="shared" ref="L272" si="440">IF(L54=0,0,L54/L$46)</f>
        <v>0.12539587686471956</v>
      </c>
      <c r="M272" s="104">
        <f t="shared" ref="M272:V272" si="441">IF(M54=0,0,M54/M$46)</f>
        <v>0.14265871906681385</v>
      </c>
      <c r="N272" s="104">
        <f t="shared" si="441"/>
        <v>0.15555108657089406</v>
      </c>
      <c r="O272" s="104">
        <f t="shared" si="441"/>
        <v>0.15964533116166277</v>
      </c>
      <c r="P272" s="104">
        <f t="shared" si="441"/>
        <v>0.16856954668537058</v>
      </c>
      <c r="Q272" s="104">
        <f t="shared" si="441"/>
        <v>0.1611359285451478</v>
      </c>
      <c r="R272" s="104">
        <f t="shared" si="441"/>
        <v>0.15854596441905217</v>
      </c>
      <c r="S272" s="104">
        <f t="shared" si="441"/>
        <v>0.14864678924391478</v>
      </c>
      <c r="T272" s="104">
        <f t="shared" si="441"/>
        <v>0.14357588903844909</v>
      </c>
      <c r="U272" s="104">
        <f t="shared" si="441"/>
        <v>0.14904146799163348</v>
      </c>
      <c r="V272" s="104">
        <f t="shared" si="441"/>
        <v>0.15847085225888072</v>
      </c>
      <c r="W272" s="104">
        <f t="shared" ref="W272:Y272" si="442">IF(W54=0,0,W54/W$46)</f>
        <v>0.15845664280636515</v>
      </c>
      <c r="X272" s="104">
        <f t="shared" si="442"/>
        <v>0.1506122877499983</v>
      </c>
      <c r="Y272" s="104">
        <f t="shared" si="442"/>
        <v>0.15017166033032203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4.4339497948615518E-2</v>
      </c>
      <c r="C273" s="105">
        <f t="shared" si="443"/>
        <v>4.4109929796805218E-2</v>
      </c>
      <c r="D273" s="105">
        <f t="shared" si="443"/>
        <v>4.4733245744035546E-2</v>
      </c>
      <c r="E273" s="105">
        <f t="shared" si="443"/>
        <v>4.2299484570381671E-2</v>
      </c>
      <c r="F273" s="105">
        <f t="shared" si="443"/>
        <v>4.5739153552269061E-2</v>
      </c>
      <c r="G273" s="105">
        <f t="shared" si="443"/>
        <v>4.4222559371797102E-2</v>
      </c>
      <c r="H273" s="105">
        <f t="shared" si="443"/>
        <v>4.2962166309339141E-2</v>
      </c>
      <c r="I273" s="105">
        <f t="shared" si="443"/>
        <v>4.1427719100786978E-2</v>
      </c>
      <c r="J273" s="105">
        <f t="shared" si="443"/>
        <v>5.1546670721001109E-2</v>
      </c>
      <c r="K273" s="105">
        <f t="shared" si="443"/>
        <v>4.7474330730613225E-2</v>
      </c>
      <c r="L273" s="105">
        <f t="shared" ref="L273" si="444">IF(L55=0,0,L55/L$46)</f>
        <v>4.5521488371678166E-2</v>
      </c>
      <c r="M273" s="105">
        <f t="shared" ref="M273:V273" si="445">IF(M55=0,0,M55/M$46)</f>
        <v>4.7705214741939374E-2</v>
      </c>
      <c r="N273" s="105">
        <f t="shared" si="445"/>
        <v>5.0171521000398241E-2</v>
      </c>
      <c r="O273" s="105">
        <f t="shared" si="445"/>
        <v>5.8703164927747797E-2</v>
      </c>
      <c r="P273" s="105">
        <f t="shared" si="445"/>
        <v>5.606924772438162E-2</v>
      </c>
      <c r="Q273" s="105">
        <f t="shared" si="445"/>
        <v>5.6135419213394287E-2</v>
      </c>
      <c r="R273" s="105">
        <f t="shared" si="445"/>
        <v>6.3785011177741074E-2</v>
      </c>
      <c r="S273" s="105">
        <f t="shared" si="445"/>
        <v>6.4188489824979572E-2</v>
      </c>
      <c r="T273" s="105">
        <f t="shared" si="445"/>
        <v>5.8384423844947943E-2</v>
      </c>
      <c r="U273" s="105">
        <f t="shared" si="445"/>
        <v>6.0555387976608747E-2</v>
      </c>
      <c r="V273" s="105">
        <f t="shared" si="445"/>
        <v>6.882199099498082E-2</v>
      </c>
      <c r="W273" s="105">
        <f t="shared" ref="W273:Y273" si="446">IF(W55=0,0,W55/W$46)</f>
        <v>6.7507602893972535E-2</v>
      </c>
      <c r="X273" s="105">
        <f t="shared" si="446"/>
        <v>6.6305415565149586E-2</v>
      </c>
      <c r="Y273" s="105">
        <f t="shared" si="446"/>
        <v>6.2906982563774319E-2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3691.339466895959</v>
      </c>
      <c r="C4" s="145">
        <f t="shared" si="0"/>
        <v>3718.2717110920025</v>
      </c>
      <c r="D4" s="145">
        <f t="shared" si="0"/>
        <v>3755.276182287188</v>
      </c>
      <c r="E4" s="145">
        <f t="shared" si="0"/>
        <v>3911.2902837489246</v>
      </c>
      <c r="F4" s="145">
        <f t="shared" si="0"/>
        <v>4035.0315563198624</v>
      </c>
      <c r="G4" s="145">
        <f t="shared" si="0"/>
        <v>4068.1307824591577</v>
      </c>
      <c r="H4" s="145">
        <f t="shared" si="0"/>
        <v>4182.1773860705071</v>
      </c>
      <c r="I4" s="145">
        <f t="shared" si="0"/>
        <v>4379.4067067927772</v>
      </c>
      <c r="J4" s="145">
        <f t="shared" si="0"/>
        <v>4276.483233018057</v>
      </c>
      <c r="K4" s="145">
        <f t="shared" si="0"/>
        <v>4054.4337977152604</v>
      </c>
      <c r="L4" s="145">
        <f t="shared" ref="L4" si="1">L5+L9+L10+L15</f>
        <v>4035.6760742790816</v>
      </c>
      <c r="M4" s="145">
        <f t="shared" ref="M4:V4" si="2">M5+M9+M10+M15</f>
        <v>4029.4882136374003</v>
      </c>
      <c r="N4" s="145">
        <f t="shared" si="2"/>
        <v>3764.7679102590346</v>
      </c>
      <c r="O4" s="145">
        <f t="shared" si="2"/>
        <v>3697.1933292400759</v>
      </c>
      <c r="P4" s="145">
        <f t="shared" si="2"/>
        <v>3761.2246295496202</v>
      </c>
      <c r="Q4" s="145">
        <f t="shared" si="2"/>
        <v>3901.5014787449481</v>
      </c>
      <c r="R4" s="145">
        <f t="shared" si="2"/>
        <v>3968.5530115692745</v>
      </c>
      <c r="S4" s="145">
        <f t="shared" si="2"/>
        <v>3968.4201252944522</v>
      </c>
      <c r="T4" s="145">
        <f t="shared" si="2"/>
        <v>4051.4569862349399</v>
      </c>
      <c r="U4" s="145">
        <f t="shared" si="2"/>
        <v>3975.5448594544173</v>
      </c>
      <c r="V4" s="145">
        <f t="shared" si="2"/>
        <v>3703.199838941664</v>
      </c>
      <c r="W4" s="145">
        <f t="shared" ref="W4:Y4" si="3">W5+W9+W10+W15</f>
        <v>3776.8402050107411</v>
      </c>
      <c r="X4" s="145">
        <f t="shared" si="3"/>
        <v>3756.6494879403394</v>
      </c>
      <c r="Y4" s="145">
        <f t="shared" si="3"/>
        <v>3765.89064423122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3691.339466895959</v>
      </c>
      <c r="C5" s="97">
        <f t="shared" si="4"/>
        <v>3718.2717110920025</v>
      </c>
      <c r="D5" s="97">
        <f t="shared" si="4"/>
        <v>3755.276182287188</v>
      </c>
      <c r="E5" s="97">
        <f t="shared" si="4"/>
        <v>3911.2902837489246</v>
      </c>
      <c r="F5" s="97">
        <f t="shared" si="4"/>
        <v>4035.0315563198624</v>
      </c>
      <c r="G5" s="97">
        <f t="shared" si="4"/>
        <v>4068.1307824591577</v>
      </c>
      <c r="H5" s="97">
        <f t="shared" si="4"/>
        <v>4178.3510748065346</v>
      </c>
      <c r="I5" s="97">
        <f t="shared" si="4"/>
        <v>4373.6672398968185</v>
      </c>
      <c r="J5" s="97">
        <f t="shared" si="4"/>
        <v>4271.3815133276012</v>
      </c>
      <c r="K5" s="97">
        <f t="shared" si="4"/>
        <v>4045.7437661220984</v>
      </c>
      <c r="L5" s="97">
        <f t="shared" ref="L5" si="5">SUM(L6:L8)</f>
        <v>4008.8827171109206</v>
      </c>
      <c r="M5" s="97">
        <f t="shared" ref="M5:V5" si="6">SUM(M6:M8)</f>
        <v>3898.9156491831473</v>
      </c>
      <c r="N5" s="97">
        <f t="shared" si="6"/>
        <v>3558.3644024075656</v>
      </c>
      <c r="O5" s="97">
        <f t="shared" si="6"/>
        <v>3488.8768701633689</v>
      </c>
      <c r="P5" s="97">
        <f t="shared" si="6"/>
        <v>3547.2965606190883</v>
      </c>
      <c r="Q5" s="97">
        <f t="shared" si="6"/>
        <v>3682.5863284608758</v>
      </c>
      <c r="R5" s="97">
        <f t="shared" si="6"/>
        <v>3745.820636285468</v>
      </c>
      <c r="S5" s="97">
        <f t="shared" si="6"/>
        <v>3743.9051590713671</v>
      </c>
      <c r="T5" s="97">
        <f t="shared" si="6"/>
        <v>3826.5566638005157</v>
      </c>
      <c r="U5" s="97">
        <f t="shared" si="6"/>
        <v>3734.0164230438513</v>
      </c>
      <c r="V5" s="97">
        <f t="shared" si="6"/>
        <v>3432.1341358555455</v>
      </c>
      <c r="W5" s="97">
        <f t="shared" ref="W5:Y5" si="7">SUM(W6:W8)</f>
        <v>3478.8882201203783</v>
      </c>
      <c r="X5" s="97">
        <f t="shared" si="7"/>
        <v>3455.7237317282893</v>
      </c>
      <c r="Y5" s="97">
        <f t="shared" si="7"/>
        <v>3446.2613069647464</v>
      </c>
      <c r="DA5" s="175"/>
    </row>
    <row r="6" spans="1:105" ht="11.45" customHeight="1" x14ac:dyDescent="0.25">
      <c r="A6" s="128" t="s">
        <v>52</v>
      </c>
      <c r="B6" s="97">
        <v>9.8882201203783318</v>
      </c>
      <c r="C6" s="97">
        <v>10.98693035253654</v>
      </c>
      <c r="D6" s="97">
        <v>12.085640584694749</v>
      </c>
      <c r="E6" s="97">
        <v>9.8882201203783318</v>
      </c>
      <c r="F6" s="97">
        <v>8.7895098882201186</v>
      </c>
      <c r="G6" s="97">
        <v>7.690799656061909</v>
      </c>
      <c r="H6" s="97">
        <v>6.592175408426483</v>
      </c>
      <c r="I6" s="97">
        <v>5.4934651762682716</v>
      </c>
      <c r="J6" s="97">
        <v>4.3947549441100593</v>
      </c>
      <c r="K6" s="97">
        <v>3.2960447119518479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0</v>
      </c>
      <c r="S6" s="97">
        <v>0</v>
      </c>
      <c r="T6" s="97">
        <v>0</v>
      </c>
      <c r="U6" s="97">
        <v>0</v>
      </c>
      <c r="V6" s="97">
        <v>0</v>
      </c>
      <c r="W6" s="97">
        <v>0</v>
      </c>
      <c r="X6" s="97">
        <v>0</v>
      </c>
      <c r="Y6" s="97">
        <v>0</v>
      </c>
      <c r="DA6" s="175" t="s">
        <v>630</v>
      </c>
    </row>
    <row r="7" spans="1:105" ht="11.45" customHeight="1" x14ac:dyDescent="0.25">
      <c r="A7" s="128" t="s">
        <v>53</v>
      </c>
      <c r="B7" s="97">
        <v>2019.059931212382</v>
      </c>
      <c r="C7" s="97">
        <v>1991.8601031814269</v>
      </c>
      <c r="D7" s="97">
        <v>2000.2293207222699</v>
      </c>
      <c r="E7" s="97">
        <v>2005.4600171969039</v>
      </c>
      <c r="F7" s="97">
        <v>1981.398710232158</v>
      </c>
      <c r="G7" s="97">
        <v>1921.768443680138</v>
      </c>
      <c r="H7" s="97">
        <v>1887.245657781599</v>
      </c>
      <c r="I7" s="97">
        <v>1870.507308684437</v>
      </c>
      <c r="J7" s="97">
        <v>1780.5388650042989</v>
      </c>
      <c r="K7" s="97">
        <v>1692.662682717111</v>
      </c>
      <c r="L7" s="97">
        <v>1574.448237317283</v>
      </c>
      <c r="M7" s="97">
        <v>1540.971625107481</v>
      </c>
      <c r="N7" s="97">
        <v>1381.957609630266</v>
      </c>
      <c r="O7" s="97">
        <v>1335.9271711091999</v>
      </c>
      <c r="P7" s="97">
        <v>1321.2811693895101</v>
      </c>
      <c r="Q7" s="97">
        <v>1389.3694754944106</v>
      </c>
      <c r="R7" s="97">
        <v>1377.8023215821152</v>
      </c>
      <c r="S7" s="97">
        <v>1312.175494411006</v>
      </c>
      <c r="T7" s="97">
        <v>1316.359071367154</v>
      </c>
      <c r="U7" s="97">
        <v>1317.570507308684</v>
      </c>
      <c r="V7" s="97">
        <v>1175.514445399828</v>
      </c>
      <c r="W7" s="97">
        <v>1206.1759243336201</v>
      </c>
      <c r="X7" s="97">
        <v>1198.618572656922</v>
      </c>
      <c r="Y7" s="97">
        <v>1212.0552880481509</v>
      </c>
      <c r="DA7" s="175" t="s">
        <v>631</v>
      </c>
    </row>
    <row r="8" spans="1:105" ht="11.45" customHeight="1" x14ac:dyDescent="0.25">
      <c r="A8" s="128" t="s">
        <v>54</v>
      </c>
      <c r="B8" s="97">
        <v>1662.3913155631988</v>
      </c>
      <c r="C8" s="97">
        <v>1715.4246775580391</v>
      </c>
      <c r="D8" s="97">
        <v>1742.9612209802233</v>
      </c>
      <c r="E8" s="97">
        <v>1895.9420464316422</v>
      </c>
      <c r="F8" s="97">
        <v>2044.8433361994842</v>
      </c>
      <c r="G8" s="97">
        <v>2138.6715391229577</v>
      </c>
      <c r="H8" s="97">
        <v>2284.5132416165088</v>
      </c>
      <c r="I8" s="97">
        <v>2497.666466036113</v>
      </c>
      <c r="J8" s="97">
        <v>2486.447893379192</v>
      </c>
      <c r="K8" s="97">
        <v>2349.7850386930354</v>
      </c>
      <c r="L8" s="97">
        <v>2434.4344797936374</v>
      </c>
      <c r="M8" s="97">
        <v>2357.9440240756662</v>
      </c>
      <c r="N8" s="97">
        <v>2176.4067927772999</v>
      </c>
      <c r="O8" s="97">
        <v>2152.9496990541693</v>
      </c>
      <c r="P8" s="97">
        <v>2226.0153912295782</v>
      </c>
      <c r="Q8" s="97">
        <v>2293.2168529664655</v>
      </c>
      <c r="R8" s="97">
        <v>2368.0183147033531</v>
      </c>
      <c r="S8" s="97">
        <v>2431.7296646603609</v>
      </c>
      <c r="T8" s="97">
        <v>2510.1975924333615</v>
      </c>
      <c r="U8" s="97">
        <v>2416.4459157351675</v>
      </c>
      <c r="V8" s="97">
        <v>2256.6196904557178</v>
      </c>
      <c r="W8" s="97">
        <v>2272.7122957867582</v>
      </c>
      <c r="X8" s="97">
        <v>2257.1051590713673</v>
      </c>
      <c r="Y8" s="97">
        <v>2234.2060189165954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1.7858519093201439</v>
      </c>
      <c r="R9" s="97">
        <v>3.047468695952543</v>
      </c>
      <c r="S9" s="97">
        <v>6.0548687511923305</v>
      </c>
      <c r="T9" s="97">
        <v>7.2987717769348777</v>
      </c>
      <c r="U9" s="97">
        <v>7.1551438187988907</v>
      </c>
      <c r="V9" s="97">
        <v>6.5617339785170463</v>
      </c>
      <c r="W9" s="97">
        <v>7.1191483748790336</v>
      </c>
      <c r="X9" s="97">
        <v>7.3848297390635258</v>
      </c>
      <c r="Y9" s="97">
        <v>6.8327768487189875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3.8263112639724852</v>
      </c>
      <c r="I10" s="97">
        <f t="shared" si="8"/>
        <v>5.7394668959587269</v>
      </c>
      <c r="J10" s="97">
        <f t="shared" si="8"/>
        <v>5.1017196904557176</v>
      </c>
      <c r="K10" s="97">
        <f t="shared" si="8"/>
        <v>8.6844368013757514</v>
      </c>
      <c r="L10" s="97">
        <f t="shared" si="8"/>
        <v>26.784178847807389</v>
      </c>
      <c r="M10" s="97">
        <f t="shared" si="8"/>
        <v>130.48865004299225</v>
      </c>
      <c r="N10" s="97">
        <f t="shared" si="8"/>
        <v>206.22674118658642</v>
      </c>
      <c r="O10" s="97">
        <f t="shared" si="8"/>
        <v>208.03241616509021</v>
      </c>
      <c r="P10" s="97">
        <f t="shared" si="8"/>
        <v>213.34737747205497</v>
      </c>
      <c r="Q10" s="97">
        <f t="shared" si="8"/>
        <v>214.30133639678473</v>
      </c>
      <c r="R10" s="97">
        <f t="shared" si="8"/>
        <v>217.56147369441715</v>
      </c>
      <c r="S10" s="97">
        <f t="shared" si="8"/>
        <v>216.09689393152482</v>
      </c>
      <c r="T10" s="97">
        <f t="shared" si="8"/>
        <v>214.47354120672802</v>
      </c>
      <c r="U10" s="97">
        <f t="shared" si="8"/>
        <v>227.96618034285194</v>
      </c>
      <c r="V10" s="97">
        <f t="shared" si="8"/>
        <v>252.82983953824987</v>
      </c>
      <c r="W10" s="97">
        <f t="shared" si="8"/>
        <v>258.60423941531866</v>
      </c>
      <c r="X10" s="97">
        <f t="shared" ref="X10:Y10" si="9">SUM(X11:X13)</f>
        <v>237.2227368989416</v>
      </c>
      <c r="Y10" s="97">
        <f t="shared" si="9"/>
        <v>220.63669864569206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3.7793834445978627E-2</v>
      </c>
      <c r="R11" s="97">
        <v>0.19414781307583134</v>
      </c>
      <c r="S11" s="97">
        <v>0.66310201406992209</v>
      </c>
      <c r="T11" s="97">
        <v>0.56029959021903408</v>
      </c>
      <c r="U11" s="97">
        <v>1.6077968518803876</v>
      </c>
      <c r="V11" s="97">
        <v>1.3563227712679915</v>
      </c>
      <c r="W11" s="97">
        <v>1.9726830954563057</v>
      </c>
      <c r="X11" s="97">
        <v>3.5881711207817046</v>
      </c>
      <c r="Y11" s="97">
        <v>3.9419437015819518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3.8263112639724852</v>
      </c>
      <c r="I12" s="97">
        <v>5.7394668959587269</v>
      </c>
      <c r="J12" s="97">
        <v>5.1017196904557176</v>
      </c>
      <c r="K12" s="97">
        <v>5.1017196904557176</v>
      </c>
      <c r="L12" s="97">
        <v>26.784178847807389</v>
      </c>
      <c r="M12" s="97">
        <v>47.191143594153047</v>
      </c>
      <c r="N12" s="97">
        <v>50.379793637145312</v>
      </c>
      <c r="O12" s="97">
        <v>45.915735167669823</v>
      </c>
      <c r="P12" s="97">
        <v>44.640326741186577</v>
      </c>
      <c r="Q12" s="97">
        <v>44.002579535683573</v>
      </c>
      <c r="R12" s="97">
        <v>43.902493551160788</v>
      </c>
      <c r="S12" s="97">
        <v>43.596388650042989</v>
      </c>
      <c r="T12" s="97">
        <v>42.931212381771282</v>
      </c>
      <c r="U12" s="97">
        <v>43.695872742906268</v>
      </c>
      <c r="V12" s="97">
        <v>79.75434221840068</v>
      </c>
      <c r="W12" s="97">
        <v>81.842906276870153</v>
      </c>
      <c r="X12" s="97">
        <v>79.920206362854685</v>
      </c>
      <c r="Y12" s="97">
        <v>83.992003439380909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3.5827171109200342</v>
      </c>
      <c r="L13" s="97">
        <v>0</v>
      </c>
      <c r="M13" s="97">
        <v>83.297506448839201</v>
      </c>
      <c r="N13" s="97">
        <v>155.8469475494411</v>
      </c>
      <c r="O13" s="97">
        <v>162.11668099742039</v>
      </c>
      <c r="P13" s="97">
        <v>168.70705073086839</v>
      </c>
      <c r="Q13" s="97">
        <v>170.26096302665519</v>
      </c>
      <c r="R13" s="97">
        <v>173.46483233018051</v>
      </c>
      <c r="S13" s="97">
        <v>171.8374032674119</v>
      </c>
      <c r="T13" s="97">
        <v>170.98202923473769</v>
      </c>
      <c r="U13" s="97">
        <v>182.6625107480653</v>
      </c>
      <c r="V13" s="97">
        <v>171.71917454858121</v>
      </c>
      <c r="W13" s="97">
        <v>174.7886500429922</v>
      </c>
      <c r="X13" s="97">
        <v>153.71435941530521</v>
      </c>
      <c r="Y13" s="97">
        <v>132.70275150472921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5.5947917861321715E-3</v>
      </c>
      <c r="L15" s="98">
        <v>9.1783203536193753E-3</v>
      </c>
      <c r="M15" s="98">
        <v>8.391441126112674E-2</v>
      </c>
      <c r="N15" s="98">
        <v>0.17676666488240242</v>
      </c>
      <c r="O15" s="98">
        <v>0.28404291161672884</v>
      </c>
      <c r="P15" s="98">
        <v>0.58069145847681503</v>
      </c>
      <c r="Q15" s="98">
        <v>2.8279619779672061</v>
      </c>
      <c r="R15" s="98">
        <v>2.1234328934368252</v>
      </c>
      <c r="S15" s="98">
        <v>2.3632035403679756</v>
      </c>
      <c r="T15" s="98">
        <v>3.1280094507613736</v>
      </c>
      <c r="U15" s="98">
        <v>6.4071122489149026</v>
      </c>
      <c r="V15" s="98">
        <v>11.674129569351184</v>
      </c>
      <c r="W15" s="98">
        <v>32.22859710016526</v>
      </c>
      <c r="X15" s="98">
        <v>56.31818957404505</v>
      </c>
      <c r="Y15" s="98">
        <v>92.159861772062641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3691.339466895959</v>
      </c>
      <c r="C17" s="79">
        <f t="shared" si="10"/>
        <v>3718.271711092003</v>
      </c>
      <c r="D17" s="79">
        <f t="shared" si="10"/>
        <v>3755.276182287188</v>
      </c>
      <c r="E17" s="79">
        <f t="shared" si="10"/>
        <v>3911.2902837489241</v>
      </c>
      <c r="F17" s="79">
        <f t="shared" si="10"/>
        <v>4035.0315563198624</v>
      </c>
      <c r="G17" s="79">
        <f t="shared" si="10"/>
        <v>4068.1307824591577</v>
      </c>
      <c r="H17" s="79">
        <f t="shared" si="10"/>
        <v>4182.1773860705071</v>
      </c>
      <c r="I17" s="79">
        <f t="shared" si="10"/>
        <v>4379.4067067927772</v>
      </c>
      <c r="J17" s="79">
        <f t="shared" si="10"/>
        <v>4276.483233018057</v>
      </c>
      <c r="K17" s="79">
        <f t="shared" si="10"/>
        <v>4054.4337977152609</v>
      </c>
      <c r="L17" s="79">
        <f t="shared" ref="L17" si="11">L18+L42</f>
        <v>4035.6760742790816</v>
      </c>
      <c r="M17" s="79">
        <f t="shared" ref="M17:V17" si="12">M18+M42</f>
        <v>4029.4882136374008</v>
      </c>
      <c r="N17" s="79">
        <f t="shared" si="12"/>
        <v>3764.7679102590346</v>
      </c>
      <c r="O17" s="79">
        <f t="shared" si="12"/>
        <v>3697.1933292400759</v>
      </c>
      <c r="P17" s="79">
        <f t="shared" si="12"/>
        <v>3761.2246295496197</v>
      </c>
      <c r="Q17" s="79">
        <f t="shared" si="12"/>
        <v>3901.5014787449481</v>
      </c>
      <c r="R17" s="79">
        <f t="shared" si="12"/>
        <v>3968.5530115692754</v>
      </c>
      <c r="S17" s="79">
        <f t="shared" si="12"/>
        <v>3968.4201252944513</v>
      </c>
      <c r="T17" s="79">
        <f t="shared" si="12"/>
        <v>4051.4569862349399</v>
      </c>
      <c r="U17" s="79">
        <f t="shared" si="12"/>
        <v>3975.5448594544177</v>
      </c>
      <c r="V17" s="79">
        <f t="shared" si="12"/>
        <v>3703.1998389416635</v>
      </c>
      <c r="W17" s="79">
        <f t="shared" ref="W17:Y17" si="13">W18+W42</f>
        <v>3776.8402050107416</v>
      </c>
      <c r="X17" s="79">
        <f t="shared" si="13"/>
        <v>3756.6494879403394</v>
      </c>
      <c r="Y17" s="79">
        <f t="shared" si="13"/>
        <v>3765.8906442312204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2399.0289441296973</v>
      </c>
      <c r="C18" s="32">
        <f t="shared" si="14"/>
        <v>2364.5171139607501</v>
      </c>
      <c r="D18" s="32">
        <f t="shared" si="14"/>
        <v>2390.5456942465394</v>
      </c>
      <c r="E18" s="32">
        <f t="shared" si="14"/>
        <v>2434.0673051691874</v>
      </c>
      <c r="F18" s="32">
        <f t="shared" si="14"/>
        <v>2447.1074333197521</v>
      </c>
      <c r="G18" s="32">
        <f t="shared" si="14"/>
        <v>2451.7372733679126</v>
      </c>
      <c r="H18" s="32">
        <f t="shared" si="14"/>
        <v>2478.906328994326</v>
      </c>
      <c r="I18" s="32">
        <f t="shared" si="14"/>
        <v>2589.2375924577318</v>
      </c>
      <c r="J18" s="32">
        <f t="shared" si="14"/>
        <v>2573.1649874799591</v>
      </c>
      <c r="K18" s="32">
        <f t="shared" si="14"/>
        <v>2545.0704381765072</v>
      </c>
      <c r="L18" s="32">
        <f t="shared" ref="L18" si="15">L19+L21+L33</f>
        <v>2538.9022914827124</v>
      </c>
      <c r="M18" s="32">
        <f t="shared" ref="M18:V18" si="16">M19+M21+M33</f>
        <v>2602.6726057958826</v>
      </c>
      <c r="N18" s="32">
        <f t="shared" si="16"/>
        <v>2458.0286809922227</v>
      </c>
      <c r="O18" s="32">
        <f t="shared" si="16"/>
        <v>2438.1639307567284</v>
      </c>
      <c r="P18" s="32">
        <f t="shared" si="16"/>
        <v>2478.9084580526214</v>
      </c>
      <c r="Q18" s="32">
        <f t="shared" si="16"/>
        <v>2672.2284628355014</v>
      </c>
      <c r="R18" s="32">
        <f t="shared" si="16"/>
        <v>2649.0485085130554</v>
      </c>
      <c r="S18" s="32">
        <f t="shared" si="16"/>
        <v>2631.4318971765369</v>
      </c>
      <c r="T18" s="32">
        <f t="shared" si="16"/>
        <v>2681.66031851666</v>
      </c>
      <c r="U18" s="32">
        <f t="shared" si="16"/>
        <v>2658.5653256016703</v>
      </c>
      <c r="V18" s="32">
        <f t="shared" si="16"/>
        <v>2445.154275342044</v>
      </c>
      <c r="W18" s="32">
        <f t="shared" ref="W18:Y18" si="17">W19+W21+W33</f>
        <v>2491.8837255671042</v>
      </c>
      <c r="X18" s="32">
        <f t="shared" si="17"/>
        <v>2454.6647465751726</v>
      </c>
      <c r="Y18" s="32">
        <f t="shared" si="17"/>
        <v>2456.4450554386526</v>
      </c>
      <c r="DA18" s="173" t="s">
        <v>391</v>
      </c>
    </row>
    <row r="19" spans="1:105" ht="11.45" customHeight="1" x14ac:dyDescent="0.25">
      <c r="A19" s="107" t="s">
        <v>174</v>
      </c>
      <c r="B19" s="129">
        <v>23.625745550162293</v>
      </c>
      <c r="C19" s="129">
        <v>22.238395253745008</v>
      </c>
      <c r="D19" s="129">
        <v>22.976844543976163</v>
      </c>
      <c r="E19" s="129">
        <v>23.072893037269871</v>
      </c>
      <c r="F19" s="129">
        <v>22.789046647820459</v>
      </c>
      <c r="G19" s="129">
        <v>22.992306113092553</v>
      </c>
      <c r="H19" s="129">
        <v>23.82506189744835</v>
      </c>
      <c r="I19" s="129">
        <v>25.065906363421121</v>
      </c>
      <c r="J19" s="129">
        <v>24.986014899481543</v>
      </c>
      <c r="K19" s="129">
        <v>23.991170161490363</v>
      </c>
      <c r="L19" s="129">
        <v>23.748609076430636</v>
      </c>
      <c r="M19" s="129">
        <v>23.216095974035628</v>
      </c>
      <c r="N19" s="129">
        <v>23.331274443484279</v>
      </c>
      <c r="O19" s="129">
        <v>23.404589845431971</v>
      </c>
      <c r="P19" s="129">
        <v>23.733487886300608</v>
      </c>
      <c r="Q19" s="129">
        <v>23.771873402270746</v>
      </c>
      <c r="R19" s="129">
        <v>23.588974166068315</v>
      </c>
      <c r="S19" s="129">
        <v>22.219505312071728</v>
      </c>
      <c r="T19" s="129">
        <v>20.939489426812141</v>
      </c>
      <c r="U19" s="129">
        <v>21.700389283418854</v>
      </c>
      <c r="V19" s="129">
        <v>19.219927383613843</v>
      </c>
      <c r="W19" s="129">
        <v>19.712027747425559</v>
      </c>
      <c r="X19" s="129">
        <v>19.642213638736699</v>
      </c>
      <c r="Y19" s="129">
        <v>20.889945955257087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4.8206574998337068E-2</v>
      </c>
      <c r="I20" s="97">
        <v>7.6676981760863377E-2</v>
      </c>
      <c r="J20" s="97">
        <v>7.1387067079064795E-2</v>
      </c>
      <c r="K20" s="97">
        <v>7.2092585423738045E-2</v>
      </c>
      <c r="L20" s="97">
        <v>0.397248385973344</v>
      </c>
      <c r="M20" s="97">
        <v>0.68985002066383383</v>
      </c>
      <c r="N20" s="97">
        <v>0.82063401337770803</v>
      </c>
      <c r="O20" s="97">
        <v>0.7776853245541584</v>
      </c>
      <c r="P20" s="97">
        <v>0.77564534781366268</v>
      </c>
      <c r="Q20" s="97">
        <v>0.729764297011956</v>
      </c>
      <c r="R20" s="97">
        <v>0.72843165133912147</v>
      </c>
      <c r="S20" s="97">
        <v>0.71449349355857283</v>
      </c>
      <c r="T20" s="97">
        <v>0.66134340728824992</v>
      </c>
      <c r="U20" s="97">
        <v>0.69657009274251014</v>
      </c>
      <c r="V20" s="97">
        <v>1.2211509447901201</v>
      </c>
      <c r="W20" s="97">
        <v>1.2525357557815775</v>
      </c>
      <c r="X20" s="97">
        <v>1.2278155290953703</v>
      </c>
      <c r="Y20" s="97">
        <v>1.3537996831185184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2031.6972195812732</v>
      </c>
      <c r="C21" s="130">
        <f t="shared" si="18"/>
        <v>2008.1563815541454</v>
      </c>
      <c r="D21" s="130">
        <f t="shared" si="18"/>
        <v>2041.736134285039</v>
      </c>
      <c r="E21" s="130">
        <f t="shared" si="18"/>
        <v>2080.9821453402665</v>
      </c>
      <c r="F21" s="130">
        <f t="shared" si="18"/>
        <v>2100.0052411951556</v>
      </c>
      <c r="G21" s="130">
        <f t="shared" si="18"/>
        <v>2101.5353074174827</v>
      </c>
      <c r="H21" s="130">
        <f t="shared" si="18"/>
        <v>2125.5866572331074</v>
      </c>
      <c r="I21" s="130">
        <f t="shared" si="18"/>
        <v>2238.3705306029242</v>
      </c>
      <c r="J21" s="130">
        <f t="shared" si="18"/>
        <v>2217.5903200942475</v>
      </c>
      <c r="K21" s="130">
        <f t="shared" si="18"/>
        <v>2184.6681670061243</v>
      </c>
      <c r="L21" s="130">
        <f t="shared" ref="L21" si="19">L22+L24+L26+L27+L29+L32</f>
        <v>2171.9370942182136</v>
      </c>
      <c r="M21" s="130">
        <f t="shared" ref="M21:V21" si="20">M22+M24+M26+M27+M29+M32</f>
        <v>2244.2856367262543</v>
      </c>
      <c r="N21" s="130">
        <f t="shared" si="20"/>
        <v>2119.5602981981388</v>
      </c>
      <c r="O21" s="130">
        <f t="shared" si="20"/>
        <v>2112.165145576686</v>
      </c>
      <c r="P21" s="130">
        <f t="shared" si="20"/>
        <v>2141.1008728035536</v>
      </c>
      <c r="Q21" s="130">
        <f t="shared" si="20"/>
        <v>2326.3489661665717</v>
      </c>
      <c r="R21" s="130">
        <f t="shared" si="20"/>
        <v>2291.896099163167</v>
      </c>
      <c r="S21" s="130">
        <f t="shared" si="20"/>
        <v>2260.6448361115308</v>
      </c>
      <c r="T21" s="130">
        <f t="shared" si="20"/>
        <v>2313.7347942811884</v>
      </c>
      <c r="U21" s="130">
        <f t="shared" si="20"/>
        <v>2299.4047911085722</v>
      </c>
      <c r="V21" s="130">
        <f t="shared" si="20"/>
        <v>2091.3362727337189</v>
      </c>
      <c r="W21" s="130">
        <f t="shared" ref="W21:Y21" si="21">W22+W24+W26+W27+W29+W32</f>
        <v>2140.3023569777833</v>
      </c>
      <c r="X21" s="130">
        <f t="shared" si="21"/>
        <v>2105.5703290257447</v>
      </c>
      <c r="Y21" s="130">
        <f t="shared" si="21"/>
        <v>2113.4341615799781</v>
      </c>
      <c r="DA21" s="176" t="s">
        <v>393</v>
      </c>
    </row>
    <row r="22" spans="1:105" ht="11.45" customHeight="1" x14ac:dyDescent="0.25">
      <c r="A22" s="111" t="s">
        <v>110</v>
      </c>
      <c r="B22" s="96">
        <v>1858.108695826229</v>
      </c>
      <c r="C22" s="96">
        <v>1820.2133304460892</v>
      </c>
      <c r="D22" s="96">
        <v>1831.5025357448328</v>
      </c>
      <c r="E22" s="96">
        <v>1850.2053815199492</v>
      </c>
      <c r="F22" s="96">
        <v>1829.6080913423145</v>
      </c>
      <c r="G22" s="96">
        <v>1773.9348338439513</v>
      </c>
      <c r="H22" s="96">
        <v>1745.8653012554457</v>
      </c>
      <c r="I22" s="96">
        <v>1735.2538328164342</v>
      </c>
      <c r="J22" s="96">
        <v>1657.7502058792873</v>
      </c>
      <c r="K22" s="96">
        <v>1582.7015480843168</v>
      </c>
      <c r="L22" s="96">
        <v>1496.6614569501944</v>
      </c>
      <c r="M22" s="96">
        <v>1495.968937142002</v>
      </c>
      <c r="N22" s="96">
        <v>1350.8150283374096</v>
      </c>
      <c r="O22" s="96">
        <v>1304.9540364452107</v>
      </c>
      <c r="P22" s="96">
        <v>1293.4270095189588</v>
      </c>
      <c r="Q22" s="96">
        <v>1359.7517450223088</v>
      </c>
      <c r="R22" s="96">
        <v>1355.9036985298078</v>
      </c>
      <c r="S22" s="96">
        <v>1293.8174955998218</v>
      </c>
      <c r="T22" s="96">
        <v>1302.0237498159781</v>
      </c>
      <c r="U22" s="96">
        <v>1305.908879919559</v>
      </c>
      <c r="V22" s="96">
        <v>1203.4105050868718</v>
      </c>
      <c r="W22" s="96">
        <v>1228.7919722171594</v>
      </c>
      <c r="X22" s="96">
        <v>1215.4326589563871</v>
      </c>
      <c r="Y22" s="96">
        <v>1228.6665584518237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3.5325065237701945</v>
      </c>
      <c r="I23" s="96">
        <v>5.3081673792375126</v>
      </c>
      <c r="J23" s="96">
        <v>4.7363265259996998</v>
      </c>
      <c r="K23" s="96">
        <v>4.7559600381102429</v>
      </c>
      <c r="L23" s="96">
        <v>25.034996626898756</v>
      </c>
      <c r="M23" s="96">
        <v>44.451668504214624</v>
      </c>
      <c r="N23" s="96">
        <v>47.512396321111744</v>
      </c>
      <c r="O23" s="96">
        <v>43.360879642128246</v>
      </c>
      <c r="P23" s="96">
        <v>42.271100121318739</v>
      </c>
      <c r="Q23" s="96">
        <v>41.742535791150516</v>
      </c>
      <c r="R23" s="96">
        <v>41.870543552403753</v>
      </c>
      <c r="S23" s="96">
        <v>41.604174776838349</v>
      </c>
      <c r="T23" s="96">
        <v>41.12253195490716</v>
      </c>
      <c r="U23" s="96">
        <v>41.918928629261892</v>
      </c>
      <c r="V23" s="96">
        <v>76.459491543660405</v>
      </c>
      <c r="W23" s="96">
        <v>78.079531002099273</v>
      </c>
      <c r="X23" s="96">
        <v>75.975504629136552</v>
      </c>
      <c r="Y23" s="96">
        <v>79.625308799413233</v>
      </c>
      <c r="DA23" s="171" t="s">
        <v>642</v>
      </c>
    </row>
    <row r="24" spans="1:105" ht="11.45" customHeight="1" x14ac:dyDescent="0.25">
      <c r="A24" s="111" t="s">
        <v>111</v>
      </c>
      <c r="B24" s="96">
        <v>164.06053769153371</v>
      </c>
      <c r="C24" s="96">
        <v>177.3278215571716</v>
      </c>
      <c r="D24" s="96">
        <v>198.51558782267176</v>
      </c>
      <c r="E24" s="96">
        <v>221.22502637790492</v>
      </c>
      <c r="F24" s="96">
        <v>261.92632808899168</v>
      </c>
      <c r="G24" s="96">
        <v>320.1757608984247</v>
      </c>
      <c r="H24" s="96">
        <v>373.35000868358253</v>
      </c>
      <c r="I24" s="96">
        <v>497.8048066150896</v>
      </c>
      <c r="J24" s="96">
        <v>555.58896908116026</v>
      </c>
      <c r="K24" s="96">
        <v>598.77024587935989</v>
      </c>
      <c r="L24" s="96">
        <v>675.26645894766523</v>
      </c>
      <c r="M24" s="96">
        <v>748.23278517299127</v>
      </c>
      <c r="N24" s="96">
        <v>768.56394616917294</v>
      </c>
      <c r="O24" s="96">
        <v>806.92597526218015</v>
      </c>
      <c r="P24" s="96">
        <v>847.08345528545021</v>
      </c>
      <c r="Q24" s="96">
        <v>958.79125940223446</v>
      </c>
      <c r="R24" s="96">
        <v>933.65395656704732</v>
      </c>
      <c r="S24" s="96">
        <v>964.26177612377819</v>
      </c>
      <c r="T24" s="96">
        <v>1007.6365112265456</v>
      </c>
      <c r="U24" s="96">
        <v>986.78938852189196</v>
      </c>
      <c r="V24" s="96">
        <v>873.31758562072798</v>
      </c>
      <c r="W24" s="96">
        <v>874.16214033994424</v>
      </c>
      <c r="X24" s="96">
        <v>830.47368282016771</v>
      </c>
      <c r="Y24" s="96">
        <v>794.3672086788057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0.91155511081136953</v>
      </c>
      <c r="L25" s="96">
        <v>0</v>
      </c>
      <c r="M25" s="96">
        <v>25.530421496143113</v>
      </c>
      <c r="N25" s="96">
        <v>51.357338584539271</v>
      </c>
      <c r="O25" s="96">
        <v>56.506440613247584</v>
      </c>
      <c r="P25" s="96">
        <v>59.676624296855415</v>
      </c>
      <c r="Q25" s="96">
        <v>66.265960305209362</v>
      </c>
      <c r="R25" s="96">
        <v>63.725044653296528</v>
      </c>
      <c r="S25" s="96">
        <v>63.642009349508804</v>
      </c>
      <c r="T25" s="96">
        <v>64.258184728905746</v>
      </c>
      <c r="U25" s="96">
        <v>69.350483977633203</v>
      </c>
      <c r="V25" s="96">
        <v>61.756362377079455</v>
      </c>
      <c r="W25" s="96">
        <v>62.428421402268974</v>
      </c>
      <c r="X25" s="96">
        <v>52.951176638101842</v>
      </c>
      <c r="Y25" s="96">
        <v>44.536872571579693</v>
      </c>
      <c r="DA25" s="171" t="s">
        <v>644</v>
      </c>
    </row>
    <row r="26" spans="1:105" ht="11.45" customHeight="1" x14ac:dyDescent="0.25">
      <c r="A26" s="111" t="s">
        <v>112</v>
      </c>
      <c r="B26" s="96">
        <v>9.527986063510463</v>
      </c>
      <c r="C26" s="96">
        <v>10.615229550884523</v>
      </c>
      <c r="D26" s="96">
        <v>11.718010717534433</v>
      </c>
      <c r="E26" s="96">
        <v>9.5517374424123123</v>
      </c>
      <c r="F26" s="96">
        <v>8.4708217638492869</v>
      </c>
      <c r="G26" s="96">
        <v>7.4247126751065551</v>
      </c>
      <c r="H26" s="96">
        <v>6.3713472940789719</v>
      </c>
      <c r="I26" s="96">
        <v>5.3118911714002524</v>
      </c>
      <c r="J26" s="96">
        <v>4.2511451337999873</v>
      </c>
      <c r="K26" s="96">
        <v>3.1907782506613804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4.8953574178454612E-2</v>
      </c>
      <c r="R27" s="96">
        <v>0.16029336567140418</v>
      </c>
      <c r="S27" s="96">
        <v>0.16758758531768794</v>
      </c>
      <c r="T27" s="96">
        <v>0.31349714862647238</v>
      </c>
      <c r="U27" s="96">
        <v>0.45353686224390882</v>
      </c>
      <c r="V27" s="96">
        <v>0.52622326987793855</v>
      </c>
      <c r="W27" s="96">
        <v>0.66173306479294025</v>
      </c>
      <c r="X27" s="96">
        <v>0.8167301873191839</v>
      </c>
      <c r="Y27" s="96">
        <v>0.93723357293592091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1.0145299789522699E-3</v>
      </c>
      <c r="R28" s="96">
        <v>9.6003356069393909E-3</v>
      </c>
      <c r="S28" s="96">
        <v>1.6541850097338998E-2</v>
      </c>
      <c r="T28" s="96">
        <v>2.2350264516539087E-2</v>
      </c>
      <c r="U28" s="96">
        <v>8.3213520064941301E-2</v>
      </c>
      <c r="V28" s="96">
        <v>9.0139364526015328E-2</v>
      </c>
      <c r="W28" s="96">
        <v>0.14357829166551489</v>
      </c>
      <c r="X28" s="96">
        <v>0.26707075931557506</v>
      </c>
      <c r="Y28" s="96">
        <v>0.34288796284769402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1.1695441230085795E-2</v>
      </c>
      <c r="O29" s="96">
        <v>1.7624374686406739E-2</v>
      </c>
      <c r="P29" s="96">
        <v>4.0362285068670609E-2</v>
      </c>
      <c r="Q29" s="96">
        <v>6.1976553442755176</v>
      </c>
      <c r="R29" s="96">
        <v>0.39481019962582375</v>
      </c>
      <c r="S29" s="96">
        <v>0.48200698151890464</v>
      </c>
      <c r="T29" s="96">
        <v>1.5649296411351192</v>
      </c>
      <c r="U29" s="96">
        <v>2.8561865366241124</v>
      </c>
      <c r="V29" s="96">
        <v>7.9166838046653876</v>
      </c>
      <c r="W29" s="96">
        <v>22.608663495913724</v>
      </c>
      <c r="X29" s="96">
        <v>33.130382007646126</v>
      </c>
      <c r="Y29" s="96">
        <v>43.915512124547163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2.7576479612039114E-4</v>
      </c>
      <c r="O30" s="96">
        <v>4.0546538418706875E-4</v>
      </c>
      <c r="P30" s="96">
        <v>6.2450798470493592E-4</v>
      </c>
      <c r="Q30" s="96">
        <v>0.15474507843692994</v>
      </c>
      <c r="R30" s="96">
        <v>8.2312068819744011E-3</v>
      </c>
      <c r="S30" s="96">
        <v>9.6939881568626277E-3</v>
      </c>
      <c r="T30" s="96">
        <v>2.9783107557962946E-2</v>
      </c>
      <c r="U30" s="96">
        <v>5.1310681346061794E-2</v>
      </c>
      <c r="V30" s="96">
        <v>0.2644441983297372</v>
      </c>
      <c r="W30" s="96">
        <v>0.67243853476192073</v>
      </c>
      <c r="X30" s="96">
        <v>0.95129316141203835</v>
      </c>
      <c r="Y30" s="96">
        <v>1.2665081048277482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3.8552298383420025E-3</v>
      </c>
      <c r="O31" s="96">
        <v>5.4218157415542685E-3</v>
      </c>
      <c r="P31" s="96">
        <v>2.1253355025228501E-2</v>
      </c>
      <c r="Q31" s="96">
        <v>1.1568765211826029</v>
      </c>
      <c r="R31" s="96">
        <v>0.12825708357504403</v>
      </c>
      <c r="S31" s="96">
        <v>0.18054080542571141</v>
      </c>
      <c r="T31" s="96">
        <v>0.62193533751797303</v>
      </c>
      <c r="U31" s="96">
        <v>1.2576944807520059</v>
      </c>
      <c r="V31" s="96">
        <v>3.7545461831045461</v>
      </c>
      <c r="W31" s="96">
        <v>12.026029830981722</v>
      </c>
      <c r="X31" s="96">
        <v>17.911887806573763</v>
      </c>
      <c r="Y31" s="96">
        <v>24.372527891605404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5.5947917861321715E-3</v>
      </c>
      <c r="L32" s="96">
        <v>9.1783203536193753E-3</v>
      </c>
      <c r="M32" s="96">
        <v>8.391441126112674E-2</v>
      </c>
      <c r="N32" s="96">
        <v>0.16962825032617579</v>
      </c>
      <c r="O32" s="96">
        <v>0.26750949460873802</v>
      </c>
      <c r="P32" s="96">
        <v>0.55004571407626168</v>
      </c>
      <c r="Q32" s="96">
        <v>1.5593528235744054</v>
      </c>
      <c r="R32" s="96">
        <v>1.7833405010146293</v>
      </c>
      <c r="S32" s="96">
        <v>1.9159698210948815</v>
      </c>
      <c r="T32" s="96">
        <v>2.1961064489026483</v>
      </c>
      <c r="U32" s="96">
        <v>3.39679926825323</v>
      </c>
      <c r="V32" s="96">
        <v>6.1652749515761158</v>
      </c>
      <c r="W32" s="96">
        <v>14.07784785997297</v>
      </c>
      <c r="X32" s="96">
        <v>25.716875054225142</v>
      </c>
      <c r="Y32" s="96">
        <v>45.547648751865736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343.70597899826163</v>
      </c>
      <c r="C33" s="130">
        <f t="shared" si="22"/>
        <v>334.12233715285959</v>
      </c>
      <c r="D33" s="130">
        <f t="shared" si="22"/>
        <v>325.8327154175239</v>
      </c>
      <c r="E33" s="130">
        <f t="shared" si="22"/>
        <v>330.01226679165126</v>
      </c>
      <c r="F33" s="130">
        <f t="shared" si="22"/>
        <v>324.31314547677607</v>
      </c>
      <c r="G33" s="130">
        <f t="shared" si="22"/>
        <v>327.20965983733743</v>
      </c>
      <c r="H33" s="130">
        <f t="shared" si="22"/>
        <v>329.49460986377034</v>
      </c>
      <c r="I33" s="130">
        <f t="shared" si="22"/>
        <v>325.80115549138628</v>
      </c>
      <c r="J33" s="130">
        <f t="shared" si="22"/>
        <v>330.58865248622976</v>
      </c>
      <c r="K33" s="130">
        <f t="shared" si="22"/>
        <v>336.41110100889205</v>
      </c>
      <c r="L33" s="130">
        <f t="shared" ref="L33" si="23">L34+L36+L38+L39+L41</f>
        <v>343.21658818806822</v>
      </c>
      <c r="M33" s="130">
        <f t="shared" ref="M33:V33" si="24">M34+M36+M38+M39+M41</f>
        <v>335.17087309559241</v>
      </c>
      <c r="N33" s="130">
        <f t="shared" si="24"/>
        <v>315.13710835059976</v>
      </c>
      <c r="O33" s="130">
        <f t="shared" si="24"/>
        <v>302.59419533461073</v>
      </c>
      <c r="P33" s="130">
        <f t="shared" si="24"/>
        <v>314.07409736276696</v>
      </c>
      <c r="Q33" s="130">
        <f t="shared" si="24"/>
        <v>322.10762326665912</v>
      </c>
      <c r="R33" s="130">
        <f t="shared" si="24"/>
        <v>333.56343518381965</v>
      </c>
      <c r="S33" s="130">
        <f t="shared" si="24"/>
        <v>348.56755575293414</v>
      </c>
      <c r="T33" s="130">
        <f t="shared" si="24"/>
        <v>346.98603480865938</v>
      </c>
      <c r="U33" s="130">
        <f t="shared" si="24"/>
        <v>337.46014520967924</v>
      </c>
      <c r="V33" s="130">
        <f t="shared" si="24"/>
        <v>334.5980752247109</v>
      </c>
      <c r="W33" s="130">
        <f t="shared" ref="W33:Y33" si="25">W34+W36+W38+W39+W41</f>
        <v>331.86934084189517</v>
      </c>
      <c r="X33" s="130">
        <f t="shared" si="25"/>
        <v>329.45220391069103</v>
      </c>
      <c r="Y33" s="130">
        <f t="shared" si="25"/>
        <v>322.12094790341717</v>
      </c>
      <c r="DA33" s="176" t="s">
        <v>394</v>
      </c>
    </row>
    <row r="34" spans="1:105" ht="11.45" customHeight="1" x14ac:dyDescent="0.25">
      <c r="A34" s="111" t="s">
        <v>110</v>
      </c>
      <c r="B34" s="97">
        <v>14.565702276887263</v>
      </c>
      <c r="C34" s="97">
        <v>14.779286789659036</v>
      </c>
      <c r="D34" s="97">
        <v>14.700359890812898</v>
      </c>
      <c r="E34" s="97">
        <v>9.349270629988137</v>
      </c>
      <c r="F34" s="97">
        <v>7.687223053674261</v>
      </c>
      <c r="G34" s="97">
        <v>7.2257569419659511</v>
      </c>
      <c r="H34" s="97">
        <v>7.1186180133551407</v>
      </c>
      <c r="I34" s="97">
        <v>6.7798855338924797</v>
      </c>
      <c r="J34" s="97">
        <v>6.6829569782205693</v>
      </c>
      <c r="K34" s="97">
        <v>6.266917602197732</v>
      </c>
      <c r="L34" s="97">
        <v>5.9182132877302669</v>
      </c>
      <c r="M34" s="97">
        <v>5.6391595381691522</v>
      </c>
      <c r="N34" s="97">
        <v>5.3821202870590517</v>
      </c>
      <c r="O34" s="97">
        <v>5.657849552307578</v>
      </c>
      <c r="P34" s="97">
        <v>5.0659963089404592</v>
      </c>
      <c r="Q34" s="97">
        <v>4.4398773251274308</v>
      </c>
      <c r="R34" s="97">
        <v>4.0485767076337815</v>
      </c>
      <c r="S34" s="97">
        <v>3.7352578713240026</v>
      </c>
      <c r="T34" s="97">
        <v>3.3429724845467996</v>
      </c>
      <c r="U34" s="97">
        <v>2.9519190740554349</v>
      </c>
      <c r="V34" s="97">
        <v>2.7574666195735524</v>
      </c>
      <c r="W34" s="97">
        <v>2.6281862607021527</v>
      </c>
      <c r="X34" s="97">
        <v>2.6149095358951566</v>
      </c>
      <c r="Y34" s="97">
        <v>2.429653747875963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1.4403496394780425E-2</v>
      </c>
      <c r="I35" s="97">
        <v>2.0739771061366954E-2</v>
      </c>
      <c r="J35" s="97">
        <v>1.9093749043615407E-2</v>
      </c>
      <c r="K35" s="97">
        <v>1.8831857284942924E-2</v>
      </c>
      <c r="L35" s="97">
        <v>9.8995299843901277E-2</v>
      </c>
      <c r="M35" s="97">
        <v>0.16756367342223819</v>
      </c>
      <c r="N35" s="97">
        <v>0.18930603136787996</v>
      </c>
      <c r="O35" s="97">
        <v>0.18799844792937914</v>
      </c>
      <c r="P35" s="97">
        <v>0.1655642224984126</v>
      </c>
      <c r="Q35" s="97">
        <v>0.13629821681119353</v>
      </c>
      <c r="R35" s="97">
        <v>0.12502075740779536</v>
      </c>
      <c r="S35" s="97">
        <v>0.1201114700053422</v>
      </c>
      <c r="T35" s="97">
        <v>0.10558293797603976</v>
      </c>
      <c r="U35" s="97">
        <v>9.4754915053727809E-2</v>
      </c>
      <c r="V35" s="97">
        <v>0.17519748646866776</v>
      </c>
      <c r="W35" s="97">
        <v>0.16699942322337991</v>
      </c>
      <c r="X35" s="97">
        <v>0.16345543299762899</v>
      </c>
      <c r="Y35" s="97">
        <v>0.15745682066422173</v>
      </c>
      <c r="DA35" s="175" t="s">
        <v>653</v>
      </c>
    </row>
    <row r="36" spans="1:105" ht="11.45" customHeight="1" x14ac:dyDescent="0.25">
      <c r="A36" s="111" t="s">
        <v>111</v>
      </c>
      <c r="B36" s="97">
        <v>329.14027672137439</v>
      </c>
      <c r="C36" s="97">
        <v>319.34305036320058</v>
      </c>
      <c r="D36" s="97">
        <v>311.13235552671102</v>
      </c>
      <c r="E36" s="97">
        <v>320.6629961616631</v>
      </c>
      <c r="F36" s="97">
        <v>316.62592242310183</v>
      </c>
      <c r="G36" s="97">
        <v>319.9839028953715</v>
      </c>
      <c r="H36" s="97">
        <v>322.37599185041518</v>
      </c>
      <c r="I36" s="97">
        <v>319.02126995749381</v>
      </c>
      <c r="J36" s="97">
        <v>323.90569550800922</v>
      </c>
      <c r="K36" s="97">
        <v>330.14418340669431</v>
      </c>
      <c r="L36" s="97">
        <v>337.29837490033793</v>
      </c>
      <c r="M36" s="97">
        <v>329.53171355742325</v>
      </c>
      <c r="N36" s="97">
        <v>309.75498806354074</v>
      </c>
      <c r="O36" s="97">
        <v>296.93634578230314</v>
      </c>
      <c r="P36" s="97">
        <v>309.00810105382652</v>
      </c>
      <c r="Q36" s="97">
        <v>316.32090779477386</v>
      </c>
      <c r="R36" s="97">
        <v>326.79039692021581</v>
      </c>
      <c r="S36" s="97">
        <v>338.63004460297589</v>
      </c>
      <c r="T36" s="97">
        <v>336.4073048573199</v>
      </c>
      <c r="U36" s="97">
        <v>325.1069270796616</v>
      </c>
      <c r="V36" s="97">
        <v>323.4964957784531</v>
      </c>
      <c r="W36" s="97">
        <v>316.14227761954544</v>
      </c>
      <c r="X36" s="97">
        <v>306.12425724001275</v>
      </c>
      <c r="Y36" s="97">
        <v>290.41410980340493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0.50260449606517799</v>
      </c>
      <c r="L37" s="97">
        <v>0</v>
      </c>
      <c r="M37" s="97">
        <v>11.243938664786269</v>
      </c>
      <c r="N37" s="97">
        <v>20.698592328617433</v>
      </c>
      <c r="O37" s="97">
        <v>20.793500895061431</v>
      </c>
      <c r="P37" s="97">
        <v>21.769472932345064</v>
      </c>
      <c r="Q37" s="97">
        <v>21.862223413159562</v>
      </c>
      <c r="R37" s="97">
        <v>22.304551369952645</v>
      </c>
      <c r="S37" s="97">
        <v>22.349840052024163</v>
      </c>
      <c r="T37" s="97">
        <v>21.453095931748017</v>
      </c>
      <c r="U37" s="97">
        <v>22.848160914283525</v>
      </c>
      <c r="V37" s="97">
        <v>22.875947020819197</v>
      </c>
      <c r="W37" s="97">
        <v>22.577348548440977</v>
      </c>
      <c r="X37" s="97">
        <v>19.518547009554919</v>
      </c>
      <c r="Y37" s="97">
        <v>16.282313846785165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1.3468381467578121</v>
      </c>
      <c r="R39" s="97">
        <v>2.6332429077821136</v>
      </c>
      <c r="S39" s="97">
        <v>6.080454558298042</v>
      </c>
      <c r="T39" s="97">
        <v>7.0832331849175176</v>
      </c>
      <c r="U39" s="97">
        <v>7.8669574006241163</v>
      </c>
      <c r="V39" s="97">
        <v>6.9864153986066109</v>
      </c>
      <c r="W39" s="97">
        <v>8.0312264743121027</v>
      </c>
      <c r="X39" s="97">
        <v>9.7695964813530995</v>
      </c>
      <c r="Y39" s="97">
        <v>9.4812108090972398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2.7912316916865781E-2</v>
      </c>
      <c r="R40" s="97">
        <v>0.157710929229126</v>
      </c>
      <c r="S40" s="97">
        <v>0.60017552992591394</v>
      </c>
      <c r="T40" s="97">
        <v>0.50498748077565647</v>
      </c>
      <c r="U40" s="97">
        <v>1.4434046535225604</v>
      </c>
      <c r="V40" s="97">
        <v>1.1967373554028571</v>
      </c>
      <c r="W40" s="97">
        <v>1.7425603139861425</v>
      </c>
      <c r="X40" s="97">
        <v>3.1946579066044278</v>
      </c>
      <c r="Y40" s="97">
        <v>3.4687116995575109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0</v>
      </c>
      <c r="R41" s="97">
        <v>9.1218648187900223E-2</v>
      </c>
      <c r="S41" s="97">
        <v>0.12179872033627089</v>
      </c>
      <c r="T41" s="97">
        <v>0.15252428187517825</v>
      </c>
      <c r="U41" s="97">
        <v>1.5343416553380969</v>
      </c>
      <c r="V41" s="97">
        <v>1.3576974280776408</v>
      </c>
      <c r="W41" s="97">
        <v>5.0676504873354968</v>
      </c>
      <c r="X41" s="97">
        <v>10.943440653430009</v>
      </c>
      <c r="Y41" s="97">
        <v>19.795973543038972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1292.3105227662618</v>
      </c>
      <c r="C42" s="32">
        <f t="shared" si="26"/>
        <v>1353.7545971312527</v>
      </c>
      <c r="D42" s="32">
        <f t="shared" si="26"/>
        <v>1364.7304880406487</v>
      </c>
      <c r="E42" s="32">
        <f t="shared" si="26"/>
        <v>1477.2229785797367</v>
      </c>
      <c r="F42" s="32">
        <f t="shared" si="26"/>
        <v>1587.9241230001103</v>
      </c>
      <c r="G42" s="32">
        <f t="shared" si="26"/>
        <v>1616.3935090912451</v>
      </c>
      <c r="H42" s="32">
        <f t="shared" si="26"/>
        <v>1703.2710570761808</v>
      </c>
      <c r="I42" s="32">
        <f t="shared" si="26"/>
        <v>1790.1691143350458</v>
      </c>
      <c r="J42" s="32">
        <f t="shared" si="26"/>
        <v>1703.3182455380979</v>
      </c>
      <c r="K42" s="32">
        <f t="shared" si="26"/>
        <v>1509.3633595387537</v>
      </c>
      <c r="L42" s="32">
        <f t="shared" ref="L42" si="27">L43+L52</f>
        <v>1496.7737827963692</v>
      </c>
      <c r="M42" s="32">
        <f t="shared" ref="M42:V42" si="28">M43+M52</f>
        <v>1426.8156078415184</v>
      </c>
      <c r="N42" s="32">
        <f t="shared" si="28"/>
        <v>1306.7392292668119</v>
      </c>
      <c r="O42" s="32">
        <f t="shared" si="28"/>
        <v>1259.0293984833474</v>
      </c>
      <c r="P42" s="32">
        <f t="shared" si="28"/>
        <v>1282.3161714969983</v>
      </c>
      <c r="Q42" s="32">
        <f t="shared" si="28"/>
        <v>1229.2730159094465</v>
      </c>
      <c r="R42" s="32">
        <f t="shared" si="28"/>
        <v>1319.5045030562198</v>
      </c>
      <c r="S42" s="32">
        <f t="shared" si="28"/>
        <v>1336.9882281179143</v>
      </c>
      <c r="T42" s="32">
        <f t="shared" si="28"/>
        <v>1369.7966677182799</v>
      </c>
      <c r="U42" s="32">
        <f t="shared" si="28"/>
        <v>1316.9795338527474</v>
      </c>
      <c r="V42" s="32">
        <f t="shared" si="28"/>
        <v>1258.0455635996195</v>
      </c>
      <c r="W42" s="32">
        <f t="shared" ref="W42:Y42" si="29">W43+W52</f>
        <v>1284.9564794436374</v>
      </c>
      <c r="X42" s="32">
        <f t="shared" si="29"/>
        <v>1301.9847413651669</v>
      </c>
      <c r="Y42" s="32">
        <f t="shared" si="29"/>
        <v>1309.4455887925678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553.78550816768598</v>
      </c>
      <c r="C43" s="141">
        <f t="shared" si="30"/>
        <v>576.52641508557895</v>
      </c>
      <c r="D43" s="141">
        <f t="shared" si="30"/>
        <v>577.20824246612437</v>
      </c>
      <c r="E43" s="141">
        <f t="shared" si="30"/>
        <v>600.33915807684446</v>
      </c>
      <c r="F43" s="141">
        <f t="shared" si="30"/>
        <v>646.69171184713002</v>
      </c>
      <c r="G43" s="141">
        <f t="shared" si="30"/>
        <v>680.28735125578066</v>
      </c>
      <c r="H43" s="141">
        <f t="shared" si="30"/>
        <v>740.27619894458849</v>
      </c>
      <c r="I43" s="141">
        <f t="shared" si="30"/>
        <v>805.70981610312322</v>
      </c>
      <c r="J43" s="141">
        <f t="shared" si="30"/>
        <v>796.92410456117227</v>
      </c>
      <c r="K43" s="141">
        <f t="shared" si="30"/>
        <v>738.4192150898624</v>
      </c>
      <c r="L43" s="141">
        <f t="shared" ref="L43" si="31">L44+L46+L48+L49+L51</f>
        <v>712.43248634753706</v>
      </c>
      <c r="M43" s="141">
        <f t="shared" ref="M43:V43" si="32">M44+M46+M48+M49+M51</f>
        <v>647.2294692857904</v>
      </c>
      <c r="N43" s="141">
        <f t="shared" si="32"/>
        <v>597.95798012432851</v>
      </c>
      <c r="O43" s="141">
        <f t="shared" si="32"/>
        <v>566.14758346133306</v>
      </c>
      <c r="P43" s="141">
        <f t="shared" si="32"/>
        <v>540.50147548770678</v>
      </c>
      <c r="Q43" s="141">
        <f t="shared" si="32"/>
        <v>544.3387777683165</v>
      </c>
      <c r="R43" s="141">
        <f t="shared" si="32"/>
        <v>541.67935138961934</v>
      </c>
      <c r="S43" s="141">
        <f t="shared" si="32"/>
        <v>548.98162118327434</v>
      </c>
      <c r="T43" s="141">
        <f t="shared" si="32"/>
        <v>551.62228409987949</v>
      </c>
      <c r="U43" s="141">
        <f t="shared" si="32"/>
        <v>522.14487824572859</v>
      </c>
      <c r="V43" s="141">
        <f t="shared" si="32"/>
        <v>486.5046883443253</v>
      </c>
      <c r="W43" s="141">
        <f t="shared" ref="W43:Y43" si="33">W44+W46+W48+W49+W51</f>
        <v>499.83058216646225</v>
      </c>
      <c r="X43" s="141">
        <f t="shared" si="33"/>
        <v>528.38074086783433</v>
      </c>
      <c r="Y43" s="141">
        <f t="shared" si="33"/>
        <v>528.82619047836897</v>
      </c>
      <c r="DA43" s="174" t="s">
        <v>400</v>
      </c>
    </row>
    <row r="44" spans="1:105" ht="11.45" customHeight="1" x14ac:dyDescent="0.25">
      <c r="A44" s="111" t="s">
        <v>110</v>
      </c>
      <c r="B44" s="96">
        <v>122.75978755910337</v>
      </c>
      <c r="C44" s="96">
        <v>134.62909069193373</v>
      </c>
      <c r="D44" s="96">
        <v>131.04958054264796</v>
      </c>
      <c r="E44" s="96">
        <v>122.83247200969659</v>
      </c>
      <c r="F44" s="96">
        <v>121.31434918834884</v>
      </c>
      <c r="G44" s="96">
        <v>117.61554678112824</v>
      </c>
      <c r="H44" s="96">
        <v>114.2629878793222</v>
      </c>
      <c r="I44" s="96">
        <v>109.1471508666481</v>
      </c>
      <c r="J44" s="96">
        <v>96.221406937765337</v>
      </c>
      <c r="K44" s="96">
        <v>84.804766559561898</v>
      </c>
      <c r="L44" s="96">
        <v>74.904136850735057</v>
      </c>
      <c r="M44" s="96">
        <v>63.338576047427487</v>
      </c>
      <c r="N44" s="96">
        <v>52.801139988066609</v>
      </c>
      <c r="O44" s="96">
        <v>47.814227874974556</v>
      </c>
      <c r="P44" s="96">
        <v>43.675893486453312</v>
      </c>
      <c r="Q44" s="96">
        <v>40.367780457294259</v>
      </c>
      <c r="R44" s="96">
        <v>37.897012613715162</v>
      </c>
      <c r="S44" s="96">
        <v>35.69815810173813</v>
      </c>
      <c r="T44" s="96">
        <v>32.041077717970921</v>
      </c>
      <c r="U44" s="96">
        <v>29.106699718685004</v>
      </c>
      <c r="V44" s="96">
        <v>25.718750906608399</v>
      </c>
      <c r="W44" s="96">
        <v>26.304010720270984</v>
      </c>
      <c r="X44" s="96">
        <v>25.630502687685592</v>
      </c>
      <c r="Y44" s="96">
        <v>24.518149099633579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0.23119466880917328</v>
      </c>
      <c r="I45" s="96">
        <v>0.33388276389898425</v>
      </c>
      <c r="J45" s="96">
        <v>0.27491234833333811</v>
      </c>
      <c r="K45" s="96">
        <v>0.2548352096367934</v>
      </c>
      <c r="L45" s="96">
        <v>1.2529385350913855</v>
      </c>
      <c r="M45" s="96">
        <v>1.8820613958523518</v>
      </c>
      <c r="N45" s="96">
        <v>1.8571815064918651</v>
      </c>
      <c r="O45" s="96">
        <v>1.5887662876738515</v>
      </c>
      <c r="P45" s="96">
        <v>1.4273925415710591</v>
      </c>
      <c r="Q45" s="96">
        <v>1.2392361522729769</v>
      </c>
      <c r="R45" s="96">
        <v>1.1702663831281463</v>
      </c>
      <c r="S45" s="96">
        <v>1.1479149214838655</v>
      </c>
      <c r="T45" s="96">
        <v>1.0119709740418696</v>
      </c>
      <c r="U45" s="96">
        <v>0.93430842450207607</v>
      </c>
      <c r="V45" s="96">
        <v>1.6340580451517492</v>
      </c>
      <c r="W45" s="96">
        <v>1.6714015610040047</v>
      </c>
      <c r="X45" s="96">
        <v>1.6021376102131115</v>
      </c>
      <c r="Y45" s="96">
        <v>1.5889300313571841</v>
      </c>
      <c r="DA45" s="171" t="s">
        <v>661</v>
      </c>
    </row>
    <row r="46" spans="1:105" ht="11.45" customHeight="1" x14ac:dyDescent="0.25">
      <c r="A46" s="111" t="s">
        <v>111</v>
      </c>
      <c r="B46" s="96">
        <v>430.66548655171476</v>
      </c>
      <c r="C46" s="96">
        <v>441.52562359199322</v>
      </c>
      <c r="D46" s="96">
        <v>445.79103205631611</v>
      </c>
      <c r="E46" s="96">
        <v>477.17020338918184</v>
      </c>
      <c r="F46" s="96">
        <v>525.05867453441033</v>
      </c>
      <c r="G46" s="96">
        <v>562.40571749369701</v>
      </c>
      <c r="H46" s="96">
        <v>625.79238295091886</v>
      </c>
      <c r="I46" s="96">
        <v>696.38109123160712</v>
      </c>
      <c r="J46" s="96">
        <v>700.55908781309688</v>
      </c>
      <c r="K46" s="96">
        <v>653.50918206900997</v>
      </c>
      <c r="L46" s="96">
        <v>637.52834949680198</v>
      </c>
      <c r="M46" s="96">
        <v>583.89089323836288</v>
      </c>
      <c r="N46" s="96">
        <v>545.15355695154403</v>
      </c>
      <c r="O46" s="96">
        <v>518.32224398509209</v>
      </c>
      <c r="P46" s="96">
        <v>496.8161896118782</v>
      </c>
      <c r="Q46" s="96">
        <v>503.43141065498219</v>
      </c>
      <c r="R46" s="96">
        <v>503.21364187967015</v>
      </c>
      <c r="S46" s="96">
        <v>512.66864026637847</v>
      </c>
      <c r="T46" s="96">
        <v>518.9614219658331</v>
      </c>
      <c r="U46" s="96">
        <v>492.37745527466069</v>
      </c>
      <c r="V46" s="96">
        <v>459.98390834982354</v>
      </c>
      <c r="W46" s="96">
        <v>472.07063059308587</v>
      </c>
      <c r="X46" s="96">
        <v>500.61757792915972</v>
      </c>
      <c r="Y46" s="96">
        <v>501.50805362491519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</v>
      </c>
      <c r="J47" s="96">
        <v>0</v>
      </c>
      <c r="K47" s="96">
        <v>0.99488850519333805</v>
      </c>
      <c r="L47" s="96">
        <v>0</v>
      </c>
      <c r="M47" s="96">
        <v>19.922918251555117</v>
      </c>
      <c r="N47" s="96">
        <v>36.428505324088725</v>
      </c>
      <c r="O47" s="96">
        <v>36.296446013839891</v>
      </c>
      <c r="P47" s="96">
        <v>35.00046294974851</v>
      </c>
      <c r="Q47" s="96">
        <v>34.794190651735157</v>
      </c>
      <c r="R47" s="96">
        <v>34.346035352153656</v>
      </c>
      <c r="S47" s="96">
        <v>33.83651950634264</v>
      </c>
      <c r="T47" s="96">
        <v>33.094790183082814</v>
      </c>
      <c r="U47" s="96">
        <v>34.603751540256475</v>
      </c>
      <c r="V47" s="96">
        <v>32.527608969978779</v>
      </c>
      <c r="W47" s="96">
        <v>33.71299544823512</v>
      </c>
      <c r="X47" s="96">
        <v>31.919482032287121</v>
      </c>
      <c r="Y47" s="96">
        <v>28.117475185138183</v>
      </c>
      <c r="DA47" s="171" t="s">
        <v>663</v>
      </c>
    </row>
    <row r="48" spans="1:105" ht="11.45" customHeight="1" x14ac:dyDescent="0.25">
      <c r="A48" s="111" t="s">
        <v>112</v>
      </c>
      <c r="B48" s="96">
        <v>0.36023405686786958</v>
      </c>
      <c r="C48" s="96">
        <v>0.37170080165201624</v>
      </c>
      <c r="D48" s="96">
        <v>0.3676298671603167</v>
      </c>
      <c r="E48" s="96">
        <v>0.33648267796601866</v>
      </c>
      <c r="F48" s="96">
        <v>0.31868812437083105</v>
      </c>
      <c r="G48" s="96">
        <v>0.26608698095535399</v>
      </c>
      <c r="H48" s="96">
        <v>0.22082811434751107</v>
      </c>
      <c r="I48" s="96">
        <v>0.18157400486801956</v>
      </c>
      <c r="J48" s="96">
        <v>0.14360981031007244</v>
      </c>
      <c r="K48" s="96">
        <v>0.10526646129046729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X48" s="96">
        <v>0</v>
      </c>
      <c r="Y48" s="96">
        <v>0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0.42785402282985602</v>
      </c>
      <c r="R49" s="96">
        <v>0.44808023557485638</v>
      </c>
      <c r="S49" s="96">
        <v>0.46992862164652233</v>
      </c>
      <c r="T49" s="96">
        <v>0.46234103360992201</v>
      </c>
      <c r="U49" s="96">
        <v>0.44244640781125288</v>
      </c>
      <c r="V49" s="96">
        <v>0.40541808130048856</v>
      </c>
      <c r="W49" s="96">
        <v>0.39887193123029718</v>
      </c>
      <c r="X49" s="96">
        <v>0.38667419117294705</v>
      </c>
      <c r="Y49" s="96">
        <v>0.35627616826777952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8.8669875501605783E-3</v>
      </c>
      <c r="R50" s="96">
        <v>2.6836548239765955E-2</v>
      </c>
      <c r="S50" s="96">
        <v>4.6384634046669128E-2</v>
      </c>
      <c r="T50" s="96">
        <v>3.2961844926838513E-2</v>
      </c>
      <c r="U50" s="96">
        <v>8.1178678292885845E-2</v>
      </c>
      <c r="V50" s="96">
        <v>6.944605133911913E-2</v>
      </c>
      <c r="W50" s="96">
        <v>8.6544489804648322E-2</v>
      </c>
      <c r="X50" s="96">
        <v>0.12644245486170153</v>
      </c>
      <c r="Y50" s="96">
        <v>0.13034403917674686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3.28318471788463E-3</v>
      </c>
      <c r="O51" s="96">
        <v>1.1111601266436542E-2</v>
      </c>
      <c r="P51" s="96">
        <v>9.3923893753248798E-3</v>
      </c>
      <c r="Q51" s="96">
        <v>0.11173263321019769</v>
      </c>
      <c r="R51" s="96">
        <v>0.12061666065925186</v>
      </c>
      <c r="S51" s="96">
        <v>0.14489419351111196</v>
      </c>
      <c r="T51" s="96">
        <v>0.15744338246557388</v>
      </c>
      <c r="U51" s="96">
        <v>0.21827684457156987</v>
      </c>
      <c r="V51" s="96">
        <v>0.39661100659288123</v>
      </c>
      <c r="W51" s="96">
        <v>1.0570689218750762</v>
      </c>
      <c r="X51" s="96">
        <v>1.745986059816135</v>
      </c>
      <c r="Y51" s="96">
        <v>2.4437115855525295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738.52501459857581</v>
      </c>
      <c r="C52" s="130">
        <f t="shared" si="34"/>
        <v>777.22818204567375</v>
      </c>
      <c r="D52" s="130">
        <f t="shared" si="34"/>
        <v>787.52224557452428</v>
      </c>
      <c r="E52" s="130">
        <f t="shared" si="34"/>
        <v>876.88382050289238</v>
      </c>
      <c r="F52" s="130">
        <f t="shared" si="34"/>
        <v>941.23241115298015</v>
      </c>
      <c r="G52" s="130">
        <f t="shared" si="34"/>
        <v>936.1061578354645</v>
      </c>
      <c r="H52" s="130">
        <f t="shared" si="34"/>
        <v>962.99485813159231</v>
      </c>
      <c r="I52" s="130">
        <f t="shared" si="34"/>
        <v>984.4592982319225</v>
      </c>
      <c r="J52" s="130">
        <f t="shared" si="34"/>
        <v>906.39414097692566</v>
      </c>
      <c r="K52" s="130">
        <f t="shared" si="34"/>
        <v>770.94414444889139</v>
      </c>
      <c r="L52" s="130">
        <f t="shared" ref="L52" si="35">L53+L55</f>
        <v>784.34129644883217</v>
      </c>
      <c r="M52" s="130">
        <f t="shared" ref="M52:V52" si="36">M53+M55</f>
        <v>779.58613855572798</v>
      </c>
      <c r="N52" s="130">
        <f t="shared" si="36"/>
        <v>708.78124914248338</v>
      </c>
      <c r="O52" s="130">
        <f t="shared" si="36"/>
        <v>692.88181502201428</v>
      </c>
      <c r="P52" s="130">
        <f t="shared" si="36"/>
        <v>741.81469600929154</v>
      </c>
      <c r="Q52" s="130">
        <f t="shared" si="36"/>
        <v>684.93423814112998</v>
      </c>
      <c r="R52" s="130">
        <f t="shared" si="36"/>
        <v>777.8251516666005</v>
      </c>
      <c r="S52" s="130">
        <f t="shared" si="36"/>
        <v>788.0066069346401</v>
      </c>
      <c r="T52" s="130">
        <f t="shared" si="36"/>
        <v>818.1743836184005</v>
      </c>
      <c r="U52" s="130">
        <f t="shared" si="36"/>
        <v>794.8346556070187</v>
      </c>
      <c r="V52" s="130">
        <f t="shared" si="36"/>
        <v>771.54087525529428</v>
      </c>
      <c r="W52" s="130">
        <f t="shared" ref="W52:Y52" si="37">W53+W55</f>
        <v>785.125897277175</v>
      </c>
      <c r="X52" s="130">
        <f t="shared" si="37"/>
        <v>773.60400049733244</v>
      </c>
      <c r="Y52" s="130">
        <f t="shared" si="37"/>
        <v>780.61939831419886</v>
      </c>
      <c r="DA52" s="176" t="s">
        <v>401</v>
      </c>
    </row>
    <row r="53" spans="1:105" ht="11.45" customHeight="1" x14ac:dyDescent="0.25">
      <c r="A53" s="128" t="s">
        <v>27</v>
      </c>
      <c r="B53" s="97">
        <v>506.58298524616623</v>
      </c>
      <c r="C53" s="97">
        <v>521.6978413350497</v>
      </c>
      <c r="D53" s="97">
        <v>515.22693643258754</v>
      </c>
      <c r="E53" s="97">
        <v>556.76023525733945</v>
      </c>
      <c r="F53" s="97">
        <v>539.73327181724267</v>
      </c>
      <c r="G53" s="97">
        <v>531.22799134465288</v>
      </c>
      <c r="H53" s="97">
        <v>552.87367012030006</v>
      </c>
      <c r="I53" s="97">
        <v>563.76702963000048</v>
      </c>
      <c r="J53" s="97">
        <v>524.54703741249887</v>
      </c>
      <c r="K53" s="97">
        <v>451.68803853277876</v>
      </c>
      <c r="L53" s="97">
        <v>461.86155267847425</v>
      </c>
      <c r="M53" s="97">
        <v>479.37091162630691</v>
      </c>
      <c r="N53" s="97">
        <v>475.55544407492732</v>
      </c>
      <c r="O53" s="97">
        <v>463.83519338868035</v>
      </c>
      <c r="P53" s="97">
        <v>480.95159731634999</v>
      </c>
      <c r="Q53" s="97">
        <v>456.52162411259246</v>
      </c>
      <c r="R53" s="97">
        <v>463.71489909003395</v>
      </c>
      <c r="S53" s="97">
        <v>441.95593618365757</v>
      </c>
      <c r="T53" s="97">
        <v>435.58289118235786</v>
      </c>
      <c r="U53" s="97">
        <v>431.62077488591467</v>
      </c>
      <c r="V53" s="97">
        <v>428.0058941703773</v>
      </c>
      <c r="W53" s="97">
        <v>433.77602595716007</v>
      </c>
      <c r="X53" s="97">
        <v>422.81286499754435</v>
      </c>
      <c r="Y53" s="97">
        <v>416.17388182088428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0.68764028080960171</v>
      </c>
      <c r="L54" s="97">
        <v>0</v>
      </c>
      <c r="M54" s="97">
        <v>16.356596061184945</v>
      </c>
      <c r="N54" s="97">
        <v>31.777787754437576</v>
      </c>
      <c r="O54" s="97">
        <v>32.480892440023169</v>
      </c>
      <c r="P54" s="97">
        <v>33.882810009963492</v>
      </c>
      <c r="Q54" s="97">
        <v>31.552064670234387</v>
      </c>
      <c r="R54" s="97">
        <v>31.65011238164152</v>
      </c>
      <c r="S54" s="97">
        <v>29.169427347559512</v>
      </c>
      <c r="T54" s="97">
        <v>27.777641614312152</v>
      </c>
      <c r="U54" s="97">
        <v>30.333838184028249</v>
      </c>
      <c r="V54" s="97">
        <v>30.266294341393113</v>
      </c>
      <c r="W54" s="97">
        <v>30.978180469042378</v>
      </c>
      <c r="X54" s="97">
        <v>26.958637175977685</v>
      </c>
      <c r="Y54" s="97">
        <v>23.333142329860287</v>
      </c>
      <c r="DA54" s="175" t="s">
        <v>669</v>
      </c>
    </row>
    <row r="55" spans="1:105" ht="11.45" customHeight="1" x14ac:dyDescent="0.25">
      <c r="A55" s="128" t="s">
        <v>116</v>
      </c>
      <c r="B55" s="97">
        <v>231.94202935240961</v>
      </c>
      <c r="C55" s="97">
        <v>255.53034071062402</v>
      </c>
      <c r="D55" s="97">
        <v>272.29530914193668</v>
      </c>
      <c r="E55" s="97">
        <v>320.12358524555293</v>
      </c>
      <c r="F55" s="97">
        <v>401.49913933573754</v>
      </c>
      <c r="G55" s="97">
        <v>404.87816649081162</v>
      </c>
      <c r="H55" s="97">
        <v>410.12118801129225</v>
      </c>
      <c r="I55" s="97">
        <v>420.69226860192197</v>
      </c>
      <c r="J55" s="97">
        <v>381.84710356442685</v>
      </c>
      <c r="K55" s="97">
        <v>319.25610591611257</v>
      </c>
      <c r="L55" s="97">
        <v>322.47974377035791</v>
      </c>
      <c r="M55" s="97">
        <v>300.21522692942102</v>
      </c>
      <c r="N55" s="97">
        <v>233.22580506755608</v>
      </c>
      <c r="O55" s="97">
        <v>229.04662163333396</v>
      </c>
      <c r="P55" s="97">
        <v>260.86309869294161</v>
      </c>
      <c r="Q55" s="97">
        <v>228.41261402853758</v>
      </c>
      <c r="R55" s="97">
        <v>314.1102525765665</v>
      </c>
      <c r="S55" s="97">
        <v>346.05067075098259</v>
      </c>
      <c r="T55" s="97">
        <v>382.59149243604264</v>
      </c>
      <c r="U55" s="97">
        <v>363.21388072110403</v>
      </c>
      <c r="V55" s="97">
        <v>343.53498108491698</v>
      </c>
      <c r="W55" s="97">
        <v>351.34987132001487</v>
      </c>
      <c r="X55" s="97">
        <v>350.79113549978814</v>
      </c>
      <c r="Y55" s="97">
        <v>364.44551649331453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0.48602871804054704</v>
      </c>
      <c r="L56" s="98">
        <v>0</v>
      </c>
      <c r="M56" s="98">
        <v>10.243631975169754</v>
      </c>
      <c r="N56" s="98">
        <v>15.584723557758094</v>
      </c>
      <c r="O56" s="98">
        <v>16.039401035248314</v>
      </c>
      <c r="P56" s="98">
        <v>18.3776805419559</v>
      </c>
      <c r="Q56" s="98">
        <v>15.786523986316709</v>
      </c>
      <c r="R56" s="98">
        <v>21.439088573136168</v>
      </c>
      <c r="S56" s="98">
        <v>22.839607011976767</v>
      </c>
      <c r="T56" s="98">
        <v>24.398316776688979</v>
      </c>
      <c r="U56" s="98">
        <v>25.526276131863856</v>
      </c>
      <c r="V56" s="98">
        <v>24.292961839310657</v>
      </c>
      <c r="W56" s="98">
        <v>25.09170417500475</v>
      </c>
      <c r="X56" s="98">
        <v>22.366516559383641</v>
      </c>
      <c r="Y56" s="98">
        <v>20.432947571365879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11.616404200224201</v>
      </c>
      <c r="C60" s="79">
        <f>IF(C17=0,0,C17/TrRoad_act!C30*100)</f>
        <v>11.452884927527416</v>
      </c>
      <c r="D60" s="79">
        <f>IF(D17=0,0,D17/TrRoad_act!D30*100)</f>
        <v>11.250318309010286</v>
      </c>
      <c r="E60" s="79">
        <f>IF(E17=0,0,E17/TrRoad_act!E30*100)</f>
        <v>11.304377555050818</v>
      </c>
      <c r="F60" s="79">
        <f>IF(F17=0,0,F17/TrRoad_act!F30*100)</f>
        <v>11.275858313410188</v>
      </c>
      <c r="G60" s="79">
        <f>IF(G17=0,0,G17/TrRoad_act!G30*100)</f>
        <v>11.025371817362712</v>
      </c>
      <c r="H60" s="79">
        <f>IF(H17=0,0,H17/TrRoad_act!H30*100)</f>
        <v>10.839870647231844</v>
      </c>
      <c r="I60" s="79">
        <f>IF(I17=0,0,I17/TrRoad_act!I30*100)</f>
        <v>10.49039321644331</v>
      </c>
      <c r="J60" s="79">
        <f>IF(J17=0,0,J17/TrRoad_act!J30*100)</f>
        <v>10.073353813247193</v>
      </c>
      <c r="K60" s="79">
        <f>IF(K17=0,0,K17/TrRoad_act!K30*100)</f>
        <v>9.7186538771419499</v>
      </c>
      <c r="L60" s="79">
        <f>IF(L17=0,0,L17/TrRoad_act!L30*100)</f>
        <v>9.6279915421594424</v>
      </c>
      <c r="M60" s="79">
        <f>IF(M17=0,0,M17/TrRoad_act!M30*100)</f>
        <v>9.3853263496979409</v>
      </c>
      <c r="N60" s="79">
        <f>IF(N17=0,0,N17/TrRoad_act!N30*100)</f>
        <v>9.0651898488426106</v>
      </c>
      <c r="O60" s="79">
        <f>IF(O17=0,0,O17/TrRoad_act!O30*100)</f>
        <v>8.8019990736544571</v>
      </c>
      <c r="P60" s="79">
        <f>IF(P17=0,0,P17/TrRoad_act!P30*100)</f>
        <v>8.7720779607046531</v>
      </c>
      <c r="Q60" s="79">
        <f>IF(Q17=0,0,Q17/TrRoad_act!Q30*100)</f>
        <v>8.4176748497146079</v>
      </c>
      <c r="R60" s="79">
        <f>IF(R17=0,0,R17/TrRoad_act!R30*100)</f>
        <v>8.3498222437104666</v>
      </c>
      <c r="S60" s="79">
        <f>IF(S17=0,0,S17/TrRoad_act!S30*100)</f>
        <v>8.289718821733123</v>
      </c>
      <c r="T60" s="79">
        <f>IF(T17=0,0,T17/TrRoad_act!T30*100)</f>
        <v>8.2442741458474256</v>
      </c>
      <c r="U60" s="79">
        <f>IF(U17=0,0,U17/TrRoad_act!U30*100)</f>
        <v>8.004333954439506</v>
      </c>
      <c r="V60" s="79">
        <f>IF(V17=0,0,V17/TrRoad_act!V30*100)</f>
        <v>7.9222632966010673</v>
      </c>
      <c r="W60" s="79">
        <f>IF(W17=0,0,W17/TrRoad_act!W30*100)</f>
        <v>7.587803989597262</v>
      </c>
      <c r="X60" s="79">
        <f>IF(X17=0,0,X17/TrRoad_act!X30*100)</f>
        <v>7.4929103705605957</v>
      </c>
      <c r="Y60" s="79">
        <f>IF(Y17=0,0,Y17/TrRoad_act!Y30*100)</f>
        <v>7.2682716008391113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9.5064703971905313</v>
      </c>
      <c r="C61" s="32">
        <f>IF(C18=0,0,C18/TrRoad_act!C31*100)</f>
        <v>9.3030815276545926</v>
      </c>
      <c r="D61" s="32">
        <f>IF(D18=0,0,D18/TrRoad_act!D31*100)</f>
        <v>9.1709436882177044</v>
      </c>
      <c r="E61" s="32">
        <f>IF(E18=0,0,E18/TrRoad_act!E31*100)</f>
        <v>9.1179748673932863</v>
      </c>
      <c r="F61" s="32">
        <f>IF(F18=0,0,F18/TrRoad_act!F31*100)</f>
        <v>9.0159483221644923</v>
      </c>
      <c r="G61" s="32">
        <f>IF(G18=0,0,G18/TrRoad_act!G31*100)</f>
        <v>8.8687187036546931</v>
      </c>
      <c r="H61" s="32">
        <f>IF(H18=0,0,H18/TrRoad_act!H31*100)</f>
        <v>8.7461296774035375</v>
      </c>
      <c r="I61" s="32">
        <f>IF(I18=0,0,I18/TrRoad_act!I31*100)</f>
        <v>8.4944769806763141</v>
      </c>
      <c r="J61" s="32">
        <f>IF(J18=0,0,J18/TrRoad_act!J31*100)</f>
        <v>8.293422199289628</v>
      </c>
      <c r="K61" s="32">
        <f>IF(K18=0,0,K18/TrRoad_act!K31*100)</f>
        <v>8.180177339846221</v>
      </c>
      <c r="L61" s="32">
        <f>IF(L18=0,0,L18/TrRoad_act!L31*100)</f>
        <v>8.0393840592155001</v>
      </c>
      <c r="M61" s="32">
        <f>IF(M18=0,0,M18/TrRoad_act!M31*100)</f>
        <v>7.7873723874763892</v>
      </c>
      <c r="N61" s="32">
        <f>IF(N18=0,0,N18/TrRoad_act!N31*100)</f>
        <v>7.5294796479541057</v>
      </c>
      <c r="O61" s="32">
        <f>IF(O18=0,0,O18/TrRoad_act!O31*100)</f>
        <v>7.2881490224122629</v>
      </c>
      <c r="P61" s="32">
        <f>IF(P18=0,0,P18/TrRoad_act!P31*100)</f>
        <v>7.167805697856326</v>
      </c>
      <c r="Q61" s="32">
        <f>IF(Q18=0,0,Q18/TrRoad_act!Q31*100)</f>
        <v>7.0398703960818461</v>
      </c>
      <c r="R61" s="32">
        <f>IF(R18=0,0,R18/TrRoad_act!R31*100)</f>
        <v>6.7889472160339066</v>
      </c>
      <c r="S61" s="32">
        <f>IF(S18=0,0,S18/TrRoad_act!S31*100)</f>
        <v>6.7082270592185607</v>
      </c>
      <c r="T61" s="32">
        <f>IF(T18=0,0,T18/TrRoad_act!T31*100)</f>
        <v>6.6397905142242548</v>
      </c>
      <c r="U61" s="32">
        <f>IF(U18=0,0,U18/TrRoad_act!U31*100)</f>
        <v>6.4686360350444394</v>
      </c>
      <c r="V61" s="32">
        <f>IF(V18=0,0,V18/TrRoad_act!V31*100)</f>
        <v>6.3401720521180911</v>
      </c>
      <c r="W61" s="32">
        <f>IF(W18=0,0,W18/TrRoad_act!W31*100)</f>
        <v>6.0189539336657623</v>
      </c>
      <c r="X61" s="32">
        <f>IF(X18=0,0,X18/TrRoad_act!X31*100)</f>
        <v>5.9284222814530816</v>
      </c>
      <c r="Y61" s="32">
        <f>IF(Y18=0,0,Y18/TrRoad_act!Y31*100)</f>
        <v>5.6893818404314631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4.2228920903557707</v>
      </c>
      <c r="C62" s="141">
        <f>IF(C19=0,0,C19/TrRoad_act!C32*100)</f>
        <v>4.1875048151484373</v>
      </c>
      <c r="D62" s="141">
        <f>IF(D19=0,0,D19/TrRoad_act!D32*100)</f>
        <v>4.1612164389172337</v>
      </c>
      <c r="E62" s="141">
        <f>IF(E19=0,0,E19/TrRoad_act!E32*100)</f>
        <v>4.1373694695010181</v>
      </c>
      <c r="F62" s="141">
        <f>IF(F19=0,0,F19/TrRoad_act!F32*100)</f>
        <v>4.0908032325375991</v>
      </c>
      <c r="G62" s="141">
        <f>IF(G19=0,0,G19/TrRoad_act!G32*100)</f>
        <v>4.0178076596464116</v>
      </c>
      <c r="H62" s="141">
        <f>IF(H19=0,0,H19/TrRoad_act!H32*100)</f>
        <v>3.9524646887719359</v>
      </c>
      <c r="I62" s="141">
        <f>IF(I19=0,0,I19/TrRoad_act!I32*100)</f>
        <v>3.8939144913038466</v>
      </c>
      <c r="J62" s="141">
        <f>IF(J19=0,0,J19/TrRoad_act!J32*100)</f>
        <v>3.8815035884362055</v>
      </c>
      <c r="K62" s="141">
        <f>IF(K19=0,0,K19/TrRoad_act!K32*100)</f>
        <v>3.8704645442003334</v>
      </c>
      <c r="L62" s="141">
        <f>IF(L19=0,0,L19/TrRoad_act!L32*100)</f>
        <v>3.8223312318544194</v>
      </c>
      <c r="M62" s="141">
        <f>IF(M19=0,0,M19/TrRoad_act!M32*100)</f>
        <v>3.7615154002608682</v>
      </c>
      <c r="N62" s="141">
        <f>IF(N19=0,0,N19/TrRoad_act!N32*100)</f>
        <v>3.7497819643900177</v>
      </c>
      <c r="O62" s="141">
        <f>IF(O19=0,0,O19/TrRoad_act!O32*100)</f>
        <v>3.7114263294215752</v>
      </c>
      <c r="P62" s="141">
        <f>IF(P19=0,0,P19/TrRoad_act!P32*100)</f>
        <v>3.69294346523388</v>
      </c>
      <c r="Q62" s="141">
        <f>IF(Q19=0,0,Q19/TrRoad_act!Q32*100)</f>
        <v>3.6678181923534572</v>
      </c>
      <c r="R62" s="141">
        <f>IF(R19=0,0,R19/TrRoad_act!R32*100)</f>
        <v>3.6502445552088072</v>
      </c>
      <c r="S62" s="141">
        <f>IF(S19=0,0,S19/TrRoad_act!S32*100)</f>
        <v>3.6595293630930419</v>
      </c>
      <c r="T62" s="141">
        <f>IF(T19=0,0,T19/TrRoad_act!T32*100)</f>
        <v>3.6304623569181635</v>
      </c>
      <c r="U62" s="141">
        <f>IF(U19=0,0,U19/TrRoad_act!U32*100)</f>
        <v>3.5897680612709011</v>
      </c>
      <c r="V62" s="141">
        <f>IF(V19=0,0,V19/TrRoad_act!V32*100)</f>
        <v>3.5622624840320962</v>
      </c>
      <c r="W62" s="141">
        <f>IF(W19=0,0,W19/TrRoad_act!W32*100)</f>
        <v>3.5347794759057729</v>
      </c>
      <c r="X62" s="141">
        <f>IF(X19=0,0,X19/TrRoad_act!X32*100)</f>
        <v>3.5120739581574343</v>
      </c>
      <c r="Y62" s="141">
        <f>IF(Y19=0,0,Y19/TrRoad_act!Y32*100)</f>
        <v>3.4925715944787834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8.4487610378450757</v>
      </c>
      <c r="C63" s="130">
        <f>IF(C21=0,0,C21/TrRoad_act!C33*100)</f>
        <v>8.2774977560414023</v>
      </c>
      <c r="D63" s="130">
        <f>IF(D21=0,0,D21/TrRoad_act!D33*100)</f>
        <v>8.2002203769073834</v>
      </c>
      <c r="E63" s="130">
        <f>IF(E21=0,0,E21/TrRoad_act!E33*100)</f>
        <v>8.1520036383537882</v>
      </c>
      <c r="F63" s="130">
        <f>IF(F21=0,0,F21/TrRoad_act!F33*100)</f>
        <v>8.0819459531857891</v>
      </c>
      <c r="G63" s="130">
        <f>IF(G21=0,0,G21/TrRoad_act!G33*100)</f>
        <v>7.9421559218927875</v>
      </c>
      <c r="H63" s="130">
        <f>IF(H21=0,0,H21/TrRoad_act!H33*100)</f>
        <v>7.8388348067805547</v>
      </c>
      <c r="I63" s="130">
        <f>IF(I21=0,0,I21/TrRoad_act!I33*100)</f>
        <v>7.6610074763503846</v>
      </c>
      <c r="J63" s="130">
        <f>IF(J21=0,0,J21/TrRoad_act!J33*100)</f>
        <v>7.453118946734028</v>
      </c>
      <c r="K63" s="130">
        <f>IF(K21=0,0,K21/TrRoad_act!K33*100)</f>
        <v>7.3179318448921826</v>
      </c>
      <c r="L63" s="130">
        <f>IF(L21=0,0,L21/TrRoad_act!L33*100)</f>
        <v>7.1661357979253184</v>
      </c>
      <c r="M63" s="130">
        <f>IF(M21=0,0,M21/TrRoad_act!M33*100)</f>
        <v>6.9765527405061745</v>
      </c>
      <c r="N63" s="130">
        <f>IF(N21=0,0,N21/TrRoad_act!N33*100)</f>
        <v>6.7448645530505544</v>
      </c>
      <c r="O63" s="130">
        <f>IF(O21=0,0,O21/TrRoad_act!O33*100)</f>
        <v>6.5500879981821027</v>
      </c>
      <c r="P63" s="130">
        <f>IF(P21=0,0,P21/TrRoad_act!P33*100)</f>
        <v>6.4208227277008163</v>
      </c>
      <c r="Q63" s="130">
        <f>IF(Q21=0,0,Q21/TrRoad_act!Q33*100)</f>
        <v>6.3380709638027906</v>
      </c>
      <c r="R63" s="130">
        <f>IF(R21=0,0,R21/TrRoad_act!R33*100)</f>
        <v>6.071281838923948</v>
      </c>
      <c r="S63" s="130">
        <f>IF(S21=0,0,S21/TrRoad_act!S33*100)</f>
        <v>5.9534886360649297</v>
      </c>
      <c r="T63" s="130">
        <f>IF(T21=0,0,T21/TrRoad_act!T33*100)</f>
        <v>5.9070631938565636</v>
      </c>
      <c r="U63" s="130">
        <f>IF(U21=0,0,U21/TrRoad_act!U33*100)</f>
        <v>5.7671726228509765</v>
      </c>
      <c r="V63" s="130">
        <f>IF(V21=0,0,V21/TrRoad_act!V33*100)</f>
        <v>5.5910759201767011</v>
      </c>
      <c r="W63" s="130">
        <f>IF(W21=0,0,W21/TrRoad_act!W33*100)</f>
        <v>5.321361081513051</v>
      </c>
      <c r="X63" s="130">
        <f>IF(X21=0,0,X21/TrRoad_act!X33*100)</f>
        <v>5.2350724926774754</v>
      </c>
      <c r="Y63" s="130">
        <f>IF(Y21=0,0,Y21/TrRoad_act!Y33*100)</f>
        <v>5.0376434780163981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8.5158563683658492</v>
      </c>
      <c r="C64" s="96">
        <f>IF(C22=0,0,C22/TrRoad_act!C34*100)</f>
        <v>8.3894884758381476</v>
      </c>
      <c r="D64" s="96">
        <f>IF(D22=0,0,D22/TrRoad_act!D34*100)</f>
        <v>8.3217375908533295</v>
      </c>
      <c r="E64" s="96">
        <f>IF(E22=0,0,E22/TrRoad_act!E34*100)</f>
        <v>8.260922516392311</v>
      </c>
      <c r="F64" s="96">
        <f>IF(F22=0,0,F22/TrRoad_act!F34*100)</f>
        <v>8.1748391078754388</v>
      </c>
      <c r="G64" s="96">
        <f>IF(G22=0,0,G22/TrRoad_act!G34*100)</f>
        <v>8.0664187128915117</v>
      </c>
      <c r="H64" s="96">
        <f>IF(H22=0,0,H22/TrRoad_act!H34*100)</f>
        <v>7.9755198630500495</v>
      </c>
      <c r="I64" s="96">
        <f>IF(I22=0,0,I22/TrRoad_act!I34*100)</f>
        <v>7.8373731762009822</v>
      </c>
      <c r="J64" s="96">
        <f>IF(J22=0,0,J22/TrRoad_act!J34*100)</f>
        <v>7.7065163727575632</v>
      </c>
      <c r="K64" s="96">
        <f>IF(K22=0,0,K22/TrRoad_act!K34*100)</f>
        <v>7.5909409996617399</v>
      </c>
      <c r="L64" s="96">
        <f>IF(L22=0,0,L22/TrRoad_act!L34*100)</f>
        <v>7.439551774119284</v>
      </c>
      <c r="M64" s="96">
        <f>IF(M22=0,0,M22/TrRoad_act!M34*100)</f>
        <v>7.2591618437391023</v>
      </c>
      <c r="N64" s="96">
        <f>IF(N22=0,0,N22/TrRoad_act!N34*100)</f>
        <v>7.0494784357736133</v>
      </c>
      <c r="O64" s="96">
        <f>IF(O22=0,0,O22/TrRoad_act!O34*100)</f>
        <v>6.8234636418069563</v>
      </c>
      <c r="P64" s="96">
        <f>IF(P22=0,0,P22/TrRoad_act!P34*100)</f>
        <v>6.5855632211085728</v>
      </c>
      <c r="Q64" s="96">
        <f>IF(Q22=0,0,Q22/TrRoad_act!Q34*100)</f>
        <v>6.6616403980963108</v>
      </c>
      <c r="R64" s="96">
        <f>IF(R22=0,0,R22/TrRoad_act!R34*100)</f>
        <v>6.1689973771506263</v>
      </c>
      <c r="S64" s="96">
        <f>IF(S22=0,0,S22/TrRoad_act!S34*100)</f>
        <v>6.0008546862407597</v>
      </c>
      <c r="T64" s="96">
        <f>IF(T22=0,0,T22/TrRoad_act!T34*100)</f>
        <v>5.8692965649211262</v>
      </c>
      <c r="U64" s="96">
        <f>IF(U22=0,0,U22/TrRoad_act!U34*100)</f>
        <v>5.7338393702107711</v>
      </c>
      <c r="V64" s="96">
        <f>IF(V22=0,0,V22/TrRoad_act!V34*100)</f>
        <v>5.5848159021486374</v>
      </c>
      <c r="W64" s="96">
        <f>IF(W22=0,0,W22/TrRoad_act!W34*100)</f>
        <v>5.2935651974160711</v>
      </c>
      <c r="X64" s="96">
        <f>IF(X22=0,0,X22/TrRoad_act!X34*100)</f>
        <v>5.3318470223173913</v>
      </c>
      <c r="Y64" s="96">
        <f>IF(Y22=0,0,Y22/TrRoad_act!Y34*100)</f>
        <v>5.2013346782356091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7.7867747548145196</v>
      </c>
      <c r="C65" s="96">
        <f>IF(C24=0,0,C24/TrRoad_act!C35*100)</f>
        <v>7.2552675427883866</v>
      </c>
      <c r="D65" s="96">
        <f>IF(D24=0,0,D24/TrRoad_act!D35*100)</f>
        <v>7.1434376670686248</v>
      </c>
      <c r="E65" s="96">
        <f>IF(E24=0,0,E24/TrRoad_act!E35*100)</f>
        <v>7.2911543796170406</v>
      </c>
      <c r="F65" s="96">
        <f>IF(F24=0,0,F24/TrRoad_act!F35*100)</f>
        <v>7.4478126236602051</v>
      </c>
      <c r="G65" s="96">
        <f>IF(G24=0,0,G24/TrRoad_act!G35*100)</f>
        <v>7.2832853634183818</v>
      </c>
      <c r="H65" s="96">
        <f>IF(H24=0,0,H24/TrRoad_act!H35*100)</f>
        <v>7.2306642237180725</v>
      </c>
      <c r="I65" s="96">
        <f>IF(I24=0,0,I24/TrRoad_act!I35*100)</f>
        <v>7.0895291882036</v>
      </c>
      <c r="J65" s="96">
        <f>IF(J24=0,0,J24/TrRoad_act!J35*100)</f>
        <v>6.7766264552187527</v>
      </c>
      <c r="K65" s="96">
        <f>IF(K24=0,0,K24/TrRoad_act!K35*100)</f>
        <v>6.6738256152627047</v>
      </c>
      <c r="L65" s="96">
        <f>IF(L24=0,0,L24/TrRoad_act!L35*100)</f>
        <v>6.6267584368102597</v>
      </c>
      <c r="M65" s="96">
        <f>IF(M24=0,0,M24/TrRoad_act!M35*100)</f>
        <v>6.4757435320022623</v>
      </c>
      <c r="N65" s="96">
        <f>IF(N24=0,0,N24/TrRoad_act!N35*100)</f>
        <v>6.274389533599166</v>
      </c>
      <c r="O65" s="96">
        <f>IF(O24=0,0,O24/TrRoad_act!O35*100)</f>
        <v>6.1592693428298499</v>
      </c>
      <c r="P65" s="96">
        <f>IF(P24=0,0,P24/TrRoad_act!P35*100)</f>
        <v>6.2003312108662545</v>
      </c>
      <c r="Q65" s="96">
        <f>IF(Q24=0,0,Q24/TrRoad_act!Q35*100)</f>
        <v>5.9637845922288921</v>
      </c>
      <c r="R65" s="96">
        <f>IF(R24=0,0,R24/TrRoad_act!R35*100)</f>
        <v>5.9719866066810594</v>
      </c>
      <c r="S65" s="96">
        <f>IF(S24=0,0,S24/TrRoad_act!S35*100)</f>
        <v>5.9311466608697012</v>
      </c>
      <c r="T65" s="96">
        <f>IF(T24=0,0,T24/TrRoad_act!T35*100)</f>
        <v>6.0100866475806498</v>
      </c>
      <c r="U65" s="96">
        <f>IF(U24=0,0,U24/TrRoad_act!U35*100)</f>
        <v>5.8928520123611277</v>
      </c>
      <c r="V65" s="96">
        <f>IF(V24=0,0,V24/TrRoad_act!V35*100)</f>
        <v>5.774086262325822</v>
      </c>
      <c r="W65" s="96">
        <f>IF(W24=0,0,W24/TrRoad_act!W35*100)</f>
        <v>5.7352680492212587</v>
      </c>
      <c r="X65" s="96">
        <f>IF(X24=0,0,X24/TrRoad_act!X35*100)</f>
        <v>5.6977834787808828</v>
      </c>
      <c r="Y65" s="96">
        <f>IF(Y24=0,0,Y24/TrRoad_act!Y35*100)</f>
        <v>5.7427731909634279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7.8764405208798713</v>
      </c>
      <c r="C66" s="96">
        <f>IF(C26=0,0,C26/TrRoad_act!C36*100)</f>
        <v>8.8499876952165035</v>
      </c>
      <c r="D66" s="96">
        <f>IF(D26=0,0,D26/TrRoad_act!D36*100)</f>
        <v>10.565867211861651</v>
      </c>
      <c r="E66" s="96">
        <f>IF(E26=0,0,E26/TrRoad_act!E36*100)</f>
        <v>9.9485202955126582</v>
      </c>
      <c r="F66" s="96">
        <f>IF(F26=0,0,F26/TrRoad_act!F36*100)</f>
        <v>9.8364990226360138</v>
      </c>
      <c r="G66" s="96">
        <f>IF(G26=0,0,G26/TrRoad_act!G36*100)</f>
        <v>10.188165522377979</v>
      </c>
      <c r="H66" s="96">
        <f>IF(H26=0,0,H26/TrRoad_act!H36*100)</f>
        <v>10.214156102311248</v>
      </c>
      <c r="I66" s="96">
        <f>IF(I26=0,0,I26/TrRoad_act!I36*100)</f>
        <v>9.6132605528621635</v>
      </c>
      <c r="J66" s="96">
        <f>IF(J26=0,0,J26/TrRoad_act!J36*100)</f>
        <v>9.6113391020592314</v>
      </c>
      <c r="K66" s="96">
        <f>IF(K26=0,0,K26/TrRoad_act!K36*100)</f>
        <v>10.161673738436313</v>
      </c>
      <c r="L66" s="96">
        <f>IF(L26=0,0,L26/TrRoad_act!L36*100)</f>
        <v>0</v>
      </c>
      <c r="M66" s="96">
        <f>IF(M26=0,0,M26/TrRoad_act!M36*100)</f>
        <v>0</v>
      </c>
      <c r="N66" s="96">
        <f>IF(N26=0,0,N26/TrRoad_act!N36*100)</f>
        <v>0</v>
      </c>
      <c r="O66" s="96">
        <f>IF(O26=0,0,O26/TrRoad_act!O36*100)</f>
        <v>0</v>
      </c>
      <c r="P66" s="96">
        <f>IF(P26=0,0,P26/TrRoad_act!P36*100)</f>
        <v>0</v>
      </c>
      <c r="Q66" s="96">
        <f>IF(Q26=0,0,Q26/TrRoad_act!Q36*100)</f>
        <v>0</v>
      </c>
      <c r="R66" s="96">
        <f>IF(R26=0,0,R26/TrRoad_act!R36*100)</f>
        <v>0</v>
      </c>
      <c r="S66" s="96">
        <f>IF(S26=0,0,S26/TrRoad_act!S36*100)</f>
        <v>0</v>
      </c>
      <c r="T66" s="96">
        <f>IF(T26=0,0,T26/TrRoad_act!T36*100)</f>
        <v>0</v>
      </c>
      <c r="U66" s="96">
        <f>IF(U26=0,0,U26/TrRoad_act!U36*100)</f>
        <v>0</v>
      </c>
      <c r="V66" s="96">
        <f>IF(V26=0,0,V26/TrRoad_act!V36*100)</f>
        <v>0</v>
      </c>
      <c r="W66" s="96">
        <f>IF(W26=0,0,W26/TrRoad_act!W36*100)</f>
        <v>0</v>
      </c>
      <c r="X66" s="96">
        <f>IF(X26=0,0,X26/TrRoad_act!X36*100)</f>
        <v>0</v>
      </c>
      <c r="Y66" s="96">
        <f>IF(Y26=0,0,Y26/TrRoad_act!Y36*100)</f>
        <v>0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6.3945712735567986</v>
      </c>
      <c r="R67" s="96">
        <f>IF(R27=0,0,R27/TrRoad_act!R37*100)</f>
        <v>7.8295158915089411</v>
      </c>
      <c r="S67" s="96">
        <f>IF(S27=0,0,S27/TrRoad_act!S37*100)</f>
        <v>4.5863835315879626</v>
      </c>
      <c r="T67" s="96">
        <f>IF(T27=0,0,T27/TrRoad_act!T37*100)</f>
        <v>4.9376297749552229</v>
      </c>
      <c r="U67" s="96">
        <f>IF(U27=0,0,U27/TrRoad_act!U37*100)</f>
        <v>5.0664614146219682</v>
      </c>
      <c r="V67" s="96">
        <f>IF(V27=0,0,V27/TrRoad_act!V37*100)</f>
        <v>5.0959402447264077</v>
      </c>
      <c r="W67" s="96">
        <f>IF(W27=0,0,W27/TrRoad_act!W37*100)</f>
        <v>5.0687539748108437</v>
      </c>
      <c r="X67" s="96">
        <f>IF(X27=0,0,X27/TrRoad_act!X37*100)</f>
        <v>5.0487532407324691</v>
      </c>
      <c r="Y67" s="96">
        <f>IF(Y27=0,0,Y27/TrRoad_act!Y37*100)</f>
        <v>5.0422784515866033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2.8550744732475519</v>
      </c>
      <c r="O68" s="96">
        <f>IF(O29=0,0,O29/TrRoad_act!O38*100)</f>
        <v>3.1949171028371532</v>
      </c>
      <c r="P68" s="96">
        <f>IF(P29=0,0,P29/TrRoad_act!P38*100)</f>
        <v>2.1567907136267177</v>
      </c>
      <c r="Q68" s="96">
        <f>IF(Q29=0,0,Q29/TrRoad_act!Q38*100)</f>
        <v>5.7293389150529634</v>
      </c>
      <c r="R68" s="96">
        <f>IF(R29=0,0,R29/TrRoad_act!R38*100)</f>
        <v>3.6379447478083784</v>
      </c>
      <c r="S68" s="96">
        <f>IF(S29=0,0,S29/TrRoad_act!S38*100)</f>
        <v>2.98573478308013</v>
      </c>
      <c r="T68" s="96">
        <f>IF(T29=0,0,T29/TrRoad_act!T38*100)</f>
        <v>2.6642858631719921</v>
      </c>
      <c r="U68" s="96">
        <f>IF(U29=0,0,U29/TrRoad_act!U38*100)</f>
        <v>2.6161410441393378</v>
      </c>
      <c r="V68" s="96">
        <f>IF(V29=0,0,V29/TrRoad_act!V38*100)</f>
        <v>2.4966064298087831</v>
      </c>
      <c r="W68" s="96">
        <f>IF(W29=0,0,W29/TrRoad_act!W38*100)</f>
        <v>2.6279556496335124</v>
      </c>
      <c r="X68" s="96">
        <f>IF(X29=0,0,X29/TrRoad_act!X38*100)</f>
        <v>2.676838316803825</v>
      </c>
      <c r="Y68" s="96">
        <f>IF(Y29=0,0,Y29/TrRoad_act!Y38*100)</f>
        <v>2.6634655669167087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1.2832924931288183</v>
      </c>
      <c r="L69" s="96">
        <f>IF(L32=0,0,L32/TrRoad_act!L39*100)</f>
        <v>1.2782274569577818</v>
      </c>
      <c r="M69" s="96">
        <f>IF(M32=0,0,M32/TrRoad_act!M39*100)</f>
        <v>1.2766400681069436</v>
      </c>
      <c r="N69" s="96">
        <f>IF(N32=0,0,N32/TrRoad_act!N39*100)</f>
        <v>1.2797570813272028</v>
      </c>
      <c r="O69" s="96">
        <f>IF(O32=0,0,O32/TrRoad_act!O39*100)</f>
        <v>1.3178508922896892</v>
      </c>
      <c r="P69" s="96">
        <f>IF(P32=0,0,P32/TrRoad_act!P39*100)</f>
        <v>1.3068457220002074</v>
      </c>
      <c r="Q69" s="96">
        <f>IF(Q32=0,0,Q32/TrRoad_act!Q39*100)</f>
        <v>1.4590924007594626</v>
      </c>
      <c r="R69" s="96">
        <f>IF(R32=0,0,R32/TrRoad_act!R39*100)</f>
        <v>1.4419377420304311</v>
      </c>
      <c r="S69" s="96">
        <f>IF(S32=0,0,S32/TrRoad_act!S39*100)</f>
        <v>1.431739306434717</v>
      </c>
      <c r="T69" s="96">
        <f>IF(T32=0,0,T32/TrRoad_act!T39*100)</f>
        <v>1.4217286170600416</v>
      </c>
      <c r="U69" s="96">
        <f>IF(U32=0,0,U32/TrRoad_act!U39*100)</f>
        <v>1.467652859633386</v>
      </c>
      <c r="V69" s="96">
        <f>IF(V32=0,0,V32/TrRoad_act!V39*100)</f>
        <v>1.5230437779518562</v>
      </c>
      <c r="W69" s="96">
        <f>IF(W32=0,0,W32/TrRoad_act!W39*100)</f>
        <v>1.5768549055121786</v>
      </c>
      <c r="X69" s="96">
        <f>IF(X32=0,0,X32/TrRoad_act!X39*100)</f>
        <v>1.6118180191402167</v>
      </c>
      <c r="Y69" s="96">
        <f>IF(Y32=0,0,Y32/TrRoad_act!Y39*100)</f>
        <v>1.6089869976838915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54.643239904334116</v>
      </c>
      <c r="C70" s="130">
        <f>IF(C33=0,0,C33/TrRoad_act!C40*100)</f>
        <v>53.459573944457539</v>
      </c>
      <c r="D70" s="130">
        <f>IF(D33=0,0,D33/TrRoad_act!D40*100)</f>
        <v>52.912139452043213</v>
      </c>
      <c r="E70" s="130">
        <f>IF(E33=0,0,E33/TrRoad_act!E40*100)</f>
        <v>54.069864260227597</v>
      </c>
      <c r="F70" s="130">
        <f>IF(F33=0,0,F33/TrRoad_act!F40*100)</f>
        <v>53.962253823090855</v>
      </c>
      <c r="G70" s="130">
        <f>IF(G33=0,0,G33/TrRoad_act!G40*100)</f>
        <v>53.465630692375399</v>
      </c>
      <c r="H70" s="130">
        <f>IF(H33=0,0,H33/TrRoad_act!H40*100)</f>
        <v>52.803623375604225</v>
      </c>
      <c r="I70" s="130">
        <f>IF(I33=0,0,I33/TrRoad_act!I40*100)</f>
        <v>52.548573466352622</v>
      </c>
      <c r="J70" s="130">
        <f>IF(J33=0,0,J33/TrRoad_act!J40*100)</f>
        <v>52.557814385728093</v>
      </c>
      <c r="K70" s="130">
        <f>IF(K33=0,0,K33/TrRoad_act!K40*100)</f>
        <v>52.632053689719214</v>
      </c>
      <c r="L70" s="130">
        <f>IF(L33=0,0,L33/TrRoad_act!L40*100)</f>
        <v>52.709308315501666</v>
      </c>
      <c r="M70" s="130">
        <f>IF(M33=0,0,M33/TrRoad_act!M40*100)</f>
        <v>52.73902354754253</v>
      </c>
      <c r="N70" s="130">
        <f>IF(N33=0,0,N33/TrRoad_act!N40*100)</f>
        <v>52.66380716881477</v>
      </c>
      <c r="O70" s="130">
        <f>IF(O33=0,0,O33/TrRoad_act!O40*100)</f>
        <v>52.456885277023993</v>
      </c>
      <c r="P70" s="130">
        <f>IF(P33=0,0,P33/TrRoad_act!P40*100)</f>
        <v>52.781578104491622</v>
      </c>
      <c r="Q70" s="130">
        <f>IF(Q33=0,0,Q33/TrRoad_act!Q40*100)</f>
        <v>53.153073146313389</v>
      </c>
      <c r="R70" s="130">
        <f>IF(R33=0,0,R33/TrRoad_act!R40*100)</f>
        <v>53.455678715355717</v>
      </c>
      <c r="S70" s="130">
        <f>IF(S33=0,0,S33/TrRoad_act!S40*100)</f>
        <v>53.791289468045392</v>
      </c>
      <c r="T70" s="130">
        <f>IF(T33=0,0,T33/TrRoad_act!T40*100)</f>
        <v>54.047668973311438</v>
      </c>
      <c r="U70" s="130">
        <f>IF(U33=0,0,U33/TrRoad_act!U40*100)</f>
        <v>54.059497511051404</v>
      </c>
      <c r="V70" s="130">
        <f>IF(V33=0,0,V33/TrRoad_act!V40*100)</f>
        <v>53.827276942936308</v>
      </c>
      <c r="W70" s="130">
        <f>IF(W33=0,0,W33/TrRoad_act!W40*100)</f>
        <v>53.355634321025661</v>
      </c>
      <c r="X70" s="130">
        <f>IF(X33=0,0,X33/TrRoad_act!X40*100)</f>
        <v>52.688174133318263</v>
      </c>
      <c r="Y70" s="130">
        <f>IF(Y33=0,0,Y33/TrRoad_act!Y40*100)</f>
        <v>51.539451354473698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20.440692882953904</v>
      </c>
      <c r="C71" s="97">
        <f>IF(C34=0,0,C34/TrRoad_act!C41*100)</f>
        <v>20.440692882953904</v>
      </c>
      <c r="D71" s="97">
        <f>IF(D34=0,0,D34/TrRoad_act!D41*100)</f>
        <v>20.440692882953908</v>
      </c>
      <c r="E71" s="97">
        <f>IF(E34=0,0,E34/TrRoad_act!E41*100)</f>
        <v>20.440692882953908</v>
      </c>
      <c r="F71" s="97">
        <f>IF(F34=0,0,F34/TrRoad_act!F41*100)</f>
        <v>20.440692882953908</v>
      </c>
      <c r="G71" s="97">
        <f>IF(G34=0,0,G34/TrRoad_act!G41*100)</f>
        <v>20.313933724138813</v>
      </c>
      <c r="H71" s="97">
        <f>IF(H34=0,0,H34/TrRoad_act!H41*100)</f>
        <v>19.816952315848191</v>
      </c>
      <c r="I71" s="97">
        <f>IF(I34=0,0,I34/TrRoad_act!I41*100)</f>
        <v>19.302997470911194</v>
      </c>
      <c r="J71" s="97">
        <f>IF(J34=0,0,J34/TrRoad_act!J41*100)</f>
        <v>18.798430434498272</v>
      </c>
      <c r="K71" s="97">
        <f>IF(K34=0,0,K34/TrRoad_act!K41*100)</f>
        <v>18.285312632199009</v>
      </c>
      <c r="L71" s="97">
        <f>IF(L34=0,0,L34/TrRoad_act!L41*100)</f>
        <v>17.847788811507783</v>
      </c>
      <c r="M71" s="97">
        <f>IF(M34=0,0,M34/TrRoad_act!M41*100)</f>
        <v>17.506713853088069</v>
      </c>
      <c r="N71" s="97">
        <f>IF(N34=0,0,N34/TrRoad_act!N41*100)</f>
        <v>17.175880596541912</v>
      </c>
      <c r="O71" s="97">
        <f>IF(O34=0,0,O34/TrRoad_act!O41*100)</f>
        <v>16.955219070879377</v>
      </c>
      <c r="P71" s="97">
        <f>IF(P34=0,0,P34/TrRoad_act!P41*100)</f>
        <v>16.858136573248267</v>
      </c>
      <c r="Q71" s="97">
        <f>IF(Q34=0,0,Q34/TrRoad_act!Q41*100)</f>
        <v>16.596139125819619</v>
      </c>
      <c r="R71" s="97">
        <f>IF(R34=0,0,R34/TrRoad_act!R41*100)</f>
        <v>16.564873204892137</v>
      </c>
      <c r="S71" s="97">
        <f>IF(S34=0,0,S34/TrRoad_act!S41*100)</f>
        <v>16.530354064213125</v>
      </c>
      <c r="T71" s="97">
        <f>IF(T34=0,0,T34/TrRoad_act!T41*100)</f>
        <v>16.398489930405127</v>
      </c>
      <c r="U71" s="97">
        <f>IF(U34=0,0,U34/TrRoad_act!U41*100)</f>
        <v>16.39563053566361</v>
      </c>
      <c r="V71" s="97">
        <f>IF(V34=0,0,V34/TrRoad_act!V41*100)</f>
        <v>16.384834036828298</v>
      </c>
      <c r="W71" s="97">
        <f>IF(W34=0,0,W34/TrRoad_act!W41*100)</f>
        <v>16.363519275516467</v>
      </c>
      <c r="X71" s="97">
        <f>IF(X34=0,0,X34/TrRoad_act!X41*100)</f>
        <v>16.363284284221706</v>
      </c>
      <c r="Y71" s="97">
        <f>IF(Y34=0,0,Y34/TrRoad_act!Y41*100)</f>
        <v>16.338033772227739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59.013036218082306</v>
      </c>
      <c r="C72" s="97">
        <f>IF(C36=0,0,C36/TrRoad_act!C42*100)</f>
        <v>57.779072274133249</v>
      </c>
      <c r="D72" s="97">
        <f>IF(D36=0,0,D36/TrRoad_act!D42*100)</f>
        <v>57.205812509550825</v>
      </c>
      <c r="E72" s="97">
        <f>IF(E36=0,0,E36/TrRoad_act!E42*100)</f>
        <v>56.794152540440869</v>
      </c>
      <c r="F72" s="97">
        <f>IF(F36=0,0,F36/TrRoad_act!F42*100)</f>
        <v>56.199877260172315</v>
      </c>
      <c r="G72" s="97">
        <f>IF(G36=0,0,G36/TrRoad_act!G42*100)</f>
        <v>55.511363182596106</v>
      </c>
      <c r="H72" s="97">
        <f>IF(H36=0,0,H36/TrRoad_act!H42*100)</f>
        <v>54.818564120545446</v>
      </c>
      <c r="I72" s="97">
        <f>IF(I36=0,0,I36/TrRoad_act!I42*100)</f>
        <v>54.545064145002087</v>
      </c>
      <c r="J72" s="97">
        <f>IF(J36=0,0,J36/TrRoad_act!J42*100)</f>
        <v>54.580171755701222</v>
      </c>
      <c r="K72" s="97">
        <f>IF(K36=0,0,K36/TrRoad_act!K42*100)</f>
        <v>54.578094061878247</v>
      </c>
      <c r="L72" s="97">
        <f>IF(L36=0,0,L36/TrRoad_act!L42*100)</f>
        <v>54.579864295400547</v>
      </c>
      <c r="M72" s="97">
        <f>IF(M36=0,0,M36/TrRoad_act!M42*100)</f>
        <v>54.620098610696388</v>
      </c>
      <c r="N72" s="97">
        <f>IF(N36=0,0,N36/TrRoad_act!N42*100)</f>
        <v>54.624849451351508</v>
      </c>
      <c r="O72" s="97">
        <f>IF(O36=0,0,O36/TrRoad_act!O42*100)</f>
        <v>54.636690826123377</v>
      </c>
      <c r="P72" s="97">
        <f>IF(P36=0,0,P36/TrRoad_act!P42*100)</f>
        <v>54.69226389035213</v>
      </c>
      <c r="Q72" s="97">
        <f>IF(Q36=0,0,Q36/TrRoad_act!Q42*100)</f>
        <v>54.804970789203878</v>
      </c>
      <c r="R72" s="97">
        <f>IF(R36=0,0,R36/TrRoad_act!R42*100)</f>
        <v>54.963117609837077</v>
      </c>
      <c r="S72" s="97">
        <f>IF(S36=0,0,S36/TrRoad_act!S42*100)</f>
        <v>55.082344444376389</v>
      </c>
      <c r="T72" s="97">
        <f>IF(T36=0,0,T36/TrRoad_act!T42*100)</f>
        <v>55.082504330038127</v>
      </c>
      <c r="U72" s="97">
        <f>IF(U36=0,0,U36/TrRoad_act!U42*100)</f>
        <v>54.968841550174908</v>
      </c>
      <c r="V72" s="97">
        <f>IF(V36=0,0,V36/TrRoad_act!V42*100)</f>
        <v>54.833371995721706</v>
      </c>
      <c r="W72" s="97">
        <f>IF(W36=0,0,W36/TrRoad_act!W42*100)</f>
        <v>54.549851277320961</v>
      </c>
      <c r="X72" s="97">
        <f>IF(X36=0,0,X36/TrRoad_act!X42*100)</f>
        <v>54.254717326895999</v>
      </c>
      <c r="Y72" s="97">
        <f>IF(Y36=0,0,Y36/TrRoad_act!Y42*100)</f>
        <v>54.171224007907846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X73" s="97">
        <f>IF(X38=0,0,X38/TrRoad_act!X43*100)</f>
        <v>0</v>
      </c>
      <c r="Y73" s="97">
        <f>IF(Y38=0,0,Y38/TrRoad_act!Y43*100)</f>
        <v>0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65.003431546855694</v>
      </c>
      <c r="R74" s="97">
        <f>IF(R39=0,0,R39/TrRoad_act!R44*100)</f>
        <v>55.752852804855159</v>
      </c>
      <c r="S74" s="97">
        <f>IF(S39=0,0,S39/TrRoad_act!S44*100)</f>
        <v>59.20925399475928</v>
      </c>
      <c r="T74" s="97">
        <f>IF(T39=0,0,T39/TrRoad_act!T44*100)</f>
        <v>67.935280640151575</v>
      </c>
      <c r="U74" s="97">
        <f>IF(U39=0,0,U39/TrRoad_act!U44*100)</f>
        <v>76.697152304914312</v>
      </c>
      <c r="V74" s="97">
        <f>IF(V39=0,0,V39/TrRoad_act!V44*100)</f>
        <v>64.658173347751728</v>
      </c>
      <c r="W74" s="97">
        <f>IF(W39=0,0,W39/TrRoad_act!W44*100)</f>
        <v>71.994445382244805</v>
      </c>
      <c r="X74" s="97">
        <f>IF(X39=0,0,X39/TrRoad_act!X44*100)</f>
        <v>83.083930294961021</v>
      </c>
      <c r="Y74" s="97">
        <f>IF(Y39=0,0,Y39/TrRoad_act!Y44*100)</f>
        <v>73.626345063235121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0</v>
      </c>
      <c r="Q75" s="97">
        <f>IF(Q41=0,0,Q41/TrRoad_act!Q45*100)</f>
        <v>0</v>
      </c>
      <c r="R75" s="97">
        <f>IF(R41=0,0,R41/TrRoad_act!R45*100)</f>
        <v>33.396796749672617</v>
      </c>
      <c r="S75" s="97">
        <f>IF(S41=0,0,S41/TrRoad_act!S45*100)</f>
        <v>33.494608924510132</v>
      </c>
      <c r="T75" s="97">
        <f>IF(T41=0,0,T41/TrRoad_act!T45*100)</f>
        <v>33.580517528171114</v>
      </c>
      <c r="U75" s="97">
        <f>IF(U41=0,0,U41/TrRoad_act!U45*100)</f>
        <v>33.808226012633405</v>
      </c>
      <c r="V75" s="97">
        <f>IF(V41=0,0,V41/TrRoad_act!V45*100)</f>
        <v>33.798714964255026</v>
      </c>
      <c r="W75" s="97">
        <f>IF(W41=0,0,W41/TrRoad_act!W45*100)</f>
        <v>33.272220051346146</v>
      </c>
      <c r="X75" s="97">
        <f>IF(X41=0,0,X41/TrRoad_act!X45*100)</f>
        <v>32.850878305887207</v>
      </c>
      <c r="Y75" s="97">
        <f>IF(Y41=0,0,Y41/TrRoad_act!Y45*100)</f>
        <v>32.374849316580878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19.756456317130262</v>
      </c>
      <c r="C76" s="32">
        <f>IF(C42=0,0,C42/TrRoad_act!C46*100)</f>
        <v>19.204058315137516</v>
      </c>
      <c r="D76" s="32">
        <f>IF(D42=0,0,D42/TrRoad_act!D46*100)</f>
        <v>18.662291409528788</v>
      </c>
      <c r="E76" s="32">
        <f>IF(E42=0,0,E42/TrRoad_act!E46*100)</f>
        <v>18.688327001388615</v>
      </c>
      <c r="F76" s="32">
        <f>IF(F42=0,0,F42/TrRoad_act!F46*100)</f>
        <v>18.37298982441278</v>
      </c>
      <c r="G76" s="32">
        <f>IF(G42=0,0,G42/TrRoad_act!G46*100)</f>
        <v>17.468619670537251</v>
      </c>
      <c r="H76" s="32">
        <f>IF(H42=0,0,H42/TrRoad_act!H46*100)</f>
        <v>16.635881843571465</v>
      </c>
      <c r="I76" s="32">
        <f>IF(I42=0,0,I42/TrRoad_act!I46*100)</f>
        <v>15.890852714592507</v>
      </c>
      <c r="J76" s="32">
        <f>IF(J42=0,0,J42/TrRoad_act!J46*100)</f>
        <v>14.906288058316292</v>
      </c>
      <c r="K76" s="32">
        <f>IF(K42=0,0,K42/TrRoad_act!K46*100)</f>
        <v>14.232022168022922</v>
      </c>
      <c r="L76" s="32">
        <f>IF(L42=0,0,L42/TrRoad_act!L46*100)</f>
        <v>14.482196061872996</v>
      </c>
      <c r="M76" s="32">
        <f>IF(M42=0,0,M42/TrRoad_act!M46*100)</f>
        <v>14.999829547472984</v>
      </c>
      <c r="N76" s="32">
        <f>IF(N42=0,0,N42/TrRoad_act!N46*100)</f>
        <v>14.708010635113261</v>
      </c>
      <c r="O76" s="32">
        <f>IF(O42=0,0,O42/TrRoad_act!O46*100)</f>
        <v>14.725140312318175</v>
      </c>
      <c r="P76" s="32">
        <f>IF(P42=0,0,P42/TrRoad_act!P46*100)</f>
        <v>15.4620497665643</v>
      </c>
      <c r="Q76" s="32">
        <f>IF(Q42=0,0,Q42/TrRoad_act!Q46*100)</f>
        <v>14.650891187430688</v>
      </c>
      <c r="R76" s="32">
        <f>IF(R42=0,0,R42/TrRoad_act!R46*100)</f>
        <v>15.507940251470018</v>
      </c>
      <c r="S76" s="32">
        <f>IF(S42=0,0,S42/TrRoad_act!S46*100)</f>
        <v>15.46607061218978</v>
      </c>
      <c r="T76" s="32">
        <f>IF(T42=0,0,T42/TrRoad_act!T46*100)</f>
        <v>15.645964548095234</v>
      </c>
      <c r="U76" s="32">
        <f>IF(U42=0,0,U42/TrRoad_act!U46*100)</f>
        <v>15.370756698539598</v>
      </c>
      <c r="V76" s="32">
        <f>IF(V42=0,0,V42/TrRoad_act!V46*100)</f>
        <v>15.382990173158614</v>
      </c>
      <c r="W76" s="32">
        <f>IF(W42=0,0,W42/TrRoad_act!W46*100)</f>
        <v>15.343623955156364</v>
      </c>
      <c r="X76" s="32">
        <f>IF(X42=0,0,X42/TrRoad_act!X46*100)</f>
        <v>14.912159734798299</v>
      </c>
      <c r="Y76" s="32">
        <f>IF(Y42=0,0,Y42/TrRoad_act!Y46*100)</f>
        <v>15.161265858226372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11.40609385143048</v>
      </c>
      <c r="C77" s="141">
        <f>IF(C43=0,0,C43/TrRoad_act!C47*100)</f>
        <v>10.86889440209262</v>
      </c>
      <c r="D77" s="141">
        <f>IF(D43=0,0,D43/TrRoad_act!D47*100)</f>
        <v>10.35974314404876</v>
      </c>
      <c r="E77" s="141">
        <f>IF(E43=0,0,E43/TrRoad_act!E47*100)</f>
        <v>9.9095872826508593</v>
      </c>
      <c r="F77" s="141">
        <f>IF(F43=0,0,F43/TrRoad_act!F47*100)</f>
        <v>9.5026271325437737</v>
      </c>
      <c r="G77" s="141">
        <f>IF(G43=0,0,G43/TrRoad_act!G47*100)</f>
        <v>9.1720883788933687</v>
      </c>
      <c r="H77" s="141">
        <f>IF(H43=0,0,H43/TrRoad_act!H47*100)</f>
        <v>8.9171982371582992</v>
      </c>
      <c r="I77" s="141">
        <f>IF(I43=0,0,I43/TrRoad_act!I47*100)</f>
        <v>8.6993670723147858</v>
      </c>
      <c r="J77" s="141">
        <f>IF(J43=0,0,J43/TrRoad_act!J47*100)</f>
        <v>8.5106657730426214</v>
      </c>
      <c r="K77" s="141">
        <f>IF(K43=0,0,K43/TrRoad_act!K47*100)</f>
        <v>8.3655375036010824</v>
      </c>
      <c r="L77" s="141">
        <f>IF(L43=0,0,L43/TrRoad_act!L47*100)</f>
        <v>8.3142705208980825</v>
      </c>
      <c r="M77" s="141">
        <f>IF(M43=0,0,M43/TrRoad_act!M47*100)</f>
        <v>8.4040167539747976</v>
      </c>
      <c r="N77" s="141">
        <f>IF(N43=0,0,N43/TrRoad_act!N47*100)</f>
        <v>8.4735124308991292</v>
      </c>
      <c r="O77" s="141">
        <f>IF(O43=0,0,O43/TrRoad_act!O47*100)</f>
        <v>8.4711049205812774</v>
      </c>
      <c r="P77" s="141">
        <f>IF(P43=0,0,P43/TrRoad_act!P47*100)</f>
        <v>8.4055234408045507</v>
      </c>
      <c r="Q77" s="141">
        <f>IF(Q43=0,0,Q43/TrRoad_act!Q47*100)</f>
        <v>8.2884579125337794</v>
      </c>
      <c r="R77" s="141">
        <f>IF(R43=0,0,R43/TrRoad_act!R47*100)</f>
        <v>8.1863578009798985</v>
      </c>
      <c r="S77" s="141">
        <f>IF(S43=0,0,S43/TrRoad_act!S47*100)</f>
        <v>8.0676043029485243</v>
      </c>
      <c r="T77" s="141">
        <f>IF(T43=0,0,T43/TrRoad_act!T47*100)</f>
        <v>7.8952075090406986</v>
      </c>
      <c r="U77" s="141">
        <f>IF(U43=0,0,U43/TrRoad_act!U47*100)</f>
        <v>7.7100746946983243</v>
      </c>
      <c r="V77" s="141">
        <f>IF(V43=0,0,V43/TrRoad_act!V47*100)</f>
        <v>7.6986838804296642</v>
      </c>
      <c r="W77" s="141">
        <f>IF(W43=0,0,W43/TrRoad_act!W47*100)</f>
        <v>7.7108335858277535</v>
      </c>
      <c r="X77" s="141">
        <f>IF(X43=0,0,X43/TrRoad_act!X47*100)</f>
        <v>7.7281265674779149</v>
      </c>
      <c r="Y77" s="141">
        <f>IF(Y43=0,0,Y43/TrRoad_act!Y47*100)</f>
        <v>7.7808963458459504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13.170587574197285</v>
      </c>
      <c r="C78" s="96">
        <f>IF(C44=0,0,C44/TrRoad_act!C48*100)</f>
        <v>12.813870231168709</v>
      </c>
      <c r="D78" s="96">
        <f>IF(D44=0,0,D44/TrRoad_act!D48*100)</f>
        <v>12.492774177298916</v>
      </c>
      <c r="E78" s="96">
        <f>IF(E44=0,0,E44/TrRoad_act!E48*100)</f>
        <v>12.222618931352383</v>
      </c>
      <c r="F78" s="96">
        <f>IF(F44=0,0,F44/TrRoad_act!F48*100)</f>
        <v>11.981788425091398</v>
      </c>
      <c r="G78" s="96">
        <f>IF(G44=0,0,G44/TrRoad_act!G48*100)</f>
        <v>11.769238601502989</v>
      </c>
      <c r="H78" s="96">
        <f>IF(H44=0,0,H44/TrRoad_act!H48*100)</f>
        <v>11.592968969831601</v>
      </c>
      <c r="I78" s="96">
        <f>IF(I44=0,0,I44/TrRoad_act!I48*100)</f>
        <v>11.475401182131527</v>
      </c>
      <c r="J78" s="96">
        <f>IF(J44=0,0,J44/TrRoad_act!J48*100)</f>
        <v>11.29227704169821</v>
      </c>
      <c r="K78" s="96">
        <f>IF(K44=0,0,K44/TrRoad_act!K48*100)</f>
        <v>11.077624816870795</v>
      </c>
      <c r="L78" s="96">
        <f>IF(L44=0,0,L44/TrRoad_act!L48*100)</f>
        <v>10.934240938348671</v>
      </c>
      <c r="M78" s="96">
        <f>IF(M44=0,0,M44/TrRoad_act!M48*100)</f>
        <v>10.910378205326618</v>
      </c>
      <c r="N78" s="96">
        <f>IF(N44=0,0,N44/TrRoad_act!N48*100)</f>
        <v>10.865181939761614</v>
      </c>
      <c r="O78" s="96">
        <f>IF(O44=0,0,O44/TrRoad_act!O48*100)</f>
        <v>10.689820663812515</v>
      </c>
      <c r="P78" s="96">
        <f>IF(P44=0,0,P44/TrRoad_act!P48*100)</f>
        <v>10.436200419367625</v>
      </c>
      <c r="Q78" s="96">
        <f>IF(Q44=0,0,Q44/TrRoad_act!Q48*100)</f>
        <v>9.9973694053247559</v>
      </c>
      <c r="R78" s="96">
        <f>IF(R44=0,0,R44/TrRoad_act!R48*100)</f>
        <v>9.5403548330049013</v>
      </c>
      <c r="S78" s="96">
        <f>IF(S44=0,0,S44/TrRoad_act!S48*100)</f>
        <v>9.1072862771876295</v>
      </c>
      <c r="T78" s="96">
        <f>IF(T44=0,0,T44/TrRoad_act!T48*100)</f>
        <v>8.6787084881922834</v>
      </c>
      <c r="U78" s="96">
        <f>IF(U44=0,0,U44/TrRoad_act!U48*100)</f>
        <v>8.1894698760256635</v>
      </c>
      <c r="V78" s="96">
        <f>IF(V44=0,0,V44/TrRoad_act!V48*100)</f>
        <v>7.7589530348016451</v>
      </c>
      <c r="W78" s="96">
        <f>IF(W44=0,0,W44/TrRoad_act!W48*100)</f>
        <v>7.3540196875902533</v>
      </c>
      <c r="X78" s="96">
        <f>IF(X44=0,0,X44/TrRoad_act!X48*100)</f>
        <v>6.9396487539009373</v>
      </c>
      <c r="Y78" s="96">
        <f>IF(Y44=0,0,Y44/TrRoad_act!Y48*100)</f>
        <v>6.6873302894995739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10.982968894431727</v>
      </c>
      <c r="C79" s="96">
        <f>IF(C46=0,0,C46/TrRoad_act!C49*100)</f>
        <v>10.384924313173261</v>
      </c>
      <c r="D79" s="96">
        <f>IF(D46=0,0,D46/TrRoad_act!D49*100)</f>
        <v>9.8617971865293974</v>
      </c>
      <c r="E79" s="96">
        <f>IF(E46=0,0,E46/TrRoad_act!E49*100)</f>
        <v>9.4468482276081129</v>
      </c>
      <c r="F79" s="96">
        <f>IF(F46=0,0,F46/TrRoad_act!F49*100)</f>
        <v>9.0669776166624416</v>
      </c>
      <c r="G79" s="96">
        <f>IF(G46=0,0,G46/TrRoad_act!G49*100)</f>
        <v>8.7658600210143014</v>
      </c>
      <c r="H79" s="96">
        <f>IF(H46=0,0,H46/TrRoad_act!H49*100)</f>
        <v>8.5553801824236881</v>
      </c>
      <c r="I79" s="96">
        <f>IF(I46=0,0,I46/TrRoad_act!I49*100)</f>
        <v>8.3807003216260707</v>
      </c>
      <c r="J79" s="96">
        <f>IF(J46=0,0,J46/TrRoad_act!J49*100)</f>
        <v>8.2314969206566619</v>
      </c>
      <c r="K79" s="96">
        <f>IF(K46=0,0,K46/TrRoad_act!K49*100)</f>
        <v>8.1074771524951981</v>
      </c>
      <c r="L79" s="96">
        <f>IF(L46=0,0,L46/TrRoad_act!L49*100)</f>
        <v>8.0866136588324213</v>
      </c>
      <c r="M79" s="96">
        <f>IF(M46=0,0,M46/TrRoad_act!M49*100)</f>
        <v>8.1996841753750687</v>
      </c>
      <c r="N79" s="96">
        <f>IF(N46=0,0,N46/TrRoad_act!N49*100)</f>
        <v>8.2968304906712564</v>
      </c>
      <c r="O79" s="96">
        <f>IF(O46=0,0,O46/TrRoad_act!O49*100)</f>
        <v>8.3126702980495857</v>
      </c>
      <c r="P79" s="96">
        <f>IF(P46=0,0,P46/TrRoad_act!P49*100)</f>
        <v>8.2647104800435933</v>
      </c>
      <c r="Q79" s="96">
        <f>IF(Q46=0,0,Q46/TrRoad_act!Q49*100)</f>
        <v>8.1819024937093445</v>
      </c>
      <c r="R79" s="96">
        <f>IF(R46=0,0,R46/TrRoad_act!R49*100)</f>
        <v>8.1055639125419745</v>
      </c>
      <c r="S79" s="96">
        <f>IF(S46=0,0,S46/TrRoad_act!S49*100)</f>
        <v>8.0106843879142318</v>
      </c>
      <c r="T79" s="96">
        <f>IF(T46=0,0,T46/TrRoad_act!T49*100)</f>
        <v>7.8577479928638949</v>
      </c>
      <c r="U79" s="96">
        <f>IF(U46=0,0,U46/TrRoad_act!U49*100)</f>
        <v>7.6919255895373855</v>
      </c>
      <c r="V79" s="96">
        <f>IF(V46=0,0,V46/TrRoad_act!V49*100)</f>
        <v>7.7088648244243272</v>
      </c>
      <c r="W79" s="96">
        <f>IF(W46=0,0,W46/TrRoad_act!W49*100)</f>
        <v>7.7613060554695306</v>
      </c>
      <c r="X79" s="96">
        <f>IF(X46=0,0,X46/TrRoad_act!X49*100)</f>
        <v>7.8187721437936037</v>
      </c>
      <c r="Y79" s="96">
        <f>IF(Y46=0,0,Y46/TrRoad_act!Y49*100)</f>
        <v>7.9111343845311071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19.109472157469998</v>
      </c>
      <c r="C80" s="96">
        <f>IF(C48=0,0,C48/TrRoad_act!C50*100)</f>
        <v>17.554938397441205</v>
      </c>
      <c r="D80" s="96">
        <f>IF(D48=0,0,D48/TrRoad_act!D50*100)</f>
        <v>16.267215434060613</v>
      </c>
      <c r="E80" s="96">
        <f>IF(E48=0,0,E48/TrRoad_act!E50*100)</f>
        <v>16.023189097505202</v>
      </c>
      <c r="F80" s="96">
        <f>IF(F48=0,0,F48/TrRoad_act!F50*100)</f>
        <v>15.776664428887916</v>
      </c>
      <c r="G80" s="96">
        <f>IF(G48=0,0,G48/TrRoad_act!G50*100)</f>
        <v>15.488708990134437</v>
      </c>
      <c r="H80" s="96">
        <f>IF(H48=0,0,H48/TrRoad_act!H50*100)</f>
        <v>15.350797435713584</v>
      </c>
      <c r="I80" s="96">
        <f>IF(I48=0,0,I48/TrRoad_act!I50*100)</f>
        <v>14.840361801255057</v>
      </c>
      <c r="J80" s="96">
        <f>IF(J48=0,0,J48/TrRoad_act!J50*100)</f>
        <v>14.139758993053302</v>
      </c>
      <c r="K80" s="96">
        <f>IF(K48=0,0,K48/TrRoad_act!K50*100)</f>
        <v>13.240642862236804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X80" s="96">
        <f>IF(X48=0,0,X48/TrRoad_act!X50*100)</f>
        <v>0</v>
      </c>
      <c r="Y80" s="96">
        <f>IF(Y48=0,0,Y48/TrRoad_act!Y50*100)</f>
        <v>0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9.2840513215057641</v>
      </c>
      <c r="R81" s="96">
        <f>IF(R49=0,0,R49/TrRoad_act!R51*100)</f>
        <v>9.2068003436430157</v>
      </c>
      <c r="S81" s="96">
        <f>IF(S49=0,0,S49/TrRoad_act!S51*100)</f>
        <v>9.058175290725238</v>
      </c>
      <c r="T81" s="96">
        <f>IF(T49=0,0,T49/TrRoad_act!T51*100)</f>
        <v>9.0251273259648315</v>
      </c>
      <c r="U81" s="96">
        <f>IF(U49=0,0,U49/TrRoad_act!U51*100)</f>
        <v>9.0164084726950762</v>
      </c>
      <c r="V81" s="96">
        <f>IF(V49=0,0,V49/TrRoad_act!V51*100)</f>
        <v>9.0209112170835546</v>
      </c>
      <c r="W81" s="96">
        <f>IF(W49=0,0,W49/TrRoad_act!W51*100)</f>
        <v>9.0125246966525783</v>
      </c>
      <c r="X81" s="96">
        <f>IF(X49=0,0,X49/TrRoad_act!X51*100)</f>
        <v>9.0002569165631225</v>
      </c>
      <c r="Y81" s="96">
        <f>IF(Y49=0,0,Y49/TrRoad_act!Y51*100)</f>
        <v>8.9827521257805305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1.6472914875411704</v>
      </c>
      <c r="O82" s="96">
        <f>IF(O51=0,0,O51/TrRoad_act!O52*100)</f>
        <v>1.6739466896041684</v>
      </c>
      <c r="P82" s="96">
        <f>IF(P51=0,0,P51/TrRoad_act!P52*100)</f>
        <v>1.8288183769290713</v>
      </c>
      <c r="Q82" s="96">
        <f>IF(Q51=0,0,Q51/TrRoad_act!Q52*100)</f>
        <v>1.8463305612722782</v>
      </c>
      <c r="R82" s="96">
        <f>IF(R51=0,0,R51/TrRoad_act!R52*100)</f>
        <v>1.8530530451468612</v>
      </c>
      <c r="S82" s="96">
        <f>IF(S51=0,0,S51/TrRoad_act!S52*100)</f>
        <v>1.8590273668469499</v>
      </c>
      <c r="T82" s="96">
        <f>IF(T51=0,0,T51/TrRoad_act!T52*100)</f>
        <v>1.9607939744518865</v>
      </c>
      <c r="U82" s="96">
        <f>IF(U51=0,0,U51/TrRoad_act!U52*100)</f>
        <v>2.0412442582417052</v>
      </c>
      <c r="V82" s="96">
        <f>IF(V51=0,0,V51/TrRoad_act!V52*100)</f>
        <v>2.4169865972000419</v>
      </c>
      <c r="W82" s="96">
        <f>IF(W51=0,0,W51/TrRoad_act!W52*100)</f>
        <v>2.8025923578063683</v>
      </c>
      <c r="X82" s="96">
        <f>IF(X51=0,0,X51/TrRoad_act!X52*100)</f>
        <v>2.8755780188958835</v>
      </c>
      <c r="Y82" s="96">
        <f>IF(Y51=0,0,Y51/TrRoad_act!Y52*100)</f>
        <v>2.8218974696408448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43.802503681886634</v>
      </c>
      <c r="C83" s="130">
        <f>IF(C52=0,0,C52/TrRoad_act!C53*100)</f>
        <v>44.541706027325219</v>
      </c>
      <c r="D83" s="130">
        <f>IF(D52=0,0,D52/TrRoad_act!D53*100)</f>
        <v>45.230682562445153</v>
      </c>
      <c r="E83" s="130">
        <f>IF(E52=0,0,E52/TrRoad_act!E53*100)</f>
        <v>47.492641786657096</v>
      </c>
      <c r="F83" s="130">
        <f>IF(F52=0,0,F52/TrRoad_act!F53*100)</f>
        <v>51.228823759040495</v>
      </c>
      <c r="G83" s="130">
        <f>IF(G52=0,0,G52/TrRoad_act!G53*100)</f>
        <v>50.980705565424977</v>
      </c>
      <c r="H83" s="130">
        <f>IF(H52=0,0,H52/TrRoad_act!H53*100)</f>
        <v>49.719133179468415</v>
      </c>
      <c r="I83" s="130">
        <f>IF(I52=0,0,I52/TrRoad_act!I53*100)</f>
        <v>49.132068483594288</v>
      </c>
      <c r="J83" s="130">
        <f>IF(J52=0,0,J52/TrRoad_act!J53*100)</f>
        <v>43.935396033619888</v>
      </c>
      <c r="K83" s="130">
        <f>IF(K52=0,0,K52/TrRoad_act!K53*100)</f>
        <v>43.348377560206977</v>
      </c>
      <c r="L83" s="130">
        <f>IF(L52=0,0,L52/TrRoad_act!L53*100)</f>
        <v>44.401449447650116</v>
      </c>
      <c r="M83" s="130">
        <f>IF(M52=0,0,M52/TrRoad_act!M53*100)</f>
        <v>43.052453889785355</v>
      </c>
      <c r="N83" s="130">
        <f>IF(N52=0,0,N52/TrRoad_act!N53*100)</f>
        <v>38.778874966485262</v>
      </c>
      <c r="O83" s="130">
        <f>IF(O52=0,0,O52/TrRoad_act!O53*100)</f>
        <v>37.113552676099403</v>
      </c>
      <c r="P83" s="130">
        <f>IF(P52=0,0,P52/TrRoad_act!P53*100)</f>
        <v>39.818291410384639</v>
      </c>
      <c r="Q83" s="130">
        <f>IF(Q52=0,0,Q52/TrRoad_act!Q53*100)</f>
        <v>37.571809539585885</v>
      </c>
      <c r="R83" s="130">
        <f>IF(R52=0,0,R52/TrRoad_act!R53*100)</f>
        <v>41.117362717578303</v>
      </c>
      <c r="S83" s="130">
        <f>IF(S52=0,0,S52/TrRoad_act!S53*100)</f>
        <v>42.829070266710985</v>
      </c>
      <c r="T83" s="130">
        <f>IF(T52=0,0,T52/TrRoad_act!T53*100)</f>
        <v>46.272831946221487</v>
      </c>
      <c r="U83" s="130">
        <f>IF(U52=0,0,U52/TrRoad_act!U53*100)</f>
        <v>44.259678306128478</v>
      </c>
      <c r="V83" s="130">
        <f>IF(V52=0,0,V52/TrRoad_act!V53*100)</f>
        <v>41.506639215593523</v>
      </c>
      <c r="W83" s="130">
        <f>IF(W52=0,0,W52/TrRoad_act!W53*100)</f>
        <v>41.489586262704023</v>
      </c>
      <c r="X83" s="130">
        <f>IF(X52=0,0,X52/TrRoad_act!X53*100)</f>
        <v>40.846830377849223</v>
      </c>
      <c r="Y83" s="130">
        <f>IF(Y52=0,0,Y52/TrRoad_act!Y53*100)</f>
        <v>42.417730015040043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36.288179458894433</v>
      </c>
      <c r="C84" s="97">
        <f>IF(C53=0,0,C53/TrRoad_act!C54*100)</f>
        <v>36.38060260355995</v>
      </c>
      <c r="D84" s="97">
        <f>IF(D53=0,0,D53/TrRoad_act!D54*100)</f>
        <v>36.437548545444663</v>
      </c>
      <c r="E84" s="97">
        <f>IF(E53=0,0,E53/TrRoad_act!E54*100)</f>
        <v>36.822766882099167</v>
      </c>
      <c r="F84" s="97">
        <f>IF(F53=0,0,F53/TrRoad_act!F54*100)</f>
        <v>37.429491804247064</v>
      </c>
      <c r="G84" s="97">
        <f>IF(G53=0,0,G53/TrRoad_act!G54*100)</f>
        <v>37.226908994019119</v>
      </c>
      <c r="H84" s="97">
        <f>IF(H53=0,0,H53/TrRoad_act!H54*100)</f>
        <v>36.932108892471618</v>
      </c>
      <c r="I84" s="97">
        <f>IF(I53=0,0,I53/TrRoad_act!I54*100)</f>
        <v>36.679702643461319</v>
      </c>
      <c r="J84" s="97">
        <f>IF(J53=0,0,J53/TrRoad_act!J54*100)</f>
        <v>35.586637544945646</v>
      </c>
      <c r="K84" s="97">
        <f>IF(K53=0,0,K53/TrRoad_act!K54*100)</f>
        <v>35.426512826100293</v>
      </c>
      <c r="L84" s="97">
        <f>IF(L53=0,0,L53/TrRoad_act!L54*100)</f>
        <v>35.637465484450175</v>
      </c>
      <c r="M84" s="97">
        <f>IF(M53=0,0,M53/TrRoad_act!M54*100)</f>
        <v>35.325785676220114</v>
      </c>
      <c r="N84" s="97">
        <f>IF(N53=0,0,N53/TrRoad_act!N54*100)</f>
        <v>34.410668891094595</v>
      </c>
      <c r="O84" s="97">
        <f>IF(O53=0,0,O53/TrRoad_act!O54*100)</f>
        <v>33.980600248254973</v>
      </c>
      <c r="P84" s="97">
        <f>IF(P53=0,0,P53/TrRoad_act!P54*100)</f>
        <v>34.402832426062233</v>
      </c>
      <c r="Q84" s="97">
        <f>IF(Q53=0,0,Q53/TrRoad_act!Q54*100)</f>
        <v>33.766392316020152</v>
      </c>
      <c r="R84" s="97">
        <f>IF(R53=0,0,R53/TrRoad_act!R54*100)</f>
        <v>34.374714535955079</v>
      </c>
      <c r="S84" s="97">
        <f>IF(S53=0,0,S53/TrRoad_act!S54*100)</f>
        <v>34.393458068767124</v>
      </c>
      <c r="T84" s="97">
        <f>IF(T53=0,0,T53/TrRoad_act!T54*100)</f>
        <v>34.652576864149395</v>
      </c>
      <c r="U84" s="97">
        <f>IF(U53=0,0,U53/TrRoad_act!U54*100)</f>
        <v>33.799590828967474</v>
      </c>
      <c r="V84" s="97">
        <f>IF(V53=0,0,V53/TrRoad_act!V54*100)</f>
        <v>33.025146155121703</v>
      </c>
      <c r="W84" s="97">
        <f>IF(W53=0,0,W53/TrRoad_act!W54*100)</f>
        <v>32.688472189688021</v>
      </c>
      <c r="X84" s="97">
        <f>IF(X53=0,0,X53/TrRoad_act!X54*100)</f>
        <v>32.153069581562313</v>
      </c>
      <c r="Y84" s="97">
        <f>IF(Y53=0,0,Y53/TrRoad_act!Y54*100)</f>
        <v>32.087423424894702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79.970691114673969</v>
      </c>
      <c r="C85" s="98">
        <f>IF(C55=0,0,C55/TrRoad_act!C55*100)</f>
        <v>82.178683405380255</v>
      </c>
      <c r="D85" s="98">
        <f>IF(D55=0,0,D55/TrRoad_act!D55*100)</f>
        <v>83.239185475941085</v>
      </c>
      <c r="E85" s="98">
        <f>IF(E55=0,0,E55/TrRoad_act!E55*100)</f>
        <v>95.74298573083756</v>
      </c>
      <c r="F85" s="98">
        <f>IF(F55=0,0,F55/TrRoad_act!F55*100)</f>
        <v>101.56558714636526</v>
      </c>
      <c r="G85" s="98">
        <f>IF(G55=0,0,G55/TrRoad_act!G55*100)</f>
        <v>98.944572292910181</v>
      </c>
      <c r="H85" s="98">
        <f>IF(H55=0,0,H55/TrRoad_act!H55*100)</f>
        <v>93.236957924188417</v>
      </c>
      <c r="I85" s="98">
        <f>IF(I55=0,0,I55/TrRoad_act!I55*100)</f>
        <v>90.141888043104828</v>
      </c>
      <c r="J85" s="98">
        <f>IF(J55=0,0,J55/TrRoad_act!J55*100)</f>
        <v>64.827995197184777</v>
      </c>
      <c r="K85" s="98">
        <f>IF(K55=0,0,K55/TrRoad_act!K55*100)</f>
        <v>63.40933076124081</v>
      </c>
      <c r="L85" s="98">
        <f>IF(L55=0,0,L55/TrRoad_act!L55*100)</f>
        <v>68.543178841927443</v>
      </c>
      <c r="M85" s="98">
        <f>IF(M55=0,0,M55/TrRoad_act!M55*100)</f>
        <v>66.158451755306601</v>
      </c>
      <c r="N85" s="98">
        <f>IF(N55=0,0,N55/TrRoad_act!N55*100)</f>
        <v>52.322000385928021</v>
      </c>
      <c r="O85" s="98">
        <f>IF(O55=0,0,O55/TrRoad_act!O55*100)</f>
        <v>45.633727499255222</v>
      </c>
      <c r="P85" s="98">
        <f>IF(P55=0,0,P55/TrRoad_act!P55*100)</f>
        <v>56.099613224579073</v>
      </c>
      <c r="Q85" s="98">
        <f>IF(Q55=0,0,Q55/TrRoad_act!Q55*100)</f>
        <v>48.49520596938671</v>
      </c>
      <c r="R85" s="98">
        <f>IF(R55=0,0,R55/TrRoad_act!R55*100)</f>
        <v>57.877094180428237</v>
      </c>
      <c r="S85" s="98">
        <f>IF(S55=0,0,S55/TrRoad_act!S55*100)</f>
        <v>62.364140681207346</v>
      </c>
      <c r="T85" s="98">
        <f>IF(T55=0,0,T55/TrRoad_act!T55*100)</f>
        <v>74.848749021173049</v>
      </c>
      <c r="U85" s="98">
        <f>IF(U55=0,0,U55/TrRoad_act!U55*100)</f>
        <v>70.004485581067911</v>
      </c>
      <c r="V85" s="98">
        <f>IF(V55=0,0,V55/TrRoad_act!V55*100)</f>
        <v>61.036289757362553</v>
      </c>
      <c r="W85" s="98">
        <f>IF(W55=0,0,W55/TrRoad_act!W55*100)</f>
        <v>62.147925904185882</v>
      </c>
      <c r="X85" s="98">
        <f>IF(X55=0,0,X55/TrRoad_act!X55*100)</f>
        <v>60.594647226888632</v>
      </c>
      <c r="Y85" s="98">
        <f>IF(Y55=0,0,Y55/TrRoad_act!Y55*100)</f>
        <v>67.07825622595287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40.903418172198933</v>
      </c>
      <c r="C88" s="29">
        <f>IF(TrRoad_act!C4=0,0,C18/TrRoad_act!C4*1000)</f>
        <v>41.094397074168519</v>
      </c>
      <c r="D88" s="29">
        <f>IF(TrRoad_act!D4=0,0,D18/TrRoad_act!D4*1000)</f>
        <v>41.676995075233471</v>
      </c>
      <c r="E88" s="29">
        <f>IF(TrRoad_act!E4=0,0,E18/TrRoad_act!E4*1000)</f>
        <v>42.270429727927272</v>
      </c>
      <c r="F88" s="29">
        <f>IF(TrRoad_act!F4=0,0,F18/TrRoad_act!F4*1000)</f>
        <v>41.850464928169274</v>
      </c>
      <c r="G88" s="29">
        <f>IF(TrRoad_act!G4=0,0,G18/TrRoad_act!G4*1000)</f>
        <v>42.595314084519991</v>
      </c>
      <c r="H88" s="29">
        <f>IF(TrRoad_act!H4=0,0,H18/TrRoad_act!H4*1000)</f>
        <v>43.210803578540947</v>
      </c>
      <c r="I88" s="29">
        <f>IF(TrRoad_act!I4=0,0,I18/TrRoad_act!I4*1000)</f>
        <v>44.4198592061203</v>
      </c>
      <c r="J88" s="29">
        <f>IF(TrRoad_act!J4=0,0,J18/TrRoad_act!J4*1000)</f>
        <v>43.679251158952326</v>
      </c>
      <c r="K88" s="29">
        <f>IF(TrRoad_act!K4=0,0,K18/TrRoad_act!K4*1000)</f>
        <v>42.906707066227078</v>
      </c>
      <c r="L88" s="29">
        <f>IF(TrRoad_act!L4=0,0,L18/TrRoad_act!L4*1000)</f>
        <v>42.887723687173711</v>
      </c>
      <c r="M88" s="29">
        <f>IF(TrRoad_act!M4=0,0,M18/TrRoad_act!M4*1000)</f>
        <v>43.153715277537508</v>
      </c>
      <c r="N88" s="29">
        <f>IF(TrRoad_act!N4=0,0,N18/TrRoad_act!N4*1000)</f>
        <v>41.094569664338906</v>
      </c>
      <c r="O88" s="29">
        <f>IF(TrRoad_act!O4=0,0,O18/TrRoad_act!O4*1000)</f>
        <v>40.594237414339574</v>
      </c>
      <c r="P88" s="29">
        <f>IF(TrRoad_act!P4=0,0,P18/TrRoad_act!P4*1000)</f>
        <v>40.198566979188875</v>
      </c>
      <c r="Q88" s="29">
        <f>IF(TrRoad_act!Q4=0,0,Q18/TrRoad_act!Q4*1000)</f>
        <v>41.485978548676087</v>
      </c>
      <c r="R88" s="29">
        <f>IF(TrRoad_act!R4=0,0,R18/TrRoad_act!R4*1000)</f>
        <v>39.643532243394887</v>
      </c>
      <c r="S88" s="29">
        <f>IF(TrRoad_act!S4=0,0,S18/TrRoad_act!S4*1000)</f>
        <v>38.689410558252213</v>
      </c>
      <c r="T88" s="29">
        <f>IF(TrRoad_act!T4=0,0,T18/TrRoad_act!T4*1000)</f>
        <v>38.889733203182871</v>
      </c>
      <c r="U88" s="29">
        <f>IF(TrRoad_act!U4=0,0,U18/TrRoad_act!U4*1000)</f>
        <v>37.807583895833076</v>
      </c>
      <c r="V88" s="29">
        <f>IF(TrRoad_act!V4=0,0,V18/TrRoad_act!V4*1000)</f>
        <v>38.840253085836416</v>
      </c>
      <c r="W88" s="29">
        <f>IF(TrRoad_act!W4=0,0,W18/TrRoad_act!W4*1000)</f>
        <v>38.117789363385427</v>
      </c>
      <c r="X88" s="29">
        <f>IF(TrRoad_act!X4=0,0,X18/TrRoad_act!X4*1000)</f>
        <v>35.307760797262929</v>
      </c>
      <c r="Y88" s="29">
        <f>IF(TrRoad_act!Y4=0,0,Y18/TrRoad_act!Y4*1000)</f>
        <v>34.721846908807251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38.225483110294206</v>
      </c>
      <c r="C89" s="152">
        <f>IF(TrRoad_act!C5=0,0,C19/TrRoad_act!C5*1000)</f>
        <v>37.905885679073577</v>
      </c>
      <c r="D89" s="152">
        <f>IF(TrRoad_act!D5=0,0,D19/TrRoad_act!D5*1000)</f>
        <v>37.674466014044924</v>
      </c>
      <c r="E89" s="152">
        <f>IF(TrRoad_act!E5=0,0,E19/TrRoad_act!E5*1000)</f>
        <v>37.442837507963873</v>
      </c>
      <c r="F89" s="152">
        <f>IF(TrRoad_act!F5=0,0,F19/TrRoad_act!F5*1000)</f>
        <v>37.016459894600317</v>
      </c>
      <c r="G89" s="152">
        <f>IF(TrRoad_act!G5=0,0,G19/TrRoad_act!G5*1000)</f>
        <v>36.388895812389954</v>
      </c>
      <c r="H89" s="152">
        <f>IF(TrRoad_act!H5=0,0,H19/TrRoad_act!H5*1000)</f>
        <v>35.787108207832809</v>
      </c>
      <c r="I89" s="152">
        <f>IF(TrRoad_act!I5=0,0,I19/TrRoad_act!I5*1000)</f>
        <v>35.200473449383679</v>
      </c>
      <c r="J89" s="152">
        <f>IF(TrRoad_act!J5=0,0,J19/TrRoad_act!J5*1000)</f>
        <v>35.069824121215298</v>
      </c>
      <c r="K89" s="152">
        <f>IF(TrRoad_act!K5=0,0,K19/TrRoad_act!K5*1000)</f>
        <v>34.953311335855759</v>
      </c>
      <c r="L89" s="152">
        <f>IF(TrRoad_act!L5=0,0,L19/TrRoad_act!L5*1000)</f>
        <v>34.578034780046892</v>
      </c>
      <c r="M89" s="152">
        <f>IF(TrRoad_act!M5=0,0,M19/TrRoad_act!M5*1000)</f>
        <v>34.05770988264851</v>
      </c>
      <c r="N89" s="152">
        <f>IF(TrRoad_act!N5=0,0,N19/TrRoad_act!N5*1000)</f>
        <v>34.162315284595024</v>
      </c>
      <c r="O89" s="152">
        <f>IF(TrRoad_act!O5=0,0,O19/TrRoad_act!O5*1000)</f>
        <v>33.830280597257939</v>
      </c>
      <c r="P89" s="152">
        <f>IF(TrRoad_act!P5=0,0,P19/TrRoad_act!P5*1000)</f>
        <v>33.588875381868384</v>
      </c>
      <c r="Q89" s="152">
        <f>IF(TrRoad_act!Q5=0,0,Q19/TrRoad_act!Q5*1000)</f>
        <v>33.302792403199042</v>
      </c>
      <c r="R89" s="152">
        <f>IF(TrRoad_act!R5=0,0,R19/TrRoad_act!R5*1000)</f>
        <v>33.144206415673118</v>
      </c>
      <c r="S89" s="152">
        <f>IF(TrRoad_act!S5=0,0,S19/TrRoad_act!S5*1000)</f>
        <v>33.249446031054504</v>
      </c>
      <c r="T89" s="152">
        <f>IF(TrRoad_act!T5=0,0,T19/TrRoad_act!T5*1000)</f>
        <v>33.00246801572569</v>
      </c>
      <c r="U89" s="152">
        <f>IF(TrRoad_act!U5=0,0,U19/TrRoad_act!U5*1000)</f>
        <v>32.617062054475099</v>
      </c>
      <c r="V89" s="152">
        <f>IF(TrRoad_act!V5=0,0,V19/TrRoad_act!V5*1000)</f>
        <v>32.404334623211206</v>
      </c>
      <c r="W89" s="152">
        <f>IF(TrRoad_act!W5=0,0,W19/TrRoad_act!W5*1000)</f>
        <v>32.143608916055477</v>
      </c>
      <c r="X89" s="152">
        <f>IF(TrRoad_act!X5=0,0,X19/TrRoad_act!X5*1000)</f>
        <v>31.940617463313746</v>
      </c>
      <c r="Y89" s="152">
        <f>IF(TrRoad_act!Y5=0,0,Y19/TrRoad_act!Y5*1000)</f>
        <v>31.729203652065184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40.140219689445289</v>
      </c>
      <c r="C90" s="116">
        <f>IF(TrRoad_act!C6=0,0,C21/TrRoad_act!C6*1000)</f>
        <v>40.470704988999302</v>
      </c>
      <c r="D90" s="116">
        <f>IF(TrRoad_act!D6=0,0,D21/TrRoad_act!D6*1000)</f>
        <v>41.285561011951287</v>
      </c>
      <c r="E90" s="116">
        <f>IF(TrRoad_act!E6=0,0,E21/TrRoad_act!E6*1000)</f>
        <v>41.875080900297142</v>
      </c>
      <c r="F90" s="116">
        <f>IF(TrRoad_act!F6=0,0,F21/TrRoad_act!F6*1000)</f>
        <v>41.537378428212818</v>
      </c>
      <c r="G90" s="116">
        <f>IF(TrRoad_act!G6=0,0,G21/TrRoad_act!G6*1000)</f>
        <v>42.235124149231936</v>
      </c>
      <c r="H90" s="116">
        <f>IF(TrRoad_act!H6=0,0,H21/TrRoad_act!H6*1000)</f>
        <v>42.813137633602715</v>
      </c>
      <c r="I90" s="116">
        <f>IF(TrRoad_act!I6=0,0,I21/TrRoad_act!I6*1000)</f>
        <v>44.120602578261177</v>
      </c>
      <c r="J90" s="116">
        <f>IF(TrRoad_act!J6=0,0,J21/TrRoad_act!J6*1000)</f>
        <v>43.094314310310097</v>
      </c>
      <c r="K90" s="116">
        <f>IF(TrRoad_act!K6=0,0,K21/TrRoad_act!K6*1000)</f>
        <v>42.106779874453096</v>
      </c>
      <c r="L90" s="116">
        <f>IF(TrRoad_act!L6=0,0,L21/TrRoad_act!L6*1000)</f>
        <v>42.017703163378798</v>
      </c>
      <c r="M90" s="116">
        <f>IF(TrRoad_act!M6=0,0,M21/TrRoad_act!M6*1000)</f>
        <v>42.379395296679469</v>
      </c>
      <c r="N90" s="116">
        <f>IF(TrRoad_act!N6=0,0,N21/TrRoad_act!N6*1000)</f>
        <v>40.246089398996283</v>
      </c>
      <c r="O90" s="116">
        <f>IF(TrRoad_act!O6=0,0,O21/TrRoad_act!O6*1000)</f>
        <v>39.924488612896688</v>
      </c>
      <c r="P90" s="116">
        <f>IF(TrRoad_act!P6=0,0,P21/TrRoad_act!P6*1000)</f>
        <v>39.357024977088223</v>
      </c>
      <c r="Q90" s="116">
        <f>IF(TrRoad_act!Q6=0,0,Q21/TrRoad_act!Q6*1000)</f>
        <v>40.925145418453511</v>
      </c>
      <c r="R90" s="116">
        <f>IF(TrRoad_act!R6=0,0,R21/TrRoad_act!R6*1000)</f>
        <v>38.81872087470007</v>
      </c>
      <c r="S90" s="116">
        <f>IF(TrRoad_act!S6=0,0,S21/TrRoad_act!S6*1000)</f>
        <v>37.648550046822955</v>
      </c>
      <c r="T90" s="116">
        <f>IF(TrRoad_act!T6=0,0,T21/TrRoad_act!T6*1000)</f>
        <v>37.798095082436546</v>
      </c>
      <c r="U90" s="116">
        <f>IF(TrRoad_act!U6=0,0,U21/TrRoad_act!U6*1000)</f>
        <v>36.659090477465917</v>
      </c>
      <c r="V90" s="116">
        <f>IF(TrRoad_act!V6=0,0,V21/TrRoad_act!V6*1000)</f>
        <v>36.173526701728285</v>
      </c>
      <c r="W90" s="116">
        <f>IF(TrRoad_act!W6=0,0,W21/TrRoad_act!W6*1000)</f>
        <v>35.715755381266618</v>
      </c>
      <c r="X90" s="116">
        <f>IF(TrRoad_act!X6=0,0,X21/TrRoad_act!X6*1000)</f>
        <v>34.681287538307828</v>
      </c>
      <c r="Y90" s="116">
        <f>IF(TrRoad_act!Y6=0,0,Y21/TrRoad_act!Y6*1000)</f>
        <v>33.944206122192959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40.708556667727926</v>
      </c>
      <c r="C91" s="87">
        <f>IF(TrRoad_act!C7=0,0,C22/TrRoad_act!C7*1000)</f>
        <v>41.309351573475787</v>
      </c>
      <c r="D91" s="87">
        <f>IF(TrRoad_act!D7=0,0,D22/TrRoad_act!D7*1000)</f>
        <v>42.226845617568372</v>
      </c>
      <c r="E91" s="87">
        <f>IF(TrRoad_act!E7=0,0,E22/TrRoad_act!E7*1000)</f>
        <v>42.789932063695581</v>
      </c>
      <c r="F91" s="87">
        <f>IF(TrRoad_act!F7=0,0,F22/TrRoad_act!F7*1000)</f>
        <v>42.415496482710537</v>
      </c>
      <c r="G91" s="87">
        <f>IF(TrRoad_act!G7=0,0,G22/TrRoad_act!G7*1000)</f>
        <v>43.398120984326887</v>
      </c>
      <c r="H91" s="87">
        <f>IF(TrRoad_act!H7=0,0,H22/TrRoad_act!H7*1000)</f>
        <v>44.144103064041921</v>
      </c>
      <c r="I91" s="87">
        <f>IF(TrRoad_act!I7=0,0,I22/TrRoad_act!I7*1000)</f>
        <v>45.900551426714543</v>
      </c>
      <c r="J91" s="87">
        <f>IF(TrRoad_act!J7=0,0,J22/TrRoad_act!J7*1000)</f>
        <v>45.424345364292236</v>
      </c>
      <c r="K91" s="87">
        <f>IF(TrRoad_act!K7=0,0,K22/TrRoad_act!K7*1000)</f>
        <v>44.601892969724993</v>
      </c>
      <c r="L91" s="87">
        <f>IF(TrRoad_act!L7=0,0,L22/TrRoad_act!L7*1000)</f>
        <v>44.652613732887112</v>
      </c>
      <c r="M91" s="87">
        <f>IF(TrRoad_act!M7=0,0,M22/TrRoad_act!M7*1000)</f>
        <v>45.208972943463905</v>
      </c>
      <c r="N91" s="87">
        <f>IF(TrRoad_act!N7=0,0,N22/TrRoad_act!N7*1000)</f>
        <v>43.21426284808544</v>
      </c>
      <c r="O91" s="87">
        <f>IF(TrRoad_act!O7=0,0,O22/TrRoad_act!O7*1000)</f>
        <v>42.775146779653667</v>
      </c>
      <c r="P91" s="87">
        <f>IF(TrRoad_act!P7=0,0,P22/TrRoad_act!P7*1000)</f>
        <v>41.52151507951919</v>
      </c>
      <c r="Q91" s="87">
        <f>IF(TrRoad_act!Q7=0,0,Q22/TrRoad_act!Q7*1000)</f>
        <v>44.315506596469405</v>
      </c>
      <c r="R91" s="87">
        <f>IF(TrRoad_act!R7=0,0,R22/TrRoad_act!R7*1000)</f>
        <v>40.569927570732276</v>
      </c>
      <c r="S91" s="87">
        <f>IF(TrRoad_act!S7=0,0,S22/TrRoad_act!S7*1000)</f>
        <v>39.067537168600893</v>
      </c>
      <c r="T91" s="87">
        <f>IF(TrRoad_act!T7=0,0,T22/TrRoad_act!T7*1000)</f>
        <v>38.660334756370482</v>
      </c>
      <c r="U91" s="87">
        <f>IF(TrRoad_act!U7=0,0,U22/TrRoad_act!U7*1000)</f>
        <v>37.484707585846806</v>
      </c>
      <c r="V91" s="87">
        <f>IF(TrRoad_act!V7=0,0,V22/TrRoad_act!V7*1000)</f>
        <v>37.083636715659829</v>
      </c>
      <c r="W91" s="87">
        <f>IF(TrRoad_act!W7=0,0,W22/TrRoad_act!W7*1000)</f>
        <v>36.310855006459448</v>
      </c>
      <c r="X91" s="87">
        <f>IF(TrRoad_act!X7=0,0,X22/TrRoad_act!X7*1000)</f>
        <v>35.925930243224322</v>
      </c>
      <c r="Y91" s="87">
        <f>IF(TrRoad_act!Y7=0,0,Y22/TrRoad_act!Y7*1000)</f>
        <v>35.347267061411017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34.776281296141548</v>
      </c>
      <c r="C92" s="87">
        <f>IF(TrRoad_act!C8=0,0,C24/TrRoad_act!C8*1000)</f>
        <v>33.376014793072706</v>
      </c>
      <c r="D92" s="87">
        <f>IF(TrRoad_act!D8=0,0,D24/TrRoad_act!D8*1000)</f>
        <v>33.864918438074213</v>
      </c>
      <c r="E92" s="87">
        <f>IF(TrRoad_act!E8=0,0,E24/TrRoad_act!E8*1000)</f>
        <v>35.283973990636483</v>
      </c>
      <c r="F92" s="87">
        <f>IF(TrRoad_act!F8=0,0,F24/TrRoad_act!F8*1000)</f>
        <v>36.102912099281596</v>
      </c>
      <c r="G92" s="87">
        <f>IF(TrRoad_act!G8=0,0,G24/TrRoad_act!G8*1000)</f>
        <v>36.608812514342276</v>
      </c>
      <c r="H92" s="87">
        <f>IF(TrRoad_act!H8=0,0,H24/TrRoad_act!H8*1000)</f>
        <v>37.390393999491209</v>
      </c>
      <c r="I92" s="87">
        <f>IF(TrRoad_act!I8=0,0,I24/TrRoad_act!I8*1000)</f>
        <v>38.791173931512446</v>
      </c>
      <c r="J92" s="87">
        <f>IF(TrRoad_act!J8=0,0,J24/TrRoad_act!J8*1000)</f>
        <v>37.317476650061231</v>
      </c>
      <c r="K92" s="87">
        <f>IF(TrRoad_act!K8=0,0,K24/TrRoad_act!K8*1000)</f>
        <v>36.635378338462282</v>
      </c>
      <c r="L92" s="87">
        <f>IF(TrRoad_act!L8=0,0,L24/TrRoad_act!L8*1000)</f>
        <v>37.15946097436494</v>
      </c>
      <c r="M92" s="87">
        <f>IF(TrRoad_act!M8=0,0,M24/TrRoad_act!M8*1000)</f>
        <v>37.678703732365129</v>
      </c>
      <c r="N92" s="87">
        <f>IF(TrRoad_act!N8=0,0,N24/TrRoad_act!N8*1000)</f>
        <v>35.934346520856707</v>
      </c>
      <c r="O92" s="87">
        <f>IF(TrRoad_act!O8=0,0,O24/TrRoad_act!O8*1000)</f>
        <v>36.073142205671836</v>
      </c>
      <c r="P92" s="87">
        <f>IF(TrRoad_act!P8=0,0,P24/TrRoad_act!P8*1000)</f>
        <v>36.522736439435917</v>
      </c>
      <c r="Q92" s="87">
        <f>IF(TrRoad_act!Q8=0,0,Q24/TrRoad_act!Q8*1000)</f>
        <v>37.065053622705122</v>
      </c>
      <c r="R92" s="87">
        <f>IF(TrRoad_act!R8=0,0,R24/TrRoad_act!R8*1000)</f>
        <v>36.692442551881243</v>
      </c>
      <c r="S92" s="87">
        <f>IF(TrRoad_act!S8=0,0,S24/TrRoad_act!S8*1000)</f>
        <v>36.075282274774104</v>
      </c>
      <c r="T92" s="87">
        <f>IF(TrRoad_act!T8=0,0,T24/TrRoad_act!T8*1000)</f>
        <v>36.98523993395527</v>
      </c>
      <c r="U92" s="87">
        <f>IF(TrRoad_act!U8=0,0,U24/TrRoad_act!U8*1000)</f>
        <v>35.991694254041313</v>
      </c>
      <c r="V92" s="87">
        <f>IF(TrRoad_act!V8=0,0,V24/TrRoad_act!V8*1000)</f>
        <v>35.819941743880442</v>
      </c>
      <c r="W92" s="87">
        <f>IF(TrRoad_act!W8=0,0,W24/TrRoad_act!W8*1000)</f>
        <v>36.754462872301126</v>
      </c>
      <c r="X92" s="87">
        <f>IF(TrRoad_act!X8=0,0,X24/TrRoad_act!X8*1000)</f>
        <v>35.867774820895427</v>
      </c>
      <c r="Y92" s="87">
        <f>IF(TrRoad_act!Y8=0,0,Y24/TrRoad_act!Y8*1000)</f>
        <v>36.461191556568565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37.627132223025299</v>
      </c>
      <c r="C93" s="87">
        <f>IF(TrRoad_act!C9=0,0,C26/TrRoad_act!C9*1000)</f>
        <v>43.507964796046672</v>
      </c>
      <c r="D93" s="87">
        <f>IF(TrRoad_act!D9=0,0,D26/TrRoad_act!D9*1000)</f>
        <v>53.488721606406784</v>
      </c>
      <c r="E93" s="87">
        <f>IF(TrRoad_act!E9=0,0,E26/TrRoad_act!E9*1000)</f>
        <v>51.384742915838615</v>
      </c>
      <c r="F93" s="87">
        <f>IF(TrRoad_act!F9=0,0,F26/TrRoad_act!F9*1000)</f>
        <v>50.833275869615299</v>
      </c>
      <c r="G93" s="87">
        <f>IF(TrRoad_act!G9=0,0,G26/TrRoad_act!G9*1000)</f>
        <v>54.477323437922074</v>
      </c>
      <c r="H93" s="87">
        <f>IF(TrRoad_act!H9=0,0,H26/TrRoad_act!H9*1000)</f>
        <v>56.093487088410313</v>
      </c>
      <c r="I93" s="87">
        <f>IF(TrRoad_act!I9=0,0,I26/TrRoad_act!I9*1000)</f>
        <v>55.668646975534607</v>
      </c>
      <c r="J93" s="87">
        <f>IF(TrRoad_act!J9=0,0,J26/TrRoad_act!J9*1000)</f>
        <v>55.879205953892786</v>
      </c>
      <c r="K93" s="87">
        <f>IF(TrRoad_act!K9=0,0,K26/TrRoad_act!K9*1000)</f>
        <v>58.791334718096429</v>
      </c>
      <c r="L93" s="87">
        <f>IF(TrRoad_act!L9=0,0,L26/TrRoad_act!L9*1000)</f>
        <v>0</v>
      </c>
      <c r="M93" s="87">
        <f>IF(TrRoad_act!M9=0,0,M26/TrRoad_act!M9*1000)</f>
        <v>0</v>
      </c>
      <c r="N93" s="87">
        <f>IF(TrRoad_act!N9=0,0,N26/TrRoad_act!N9*1000)</f>
        <v>0</v>
      </c>
      <c r="O93" s="87">
        <f>IF(TrRoad_act!O9=0,0,O26/TrRoad_act!O9*1000)</f>
        <v>0</v>
      </c>
      <c r="P93" s="87">
        <f>IF(TrRoad_act!P9=0,0,P26/TrRoad_act!P9*1000)</f>
        <v>0</v>
      </c>
      <c r="Q93" s="87">
        <f>IF(TrRoad_act!Q9=0,0,Q26/TrRoad_act!Q9*1000)</f>
        <v>0</v>
      </c>
      <c r="R93" s="87">
        <f>IF(TrRoad_act!R9=0,0,R26/TrRoad_act!R9*1000)</f>
        <v>0</v>
      </c>
      <c r="S93" s="87">
        <f>IF(TrRoad_act!S9=0,0,S26/TrRoad_act!S9*1000)</f>
        <v>0</v>
      </c>
      <c r="T93" s="87">
        <f>IF(TrRoad_act!T9=0,0,T26/TrRoad_act!T9*1000)</f>
        <v>0</v>
      </c>
      <c r="U93" s="87">
        <f>IF(TrRoad_act!U9=0,0,U26/TrRoad_act!U9*1000)</f>
        <v>0</v>
      </c>
      <c r="V93" s="87">
        <f>IF(TrRoad_act!V9=0,0,V26/TrRoad_act!V9*1000)</f>
        <v>0</v>
      </c>
      <c r="W93" s="87">
        <f>IF(TrRoad_act!W9=0,0,W26/TrRoad_act!W9*1000)</f>
        <v>0</v>
      </c>
      <c r="X93" s="87">
        <f>IF(TrRoad_act!X9=0,0,X26/TrRoad_act!X9*1000)</f>
        <v>0</v>
      </c>
      <c r="Y93" s="87">
        <f>IF(TrRoad_act!Y9=0,0,Y26/TrRoad_act!Y9*1000)</f>
        <v>0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42.566979268509193</v>
      </c>
      <c r="R94" s="87">
        <f>IF(TrRoad_act!R10=0,0,R27/TrRoad_act!R10*1000)</f>
        <v>51.608828682085758</v>
      </c>
      <c r="S94" s="87">
        <f>IF(TrRoad_act!S10=0,0,S27/TrRoad_act!S10*1000)</f>
        <v>29.90028728042493</v>
      </c>
      <c r="T94" s="87">
        <f>IF(TrRoad_act!T10=0,0,T27/TrRoad_act!T10*1000)</f>
        <v>32.57204943162143</v>
      </c>
      <c r="U94" s="87">
        <f>IF(TrRoad_act!U10=0,0,U27/TrRoad_act!U10*1000)</f>
        <v>33.201043991518311</v>
      </c>
      <c r="V94" s="87">
        <f>IF(TrRoad_act!V10=0,0,V27/TrRoad_act!V10*1000)</f>
        <v>33.989756626526656</v>
      </c>
      <c r="W94" s="87">
        <f>IF(TrRoad_act!W10=0,0,W27/TrRoad_act!W10*1000)</f>
        <v>35.072489076653561</v>
      </c>
      <c r="X94" s="87">
        <f>IF(TrRoad_act!X10=0,0,X27/TrRoad_act!X10*1000)</f>
        <v>34.481402572314913</v>
      </c>
      <c r="Y94" s="87">
        <f>IF(TrRoad_act!Y10=0,0,Y27/TrRoad_act!Y10*1000)</f>
        <v>35.026223807592991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17.94866762682642</v>
      </c>
      <c r="O95" s="87">
        <f>IF(TrRoad_act!O11=0,0,O29/TrRoad_act!O11*1000)</f>
        <v>20.517107838506789</v>
      </c>
      <c r="P95" s="87">
        <f>IF(TrRoad_act!P11=0,0,P29/TrRoad_act!P11*1000)</f>
        <v>13.928485846550563</v>
      </c>
      <c r="Q95" s="87">
        <f>IF(TrRoad_act!Q11=0,0,Q29/TrRoad_act!Q11*1000)</f>
        <v>38.976421819023138</v>
      </c>
      <c r="R95" s="87">
        <f>IF(TrRoad_act!R11=0,0,R29/TrRoad_act!R11*1000)</f>
        <v>24.506497462160034</v>
      </c>
      <c r="S95" s="87">
        <f>IF(TrRoad_act!S11=0,0,S29/TrRoad_act!S11*1000)</f>
        <v>19.89263312268141</v>
      </c>
      <c r="T95" s="87">
        <f>IF(TrRoad_act!T11=0,0,T29/TrRoad_act!T11*1000)</f>
        <v>17.96153447207281</v>
      </c>
      <c r="U95" s="87">
        <f>IF(TrRoad_act!U11=0,0,U29/TrRoad_act!U11*1000)</f>
        <v>17.520407734990833</v>
      </c>
      <c r="V95" s="87">
        <f>IF(TrRoad_act!V11=0,0,V29/TrRoad_act!V11*1000)</f>
        <v>17.018052795038034</v>
      </c>
      <c r="W95" s="87">
        <f>IF(TrRoad_act!W11=0,0,W29/TrRoad_act!W11*1000)</f>
        <v>18.583155540704976</v>
      </c>
      <c r="X95" s="87">
        <f>IF(TrRoad_act!X11=0,0,X29/TrRoad_act!X11*1000)</f>
        <v>18.683531649791185</v>
      </c>
      <c r="Y95" s="87">
        <f>IF(TrRoad_act!Y11=0,0,Y29/TrRoad_act!Y11*1000)</f>
        <v>18.908175889722472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9.2157562676996747</v>
      </c>
      <c r="L96" s="87">
        <f>IF(TrRoad_act!L12=0,0,L32/TrRoad_act!L12*1000)</f>
        <v>9.3539937207149926</v>
      </c>
      <c r="M96" s="87">
        <f>IF(TrRoad_act!M12=0,0,M32/TrRoad_act!M12*1000)</f>
        <v>9.6788554020108322</v>
      </c>
      <c r="N96" s="87">
        <f>IF(TrRoad_act!N12=0,0,N32/TrRoad_act!N12*1000)</f>
        <v>9.5305870634815086</v>
      </c>
      <c r="O96" s="87">
        <f>IF(TrRoad_act!O12=0,0,O32/TrRoad_act!O12*1000)</f>
        <v>10.025364218064615</v>
      </c>
      <c r="P96" s="87">
        <f>IF(TrRoad_act!P12=0,0,P32/TrRoad_act!P12*1000)</f>
        <v>9.9976415158237533</v>
      </c>
      <c r="Q96" s="87">
        <f>IF(TrRoad_act!Q12=0,0,Q32/TrRoad_act!Q12*1000)</f>
        <v>11.758653323180337</v>
      </c>
      <c r="R96" s="87">
        <f>IF(TrRoad_act!R12=0,0,R32/TrRoad_act!R12*1000)</f>
        <v>11.506652381207996</v>
      </c>
      <c r="S96" s="87">
        <f>IF(TrRoad_act!S12=0,0,S32/TrRoad_act!S12*1000)</f>
        <v>11.300101150971184</v>
      </c>
      <c r="T96" s="87">
        <f>IF(TrRoad_act!T12=0,0,T32/TrRoad_act!T12*1000)</f>
        <v>11.354203096275651</v>
      </c>
      <c r="U96" s="87">
        <f>IF(TrRoad_act!U12=0,0,U32/TrRoad_act!U12*1000)</f>
        <v>11.643505079778034</v>
      </c>
      <c r="V96" s="87">
        <f>IF(TrRoad_act!V12=0,0,V32/TrRoad_act!V12*1000)</f>
        <v>12.298425259684066</v>
      </c>
      <c r="W96" s="87">
        <f>IF(TrRoad_act!W12=0,0,W32/TrRoad_act!W12*1000)</f>
        <v>13.209017065626885</v>
      </c>
      <c r="X96" s="87">
        <f>IF(TrRoad_act!X12=0,0,X32/TrRoad_act!X12*1000)</f>
        <v>13.326931819399221</v>
      </c>
      <c r="Y96" s="87">
        <f>IF(TrRoad_act!Y12=0,0,Y32/TrRoad_act!Y12*1000)</f>
        <v>13.531078667400372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46.334049474017476</v>
      </c>
      <c r="C97" s="116">
        <f>IF(TrRoad_act!C13=0,0,C33/TrRoad_act!C13*1000)</f>
        <v>45.570422415829185</v>
      </c>
      <c r="D97" s="116">
        <f>IF(TrRoad_act!D13=0,0,D33/TrRoad_act!D13*1000)</f>
        <v>44.665211160729804</v>
      </c>
      <c r="E97" s="116">
        <f>IF(TrRoad_act!E13=0,0,E33/TrRoad_act!E13*1000)</f>
        <v>45.381224806332682</v>
      </c>
      <c r="F97" s="116">
        <f>IF(TrRoad_act!F13=0,0,F33/TrRoad_act!F13*1000)</f>
        <v>44.426458284489868</v>
      </c>
      <c r="G97" s="116">
        <f>IF(TrRoad_act!G13=0,0,G33/TrRoad_act!G13*1000)</f>
        <v>45.64230155354128</v>
      </c>
      <c r="H97" s="116">
        <f>IF(TrRoad_act!H13=0,0,H33/TrRoad_act!H13*1000)</f>
        <v>46.710321783919809</v>
      </c>
      <c r="I97" s="116">
        <f>IF(TrRoad_act!I13=0,0,I33/TrRoad_act!I13*1000)</f>
        <v>47.596954783255846</v>
      </c>
      <c r="J97" s="116">
        <f>IF(TrRoad_act!J13=0,0,J33/TrRoad_act!J13*1000)</f>
        <v>49.056039840663274</v>
      </c>
      <c r="K97" s="116">
        <f>IF(TrRoad_act!K13=0,0,K33/TrRoad_act!K13*1000)</f>
        <v>49.86823317653306</v>
      </c>
      <c r="L97" s="116">
        <f>IF(TrRoad_act!L13=0,0,L33/TrRoad_act!L13*1000)</f>
        <v>50.317634978458912</v>
      </c>
      <c r="M97" s="116">
        <f>IF(TrRoad_act!M13=0,0,M33/TrRoad_act!M13*1000)</f>
        <v>50.227914445615532</v>
      </c>
      <c r="N97" s="116">
        <f>IF(TrRoad_act!N13=0,0,N33/TrRoad_act!N13*1000)</f>
        <v>48.737567019888616</v>
      </c>
      <c r="O97" s="116">
        <f>IF(TrRoad_act!O13=0,0,O33/TrRoad_act!O13*1000)</f>
        <v>46.797741313735038</v>
      </c>
      <c r="P97" s="116">
        <f>IF(TrRoad_act!P13=0,0,P33/TrRoad_act!P13*1000)</f>
        <v>47.891750131559462</v>
      </c>
      <c r="Q97" s="116">
        <f>IF(TrRoad_act!Q13=0,0,Q33/TrRoad_act!Q13*1000)</f>
        <v>46.988712365668732</v>
      </c>
      <c r="R97" s="116">
        <f>IF(TrRoad_act!R13=0,0,R33/TrRoad_act!R13*1000)</f>
        <v>47.186792358723956</v>
      </c>
      <c r="S97" s="116">
        <f>IF(TrRoad_act!S13=0,0,S33/TrRoad_act!S13*1000)</f>
        <v>47.748980240127963</v>
      </c>
      <c r="T97" s="116">
        <f>IF(TrRoad_act!T13=0,0,T33/TrRoad_act!T13*1000)</f>
        <v>48.816268262332507</v>
      </c>
      <c r="U97" s="116">
        <f>IF(TrRoad_act!U13=0,0,U33/TrRoad_act!U13*1000)</f>
        <v>48.702575437967852</v>
      </c>
      <c r="V97" s="116">
        <f>IF(TrRoad_act!V13=0,0,V33/TrRoad_act!V13*1000)</f>
        <v>73.586557120015598</v>
      </c>
      <c r="W97" s="116">
        <f>IF(TrRoad_act!W13=0,0,W33/TrRoad_act!W13*1000)</f>
        <v>68.65315284275863</v>
      </c>
      <c r="X97" s="116">
        <f>IF(TrRoad_act!X13=0,0,X33/TrRoad_act!X13*1000)</f>
        <v>40.20161121545955</v>
      </c>
      <c r="Y97" s="116">
        <f>IF(TrRoad_act!Y13=0,0,Y33/TrRoad_act!Y13*1000)</f>
        <v>41.160356236061482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31.673370924165557</v>
      </c>
      <c r="C98" s="101">
        <f>IF(TrRoad_act!C14=0,0,C34/TrRoad_act!C14*1000)</f>
        <v>31.685101815094715</v>
      </c>
      <c r="D98" s="101">
        <f>IF(TrRoad_act!D14=0,0,D34/TrRoad_act!D14*1000)</f>
        <v>31.663357383075816</v>
      </c>
      <c r="E98" s="101">
        <f>IF(TrRoad_act!E14=0,0,E34/TrRoad_act!E14*1000)</f>
        <v>31.650496724064308</v>
      </c>
      <c r="F98" s="101">
        <f>IF(TrRoad_act!F14=0,0,F34/TrRoad_act!F14*1000)</f>
        <v>31.606858275514341</v>
      </c>
      <c r="G98" s="101">
        <f>IF(TrRoad_act!G14=0,0,G34/TrRoad_act!G14*1000)</f>
        <v>31.491832057218542</v>
      </c>
      <c r="H98" s="101">
        <f>IF(TrRoad_act!H14=0,0,H34/TrRoad_act!H14*1000)</f>
        <v>30.796589433927956</v>
      </c>
      <c r="I98" s="101">
        <f>IF(TrRoad_act!I14=0,0,I34/TrRoad_act!I14*1000)</f>
        <v>30.045316393674351</v>
      </c>
      <c r="J98" s="101">
        <f>IF(TrRoad_act!J14=0,0,J34/TrRoad_act!J14*1000)</f>
        <v>29.317255020911546</v>
      </c>
      <c r="K98" s="101">
        <f>IF(TrRoad_act!K14=0,0,K34/TrRoad_act!K14*1000)</f>
        <v>28.544345205048124</v>
      </c>
      <c r="L98" s="101">
        <f>IF(TrRoad_act!L14=0,0,L34/TrRoad_act!L14*1000)</f>
        <v>27.874553577388081</v>
      </c>
      <c r="M98" s="101">
        <f>IF(TrRoad_act!M14=0,0,M34/TrRoad_act!M14*1000)</f>
        <v>27.337820791634361</v>
      </c>
      <c r="N98" s="101">
        <f>IF(TrRoad_act!N14=0,0,N34/TrRoad_act!N14*1000)</f>
        <v>26.772058462517769</v>
      </c>
      <c r="O98" s="101">
        <f>IF(TrRoad_act!O14=0,0,O34/TrRoad_act!O14*1000)</f>
        <v>26.364308448352137</v>
      </c>
      <c r="P98" s="101">
        <f>IF(TrRoad_act!P14=0,0,P34/TrRoad_act!P14*1000)</f>
        <v>26.242898013515351</v>
      </c>
      <c r="Q98" s="101">
        <f>IF(TrRoad_act!Q14=0,0,Q34/TrRoad_act!Q14*1000)</f>
        <v>25.790136014677227</v>
      </c>
      <c r="R98" s="101">
        <f>IF(TrRoad_act!R14=0,0,R34/TrRoad_act!R14*1000)</f>
        <v>25.738988715597674</v>
      </c>
      <c r="S98" s="101">
        <f>IF(TrRoad_act!S14=0,0,S34/TrRoad_act!S14*1000)</f>
        <v>25.695040527905551</v>
      </c>
      <c r="T98" s="101">
        <f>IF(TrRoad_act!T14=0,0,T34/TrRoad_act!T14*1000)</f>
        <v>25.51963396590736</v>
      </c>
      <c r="U98" s="101">
        <f>IF(TrRoad_act!U14=0,0,U34/TrRoad_act!U14*1000)</f>
        <v>25.51086673491038</v>
      </c>
      <c r="V98" s="101">
        <f>IF(TrRoad_act!V14=0,0,V34/TrRoad_act!V14*1000)</f>
        <v>26.084936600500033</v>
      </c>
      <c r="W98" s="101">
        <f>IF(TrRoad_act!W14=0,0,W34/TrRoad_act!W14*1000)</f>
        <v>25.978317729213611</v>
      </c>
      <c r="X98" s="101">
        <f>IF(TrRoad_act!X14=0,0,X34/TrRoad_act!X14*1000)</f>
        <v>25.158505753184812</v>
      </c>
      <c r="Y98" s="101">
        <f>IF(TrRoad_act!Y14=0,0,Y34/TrRoad_act!Y14*1000)</f>
        <v>25.206787558826939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47.302993771895061</v>
      </c>
      <c r="C99" s="101">
        <f>IF(TrRoad_act!C15=0,0,C36/TrRoad_act!C15*1000)</f>
        <v>46.513784658370795</v>
      </c>
      <c r="D99" s="101">
        <f>IF(TrRoad_act!D15=0,0,D36/TrRoad_act!D15*1000)</f>
        <v>45.548919978992046</v>
      </c>
      <c r="E99" s="101">
        <f>IF(TrRoad_act!E15=0,0,E36/TrRoad_act!E15*1000)</f>
        <v>45.962586458489341</v>
      </c>
      <c r="F99" s="101">
        <f>IF(TrRoad_act!F15=0,0,F36/TrRoad_act!F15*1000)</f>
        <v>44.868288758340682</v>
      </c>
      <c r="G99" s="101">
        <f>IF(TrRoad_act!G15=0,0,G36/TrRoad_act!G15*1000)</f>
        <v>46.110171204577661</v>
      </c>
      <c r="H99" s="101">
        <f>IF(TrRoad_act!H15=0,0,H36/TrRoad_act!H15*1000)</f>
        <v>47.249458940484814</v>
      </c>
      <c r="I99" s="101">
        <f>IF(TrRoad_act!I15=0,0,I36/TrRoad_act!I15*1000)</f>
        <v>48.195295071930744</v>
      </c>
      <c r="J99" s="101">
        <f>IF(TrRoad_act!J15=0,0,J36/TrRoad_act!J15*1000)</f>
        <v>49.7470985497744</v>
      </c>
      <c r="K99" s="101">
        <f>IF(TrRoad_act!K15=0,0,K36/TrRoad_act!K15*1000)</f>
        <v>50.585570275582477</v>
      </c>
      <c r="L99" s="101">
        <f>IF(TrRoad_act!L15=0,0,L36/TrRoad_act!L15*1000)</f>
        <v>51.038659756423982</v>
      </c>
      <c r="M99" s="101">
        <f>IF(TrRoad_act!M15=0,0,M36/TrRoad_act!M15*1000)</f>
        <v>50.958067304773408</v>
      </c>
      <c r="N99" s="101">
        <f>IF(TrRoad_act!N15=0,0,N36/TrRoad_act!N15*1000)</f>
        <v>49.442413032808076</v>
      </c>
      <c r="O99" s="101">
        <f>IF(TrRoad_act!O15=0,0,O36/TrRoad_act!O15*1000)</f>
        <v>47.499195383858137</v>
      </c>
      <c r="P99" s="101">
        <f>IF(TrRoad_act!P15=0,0,P36/TrRoad_act!P15*1000)</f>
        <v>48.548337383512653</v>
      </c>
      <c r="Q99" s="101">
        <f>IF(TrRoad_act!Q15=0,0,Q36/TrRoad_act!Q15*1000)</f>
        <v>47.50318100232063</v>
      </c>
      <c r="R99" s="101">
        <f>IF(TrRoad_act!R15=0,0,R36/TrRoad_act!R15*1000)</f>
        <v>47.678017890153789</v>
      </c>
      <c r="S99" s="101">
        <f>IF(TrRoad_act!S15=0,0,S36/TrRoad_act!S15*1000)</f>
        <v>48.148811621516096</v>
      </c>
      <c r="T99" s="101">
        <f>IF(TrRoad_act!T15=0,0,T36/TrRoad_act!T15*1000)</f>
        <v>49.075597895064952</v>
      </c>
      <c r="U99" s="101">
        <f>IF(TrRoad_act!U15=0,0,U36/TrRoad_act!U15*1000)</f>
        <v>48.910287332596219</v>
      </c>
      <c r="V99" s="101">
        <f>IF(TrRoad_act!V15=0,0,V36/TrRoad_act!V15*1000)</f>
        <v>74.668411159355117</v>
      </c>
      <c r="W99" s="101">
        <f>IF(TrRoad_act!W15=0,0,W36/TrRoad_act!W15*1000)</f>
        <v>69.838936139228466</v>
      </c>
      <c r="X99" s="101">
        <f>IF(TrRoad_act!X15=0,0,X36/TrRoad_act!X15*1000)</f>
        <v>40.857118052052961</v>
      </c>
      <c r="Y99" s="101">
        <f>IF(TrRoad_act!Y15=0,0,Y36/TrRoad_act!Y15*1000)</f>
        <v>42.759409859953372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X100" s="101">
        <f>IF(TrRoad_act!X16=0,0,X38/TrRoad_act!X16*1000)</f>
        <v>0</v>
      </c>
      <c r="Y100" s="101">
        <f>IF(TrRoad_act!Y16=0,0,Y38/TrRoad_act!Y16*1000)</f>
        <v>0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56.342877846228674</v>
      </c>
      <c r="R101" s="101">
        <f>IF(TrRoad_act!R17=0,0,R39/TrRoad_act!R17*1000)</f>
        <v>48.363077442703933</v>
      </c>
      <c r="S101" s="101">
        <f>IF(TrRoad_act!S17=0,0,S39/TrRoad_act!S17*1000)</f>
        <v>51.756243231858683</v>
      </c>
      <c r="T101" s="101">
        <f>IF(TrRoad_act!T17=0,0,T39/TrRoad_act!T17*1000)</f>
        <v>60.526741769189293</v>
      </c>
      <c r="U101" s="101">
        <f>IF(TrRoad_act!U17=0,0,U39/TrRoad_act!U17*1000)</f>
        <v>68.243747749370513</v>
      </c>
      <c r="V101" s="101">
        <f>IF(TrRoad_act!V17=0,0,V39/TrRoad_act!V17*1000)</f>
        <v>88.047167201744884</v>
      </c>
      <c r="W101" s="101">
        <f>IF(TrRoad_act!W17=0,0,W39/TrRoad_act!W17*1000)</f>
        <v>92.172853925271056</v>
      </c>
      <c r="X101" s="101">
        <f>IF(TrRoad_act!X17=0,0,X39/TrRoad_act!X17*1000)</f>
        <v>62.567277382292289</v>
      </c>
      <c r="Y101" s="101">
        <f>IF(TrRoad_act!Y17=0,0,Y39/TrRoad_act!Y17*1000)</f>
        <v>58.116077727718526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0</v>
      </c>
      <c r="Q102" s="101">
        <f>IF(TrRoad_act!Q18=0,0,Q41/TrRoad_act!Q18*1000)</f>
        <v>0</v>
      </c>
      <c r="R102" s="101">
        <f>IF(TrRoad_act!R18=0,0,R41/TrRoad_act!R18*1000)</f>
        <v>28.970210245492673</v>
      </c>
      <c r="S102" s="101">
        <f>IF(TrRoad_act!S18=0,0,S41/TrRoad_act!S18*1000)</f>
        <v>29.278449051331926</v>
      </c>
      <c r="T102" s="101">
        <f>IF(TrRoad_act!T18=0,0,T41/TrRoad_act!T18*1000)</f>
        <v>29.918464952981651</v>
      </c>
      <c r="U102" s="101">
        <f>IF(TrRoad_act!U18=0,0,U41/TrRoad_act!U18*1000)</f>
        <v>30.081951917685846</v>
      </c>
      <c r="V102" s="101">
        <f>IF(TrRoad_act!V18=0,0,V41/TrRoad_act!V18*1000)</f>
        <v>46.024824915121968</v>
      </c>
      <c r="W102" s="101">
        <f>IF(TrRoad_act!W18=0,0,W41/TrRoad_act!W18*1000)</f>
        <v>42.597667948957252</v>
      </c>
      <c r="X102" s="101">
        <f>IF(TrRoad_act!X18=0,0,X41/TrRoad_act!X18*1000)</f>
        <v>24.738719123173581</v>
      </c>
      <c r="Y102" s="101">
        <f>IF(TrRoad_act!Y18=0,0,Y41/TrRoad_act!Y18*1000)</f>
        <v>25.554701346231909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80.6332074685442</v>
      </c>
      <c r="C103" s="29">
        <f>IF(TrRoad_act!C19=0,0,C42/TrRoad_act!C19*1000)</f>
        <v>83.1717837546216</v>
      </c>
      <c r="D103" s="29">
        <f>IF(TrRoad_act!D19=0,0,D42/TrRoad_act!D19*1000)</f>
        <v>81.460644041439167</v>
      </c>
      <c r="E103" s="29">
        <f>IF(TrRoad_act!E19=0,0,E42/TrRoad_act!E19*1000)</f>
        <v>87.59258805717559</v>
      </c>
      <c r="F103" s="29">
        <f>IF(TrRoad_act!F19=0,0,F42/TrRoad_act!F19*1000)</f>
        <v>91.889296913219468</v>
      </c>
      <c r="G103" s="29">
        <f>IF(TrRoad_act!G19=0,0,G42/TrRoad_act!G19*1000)</f>
        <v>89.268916458545419</v>
      </c>
      <c r="H103" s="29">
        <f>IF(TrRoad_act!H19=0,0,H42/TrRoad_act!H19*1000)</f>
        <v>88.855674350147737</v>
      </c>
      <c r="I103" s="29">
        <f>IF(TrRoad_act!I19=0,0,I42/TrRoad_act!I19*1000)</f>
        <v>89.40818401924281</v>
      </c>
      <c r="J103" s="29">
        <f>IF(TrRoad_act!J19=0,0,J42/TrRoad_act!J19*1000)</f>
        <v>82.824274722917409</v>
      </c>
      <c r="K103" s="29">
        <f>IF(TrRoad_act!K19=0,0,K42/TrRoad_act!K19*1000)</f>
        <v>81.676611294099885</v>
      </c>
      <c r="L103" s="29">
        <f>IF(TrRoad_act!L19=0,0,L42/TrRoad_act!L19*1000)</f>
        <v>79.78650811363346</v>
      </c>
      <c r="M103" s="29">
        <f>IF(TrRoad_act!M19=0,0,M42/TrRoad_act!M19*1000)</f>
        <v>71.979736163432008</v>
      </c>
      <c r="N103" s="29">
        <f>IF(TrRoad_act!N19=0,0,N42/TrRoad_act!N19*1000)</f>
        <v>65.802585817730645</v>
      </c>
      <c r="O103" s="29">
        <f>IF(TrRoad_act!O19=0,0,O42/TrRoad_act!O19*1000)</f>
        <v>61.349158440739444</v>
      </c>
      <c r="P103" s="29">
        <f>IF(TrRoad_act!P19=0,0,P42/TrRoad_act!P19*1000)</f>
        <v>61.934313718123633</v>
      </c>
      <c r="Q103" s="29">
        <f>IF(TrRoad_act!Q19=0,0,Q42/TrRoad_act!Q19*1000)</f>
        <v>60.435409807254423</v>
      </c>
      <c r="R103" s="29">
        <f>IF(TrRoad_act!R19=0,0,R42/TrRoad_act!R19*1000)</f>
        <v>60.474119574052395</v>
      </c>
      <c r="S103" s="29">
        <f>IF(TrRoad_act!S19=0,0,S42/TrRoad_act!S19*1000)</f>
        <v>61.896982541993502</v>
      </c>
      <c r="T103" s="29">
        <f>IF(TrRoad_act!T19=0,0,T42/TrRoad_act!T19*1000)</f>
        <v>66.565236279519667</v>
      </c>
      <c r="U103" s="29">
        <f>IF(TrRoad_act!U19=0,0,U42/TrRoad_act!U19*1000)</f>
        <v>63.633544188176877</v>
      </c>
      <c r="V103" s="29">
        <f>IF(TrRoad_act!V19=0,0,V42/TrRoad_act!V19*1000)</f>
        <v>58.854437990141697</v>
      </c>
      <c r="W103" s="29">
        <f>IF(TrRoad_act!W19=0,0,W42/TrRoad_act!W19*1000)</f>
        <v>58.428647803813753</v>
      </c>
      <c r="X103" s="29">
        <f>IF(TrRoad_act!X19=0,0,X42/TrRoad_act!X19*1000)</f>
        <v>58.940429548856692</v>
      </c>
      <c r="Y103" s="29">
        <f>IF(TrRoad_act!Y19=0,0,Y42/TrRoad_act!Y19*1000)</f>
        <v>57.784780773522385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620.91098909916559</v>
      </c>
      <c r="C104" s="152">
        <f>IF(TrRoad_act!C20=0,0,C43/TrRoad_act!C20*1000)</f>
        <v>600.43444073391197</v>
      </c>
      <c r="D104" s="152">
        <f>IF(TrRoad_act!D20=0,0,D43/TrRoad_act!D20*1000)</f>
        <v>573.90896041859446</v>
      </c>
      <c r="E104" s="152">
        <f>IF(TrRoad_act!E20=0,0,E43/TrRoad_act!E20*1000)</f>
        <v>552.43012216849058</v>
      </c>
      <c r="F104" s="152">
        <f>IF(TrRoad_act!F20=0,0,F43/TrRoad_act!F20*1000)</f>
        <v>533.92273460952424</v>
      </c>
      <c r="G104" s="152">
        <f>IF(TrRoad_act!G20=0,0,G43/TrRoad_act!G20*1000)</f>
        <v>515.17380892474716</v>
      </c>
      <c r="H104" s="152">
        <f>IF(TrRoad_act!H20=0,0,H43/TrRoad_act!H20*1000)</f>
        <v>501.30323809775376</v>
      </c>
      <c r="I104" s="152">
        <f>IF(TrRoad_act!I20=0,0,I43/TrRoad_act!I20*1000)</f>
        <v>492.83829095793487</v>
      </c>
      <c r="J104" s="152">
        <f>IF(TrRoad_act!J20=0,0,J43/TrRoad_act!J20*1000)</f>
        <v>482.68326269768573</v>
      </c>
      <c r="K104" s="152">
        <f>IF(TrRoad_act!K20=0,0,K43/TrRoad_act!K20*1000)</f>
        <v>472.13451055689836</v>
      </c>
      <c r="L104" s="152">
        <f>IF(TrRoad_act!L20=0,0,L43/TrRoad_act!L20*1000)</f>
        <v>469.94656461458732</v>
      </c>
      <c r="M104" s="152">
        <f>IF(TrRoad_act!M20=0,0,M43/TrRoad_act!M20*1000)</f>
        <v>467.62866100242292</v>
      </c>
      <c r="N104" s="152">
        <f>IF(TrRoad_act!N20=0,0,N43/TrRoad_act!N20*1000)</f>
        <v>464.45474410459866</v>
      </c>
      <c r="O104" s="152">
        <f>IF(TrRoad_act!O20=0,0,O43/TrRoad_act!O20*1000)</f>
        <v>461.92113360110284</v>
      </c>
      <c r="P104" s="152">
        <f>IF(TrRoad_act!P20=0,0,P43/TrRoad_act!P20*1000)</f>
        <v>455.27853839408567</v>
      </c>
      <c r="Q104" s="152">
        <f>IF(TrRoad_act!Q20=0,0,Q43/TrRoad_act!Q20*1000)</f>
        <v>449.25227308459529</v>
      </c>
      <c r="R104" s="152">
        <f>IF(TrRoad_act!R20=0,0,R43/TrRoad_act!R20*1000)</f>
        <v>443.83121973174121</v>
      </c>
      <c r="S104" s="152">
        <f>IF(TrRoad_act!S20=0,0,S43/TrRoad_act!S20*1000)</f>
        <v>439.84853485170072</v>
      </c>
      <c r="T104" s="152">
        <f>IF(TrRoad_act!T20=0,0,T43/TrRoad_act!T20*1000)</f>
        <v>433.57705908284356</v>
      </c>
      <c r="U104" s="152">
        <f>IF(TrRoad_act!U20=0,0,U43/TrRoad_act!U20*1000)</f>
        <v>422.68340048289485</v>
      </c>
      <c r="V104" s="152">
        <f>IF(TrRoad_act!V20=0,0,V43/TrRoad_act!V20*1000)</f>
        <v>417.04826456608862</v>
      </c>
      <c r="W104" s="152">
        <f>IF(TrRoad_act!W20=0,0,W43/TrRoad_act!W20*1000)</f>
        <v>420.77126381354844</v>
      </c>
      <c r="X104" s="152">
        <f>IF(TrRoad_act!X20=0,0,X43/TrRoad_act!X20*1000)</f>
        <v>428.24040158776143</v>
      </c>
      <c r="Y104" s="152">
        <f>IF(TrRoad_act!Y20=0,0,Y43/TrRoad_act!Y20*1000)</f>
        <v>432.84861729879827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892.37116580270333</v>
      </c>
      <c r="C105" s="87">
        <f>IF(TrRoad_act!C21=0,0,C44/TrRoad_act!C21*1000)</f>
        <v>889.24661912111458</v>
      </c>
      <c r="D105" s="87">
        <f>IF(TrRoad_act!D21=0,0,D44/TrRoad_act!D21*1000)</f>
        <v>866.69126943619437</v>
      </c>
      <c r="E105" s="87">
        <f>IF(TrRoad_act!E21=0,0,E44/TrRoad_act!E21*1000)</f>
        <v>840.70140767278178</v>
      </c>
      <c r="F105" s="87">
        <f>IF(TrRoad_act!F21=0,0,F44/TrRoad_act!F21*1000)</f>
        <v>825.33024145016486</v>
      </c>
      <c r="G105" s="87">
        <f>IF(TrRoad_act!G21=0,0,G44/TrRoad_act!G21*1000)</f>
        <v>808.20502383301471</v>
      </c>
      <c r="H105" s="87">
        <f>IF(TrRoad_act!H21=0,0,H44/TrRoad_act!H21*1000)</f>
        <v>790.28068627099606</v>
      </c>
      <c r="I105" s="87">
        <f>IF(TrRoad_act!I21=0,0,I44/TrRoad_act!I21*1000)</f>
        <v>791.7891305044235</v>
      </c>
      <c r="J105" s="87">
        <f>IF(TrRoad_act!J21=0,0,J44/TrRoad_act!J21*1000)</f>
        <v>772.74406763319109</v>
      </c>
      <c r="K105" s="87">
        <f>IF(TrRoad_act!K21=0,0,K44/TrRoad_act!K21*1000)</f>
        <v>753.50522420512266</v>
      </c>
      <c r="L105" s="87">
        <f>IF(TrRoad_act!L21=0,0,L44/TrRoad_act!L21*1000)</f>
        <v>742.61590742090073</v>
      </c>
      <c r="M105" s="87">
        <f>IF(TrRoad_act!M21=0,0,M44/TrRoad_act!M21*1000)</f>
        <v>725.68406982513932</v>
      </c>
      <c r="N105" s="87">
        <f>IF(TrRoad_act!N21=0,0,N44/TrRoad_act!N21*1000)</f>
        <v>710.39716962265413</v>
      </c>
      <c r="O105" s="87">
        <f>IF(TrRoad_act!O21=0,0,O44/TrRoad_act!O21*1000)</f>
        <v>701.52646342834669</v>
      </c>
      <c r="P105" s="87">
        <f>IF(TrRoad_act!P21=0,0,P44/TrRoad_act!P21*1000)</f>
        <v>691.27081770525604</v>
      </c>
      <c r="Q105" s="87">
        <f>IF(TrRoad_act!Q21=0,0,Q44/TrRoad_act!Q21*1000)</f>
        <v>673.59789272431294</v>
      </c>
      <c r="R105" s="87">
        <f>IF(TrRoad_act!R21=0,0,R44/TrRoad_act!R21*1000)</f>
        <v>647.21935061805004</v>
      </c>
      <c r="S105" s="87">
        <f>IF(TrRoad_act!S21=0,0,S44/TrRoad_act!S21*1000)</f>
        <v>624.23798503143735</v>
      </c>
      <c r="T105" s="87">
        <f>IF(TrRoad_act!T21=0,0,T44/TrRoad_act!T21*1000)</f>
        <v>596.83074099827877</v>
      </c>
      <c r="U105" s="87">
        <f>IF(TrRoad_act!U21=0,0,U44/TrRoad_act!U21*1000)</f>
        <v>567.824660589779</v>
      </c>
      <c r="V105" s="87">
        <f>IF(TrRoad_act!V21=0,0,V44/TrRoad_act!V21*1000)</f>
        <v>534.65712611074116</v>
      </c>
      <c r="W105" s="87">
        <f>IF(TrRoad_act!W21=0,0,W44/TrRoad_act!W21*1000)</f>
        <v>517.11006665653383</v>
      </c>
      <c r="X105" s="87">
        <f>IF(TrRoad_act!X21=0,0,X44/TrRoad_act!X21*1000)</f>
        <v>493.10712725579793</v>
      </c>
      <c r="Y105" s="87">
        <f>IF(TrRoad_act!Y21=0,0,Y44/TrRoad_act!Y21*1000)</f>
        <v>477.03515703234359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570.927459901823</v>
      </c>
      <c r="C106" s="87">
        <f>IF(TrRoad_act!C22=0,0,C46/TrRoad_act!C22*1000)</f>
        <v>545.9120124378635</v>
      </c>
      <c r="D106" s="87">
        <f>IF(TrRoad_act!D22=0,0,D46/TrRoad_act!D22*1000)</f>
        <v>521.67244853151044</v>
      </c>
      <c r="E106" s="87">
        <f>IF(TrRoad_act!E22=0,0,E46/TrRoad_act!E22*1000)</f>
        <v>507.29488374755203</v>
      </c>
      <c r="F106" s="87">
        <f>IF(TrRoad_act!F22=0,0,F46/TrRoad_act!F22*1000)</f>
        <v>493.37438715123022</v>
      </c>
      <c r="G106" s="87">
        <f>IF(TrRoad_act!G22=0,0,G46/TrRoad_act!G22*1000)</f>
        <v>478.65384325326926</v>
      </c>
      <c r="H106" s="87">
        <f>IF(TrRoad_act!H22=0,0,H46/TrRoad_act!H22*1000)</f>
        <v>469.7724555179089</v>
      </c>
      <c r="I106" s="87">
        <f>IF(TrRoad_act!I22=0,0,I46/TrRoad_act!I22*1000)</f>
        <v>465.18837260848233</v>
      </c>
      <c r="J106" s="87">
        <f>IF(TrRoad_act!J22=0,0,J46/TrRoad_act!J22*1000)</f>
        <v>458.92860331021859</v>
      </c>
      <c r="K106" s="87">
        <f>IF(TrRoad_act!K22=0,0,K46/TrRoad_act!K22*1000)</f>
        <v>450.24426480423466</v>
      </c>
      <c r="L106" s="87">
        <f>IF(TrRoad_act!L22=0,0,L46/TrRoad_act!L22*1000)</f>
        <v>450.51157471910017</v>
      </c>
      <c r="M106" s="87">
        <f>IF(TrRoad_act!M22=0,0,M46/TrRoad_act!M22*1000)</f>
        <v>450.26003855782204</v>
      </c>
      <c r="N106" s="87">
        <f>IF(TrRoad_act!N22=0,0,N46/TrRoad_act!N22*1000)</f>
        <v>449.39732870117325</v>
      </c>
      <c r="O106" s="87">
        <f>IF(TrRoad_act!O22=0,0,O46/TrRoad_act!O22*1000)</f>
        <v>447.85089896723241</v>
      </c>
      <c r="P106" s="87">
        <f>IF(TrRoad_act!P22=0,0,P46/TrRoad_act!P22*1000)</f>
        <v>442.04274976114527</v>
      </c>
      <c r="Q106" s="87">
        <f>IF(TrRoad_act!Q22=0,0,Q46/TrRoad_act!Q22*1000)</f>
        <v>437.80339983536737</v>
      </c>
      <c r="R106" s="87">
        <f>IF(TrRoad_act!R22=0,0,R46/TrRoad_act!R22*1000)</f>
        <v>433.81908002529025</v>
      </c>
      <c r="S106" s="87">
        <f>IF(TrRoad_act!S22=0,0,S46/TrRoad_act!S22*1000)</f>
        <v>431.28932598946909</v>
      </c>
      <c r="T106" s="87">
        <f>IF(TrRoad_act!T22=0,0,T46/TrRoad_act!T22*1000)</f>
        <v>426.67285170099274</v>
      </c>
      <c r="U106" s="87">
        <f>IF(TrRoad_act!U22=0,0,U46/TrRoad_act!U22*1000)</f>
        <v>416.80869827107836</v>
      </c>
      <c r="V106" s="87">
        <f>IF(TrRoad_act!V22=0,0,V46/TrRoad_act!V22*1000)</f>
        <v>412.66973653207941</v>
      </c>
      <c r="W106" s="87">
        <f>IF(TrRoad_act!W22=0,0,W46/TrRoad_act!W22*1000)</f>
        <v>418.03638028746371</v>
      </c>
      <c r="X106" s="87">
        <f>IF(TrRoad_act!X22=0,0,X46/TrRoad_act!X22*1000)</f>
        <v>427.95771007462309</v>
      </c>
      <c r="Y106" s="87">
        <f>IF(TrRoad_act!Y22=0,0,Y46/TrRoad_act!Y22*1000)</f>
        <v>434.79890982792602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X107" s="87">
        <f>IF(TrRoad_act!X23=0,0,X48/TrRoad_act!X23*1000)</f>
        <v>0</v>
      </c>
      <c r="Y107" s="87">
        <f>IF(TrRoad_act!Y23=0,0,Y48/TrRoad_act!Y23*1000)</f>
        <v>0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625.53629385544434</v>
      </c>
      <c r="R108" s="87">
        <f>IF(TrRoad_act!R24=0,0,R49/TrRoad_act!R24*1000)</f>
        <v>621.45929621583241</v>
      </c>
      <c r="S108" s="87">
        <f>IF(TrRoad_act!S24=0,0,S49/TrRoad_act!S24*1000)</f>
        <v>608.83105109240955</v>
      </c>
      <c r="T108" s="87">
        <f>IF(TrRoad_act!T24=0,0,T49/TrRoad_act!T24*1000)</f>
        <v>606.07302927337594</v>
      </c>
      <c r="U108" s="87">
        <f>IF(TrRoad_act!U24=0,0,U49/TrRoad_act!U24*1000)</f>
        <v>604.33323636045543</v>
      </c>
      <c r="V108" s="87">
        <f>IF(TrRoad_act!V24=0,0,V49/TrRoad_act!V24*1000)</f>
        <v>598.75660399711376</v>
      </c>
      <c r="W108" s="87">
        <f>IF(TrRoad_act!W24=0,0,W49/TrRoad_act!W24*1000)</f>
        <v>603.47461098170004</v>
      </c>
      <c r="X108" s="87">
        <f>IF(TrRoad_act!X24=0,0,X49/TrRoad_act!X24*1000)</f>
        <v>607.89837045428112</v>
      </c>
      <c r="Y108" s="87">
        <f>IF(TrRoad_act!Y24=0,0,Y49/TrRoad_act!Y24*1000)</f>
        <v>607.91131490441057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87.380329697399262</v>
      </c>
      <c r="O109" s="87">
        <f>IF(TrRoad_act!O25=0,0,O51/TrRoad_act!O25*1000)</f>
        <v>88.890572391580847</v>
      </c>
      <c r="P109" s="87">
        <f>IF(TrRoad_act!P25=0,0,P51/TrRoad_act!P25*1000)</f>
        <v>97.117424520448722</v>
      </c>
      <c r="Q109" s="87">
        <f>IF(TrRoad_act!Q25=0,0,Q51/TrRoad_act!Q25*1000)</f>
        <v>98.05198633497541</v>
      </c>
      <c r="R109" s="87">
        <f>IF(TrRoad_act!R25=0,0,R51/TrRoad_act!R25*1000)</f>
        <v>98.390534827282693</v>
      </c>
      <c r="S109" s="87">
        <f>IF(TrRoad_act!S25=0,0,S51/TrRoad_act!S25*1000)</f>
        <v>98.696888682917574</v>
      </c>
      <c r="T109" s="87">
        <f>IF(TrRoad_act!T25=0,0,T51/TrRoad_act!T25*1000)</f>
        <v>104.09399972865783</v>
      </c>
      <c r="U109" s="87">
        <f>IF(TrRoad_act!U25=0,0,U51/TrRoad_act!U25*1000)</f>
        <v>108.36437737634692</v>
      </c>
      <c r="V109" s="87">
        <f>IF(TrRoad_act!V25=0,0,V51/TrRoad_act!V25*1000)</f>
        <v>127.58154031874008</v>
      </c>
      <c r="W109" s="87">
        <f>IF(TrRoad_act!W25=0,0,W51/TrRoad_act!W25*1000)</f>
        <v>148.76028758078172</v>
      </c>
      <c r="X109" s="87">
        <f>IF(TrRoad_act!X25=0,0,X51/TrRoad_act!X25*1000)</f>
        <v>152.55515984533591</v>
      </c>
      <c r="Y109" s="87">
        <f>IF(TrRoad_act!Y25=0,0,Y51/TrRoad_act!Y25*1000)</f>
        <v>149.67810807668519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48.795405816427888</v>
      </c>
      <c r="C110" s="116">
        <f>IF(TrRoad_act!C26=0,0,C52/TrRoad_act!C26*1000)</f>
        <v>50.744745651353469</v>
      </c>
      <c r="D110" s="116">
        <f>IF(TrRoad_act!D26=0,0,D52/TrRoad_act!D26*1000)</f>
        <v>50.00934838910301</v>
      </c>
      <c r="E110" s="116">
        <f>IF(TrRoad_act!E26=0,0,E52/TrRoad_act!E26*1000)</f>
        <v>55.576435467166995</v>
      </c>
      <c r="F110" s="116">
        <f>IF(TrRoad_act!F26=0,0,F52/TrRoad_act!F26*1000)</f>
        <v>58.572125911318217</v>
      </c>
      <c r="G110" s="116">
        <f>IF(TrRoad_act!G26=0,0,G52/TrRoad_act!G26*1000)</f>
        <v>55.765372198908437</v>
      </c>
      <c r="H110" s="116">
        <f>IF(TrRoad_act!H26=0,0,H52/TrRoad_act!H26*1000)</f>
        <v>54.430294790196861</v>
      </c>
      <c r="I110" s="116">
        <f>IF(TrRoad_act!I26=0,0,I52/TrRoad_act!I26*1000)</f>
        <v>53.539320974163182</v>
      </c>
      <c r="J110" s="116">
        <f>IF(TrRoad_act!J26=0,0,J52/TrRoad_act!J26*1000)</f>
        <v>47.920805027797783</v>
      </c>
      <c r="K110" s="116">
        <f>IF(TrRoad_act!K26=0,0,K52/TrRoad_act!K26*1000)</f>
        <v>45.57552721503351</v>
      </c>
      <c r="L110" s="116">
        <f>IF(TrRoad_act!L26=0,0,L52/TrRoad_act!L26*1000)</f>
        <v>45.485542858943134</v>
      </c>
      <c r="M110" s="116">
        <f>IF(TrRoad_act!M26=0,0,M52/TrRoad_act!M26*1000)</f>
        <v>42.280585241404452</v>
      </c>
      <c r="N110" s="116">
        <f>IF(TrRoad_act!N26=0,0,N52/TrRoad_act!N26*1000)</f>
        <v>38.165947629644762</v>
      </c>
      <c r="O110" s="116">
        <f>IF(TrRoad_act!O26=0,0,O52/TrRoad_act!O26*1000)</f>
        <v>35.906712219424122</v>
      </c>
      <c r="P110" s="116">
        <f>IF(TrRoad_act!P26=0,0,P52/TrRoad_act!P26*1000)</f>
        <v>38.008125932725576</v>
      </c>
      <c r="Q110" s="116">
        <f>IF(TrRoad_act!Q26=0,0,Q52/TrRoad_act!Q26*1000)</f>
        <v>35.80677247578415</v>
      </c>
      <c r="R110" s="116">
        <f>IF(TrRoad_act!R26=0,0,R52/TrRoad_act!R26*1000)</f>
        <v>37.760586523402488</v>
      </c>
      <c r="S110" s="116">
        <f>IF(TrRoad_act!S26=0,0,S52/TrRoad_act!S26*1000)</f>
        <v>38.718685145026889</v>
      </c>
      <c r="T110" s="116">
        <f>IF(TrRoad_act!T26=0,0,T52/TrRoad_act!T26*1000)</f>
        <v>42.379280203998782</v>
      </c>
      <c r="U110" s="116">
        <f>IF(TrRoad_act!U26=0,0,U52/TrRoad_act!U26*1000)</f>
        <v>40.842436442475659</v>
      </c>
      <c r="V110" s="116">
        <f>IF(TrRoad_act!V26=0,0,V52/TrRoad_act!V26*1000)</f>
        <v>38.178082797530521</v>
      </c>
      <c r="W110" s="116">
        <f>IF(TrRoad_act!W26=0,0,W52/TrRoad_act!W26*1000)</f>
        <v>37.739179834511397</v>
      </c>
      <c r="X110" s="116">
        <f>IF(TrRoad_act!X26=0,0,X52/TrRoad_act!X26*1000)</f>
        <v>37.092635236734388</v>
      </c>
      <c r="Y110" s="116">
        <f>IF(TrRoad_act!Y26=0,0,Y52/TrRoad_act!Y26*1000)</f>
        <v>36.411185144558928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46.052998658742382</v>
      </c>
      <c r="C111" s="101">
        <f>IF(TrRoad_act!C27=0,0,C53/TrRoad_act!C27*1000)</f>
        <v>47.919338783415974</v>
      </c>
      <c r="D111" s="101">
        <f>IF(TrRoad_act!D27=0,0,D53/TrRoad_act!D27*1000)</f>
        <v>46.597353389941894</v>
      </c>
      <c r="E111" s="101">
        <f>IF(TrRoad_act!E27=0,0,E53/TrRoad_act!E27*1000)</f>
        <v>50.559411120354106</v>
      </c>
      <c r="F111" s="101">
        <f>IF(TrRoad_act!F27=0,0,F53/TrRoad_act!F27*1000)</f>
        <v>51.217809054587462</v>
      </c>
      <c r="G111" s="101">
        <f>IF(TrRoad_act!G27=0,0,G53/TrRoad_act!G27*1000)</f>
        <v>48.040151143484614</v>
      </c>
      <c r="H111" s="101">
        <f>IF(TrRoad_act!H27=0,0,H53/TrRoad_act!H27*1000)</f>
        <v>48.096883003070907</v>
      </c>
      <c r="I111" s="101">
        <f>IF(TrRoad_act!I27=0,0,I53/TrRoad_act!I27*1000)</f>
        <v>47.776866917796653</v>
      </c>
      <c r="J111" s="101">
        <f>IF(TrRoad_act!J27=0,0,J53/TrRoad_act!J27*1000)</f>
        <v>48.940757362614193</v>
      </c>
      <c r="K111" s="101">
        <f>IF(TrRoad_act!K27=0,0,K53/TrRoad_act!K27*1000)</f>
        <v>45.159771898898093</v>
      </c>
      <c r="L111" s="101">
        <f>IF(TrRoad_act!L27=0,0,L53/TrRoad_act!L27*1000)</f>
        <v>43.683112898749101</v>
      </c>
      <c r="M111" s="101">
        <f>IF(TrRoad_act!M27=0,0,M53/TrRoad_act!M27*1000)</f>
        <v>39.864524875368559</v>
      </c>
      <c r="N111" s="101">
        <f>IF(TrRoad_act!N27=0,0,N53/TrRoad_act!N27*1000)</f>
        <v>38.688207295389468</v>
      </c>
      <c r="O111" s="101">
        <f>IF(TrRoad_act!O27=0,0,O53/TrRoad_act!O27*1000)</f>
        <v>37.966374182588225</v>
      </c>
      <c r="P111" s="101">
        <f>IF(TrRoad_act!P27=0,0,P53/TrRoad_act!P27*1000)</f>
        <v>37.159205540937187</v>
      </c>
      <c r="Q111" s="101">
        <f>IF(TrRoad_act!Q27=0,0,Q53/TrRoad_act!Q27*1000)</f>
        <v>36.428473038030035</v>
      </c>
      <c r="R111" s="101">
        <f>IF(TrRoad_act!R27=0,0,R53/TrRoad_act!R27*1000)</f>
        <v>35.569141603899205</v>
      </c>
      <c r="S111" s="101">
        <f>IF(TrRoad_act!S27=0,0,S53/TrRoad_act!S27*1000)</f>
        <v>35.140012418196513</v>
      </c>
      <c r="T111" s="101">
        <f>IF(TrRoad_act!T27=0,0,T53/TrRoad_act!T27*1000)</f>
        <v>36.073117282182849</v>
      </c>
      <c r="U111" s="101">
        <f>IF(TrRoad_act!U27=0,0,U53/TrRoad_act!U27*1000)</f>
        <v>35.480540475619783</v>
      </c>
      <c r="V111" s="101">
        <f>IF(TrRoad_act!V27=0,0,V53/TrRoad_act!V27*1000)</f>
        <v>34.497130182185643</v>
      </c>
      <c r="W111" s="101">
        <f>IF(TrRoad_act!W27=0,0,W53/TrRoad_act!W27*1000)</f>
        <v>33.722772755745943</v>
      </c>
      <c r="X111" s="101">
        <f>IF(TrRoad_act!X27=0,0,X53/TrRoad_act!X27*1000)</f>
        <v>33.148793806157926</v>
      </c>
      <c r="Y111" s="101">
        <f>IF(TrRoad_act!Y27=0,0,Y53/TrRoad_act!Y27*1000)</f>
        <v>29.895401323244325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56.090569018297977</v>
      </c>
      <c r="C112" s="88">
        <f>IF(TrRoad_act!C28=0,0,C55/TrRoad_act!C28*1000)</f>
        <v>57.68925698173306</v>
      </c>
      <c r="D112" s="88">
        <f>IF(TrRoad_act!D28=0,0,D55/TrRoad_act!D28*1000)</f>
        <v>58.052504468088003</v>
      </c>
      <c r="E112" s="88">
        <f>IF(TrRoad_act!E28=0,0,E55/TrRoad_act!E28*1000)</f>
        <v>67.168487056506166</v>
      </c>
      <c r="F112" s="88">
        <f>IF(TrRoad_act!F28=0,0,F55/TrRoad_act!F28*1000)</f>
        <v>72.58242421129701</v>
      </c>
      <c r="G112" s="88">
        <f>IF(TrRoad_act!G28=0,0,G55/TrRoad_act!G28*1000)</f>
        <v>70.677704787943227</v>
      </c>
      <c r="H112" s="88">
        <f>IF(TrRoad_act!H28=0,0,H55/TrRoad_act!H28*1000)</f>
        <v>66.177838611576249</v>
      </c>
      <c r="I112" s="88">
        <f>IF(TrRoad_act!I28=0,0,I55/TrRoad_act!I28*1000)</f>
        <v>63.861292493439635</v>
      </c>
      <c r="J112" s="88">
        <f>IF(TrRoad_act!J28=0,0,J55/TrRoad_act!J28*1000)</f>
        <v>46.587070093924559</v>
      </c>
      <c r="K112" s="88">
        <f>IF(TrRoad_act!K28=0,0,K55/TrRoad_act!K28*1000)</f>
        <v>46.176993239733378</v>
      </c>
      <c r="L112" s="88">
        <f>IF(TrRoad_act!L28=0,0,L55/TrRoad_act!L28*1000)</f>
        <v>48.342357168563666</v>
      </c>
      <c r="M112" s="88">
        <f>IF(TrRoad_act!M28=0,0,M55/TrRoad_act!M28*1000)</f>
        <v>46.810654751689597</v>
      </c>
      <c r="N112" s="88">
        <f>IF(TrRoad_act!N28=0,0,N55/TrRoad_act!N28*1000)</f>
        <v>37.143559136014311</v>
      </c>
      <c r="O112" s="88">
        <f>IF(TrRoad_act!O28=0,0,O55/TrRoad_act!O28*1000)</f>
        <v>32.352491723767137</v>
      </c>
      <c r="P112" s="88">
        <f>IF(TrRoad_act!P28=0,0,P55/TrRoad_act!P28*1000)</f>
        <v>39.679426878240811</v>
      </c>
      <c r="Q112" s="88">
        <f>IF(TrRoad_act!Q28=0,0,Q55/TrRoad_act!Q28*1000)</f>
        <v>34.625690596784075</v>
      </c>
      <c r="R112" s="88">
        <f>IF(TrRoad_act!R28=0,0,R55/TrRoad_act!R28*1000)</f>
        <v>41.538738429653009</v>
      </c>
      <c r="S112" s="88">
        <f>IF(TrRoad_act!S28=0,0,S55/TrRoad_act!S28*1000)</f>
        <v>44.507544280352704</v>
      </c>
      <c r="T112" s="88">
        <f>IF(TrRoad_act!T28=0,0,T55/TrRoad_act!T28*1000)</f>
        <v>52.909900765598486</v>
      </c>
      <c r="U112" s="88">
        <f>IF(TrRoad_act!U28=0,0,U55/TrRoad_act!U28*1000)</f>
        <v>49.782604265502201</v>
      </c>
      <c r="V112" s="88">
        <f>IF(TrRoad_act!V28=0,0,V55/TrRoad_act!V28*1000)</f>
        <v>44.031656124700973</v>
      </c>
      <c r="W112" s="88">
        <f>IF(TrRoad_act!W28=0,0,W55/TrRoad_act!W28*1000)</f>
        <v>44.2450410930632</v>
      </c>
      <c r="X112" s="88">
        <f>IF(TrRoad_act!X28=0,0,X55/TrRoad_act!X28*1000)</f>
        <v>43.302201641746464</v>
      </c>
      <c r="Y112" s="88">
        <f>IF(TrRoad_act!Y28=0,0,Y55/TrRoad_act!Y28*1000)</f>
        <v>48.476392191183095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170.81733461183063</v>
      </c>
      <c r="C116" s="152">
        <f>IF(C19=0,0,1000000*C19/TrRoad_act!C59)</f>
        <v>151.93793088337381</v>
      </c>
      <c r="D116" s="152">
        <f>IF(D19=0,0,1000000*D19/TrRoad_act!D59)</f>
        <v>151.84074056631664</v>
      </c>
      <c r="E116" s="152">
        <f>IF(E19=0,0,1000000*E19/TrRoad_act!E59)</f>
        <v>148.15007729080438</v>
      </c>
      <c r="F116" s="152">
        <f>IF(F19=0,0,1000000*F19/TrRoad_act!F59)</f>
        <v>140.56206607014494</v>
      </c>
      <c r="G116" s="152">
        <f>IF(G19=0,0,1000000*G19/TrRoad_act!G59)</f>
        <v>133.74073601268375</v>
      </c>
      <c r="H116" s="152">
        <f>IF(H19=0,0,1000000*H19/TrRoad_act!H59)</f>
        <v>129.45870317464164</v>
      </c>
      <c r="I116" s="152">
        <f>IF(I19=0,0,1000000*I19/TrRoad_act!I59)</f>
        <v>127.12388546037884</v>
      </c>
      <c r="J116" s="152">
        <f>IF(J19=0,0,1000000*J19/TrRoad_act!J59)</f>
        <v>122.01989988514696</v>
      </c>
      <c r="K116" s="152">
        <f>IF(K19=0,0,1000000*K19/TrRoad_act!K59)</f>
        <v>116.89381726421568</v>
      </c>
      <c r="L116" s="152">
        <f>IF(L19=0,0,1000000*L19/TrRoad_act!L59)</f>
        <v>116.63887998718438</v>
      </c>
      <c r="M116" s="152">
        <f>IF(M19=0,0,1000000*M19/TrRoad_act!M59)</f>
        <v>115.73501086275283</v>
      </c>
      <c r="N116" s="152">
        <f>IF(N19=0,0,1000000*N19/TrRoad_act!N59)</f>
        <v>117.09959418139799</v>
      </c>
      <c r="O116" s="152">
        <f>IF(O19=0,0,1000000*O19/TrRoad_act!O59)</f>
        <v>118.15964501217701</v>
      </c>
      <c r="P116" s="152">
        <f>IF(P19=0,0,1000000*P19/TrRoad_act!P59)</f>
        <v>120.1622579200282</v>
      </c>
      <c r="Q116" s="152">
        <f>IF(Q19=0,0,1000000*Q19/TrRoad_act!Q59)</f>
        <v>120.03874770758071</v>
      </c>
      <c r="R116" s="152">
        <f>IF(R19=0,0,1000000*R19/TrRoad_act!R59)</f>
        <v>119.43784387882691</v>
      </c>
      <c r="S116" s="152">
        <f>IF(S19=0,0,1000000*S19/TrRoad_act!S59)</f>
        <v>112.21972379834207</v>
      </c>
      <c r="T116" s="152">
        <f>IF(T19=0,0,1000000*T19/TrRoad_act!T59)</f>
        <v>105.10367282954691</v>
      </c>
      <c r="U116" s="152">
        <f>IF(U19=0,0,1000000*U19/TrRoad_act!U59)</f>
        <v>111.7114153809901</v>
      </c>
      <c r="V116" s="152">
        <f>IF(V19=0,0,1000000*V19/TrRoad_act!V59)</f>
        <v>98.13295167681278</v>
      </c>
      <c r="W116" s="152">
        <f>IF(W19=0,0,1000000*W19/TrRoad_act!W59)</f>
        <v>100.09255576590378</v>
      </c>
      <c r="X116" s="152">
        <f>IF(X19=0,0,1000000*X19/TrRoad_act!X59)</f>
        <v>100.00159678410286</v>
      </c>
      <c r="Y116" s="152">
        <f>IF(Y19=0,0,1000000*Y19/TrRoad_act!Y59)</f>
        <v>106.62487727264745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1095.8098549029014</v>
      </c>
      <c r="C117" s="116">
        <f>IF(C21=0,0,1000000*C21/TrRoad_act!C60)</f>
        <v>1072.3716426536489</v>
      </c>
      <c r="D117" s="116">
        <f>IF(D21=0,0,1000000*D21/TrRoad_act!D60)</f>
        <v>1081.2619535585313</v>
      </c>
      <c r="E117" s="116">
        <f>IF(E21=0,0,1000000*E21/TrRoad_act!E60)</f>
        <v>1098.1326020162683</v>
      </c>
      <c r="F117" s="116">
        <f>IF(F21=0,0,1000000*F21/TrRoad_act!F60)</f>
        <v>1095.9366118082989</v>
      </c>
      <c r="G117" s="116">
        <f>IF(G21=0,0,1000000*G21/TrRoad_act!G60)</f>
        <v>1069.4498735497823</v>
      </c>
      <c r="H117" s="116">
        <f>IF(H21=0,0,1000000*H21/TrRoad_act!H60)</f>
        <v>1052.0320923439674</v>
      </c>
      <c r="I117" s="116">
        <f>IF(I21=0,0,1000000*I21/TrRoad_act!I60)</f>
        <v>1081.8521697032575</v>
      </c>
      <c r="J117" s="116">
        <f>IF(J21=0,0,1000000*J21/TrRoad_act!J60)</f>
        <v>1056.1583406650584</v>
      </c>
      <c r="K117" s="116">
        <f>IF(K21=0,0,1000000*K21/TrRoad_act!K60)</f>
        <v>1030.0442194219581</v>
      </c>
      <c r="L117" s="116">
        <f>IF(L21=0,0,1000000*L21/TrRoad_act!L60)</f>
        <v>1002.8114134593995</v>
      </c>
      <c r="M117" s="116">
        <f>IF(M21=0,0,1000000*M21/TrRoad_act!M60)</f>
        <v>1020.3617352699497</v>
      </c>
      <c r="N117" s="116">
        <f>IF(N21=0,0,1000000*N21/TrRoad_act!N60)</f>
        <v>946.93148342487655</v>
      </c>
      <c r="O117" s="116">
        <f>IF(O21=0,0,1000000*O21/TrRoad_act!O60)</f>
        <v>926.80447076962901</v>
      </c>
      <c r="P117" s="116">
        <f>IF(P21=0,0,1000000*P21/TrRoad_act!P60)</f>
        <v>918.87023030908097</v>
      </c>
      <c r="Q117" s="116">
        <f>IF(Q21=0,0,1000000*Q21/TrRoad_act!Q60)</f>
        <v>981.54995224483071</v>
      </c>
      <c r="R117" s="116">
        <f>IF(R21=0,0,1000000*R21/TrRoad_act!R60)</f>
        <v>968.41689582250592</v>
      </c>
      <c r="S117" s="116">
        <f>IF(S21=0,0,1000000*S21/TrRoad_act!S60)</f>
        <v>910.86975582821822</v>
      </c>
      <c r="T117" s="116">
        <f>IF(T21=0,0,1000000*T21/TrRoad_act!T60)</f>
        <v>890.01712316925057</v>
      </c>
      <c r="U117" s="116">
        <f>IF(U21=0,0,1000000*U21/TrRoad_act!U60)</f>
        <v>863.92246096354245</v>
      </c>
      <c r="V117" s="116">
        <f>IF(V21=0,0,1000000*V21/TrRoad_act!V60)</f>
        <v>759.57139340006233</v>
      </c>
      <c r="W117" s="116">
        <f>IF(W21=0,0,1000000*W21/TrRoad_act!W60)</f>
        <v>746.93880607803067</v>
      </c>
      <c r="X117" s="116">
        <f>IF(X21=0,0,1000000*X21/TrRoad_act!X60)</f>
        <v>751.7002670850336</v>
      </c>
      <c r="Y117" s="116">
        <f>IF(Y21=0,0,1000000*Y21/TrRoad_act!Y60)</f>
        <v>747.36060913112442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1073.9929135793946</v>
      </c>
      <c r="C118" s="87">
        <f>IF(C22=0,0,1000000*C22/TrRoad_act!C61)</f>
        <v>1051.8430409067496</v>
      </c>
      <c r="D118" s="87">
        <f>IF(D22=0,0,1000000*D22/TrRoad_act!D61)</f>
        <v>1057.8776604993318</v>
      </c>
      <c r="E118" s="87">
        <f>IF(E22=0,0,1000000*E22/TrRoad_act!E61)</f>
        <v>1068.4335912418667</v>
      </c>
      <c r="F118" s="87">
        <f>IF(F22=0,0,1000000*F22/TrRoad_act!F61)</f>
        <v>1056.5381040620259</v>
      </c>
      <c r="G118" s="87">
        <f>IF(G22=0,0,1000000*G22/TrRoad_act!G61)</f>
        <v>1024.2395918618756</v>
      </c>
      <c r="H118" s="87">
        <f>IF(H22=0,0,1000000*H22/TrRoad_act!H61)</f>
        <v>999.18119268598218</v>
      </c>
      <c r="I118" s="87">
        <f>IF(I22=0,0,1000000*I22/TrRoad_act!I61)</f>
        <v>1014.0679640648385</v>
      </c>
      <c r="J118" s="87">
        <f>IF(J22=0,0,1000000*J22/TrRoad_act!J61)</f>
        <v>986.27467895389589</v>
      </c>
      <c r="K118" s="87">
        <f>IF(K22=0,0,1000000*K22/TrRoad_act!K61)</f>
        <v>956.55615226574719</v>
      </c>
      <c r="L118" s="87">
        <f>IF(L22=0,0,1000000*L22/TrRoad_act!L61)</f>
        <v>916.6327513104593</v>
      </c>
      <c r="M118" s="87">
        <f>IF(M22=0,0,1000000*M22/TrRoad_act!M61)</f>
        <v>927.85581289051822</v>
      </c>
      <c r="N118" s="87">
        <f>IF(N22=0,0,1000000*N22/TrRoad_act!N61)</f>
        <v>850.69382815357756</v>
      </c>
      <c r="O118" s="87">
        <f>IF(O22=0,0,1000000*O22/TrRoad_act!O61)</f>
        <v>834.59477969452803</v>
      </c>
      <c r="P118" s="87">
        <f>IF(P22=0,0,1000000*P22/TrRoad_act!P61)</f>
        <v>840.86558427298166</v>
      </c>
      <c r="Q118" s="87">
        <f>IF(Q22=0,0,1000000*Q22/TrRoad_act!Q61)</f>
        <v>908.32325980737949</v>
      </c>
      <c r="R118" s="87">
        <f>IF(R22=0,0,1000000*R22/TrRoad_act!R61)</f>
        <v>848.33745865456876</v>
      </c>
      <c r="S118" s="87">
        <f>IF(S22=0,0,1000000*S22/TrRoad_act!S61)</f>
        <v>768.46993255031509</v>
      </c>
      <c r="T118" s="87">
        <f>IF(T22=0,0,1000000*T22/TrRoad_act!T61)</f>
        <v>736.84970793438993</v>
      </c>
      <c r="U118" s="87">
        <f>IF(U22=0,0,1000000*U22/TrRoad_act!U61)</f>
        <v>721.70675103721305</v>
      </c>
      <c r="V118" s="87">
        <f>IF(V22=0,0,1000000*V22/TrRoad_act!V61)</f>
        <v>646.61943875968359</v>
      </c>
      <c r="W118" s="87">
        <f>IF(W22=0,0,1000000*W22/TrRoad_act!W61)</f>
        <v>640.52959352437415</v>
      </c>
      <c r="X118" s="87">
        <f>IF(X22=0,0,1000000*X22/TrRoad_act!X61)</f>
        <v>660.21784265270026</v>
      </c>
      <c r="Y118" s="87">
        <f>IF(Y22=0,0,1000000*Y22/TrRoad_act!Y61)</f>
        <v>678.23225267989551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1407.5079802981591</v>
      </c>
      <c r="C119" s="87">
        <f>IF(C24=0,0,1000000*C24/TrRoad_act!C62)</f>
        <v>1316.5333132172541</v>
      </c>
      <c r="D119" s="87">
        <f>IF(D24=0,0,1000000*D24/TrRoad_act!D62)</f>
        <v>1324.1346297227992</v>
      </c>
      <c r="E119" s="87">
        <f>IF(E24=0,0,1000000*E24/TrRoad_act!E62)</f>
        <v>1407.7316346032767</v>
      </c>
      <c r="F119" s="87">
        <f>IF(F24=0,0,1000000*F24/TrRoad_act!F62)</f>
        <v>1465.1581814006358</v>
      </c>
      <c r="G119" s="87">
        <f>IF(G24=0,0,1000000*G24/TrRoad_act!G62)</f>
        <v>1404.6492976152701</v>
      </c>
      <c r="H119" s="87">
        <f>IF(H24=0,0,1000000*H24/TrRoad_act!H62)</f>
        <v>1390.487289466347</v>
      </c>
      <c r="I119" s="87">
        <f>IF(I24=0,0,1000000*I24/TrRoad_act!I62)</f>
        <v>1407.6637661996826</v>
      </c>
      <c r="J119" s="87">
        <f>IF(J24=0,0,1000000*J24/TrRoad_act!J62)</f>
        <v>1337.7757449438977</v>
      </c>
      <c r="K119" s="87">
        <f>IF(K24=0,0,1000000*K24/TrRoad_act!K62)</f>
        <v>1291.4718201843693</v>
      </c>
      <c r="L119" s="87">
        <f>IF(L24=0,0,1000000*L24/TrRoad_act!L62)</f>
        <v>1266.8807799924302</v>
      </c>
      <c r="M119" s="87">
        <f>IF(M24=0,0,1000000*M24/TrRoad_act!M62)</f>
        <v>1275.2200010447266</v>
      </c>
      <c r="N119" s="87">
        <f>IF(N24=0,0,1000000*N24/TrRoad_act!N62)</f>
        <v>1183.3563972438988</v>
      </c>
      <c r="O119" s="87">
        <f>IF(O24=0,0,1000000*O24/TrRoad_act!O62)</f>
        <v>1130.2750662009471</v>
      </c>
      <c r="P119" s="87">
        <f>IF(P24=0,0,1000000*P24/TrRoad_act!P62)</f>
        <v>1073.8547273291924</v>
      </c>
      <c r="Q119" s="87">
        <f>IF(Q24=0,0,1000000*Q24/TrRoad_act!Q62)</f>
        <v>1117.3785642722689</v>
      </c>
      <c r="R119" s="87">
        <f>IF(R24=0,0,1000000*R24/TrRoad_act!R62)</f>
        <v>1230.4575421357897</v>
      </c>
      <c r="S119" s="87">
        <f>IF(S24=0,0,1000000*S24/TrRoad_act!S62)</f>
        <v>1224.6226812765869</v>
      </c>
      <c r="T119" s="87">
        <f>IF(T24=0,0,1000000*T24/TrRoad_act!T62)</f>
        <v>1233.4806510261849</v>
      </c>
      <c r="U119" s="87">
        <f>IF(U24=0,0,1000000*U24/TrRoad_act!U62)</f>
        <v>1193.3239272266433</v>
      </c>
      <c r="V119" s="87">
        <f>IF(V24=0,0,1000000*V24/TrRoad_act!V62)</f>
        <v>1046.6564543362656</v>
      </c>
      <c r="W119" s="87">
        <f>IF(W24=0,0,1000000*W24/TrRoad_act!W62)</f>
        <v>1073.910582617355</v>
      </c>
      <c r="X119" s="87">
        <f>IF(X24=0,0,1000000*X24/TrRoad_act!X62)</f>
        <v>1108.1345159415876</v>
      </c>
      <c r="Y119" s="87">
        <f>IF(Y24=0,0,1000000*Y24/TrRoad_act!Y62)</f>
        <v>1147.5182429978934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1286.6962948697451</v>
      </c>
      <c r="C120" s="87">
        <f>IF(C26=0,0,1000000*C26/TrRoad_act!C63)</f>
        <v>1426.9699624794357</v>
      </c>
      <c r="D120" s="87">
        <f>IF(D26=0,0,1000000*D26/TrRoad_act!D63)</f>
        <v>1657.4272584914333</v>
      </c>
      <c r="E120" s="87">
        <f>IF(E26=0,0,1000000*E26/TrRoad_act!E63)</f>
        <v>1548.0935887216067</v>
      </c>
      <c r="F120" s="87">
        <f>IF(F26=0,0,1000000*F26/TrRoad_act!F63)</f>
        <v>1485.3273301506727</v>
      </c>
      <c r="G120" s="87">
        <f>IF(G26=0,0,1000000*G26/TrRoad_act!G63)</f>
        <v>1436.3924695505041</v>
      </c>
      <c r="H120" s="87">
        <f>IF(H26=0,0,1000000*H26/TrRoad_act!H63)</f>
        <v>1367.5353711266307</v>
      </c>
      <c r="I120" s="87">
        <f>IF(I26=0,0,1000000*I26/TrRoad_act!I63)</f>
        <v>1265.6400217775204</v>
      </c>
      <c r="J120" s="87">
        <f>IF(J26=0,0,1000000*J26/TrRoad_act!J63)</f>
        <v>1198.1807028748553</v>
      </c>
      <c r="K120" s="87">
        <f>IF(K26=0,0,1000000*K26/TrRoad_act!K63)</f>
        <v>1182.6457563607785</v>
      </c>
      <c r="L120" s="87">
        <f>IF(L26=0,0,1000000*L26/TrRoad_act!L63)</f>
        <v>0</v>
      </c>
      <c r="M120" s="87">
        <f>IF(M26=0,0,1000000*M26/TrRoad_act!M63)</f>
        <v>0</v>
      </c>
      <c r="N120" s="87">
        <f>IF(N26=0,0,1000000*N26/TrRoad_act!N63)</f>
        <v>0</v>
      </c>
      <c r="O120" s="87">
        <f>IF(O26=0,0,1000000*O26/TrRoad_act!O63)</f>
        <v>0</v>
      </c>
      <c r="P120" s="87">
        <f>IF(P26=0,0,1000000*P26/TrRoad_act!P63)</f>
        <v>0</v>
      </c>
      <c r="Q120" s="87">
        <f>IF(Q26=0,0,1000000*Q26/TrRoad_act!Q63)</f>
        <v>0</v>
      </c>
      <c r="R120" s="87">
        <f>IF(R26=0,0,1000000*R26/TrRoad_act!R63)</f>
        <v>0</v>
      </c>
      <c r="S120" s="87">
        <f>IF(S26=0,0,1000000*S26/TrRoad_act!S63)</f>
        <v>0</v>
      </c>
      <c r="T120" s="87">
        <f>IF(T26=0,0,1000000*T26/TrRoad_act!T63)</f>
        <v>0</v>
      </c>
      <c r="U120" s="87">
        <f>IF(U26=0,0,1000000*U26/TrRoad_act!U63)</f>
        <v>0</v>
      </c>
      <c r="V120" s="87">
        <f>IF(V26=0,0,1000000*V26/TrRoad_act!V63)</f>
        <v>0</v>
      </c>
      <c r="W120" s="87">
        <f>IF(W26=0,0,1000000*W26/TrRoad_act!W63)</f>
        <v>0</v>
      </c>
      <c r="X120" s="87">
        <f>IF(X26=0,0,1000000*X26/TrRoad_act!X63)</f>
        <v>0</v>
      </c>
      <c r="Y120" s="87">
        <f>IF(Y26=0,0,1000000*Y26/TrRoad_act!Y63)</f>
        <v>0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1359.8215049570726</v>
      </c>
      <c r="R121" s="87">
        <f>IF(R27=0,0,1000000*R27/TrRoad_act!R64)</f>
        <v>1723.5845771118727</v>
      </c>
      <c r="S121" s="87">
        <f>IF(S27=0,0,1000000*S27/TrRoad_act!S64)</f>
        <v>957.64334467250251</v>
      </c>
      <c r="T121" s="87">
        <f>IF(T27=0,0,1000000*T27/TrRoad_act!T64)</f>
        <v>1014.5538790500725</v>
      </c>
      <c r="U121" s="87">
        <f>IF(U27=0,0,1000000*U27/TrRoad_act!U64)</f>
        <v>1016.8987942688539</v>
      </c>
      <c r="V121" s="87">
        <f>IF(V27=0,0,1000000*V27/TrRoad_act!V64)</f>
        <v>910.42088214176215</v>
      </c>
      <c r="W121" s="87">
        <f>IF(W27=0,0,1000000*W27/TrRoad_act!W64)</f>
        <v>934.65122145895521</v>
      </c>
      <c r="X121" s="87">
        <f>IF(X27=0,0,1000000*X27/TrRoad_act!X64)</f>
        <v>981.6468597586346</v>
      </c>
      <c r="Y121" s="87">
        <f>IF(Y27=0,0,1000000*Y27/TrRoad_act!Y64)</f>
        <v>992.83217472025524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354.40731000259984</v>
      </c>
      <c r="O122" s="87">
        <f>IF(O29=0,0,1000000*O29/TrRoad_act!O65)</f>
        <v>400.55397014560771</v>
      </c>
      <c r="P122" s="87">
        <f>IF(P29=0,0,1000000*P29/TrRoad_act!P65)</f>
        <v>280.29364631021258</v>
      </c>
      <c r="Q122" s="87">
        <f>IF(Q29=0,0,1000000*Q29/TrRoad_act!Q65)</f>
        <v>827.78887996200308</v>
      </c>
      <c r="R122" s="87">
        <f>IF(R29=0,0,1000000*R29/TrRoad_act!R65)</f>
        <v>512.74051899457629</v>
      </c>
      <c r="S122" s="87">
        <f>IF(S29=0,0,1000000*S29/TrRoad_act!S65)</f>
        <v>394.11854580450091</v>
      </c>
      <c r="T122" s="87">
        <f>IF(T29=0,0,1000000*T29/TrRoad_act!T65)</f>
        <v>345.76439265026937</v>
      </c>
      <c r="U122" s="87">
        <f>IF(U29=0,0,1000000*U29/TrRoad_act!U65)</f>
        <v>339.53715366430242</v>
      </c>
      <c r="V122" s="87">
        <f>IF(V29=0,0,1000000*V29/TrRoad_act!V65)</f>
        <v>295.9618604308717</v>
      </c>
      <c r="W122" s="87">
        <f>IF(W29=0,0,1000000*W29/TrRoad_act!W65)</f>
        <v>326.69118554893038</v>
      </c>
      <c r="X122" s="87">
        <f>IF(X29=0,0,1000000*X29/TrRoad_act!X65)</f>
        <v>340.91769919372427</v>
      </c>
      <c r="Y122" s="87">
        <f>IF(Y29=0,0,1000000*Y29/TrRoad_act!Y65)</f>
        <v>357.03668393940779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180.47715439136036</v>
      </c>
      <c r="L123" s="87">
        <f>IF(L32=0,0,1000000*L32/TrRoad_act!L66)</f>
        <v>179.96706575724266</v>
      </c>
      <c r="M123" s="87">
        <f>IF(M32=0,0,1000000*M32/TrRoad_act!M66)</f>
        <v>180.07384390799729</v>
      </c>
      <c r="N123" s="87">
        <f>IF(N32=0,0,1000000*N32/TrRoad_act!N66)</f>
        <v>181.03335146870415</v>
      </c>
      <c r="O123" s="87">
        <f>IF(O32=0,0,1000000*O32/TrRoad_act!O66)</f>
        <v>186.54776472017991</v>
      </c>
      <c r="P123" s="87">
        <f>IF(P32=0,0,1000000*P32/TrRoad_act!P66)</f>
        <v>185.38783757204644</v>
      </c>
      <c r="Q123" s="87">
        <f>IF(Q32=0,0,1000000*Q32/TrRoad_act!Q66)</f>
        <v>208.16350601714129</v>
      </c>
      <c r="R123" s="87">
        <f>IF(R32=0,0,1000000*R32/TrRoad_act!R66)</f>
        <v>205.31205399661863</v>
      </c>
      <c r="S123" s="87">
        <f>IF(S32=0,0,1000000*S32/TrRoad_act!S66)</f>
        <v>203.13505312710788</v>
      </c>
      <c r="T123" s="87">
        <f>IF(T32=0,0,1000000*T32/TrRoad_act!T66)</f>
        <v>201.51463102428411</v>
      </c>
      <c r="U123" s="87">
        <f>IF(U32=0,0,1000000*U32/TrRoad_act!U66)</f>
        <v>207.99701599738106</v>
      </c>
      <c r="V123" s="87">
        <f>IF(V32=0,0,1000000*V32/TrRoad_act!V66)</f>
        <v>202.03417720461775</v>
      </c>
      <c r="W123" s="87">
        <f>IF(W32=0,0,1000000*W32/TrRoad_act!W66)</f>
        <v>223.03307762948302</v>
      </c>
      <c r="X123" s="87">
        <f>IF(X32=0,0,1000000*X32/TrRoad_act!X66)</f>
        <v>228.24143151237325</v>
      </c>
      <c r="Y123" s="87">
        <f>IF(Y32=0,0,1000000*Y32/TrRoad_act!Y66)</f>
        <v>227.62443154355691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24606.670890482648</v>
      </c>
      <c r="C124" s="116">
        <f>IF(C33=0,0,1000000*C33/TrRoad_act!C67)</f>
        <v>23944.556195561097</v>
      </c>
      <c r="D124" s="116">
        <f>IF(D33=0,0,1000000*D33/TrRoad_act!D67)</f>
        <v>23297.062449415411</v>
      </c>
      <c r="E124" s="116">
        <f>IF(E33=0,0,1000000*E33/TrRoad_act!E67)</f>
        <v>23352.127568047781</v>
      </c>
      <c r="F124" s="116">
        <f>IF(F33=0,0,1000000*F33/TrRoad_act!F67)</f>
        <v>22853.438480500041</v>
      </c>
      <c r="G124" s="116">
        <f>IF(G33=0,0,1000000*G33/TrRoad_act!G67)</f>
        <v>22719.737525158827</v>
      </c>
      <c r="H124" s="116">
        <f>IF(H33=0,0,1000000*H33/TrRoad_act!H67)</f>
        <v>22642.565273761014</v>
      </c>
      <c r="I124" s="116">
        <f>IF(I33=0,0,1000000*I33/TrRoad_act!I67)</f>
        <v>22496.972482487661</v>
      </c>
      <c r="J124" s="116">
        <f>IF(J33=0,0,1000000*J33/TrRoad_act!J67)</f>
        <v>22874.94135664474</v>
      </c>
      <c r="K124" s="116">
        <f>IF(K33=0,0,1000000*K33/TrRoad_act!K67)</f>
        <v>23184.776086071128</v>
      </c>
      <c r="L124" s="116">
        <f>IF(L33=0,0,1000000*L33/TrRoad_act!L67)</f>
        <v>23676.641017388811</v>
      </c>
      <c r="M124" s="116">
        <f>IF(M33=0,0,1000000*M33/TrRoad_act!M67)</f>
        <v>23916.859789895279</v>
      </c>
      <c r="N124" s="116">
        <f>IF(N33=0,0,1000000*N33/TrRoad_act!N67)</f>
        <v>23369.455569195386</v>
      </c>
      <c r="O124" s="116">
        <f>IF(O33=0,0,1000000*O33/TrRoad_act!O67)</f>
        <v>22802.878322125904</v>
      </c>
      <c r="P124" s="116">
        <f>IF(P33=0,0,1000000*P33/TrRoad_act!P67)</f>
        <v>23424.380769896106</v>
      </c>
      <c r="Q124" s="116">
        <f>IF(Q33=0,0,1000000*Q33/TrRoad_act!Q67)</f>
        <v>24068.41689207645</v>
      </c>
      <c r="R124" s="116">
        <f>IF(R33=0,0,1000000*R33/TrRoad_act!R67)</f>
        <v>24935.59356984523</v>
      </c>
      <c r="S124" s="116">
        <f>IF(S33=0,0,1000000*S33/TrRoad_act!S67)</f>
        <v>25854.291333105932</v>
      </c>
      <c r="T124" s="116">
        <f>IF(T33=0,0,1000000*T33/TrRoad_act!T67)</f>
        <v>26370.727679636675</v>
      </c>
      <c r="U124" s="116">
        <f>IF(U33=0,0,1000000*U33/TrRoad_act!U67)</f>
        <v>25952.483673742925</v>
      </c>
      <c r="V124" s="116">
        <f>IF(V33=0,0,1000000*V33/TrRoad_act!V67)</f>
        <v>27207.519533640501</v>
      </c>
      <c r="W124" s="116">
        <f>IF(W33=0,0,1000000*W33/TrRoad_act!W67)</f>
        <v>27834.38235694835</v>
      </c>
      <c r="X124" s="116">
        <f>IF(X33=0,0,1000000*X33/TrRoad_act!X67)</f>
        <v>28957.739642321441</v>
      </c>
      <c r="Y124" s="116">
        <f>IF(Y33=0,0,1000000*Y33/TrRoad_act!Y67)</f>
        <v>29842.592913045875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9166.5841893563647</v>
      </c>
      <c r="C125" s="101">
        <f>IF(C34=0,0,1000000*C34/TrRoad_act!C68)</f>
        <v>9300.9986089735903</v>
      </c>
      <c r="D125" s="101">
        <f>IF(D34=0,0,1000000*D34/TrRoad_act!D68)</f>
        <v>9321.7247246752686</v>
      </c>
      <c r="E125" s="101">
        <f>IF(E34=0,0,1000000*E34/TrRoad_act!E68)</f>
        <v>9321.3067098585616</v>
      </c>
      <c r="F125" s="101">
        <f>IF(F34=0,0,1000000*F34/TrRoad_act!F68)</f>
        <v>9317.8461256657702</v>
      </c>
      <c r="G125" s="101">
        <f>IF(G34=0,0,1000000*G34/TrRoad_act!G68)</f>
        <v>9482.6206587479664</v>
      </c>
      <c r="H125" s="101">
        <f>IF(H34=0,0,1000000*H34/TrRoad_act!H68)</f>
        <v>9529.6091209573497</v>
      </c>
      <c r="I125" s="101">
        <f>IF(I34=0,0,1000000*I34/TrRoad_act!I68)</f>
        <v>9455.9072997105723</v>
      </c>
      <c r="J125" s="101">
        <f>IF(J34=0,0,1000000*J34/TrRoad_act!J68)</f>
        <v>9560.7395968820729</v>
      </c>
      <c r="K125" s="101">
        <f>IF(K34=0,0,1000000*K34/TrRoad_act!K68)</f>
        <v>9229.6282801144807</v>
      </c>
      <c r="L125" s="101">
        <f>IF(L34=0,0,1000000*L34/TrRoad_act!L68)</f>
        <v>9007.9349889349578</v>
      </c>
      <c r="M125" s="101">
        <f>IF(M34=0,0,1000000*M34/TrRoad_act!M68)</f>
        <v>8824.9758030816156</v>
      </c>
      <c r="N125" s="101">
        <f>IF(N34=0,0,1000000*N34/TrRoad_act!N68)</f>
        <v>8652.9265065258078</v>
      </c>
      <c r="O125" s="101">
        <f>IF(O34=0,0,1000000*O34/TrRoad_act!O68)</f>
        <v>8546.6005321866742</v>
      </c>
      <c r="P125" s="101">
        <f>IF(P34=0,0,1000000*P34/TrRoad_act!P68)</f>
        <v>8514.2795108243008</v>
      </c>
      <c r="Q125" s="101">
        <f>IF(Q34=0,0,1000000*Q34/TrRoad_act!Q68)</f>
        <v>8392.9628074242555</v>
      </c>
      <c r="R125" s="101">
        <f>IF(R34=0,0,1000000*R34/TrRoad_act!R68)</f>
        <v>8469.8257481878281</v>
      </c>
      <c r="S125" s="101">
        <f>IF(S34=0,0,1000000*S34/TrRoad_act!S68)</f>
        <v>8547.500849711676</v>
      </c>
      <c r="T125" s="101">
        <f>IF(T34=0,0,1000000*T34/TrRoad_act!T68)</f>
        <v>8441.8497084515147</v>
      </c>
      <c r="U125" s="101">
        <f>IF(U34=0,0,1000000*U34/TrRoad_act!U68)</f>
        <v>8132.0084684722715</v>
      </c>
      <c r="V125" s="101">
        <f>IF(V34=0,0,1000000*V34/TrRoad_act!V68)</f>
        <v>8406.910425529124</v>
      </c>
      <c r="W125" s="101">
        <f>IF(W34=0,0,1000000*W34/TrRoad_act!W68)</f>
        <v>8505.4571543758993</v>
      </c>
      <c r="X125" s="101">
        <f>IF(X34=0,0,1000000*X34/TrRoad_act!X68)</f>
        <v>8804.4092117682048</v>
      </c>
      <c r="Y125" s="101">
        <f>IF(Y34=0,0,1000000*Y34/TrRoad_act!Y68)</f>
        <v>9099.8267710710224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26588.599783615347</v>
      </c>
      <c r="C126" s="101">
        <f>IF(C36=0,0,1000000*C36/TrRoad_act!C69)</f>
        <v>25826.368812228113</v>
      </c>
      <c r="D126" s="101">
        <f>IF(D36=0,0,1000000*D36/TrRoad_act!D69)</f>
        <v>25073.120761278995</v>
      </c>
      <c r="E126" s="101">
        <f>IF(E36=0,0,1000000*E36/TrRoad_act!E69)</f>
        <v>24424.022862492431</v>
      </c>
      <c r="F126" s="101">
        <f>IF(F36=0,0,1000000*F36/TrRoad_act!F69)</f>
        <v>23688.906361147827</v>
      </c>
      <c r="G126" s="101">
        <f>IF(G36=0,0,1000000*G36/TrRoad_act!G69)</f>
        <v>23459.230417549228</v>
      </c>
      <c r="H126" s="101">
        <f>IF(H36=0,0,1000000*H36/TrRoad_act!H69)</f>
        <v>23352.118207201387</v>
      </c>
      <c r="I126" s="101">
        <f>IF(I36=0,0,1000000*I36/TrRoad_act!I69)</f>
        <v>23176.263709225852</v>
      </c>
      <c r="J126" s="101">
        <f>IF(J36=0,0,1000000*J36/TrRoad_act!J69)</f>
        <v>23551.639315640892</v>
      </c>
      <c r="K126" s="101">
        <f>IF(K36=0,0,1000000*K36/TrRoad_act!K69)</f>
        <v>23869.870826888458</v>
      </c>
      <c r="L126" s="101">
        <f>IF(L36=0,0,1000000*L36/TrRoad_act!L69)</f>
        <v>24373.03091988857</v>
      </c>
      <c r="M126" s="101">
        <f>IF(M36=0,0,1000000*M36/TrRoad_act!M69)</f>
        <v>24637.885125788653</v>
      </c>
      <c r="N126" s="101">
        <f>IF(N36=0,0,1000000*N36/TrRoad_act!N69)</f>
        <v>24081.084355402374</v>
      </c>
      <c r="O126" s="101">
        <f>IF(O36=0,0,1000000*O36/TrRoad_act!O69)</f>
        <v>23551.42336471313</v>
      </c>
      <c r="P126" s="101">
        <f>IF(P36=0,0,1000000*P36/TrRoad_act!P69)</f>
        <v>24116.76430608183</v>
      </c>
      <c r="Q126" s="101">
        <f>IF(Q36=0,0,1000000*Q36/TrRoad_act!Q69)</f>
        <v>24672.093268448163</v>
      </c>
      <c r="R126" s="101">
        <f>IF(R36=0,0,1000000*R36/TrRoad_act!R69)</f>
        <v>25490.670586600296</v>
      </c>
      <c r="S126" s="101">
        <f>IF(S36=0,0,1000000*S36/TrRoad_act!S69)</f>
        <v>26285.030241634395</v>
      </c>
      <c r="T126" s="101">
        <f>IF(T36=0,0,1000000*T36/TrRoad_act!T69)</f>
        <v>26703.231057097943</v>
      </c>
      <c r="U126" s="101">
        <f>IF(U36=0,0,1000000*U36/TrRoad_act!U69)</f>
        <v>26247.935336643113</v>
      </c>
      <c r="V126" s="101">
        <f>IF(V36=0,0,1000000*V36/TrRoad_act!V69)</f>
        <v>27592.672789018518</v>
      </c>
      <c r="W126" s="101">
        <f>IF(W36=0,0,1000000*W36/TrRoad_act!W69)</f>
        <v>28422.393025222103</v>
      </c>
      <c r="X126" s="101">
        <f>IF(X36=0,0,1000000*X36/TrRoad_act!X69)</f>
        <v>30050.481715913691</v>
      </c>
      <c r="Y126" s="101">
        <f>IF(Y36=0,0,1000000*Y36/TrRoad_act!Y69)</f>
        <v>32243.156412057837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X127" s="101">
        <f>IF(X38=0,0,1000000*X38/TrRoad_act!X70)</f>
        <v>0</v>
      </c>
      <c r="Y127" s="101">
        <f>IF(Y38=0,0,1000000*Y38/TrRoad_act!Y70)</f>
        <v>0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40813.277174479153</v>
      </c>
      <c r="R128" s="101">
        <f>IF(R39=0,0,1000000*R39/TrRoad_act!R71)</f>
        <v>36071.820654549505</v>
      </c>
      <c r="S128" s="101">
        <f>IF(S39=0,0,1000000*S39/TrRoad_act!S71)</f>
        <v>39483.471157779495</v>
      </c>
      <c r="T128" s="101">
        <f>IF(T39=0,0,1000000*T39/TrRoad_act!T71)</f>
        <v>45995.020681282585</v>
      </c>
      <c r="U128" s="101">
        <f>IF(U39=0,0,1000000*U39/TrRoad_act!U71)</f>
        <v>51084.138965091661</v>
      </c>
      <c r="V128" s="101">
        <f>IF(V39=0,0,1000000*V39/TrRoad_act!V71)</f>
        <v>45366.333757185785</v>
      </c>
      <c r="W128" s="101">
        <f>IF(W39=0,0,1000000*W39/TrRoad_act!W71)</f>
        <v>52150.821261766898</v>
      </c>
      <c r="X128" s="101">
        <f>IF(X39=0,0,1000000*X39/TrRoad_act!X71)</f>
        <v>63438.938190604546</v>
      </c>
      <c r="Y128" s="101">
        <f>IF(Y39=0,0,1000000*Y39/TrRoad_act!Y71)</f>
        <v>59257.56755685775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0</v>
      </c>
      <c r="Q129" s="101">
        <f>IF(Q41=0,0,1000000*Q41/TrRoad_act!Q72)</f>
        <v>0</v>
      </c>
      <c r="R129" s="101">
        <f>IF(R41=0,0,1000000*R41/TrRoad_act!R72)</f>
        <v>15203.108031316704</v>
      </c>
      <c r="S129" s="101">
        <f>IF(S41=0,0,1000000*S41/TrRoad_act!S72)</f>
        <v>15224.84004203386</v>
      </c>
      <c r="T129" s="101">
        <f>IF(T41=0,0,1000000*T41/TrRoad_act!T72)</f>
        <v>15252.428187517824</v>
      </c>
      <c r="U129" s="101">
        <f>IF(U41=0,0,1000000*U41/TrRoad_act!U72)</f>
        <v>15343.416553380968</v>
      </c>
      <c r="V129" s="101">
        <f>IF(V41=0,0,1000000*V41/TrRoad_act!V72)</f>
        <v>14757.580739974355</v>
      </c>
      <c r="W129" s="101">
        <f>IF(W41=0,0,1000000*W41/TrRoad_act!W72)</f>
        <v>15037.538538087527</v>
      </c>
      <c r="X129" s="101">
        <f>IF(X41=0,0,1000000*X41/TrRoad_act!X72)</f>
        <v>14808.444727239525</v>
      </c>
      <c r="Y129" s="101">
        <f>IF(Y41=0,0,1000000*Y41/TrRoad_act!Y72)</f>
        <v>14555.862899293361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1637.0673561400085</v>
      </c>
      <c r="C131" s="152">
        <f>IF(C43=0,0,1000000*C43/TrRoad_act!C74)</f>
        <v>1670.7956421779886</v>
      </c>
      <c r="D131" s="152">
        <f>IF(D43=0,0,1000000*D43/TrRoad_act!D74)</f>
        <v>1633.2030141562736</v>
      </c>
      <c r="E131" s="152">
        <f>IF(E43=0,0,1000000*E43/TrRoad_act!E74)</f>
        <v>1650.6120533199648</v>
      </c>
      <c r="F131" s="152">
        <f>IF(F43=0,0,1000000*F43/TrRoad_act!F74)</f>
        <v>1679.1430258901626</v>
      </c>
      <c r="G131" s="152">
        <f>IF(G43=0,0,1000000*G43/TrRoad_act!G74)</f>
        <v>1646.4194642098121</v>
      </c>
      <c r="H131" s="152">
        <f>IF(H43=0,0,1000000*H43/TrRoad_act!H74)</f>
        <v>1637.6560146904626</v>
      </c>
      <c r="I131" s="152">
        <f>IF(I43=0,0,1000000*I43/TrRoad_act!I74)</f>
        <v>1698.7632431142065</v>
      </c>
      <c r="J131" s="152">
        <f>IF(J43=0,0,1000000*J43/TrRoad_act!J74)</f>
        <v>1693.1623392960962</v>
      </c>
      <c r="K131" s="152">
        <f>IF(K43=0,0,1000000*K43/TrRoad_act!K74)</f>
        <v>1633.1722064720557</v>
      </c>
      <c r="L131" s="152">
        <f>IF(L43=0,0,1000000*L43/TrRoad_act!L74)</f>
        <v>1650.2073930449317</v>
      </c>
      <c r="M131" s="152">
        <f>IF(M43=0,0,1000000*M43/TrRoad_act!M74)</f>
        <v>1549.8530179948862</v>
      </c>
      <c r="N131" s="152">
        <f>IF(N43=0,0,1000000*N43/TrRoad_act!N74)</f>
        <v>1462.0071005832021</v>
      </c>
      <c r="O131" s="152">
        <f>IF(O43=0,0,1000000*O43/TrRoad_act!O74)</f>
        <v>1431.2269532958505</v>
      </c>
      <c r="P131" s="152">
        <f>IF(P43=0,0,1000000*P43/TrRoad_act!P74)</f>
        <v>1381.551104439628</v>
      </c>
      <c r="Q131" s="152">
        <f>IF(Q43=0,0,1000000*Q43/TrRoad_act!Q74)</f>
        <v>1375.7949566245165</v>
      </c>
      <c r="R131" s="152">
        <f>IF(R43=0,0,1000000*R43/TrRoad_act!R74)</f>
        <v>1364.4281787441828</v>
      </c>
      <c r="S131" s="152">
        <f>IF(S43=0,0,1000000*S43/TrRoad_act!S74)</f>
        <v>1387.9013954899895</v>
      </c>
      <c r="T131" s="152">
        <f>IF(T43=0,0,1000000*T43/TrRoad_act!T74)</f>
        <v>1416.3736140457697</v>
      </c>
      <c r="U131" s="152">
        <f>IF(U43=0,0,1000000*U43/TrRoad_act!U74)</f>
        <v>1373.4329670434106</v>
      </c>
      <c r="V131" s="152">
        <f>IF(V43=0,0,1000000*V43/TrRoad_act!V74)</f>
        <v>1292.4002506258062</v>
      </c>
      <c r="W131" s="152">
        <f>IF(W43=0,0,1000000*W43/TrRoad_act!W74)</f>
        <v>1338.3419877539354</v>
      </c>
      <c r="X131" s="152">
        <f>IF(X43=0,0,1000000*X43/TrRoad_act!X74)</f>
        <v>1448.062805211008</v>
      </c>
      <c r="Y131" s="152">
        <f>IF(Y43=0,0,1000000*Y43/TrRoad_act!Y74)</f>
        <v>1484.6410998331519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1741.4464919793932</v>
      </c>
      <c r="C132" s="87">
        <f>IF(C44=0,0,1000000*C44/TrRoad_act!C75)</f>
        <v>1909.8221198123745</v>
      </c>
      <c r="D132" s="87">
        <f>IF(D44=0,0,1000000*D44/TrRoad_act!D75)</f>
        <v>1859.0438843948755</v>
      </c>
      <c r="E132" s="87">
        <f>IF(E44=0,0,1000000*E44/TrRoad_act!E75)</f>
        <v>1742.4281439775386</v>
      </c>
      <c r="F132" s="87">
        <f>IF(F44=0,0,1000000*F44/TrRoad_act!F75)</f>
        <v>1720.502463280181</v>
      </c>
      <c r="G132" s="87">
        <f>IF(G44=0,0,1000000*G44/TrRoad_act!G75)</f>
        <v>1664.2453415939585</v>
      </c>
      <c r="H132" s="87">
        <f>IF(H44=0,0,1000000*H44/TrRoad_act!H75)</f>
        <v>1580.269796134791</v>
      </c>
      <c r="I132" s="87">
        <f>IF(I44=0,0,1000000*I44/TrRoad_act!I75)</f>
        <v>1661.8019315872123</v>
      </c>
      <c r="J132" s="87">
        <f>IF(J44=0,0,1000000*J44/TrRoad_act!J75)</f>
        <v>1569.1172326043725</v>
      </c>
      <c r="K132" s="87">
        <f>IF(K44=0,0,1000000*K44/TrRoad_act!K75)</f>
        <v>1493.6464864216478</v>
      </c>
      <c r="L132" s="87">
        <f>IF(L44=0,0,1000000*L44/TrRoad_act!L75)</f>
        <v>1463.0857264382971</v>
      </c>
      <c r="M132" s="87">
        <f>IF(M44=0,0,1000000*M44/TrRoad_act!M75)</f>
        <v>1315.1697684266505</v>
      </c>
      <c r="N132" s="87">
        <f>IF(N44=0,0,1000000*N44/TrRoad_act!N75)</f>
        <v>1202.1570053291427</v>
      </c>
      <c r="O132" s="87">
        <f>IF(O44=0,0,1000000*O44/TrRoad_act!O75)</f>
        <v>1204.8742030786855</v>
      </c>
      <c r="P132" s="87">
        <f>IF(P44=0,0,1000000*P44/TrRoad_act!P75)</f>
        <v>1232.181162513494</v>
      </c>
      <c r="Q132" s="87">
        <f>IF(Q44=0,0,1000000*Q44/TrRoad_act!Q75)</f>
        <v>1285.4752876252032</v>
      </c>
      <c r="R132" s="87">
        <f>IF(R44=0,0,1000000*R44/TrRoad_act!R75)</f>
        <v>1269.4115566997777</v>
      </c>
      <c r="S132" s="87">
        <f>IF(S44=0,0,1000000*S44/TrRoad_act!S75)</f>
        <v>1275.8455361593328</v>
      </c>
      <c r="T132" s="87">
        <f>IF(T44=0,0,1000000*T44/TrRoad_act!T75)</f>
        <v>1236.0573149437128</v>
      </c>
      <c r="U132" s="87">
        <f>IF(U44=0,0,1000000*U44/TrRoad_act!U75)</f>
        <v>1215.2095740933953</v>
      </c>
      <c r="V132" s="87">
        <f>IF(V44=0,0,1000000*V44/TrRoad_act!V75)</f>
        <v>1116.265230321545</v>
      </c>
      <c r="W132" s="87">
        <f>IF(W44=0,0,1000000*W44/TrRoad_act!W75)</f>
        <v>1170.6279804303954</v>
      </c>
      <c r="X132" s="87">
        <f>IF(X44=0,0,1000000*X44/TrRoad_act!X75)</f>
        <v>1164.0175615461915</v>
      </c>
      <c r="Y132" s="87">
        <f>IF(Y44=0,0,1000000*Y44/TrRoad_act!Y75)</f>
        <v>1143.7837796059703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1609.4470060156914</v>
      </c>
      <c r="C133" s="87">
        <f>IF(C46=0,0,1000000*C46/TrRoad_act!C76)</f>
        <v>1609.3516442208611</v>
      </c>
      <c r="D133" s="87">
        <f>IF(D46=0,0,1000000*D46/TrRoad_act!D76)</f>
        <v>1576.9440065948436</v>
      </c>
      <c r="E133" s="87">
        <f>IF(E46=0,0,1000000*E46/TrRoad_act!E76)</f>
        <v>1628.5672470620541</v>
      </c>
      <c r="F133" s="87">
        <f>IF(F46=0,0,1000000*F46/TrRoad_act!F76)</f>
        <v>1669.8746129008375</v>
      </c>
      <c r="G133" s="87">
        <f>IF(G46=0,0,1000000*G46/TrRoad_act!G76)</f>
        <v>1642.7847532596766</v>
      </c>
      <c r="H133" s="87">
        <f>IF(H46=0,0,1000000*H46/TrRoad_act!H76)</f>
        <v>1648.661619678059</v>
      </c>
      <c r="I133" s="87">
        <f>IF(I46=0,0,1000000*I46/TrRoad_act!I76)</f>
        <v>1704.8023933284871</v>
      </c>
      <c r="J133" s="87">
        <f>IF(J46=0,0,1000000*J46/TrRoad_act!J76)</f>
        <v>1711.8329797874057</v>
      </c>
      <c r="K133" s="87">
        <f>IF(K46=0,0,1000000*K46/TrRoad_act!K76)</f>
        <v>1653.2900441436407</v>
      </c>
      <c r="L133" s="87">
        <f>IF(L46=0,0,1000000*L46/TrRoad_act!L76)</f>
        <v>1675.3826916271432</v>
      </c>
      <c r="M133" s="87">
        <f>IF(M46=0,0,1000000*M46/TrRoad_act!M76)</f>
        <v>1580.4456207205983</v>
      </c>
      <c r="N133" s="87">
        <f>IF(N46=0,0,1000000*N46/TrRoad_act!N76)</f>
        <v>1493.3259106764478</v>
      </c>
      <c r="O133" s="87">
        <f>IF(O46=0,0,1000000*O46/TrRoad_act!O76)</f>
        <v>1456.6528604452453</v>
      </c>
      <c r="P133" s="87">
        <f>IF(P46=0,0,1000000*P46/TrRoad_act!P76)</f>
        <v>1396.5671362364142</v>
      </c>
      <c r="Q133" s="87">
        <f>IF(Q46=0,0,1000000*Q46/TrRoad_act!Q76)</f>
        <v>1385.5732421463822</v>
      </c>
      <c r="R133" s="87">
        <f>IF(R46=0,0,1000000*R46/TrRoad_act!R76)</f>
        <v>1374.2360712979519</v>
      </c>
      <c r="S133" s="87">
        <f>IF(S46=0,0,1000000*S46/TrRoad_act!S76)</f>
        <v>1398.9948022714343</v>
      </c>
      <c r="T133" s="87">
        <f>IF(T46=0,0,1000000*T46/TrRoad_act!T76)</f>
        <v>1431.9692889173702</v>
      </c>
      <c r="U133" s="87">
        <f>IF(U46=0,0,1000000*U46/TrRoad_act!U76)</f>
        <v>1387.3773739910077</v>
      </c>
      <c r="V133" s="87">
        <f>IF(V46=0,0,1000000*V46/TrRoad_act!V76)</f>
        <v>1308.2851716326079</v>
      </c>
      <c r="W133" s="87">
        <f>IF(W46=0,0,1000000*W46/TrRoad_act!W76)</f>
        <v>1358.2577500980731</v>
      </c>
      <c r="X133" s="87">
        <f>IF(X46=0,0,1000000*X46/TrRoad_act!X76)</f>
        <v>1482.8631878044553</v>
      </c>
      <c r="Y133" s="87">
        <f>IF(Y46=0,0,1000000*Y46/TrRoad_act!Y76)</f>
        <v>1531.5748356214924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1801.1702843393477</v>
      </c>
      <c r="C134" s="87">
        <f>IF(C48=0,0,1000000*C48/TrRoad_act!C77)</f>
        <v>1705.0495488624597</v>
      </c>
      <c r="D134" s="87">
        <f>IF(D48=0,0,1000000*D48/TrRoad_act!D77)</f>
        <v>1564.3824134481563</v>
      </c>
      <c r="E134" s="87">
        <f>IF(E48=0,0,1000000*E48/TrRoad_act!E77)</f>
        <v>1587.1824432359372</v>
      </c>
      <c r="F134" s="87">
        <f>IF(F48=0,0,1000000*F48/TrRoad_act!F77)</f>
        <v>1668.5242113656077</v>
      </c>
      <c r="G134" s="87">
        <f>IF(G48=0,0,1000000*G48/TrRoad_act!G77)</f>
        <v>1556.0642161131814</v>
      </c>
      <c r="H134" s="87">
        <f>IF(H48=0,0,1000000*H48/TrRoad_act!H77)</f>
        <v>1452.8165417599412</v>
      </c>
      <c r="I134" s="87">
        <f>IF(I48=0,0,1000000*I48/TrRoad_act!I77)</f>
        <v>1396.7231143693812</v>
      </c>
      <c r="J134" s="87">
        <f>IF(J48=0,0,1000000*J48/TrRoad_act!J77)</f>
        <v>1367.7124791435469</v>
      </c>
      <c r="K134" s="87">
        <f>IF(K48=0,0,1000000*K48/TrRoad_act!K77)</f>
        <v>1268.2706179574373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X134" s="87">
        <f>IF(X48=0,0,1000000*X48/TrRoad_act!X77)</f>
        <v>0</v>
      </c>
      <c r="Y134" s="87">
        <f>IF(Y48=0,0,1000000*Y48/TrRoad_act!Y77)</f>
        <v>0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995.00935541826982</v>
      </c>
      <c r="R135" s="87">
        <f>IF(R49=0,0,1000000*R49/TrRoad_act!R78)</f>
        <v>995.73385683301422</v>
      </c>
      <c r="S135" s="87">
        <f>IF(S49=0,0,1000000*S49/TrRoad_act!S78)</f>
        <v>959.0380033602496</v>
      </c>
      <c r="T135" s="87">
        <f>IF(T49=0,0,1000000*T49/TrRoad_act!T78)</f>
        <v>951.31899919737032</v>
      </c>
      <c r="U135" s="87">
        <f>IF(U49=0,0,1000000*U49/TrRoad_act!U78)</f>
        <v>941.37533576862313</v>
      </c>
      <c r="V135" s="87">
        <f>IF(V49=0,0,1000000*V49/TrRoad_act!V78)</f>
        <v>896.94265774444375</v>
      </c>
      <c r="W135" s="87">
        <f>IF(W49=0,0,1000000*W49/TrRoad_act!W78)</f>
        <v>936.31908739506389</v>
      </c>
      <c r="X135" s="87">
        <f>IF(X49=0,0,1000000*X49/TrRoad_act!X78)</f>
        <v>976.44997770946225</v>
      </c>
      <c r="Y135" s="87">
        <f>IF(Y49=0,0,1000000*Y49/TrRoad_act!Y78)</f>
        <v>984.18831013198758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205.19904486778938</v>
      </c>
      <c r="O136" s="87">
        <f>IF(O51=0,0,1000000*O51/TrRoad_act!O79)</f>
        <v>209.65285408370835</v>
      </c>
      <c r="P136" s="87">
        <f>IF(P51=0,0,1000000*P51/TrRoad_act!P79)</f>
        <v>229.08266769085071</v>
      </c>
      <c r="Q136" s="87">
        <f>IF(Q51=0,0,1000000*Q51/TrRoad_act!Q79)</f>
        <v>231.33050354078196</v>
      </c>
      <c r="R136" s="87">
        <f>IF(R51=0,0,1000000*R51/TrRoad_act!R79)</f>
        <v>231.95511665240744</v>
      </c>
      <c r="S136" s="87">
        <f>IF(S51=0,0,1000000*S51/TrRoad_act!S79)</f>
        <v>232.57494945603844</v>
      </c>
      <c r="T136" s="87">
        <f>IF(T51=0,0,1000000*T51/TrRoad_act!T79)</f>
        <v>245.23891349777861</v>
      </c>
      <c r="U136" s="87">
        <f>IF(U51=0,0,1000000*U51/TrRoad_act!U79)</f>
        <v>255.29455505446768</v>
      </c>
      <c r="V136" s="87">
        <f>IF(V51=0,0,1000000*V51/TrRoad_act!V79)</f>
        <v>293.78593080954164</v>
      </c>
      <c r="W136" s="87">
        <f>IF(W51=0,0,1000000*W51/TrRoad_act!W79)</f>
        <v>350.25477861997223</v>
      </c>
      <c r="X136" s="87">
        <f>IF(X51=0,0,1000000*X51/TrRoad_act!X79)</f>
        <v>358.44509542519705</v>
      </c>
      <c r="Y136" s="87">
        <f>IF(Y51=0,0,1000000*Y51/TrRoad_act!Y79)</f>
        <v>351.4109268841716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18580.647963332474</v>
      </c>
      <c r="C137" s="116">
        <f>IF(C52=0,0,1000000*C52/TrRoad_act!C80)</f>
        <v>18709.455058631596</v>
      </c>
      <c r="D137" s="116">
        <f>IF(D52=0,0,1000000*D52/TrRoad_act!D80)</f>
        <v>18361.441957904506</v>
      </c>
      <c r="E137" s="116">
        <f>IF(E52=0,0,1000000*E52/TrRoad_act!E80)</f>
        <v>20139.729455739376</v>
      </c>
      <c r="F137" s="116">
        <f>IF(F52=0,0,1000000*F52/TrRoad_act!F80)</f>
        <v>20645.136346054707</v>
      </c>
      <c r="G137" s="116">
        <f>IF(G52=0,0,1000000*G52/TrRoad_act!G80)</f>
        <v>18192.008042355064</v>
      </c>
      <c r="H137" s="116">
        <f>IF(H52=0,0,1000000*H52/TrRoad_act!H80)</f>
        <v>17930.52782936288</v>
      </c>
      <c r="I137" s="116">
        <f>IF(I52=0,0,1000000*I52/TrRoad_act!I80)</f>
        <v>16525.259735650758</v>
      </c>
      <c r="J137" s="116">
        <f>IF(J52=0,0,1000000*J52/TrRoad_act!J80)</f>
        <v>15181.209965278043</v>
      </c>
      <c r="K137" s="116">
        <f>IF(K52=0,0,1000000*K52/TrRoad_act!K80)</f>
        <v>14052.168938061925</v>
      </c>
      <c r="L137" s="116">
        <f>IF(L52=0,0,1000000*L52/TrRoad_act!L80)</f>
        <v>14422.810791232985</v>
      </c>
      <c r="M137" s="116">
        <f>IF(M52=0,0,1000000*M52/TrRoad_act!M80)</f>
        <v>14685.620016119958</v>
      </c>
      <c r="N137" s="116">
        <f>IF(N52=0,0,1000000*N52/TrRoad_act!N80)</f>
        <v>13563.114722003967</v>
      </c>
      <c r="O137" s="116">
        <f>IF(O52=0,0,1000000*O52/TrRoad_act!O80)</f>
        <v>13351.610271163199</v>
      </c>
      <c r="P137" s="116">
        <f>IF(P52=0,0,1000000*P52/TrRoad_act!P80)</f>
        <v>14451.592527114055</v>
      </c>
      <c r="Q137" s="116">
        <f>IF(Q52=0,0,1000000*Q52/TrRoad_act!Q80)</f>
        <v>15315.033386425999</v>
      </c>
      <c r="R137" s="116">
        <f>IF(R52=0,0,1000000*R52/TrRoad_act!R80)</f>
        <v>16804.034558991541</v>
      </c>
      <c r="S137" s="116">
        <f>IF(S52=0,0,1000000*S52/TrRoad_act!S80)</f>
        <v>16808.297575501045</v>
      </c>
      <c r="T137" s="116">
        <f>IF(T52=0,0,1000000*T52/TrRoad_act!T80)</f>
        <v>17531.431648811857</v>
      </c>
      <c r="U137" s="116">
        <f>IF(U52=0,0,1000000*U52/TrRoad_act!U80)</f>
        <v>16872.246398926294</v>
      </c>
      <c r="V137" s="116">
        <f>IF(V52=0,0,1000000*V52/TrRoad_act!V80)</f>
        <v>16194.89253490259</v>
      </c>
      <c r="W137" s="116">
        <f>IF(W52=0,0,1000000*W52/TrRoad_act!W80)</f>
        <v>16104.816255608603</v>
      </c>
      <c r="X137" s="116">
        <f>IF(X52=0,0,1000000*X52/TrRoad_act!X80)</f>
        <v>15706.738685914208</v>
      </c>
      <c r="Y137" s="116">
        <f>IF(Y52=0,0,1000000*Y52/TrRoad_act!Y80)</f>
        <v>15834.064874527359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13942.011428269334</v>
      </c>
      <c r="C138" s="101">
        <f>IF(C53=0,0,1000000*C53/TrRoad_act!C81)</f>
        <v>13770.928131534412</v>
      </c>
      <c r="D138" s="101">
        <f>IF(D53=0,0,1000000*D53/TrRoad_act!D81)</f>
        <v>13197.07324178652</v>
      </c>
      <c r="E138" s="101">
        <f>IF(E53=0,0,1000000*E53/TrRoad_act!E81)</f>
        <v>14057.471980440829</v>
      </c>
      <c r="F138" s="101">
        <f>IF(F53=0,0,1000000*F53/TrRoad_act!F81)</f>
        <v>13183.519096659566</v>
      </c>
      <c r="G138" s="101">
        <f>IF(G53=0,0,1000000*G53/TrRoad_act!G81)</f>
        <v>11389.232925511929</v>
      </c>
      <c r="H138" s="101">
        <f>IF(H53=0,0,1000000*H53/TrRoad_act!H81)</f>
        <v>11391.940783818925</v>
      </c>
      <c r="I138" s="101">
        <f>IF(I53=0,0,1000000*I53/TrRoad_act!I81)</f>
        <v>10424.300684701018</v>
      </c>
      <c r="J138" s="101">
        <f>IF(J53=0,0,1000000*J53/TrRoad_act!J81)</f>
        <v>9939.3090935575347</v>
      </c>
      <c r="K138" s="101">
        <f>IF(K53=0,0,1000000*K53/TrRoad_act!K81)</f>
        <v>9229.4245715729212</v>
      </c>
      <c r="L138" s="101">
        <f>IF(L53=0,0,1000000*L53/TrRoad_act!L81)</f>
        <v>9455.2695698502321</v>
      </c>
      <c r="M138" s="101">
        <f>IF(M53=0,0,1000000*M53/TrRoad_act!M81)</f>
        <v>10040.022444315899</v>
      </c>
      <c r="N138" s="101">
        <f>IF(N53=0,0,1000000*N53/TrRoad_act!N81)</f>
        <v>10115.18790306988</v>
      </c>
      <c r="O138" s="101">
        <f>IF(O53=0,0,1000000*O53/TrRoad_act!O81)</f>
        <v>10085.566283728644</v>
      </c>
      <c r="P138" s="101">
        <f>IF(P53=0,0,1000000*P53/TrRoad_act!P81)</f>
        <v>10487.387643182512</v>
      </c>
      <c r="Q138" s="101">
        <f>IF(Q53=0,0,1000000*Q53/TrRoad_act!Q81)</f>
        <v>11651.309890066676</v>
      </c>
      <c r="R138" s="101">
        <f>IF(R53=0,0,1000000*R53/TrRoad_act!R81)</f>
        <v>11621.053532066109</v>
      </c>
      <c r="S138" s="101">
        <f>IF(S53=0,0,1000000*S53/TrRoad_act!S81)</f>
        <v>10951.973439650532</v>
      </c>
      <c r="T138" s="101">
        <f>IF(T53=0,0,1000000*T53/TrRoad_act!T81)</f>
        <v>10714.1284265738</v>
      </c>
      <c r="U138" s="101">
        <f>IF(U53=0,0,1000000*U53/TrRoad_act!U81)</f>
        <v>10526.052307911588</v>
      </c>
      <c r="V138" s="101">
        <f>IF(V53=0,0,1000000*V53/TrRoad_act!V81)</f>
        <v>10434.332728013294</v>
      </c>
      <c r="W138" s="101">
        <f>IF(W53=0,0,1000000*W53/TrRoad_act!W81)</f>
        <v>10303.468550051308</v>
      </c>
      <c r="X138" s="101">
        <f>IF(X53=0,0,1000000*X53/TrRoad_act!X81)</f>
        <v>9962.1333819693773</v>
      </c>
      <c r="Y138" s="101">
        <f>IF(Y53=0,0,1000000*Y53/TrRoad_act!Y81)</f>
        <v>9699.2141749996335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67978.320443261895</v>
      </c>
      <c r="C139" s="88">
        <f>IF(C55=0,0,1000000*C55/TrRoad_act!C82)</f>
        <v>69855.205224336794</v>
      </c>
      <c r="D139" s="88">
        <f>IF(D55=0,0,1000000*D55/TrRoad_act!D82)</f>
        <v>70744.42949907422</v>
      </c>
      <c r="E139" s="88">
        <f>IF(E55=0,0,1000000*E55/TrRoad_act!E82)</f>
        <v>81373.560052250366</v>
      </c>
      <c r="F139" s="88">
        <f>IF(F55=0,0,1000000*F55/TrRoad_act!F82)</f>
        <v>86325.336343955612</v>
      </c>
      <c r="G139" s="88">
        <f>IF(G55=0,0,1000000*G55/TrRoad_act!G82)</f>
        <v>84104.313770422028</v>
      </c>
      <c r="H139" s="88">
        <f>IF(H55=0,0,1000000*H55/TrRoad_act!H82)</f>
        <v>79250.471113293184</v>
      </c>
      <c r="I139" s="88">
        <f>IF(I55=0,0,1000000*I55/TrRoad_act!I82)</f>
        <v>76614.873174635213</v>
      </c>
      <c r="J139" s="88">
        <f>IF(J55=0,0,1000000*J55/TrRoad_act!J82)</f>
        <v>55100.592144938935</v>
      </c>
      <c r="K139" s="88">
        <f>IF(K55=0,0,1000000*K55/TrRoad_act!K82)</f>
        <v>53901.081532350603</v>
      </c>
      <c r="L139" s="88">
        <f>IF(L55=0,0,1000000*L55/TrRoad_act!L82)</f>
        <v>58261.922993741267</v>
      </c>
      <c r="M139" s="88">
        <f>IF(M55=0,0,1000000*M55/TrRoad_act!M82)</f>
        <v>56230.610026113696</v>
      </c>
      <c r="N139" s="88">
        <f>IF(N55=0,0,1000000*N55/TrRoad_act!N82)</f>
        <v>44474.791202813896</v>
      </c>
      <c r="O139" s="88">
        <f>IF(O55=0,0,1000000*O55/TrRoad_act!O82)</f>
        <v>38788.589607677211</v>
      </c>
      <c r="P139" s="88">
        <f>IF(P55=0,0,1000000*P55/TrRoad_act!P82)</f>
        <v>47681.063551990788</v>
      </c>
      <c r="Q139" s="88">
        <f>IF(Q55=0,0,1000000*Q55/TrRoad_act!Q82)</f>
        <v>41222.272880082579</v>
      </c>
      <c r="R139" s="88">
        <f>IF(R55=0,0,1000000*R55/TrRoad_act!R82)</f>
        <v>49195.027811521773</v>
      </c>
      <c r="S139" s="88">
        <f>IF(S55=0,0,1000000*S55/TrRoad_act!S82)</f>
        <v>53010.21304396179</v>
      </c>
      <c r="T139" s="88">
        <f>IF(T55=0,0,1000000*T55/TrRoad_act!T82)</f>
        <v>63616.809517133799</v>
      </c>
      <c r="U139" s="88">
        <f>IF(U55=0,0,1000000*U55/TrRoad_act!U82)</f>
        <v>59504.239960862389</v>
      </c>
      <c r="V139" s="88">
        <f>IF(V55=0,0,1000000*V55/TrRoad_act!V82)</f>
        <v>51877.828614454389</v>
      </c>
      <c r="W139" s="88">
        <f>IF(W55=0,0,1000000*W55/TrRoad_act!W82)</f>
        <v>52826.623262669505</v>
      </c>
      <c r="X139" s="88">
        <f>IF(X55=0,0,1000000*X55/TrRoad_act!X82)</f>
        <v>51503.617016559707</v>
      </c>
      <c r="Y139" s="88">
        <f>IF(Y55=0,0,1000000*Y55/TrRoad_act!Y82)</f>
        <v>57015.881804335811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0.64990742944241775</v>
      </c>
      <c r="C142" s="46">
        <f t="shared" si="42"/>
        <v>0.63591832380273394</v>
      </c>
      <c r="D142" s="46">
        <f t="shared" si="42"/>
        <v>0.63658319074432335</v>
      </c>
      <c r="E142" s="46">
        <f t="shared" si="42"/>
        <v>0.62231824502582389</v>
      </c>
      <c r="F142" s="46">
        <f t="shared" si="42"/>
        <v>0.60646550074359984</v>
      </c>
      <c r="G142" s="46">
        <f t="shared" si="42"/>
        <v>0.60266923667725691</v>
      </c>
      <c r="H142" s="46">
        <f t="shared" si="42"/>
        <v>0.59273103461626686</v>
      </c>
      <c r="I142" s="46">
        <f t="shared" si="42"/>
        <v>0.59123022039529616</v>
      </c>
      <c r="J142" s="46">
        <f t="shared" si="42"/>
        <v>0.60170117530520295</v>
      </c>
      <c r="K142" s="46">
        <f t="shared" si="42"/>
        <v>0.62772524232870586</v>
      </c>
      <c r="L142" s="46">
        <f t="shared" ref="L142" si="43">IF(L18=0,0,L18/L$17)</f>
        <v>0.62911448906023826</v>
      </c>
      <c r="M142" s="46">
        <f t="shared" ref="M142:V142" si="44">IF(M18=0,0,M18/M$17)</f>
        <v>0.64590649427572389</v>
      </c>
      <c r="N142" s="46">
        <f t="shared" si="44"/>
        <v>0.65290311105076815</v>
      </c>
      <c r="O142" s="46">
        <f t="shared" si="44"/>
        <v>0.6594634669152859</v>
      </c>
      <c r="P142" s="46">
        <f t="shared" si="44"/>
        <v>0.65906950586714974</v>
      </c>
      <c r="Q142" s="46">
        <f t="shared" si="44"/>
        <v>0.68492309368420778</v>
      </c>
      <c r="R142" s="46">
        <f t="shared" si="44"/>
        <v>0.66750992132156206</v>
      </c>
      <c r="S142" s="46">
        <f t="shared" si="44"/>
        <v>0.66309307333766443</v>
      </c>
      <c r="T142" s="46">
        <f t="shared" si="44"/>
        <v>0.66190023184937086</v>
      </c>
      <c r="U142" s="46">
        <f t="shared" si="44"/>
        <v>0.66872980172245311</v>
      </c>
      <c r="V142" s="46">
        <f t="shared" si="44"/>
        <v>0.66028148133664966</v>
      </c>
      <c r="W142" s="46">
        <f t="shared" ref="W142:Y142" si="45">IF(W18=0,0,W18/W$17)</f>
        <v>0.65978002518113343</v>
      </c>
      <c r="X142" s="46">
        <f t="shared" si="45"/>
        <v>0.65341862594718492</v>
      </c>
      <c r="Y142" s="46">
        <f t="shared" si="45"/>
        <v>0.65228794128729095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6.4003177605415794E-3</v>
      </c>
      <c r="C143" s="154">
        <f t="shared" si="46"/>
        <v>5.9808419022755899E-3</v>
      </c>
      <c r="D143" s="154">
        <f t="shared" si="46"/>
        <v>6.1185498558941915E-3</v>
      </c>
      <c r="E143" s="154">
        <f t="shared" si="46"/>
        <v>5.8990490000539629E-3</v>
      </c>
      <c r="F143" s="154">
        <f t="shared" si="46"/>
        <v>5.6477988659412457E-3</v>
      </c>
      <c r="G143" s="154">
        <f t="shared" si="46"/>
        <v>5.6518109526444132E-3</v>
      </c>
      <c r="H143" s="154">
        <f t="shared" si="46"/>
        <v>5.6968080734217533E-3</v>
      </c>
      <c r="I143" s="154">
        <f t="shared" si="46"/>
        <v>5.7235849606162596E-3</v>
      </c>
      <c r="J143" s="154">
        <f t="shared" si="46"/>
        <v>5.8426547090301758E-3</v>
      </c>
      <c r="K143" s="154">
        <f t="shared" si="46"/>
        <v>5.917267702091911E-3</v>
      </c>
      <c r="L143" s="154">
        <f t="shared" ref="L143" si="47">IF(L19=0,0,L19/L$17)</f>
        <v>5.8846668164944339E-3</v>
      </c>
      <c r="M143" s="154">
        <f t="shared" ref="M143:V143" si="48">IF(M19=0,0,M19/M$17)</f>
        <v>5.7615495425605333E-3</v>
      </c>
      <c r="N143" s="154">
        <f t="shared" si="48"/>
        <v>6.1972676668610293E-3</v>
      </c>
      <c r="O143" s="154">
        <f t="shared" si="48"/>
        <v>6.3303667839957316E-3</v>
      </c>
      <c r="P143" s="154">
        <f t="shared" si="48"/>
        <v>6.3100426653173664E-3</v>
      </c>
      <c r="Q143" s="154">
        <f t="shared" si="48"/>
        <v>6.0930063801789931E-3</v>
      </c>
      <c r="R143" s="154">
        <f t="shared" si="48"/>
        <v>5.9439735584483431E-3</v>
      </c>
      <c r="S143" s="154">
        <f t="shared" si="48"/>
        <v>5.5990808963108643E-3</v>
      </c>
      <c r="T143" s="154">
        <f t="shared" si="48"/>
        <v>5.1683849780351293E-3</v>
      </c>
      <c r="U143" s="154">
        <f t="shared" si="48"/>
        <v>5.4584692288937968E-3</v>
      </c>
      <c r="V143" s="154">
        <f t="shared" si="48"/>
        <v>5.1900864710306052E-3</v>
      </c>
      <c r="W143" s="154">
        <f t="shared" ref="W143:Y143" si="49">IF(W19=0,0,W19/W$17)</f>
        <v>5.2191850005392261E-3</v>
      </c>
      <c r="X143" s="154">
        <f t="shared" si="49"/>
        <v>5.228652207716602E-3</v>
      </c>
      <c r="Y143" s="154">
        <f t="shared" si="49"/>
        <v>5.5471461942893513E-3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0.55039565929971856</v>
      </c>
      <c r="C144" s="156">
        <f t="shared" si="50"/>
        <v>0.54007790112906484</v>
      </c>
      <c r="D144" s="156">
        <f t="shared" si="50"/>
        <v>0.54369799587989276</v>
      </c>
      <c r="E144" s="156">
        <f t="shared" si="50"/>
        <v>0.5320449249155883</v>
      </c>
      <c r="F144" s="156">
        <f t="shared" si="50"/>
        <v>0.5204433253826789</v>
      </c>
      <c r="G144" s="156">
        <f t="shared" si="50"/>
        <v>0.5165849919276978</v>
      </c>
      <c r="H144" s="156">
        <f t="shared" si="50"/>
        <v>0.50824880463290623</v>
      </c>
      <c r="I144" s="156">
        <f t="shared" si="50"/>
        <v>0.51111273294874604</v>
      </c>
      <c r="J144" s="156">
        <f t="shared" si="50"/>
        <v>0.51855466261917738</v>
      </c>
      <c r="K144" s="156">
        <f t="shared" si="50"/>
        <v>0.53883434185982271</v>
      </c>
      <c r="L144" s="156">
        <f t="shared" ref="L144" si="51">IF(L21=0,0,L21/L$17)</f>
        <v>0.53818419869245837</v>
      </c>
      <c r="M144" s="156">
        <f t="shared" ref="M144:V144" si="52">IF(M21=0,0,M21/M$17)</f>
        <v>0.55696543028236034</v>
      </c>
      <c r="N144" s="156">
        <f t="shared" si="52"/>
        <v>0.56299892814702157</v>
      </c>
      <c r="O144" s="156">
        <f t="shared" si="52"/>
        <v>0.57128880139216909</v>
      </c>
      <c r="P144" s="156">
        <f t="shared" si="52"/>
        <v>0.56925631507946794</v>
      </c>
      <c r="Q144" s="156">
        <f t="shared" si="52"/>
        <v>0.59627017414713934</v>
      </c>
      <c r="R144" s="156">
        <f t="shared" si="52"/>
        <v>0.57751429613810001</v>
      </c>
      <c r="S144" s="156">
        <f t="shared" si="52"/>
        <v>0.56965864619583195</v>
      </c>
      <c r="T144" s="156">
        <f t="shared" si="52"/>
        <v>0.5710870933943607</v>
      </c>
      <c r="U144" s="156">
        <f t="shared" si="52"/>
        <v>0.57838733366075767</v>
      </c>
      <c r="V144" s="156">
        <f t="shared" si="52"/>
        <v>0.56473762251280535</v>
      </c>
      <c r="W144" s="156">
        <f t="shared" ref="W144:Y144" si="53">IF(W21=0,0,W21/W$17)</f>
        <v>0.56669126592600871</v>
      </c>
      <c r="X144" s="156">
        <f t="shared" si="53"/>
        <v>0.56049155924317207</v>
      </c>
      <c r="Y144" s="156">
        <f t="shared" si="53"/>
        <v>0.56120433683262738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0.50336976929101274</v>
      </c>
      <c r="C145" s="103">
        <f t="shared" si="54"/>
        <v>0.48953209229336248</v>
      </c>
      <c r="D145" s="103">
        <f t="shared" si="54"/>
        <v>0.48771447074482233</v>
      </c>
      <c r="E145" s="103">
        <f t="shared" si="54"/>
        <v>0.47304220533244334</v>
      </c>
      <c r="F145" s="103">
        <f t="shared" si="54"/>
        <v>0.45343092508822974</v>
      </c>
      <c r="G145" s="103">
        <f t="shared" si="54"/>
        <v>0.43605649097928451</v>
      </c>
      <c r="H145" s="103">
        <f t="shared" si="54"/>
        <v>0.41745367068129718</v>
      </c>
      <c r="I145" s="103">
        <f t="shared" si="54"/>
        <v>0.39623034556825465</v>
      </c>
      <c r="J145" s="103">
        <f t="shared" si="54"/>
        <v>0.38764333110908927</v>
      </c>
      <c r="K145" s="103">
        <f t="shared" si="54"/>
        <v>0.39036314983764064</v>
      </c>
      <c r="L145" s="103">
        <f t="shared" ref="L145" si="55">IF(L22=0,0,L22/L$17)</f>
        <v>0.3708576777231935</v>
      </c>
      <c r="M145" s="103">
        <f t="shared" ref="M145:V145" si="56">IF(M22=0,0,M22/M$17)</f>
        <v>0.37125532023621372</v>
      </c>
      <c r="N145" s="103">
        <f t="shared" si="56"/>
        <v>0.35880433018365449</v>
      </c>
      <c r="O145" s="103">
        <f t="shared" si="56"/>
        <v>0.35295801983755931</v>
      </c>
      <c r="P145" s="103">
        <f t="shared" si="56"/>
        <v>0.34388454211357156</v>
      </c>
      <c r="Q145" s="103">
        <f t="shared" si="56"/>
        <v>0.34852011525053161</v>
      </c>
      <c r="R145" s="103">
        <f t="shared" si="56"/>
        <v>0.34166198475288756</v>
      </c>
      <c r="S145" s="103">
        <f t="shared" si="56"/>
        <v>0.32602835757058918</v>
      </c>
      <c r="T145" s="103">
        <f t="shared" si="56"/>
        <v>0.32137173225328058</v>
      </c>
      <c r="U145" s="103">
        <f t="shared" si="56"/>
        <v>0.32848550980727076</v>
      </c>
      <c r="V145" s="103">
        <f t="shared" si="56"/>
        <v>0.32496504575102653</v>
      </c>
      <c r="W145" s="103">
        <f t="shared" ref="W145:Y145" si="57">IF(W22=0,0,W22/W$17)</f>
        <v>0.3253492087345709</v>
      </c>
      <c r="X145" s="103">
        <f t="shared" si="57"/>
        <v>0.32354167266820866</v>
      </c>
      <c r="Y145" s="103">
        <f t="shared" si="57"/>
        <v>0.32626187920086225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4.4444716928051034E-2</v>
      </c>
      <c r="C146" s="103">
        <f t="shared" si="58"/>
        <v>4.7690926144042599E-2</v>
      </c>
      <c r="D146" s="103">
        <f t="shared" si="58"/>
        <v>5.2863112641095784E-2</v>
      </c>
      <c r="E146" s="103">
        <f t="shared" si="58"/>
        <v>5.6560625862282825E-2</v>
      </c>
      <c r="F146" s="103">
        <f t="shared" si="58"/>
        <v>6.491308046370789E-2</v>
      </c>
      <c r="G146" s="103">
        <f t="shared" si="58"/>
        <v>7.8703409015007289E-2</v>
      </c>
      <c r="H146" s="103">
        <f t="shared" si="58"/>
        <v>8.9271681762493338E-2</v>
      </c>
      <c r="I146" s="103">
        <f t="shared" si="58"/>
        <v>0.11366946254225675</v>
      </c>
      <c r="J146" s="103">
        <f t="shared" si="58"/>
        <v>0.12991725649513713</v>
      </c>
      <c r="K146" s="103">
        <f t="shared" si="58"/>
        <v>0.14768282718459397</v>
      </c>
      <c r="L146" s="103">
        <f t="shared" ref="L146" si="59">IF(L24=0,0,L24/L$17)</f>
        <v>0.16732424667366108</v>
      </c>
      <c r="M146" s="103">
        <f t="shared" ref="M146:V146" si="60">IF(M24=0,0,M24/M$17)</f>
        <v>0.18568928496692758</v>
      </c>
      <c r="N146" s="103">
        <f t="shared" si="60"/>
        <v>0.20414643465134399</v>
      </c>
      <c r="O146" s="103">
        <f t="shared" si="60"/>
        <v>0.21825365984527414</v>
      </c>
      <c r="P146" s="103">
        <f t="shared" si="60"/>
        <v>0.22521480068763736</v>
      </c>
      <c r="Q146" s="103">
        <f t="shared" si="60"/>
        <v>0.2457493005258741</v>
      </c>
      <c r="R146" s="103">
        <f t="shared" si="60"/>
        <v>0.23526306788525292</v>
      </c>
      <c r="S146" s="103">
        <f t="shared" si="60"/>
        <v>0.24298379346925403</v>
      </c>
      <c r="T146" s="103">
        <f t="shared" si="60"/>
        <v>0.24870966535003311</v>
      </c>
      <c r="U146" s="103">
        <f t="shared" si="60"/>
        <v>0.24821487957183147</v>
      </c>
      <c r="V146" s="103">
        <f t="shared" si="60"/>
        <v>0.23582783095775711</v>
      </c>
      <c r="W146" s="103">
        <f t="shared" ref="W146:Y146" si="61">IF(W24=0,0,W24/W$17)</f>
        <v>0.23145330299656086</v>
      </c>
      <c r="X146" s="103">
        <f t="shared" si="61"/>
        <v>0.22106765230191652</v>
      </c>
      <c r="Y146" s="103">
        <f t="shared" si="61"/>
        <v>0.21093740730248159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2.5811730806547927E-3</v>
      </c>
      <c r="C147" s="103">
        <f t="shared" si="62"/>
        <v>2.8548826916597182E-3</v>
      </c>
      <c r="D147" s="103">
        <f t="shared" si="62"/>
        <v>3.1204124939746675E-3</v>
      </c>
      <c r="E147" s="103">
        <f t="shared" si="62"/>
        <v>2.4420937208621315E-3</v>
      </c>
      <c r="F147" s="103">
        <f t="shared" si="62"/>
        <v>2.099319830741317E-3</v>
      </c>
      <c r="G147" s="103">
        <f t="shared" si="62"/>
        <v>1.8250919334059281E-3</v>
      </c>
      <c r="H147" s="103">
        <f t="shared" si="62"/>
        <v>1.523452189115624E-3</v>
      </c>
      <c r="I147" s="103">
        <f t="shared" si="62"/>
        <v>1.212924838234623E-3</v>
      </c>
      <c r="J147" s="103">
        <f t="shared" si="62"/>
        <v>9.9407501495096763E-4</v>
      </c>
      <c r="K147" s="103">
        <f t="shared" si="62"/>
        <v>7.8698491820471594E-4</v>
      </c>
      <c r="L147" s="103">
        <f t="shared" ref="L147" si="63">IF(L26=0,0,L26/L$17)</f>
        <v>0</v>
      </c>
      <c r="M147" s="103">
        <f t="shared" ref="M147:V147" si="64">IF(M26=0,0,M26/M$17)</f>
        <v>0</v>
      </c>
      <c r="N147" s="103">
        <f t="shared" si="64"/>
        <v>0</v>
      </c>
      <c r="O147" s="103">
        <f t="shared" si="64"/>
        <v>0</v>
      </c>
      <c r="P147" s="103">
        <f t="shared" si="64"/>
        <v>0</v>
      </c>
      <c r="Q147" s="103">
        <f t="shared" si="64"/>
        <v>0</v>
      </c>
      <c r="R147" s="103">
        <f t="shared" si="64"/>
        <v>0</v>
      </c>
      <c r="S147" s="103">
        <f t="shared" si="64"/>
        <v>0</v>
      </c>
      <c r="T147" s="103">
        <f t="shared" si="64"/>
        <v>0</v>
      </c>
      <c r="U147" s="103">
        <f t="shared" si="64"/>
        <v>0</v>
      </c>
      <c r="V147" s="103">
        <f t="shared" si="64"/>
        <v>0</v>
      </c>
      <c r="W147" s="103">
        <f t="shared" ref="W147:Y147" si="65">IF(W26=0,0,W26/W$17)</f>
        <v>0</v>
      </c>
      <c r="X147" s="103">
        <f t="shared" si="65"/>
        <v>0</v>
      </c>
      <c r="Y147" s="103">
        <f t="shared" si="65"/>
        <v>0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0</v>
      </c>
      <c r="L148" s="103">
        <f t="shared" ref="L148" si="67">IF(L27=0,0,L27/L$17)</f>
        <v>0</v>
      </c>
      <c r="M148" s="103">
        <f t="shared" ref="M148:V148" si="68">IF(M27=0,0,M27/M$17)</f>
        <v>0</v>
      </c>
      <c r="N148" s="103">
        <f t="shared" si="68"/>
        <v>0</v>
      </c>
      <c r="O148" s="103">
        <f t="shared" si="68"/>
        <v>0</v>
      </c>
      <c r="P148" s="103">
        <f t="shared" si="68"/>
        <v>0</v>
      </c>
      <c r="Q148" s="103">
        <f t="shared" si="68"/>
        <v>1.2547367839061336E-5</v>
      </c>
      <c r="R148" s="103">
        <f t="shared" si="68"/>
        <v>4.0390884335955929E-5</v>
      </c>
      <c r="S148" s="103">
        <f t="shared" si="68"/>
        <v>4.2230303250781237E-5</v>
      </c>
      <c r="T148" s="103">
        <f t="shared" si="68"/>
        <v>7.7378866341564802E-5</v>
      </c>
      <c r="U148" s="103">
        <f t="shared" si="68"/>
        <v>1.1408168648011427E-4</v>
      </c>
      <c r="V148" s="103">
        <f t="shared" si="68"/>
        <v>1.4209961459393661E-4</v>
      </c>
      <c r="W148" s="103">
        <f t="shared" ref="W148:Y148" si="69">IF(W27=0,0,W27/W$17)</f>
        <v>1.7520811812875157E-4</v>
      </c>
      <c r="X148" s="103">
        <f t="shared" si="69"/>
        <v>2.1740920731121312E-4</v>
      </c>
      <c r="Y148" s="103">
        <f t="shared" si="69"/>
        <v>2.4887434646346469E-4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3.1065503927122802E-6</v>
      </c>
      <c r="O149" s="103">
        <f t="shared" si="72"/>
        <v>4.7669605338245232E-6</v>
      </c>
      <c r="P149" s="103">
        <f t="shared" si="72"/>
        <v>1.0731155153980715E-5</v>
      </c>
      <c r="Q149" s="103">
        <f t="shared" si="72"/>
        <v>1.5885308202597955E-3</v>
      </c>
      <c r="R149" s="103">
        <f t="shared" si="72"/>
        <v>9.9484673248626931E-5</v>
      </c>
      <c r="S149" s="103">
        <f t="shared" si="72"/>
        <v>1.2146067359315702E-4</v>
      </c>
      <c r="T149" s="103">
        <f t="shared" si="72"/>
        <v>3.8626342238164157E-4</v>
      </c>
      <c r="U149" s="103">
        <f t="shared" si="72"/>
        <v>7.1843901593304619E-4</v>
      </c>
      <c r="V149" s="103">
        <f t="shared" si="72"/>
        <v>2.1377954604059105E-3</v>
      </c>
      <c r="W149" s="103">
        <f t="shared" ref="W149:Y149" si="73">IF(W29=0,0,W29/W$17)</f>
        <v>5.9861318638577202E-3</v>
      </c>
      <c r="X149" s="103">
        <f t="shared" si="73"/>
        <v>8.8191304815639169E-3</v>
      </c>
      <c r="Y149" s="103">
        <f t="shared" si="73"/>
        <v>1.1661388041582977E-2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1.3799193833883604E-6</v>
      </c>
      <c r="L150" s="103">
        <f t="shared" ref="L150" si="75">IF(L32=0,0,L32/L$17)</f>
        <v>2.274295603682453E-6</v>
      </c>
      <c r="M150" s="103">
        <f t="shared" ref="M150:V150" si="76">IF(M32=0,0,M32/M$17)</f>
        <v>2.0825079219025082E-5</v>
      </c>
      <c r="N150" s="103">
        <f t="shared" si="76"/>
        <v>4.5056761630361572E-5</v>
      </c>
      <c r="O150" s="103">
        <f t="shared" si="76"/>
        <v>7.2354748801767993E-5</v>
      </c>
      <c r="P150" s="103">
        <f t="shared" si="76"/>
        <v>1.4624112310519615E-4</v>
      </c>
      <c r="Q150" s="103">
        <f t="shared" si="76"/>
        <v>3.9968018263471857E-4</v>
      </c>
      <c r="R150" s="103">
        <f t="shared" si="76"/>
        <v>4.4936794237490787E-4</v>
      </c>
      <c r="S150" s="103">
        <f t="shared" si="76"/>
        <v>4.8280417914489817E-4</v>
      </c>
      <c r="T150" s="103">
        <f t="shared" si="76"/>
        <v>5.420535023237436E-4</v>
      </c>
      <c r="U150" s="103">
        <f t="shared" si="76"/>
        <v>8.5442357924226471E-4</v>
      </c>
      <c r="V150" s="103">
        <f t="shared" si="76"/>
        <v>1.6648507290219822E-3</v>
      </c>
      <c r="W150" s="103">
        <f t="shared" ref="W150:Y150" si="77">IF(W32=0,0,W32/W$17)</f>
        <v>3.7274142128904102E-3</v>
      </c>
      <c r="X150" s="103">
        <f t="shared" si="77"/>
        <v>6.8456945841718518E-3</v>
      </c>
      <c r="Y150" s="103">
        <f t="shared" si="77"/>
        <v>1.2094787941237195E-2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9.311145238215747E-2</v>
      </c>
      <c r="C151" s="156">
        <f t="shared" si="78"/>
        <v>8.9859580771393555E-2</v>
      </c>
      <c r="D151" s="156">
        <f t="shared" si="78"/>
        <v>8.67666450085363E-2</v>
      </c>
      <c r="E151" s="156">
        <f t="shared" si="78"/>
        <v>8.4374271110181712E-2</v>
      </c>
      <c r="F151" s="156">
        <f t="shared" si="78"/>
        <v>8.0374376494979596E-2</v>
      </c>
      <c r="G151" s="156">
        <f t="shared" si="78"/>
        <v>8.043243379691481E-2</v>
      </c>
      <c r="H151" s="156">
        <f t="shared" si="78"/>
        <v>7.8785421909938896E-2</v>
      </c>
      <c r="I151" s="156">
        <f t="shared" si="78"/>
        <v>7.4393902485933791E-2</v>
      </c>
      <c r="J151" s="156">
        <f t="shared" si="78"/>
        <v>7.7303857976995349E-2</v>
      </c>
      <c r="K151" s="156">
        <f t="shared" si="78"/>
        <v>8.2973632766791053E-2</v>
      </c>
      <c r="L151" s="156">
        <f t="shared" ref="L151" si="79">IF(L33=0,0,L33/L$17)</f>
        <v>8.5045623551285435E-2</v>
      </c>
      <c r="M151" s="156">
        <f t="shared" ref="M151:V151" si="80">IF(M33=0,0,M33/M$17)</f>
        <v>8.317951445080296E-2</v>
      </c>
      <c r="N151" s="156">
        <f t="shared" si="80"/>
        <v>8.3706915236885546E-2</v>
      </c>
      <c r="O151" s="156">
        <f t="shared" si="80"/>
        <v>8.1844298739121163E-2</v>
      </c>
      <c r="P151" s="156">
        <f t="shared" si="80"/>
        <v>8.3503148122364368E-2</v>
      </c>
      <c r="Q151" s="156">
        <f t="shared" si="80"/>
        <v>8.2559913156889556E-2</v>
      </c>
      <c r="R151" s="156">
        <f t="shared" si="80"/>
        <v>8.4051651625013685E-2</v>
      </c>
      <c r="S151" s="156">
        <f t="shared" si="80"/>
        <v>8.7835346245521556E-2</v>
      </c>
      <c r="T151" s="156">
        <f t="shared" si="80"/>
        <v>8.5644753476974964E-2</v>
      </c>
      <c r="U151" s="156">
        <f t="shared" si="80"/>
        <v>8.4883998832801608E-2</v>
      </c>
      <c r="V151" s="156">
        <f t="shared" si="80"/>
        <v>9.0353772352813555E-2</v>
      </c>
      <c r="W151" s="156">
        <f t="shared" ref="W151:Y151" si="81">IF(W33=0,0,W33/W$17)</f>
        <v>8.786957425458547E-2</v>
      </c>
      <c r="X151" s="156">
        <f t="shared" si="81"/>
        <v>8.769841449629627E-2</v>
      </c>
      <c r="Y151" s="156">
        <f t="shared" si="81"/>
        <v>8.5536458260374121E-2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3.9459124275924521E-3</v>
      </c>
      <c r="C152" s="103">
        <f t="shared" si="82"/>
        <v>3.9747732113204204E-3</v>
      </c>
      <c r="D152" s="103">
        <f t="shared" si="82"/>
        <v>3.91458821594834E-3</v>
      </c>
      <c r="E152" s="103">
        <f t="shared" si="82"/>
        <v>2.3903290095428496E-3</v>
      </c>
      <c r="F152" s="103">
        <f t="shared" si="82"/>
        <v>1.9051209256676466E-3</v>
      </c>
      <c r="G152" s="103">
        <f t="shared" si="82"/>
        <v>1.7761859999982669E-3</v>
      </c>
      <c r="H152" s="103">
        <f t="shared" si="82"/>
        <v>1.7021320131147418E-3</v>
      </c>
      <c r="I152" s="103">
        <f t="shared" si="82"/>
        <v>1.548128773556561E-3</v>
      </c>
      <c r="J152" s="103">
        <f t="shared" si="82"/>
        <v>1.5627225956651731E-3</v>
      </c>
      <c r="K152" s="103">
        <f t="shared" si="82"/>
        <v>1.545694889809088E-3</v>
      </c>
      <c r="L152" s="103">
        <f t="shared" ref="L152" si="83">IF(L34=0,0,L34/L$17)</f>
        <v>1.4664738147467584E-3</v>
      </c>
      <c r="M152" s="103">
        <f t="shared" ref="M152:V152" si="84">IF(M34=0,0,M34/M$17)</f>
        <v>1.3994728956109065E-3</v>
      </c>
      <c r="N152" s="103">
        <f t="shared" si="84"/>
        <v>1.429602146892698E-3</v>
      </c>
      <c r="O152" s="103">
        <f t="shared" si="84"/>
        <v>1.5303093586048683E-3</v>
      </c>
      <c r="P152" s="103">
        <f t="shared" si="84"/>
        <v>1.3469007591676535E-3</v>
      </c>
      <c r="Q152" s="103">
        <f t="shared" si="84"/>
        <v>1.1379919626624542E-3</v>
      </c>
      <c r="R152" s="103">
        <f t="shared" si="84"/>
        <v>1.0201644518370342E-3</v>
      </c>
      <c r="S152" s="103">
        <f t="shared" si="84"/>
        <v>9.4124557213983275E-4</v>
      </c>
      <c r="T152" s="103">
        <f t="shared" si="84"/>
        <v>8.2512846511878133E-4</v>
      </c>
      <c r="U152" s="103">
        <f t="shared" si="84"/>
        <v>7.4251937241642406E-4</v>
      </c>
      <c r="V152" s="103">
        <f t="shared" si="84"/>
        <v>7.446172876162168E-4</v>
      </c>
      <c r="W152" s="103">
        <f t="shared" ref="W152:Y152" si="85">IF(W34=0,0,W34/W$17)</f>
        <v>6.9586906462585643E-4</v>
      </c>
      <c r="X152" s="103">
        <f t="shared" si="85"/>
        <v>6.9607493174159152E-4</v>
      </c>
      <c r="Y152" s="103">
        <f t="shared" si="85"/>
        <v>6.4517373907227709E-4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8.9165539954565026E-2</v>
      </c>
      <c r="C153" s="103">
        <f t="shared" si="86"/>
        <v>8.5884807560073148E-2</v>
      </c>
      <c r="D153" s="103">
        <f t="shared" si="86"/>
        <v>8.2852056792587961E-2</v>
      </c>
      <c r="E153" s="103">
        <f t="shared" si="86"/>
        <v>8.1983942100638849E-2</v>
      </c>
      <c r="F153" s="103">
        <f t="shared" si="86"/>
        <v>7.8469255569311946E-2</v>
      </c>
      <c r="G153" s="103">
        <f t="shared" si="86"/>
        <v>7.8656247796916545E-2</v>
      </c>
      <c r="H153" s="103">
        <f t="shared" si="86"/>
        <v>7.7083289896824156E-2</v>
      </c>
      <c r="I153" s="103">
        <f t="shared" si="86"/>
        <v>7.2845773712377229E-2</v>
      </c>
      <c r="J153" s="103">
        <f t="shared" si="86"/>
        <v>7.5741135381330177E-2</v>
      </c>
      <c r="K153" s="103">
        <f t="shared" si="86"/>
        <v>8.1427937876981965E-2</v>
      </c>
      <c r="L153" s="103">
        <f t="shared" ref="L153" si="87">IF(L36=0,0,L36/L$17)</f>
        <v>8.3579149736538669E-2</v>
      </c>
      <c r="M153" s="103">
        <f t="shared" ref="M153:V153" si="88">IF(M36=0,0,M36/M$17)</f>
        <v>8.1780041555192057E-2</v>
      </c>
      <c r="N153" s="103">
        <f t="shared" si="88"/>
        <v>8.2277313089992865E-2</v>
      </c>
      <c r="O153" s="103">
        <f t="shared" si="88"/>
        <v>8.0313989380516287E-2</v>
      </c>
      <c r="P153" s="103">
        <f t="shared" si="88"/>
        <v>8.2156247363196724E-2</v>
      </c>
      <c r="Q153" s="103">
        <f t="shared" si="88"/>
        <v>8.107671098372346E-2</v>
      </c>
      <c r="R153" s="103">
        <f t="shared" si="88"/>
        <v>8.2344974595915471E-2</v>
      </c>
      <c r="S153" s="103">
        <f t="shared" si="88"/>
        <v>8.5331198288349064E-2</v>
      </c>
      <c r="T153" s="103">
        <f t="shared" si="88"/>
        <v>8.3033660730024592E-2</v>
      </c>
      <c r="U153" s="103">
        <f t="shared" si="88"/>
        <v>8.1776696924073328E-2</v>
      </c>
      <c r="V153" s="103">
        <f t="shared" si="88"/>
        <v>8.735593806649794E-2</v>
      </c>
      <c r="W153" s="103">
        <f t="shared" ref="W153:Y153" si="89">IF(W36=0,0,W36/W$17)</f>
        <v>8.3705494661944879E-2</v>
      </c>
      <c r="X153" s="103">
        <f t="shared" si="89"/>
        <v>8.148863986984628E-2</v>
      </c>
      <c r="Y153" s="103">
        <f t="shared" si="89"/>
        <v>7.7116979020162416E-2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0</v>
      </c>
      <c r="S154" s="103">
        <f t="shared" si="92"/>
        <v>0</v>
      </c>
      <c r="T154" s="103">
        <f t="shared" si="92"/>
        <v>0</v>
      </c>
      <c r="U154" s="103">
        <f t="shared" si="92"/>
        <v>0</v>
      </c>
      <c r="V154" s="103">
        <f t="shared" si="92"/>
        <v>0</v>
      </c>
      <c r="W154" s="103">
        <f t="shared" ref="W154:Y154" si="93">IF(W38=0,0,W38/W$17)</f>
        <v>0</v>
      </c>
      <c r="X154" s="103">
        <f t="shared" si="93"/>
        <v>0</v>
      </c>
      <c r="Y154" s="103">
        <f t="shared" si="93"/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0</v>
      </c>
      <c r="G155" s="103">
        <f t="shared" si="94"/>
        <v>0</v>
      </c>
      <c r="H155" s="103">
        <f t="shared" si="94"/>
        <v>0</v>
      </c>
      <c r="I155" s="103">
        <f t="shared" si="94"/>
        <v>0</v>
      </c>
      <c r="J155" s="103">
        <f t="shared" si="94"/>
        <v>0</v>
      </c>
      <c r="K155" s="103">
        <f t="shared" si="94"/>
        <v>0</v>
      </c>
      <c r="L155" s="103">
        <f t="shared" ref="L155" si="95">IF(L39=0,0,L39/L$17)</f>
        <v>0</v>
      </c>
      <c r="M155" s="103">
        <f t="shared" ref="M155:V155" si="96">IF(M39=0,0,M39/M$17)</f>
        <v>0</v>
      </c>
      <c r="N155" s="103">
        <f t="shared" si="96"/>
        <v>0</v>
      </c>
      <c r="O155" s="103">
        <f t="shared" si="96"/>
        <v>0</v>
      </c>
      <c r="P155" s="103">
        <f t="shared" si="96"/>
        <v>0</v>
      </c>
      <c r="Q155" s="103">
        <f t="shared" si="96"/>
        <v>3.4521021050364146E-4</v>
      </c>
      <c r="R155" s="103">
        <f t="shared" si="96"/>
        <v>6.6352721007016527E-4</v>
      </c>
      <c r="S155" s="103">
        <f t="shared" si="96"/>
        <v>1.5322103926299589E-3</v>
      </c>
      <c r="T155" s="103">
        <f t="shared" si="96"/>
        <v>1.748317508734071E-3</v>
      </c>
      <c r="U155" s="103">
        <f t="shared" si="96"/>
        <v>1.9788375376812461E-3</v>
      </c>
      <c r="V155" s="103">
        <f t="shared" si="96"/>
        <v>1.8865888157424571E-3</v>
      </c>
      <c r="W155" s="103">
        <f t="shared" ref="W155:Y155" si="97">IF(W39=0,0,W39/W$17)</f>
        <v>2.1264406324781912E-3</v>
      </c>
      <c r="X155" s="103">
        <f t="shared" si="97"/>
        <v>2.6006143273988231E-3</v>
      </c>
      <c r="Y155" s="103">
        <f t="shared" si="97"/>
        <v>2.5176543093785881E-3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0</v>
      </c>
      <c r="K156" s="103">
        <f t="shared" si="98"/>
        <v>0</v>
      </c>
      <c r="L156" s="103">
        <f t="shared" ref="L156" si="99">IF(L41=0,0,L41/L$17)</f>
        <v>0</v>
      </c>
      <c r="M156" s="103">
        <f t="shared" ref="M156:V156" si="100">IF(M41=0,0,M41/M$17)</f>
        <v>0</v>
      </c>
      <c r="N156" s="103">
        <f t="shared" si="100"/>
        <v>0</v>
      </c>
      <c r="O156" s="103">
        <f t="shared" si="100"/>
        <v>0</v>
      </c>
      <c r="P156" s="103">
        <f t="shared" si="100"/>
        <v>0</v>
      </c>
      <c r="Q156" s="103">
        <f t="shared" si="100"/>
        <v>0</v>
      </c>
      <c r="R156" s="103">
        <f t="shared" si="100"/>
        <v>2.2985367191007951E-5</v>
      </c>
      <c r="S156" s="103">
        <f t="shared" si="100"/>
        <v>3.0691992402702972E-5</v>
      </c>
      <c r="T156" s="103">
        <f t="shared" si="100"/>
        <v>3.7646773097527224E-5</v>
      </c>
      <c r="U156" s="103">
        <f t="shared" si="100"/>
        <v>3.8594499863061829E-4</v>
      </c>
      <c r="V156" s="103">
        <f t="shared" si="100"/>
        <v>3.6662818295694698E-4</v>
      </c>
      <c r="W156" s="103">
        <f t="shared" ref="W156:Y156" si="101">IF(W41=0,0,W41/W$17)</f>
        <v>1.3417698955365479E-3</v>
      </c>
      <c r="X156" s="103">
        <f t="shared" si="101"/>
        <v>2.9130853673095748E-3</v>
      </c>
      <c r="Y156" s="103">
        <f t="shared" si="101"/>
        <v>5.256651191760821E-3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0.35009257055758231</v>
      </c>
      <c r="C157" s="46">
        <f t="shared" si="102"/>
        <v>0.36408167619726595</v>
      </c>
      <c r="D157" s="46">
        <f t="shared" si="102"/>
        <v>0.36341680925567665</v>
      </c>
      <c r="E157" s="46">
        <f t="shared" si="102"/>
        <v>0.37768175497417605</v>
      </c>
      <c r="F157" s="46">
        <f t="shared" si="102"/>
        <v>0.39353449925640022</v>
      </c>
      <c r="G157" s="46">
        <f t="shared" si="102"/>
        <v>0.39733076332274303</v>
      </c>
      <c r="H157" s="46">
        <f t="shared" si="102"/>
        <v>0.40726896538373314</v>
      </c>
      <c r="I157" s="46">
        <f t="shared" si="102"/>
        <v>0.40876977960470395</v>
      </c>
      <c r="J157" s="46">
        <f t="shared" si="102"/>
        <v>0.39829882469479705</v>
      </c>
      <c r="K157" s="46">
        <f t="shared" si="102"/>
        <v>0.3722747576712942</v>
      </c>
      <c r="L157" s="46">
        <f t="shared" ref="L157" si="103">IF(L42=0,0,L42/L$17)</f>
        <v>0.3708855109397618</v>
      </c>
      <c r="M157" s="46">
        <f t="shared" ref="M157:V157" si="104">IF(M42=0,0,M42/M$17)</f>
        <v>0.35409350572427617</v>
      </c>
      <c r="N157" s="46">
        <f t="shared" si="104"/>
        <v>0.34709688894923185</v>
      </c>
      <c r="O157" s="46">
        <f t="shared" si="104"/>
        <v>0.3405365330847141</v>
      </c>
      <c r="P157" s="46">
        <f t="shared" si="104"/>
        <v>0.3409304941328502</v>
      </c>
      <c r="Q157" s="46">
        <f t="shared" si="104"/>
        <v>0.3150769063157921</v>
      </c>
      <c r="R157" s="46">
        <f t="shared" si="104"/>
        <v>0.33249007867843783</v>
      </c>
      <c r="S157" s="46">
        <f t="shared" si="104"/>
        <v>0.33690692666233557</v>
      </c>
      <c r="T157" s="46">
        <f t="shared" si="104"/>
        <v>0.33809976815062914</v>
      </c>
      <c r="U157" s="46">
        <f t="shared" si="104"/>
        <v>0.33127019827754695</v>
      </c>
      <c r="V157" s="46">
        <f t="shared" si="104"/>
        <v>0.33971851866335034</v>
      </c>
      <c r="W157" s="46">
        <f t="shared" ref="W157:Y157" si="105">IF(W42=0,0,W42/W$17)</f>
        <v>0.34021997481886657</v>
      </c>
      <c r="X157" s="46">
        <f t="shared" si="105"/>
        <v>0.34658137405281503</v>
      </c>
      <c r="Y157" s="46">
        <f t="shared" si="105"/>
        <v>0.34771205871270905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0.15002291529512543</v>
      </c>
      <c r="C158" s="154">
        <f t="shared" si="106"/>
        <v>0.15505225542440562</v>
      </c>
      <c r="D158" s="154">
        <f t="shared" si="106"/>
        <v>0.15370593651372133</v>
      </c>
      <c r="E158" s="154">
        <f t="shared" si="106"/>
        <v>0.15348877595999513</v>
      </c>
      <c r="F158" s="154">
        <f t="shared" si="106"/>
        <v>0.1602693071468673</v>
      </c>
      <c r="G158" s="154">
        <f t="shared" si="106"/>
        <v>0.16722356965243668</v>
      </c>
      <c r="H158" s="154">
        <f t="shared" si="106"/>
        <v>0.17700736496979094</v>
      </c>
      <c r="I158" s="154">
        <f t="shared" si="106"/>
        <v>0.18397693341735283</v>
      </c>
      <c r="J158" s="154">
        <f t="shared" si="106"/>
        <v>0.18635034001963252</v>
      </c>
      <c r="K158" s="154">
        <f t="shared" si="106"/>
        <v>0.18212634659517035</v>
      </c>
      <c r="L158" s="154">
        <f t="shared" ref="L158" si="107">IF(L43=0,0,L43/L$17)</f>
        <v>0.17653361499654141</v>
      </c>
      <c r="M158" s="154">
        <f t="shared" ref="M158:V158" si="108">IF(M43=0,0,M43/M$17)</f>
        <v>0.16062324418652146</v>
      </c>
      <c r="N158" s="154">
        <f t="shared" si="108"/>
        <v>0.15882997156209452</v>
      </c>
      <c r="O158" s="154">
        <f t="shared" si="108"/>
        <v>0.15312901789144456</v>
      </c>
      <c r="P158" s="154">
        <f t="shared" si="108"/>
        <v>0.14370358825190083</v>
      </c>
      <c r="Q158" s="154">
        <f t="shared" si="108"/>
        <v>0.13952033101456668</v>
      </c>
      <c r="R158" s="154">
        <f t="shared" si="108"/>
        <v>0.1364929105924742</v>
      </c>
      <c r="S158" s="154">
        <f t="shared" si="108"/>
        <v>0.13833757612610148</v>
      </c>
      <c r="T158" s="154">
        <f t="shared" si="108"/>
        <v>0.13615405173349937</v>
      </c>
      <c r="U158" s="154">
        <f t="shared" si="108"/>
        <v>0.13133919920535997</v>
      </c>
      <c r="V158" s="154">
        <f t="shared" si="108"/>
        <v>0.13137413844869991</v>
      </c>
      <c r="W158" s="154">
        <f t="shared" ref="W158:Y158" si="109">IF(W43=0,0,W43/W$17)</f>
        <v>0.13234093978965167</v>
      </c>
      <c r="X158" s="154">
        <f t="shared" si="109"/>
        <v>0.14065212699881935</v>
      </c>
      <c r="Y158" s="154">
        <f t="shared" si="109"/>
        <v>0.14042526468166339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3.3256163151619285E-2</v>
      </c>
      <c r="C159" s="103">
        <f t="shared" si="110"/>
        <v>3.6207437528118433E-2</v>
      </c>
      <c r="D159" s="103">
        <f t="shared" si="110"/>
        <v>3.4897454722712544E-2</v>
      </c>
      <c r="E159" s="103">
        <f t="shared" si="110"/>
        <v>3.1404591093648807E-2</v>
      </c>
      <c r="F159" s="103">
        <f t="shared" si="110"/>
        <v>3.0065278919155024E-2</v>
      </c>
      <c r="G159" s="103">
        <f t="shared" si="110"/>
        <v>2.8911446821783454E-2</v>
      </c>
      <c r="H159" s="103">
        <f t="shared" si="110"/>
        <v>2.7321411152930911E-2</v>
      </c>
      <c r="I159" s="103">
        <f t="shared" si="110"/>
        <v>2.4922816759026505E-2</v>
      </c>
      <c r="J159" s="103">
        <f t="shared" si="110"/>
        <v>2.2500124914522038E-2</v>
      </c>
      <c r="K159" s="103">
        <f t="shared" si="110"/>
        <v>2.0916549829312975E-2</v>
      </c>
      <c r="L159" s="103">
        <f t="shared" ref="L159" si="111">IF(L44=0,0,L44/L$17)</f>
        <v>1.8560492832447078E-2</v>
      </c>
      <c r="M159" s="103">
        <f t="shared" ref="M159:V159" si="112">IF(M44=0,0,M44/M$17)</f>
        <v>1.5718764440869785E-2</v>
      </c>
      <c r="N159" s="103">
        <f t="shared" si="112"/>
        <v>1.4025071729968509E-2</v>
      </c>
      <c r="O159" s="103">
        <f t="shared" si="112"/>
        <v>1.2932574419851161E-2</v>
      </c>
      <c r="P159" s="103">
        <f t="shared" si="112"/>
        <v>1.1612147050010995E-2</v>
      </c>
      <c r="Q159" s="103">
        <f t="shared" si="112"/>
        <v>1.0346729503298803E-2</v>
      </c>
      <c r="R159" s="103">
        <f t="shared" si="112"/>
        <v>9.5493275516885783E-3</v>
      </c>
      <c r="S159" s="103">
        <f t="shared" si="112"/>
        <v>8.9955591834141747E-3</v>
      </c>
      <c r="T159" s="103">
        <f t="shared" si="112"/>
        <v>7.9085321223531044E-3</v>
      </c>
      <c r="U159" s="103">
        <f t="shared" si="112"/>
        <v>7.3214366200560115E-3</v>
      </c>
      <c r="V159" s="103">
        <f t="shared" si="112"/>
        <v>6.9450075678223599E-3</v>
      </c>
      <c r="W159" s="103">
        <f t="shared" ref="W159:Y159" si="113">IF(W44=0,0,W44/W$17)</f>
        <v>6.9645548374997176E-3</v>
      </c>
      <c r="X159" s="103">
        <f t="shared" si="113"/>
        <v>6.8227027221903639E-3</v>
      </c>
      <c r="Y159" s="103">
        <f t="shared" si="113"/>
        <v>6.5105844582055792E-3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0.11666916316256891</v>
      </c>
      <c r="C160" s="103">
        <f t="shared" si="114"/>
        <v>0.11874485188236109</v>
      </c>
      <c r="D160" s="103">
        <f t="shared" si="114"/>
        <v>0.11871058489892551</v>
      </c>
      <c r="E160" s="103">
        <f t="shared" si="114"/>
        <v>0.12199815630452772</v>
      </c>
      <c r="F160" s="103">
        <f t="shared" si="114"/>
        <v>0.13012504789759027</v>
      </c>
      <c r="G160" s="103">
        <f t="shared" si="114"/>
        <v>0.13824671515445394</v>
      </c>
      <c r="H160" s="103">
        <f t="shared" si="114"/>
        <v>0.14963315162939592</v>
      </c>
      <c r="I160" s="103">
        <f t="shared" si="114"/>
        <v>0.15901265578998852</v>
      </c>
      <c r="J160" s="103">
        <f t="shared" si="114"/>
        <v>0.16381663381822473</v>
      </c>
      <c r="K160" s="103">
        <f t="shared" si="114"/>
        <v>0.16118383347072357</v>
      </c>
      <c r="L160" s="103">
        <f t="shared" ref="L160" si="115">IF(L46=0,0,L46/L$17)</f>
        <v>0.15797312216409434</v>
      </c>
      <c r="M160" s="103">
        <f t="shared" ref="M160:V160" si="116">IF(M46=0,0,M46/M$17)</f>
        <v>0.14490447974565168</v>
      </c>
      <c r="N160" s="103">
        <f t="shared" si="116"/>
        <v>0.1448040277505539</v>
      </c>
      <c r="O160" s="103">
        <f t="shared" si="116"/>
        <v>0.14019343805632919</v>
      </c>
      <c r="P160" s="103">
        <f t="shared" si="116"/>
        <v>0.13208894403931637</v>
      </c>
      <c r="Q160" s="103">
        <f t="shared" si="116"/>
        <v>0.12903529920407161</v>
      </c>
      <c r="R160" s="103">
        <f t="shared" si="116"/>
        <v>0.12680028222192893</v>
      </c>
      <c r="S160" s="103">
        <f t="shared" si="116"/>
        <v>0.1291870880803829</v>
      </c>
      <c r="T160" s="103">
        <f t="shared" si="116"/>
        <v>0.12809254145583543</v>
      </c>
      <c r="U160" s="103">
        <f t="shared" si="116"/>
        <v>0.12385156568003912</v>
      </c>
      <c r="V160" s="103">
        <f t="shared" si="116"/>
        <v>0.1242125535632131</v>
      </c>
      <c r="W160" s="103">
        <f t="shared" ref="W160:Y160" si="117">IF(W46=0,0,W46/W$17)</f>
        <v>0.12499089317223133</v>
      </c>
      <c r="X160" s="103">
        <f t="shared" si="117"/>
        <v>0.13326172152505866</v>
      </c>
      <c r="Y160" s="103">
        <f t="shared" si="117"/>
        <v>0.1331711674615805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9.7588980937261176E-5</v>
      </c>
      <c r="C161" s="103">
        <f t="shared" si="118"/>
        <v>9.9966013926091764E-5</v>
      </c>
      <c r="D161" s="103">
        <f t="shared" si="118"/>
        <v>9.789689208328963E-5</v>
      </c>
      <c r="E161" s="103">
        <f t="shared" si="118"/>
        <v>8.6028561818608898E-5</v>
      </c>
      <c r="F161" s="103">
        <f t="shared" si="118"/>
        <v>7.8980330122000218E-5</v>
      </c>
      <c r="G161" s="103">
        <f t="shared" si="118"/>
        <v>6.5407676199265695E-5</v>
      </c>
      <c r="H161" s="103">
        <f t="shared" si="118"/>
        <v>5.2802187464123055E-5</v>
      </c>
      <c r="I161" s="103">
        <f t="shared" si="118"/>
        <v>4.1460868337801355E-5</v>
      </c>
      <c r="J161" s="103">
        <f t="shared" si="118"/>
        <v>3.3581286885748457E-5</v>
      </c>
      <c r="K161" s="103">
        <f t="shared" si="118"/>
        <v>2.596329513378333E-5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0</v>
      </c>
      <c r="O161" s="103">
        <f t="shared" si="120"/>
        <v>0</v>
      </c>
      <c r="P161" s="103">
        <f t="shared" si="120"/>
        <v>0</v>
      </c>
      <c r="Q161" s="103">
        <f t="shared" si="120"/>
        <v>0</v>
      </c>
      <c r="R161" s="103">
        <f t="shared" si="120"/>
        <v>0</v>
      </c>
      <c r="S161" s="103">
        <f t="shared" si="120"/>
        <v>0</v>
      </c>
      <c r="T161" s="103">
        <f t="shared" si="120"/>
        <v>0</v>
      </c>
      <c r="U161" s="103">
        <f t="shared" si="120"/>
        <v>0</v>
      </c>
      <c r="V161" s="103">
        <f t="shared" si="120"/>
        <v>0</v>
      </c>
      <c r="W161" s="103">
        <f t="shared" ref="W161:Y161" si="121">IF(W48=0,0,W48/W$17)</f>
        <v>0</v>
      </c>
      <c r="X161" s="103">
        <f t="shared" si="121"/>
        <v>0</v>
      </c>
      <c r="Y161" s="103">
        <f t="shared" si="121"/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0</v>
      </c>
      <c r="O162" s="103">
        <f t="shared" si="124"/>
        <v>0</v>
      </c>
      <c r="P162" s="103">
        <f t="shared" si="124"/>
        <v>0</v>
      </c>
      <c r="Q162" s="103">
        <f t="shared" si="124"/>
        <v>1.0966393968085588E-4</v>
      </c>
      <c r="R162" s="103">
        <f t="shared" si="124"/>
        <v>1.1290771076223399E-4</v>
      </c>
      <c r="S162" s="103">
        <f t="shared" si="124"/>
        <v>1.1841705434644582E-4</v>
      </c>
      <c r="T162" s="103">
        <f t="shared" si="124"/>
        <v>1.1411722626718055E-4</v>
      </c>
      <c r="U162" s="103">
        <f t="shared" si="124"/>
        <v>1.1129201743480561E-4</v>
      </c>
      <c r="V162" s="103">
        <f t="shared" si="124"/>
        <v>1.0947777568934894E-4</v>
      </c>
      <c r="W162" s="103">
        <f t="shared" ref="W162:Y162" si="125">IF(W49=0,0,W49/W$17)</f>
        <v>1.0560995688965421E-4</v>
      </c>
      <c r="X162" s="103">
        <f t="shared" si="125"/>
        <v>1.0293060143467075E-4</v>
      </c>
      <c r="Y162" s="103">
        <f t="shared" si="125"/>
        <v>9.460608443676961E-5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0</v>
      </c>
      <c r="N163" s="103">
        <f t="shared" si="128"/>
        <v>8.7208157213036022E-7</v>
      </c>
      <c r="O163" s="103">
        <f t="shared" si="128"/>
        <v>3.0054152642108192E-6</v>
      </c>
      <c r="P163" s="103">
        <f t="shared" si="128"/>
        <v>2.4971625734700009E-6</v>
      </c>
      <c r="Q163" s="103">
        <f t="shared" si="128"/>
        <v>2.8638367515405972E-5</v>
      </c>
      <c r="R163" s="103">
        <f t="shared" si="128"/>
        <v>3.0393108094468091E-5</v>
      </c>
      <c r="S163" s="103">
        <f t="shared" si="128"/>
        <v>3.6511807957924065E-5</v>
      </c>
      <c r="T163" s="103">
        <f t="shared" si="128"/>
        <v>3.8860929043674142E-5</v>
      </c>
      <c r="U163" s="103">
        <f t="shared" si="128"/>
        <v>5.4904887830023131E-5</v>
      </c>
      <c r="V163" s="103">
        <f t="shared" si="128"/>
        <v>1.0709954197509054E-4</v>
      </c>
      <c r="W163" s="103">
        <f t="shared" ref="W163:Y163" si="129">IF(W51=0,0,W51/W$17)</f>
        <v>2.7988182303097193E-4</v>
      </c>
      <c r="X163" s="103">
        <f t="shared" si="129"/>
        <v>4.647721501356806E-4</v>
      </c>
      <c r="Y163" s="103">
        <f t="shared" si="129"/>
        <v>6.4890667744054895E-4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0.20006965526245685</v>
      </c>
      <c r="C164" s="156">
        <f t="shared" si="130"/>
        <v>0.20902942077286035</v>
      </c>
      <c r="D164" s="156">
        <f t="shared" si="130"/>
        <v>0.20971087274195532</v>
      </c>
      <c r="E164" s="156">
        <f t="shared" si="130"/>
        <v>0.22419297901418095</v>
      </c>
      <c r="F164" s="156">
        <f t="shared" si="130"/>
        <v>0.23326519210953289</v>
      </c>
      <c r="G164" s="156">
        <f t="shared" si="130"/>
        <v>0.23010719367030641</v>
      </c>
      <c r="H164" s="156">
        <f t="shared" si="130"/>
        <v>0.2302616004139422</v>
      </c>
      <c r="I164" s="156">
        <f t="shared" si="130"/>
        <v>0.22479284618735107</v>
      </c>
      <c r="J164" s="156">
        <f t="shared" si="130"/>
        <v>0.2119484846751645</v>
      </c>
      <c r="K164" s="156">
        <f t="shared" si="130"/>
        <v>0.19014841107612385</v>
      </c>
      <c r="L164" s="156">
        <f t="shared" ref="L164" si="131">IF(L52=0,0,L52/L$17)</f>
        <v>0.19435189594322039</v>
      </c>
      <c r="M164" s="156">
        <f t="shared" ref="M164:V164" si="132">IF(M52=0,0,M52/M$17)</f>
        <v>0.19347026153775471</v>
      </c>
      <c r="N164" s="156">
        <f t="shared" si="132"/>
        <v>0.18826691738713736</v>
      </c>
      <c r="O164" s="156">
        <f t="shared" si="132"/>
        <v>0.18740751519326954</v>
      </c>
      <c r="P164" s="156">
        <f t="shared" si="132"/>
        <v>0.19722690588094938</v>
      </c>
      <c r="Q164" s="156">
        <f t="shared" si="132"/>
        <v>0.17555657530122545</v>
      </c>
      <c r="R164" s="156">
        <f t="shared" si="132"/>
        <v>0.19599716808596365</v>
      </c>
      <c r="S164" s="156">
        <f t="shared" si="132"/>
        <v>0.19856935053623415</v>
      </c>
      <c r="T164" s="156">
        <f t="shared" si="132"/>
        <v>0.2019457164171298</v>
      </c>
      <c r="U164" s="156">
        <f t="shared" si="132"/>
        <v>0.19993099907218692</v>
      </c>
      <c r="V164" s="156">
        <f t="shared" si="132"/>
        <v>0.20834438021465046</v>
      </c>
      <c r="W164" s="156">
        <f t="shared" ref="W164:Y164" si="133">IF(W52=0,0,W52/W$17)</f>
        <v>0.20787903502921487</v>
      </c>
      <c r="X164" s="156">
        <f t="shared" si="133"/>
        <v>0.20592924705399565</v>
      </c>
      <c r="Y164" s="156">
        <f t="shared" si="133"/>
        <v>0.20728679403104566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0.13723554546776781</v>
      </c>
      <c r="C165" s="104">
        <f t="shared" si="134"/>
        <v>0.14030654074546761</v>
      </c>
      <c r="D165" s="104">
        <f t="shared" si="134"/>
        <v>0.1372008106521698</v>
      </c>
      <c r="E165" s="104">
        <f t="shared" si="134"/>
        <v>0.14234694815944254</v>
      </c>
      <c r="F165" s="104">
        <f t="shared" si="134"/>
        <v>0.13376184653918907</v>
      </c>
      <c r="G165" s="104">
        <f t="shared" si="134"/>
        <v>0.13058282040370617</v>
      </c>
      <c r="H165" s="104">
        <f t="shared" si="134"/>
        <v>0.13219756578516853</v>
      </c>
      <c r="I165" s="104">
        <f t="shared" si="134"/>
        <v>0.12873137102237089</v>
      </c>
      <c r="J165" s="104">
        <f t="shared" si="134"/>
        <v>0.12265850439037229</v>
      </c>
      <c r="K165" s="104">
        <f t="shared" si="134"/>
        <v>0.11140594743150382</v>
      </c>
      <c r="L165" s="104">
        <f t="shared" ref="L165" si="135">IF(L53=0,0,L53/L$17)</f>
        <v>0.11444465417383121</v>
      </c>
      <c r="M165" s="104">
        <f t="shared" ref="M165:V165" si="136">IF(M53=0,0,M53/M$17)</f>
        <v>0.11896570636537014</v>
      </c>
      <c r="N165" s="104">
        <f t="shared" si="136"/>
        <v>0.1263173336074804</v>
      </c>
      <c r="O165" s="104">
        <f t="shared" si="136"/>
        <v>0.12545602896130331</v>
      </c>
      <c r="P165" s="104">
        <f t="shared" si="136"/>
        <v>0.12787101135566598</v>
      </c>
      <c r="Q165" s="104">
        <f t="shared" si="136"/>
        <v>0.11701177779879973</v>
      </c>
      <c r="R165" s="104">
        <f t="shared" si="136"/>
        <v>0.11684734908118773</v>
      </c>
      <c r="S165" s="104">
        <f t="shared" si="136"/>
        <v>0.11136823275506019</v>
      </c>
      <c r="T165" s="104">
        <f t="shared" si="136"/>
        <v>0.10751265351261928</v>
      </c>
      <c r="U165" s="104">
        <f t="shared" si="136"/>
        <v>0.10856896102164672</v>
      </c>
      <c r="V165" s="104">
        <f t="shared" si="136"/>
        <v>0.11557731496680368</v>
      </c>
      <c r="W165" s="104">
        <f t="shared" ref="W165:Y165" si="137">IF(W53=0,0,W53/W$17)</f>
        <v>0.11485156967500731</v>
      </c>
      <c r="X165" s="104">
        <f t="shared" si="137"/>
        <v>0.11255052310705735</v>
      </c>
      <c r="Y165" s="104">
        <f t="shared" si="137"/>
        <v>0.11051140915586602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6.2834109794689036E-2</v>
      </c>
      <c r="C166" s="105">
        <f t="shared" si="138"/>
        <v>6.8722880027392727E-2</v>
      </c>
      <c r="D166" s="105">
        <f t="shared" si="138"/>
        <v>7.2510062089785512E-2</v>
      </c>
      <c r="E166" s="105">
        <f t="shared" si="138"/>
        <v>8.1846030854738391E-2</v>
      </c>
      <c r="F166" s="105">
        <f t="shared" si="138"/>
        <v>9.9503345570343821E-2</v>
      </c>
      <c r="G166" s="105">
        <f t="shared" si="138"/>
        <v>9.9524373266600213E-2</v>
      </c>
      <c r="H166" s="105">
        <f t="shared" si="138"/>
        <v>9.8064034628773639E-2</v>
      </c>
      <c r="I166" s="105">
        <f t="shared" si="138"/>
        <v>9.6061475164980176E-2</v>
      </c>
      <c r="J166" s="105">
        <f t="shared" si="138"/>
        <v>8.9289980284792222E-2</v>
      </c>
      <c r="K166" s="105">
        <f t="shared" si="138"/>
        <v>7.8742463644620009E-2</v>
      </c>
      <c r="L166" s="105">
        <f t="shared" ref="L166" si="139">IF(L55=0,0,L55/L$17)</f>
        <v>7.9907241769389167E-2</v>
      </c>
      <c r="M166" s="105">
        <f t="shared" ref="M166:V166" si="140">IF(M55=0,0,M55/M$17)</f>
        <v>7.4504555172384551E-2</v>
      </c>
      <c r="N166" s="105">
        <f t="shared" si="140"/>
        <v>6.1949583779656953E-2</v>
      </c>
      <c r="O166" s="105">
        <f t="shared" si="140"/>
        <v>6.1951486231966231E-2</v>
      </c>
      <c r="P166" s="105">
        <f t="shared" si="140"/>
        <v>6.9355894525283415E-2</v>
      </c>
      <c r="Q166" s="105">
        <f t="shared" si="140"/>
        <v>5.8544797502425742E-2</v>
      </c>
      <c r="R166" s="105">
        <f t="shared" si="140"/>
        <v>7.9149819004775912E-2</v>
      </c>
      <c r="S166" s="105">
        <f t="shared" si="140"/>
        <v>8.7201117781173967E-2</v>
      </c>
      <c r="T166" s="105">
        <f t="shared" si="140"/>
        <v>9.4433062904510506E-2</v>
      </c>
      <c r="U166" s="105">
        <f t="shared" si="140"/>
        <v>9.1362038050540204E-2</v>
      </c>
      <c r="V166" s="105">
        <f t="shared" si="140"/>
        <v>9.2767065247846781E-2</v>
      </c>
      <c r="W166" s="105">
        <f t="shared" ref="W166:Y166" si="141">IF(W55=0,0,W55/W$17)</f>
        <v>9.3027465354207542E-2</v>
      </c>
      <c r="X166" s="105">
        <f t="shared" si="141"/>
        <v>9.3378723946938316E-2</v>
      </c>
      <c r="Y166" s="105">
        <f t="shared" si="141"/>
        <v>9.6775384875179629E-2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11041.763753520003</v>
      </c>
      <c r="C4" s="146">
        <f t="shared" si="0"/>
        <v>11130.279096959999</v>
      </c>
      <c r="D4" s="146">
        <f t="shared" si="0"/>
        <v>11242.89452376</v>
      </c>
      <c r="E4" s="146">
        <f t="shared" si="0"/>
        <v>11726.876428559999</v>
      </c>
      <c r="F4" s="146">
        <f t="shared" si="0"/>
        <v>12116.115201960001</v>
      </c>
      <c r="G4" s="146">
        <f t="shared" si="0"/>
        <v>12231.292552200001</v>
      </c>
      <c r="H4" s="146">
        <f t="shared" si="0"/>
        <v>12580.68594852</v>
      </c>
      <c r="I4" s="146">
        <f t="shared" si="0"/>
        <v>13190.508345599999</v>
      </c>
      <c r="J4" s="146">
        <f t="shared" si="0"/>
        <v>12891.76182756</v>
      </c>
      <c r="K4" s="146">
        <f t="shared" si="0"/>
        <v>12209.905207440002</v>
      </c>
      <c r="L4" s="146">
        <f t="shared" ref="L4" si="1">L5+L9+L10+L15</f>
        <v>12120.82191432</v>
      </c>
      <c r="M4" s="146">
        <f t="shared" ref="M4:V4" si="2">M5+M9+M10+M15</f>
        <v>11786.385689640001</v>
      </c>
      <c r="N4" s="146">
        <f t="shared" si="2"/>
        <v>10761.809573519999</v>
      </c>
      <c r="O4" s="146">
        <f t="shared" si="2"/>
        <v>10555.480718639996</v>
      </c>
      <c r="P4" s="146">
        <f t="shared" si="2"/>
        <v>10739.666418839999</v>
      </c>
      <c r="Q4" s="146">
        <f t="shared" si="2"/>
        <v>11149.90568163818</v>
      </c>
      <c r="R4" s="146">
        <f t="shared" si="2"/>
        <v>11351.371128906216</v>
      </c>
      <c r="S4" s="146">
        <f t="shared" si="2"/>
        <v>11365.680209877482</v>
      </c>
      <c r="T4" s="146">
        <f t="shared" si="2"/>
        <v>11624.18070655605</v>
      </c>
      <c r="U4" s="146">
        <f t="shared" si="2"/>
        <v>11336.501313354845</v>
      </c>
      <c r="V4" s="146">
        <f t="shared" si="2"/>
        <v>10427.090727607725</v>
      </c>
      <c r="W4" s="146">
        <f t="shared" ref="W4:Y4" si="3">W5+W9+W10+W15</f>
        <v>10567.288802603345</v>
      </c>
      <c r="X4" s="146">
        <f t="shared" si="3"/>
        <v>10497.565663089999</v>
      </c>
      <c r="Y4" s="146">
        <f t="shared" si="3"/>
        <v>10464.212271331831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11041.763753520003</v>
      </c>
      <c r="C5" s="101">
        <f t="shared" si="4"/>
        <v>11130.279096959999</v>
      </c>
      <c r="D5" s="101">
        <f t="shared" si="4"/>
        <v>11242.89452376</v>
      </c>
      <c r="E5" s="101">
        <f t="shared" si="4"/>
        <v>11726.876428559999</v>
      </c>
      <c r="F5" s="101">
        <f t="shared" si="4"/>
        <v>12116.115201960001</v>
      </c>
      <c r="G5" s="101">
        <f t="shared" si="4"/>
        <v>12231.292552200001</v>
      </c>
      <c r="H5" s="101">
        <f t="shared" si="4"/>
        <v>12580.68594852</v>
      </c>
      <c r="I5" s="101">
        <f t="shared" si="4"/>
        <v>13190.508345599999</v>
      </c>
      <c r="J5" s="101">
        <f t="shared" si="4"/>
        <v>12891.76182756</v>
      </c>
      <c r="K5" s="101">
        <f t="shared" si="4"/>
        <v>12209.905207440002</v>
      </c>
      <c r="L5" s="101">
        <f t="shared" ref="L5" si="5">SUM(L6:L8)</f>
        <v>12120.82191432</v>
      </c>
      <c r="M5" s="101">
        <f t="shared" ref="M5:V5" si="6">SUM(M6:M8)</f>
        <v>11786.385689640001</v>
      </c>
      <c r="N5" s="101">
        <f t="shared" si="6"/>
        <v>10761.809573519999</v>
      </c>
      <c r="O5" s="101">
        <f t="shared" si="6"/>
        <v>10555.480718639996</v>
      </c>
      <c r="P5" s="101">
        <f t="shared" si="6"/>
        <v>10739.666418839999</v>
      </c>
      <c r="Q5" s="101">
        <f t="shared" si="6"/>
        <v>11145.711081959998</v>
      </c>
      <c r="R5" s="101">
        <f t="shared" si="6"/>
        <v>11344.21325028</v>
      </c>
      <c r="S5" s="101">
        <f t="shared" si="6"/>
        <v>11351.45856564</v>
      </c>
      <c r="T5" s="101">
        <f t="shared" si="6"/>
        <v>11607.037389359999</v>
      </c>
      <c r="U5" s="101">
        <f t="shared" si="6"/>
        <v>11319.695348759999</v>
      </c>
      <c r="V5" s="101">
        <f t="shared" si="6"/>
        <v>10411.678560960001</v>
      </c>
      <c r="W5" s="101">
        <f t="shared" ref="W5:Y5" si="7">SUM(W6:W8)</f>
        <v>10550.567383920001</v>
      </c>
      <c r="X5" s="101">
        <f t="shared" si="7"/>
        <v>10480.220213400002</v>
      </c>
      <c r="Y5" s="101">
        <f t="shared" si="7"/>
        <v>10448.1634806</v>
      </c>
      <c r="DA5" s="175"/>
    </row>
    <row r="6" spans="1:105" ht="11.45" customHeight="1" x14ac:dyDescent="0.25">
      <c r="A6" s="128" t="s">
        <v>52</v>
      </c>
      <c r="B6" s="101">
        <v>26.123400000000004</v>
      </c>
      <c r="C6" s="101">
        <v>29.026050479999995</v>
      </c>
      <c r="D6" s="101">
        <v>31.92870095999999</v>
      </c>
      <c r="E6" s="101">
        <v>26.123400000000004</v>
      </c>
      <c r="F6" s="101">
        <v>23.220749519999998</v>
      </c>
      <c r="G6" s="101">
        <v>20.318099040000003</v>
      </c>
      <c r="H6" s="101">
        <v>17.415675720000003</v>
      </c>
      <c r="I6" s="101">
        <v>14.513025240000001</v>
      </c>
      <c r="J6" s="101">
        <v>11.610374759999999</v>
      </c>
      <c r="K6" s="101">
        <v>8.707724279999999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0</v>
      </c>
      <c r="S6" s="101">
        <v>0</v>
      </c>
      <c r="T6" s="101">
        <v>0</v>
      </c>
      <c r="U6" s="101">
        <v>0</v>
      </c>
      <c r="V6" s="101">
        <v>0</v>
      </c>
      <c r="W6" s="101">
        <v>0</v>
      </c>
      <c r="X6" s="101">
        <v>0</v>
      </c>
      <c r="Y6" s="101">
        <v>0</v>
      </c>
      <c r="DA6" s="175" t="s">
        <v>741</v>
      </c>
    </row>
    <row r="7" spans="1:105" ht="11.45" customHeight="1" x14ac:dyDescent="0.25">
      <c r="A7" s="128" t="s">
        <v>53</v>
      </c>
      <c r="B7" s="101">
        <v>5858.2062831600015</v>
      </c>
      <c r="C7" s="101">
        <v>5779.2872768399993</v>
      </c>
      <c r="D7" s="101">
        <v>5803.5701631600004</v>
      </c>
      <c r="E7" s="101">
        <v>5818.7467799999986</v>
      </c>
      <c r="F7" s="101">
        <v>5748.9340431599994</v>
      </c>
      <c r="G7" s="101">
        <v>5575.9196631600016</v>
      </c>
      <c r="H7" s="101">
        <v>5475.7534431599997</v>
      </c>
      <c r="I7" s="101">
        <v>5427.1879200000012</v>
      </c>
      <c r="J7" s="101">
        <v>5166.1487631599994</v>
      </c>
      <c r="K7" s="101">
        <v>4911.1802031600009</v>
      </c>
      <c r="L7" s="101">
        <v>4568.1866168400002</v>
      </c>
      <c r="M7" s="101">
        <v>4471.0558200000014</v>
      </c>
      <c r="N7" s="101">
        <v>4009.6842231599985</v>
      </c>
      <c r="O7" s="101">
        <v>3876.129096839999</v>
      </c>
      <c r="P7" s="101">
        <v>3833.6344200000008</v>
      </c>
      <c r="Q7" s="101">
        <v>4031.1920048399988</v>
      </c>
      <c r="R7" s="101">
        <v>3997.6287119999997</v>
      </c>
      <c r="S7" s="101">
        <v>3807.2147374800002</v>
      </c>
      <c r="T7" s="101">
        <v>3819.3531868800005</v>
      </c>
      <c r="U7" s="101">
        <v>3822.868110599999</v>
      </c>
      <c r="V7" s="101">
        <v>3410.6992088400002</v>
      </c>
      <c r="W7" s="101">
        <v>3499.6620304800003</v>
      </c>
      <c r="X7" s="101">
        <v>3477.7347343200008</v>
      </c>
      <c r="Y7" s="101">
        <v>3516.7207244399992</v>
      </c>
      <c r="DA7" s="175" t="s">
        <v>742</v>
      </c>
    </row>
    <row r="8" spans="1:105" ht="11.45" customHeight="1" x14ac:dyDescent="0.25">
      <c r="A8" s="128" t="s">
        <v>54</v>
      </c>
      <c r="B8" s="101">
        <v>5157.434070360001</v>
      </c>
      <c r="C8" s="101">
        <v>5321.9657696399991</v>
      </c>
      <c r="D8" s="101">
        <v>5407.3956596399994</v>
      </c>
      <c r="E8" s="101">
        <v>5882.0062485600001</v>
      </c>
      <c r="F8" s="101">
        <v>6343.9604092800009</v>
      </c>
      <c r="G8" s="101">
        <v>6635.0547900000001</v>
      </c>
      <c r="H8" s="101">
        <v>7087.5168296399997</v>
      </c>
      <c r="I8" s="101">
        <v>7748.8074003599986</v>
      </c>
      <c r="J8" s="101">
        <v>7714.0026896400013</v>
      </c>
      <c r="K8" s="101">
        <v>7290.0172800000009</v>
      </c>
      <c r="L8" s="101">
        <v>7552.6352974800011</v>
      </c>
      <c r="M8" s="101">
        <v>7315.3298696399997</v>
      </c>
      <c r="N8" s="101">
        <v>6752.1253503600001</v>
      </c>
      <c r="O8" s="101">
        <v>6679.3516217999977</v>
      </c>
      <c r="P8" s="101">
        <v>6906.0319988399988</v>
      </c>
      <c r="Q8" s="101">
        <v>7114.5190771199987</v>
      </c>
      <c r="R8" s="101">
        <v>7346.5845382799998</v>
      </c>
      <c r="S8" s="101">
        <v>7544.2438281599998</v>
      </c>
      <c r="T8" s="101">
        <v>7787.6842024799989</v>
      </c>
      <c r="U8" s="101">
        <v>7496.82723816</v>
      </c>
      <c r="V8" s="101">
        <v>7000.9793521199999</v>
      </c>
      <c r="W8" s="101">
        <v>7050.90535344</v>
      </c>
      <c r="X8" s="101">
        <v>7002.4854790800009</v>
      </c>
      <c r="Y8" s="101">
        <v>6931.4427561600014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4.194599678181226</v>
      </c>
      <c r="R9" s="101">
        <v>7.1578786262161147</v>
      </c>
      <c r="S9" s="101">
        <v>14.221644237483041</v>
      </c>
      <c r="T9" s="101">
        <v>17.143317196051402</v>
      </c>
      <c r="U9" s="101">
        <v>16.80596459484698</v>
      </c>
      <c r="V9" s="101">
        <v>15.412166647724153</v>
      </c>
      <c r="W9" s="101">
        <v>16.721418683344329</v>
      </c>
      <c r="X9" s="101">
        <v>17.345449689997768</v>
      </c>
      <c r="Y9" s="101">
        <v>16.048790731831545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11041.763753520001</v>
      </c>
      <c r="C17" s="79">
        <f t="shared" si="12"/>
        <v>11130.279096959999</v>
      </c>
      <c r="D17" s="79">
        <f t="shared" si="12"/>
        <v>11242.894523759998</v>
      </c>
      <c r="E17" s="79">
        <f t="shared" si="12"/>
        <v>11726.876428559999</v>
      </c>
      <c r="F17" s="79">
        <f t="shared" si="12"/>
        <v>12116.115201959998</v>
      </c>
      <c r="G17" s="79">
        <f t="shared" si="12"/>
        <v>12231.292552200001</v>
      </c>
      <c r="H17" s="79">
        <f t="shared" si="12"/>
        <v>12580.68594852</v>
      </c>
      <c r="I17" s="79">
        <f t="shared" si="12"/>
        <v>13190.508345599999</v>
      </c>
      <c r="J17" s="79">
        <f t="shared" si="12"/>
        <v>12891.761827560002</v>
      </c>
      <c r="K17" s="79">
        <f t="shared" si="12"/>
        <v>12209.905207440002</v>
      </c>
      <c r="L17" s="79">
        <f t="shared" ref="L17" si="13">SUM(L18,L33)</f>
        <v>12120.821914320002</v>
      </c>
      <c r="M17" s="79">
        <f t="shared" ref="M17:V17" si="14">SUM(M18,M33)</f>
        <v>11786.385689640001</v>
      </c>
      <c r="N17" s="79">
        <f t="shared" si="14"/>
        <v>10761.809573519999</v>
      </c>
      <c r="O17" s="79">
        <f t="shared" si="14"/>
        <v>10555.480718639996</v>
      </c>
      <c r="P17" s="79">
        <f t="shared" si="14"/>
        <v>10739.666418839999</v>
      </c>
      <c r="Q17" s="79">
        <f t="shared" si="14"/>
        <v>11149.905681638178</v>
      </c>
      <c r="R17" s="79">
        <f t="shared" si="14"/>
        <v>11351.371128906216</v>
      </c>
      <c r="S17" s="79">
        <f t="shared" si="14"/>
        <v>11365.680209877482</v>
      </c>
      <c r="T17" s="79">
        <f t="shared" si="14"/>
        <v>11624.18070655605</v>
      </c>
      <c r="U17" s="79">
        <f t="shared" si="14"/>
        <v>11336.501313354845</v>
      </c>
      <c r="V17" s="79">
        <f t="shared" si="14"/>
        <v>10427.090727607723</v>
      </c>
      <c r="W17" s="79">
        <f t="shared" ref="W17:Y17" si="15">SUM(W18,W33)</f>
        <v>10567.288802603343</v>
      </c>
      <c r="X17" s="79">
        <f t="shared" si="15"/>
        <v>10497.565663089999</v>
      </c>
      <c r="Y17" s="79">
        <f t="shared" si="15"/>
        <v>10464.212271331833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7057.3117898970631</v>
      </c>
      <c r="C18" s="32">
        <f t="shared" si="16"/>
        <v>6957.5924939860042</v>
      </c>
      <c r="D18" s="32">
        <f t="shared" si="16"/>
        <v>7035.4348743527426</v>
      </c>
      <c r="E18" s="32">
        <f t="shared" si="16"/>
        <v>7168.7522541494873</v>
      </c>
      <c r="F18" s="32">
        <f t="shared" si="16"/>
        <v>7214.2364289939724</v>
      </c>
      <c r="G18" s="32">
        <f t="shared" si="16"/>
        <v>7240.3222602448914</v>
      </c>
      <c r="H18" s="32">
        <f t="shared" si="16"/>
        <v>7320.1613231514229</v>
      </c>
      <c r="I18" s="32">
        <f t="shared" si="16"/>
        <v>7659.6413085789591</v>
      </c>
      <c r="J18" s="32">
        <f t="shared" si="16"/>
        <v>7627.5563342785881</v>
      </c>
      <c r="K18" s="32">
        <f t="shared" si="16"/>
        <v>7551.7864994723741</v>
      </c>
      <c r="L18" s="32">
        <f t="shared" ref="L18" si="17">SUM(L19,L20,L27)</f>
        <v>7495.8913474731226</v>
      </c>
      <c r="M18" s="32">
        <f t="shared" ref="M18:V18" si="18">SUM(M19,M20,M27)</f>
        <v>7522.3300445811292</v>
      </c>
      <c r="N18" s="32">
        <f t="shared" si="18"/>
        <v>6983.7220118011892</v>
      </c>
      <c r="O18" s="32">
        <f t="shared" si="18"/>
        <v>6926.834546022179</v>
      </c>
      <c r="P18" s="32">
        <f t="shared" si="18"/>
        <v>7045.0526812148009</v>
      </c>
      <c r="Q18" s="32">
        <f t="shared" si="18"/>
        <v>7603.3942334258954</v>
      </c>
      <c r="R18" s="32">
        <f t="shared" si="18"/>
        <v>7540.7626692966769</v>
      </c>
      <c r="S18" s="32">
        <f t="shared" si="18"/>
        <v>7495.5290265647318</v>
      </c>
      <c r="T18" s="32">
        <f t="shared" si="18"/>
        <v>7649.3330187870533</v>
      </c>
      <c r="U18" s="32">
        <f t="shared" si="18"/>
        <v>7541.0976630218865</v>
      </c>
      <c r="V18" s="32">
        <f t="shared" si="18"/>
        <v>6805.8952946987611</v>
      </c>
      <c r="W18" s="32">
        <f t="shared" ref="W18:Y18" si="19">SUM(W19,W20,W27)</f>
        <v>6873.2788183266293</v>
      </c>
      <c r="X18" s="32">
        <f t="shared" si="19"/>
        <v>6726.1231797475293</v>
      </c>
      <c r="Y18" s="32">
        <f t="shared" si="19"/>
        <v>6642.4701782690508</v>
      </c>
      <c r="DA18" s="173" t="s">
        <v>403</v>
      </c>
    </row>
    <row r="19" spans="1:105" ht="11.45" customHeight="1" x14ac:dyDescent="0.25">
      <c r="A19" s="136" t="s">
        <v>173</v>
      </c>
      <c r="B19" s="141">
        <v>68.548976128307714</v>
      </c>
      <c r="C19" s="141">
        <v>64.52364528112706</v>
      </c>
      <c r="D19" s="141">
        <v>66.666220746546543</v>
      </c>
      <c r="E19" s="141">
        <v>66.944900877929967</v>
      </c>
      <c r="F19" s="141">
        <v>66.121334090030629</v>
      </c>
      <c r="G19" s="141">
        <v>66.711081753367068</v>
      </c>
      <c r="H19" s="141">
        <v>68.987413939775365</v>
      </c>
      <c r="I19" s="141">
        <v>72.505059563568679</v>
      </c>
      <c r="J19" s="141">
        <v>72.288606719430973</v>
      </c>
      <c r="K19" s="141">
        <v>69.400065038864696</v>
      </c>
      <c r="L19" s="141">
        <v>67.752861518592965</v>
      </c>
      <c r="M19" s="141">
        <v>65.358830384400889</v>
      </c>
      <c r="N19" s="141">
        <v>65.313551701469748</v>
      </c>
      <c r="O19" s="141">
        <v>65.650886426671775</v>
      </c>
      <c r="P19" s="141">
        <v>66.611087332115048</v>
      </c>
      <c r="Q19" s="141">
        <v>66.855625978623181</v>
      </c>
      <c r="R19" s="141">
        <v>66.328790202529433</v>
      </c>
      <c r="S19" s="141">
        <v>62.395768152853357</v>
      </c>
      <c r="T19" s="141">
        <v>58.836075435898046</v>
      </c>
      <c r="U19" s="141">
        <v>60.941581599953935</v>
      </c>
      <c r="V19" s="141">
        <v>52.222593095488541</v>
      </c>
      <c r="W19" s="141">
        <v>53.559337341936214</v>
      </c>
      <c r="X19" s="141">
        <v>53.428499589774297</v>
      </c>
      <c r="Y19" s="141">
        <v>56.683198488047509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5925.3701396022007</v>
      </c>
      <c r="C20" s="130">
        <f t="shared" si="20"/>
        <v>5859.4515684825928</v>
      </c>
      <c r="D20" s="130">
        <f t="shared" si="20"/>
        <v>5960.8533900457805</v>
      </c>
      <c r="E20" s="130">
        <f t="shared" si="20"/>
        <v>6079.8499818076571</v>
      </c>
      <c r="F20" s="130">
        <f t="shared" si="20"/>
        <v>6143.5047688327513</v>
      </c>
      <c r="G20" s="130">
        <f t="shared" si="20"/>
        <v>6159.9219126304661</v>
      </c>
      <c r="H20" s="130">
        <f t="shared" si="20"/>
        <v>6230.4160311659234</v>
      </c>
      <c r="I20" s="130">
        <f t="shared" si="20"/>
        <v>6577.7873238038701</v>
      </c>
      <c r="J20" s="130">
        <f t="shared" si="20"/>
        <v>6531.0417264284661</v>
      </c>
      <c r="K20" s="130">
        <f t="shared" si="20"/>
        <v>6441.5716793795073</v>
      </c>
      <c r="L20" s="130">
        <f t="shared" ref="L20" si="21">SUM(L21:L26)</f>
        <v>6364.8134824571971</v>
      </c>
      <c r="M20" s="130">
        <f t="shared" ref="M20:V20" si="22">SUM(M21:M26)</f>
        <v>6453.6336626060438</v>
      </c>
      <c r="N20" s="130">
        <f t="shared" si="22"/>
        <v>6006.567760326524</v>
      </c>
      <c r="O20" s="130">
        <f t="shared" si="22"/>
        <v>5988.6023935174044</v>
      </c>
      <c r="P20" s="130">
        <f t="shared" si="22"/>
        <v>6073.088703474149</v>
      </c>
      <c r="Q20" s="130">
        <f t="shared" si="22"/>
        <v>6607.4199250642487</v>
      </c>
      <c r="R20" s="130">
        <f t="shared" si="22"/>
        <v>6512.5927376112595</v>
      </c>
      <c r="S20" s="130">
        <f t="shared" si="22"/>
        <v>6428.5383796583128</v>
      </c>
      <c r="T20" s="130">
        <f t="shared" si="22"/>
        <v>6588.5330034686895</v>
      </c>
      <c r="U20" s="130">
        <f t="shared" si="22"/>
        <v>6519.0452697094124</v>
      </c>
      <c r="V20" s="130">
        <f t="shared" si="22"/>
        <v>5799.9307628160286</v>
      </c>
      <c r="W20" s="130">
        <f t="shared" ref="W20:Y20" si="23">SUM(W21:W26)</f>
        <v>5887.0463231810718</v>
      </c>
      <c r="X20" s="130">
        <f t="shared" si="23"/>
        <v>5760.9677776263998</v>
      </c>
      <c r="Y20" s="130">
        <f t="shared" si="23"/>
        <v>5714.6005444561997</v>
      </c>
      <c r="DA20" s="176" t="s">
        <v>405</v>
      </c>
    </row>
    <row r="21" spans="1:105" ht="11.45" customHeight="1" x14ac:dyDescent="0.25">
      <c r="A21" s="111" t="s">
        <v>110</v>
      </c>
      <c r="B21" s="96">
        <v>5391.2139349658828</v>
      </c>
      <c r="C21" s="96">
        <v>5281.2623361347987</v>
      </c>
      <c r="D21" s="96">
        <v>5314.0174279429311</v>
      </c>
      <c r="E21" s="96">
        <v>5368.2828447039728</v>
      </c>
      <c r="F21" s="96">
        <v>5308.520787684578</v>
      </c>
      <c r="G21" s="96">
        <v>5146.9874811001337</v>
      </c>
      <c r="H21" s="96">
        <v>5055.2956688729273</v>
      </c>
      <c r="I21" s="96">
        <v>5019.3550028523514</v>
      </c>
      <c r="J21" s="96">
        <v>4796.1410874829071</v>
      </c>
      <c r="K21" s="96">
        <v>4578.334013506078</v>
      </c>
      <c r="L21" s="96">
        <v>4269.8541252085315</v>
      </c>
      <c r="M21" s="96">
        <v>4211.5082627305528</v>
      </c>
      <c r="N21" s="96">
        <v>3781.4705495900043</v>
      </c>
      <c r="O21" s="96">
        <v>3660.45249262988</v>
      </c>
      <c r="P21" s="96">
        <v>3630.1693160959653</v>
      </c>
      <c r="Q21" s="96">
        <v>3824.1434551939024</v>
      </c>
      <c r="R21" s="96">
        <v>3812.6054707366407</v>
      </c>
      <c r="S21" s="96">
        <v>3633.2373450138152</v>
      </c>
      <c r="T21" s="96">
        <v>3658.4448647259273</v>
      </c>
      <c r="U21" s="96">
        <v>3667.4066777471157</v>
      </c>
      <c r="V21" s="96">
        <v>3269.7947229273836</v>
      </c>
      <c r="W21" s="96">
        <v>3338.7373742732952</v>
      </c>
      <c r="X21" s="96">
        <v>3306.0806951199716</v>
      </c>
      <c r="Y21" s="96">
        <v>3333.8884915029857</v>
      </c>
      <c r="DA21" s="171" t="s">
        <v>751</v>
      </c>
    </row>
    <row r="22" spans="1:105" ht="11.45" customHeight="1" x14ac:dyDescent="0.25">
      <c r="A22" s="111" t="s">
        <v>111</v>
      </c>
      <c r="B22" s="96">
        <v>508.9844964723228</v>
      </c>
      <c r="C22" s="96">
        <v>550.14516736201449</v>
      </c>
      <c r="D22" s="96">
        <v>615.87849175410793</v>
      </c>
      <c r="E22" s="96">
        <v>686.33268086530813</v>
      </c>
      <c r="F22" s="96">
        <v>812.60516447825592</v>
      </c>
      <c r="G22" s="96">
        <v>993.31929991557774</v>
      </c>
      <c r="H22" s="96">
        <v>1158.2880859201098</v>
      </c>
      <c r="I22" s="96">
        <v>1544.3989907730183</v>
      </c>
      <c r="J22" s="96">
        <v>1723.6696627500105</v>
      </c>
      <c r="K22" s="96">
        <v>1854.8080419837315</v>
      </c>
      <c r="L22" s="96">
        <v>2094.9593572486651</v>
      </c>
      <c r="M22" s="96">
        <v>2242.125399875491</v>
      </c>
      <c r="N22" s="96">
        <v>2225.0752628547898</v>
      </c>
      <c r="O22" s="96">
        <v>2328.1156721820998</v>
      </c>
      <c r="P22" s="96">
        <v>2442.8657557074393</v>
      </c>
      <c r="Q22" s="96">
        <v>2768.9872673942341</v>
      </c>
      <c r="R22" s="96">
        <v>2698.8838109847643</v>
      </c>
      <c r="S22" s="96">
        <v>2794.0996960921088</v>
      </c>
      <c r="T22" s="96">
        <v>2926.7546556388161</v>
      </c>
      <c r="U22" s="96">
        <v>2846.2797053095142</v>
      </c>
      <c r="V22" s="96">
        <v>2517.8027963420923</v>
      </c>
      <c r="W22" s="96">
        <v>2518.3379502261596</v>
      </c>
      <c r="X22" s="96">
        <v>2412.2004406023575</v>
      </c>
      <c r="Y22" s="96">
        <v>2326.287731549377</v>
      </c>
      <c r="DA22" s="171" t="s">
        <v>752</v>
      </c>
    </row>
    <row r="23" spans="1:105" ht="11.45" customHeight="1" x14ac:dyDescent="0.25">
      <c r="A23" s="111" t="s">
        <v>112</v>
      </c>
      <c r="B23" s="96">
        <v>25.171708163995241</v>
      </c>
      <c r="C23" s="96">
        <v>28.044064985778942</v>
      </c>
      <c r="D23" s="96">
        <v>30.957470348741271</v>
      </c>
      <c r="E23" s="96">
        <v>25.234456238375774</v>
      </c>
      <c r="F23" s="96">
        <v>22.378816669917931</v>
      </c>
      <c r="G23" s="96">
        <v>19.615131614753899</v>
      </c>
      <c r="H23" s="96">
        <v>16.832276372886252</v>
      </c>
      <c r="I23" s="96">
        <v>14.033330178500124</v>
      </c>
      <c r="J23" s="96">
        <v>11.230976195548282</v>
      </c>
      <c r="K23" s="96">
        <v>8.4296238896973836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X23" s="96">
        <v>0</v>
      </c>
      <c r="Y23" s="96">
        <v>0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0.11259897773276129</v>
      </c>
      <c r="R24" s="96">
        <v>0.35394700541165858</v>
      </c>
      <c r="S24" s="96">
        <v>0.35477543744773249</v>
      </c>
      <c r="T24" s="96">
        <v>0.68384428743361403</v>
      </c>
      <c r="U24" s="96">
        <v>0.86981354042857961</v>
      </c>
      <c r="V24" s="96">
        <v>1.0242716092542896</v>
      </c>
      <c r="W24" s="96">
        <v>1.217039236716877</v>
      </c>
      <c r="X24" s="96">
        <v>1.2910372062658511</v>
      </c>
      <c r="Y24" s="96">
        <v>1.3959958783780553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2.1947881729543348E-2</v>
      </c>
      <c r="O25" s="96">
        <v>3.4228705424617173E-2</v>
      </c>
      <c r="P25" s="96">
        <v>5.3631670744935904E-2</v>
      </c>
      <c r="Q25" s="96">
        <v>14.176603498379423</v>
      </c>
      <c r="R25" s="96">
        <v>0.74950888444291675</v>
      </c>
      <c r="S25" s="96">
        <v>0.84656311494111758</v>
      </c>
      <c r="T25" s="96">
        <v>2.649638816512788</v>
      </c>
      <c r="U25" s="96">
        <v>4.4890731123538918</v>
      </c>
      <c r="V25" s="96">
        <v>11.308971937298102</v>
      </c>
      <c r="W25" s="96">
        <v>28.7539594449003</v>
      </c>
      <c r="X25" s="96">
        <v>41.395604697804949</v>
      </c>
      <c r="Y25" s="96">
        <v>53.028325525459103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1063.3926741665543</v>
      </c>
      <c r="C27" s="130">
        <f t="shared" si="24"/>
        <v>1033.6172802222848</v>
      </c>
      <c r="D27" s="130">
        <f t="shared" si="24"/>
        <v>1007.915263560415</v>
      </c>
      <c r="E27" s="130">
        <f t="shared" si="24"/>
        <v>1021.9573714639</v>
      </c>
      <c r="F27" s="130">
        <f t="shared" si="24"/>
        <v>1004.6103260711911</v>
      </c>
      <c r="G27" s="130">
        <f t="shared" si="24"/>
        <v>1013.6892658610587</v>
      </c>
      <c r="H27" s="130">
        <f t="shared" si="24"/>
        <v>1020.7578780457244</v>
      </c>
      <c r="I27" s="130">
        <f t="shared" si="24"/>
        <v>1009.3489252115203</v>
      </c>
      <c r="J27" s="130">
        <f t="shared" si="24"/>
        <v>1024.2260011306905</v>
      </c>
      <c r="K27" s="130">
        <f t="shared" si="24"/>
        <v>1040.8147550540023</v>
      </c>
      <c r="L27" s="130">
        <f t="shared" ref="L27" si="25">SUM(L28:L32)</f>
        <v>1063.3250034973325</v>
      </c>
      <c r="M27" s="130">
        <f t="shared" ref="M27:V27" si="26">SUM(M28:M32)</f>
        <v>1003.3375515906851</v>
      </c>
      <c r="N27" s="130">
        <f t="shared" si="26"/>
        <v>911.8406997731953</v>
      </c>
      <c r="O27" s="130">
        <f t="shared" si="26"/>
        <v>872.58126607810345</v>
      </c>
      <c r="P27" s="130">
        <f t="shared" si="26"/>
        <v>905.35289040853706</v>
      </c>
      <c r="Q27" s="130">
        <f t="shared" si="26"/>
        <v>929.11868238302395</v>
      </c>
      <c r="R27" s="130">
        <f t="shared" si="26"/>
        <v>961.84114148288745</v>
      </c>
      <c r="S27" s="130">
        <f t="shared" si="26"/>
        <v>1004.5948787535652</v>
      </c>
      <c r="T27" s="130">
        <f t="shared" si="26"/>
        <v>1001.9639398824654</v>
      </c>
      <c r="U27" s="130">
        <f t="shared" si="26"/>
        <v>961.11081171252022</v>
      </c>
      <c r="V27" s="130">
        <f t="shared" si="26"/>
        <v>953.74193878724441</v>
      </c>
      <c r="W27" s="130">
        <f t="shared" ref="W27:Y27" si="27">SUM(W28:W32)</f>
        <v>932.67315780362196</v>
      </c>
      <c r="X27" s="130">
        <f t="shared" si="27"/>
        <v>911.72690253135568</v>
      </c>
      <c r="Y27" s="130">
        <f t="shared" si="27"/>
        <v>871.18643532480394</v>
      </c>
      <c r="DA27" s="176" t="s">
        <v>406</v>
      </c>
    </row>
    <row r="28" spans="1:105" ht="11.45" customHeight="1" x14ac:dyDescent="0.25">
      <c r="A28" s="111" t="s">
        <v>110</v>
      </c>
      <c r="B28" s="97">
        <v>42.261691828960018</v>
      </c>
      <c r="C28" s="97">
        <v>42.881397126144506</v>
      </c>
      <c r="D28" s="97">
        <v>42.652394486062825</v>
      </c>
      <c r="E28" s="97">
        <v>27.126463707628595</v>
      </c>
      <c r="F28" s="97">
        <v>22.304111778418516</v>
      </c>
      <c r="G28" s="97">
        <v>20.965189821083772</v>
      </c>
      <c r="H28" s="97">
        <v>20.61254026034948</v>
      </c>
      <c r="I28" s="97">
        <v>19.611339695516165</v>
      </c>
      <c r="J28" s="97">
        <v>19.334881959567223</v>
      </c>
      <c r="K28" s="97">
        <v>18.128523379983005</v>
      </c>
      <c r="L28" s="97">
        <v>16.884183997076068</v>
      </c>
      <c r="M28" s="97">
        <v>15.87557495360001</v>
      </c>
      <c r="N28" s="97">
        <v>15.066703384929363</v>
      </c>
      <c r="O28" s="97">
        <v>15.870512614440775</v>
      </c>
      <c r="P28" s="97">
        <v>14.218370438244285</v>
      </c>
      <c r="Q28" s="97">
        <v>12.486638003521231</v>
      </c>
      <c r="R28" s="97">
        <v>11.384013275395722</v>
      </c>
      <c r="S28" s="97">
        <v>10.489175202457391</v>
      </c>
      <c r="T28" s="97">
        <v>9.3931316696326448</v>
      </c>
      <c r="U28" s="97">
        <v>8.2899258063294852</v>
      </c>
      <c r="V28" s="97">
        <v>7.492330973693087</v>
      </c>
      <c r="W28" s="97">
        <v>7.1410164564511955</v>
      </c>
      <c r="X28" s="97">
        <v>7.1127773903418792</v>
      </c>
      <c r="Y28" s="97">
        <v>6.5926712277311328</v>
      </c>
      <c r="DA28" s="175" t="s">
        <v>757</v>
      </c>
    </row>
    <row r="29" spans="1:105" ht="11.45" customHeight="1" x14ac:dyDescent="0.25">
      <c r="A29" s="111" t="s">
        <v>111</v>
      </c>
      <c r="B29" s="97">
        <v>1021.1309823375943</v>
      </c>
      <c r="C29" s="97">
        <v>990.73588309614036</v>
      </c>
      <c r="D29" s="97">
        <v>965.26286907435224</v>
      </c>
      <c r="E29" s="97">
        <v>994.83090775627147</v>
      </c>
      <c r="F29" s="97">
        <v>982.30621429277267</v>
      </c>
      <c r="G29" s="97">
        <v>992.72407603997499</v>
      </c>
      <c r="H29" s="97">
        <v>1000.1453377853749</v>
      </c>
      <c r="I29" s="97">
        <v>989.73758551600406</v>
      </c>
      <c r="J29" s="97">
        <v>1004.8911191711234</v>
      </c>
      <c r="K29" s="97">
        <v>1022.6862316740193</v>
      </c>
      <c r="L29" s="97">
        <v>1046.4408195002566</v>
      </c>
      <c r="M29" s="97">
        <v>987.46197663708506</v>
      </c>
      <c r="N29" s="97">
        <v>896.77399638826591</v>
      </c>
      <c r="O29" s="97">
        <v>856.71075346366263</v>
      </c>
      <c r="P29" s="97">
        <v>891.13451997029279</v>
      </c>
      <c r="Q29" s="97">
        <v>913.53415824878664</v>
      </c>
      <c r="R29" s="97">
        <v>944.64261156903274</v>
      </c>
      <c r="S29" s="97">
        <v>981.23365266671829</v>
      </c>
      <c r="T29" s="97">
        <v>977.11985890982203</v>
      </c>
      <c r="U29" s="97">
        <v>937.73327861627286</v>
      </c>
      <c r="V29" s="97">
        <v>932.65084213200009</v>
      </c>
      <c r="W29" s="97">
        <v>910.76135497086113</v>
      </c>
      <c r="X29" s="97">
        <v>889.17094360632473</v>
      </c>
      <c r="Y29" s="97">
        <v>850.47163745358125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X30" s="97">
        <v>0</v>
      </c>
      <c r="Y30" s="97">
        <v>0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3.0978861307161001</v>
      </c>
      <c r="R31" s="97">
        <v>5.8145166384589695</v>
      </c>
      <c r="S31" s="97">
        <v>12.872050884389509</v>
      </c>
      <c r="T31" s="97">
        <v>15.450949303010743</v>
      </c>
      <c r="U31" s="97">
        <v>15.087607289917852</v>
      </c>
      <c r="V31" s="97">
        <v>13.598765681551154</v>
      </c>
      <c r="W31" s="97">
        <v>14.770786376309585</v>
      </c>
      <c r="X31" s="97">
        <v>15.443181534689092</v>
      </c>
      <c r="Y31" s="97">
        <v>14.122126643491546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3984.4519636229388</v>
      </c>
      <c r="C33" s="32">
        <f t="shared" si="28"/>
        <v>4172.686602973994</v>
      </c>
      <c r="D33" s="32">
        <f t="shared" si="28"/>
        <v>4207.4596494072566</v>
      </c>
      <c r="E33" s="32">
        <f t="shared" si="28"/>
        <v>4558.1241744105118</v>
      </c>
      <c r="F33" s="32">
        <f t="shared" si="28"/>
        <v>4901.8787729660262</v>
      </c>
      <c r="G33" s="32">
        <f t="shared" si="28"/>
        <v>4990.97029195511</v>
      </c>
      <c r="H33" s="32">
        <f t="shared" si="28"/>
        <v>5260.5246253685764</v>
      </c>
      <c r="I33" s="32">
        <f t="shared" si="28"/>
        <v>5530.8670370210411</v>
      </c>
      <c r="J33" s="32">
        <f t="shared" si="28"/>
        <v>5264.2054932814135</v>
      </c>
      <c r="K33" s="32">
        <f t="shared" si="28"/>
        <v>4658.1187079676283</v>
      </c>
      <c r="L33" s="32">
        <f t="shared" ref="L33" si="29">L34+L40</f>
        <v>4624.9305668468796</v>
      </c>
      <c r="M33" s="32">
        <f t="shared" ref="M33:V33" si="30">M34+M40</f>
        <v>4264.055645058872</v>
      </c>
      <c r="N33" s="32">
        <f t="shared" si="30"/>
        <v>3778.0875617188094</v>
      </c>
      <c r="O33" s="32">
        <f t="shared" si="30"/>
        <v>3628.6461726178163</v>
      </c>
      <c r="P33" s="32">
        <f t="shared" si="30"/>
        <v>3694.6137376251972</v>
      </c>
      <c r="Q33" s="32">
        <f t="shared" si="30"/>
        <v>3546.5114482122835</v>
      </c>
      <c r="R33" s="32">
        <f t="shared" si="30"/>
        <v>3810.6084596095393</v>
      </c>
      <c r="S33" s="32">
        <f t="shared" si="30"/>
        <v>3870.1511833127506</v>
      </c>
      <c r="T33" s="32">
        <f t="shared" si="30"/>
        <v>3974.8476877689964</v>
      </c>
      <c r="U33" s="32">
        <f t="shared" si="30"/>
        <v>3795.4036503329598</v>
      </c>
      <c r="V33" s="32">
        <f t="shared" si="30"/>
        <v>3621.1954329089622</v>
      </c>
      <c r="W33" s="32">
        <f t="shared" ref="W33:Y33" si="31">W34+W40</f>
        <v>3694.009984276714</v>
      </c>
      <c r="X33" s="32">
        <f t="shared" si="31"/>
        <v>3771.4424833424705</v>
      </c>
      <c r="Y33" s="32">
        <f t="shared" si="31"/>
        <v>3821.7420930627823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1693.2380740620426</v>
      </c>
      <c r="C34" s="141">
        <f t="shared" si="32"/>
        <v>1761.3992791056733</v>
      </c>
      <c r="D34" s="141">
        <f t="shared" si="32"/>
        <v>1764.235829318636</v>
      </c>
      <c r="E34" s="141">
        <f t="shared" si="32"/>
        <v>1837.6633242665127</v>
      </c>
      <c r="F34" s="141">
        <f t="shared" si="32"/>
        <v>1981.7816454356907</v>
      </c>
      <c r="G34" s="141">
        <f t="shared" si="32"/>
        <v>2086.7769490905976</v>
      </c>
      <c r="H34" s="141">
        <f t="shared" si="32"/>
        <v>2272.9112731977907</v>
      </c>
      <c r="I34" s="141">
        <f t="shared" si="32"/>
        <v>2476.6620023515179</v>
      </c>
      <c r="J34" s="141">
        <f t="shared" si="32"/>
        <v>2452.1912701047486</v>
      </c>
      <c r="K34" s="141">
        <f t="shared" si="32"/>
        <v>2269.968313246482</v>
      </c>
      <c r="L34" s="141">
        <f t="shared" ref="L34" si="33">SUM(L35:L39)</f>
        <v>2191.5753831276493</v>
      </c>
      <c r="M34" s="141">
        <f t="shared" ref="M34:V34" si="34">SUM(M35:M39)</f>
        <v>1927.9780001284503</v>
      </c>
      <c r="N34" s="141">
        <f t="shared" si="34"/>
        <v>1726.0896348018534</v>
      </c>
      <c r="O34" s="141">
        <f t="shared" si="34"/>
        <v>1629.5668741745963</v>
      </c>
      <c r="P34" s="141">
        <f t="shared" si="34"/>
        <v>1555.3278069951832</v>
      </c>
      <c r="Q34" s="141">
        <f t="shared" si="34"/>
        <v>1568.4227184531153</v>
      </c>
      <c r="R34" s="141">
        <f t="shared" si="34"/>
        <v>1562.1740210853068</v>
      </c>
      <c r="S34" s="141">
        <f t="shared" si="34"/>
        <v>1586.7784774013837</v>
      </c>
      <c r="T34" s="141">
        <f t="shared" si="34"/>
        <v>1598.3997725731183</v>
      </c>
      <c r="U34" s="141">
        <f t="shared" si="34"/>
        <v>1502.7951407099927</v>
      </c>
      <c r="V34" s="141">
        <f t="shared" si="34"/>
        <v>1396.8181786375137</v>
      </c>
      <c r="W34" s="141">
        <f t="shared" ref="W34:Y34" si="35">SUM(W35:W39)</f>
        <v>1432.1729044306608</v>
      </c>
      <c r="X34" s="141">
        <f t="shared" si="35"/>
        <v>1524.426172705812</v>
      </c>
      <c r="Y34" s="141">
        <f t="shared" si="35"/>
        <v>1535.7145362001772</v>
      </c>
      <c r="DA34" s="174" t="s">
        <v>412</v>
      </c>
    </row>
    <row r="35" spans="1:105" ht="11.45" customHeight="1" x14ac:dyDescent="0.25">
      <c r="A35" s="111" t="s">
        <v>110</v>
      </c>
      <c r="B35" s="96">
        <v>356.18168023685064</v>
      </c>
      <c r="C35" s="96">
        <v>390.61989829792878</v>
      </c>
      <c r="D35" s="96">
        <v>380.23411998445926</v>
      </c>
      <c r="E35" s="96">
        <v>356.392570710467</v>
      </c>
      <c r="F35" s="96">
        <v>351.9878096069728</v>
      </c>
      <c r="G35" s="96">
        <v>341.25591048541685</v>
      </c>
      <c r="H35" s="96">
        <v>330.85782008694673</v>
      </c>
      <c r="I35" s="96">
        <v>315.71651788856491</v>
      </c>
      <c r="J35" s="96">
        <v>278.38418699809449</v>
      </c>
      <c r="K35" s="96">
        <v>245.31760123507547</v>
      </c>
      <c r="L35" s="96">
        <v>213.69544611580028</v>
      </c>
      <c r="M35" s="96">
        <v>178.31315193144783</v>
      </c>
      <c r="N35" s="96">
        <v>147.81147060186541</v>
      </c>
      <c r="O35" s="96">
        <v>134.12097646358146</v>
      </c>
      <c r="P35" s="96">
        <v>122.58201446293089</v>
      </c>
      <c r="Q35" s="96">
        <v>113.52968216557312</v>
      </c>
      <c r="R35" s="96">
        <v>106.56092890099123</v>
      </c>
      <c r="S35" s="96">
        <v>100.24588599593237</v>
      </c>
      <c r="T35" s="96">
        <v>90.02947623202914</v>
      </c>
      <c r="U35" s="96">
        <v>81.740852334246156</v>
      </c>
      <c r="V35" s="96">
        <v>69.880589906136265</v>
      </c>
      <c r="W35" s="96">
        <v>71.470342963417167</v>
      </c>
      <c r="X35" s="96">
        <v>69.717157522108721</v>
      </c>
      <c r="Y35" s="96">
        <v>66.52803769577632</v>
      </c>
      <c r="DA35" s="171" t="s">
        <v>762</v>
      </c>
    </row>
    <row r="36" spans="1:105" ht="11.45" customHeight="1" x14ac:dyDescent="0.25">
      <c r="A36" s="111" t="s">
        <v>111</v>
      </c>
      <c r="B36" s="96">
        <v>1336.1047019891871</v>
      </c>
      <c r="C36" s="96">
        <v>1369.7973953135233</v>
      </c>
      <c r="D36" s="96">
        <v>1383.0304787229179</v>
      </c>
      <c r="E36" s="96">
        <v>1480.3818097944215</v>
      </c>
      <c r="F36" s="96">
        <v>1628.9519029786359</v>
      </c>
      <c r="G36" s="96">
        <v>1744.8180711799346</v>
      </c>
      <c r="H36" s="96">
        <v>1941.4700537637302</v>
      </c>
      <c r="I36" s="96">
        <v>2160.4657894014531</v>
      </c>
      <c r="J36" s="96">
        <v>2173.4276845422028</v>
      </c>
      <c r="K36" s="96">
        <v>2024.3726116211037</v>
      </c>
      <c r="L36" s="96">
        <v>1977.8799370118491</v>
      </c>
      <c r="M36" s="96">
        <v>1749.6648481970024</v>
      </c>
      <c r="N36" s="96">
        <v>1578.2781641999879</v>
      </c>
      <c r="O36" s="96">
        <v>1495.4458977110148</v>
      </c>
      <c r="P36" s="96">
        <v>1432.7457925322524</v>
      </c>
      <c r="Q36" s="96">
        <v>1453.9089217178098</v>
      </c>
      <c r="R36" s="96">
        <v>1454.6236772019699</v>
      </c>
      <c r="S36" s="96">
        <v>1485.5377734898054</v>
      </c>
      <c r="T36" s="96">
        <v>1507.3617727354822</v>
      </c>
      <c r="U36" s="96">
        <v>1420.2057446112458</v>
      </c>
      <c r="V36" s="96">
        <v>1326.1484593744588</v>
      </c>
      <c r="W36" s="96">
        <v>1359.9689683969257</v>
      </c>
      <c r="X36" s="96">
        <v>1454.0977842346604</v>
      </c>
      <c r="Y36" s="96">
        <v>1468.6558302944391</v>
      </c>
      <c r="DA36" s="171" t="s">
        <v>763</v>
      </c>
    </row>
    <row r="37" spans="1:105" ht="11.45" customHeight="1" x14ac:dyDescent="0.25">
      <c r="A37" s="111" t="s">
        <v>112</v>
      </c>
      <c r="B37" s="96">
        <v>0.95169183600476426</v>
      </c>
      <c r="C37" s="96">
        <v>0.98198549422105363</v>
      </c>
      <c r="D37" s="96">
        <v>0.97123061125871979</v>
      </c>
      <c r="E37" s="96">
        <v>0.88894376162422828</v>
      </c>
      <c r="F37" s="96">
        <v>0.84193285008206709</v>
      </c>
      <c r="G37" s="96">
        <v>0.70296742524610589</v>
      </c>
      <c r="H37" s="96">
        <v>0.58339934711375063</v>
      </c>
      <c r="I37" s="96">
        <v>0.47969506149987878</v>
      </c>
      <c r="J37" s="96">
        <v>0.37939856445171938</v>
      </c>
      <c r="K37" s="96">
        <v>0.27810039030261591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X37" s="96">
        <v>0</v>
      </c>
      <c r="Y37" s="96">
        <v>0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0.98411456973236533</v>
      </c>
      <c r="R38" s="96">
        <v>0.98941498234548642</v>
      </c>
      <c r="S38" s="96">
        <v>0.9948179156457998</v>
      </c>
      <c r="T38" s="96">
        <v>1.0085236056070455</v>
      </c>
      <c r="U38" s="96">
        <v>0.84854376450054714</v>
      </c>
      <c r="V38" s="96">
        <v>0.78912935691870878</v>
      </c>
      <c r="W38" s="96">
        <v>0.7335930703178688</v>
      </c>
      <c r="X38" s="96">
        <v>0.61123094904282471</v>
      </c>
      <c r="Y38" s="96">
        <v>0.5306682099619463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2291.2138895608964</v>
      </c>
      <c r="C40" s="130">
        <f t="shared" si="36"/>
        <v>2411.2873238683205</v>
      </c>
      <c r="D40" s="130">
        <f t="shared" si="36"/>
        <v>2443.2238200886209</v>
      </c>
      <c r="E40" s="130">
        <f t="shared" si="36"/>
        <v>2720.4608501439989</v>
      </c>
      <c r="F40" s="130">
        <f t="shared" si="36"/>
        <v>2920.0971275303355</v>
      </c>
      <c r="G40" s="130">
        <f t="shared" si="36"/>
        <v>2904.1933428645125</v>
      </c>
      <c r="H40" s="130">
        <f t="shared" si="36"/>
        <v>2987.6133521707852</v>
      </c>
      <c r="I40" s="130">
        <f t="shared" si="36"/>
        <v>3054.2050346695232</v>
      </c>
      <c r="J40" s="130">
        <f t="shared" si="36"/>
        <v>2812.0142231766649</v>
      </c>
      <c r="K40" s="130">
        <f t="shared" si="36"/>
        <v>2388.1503947211463</v>
      </c>
      <c r="L40" s="130">
        <f t="shared" ref="L40" si="37">SUM(L41:L42)</f>
        <v>2433.3551837192304</v>
      </c>
      <c r="M40" s="130">
        <f t="shared" ref="M40:V40" si="38">SUM(M41:M42)</f>
        <v>2336.0776449304212</v>
      </c>
      <c r="N40" s="130">
        <f t="shared" si="38"/>
        <v>2051.9979269169562</v>
      </c>
      <c r="O40" s="130">
        <f t="shared" si="38"/>
        <v>1999.0792984432201</v>
      </c>
      <c r="P40" s="130">
        <f t="shared" si="38"/>
        <v>2139.2859306300143</v>
      </c>
      <c r="Q40" s="130">
        <f t="shared" si="38"/>
        <v>1978.0887297591682</v>
      </c>
      <c r="R40" s="130">
        <f t="shared" si="38"/>
        <v>2248.4344385242325</v>
      </c>
      <c r="S40" s="130">
        <f t="shared" si="38"/>
        <v>2283.3727059113667</v>
      </c>
      <c r="T40" s="130">
        <f t="shared" si="38"/>
        <v>2376.4479151958781</v>
      </c>
      <c r="U40" s="130">
        <f t="shared" si="38"/>
        <v>2292.6085096229672</v>
      </c>
      <c r="V40" s="130">
        <f t="shared" si="38"/>
        <v>2224.3772542714482</v>
      </c>
      <c r="W40" s="130">
        <f t="shared" ref="W40:Y40" si="39">SUM(W41:W42)</f>
        <v>2261.8370798460533</v>
      </c>
      <c r="X40" s="130">
        <f t="shared" si="39"/>
        <v>2247.0163106366585</v>
      </c>
      <c r="Y40" s="130">
        <f t="shared" si="39"/>
        <v>2286.0275568626048</v>
      </c>
      <c r="DA40" s="176" t="s">
        <v>413</v>
      </c>
    </row>
    <row r="41" spans="1:105" ht="11.45" customHeight="1" x14ac:dyDescent="0.25">
      <c r="A41" s="128" t="s">
        <v>27</v>
      </c>
      <c r="B41" s="97">
        <v>1571.6325771878289</v>
      </c>
      <c r="C41" s="97">
        <v>1618.5251908772755</v>
      </c>
      <c r="D41" s="97">
        <v>1598.4497338548647</v>
      </c>
      <c r="E41" s="97">
        <v>1727.3034209547927</v>
      </c>
      <c r="F41" s="97">
        <v>1674.4786494713239</v>
      </c>
      <c r="G41" s="97">
        <v>1648.0917074338884</v>
      </c>
      <c r="H41" s="97">
        <v>1715.2456682062173</v>
      </c>
      <c r="I41" s="97">
        <v>1749.0414315442706</v>
      </c>
      <c r="J41" s="97">
        <v>1627.36459035284</v>
      </c>
      <c r="K41" s="97">
        <v>1399.1921143443963</v>
      </c>
      <c r="L41" s="97">
        <v>1432.887964026889</v>
      </c>
      <c r="M41" s="97">
        <v>1436.4643172783669</v>
      </c>
      <c r="N41" s="97">
        <v>1376.7841439886263</v>
      </c>
      <c r="O41" s="97">
        <v>1338.2416927239719</v>
      </c>
      <c r="P41" s="97">
        <v>1386.9946106325349</v>
      </c>
      <c r="Q41" s="97">
        <v>1318.4335506416894</v>
      </c>
      <c r="R41" s="97">
        <v>1340.4459171021069</v>
      </c>
      <c r="S41" s="97">
        <v>1280.6366253994768</v>
      </c>
      <c r="T41" s="97">
        <v>1265.1826729985969</v>
      </c>
      <c r="U41" s="97">
        <v>1244.9601366183424</v>
      </c>
      <c r="V41" s="97">
        <v>1233.9548120139173</v>
      </c>
      <c r="W41" s="97">
        <v>1249.6476084418316</v>
      </c>
      <c r="X41" s="97">
        <v>1228.1055984531115</v>
      </c>
      <c r="Y41" s="97">
        <v>1218.7564956028555</v>
      </c>
      <c r="DA41" s="175" t="s">
        <v>767</v>
      </c>
    </row>
    <row r="42" spans="1:105" ht="11.45" customHeight="1" x14ac:dyDescent="0.25">
      <c r="A42" s="138" t="s">
        <v>116</v>
      </c>
      <c r="B42" s="98">
        <v>719.58131237306736</v>
      </c>
      <c r="C42" s="98">
        <v>792.76213299104529</v>
      </c>
      <c r="D42" s="98">
        <v>844.77408623375629</v>
      </c>
      <c r="E42" s="98">
        <v>993.15742918920603</v>
      </c>
      <c r="F42" s="98">
        <v>1245.6184780590117</v>
      </c>
      <c r="G42" s="98">
        <v>1256.1016354306241</v>
      </c>
      <c r="H42" s="98">
        <v>1272.3676839645677</v>
      </c>
      <c r="I42" s="98">
        <v>1305.1636031252524</v>
      </c>
      <c r="J42" s="98">
        <v>1184.649632823825</v>
      </c>
      <c r="K42" s="98">
        <v>988.95828037675005</v>
      </c>
      <c r="L42" s="98">
        <v>1000.4672196923414</v>
      </c>
      <c r="M42" s="98">
        <v>899.61332765205429</v>
      </c>
      <c r="N42" s="98">
        <v>675.21378292832969</v>
      </c>
      <c r="O42" s="98">
        <v>660.83760571924813</v>
      </c>
      <c r="P42" s="98">
        <v>752.29131999747938</v>
      </c>
      <c r="Q42" s="98">
        <v>659.65517911747884</v>
      </c>
      <c r="R42" s="98">
        <v>907.98852142212547</v>
      </c>
      <c r="S42" s="98">
        <v>1002.7360805118899</v>
      </c>
      <c r="T42" s="98">
        <v>1111.2652421972812</v>
      </c>
      <c r="U42" s="98">
        <v>1047.648373004625</v>
      </c>
      <c r="V42" s="98">
        <v>990.42244225753097</v>
      </c>
      <c r="W42" s="98">
        <v>1012.1894714042218</v>
      </c>
      <c r="X42" s="98">
        <v>1018.910712183547</v>
      </c>
      <c r="Y42" s="98">
        <v>1067.2710612597491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2.9912620750659387</v>
      </c>
      <c r="C47" s="145">
        <f>IF(C4=0,0,C4/TrRoad_ene!C4)</f>
        <v>2.9934012255632596</v>
      </c>
      <c r="D47" s="145">
        <f>IF(D4=0,0,D4/TrRoad_ene!D4)</f>
        <v>2.99389285315159</v>
      </c>
      <c r="E47" s="145">
        <f>IF(E4=0,0,E4/TrRoad_ene!E4)</f>
        <v>2.9982117352128439</v>
      </c>
      <c r="F47" s="145">
        <f>IF(F4=0,0,F4/TrRoad_ene!F4)</f>
        <v>3.002731213584477</v>
      </c>
      <c r="G47" s="145">
        <f>IF(G4=0,0,G4/TrRoad_ene!G4)</f>
        <v>3.0066124238037073</v>
      </c>
      <c r="H47" s="145">
        <f>IF(H4=0,0,H4/TrRoad_ene!H4)</f>
        <v>3.0081665092499983</v>
      </c>
      <c r="I47" s="145">
        <f>IF(I4=0,0,I4/TrRoad_ene!I4)</f>
        <v>3.0119395682389043</v>
      </c>
      <c r="J47" s="145">
        <f>IF(J4=0,0,J4/TrRoad_ene!J4)</f>
        <v>3.0145708810512168</v>
      </c>
      <c r="K47" s="145">
        <f>IF(K4=0,0,K4/TrRoad_ene!K4)</f>
        <v>3.0114945308320196</v>
      </c>
      <c r="L47" s="145">
        <f>IF(L4=0,0,L4/TrRoad_ene!L4)</f>
        <v>3.0034179382162676</v>
      </c>
      <c r="M47" s="145">
        <f>IF(M4=0,0,M4/TrRoad_ene!M4)</f>
        <v>2.9250329234740424</v>
      </c>
      <c r="N47" s="145">
        <f>IF(N4=0,0,N4/TrRoad_ene!N4)</f>
        <v>2.858558569890576</v>
      </c>
      <c r="O47" s="145">
        <f>IF(O4=0,0,O4/TrRoad_ene!O4)</f>
        <v>2.8549983132230681</v>
      </c>
      <c r="P47" s="145">
        <f>IF(P4=0,0,P4/TrRoad_ene!P4)</f>
        <v>2.8553642700478639</v>
      </c>
      <c r="Q47" s="145">
        <f>IF(Q4=0,0,Q4/TrRoad_ene!Q4)</f>
        <v>2.8578499181358583</v>
      </c>
      <c r="R47" s="145">
        <f>IF(R4=0,0,R4/TrRoad_ene!R4)</f>
        <v>2.8603299731197422</v>
      </c>
      <c r="S47" s="145">
        <f>IF(S4=0,0,S4/TrRoad_ene!S4)</f>
        <v>2.8640314913820175</v>
      </c>
      <c r="T47" s="145">
        <f>IF(T4=0,0,T4/TrRoad_ene!T4)</f>
        <v>2.8691359049472518</v>
      </c>
      <c r="U47" s="145">
        <f>IF(U4=0,0,U4/TrRoad_ene!U4)</f>
        <v>2.8515591482749882</v>
      </c>
      <c r="V47" s="145">
        <f>IF(V4=0,0,V4/TrRoad_ene!V4)</f>
        <v>2.8156975537641196</v>
      </c>
      <c r="W47" s="145">
        <f>IF(W4=0,0,W4/TrRoad_ene!W4)</f>
        <v>2.7979178967073328</v>
      </c>
      <c r="X47" s="145">
        <f>IF(X4=0,0,X4/TrRoad_ene!X4)</f>
        <v>2.7943958297918039</v>
      </c>
      <c r="Y47" s="145">
        <f>IF(Y4=0,0,Y4/TrRoad_ene!Y4)</f>
        <v>2.7786819267737997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2.8955817297231823</v>
      </c>
      <c r="I48" s="97">
        <f>IF(I7=0,0,(I7+I12)/(TrRoad_ene!I7+TrRoad_ene!I12))</f>
        <v>2.8925768137942098</v>
      </c>
      <c r="J48" s="97">
        <f>IF(J7=0,0,(J7+J12)/(TrRoad_ene!J7+TrRoad_ene!J12))</f>
        <v>2.893162715633014</v>
      </c>
      <c r="K48" s="97">
        <f>IF(K7=0,0,(K7+K12)/(TrRoad_ene!K7+TrRoad_ene!K12))</f>
        <v>2.892733642073984</v>
      </c>
      <c r="L48" s="97">
        <f>IF(L7=0,0,(L7+L12)/(TrRoad_ene!L7+TrRoad_ene!L12))</f>
        <v>2.8529191457294423</v>
      </c>
      <c r="M48" s="97">
        <f>IF(M7=0,0,(M7+M12)/(TrRoad_ene!M7+TrRoad_ene!M12))</f>
        <v>2.8152377754423812</v>
      </c>
      <c r="N48" s="97">
        <f>IF(N7=0,0,(N7+N12)/(TrRoad_ene!N7+TrRoad_ene!N12))</f>
        <v>2.7993992295482966</v>
      </c>
      <c r="O48" s="97">
        <f>IF(O7=0,0,(O7+O12)/(TrRoad_ene!O7+TrRoad_ene!O12))</f>
        <v>2.8050432355466084</v>
      </c>
      <c r="P48" s="97">
        <f>IF(P7=0,0,(P7+P12)/(TrRoad_ene!P7+TrRoad_ene!P12))</f>
        <v>2.8066286612076161</v>
      </c>
      <c r="Q48" s="97">
        <f>IF(Q7=0,0,(Q7+Q12)/(TrRoad_ene!Q7+TrRoad_ene!Q12))</f>
        <v>2.812383561332485</v>
      </c>
      <c r="R48" s="97">
        <f>IF(R7=0,0,(R7+R12)/(TrRoad_ene!R7+TrRoad_ene!R12))</f>
        <v>2.8118556464375812</v>
      </c>
      <c r="S48" s="97">
        <f>IF(S7=0,0,(S7+S12)/(TrRoad_ene!S7+TrRoad_ene!S12))</f>
        <v>2.8081528943380256</v>
      </c>
      <c r="T48" s="97">
        <f>IF(T7=0,0,(T7+T12)/(TrRoad_ene!T7+TrRoad_ene!T12))</f>
        <v>2.80981423360595</v>
      </c>
      <c r="U48" s="97">
        <f>IF(U7=0,0,(U7+U12)/(TrRoad_ene!U7+TrRoad_ene!U12))</f>
        <v>2.8083174363382994</v>
      </c>
      <c r="V48" s="97">
        <f>IF(V7=0,0,(V7+V12)/(TrRoad_ene!V7+TrRoad_ene!V12))</f>
        <v>2.7171066806428978</v>
      </c>
      <c r="W48" s="97">
        <f>IF(W7=0,0,(W7+W12)/(TrRoad_ene!W7+TrRoad_ene!W12))</f>
        <v>2.7170891817018266</v>
      </c>
      <c r="X48" s="97">
        <f>IF(X7=0,0,(X7+X12)/(TrRoad_ene!X7+TrRoad_ene!X12))</f>
        <v>2.7200854533221839</v>
      </c>
      <c r="Y48" s="97">
        <f>IF(Y7=0,0,(Y7+Y12)/(TrRoad_ene!Y7+TrRoad_ene!Y12))</f>
        <v>2.7134200638648771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3.1024188000000001</v>
      </c>
      <c r="J49" s="97">
        <f>IF(J8=0,0,(J8+J13+J14)/(TrRoad_ene!J8+TrRoad_ene!J13+TrRoad_ene!J14))</f>
        <v>3.1024188000000001</v>
      </c>
      <c r="K49" s="97">
        <f>IF(K8=0,0,(K8+K13+K14)/(TrRoad_ene!K8+TrRoad_ene!K13+TrRoad_ene!K14))</f>
        <v>3.0976957434812782</v>
      </c>
      <c r="L49" s="97">
        <f>IF(L8=0,0,(L8+L13+L14)/(TrRoad_ene!L8+TrRoad_ene!L13+TrRoad_ene!L14))</f>
        <v>3.1024188000000001</v>
      </c>
      <c r="M49" s="97">
        <f>IF(M8=0,0,(M8+M13+M14)/(TrRoad_ene!M8+TrRoad_ene!M13+TrRoad_ene!M14))</f>
        <v>2.9965612898893652</v>
      </c>
      <c r="N49" s="97">
        <f>IF(N8=0,0,(N8+N13+N14)/(TrRoad_ene!N8+TrRoad_ene!N13+TrRoad_ene!N14))</f>
        <v>2.8951075235124502</v>
      </c>
      <c r="O49" s="97">
        <f>IF(O8=0,0,(O8+O13+O14)/(TrRoad_ene!O8+TrRoad_ene!O13+TrRoad_ene!O14))</f>
        <v>2.8851663517532287</v>
      </c>
      <c r="P49" s="97">
        <f>IF(P8=0,0,(P8+P13+P14)/(TrRoad_ene!P8+TrRoad_ene!P13+TrRoad_ene!P14))</f>
        <v>2.8838548793096686</v>
      </c>
      <c r="Q49" s="97">
        <f>IF(Q8=0,0,(Q8+Q13+Q14)/(TrRoad_ene!Q8+TrRoad_ene!Q13+TrRoad_ene!Q14))</f>
        <v>2.8879980290189331</v>
      </c>
      <c r="R49" s="97">
        <f>IF(R8=0,0,(R8+R13+R14)/(TrRoad_ene!R8+TrRoad_ene!R13+TrRoad_ene!R14))</f>
        <v>2.8906682095669494</v>
      </c>
      <c r="S49" s="97">
        <f>IF(S8=0,0,(S8+S13+S14)/(TrRoad_ene!S8+TrRoad_ene!S13+TrRoad_ene!S14))</f>
        <v>2.8976568036576844</v>
      </c>
      <c r="T49" s="97">
        <f>IF(T8=0,0,(T8+T13+T14)/(TrRoad_ene!T8+TrRoad_ene!T13+TrRoad_ene!T14))</f>
        <v>2.9045738448641805</v>
      </c>
      <c r="U49" s="97">
        <f>IF(U8=0,0,(U8+U13+U14)/(TrRoad_ene!U8+TrRoad_ene!U13+TrRoad_ene!U14))</f>
        <v>2.8843841841195164</v>
      </c>
      <c r="V49" s="97">
        <f>IF(V8=0,0,(V8+V13+V14)/(TrRoad_ene!V8+TrRoad_ene!V13+TrRoad_ene!V14))</f>
        <v>2.8830322872205918</v>
      </c>
      <c r="W49" s="97">
        <f>IF(W8=0,0,(W8+W13+W14)/(TrRoad_ene!W8+TrRoad_ene!W13+TrRoad_ene!W14))</f>
        <v>2.8808590923954092</v>
      </c>
      <c r="X49" s="97">
        <f>IF(X8=0,0,(X8+X13+X14)/(TrRoad_ene!X8+TrRoad_ene!X13+TrRoad_ene!X14))</f>
        <v>2.9046079249746675</v>
      </c>
      <c r="Y49" s="97">
        <f>IF(Y8=0,0,(Y8+Y13+Y14)/(TrRoad_ene!Y8+TrRoad_ene!Y13+TrRoad_ene!Y14))</f>
        <v>2.9284790536840846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0</v>
      </c>
      <c r="M50" s="97">
        <f>IF(M6=0,0,M6/TrRoad_ene!M6)</f>
        <v>0</v>
      </c>
      <c r="N50" s="97">
        <f>IF(N6=0,0,N6/TrRoad_ene!N6)</f>
        <v>0</v>
      </c>
      <c r="O50" s="97">
        <f>IF(O6=0,0,O6/TrRoad_ene!O6)</f>
        <v>0</v>
      </c>
      <c r="P50" s="97">
        <f>IF(P6=0,0,P6/TrRoad_ene!P6)</f>
        <v>0</v>
      </c>
      <c r="Q50" s="97">
        <f>IF(Q6=0,0,Q6/TrRoad_ene!Q6)</f>
        <v>0</v>
      </c>
      <c r="R50" s="97">
        <f>IF(R6=0,0,R6/TrRoad_ene!R6)</f>
        <v>0</v>
      </c>
      <c r="S50" s="97">
        <f>IF(S6=0,0,S6/TrRoad_ene!S6)</f>
        <v>0</v>
      </c>
      <c r="T50" s="97">
        <f>IF(T6=0,0,T6/TrRoad_ene!T6)</f>
        <v>0</v>
      </c>
      <c r="U50" s="97">
        <f>IF(U6=0,0,U6/TrRoad_ene!U6)</f>
        <v>0</v>
      </c>
      <c r="V50" s="97">
        <f>IF(V6=0,0,V6/TrRoad_ene!V6)</f>
        <v>0</v>
      </c>
      <c r="W50" s="97">
        <f>IF(W6=0,0,W6/TrRoad_ene!W6)</f>
        <v>0</v>
      </c>
      <c r="X50" s="97">
        <f>IF(X6=0,0,X6/TrRoad_ene!X6)</f>
        <v>0</v>
      </c>
      <c r="Y50" s="97">
        <f>IF(Y6=0,0,Y6/TrRoad_ene!Y6)</f>
        <v>0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2.3001176037176503</v>
      </c>
      <c r="R51" s="97">
        <f>IF(R9=0,0,(R9+R11)/(TrRoad_ene!R9+TrRoad_ene!R11))</f>
        <v>2.2081201173181282</v>
      </c>
      <c r="S51" s="97">
        <f>IF(S9=0,0,(S9+S11)/(TrRoad_ene!S9+TrRoad_ene!S11))</f>
        <v>2.1169553626254674</v>
      </c>
      <c r="T51" s="97">
        <f>IF(T9=0,0,(T9+T11)/(TrRoad_ene!T9+TrRoad_ene!T11))</f>
        <v>2.1813413309490906</v>
      </c>
      <c r="U51" s="97">
        <f>IF(U9=0,0,(U9+U11)/(TrRoad_ene!U9+TrRoad_ene!U11))</f>
        <v>1.9178453017580719</v>
      </c>
      <c r="V51" s="97">
        <f>IF(V9=0,0,(V9+V11)/(TrRoad_ene!V9+TrRoad_ene!V11))</f>
        <v>1.9464582200857008</v>
      </c>
      <c r="W51" s="97">
        <f>IF(W9=0,0,(W9+W11)/(TrRoad_ene!W9+TrRoad_ene!W11))</f>
        <v>1.8391694498410651</v>
      </c>
      <c r="X51" s="97">
        <f>IF(X9=0,0,(X9+X11)/(TrRoad_ene!X9+TrRoad_ene!X11))</f>
        <v>1.5807389347313345</v>
      </c>
      <c r="Y51" s="97">
        <f>IF(Y9=0,0,(Y9+Y11)/(TrRoad_ene!Y9+TrRoad_ene!Y11))</f>
        <v>1.4894855654871997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347.47709332767323</v>
      </c>
      <c r="C54" s="62">
        <f>IF(TrRoad_act!C30=0,0,C17/TrRoad_act!C30*1000
)</f>
        <v>342.83079778295547</v>
      </c>
      <c r="D54" s="62">
        <f>IF(TrRoad_act!D30=0,0,D17/TrRoad_act!D30*1000
)</f>
        <v>336.82247581026377</v>
      </c>
      <c r="E54" s="62">
        <f>IF(TrRoad_act!E30=0,0,E17/TrRoad_act!E30*1000
)</f>
        <v>338.92917444830039</v>
      </c>
      <c r="F54" s="62">
        <f>IF(TrRoad_act!F30=0,0,F17/TrRoad_act!F30*1000
)</f>
        <v>338.58371717632781</v>
      </c>
      <c r="G54" s="62">
        <f>IF(TrRoad_act!G30=0,0,G17/TrRoad_act!G30*1000
)</f>
        <v>331.49019883137993</v>
      </c>
      <c r="H54" s="62">
        <f>IF(TrRoad_act!H30=0,0,H17/TrRoad_act!H30*1000
)</f>
        <v>326.08135845604943</v>
      </c>
      <c r="I54" s="62">
        <f>IF(TrRoad_act!I30=0,0,I17/TrRoad_act!I30*1000
)</f>
        <v>315.96430414990596</v>
      </c>
      <c r="J54" s="62">
        <f>IF(TrRoad_act!J30=0,0,J17/TrRoad_act!J30*1000
)</f>
        <v>303.66839079941235</v>
      </c>
      <c r="K54" s="62">
        <f>IF(TrRoad_act!K30=0,0,K17/TrRoad_act!K30*1000
)</f>
        <v>292.6767299806238</v>
      </c>
      <c r="L54" s="62">
        <f>IF(TrRoad_act!L30=0,0,L17/TrRoad_act!L30*1000
)</f>
        <v>289.16882506716178</v>
      </c>
      <c r="M54" s="62">
        <f>IF(TrRoad_act!M30=0,0,M17/TrRoad_act!M30*1000
)</f>
        <v>274.52388570414928</v>
      </c>
      <c r="N54" s="62">
        <f>IF(TrRoad_act!N30=0,0,N17/TrRoad_act!N30*1000
)</f>
        <v>259.13376130094093</v>
      </c>
      <c r="O54" s="62">
        <f>IF(TrRoad_act!O30=0,0,O17/TrRoad_act!O30*1000
)</f>
        <v>251.29692508274482</v>
      </c>
      <c r="P54" s="62">
        <f>IF(TrRoad_act!P30=0,0,P17/TrRoad_act!P30*1000
)</f>
        <v>250.47477983070399</v>
      </c>
      <c r="Q54" s="62">
        <f>IF(TrRoad_act!Q30=0,0,Q17/TrRoad_act!Q30*1000
)</f>
        <v>240.56451380151157</v>
      </c>
      <c r="R54" s="62">
        <f>IF(TrRoad_act!R30=0,0,R17/TrRoad_act!R30*1000
)</f>
        <v>238.83246833906983</v>
      </c>
      <c r="S54" s="62">
        <f>IF(TrRoad_act!S30=0,0,S17/TrRoad_act!S30*1000
)</f>
        <v>237.42015760145901</v>
      </c>
      <c r="T54" s="62">
        <f>IF(TrRoad_act!T30=0,0,T17/TrRoad_act!T30*1000
)</f>
        <v>236.53942962079185</v>
      </c>
      <c r="U54" s="62">
        <f>IF(TrRoad_act!U30=0,0,U17/TrRoad_act!U30*1000
)</f>
        <v>228.24831713630081</v>
      </c>
      <c r="V54" s="62">
        <f>IF(TrRoad_act!V30=0,0,V17/TrRoad_act!V30*1000
)</f>
        <v>223.06697384514896</v>
      </c>
      <c r="W54" s="62">
        <f>IF(TrRoad_act!W30=0,0,W17/TrRoad_act!W30*1000
)</f>
        <v>212.30052579201478</v>
      </c>
      <c r="X54" s="62">
        <f>IF(TrRoad_act!X30=0,0,X17/TrRoad_act!X30*1000
)</f>
        <v>209.38157492498289</v>
      </c>
      <c r="Y54" s="62">
        <f>IF(TrRoad_act!Y30=0,0,Y17/TrRoad_act!Y30*1000
)</f>
        <v>201.96214936134911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279.65534046000698</v>
      </c>
      <c r="C55" s="29">
        <f>IF(TrRoad_act!C31=0,0,C18/TrRoad_act!C31*1000
)</f>
        <v>273.74320881664755</v>
      </c>
      <c r="D55" s="29">
        <f>IF(TrRoad_act!D31=0,0,D18/TrRoad_act!D31*1000
)</f>
        <v>269.90313220157105</v>
      </c>
      <c r="E55" s="29">
        <f>IF(TrRoad_act!E31=0,0,E18/TrRoad_act!E31*1000
)</f>
        <v>268.54024432722343</v>
      </c>
      <c r="F55" s="29">
        <f>IF(TrRoad_act!F31=0,0,F18/TrRoad_act!F31*1000
)</f>
        <v>265.79618835715934</v>
      </c>
      <c r="G55" s="29">
        <f>IF(TrRoad_act!G31=0,0,G18/TrRoad_act!G31*1000
)</f>
        <v>261.90563788147557</v>
      </c>
      <c r="H55" s="29">
        <f>IF(TrRoad_act!H31=0,0,H18/TrRoad_act!H31*1000
)</f>
        <v>258.27147820373631</v>
      </c>
      <c r="I55" s="29">
        <f>IF(TrRoad_act!I31=0,0,I18/TrRoad_act!I31*1000
)</f>
        <v>251.28882326399915</v>
      </c>
      <c r="J55" s="29">
        <f>IF(TrRoad_act!J31=0,0,J18/TrRoad_act!J31*1000
)</f>
        <v>245.83944417412121</v>
      </c>
      <c r="K55" s="29">
        <f>IF(TrRoad_act!K31=0,0,K18/TrRoad_act!K31*1000
)</f>
        <v>242.72394143480392</v>
      </c>
      <c r="L55" s="29">
        <f>IF(TrRoad_act!L31=0,0,L18/TrRoad_act!L31*1000
)</f>
        <v>237.35592192992101</v>
      </c>
      <c r="M55" s="29">
        <f>IF(TrRoad_act!M31=0,0,M18/TrRoad_act!M31*1000
)</f>
        <v>225.07320032571644</v>
      </c>
      <c r="N55" s="29">
        <f>IF(TrRoad_act!N31=0,0,N18/TrRoad_act!N31*1000
)</f>
        <v>213.92668507675779</v>
      </c>
      <c r="O55" s="29">
        <f>IF(TrRoad_act!O31=0,0,O18/TrRoad_act!O31*1000
)</f>
        <v>207.0566371201073</v>
      </c>
      <c r="P55" s="29">
        <f>IF(TrRoad_act!P31=0,0,P18/TrRoad_act!P31*1000
)</f>
        <v>203.70888882996215</v>
      </c>
      <c r="Q55" s="29">
        <f>IF(TrRoad_act!Q31=0,0,Q18/TrRoad_act!Q31*1000
)</f>
        <v>200.30813501940244</v>
      </c>
      <c r="R55" s="29">
        <f>IF(TrRoad_act!R31=0,0,R18/TrRoad_act!R31*1000
)</f>
        <v>193.25368926229982</v>
      </c>
      <c r="S55" s="29">
        <f>IF(TrRoad_act!S31=0,0,S18/TrRoad_act!S31*1000
)</f>
        <v>191.08117786787778</v>
      </c>
      <c r="T55" s="29">
        <f>IF(TrRoad_act!T31=0,0,T18/TrRoad_act!T31*1000
)</f>
        <v>189.39747315341839</v>
      </c>
      <c r="U55" s="29">
        <f>IF(TrRoad_act!U31=0,0,U18/TrRoad_act!U31*1000
)</f>
        <v>183.48473749003347</v>
      </c>
      <c r="V55" s="29">
        <f>IF(TrRoad_act!V31=0,0,V18/TrRoad_act!V31*1000
)</f>
        <v>176.47372017479319</v>
      </c>
      <c r="W55" s="29">
        <f>IF(TrRoad_act!W31=0,0,W18/TrRoad_act!W31*1000
)</f>
        <v>166.01877590148646</v>
      </c>
      <c r="X55" s="29">
        <f>IF(TrRoad_act!X31=0,0,X18/TrRoad_act!X31*1000
)</f>
        <v>162.44702492366261</v>
      </c>
      <c r="Y55" s="29">
        <f>IF(TrRoad_act!Y31=0,0,Y18/TrRoad_act!Y31*1000
)</f>
        <v>153.84650726943681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122.52520390503769</v>
      </c>
      <c r="C56" s="152">
        <f>IF(TrRoad_act!C32=0,0,C19/TrRoad_act!C32*1000
)</f>
        <v>121.49845895923988</v>
      </c>
      <c r="D56" s="152">
        <f>IF(TrRoad_act!D32=0,0,D19/TrRoad_act!D32*1000
)</f>
        <v>120.73571423615861</v>
      </c>
      <c r="E56" s="152">
        <f>IF(TrRoad_act!E32=0,0,E19/TrRoad_act!E32*1000
)</f>
        <v>120.04380576970458</v>
      </c>
      <c r="F56" s="152">
        <f>IF(TrRoad_act!F32=0,0,F19/TrRoad_act!F32*1000
)</f>
        <v>118.69270856973976</v>
      </c>
      <c r="G56" s="152">
        <f>IF(TrRoad_act!G32=0,0,G19/TrRoad_act!G32*1000
)</f>
        <v>116.57477676819465</v>
      </c>
      <c r="H56" s="152">
        <f>IF(TrRoad_act!H32=0,0,H19/TrRoad_act!H32*1000
)</f>
        <v>114.44684540184039</v>
      </c>
      <c r="I56" s="152">
        <f>IF(TrRoad_act!I32=0,0,I19/TrRoad_act!I32*1000
)</f>
        <v>112.63446772442782</v>
      </c>
      <c r="J56" s="152">
        <f>IF(TrRoad_act!J32=0,0,J19/TrRoad_act!J32*1000
)</f>
        <v>112.29821462659382</v>
      </c>
      <c r="K56" s="152">
        <f>IF(TrRoad_act!K32=0,0,K19/TrRoad_act!K32*1000
)</f>
        <v>111.9622299746285</v>
      </c>
      <c r="L56" s="152">
        <f>IF(TrRoad_act!L32=0,0,L19/TrRoad_act!L32*1000
)</f>
        <v>109.04801952677076</v>
      </c>
      <c r="M56" s="152">
        <f>IF(TrRoad_act!M32=0,0,M19/TrRoad_act!M32*1000
)</f>
        <v>105.89560247722666</v>
      </c>
      <c r="N56" s="152">
        <f>IF(TrRoad_act!N32=0,0,N19/TrRoad_act!N32*1000
)</f>
        <v>104.97136742087514</v>
      </c>
      <c r="O56" s="152">
        <f>IF(TrRoad_act!O32=0,0,O19/TrRoad_act!O32*1000
)</f>
        <v>104.10711319573564</v>
      </c>
      <c r="P56" s="152">
        <f>IF(TrRoad_act!P32=0,0,P19/TrRoad_act!P32*1000
)</f>
        <v>103.64720973744777</v>
      </c>
      <c r="Q56" s="152">
        <f>IF(TrRoad_act!Q32=0,0,Q19/TrRoad_act!Q32*1000
)</f>
        <v>103.15311590131093</v>
      </c>
      <c r="R56" s="152">
        <f>IF(TrRoad_act!R32=0,0,R19/TrRoad_act!R32*1000
)</f>
        <v>102.63960763441924</v>
      </c>
      <c r="S56" s="152">
        <f>IF(TrRoad_act!S32=0,0,S19/TrRoad_act!S32*1000
)</f>
        <v>102.76517972884716</v>
      </c>
      <c r="T56" s="152">
        <f>IF(TrRoad_act!T32=0,0,T19/TrRoad_act!T32*1000
)</f>
        <v>102.00924805039259</v>
      </c>
      <c r="U56" s="152">
        <f>IF(TrRoad_act!U32=0,0,U19/TrRoad_act!U32*1000
)</f>
        <v>100.81208238877403</v>
      </c>
      <c r="V56" s="152">
        <f>IF(TrRoad_act!V32=0,0,V19/TrRoad_act!V32*1000
)</f>
        <v>96.790471935671718</v>
      </c>
      <c r="W56" s="152">
        <f>IF(TrRoad_act!W32=0,0,W19/TrRoad_act!W32*1000
)</f>
        <v>96.04311073685227</v>
      </c>
      <c r="X56" s="152">
        <f>IF(TrRoad_act!X32=0,0,X19/TrRoad_act!X32*1000
)</f>
        <v>95.531412845757004</v>
      </c>
      <c r="Y56" s="152">
        <f>IF(TrRoad_act!Y32=0,0,Y19/TrRoad_act!Y32*1000
)</f>
        <v>94.76813838943275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246.40500507550701</v>
      </c>
      <c r="C57" s="116">
        <f>IF(TrRoad_act!C33=0,0,C20/TrRoad_act!C33*1000
)</f>
        <v>241.52300914041246</v>
      </c>
      <c r="D57" s="116">
        <f>IF(TrRoad_act!D33=0,0,D20/TrRoad_act!D33*1000
)</f>
        <v>239.40562451732987</v>
      </c>
      <c r="E57" s="116">
        <f>IF(TrRoad_act!E33=0,0,E20/TrRoad_act!E33*1000
)</f>
        <v>238.17099672538075</v>
      </c>
      <c r="F57" s="116">
        <f>IF(TrRoad_act!F33=0,0,F20/TrRoad_act!F33*1000
)</f>
        <v>236.43499802213728</v>
      </c>
      <c r="G57" s="116">
        <f>IF(TrRoad_act!G33=0,0,G20/TrRoad_act!G33*1000
)</f>
        <v>232.79675637196584</v>
      </c>
      <c r="H57" s="116">
        <f>IF(TrRoad_act!H33=0,0,H20/TrRoad_act!H33*1000
)</f>
        <v>229.76810604090531</v>
      </c>
      <c r="I57" s="116">
        <f>IF(TrRoad_act!I33=0,0,I20/TrRoad_act!I33*1000
)</f>
        <v>225.13018812810489</v>
      </c>
      <c r="J57" s="116">
        <f>IF(TrRoad_act!J33=0,0,J20/TrRoad_act!J33*1000
)</f>
        <v>219.50235980055035</v>
      </c>
      <c r="K57" s="116">
        <f>IF(TrRoad_act!K33=0,0,K20/TrRoad_act!K33*1000
)</f>
        <v>215.77181942595115</v>
      </c>
      <c r="L57" s="116">
        <f>IF(TrRoad_act!L33=0,0,L20/TrRoad_act!L33*1000
)</f>
        <v>210.0020201559839</v>
      </c>
      <c r="M57" s="116">
        <f>IF(TrRoad_act!M33=0,0,M20/TrRoad_act!M33*1000
)</f>
        <v>200.61669013198292</v>
      </c>
      <c r="N57" s="116">
        <f>IF(TrRoad_act!N33=0,0,N20/TrRoad_act!N33*1000
)</f>
        <v>191.14099281140332</v>
      </c>
      <c r="O57" s="116">
        <f>IF(TrRoad_act!O33=0,0,O20/TrRoad_act!O33*1000
)</f>
        <v>185.71404203790652</v>
      </c>
      <c r="P57" s="116">
        <f>IF(TrRoad_act!P33=0,0,P20/TrRoad_act!P33*1000
)</f>
        <v>182.12232067119251</v>
      </c>
      <c r="Q57" s="116">
        <f>IF(TrRoad_act!Q33=0,0,Q20/TrRoad_act!Q33*1000
)</f>
        <v>180.01725872498849</v>
      </c>
      <c r="R57" s="116">
        <f>IF(TrRoad_act!R33=0,0,R20/TrRoad_act!R33*1000
)</f>
        <v>172.51997604343529</v>
      </c>
      <c r="S57" s="116">
        <f>IF(TrRoad_act!S33=0,0,S20/TrRoad_act!S33*1000
)</f>
        <v>169.29784625361131</v>
      </c>
      <c r="T57" s="116">
        <f>IF(TrRoad_act!T33=0,0,T20/TrRoad_act!T33*1000
)</f>
        <v>168.20804572111783</v>
      </c>
      <c r="U57" s="116">
        <f>IF(TrRoad_act!U33=0,0,U20/TrRoad_act!U33*1000
)</f>
        <v>163.50517991427057</v>
      </c>
      <c r="V57" s="116">
        <f>IF(TrRoad_act!V33=0,0,V20/TrRoad_act!V33*1000
)</f>
        <v>155.05805378818525</v>
      </c>
      <c r="W57" s="116">
        <f>IF(TrRoad_act!W33=0,0,W20/TrRoad_act!W33*1000
)</f>
        <v>146.36763393315945</v>
      </c>
      <c r="X57" s="116">
        <f>IF(TrRoad_act!X33=0,0,X20/TrRoad_act!X33*1000
)</f>
        <v>143.23474988274543</v>
      </c>
      <c r="Y57" s="116">
        <f>IF(TrRoad_act!Y33=0,0,Y20/TrRoad_act!Y33*1000
)</f>
        <v>136.21488989620133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247.08351898050381</v>
      </c>
      <c r="C58" s="87">
        <f>IF(TrRoad_act!C34=0,0,C21/TrRoad_act!C34*1000
)</f>
        <v>243.41701472992932</v>
      </c>
      <c r="D58" s="87">
        <f>IF(TrRoad_act!D34=0,0,D21/TrRoad_act!D34*1000
)</f>
        <v>241.45125505151614</v>
      </c>
      <c r="E58" s="87">
        <f>IF(TrRoad_act!E34=0,0,E21/TrRoad_act!E34*1000
)</f>
        <v>239.6867346140051</v>
      </c>
      <c r="F58" s="87">
        <f>IF(TrRoad_act!F34=0,0,F21/TrRoad_act!F34*1000
)</f>
        <v>237.18906549159055</v>
      </c>
      <c r="G58" s="87">
        <f>IF(TrRoad_act!G34=0,0,G21/TrRoad_act!G34*1000
)</f>
        <v>234.04329933923984</v>
      </c>
      <c r="H58" s="87">
        <f>IF(TrRoad_act!H34=0,0,H21/TrRoad_act!H34*1000
)</f>
        <v>230.93769600492058</v>
      </c>
      <c r="I58" s="87">
        <f>IF(TrRoad_act!I34=0,0,I21/TrRoad_act!I34*1000
)</f>
        <v>226.70203930531642</v>
      </c>
      <c r="J58" s="87">
        <f>IF(TrRoad_act!J34=0,0,J21/TrRoad_act!J34*1000
)</f>
        <v>222.96205837077557</v>
      </c>
      <c r="K58" s="87">
        <f>IF(TrRoad_act!K34=0,0,K21/TrRoad_act!K34*1000
)</f>
        <v>219.58570404720231</v>
      </c>
      <c r="L58" s="87">
        <f>IF(TrRoad_act!L34=0,0,L21/TrRoad_act!L34*1000
)</f>
        <v>212.24439692030347</v>
      </c>
      <c r="M58" s="87">
        <f>IF(TrRoad_act!M34=0,0,M21/TrRoad_act!M34*1000
)</f>
        <v>204.36266640544281</v>
      </c>
      <c r="N58" s="87">
        <f>IF(TrRoad_act!N34=0,0,N21/TrRoad_act!N34*1000
)</f>
        <v>197.34304501821984</v>
      </c>
      <c r="O58" s="87">
        <f>IF(TrRoad_act!O34=0,0,O21/TrRoad_act!O34*1000
)</f>
        <v>191.40110531448829</v>
      </c>
      <c r="P58" s="87">
        <f>IF(TrRoad_act!P34=0,0,P21/TrRoad_act!P34*1000
)</f>
        <v>184.83230486558068</v>
      </c>
      <c r="Q58" s="87">
        <f>IF(TrRoad_act!Q34=0,0,Q21/TrRoad_act!Q34*1000
)</f>
        <v>187.35087947114459</v>
      </c>
      <c r="R58" s="87">
        <f>IF(TrRoad_act!R34=0,0,R21/TrRoad_act!R34*1000
)</f>
        <v>173.46330107799622</v>
      </c>
      <c r="S58" s="87">
        <f>IF(TrRoad_act!S34=0,0,S21/TrRoad_act!S34*1000
)</f>
        <v>168.51317455668897</v>
      </c>
      <c r="T58" s="87">
        <f>IF(TrRoad_act!T34=0,0,T21/TrRoad_act!T34*1000
)</f>
        <v>164.91633029369888</v>
      </c>
      <c r="U58" s="87">
        <f>IF(TrRoad_act!U34=0,0,U21/TrRoad_act!U34*1000
)</f>
        <v>161.02441080525921</v>
      </c>
      <c r="V58" s="87">
        <f>IF(TrRoad_act!V34=0,0,V21/TrRoad_act!V34*1000
)</f>
        <v>151.74540597888756</v>
      </c>
      <c r="W58" s="87">
        <f>IF(TrRoad_act!W34=0,0,W21/TrRoad_act!W34*1000
)</f>
        <v>143.83088730532501</v>
      </c>
      <c r="X58" s="87">
        <f>IF(TrRoad_act!X34=0,0,X21/TrRoad_act!X34*1000
)</f>
        <v>145.03079524744737</v>
      </c>
      <c r="Y58" s="87">
        <f>IF(TrRoad_act!Y34=0,0,Y21/TrRoad_act!Y34*1000
)</f>
        <v>141.13405874800665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241.57836390701956</v>
      </c>
      <c r="C59" s="87">
        <f>IF(TrRoad_act!C35=0,0,C22/TrRoad_act!C35*1000
)</f>
        <v>225.08878423776497</v>
      </c>
      <c r="D59" s="87">
        <f>IF(TrRoad_act!D35=0,0,D22/TrRoad_act!D35*1000
)</f>
        <v>221.6193531494184</v>
      </c>
      <c r="E59" s="87">
        <f>IF(TrRoad_act!E35=0,0,E22/TrRoad_act!E35*1000
)</f>
        <v>226.20214421026242</v>
      </c>
      <c r="F59" s="87">
        <f>IF(TrRoad_act!F35=0,0,F22/TrRoad_act!F35*1000
)</f>
        <v>231.06233902520745</v>
      </c>
      <c r="G59" s="87">
        <f>IF(TrRoad_act!G35=0,0,G22/TrRoad_act!G35*1000
)</f>
        <v>225.95801437234022</v>
      </c>
      <c r="H59" s="87">
        <f>IF(TrRoad_act!H35=0,0,H22/TrRoad_act!H35*1000
)</f>
        <v>224.32548624150354</v>
      </c>
      <c r="I59" s="87">
        <f>IF(TrRoad_act!I35=0,0,I22/TrRoad_act!I35*1000
)</f>
        <v>219.94688636631585</v>
      </c>
      <c r="J59" s="87">
        <f>IF(TrRoad_act!J35=0,0,J22/TrRoad_act!J35*1000
)</f>
        <v>210.23933315248019</v>
      </c>
      <c r="K59" s="87">
        <f>IF(TrRoad_act!K35=0,0,K22/TrRoad_act!K35*1000
)</f>
        <v>206.73481201135604</v>
      </c>
      <c r="L59" s="87">
        <f>IF(TrRoad_act!L35=0,0,L22/TrRoad_act!L35*1000
)</f>
        <v>205.58979957418762</v>
      </c>
      <c r="M59" s="87">
        <f>IF(TrRoad_act!M35=0,0,M22/TrRoad_act!M35*1000
)</f>
        <v>194.0496239124941</v>
      </c>
      <c r="N59" s="87">
        <f>IF(TrRoad_act!N35=0,0,N22/TrRoad_act!N35*1000
)</f>
        <v>181.65032344170714</v>
      </c>
      <c r="O59" s="87">
        <f>IF(TrRoad_act!O35=0,0,O22/TrRoad_act!O35*1000
)</f>
        <v>177.705166593179</v>
      </c>
      <c r="P59" s="87">
        <f>IF(TrRoad_act!P35=0,0,P22/TrRoad_act!P35*1000
)</f>
        <v>178.80855415792675</v>
      </c>
      <c r="Q59" s="87">
        <f>IF(TrRoad_act!Q35=0,0,Q22/TrRoad_act!Q35*1000
)</f>
        <v>172.23398147850526</v>
      </c>
      <c r="R59" s="87">
        <f>IF(TrRoad_act!R35=0,0,R22/TrRoad_act!R35*1000
)</f>
        <v>172.63031831892536</v>
      </c>
      <c r="S59" s="87">
        <f>IF(TrRoad_act!S35=0,0,S22/TrRoad_act!S35*1000
)</f>
        <v>171.86427475360648</v>
      </c>
      <c r="T59" s="87">
        <f>IF(TrRoad_act!T35=0,0,T22/TrRoad_act!T35*1000
)</f>
        <v>174.56740481930197</v>
      </c>
      <c r="U59" s="87">
        <f>IF(TrRoad_act!U35=0,0,U22/TrRoad_act!U35*1000
)</f>
        <v>169.97249143811305</v>
      </c>
      <c r="V59" s="87">
        <f>IF(TrRoad_act!V35=0,0,V22/TrRoad_act!V35*1000
)</f>
        <v>166.46877123482213</v>
      </c>
      <c r="W59" s="87">
        <f>IF(TrRoad_act!W35=0,0,W22/TrRoad_act!W35*1000
)</f>
        <v>165.22499106923939</v>
      </c>
      <c r="X59" s="87">
        <f>IF(TrRoad_act!X35=0,0,X22/TrRoad_act!X35*1000
)</f>
        <v>165.49827047256682</v>
      </c>
      <c r="Y59" s="87">
        <f>IF(TrRoad_act!Y35=0,0,Y22/TrRoad_act!Y35*1000
)</f>
        <v>168.17590999794913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208.08538220049326</v>
      </c>
      <c r="C60" s="87">
        <f>IF(TrRoad_act!C36=0,0,C23/TrRoad_act!C36*1000
)</f>
        <v>233.80524072351784</v>
      </c>
      <c r="D60" s="87">
        <f>IF(TrRoad_act!D36=0,0,D23/TrRoad_act!D36*1000
)</f>
        <v>279.13656063694708</v>
      </c>
      <c r="E60" s="87">
        <f>IF(TrRoad_act!E36=0,0,E23/TrRoad_act!E36*1000
)</f>
        <v>262.82705271922271</v>
      </c>
      <c r="F60" s="87">
        <f>IF(TrRoad_act!F36=0,0,F23/TrRoad_act!F36*1000
)</f>
        <v>259.86759542130625</v>
      </c>
      <c r="G60" s="87">
        <f>IF(TrRoad_act!G36=0,0,G23/TrRoad_act!G36*1000
)</f>
        <v>269.15816999137132</v>
      </c>
      <c r="H60" s="87">
        <f>IF(TrRoad_act!H36=0,0,H23/TrRoad_act!H36*1000
)</f>
        <v>269.84480753337903</v>
      </c>
      <c r="I60" s="87">
        <f>IF(TrRoad_act!I36=0,0,I23/TrRoad_act!I36*1000
)</f>
        <v>253.96992347398412</v>
      </c>
      <c r="J60" s="87">
        <f>IF(TrRoad_act!J36=0,0,J23/TrRoad_act!J36*1000
)</f>
        <v>253.9191612262851</v>
      </c>
      <c r="K60" s="87">
        <f>IF(TrRoad_act!K36=0,0,K23/TrRoad_act!K36*1000
)</f>
        <v>268.4582912870174</v>
      </c>
      <c r="L60" s="87">
        <f>IF(TrRoad_act!L36=0,0,L23/TrRoad_act!L36*1000
)</f>
        <v>0</v>
      </c>
      <c r="M60" s="87">
        <f>IF(TrRoad_act!M36=0,0,M23/TrRoad_act!M36*1000
)</f>
        <v>0</v>
      </c>
      <c r="N60" s="87">
        <f>IF(TrRoad_act!N36=0,0,N23/TrRoad_act!N36*1000
)</f>
        <v>0</v>
      </c>
      <c r="O60" s="87">
        <f>IF(TrRoad_act!O36=0,0,O23/TrRoad_act!O36*1000
)</f>
        <v>0</v>
      </c>
      <c r="P60" s="87">
        <f>IF(TrRoad_act!P36=0,0,P23/TrRoad_act!P36*1000
)</f>
        <v>0</v>
      </c>
      <c r="Q60" s="87">
        <f>IF(TrRoad_act!Q36=0,0,Q23/TrRoad_act!Q36*1000
)</f>
        <v>0</v>
      </c>
      <c r="R60" s="87">
        <f>IF(TrRoad_act!R36=0,0,R23/TrRoad_act!R36*1000
)</f>
        <v>0</v>
      </c>
      <c r="S60" s="87">
        <f>IF(TrRoad_act!S36=0,0,S23/TrRoad_act!S36*1000
)</f>
        <v>0</v>
      </c>
      <c r="T60" s="87">
        <f>IF(TrRoad_act!T36=0,0,T23/TrRoad_act!T36*1000
)</f>
        <v>0</v>
      </c>
      <c r="U60" s="87">
        <f>IF(TrRoad_act!U36=0,0,U23/TrRoad_act!U36*1000
)</f>
        <v>0</v>
      </c>
      <c r="V60" s="87">
        <f>IF(TrRoad_act!V36=0,0,V23/TrRoad_act!V36*1000
)</f>
        <v>0</v>
      </c>
      <c r="W60" s="87">
        <f>IF(TrRoad_act!W36=0,0,W23/TrRoad_act!W36*1000
)</f>
        <v>0</v>
      </c>
      <c r="X60" s="87">
        <f>IF(TrRoad_act!X36=0,0,X23/TrRoad_act!X36*1000
)</f>
        <v>0</v>
      </c>
      <c r="Y60" s="87">
        <f>IF(TrRoad_act!Y36=0,0,Y23/TrRoad_act!Y36*1000
)</f>
        <v>0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147.08265954535187</v>
      </c>
      <c r="R61" s="87">
        <f>IF(TrRoad_act!R37=0,0,R24/TrRoad_act!R37*1000
)</f>
        <v>172.88511548902872</v>
      </c>
      <c r="S61" s="87">
        <f>IF(TrRoad_act!S37=0,0,S24/TrRoad_act!S37*1000
)</f>
        <v>97.091692122522659</v>
      </c>
      <c r="T61" s="87">
        <f>IF(TrRoad_act!T37=0,0,T24/TrRoad_act!T37*1000
)</f>
        <v>107.70655905034684</v>
      </c>
      <c r="U61" s="87">
        <f>IF(TrRoad_act!U37=0,0,U24/TrRoad_act!U37*1000
)</f>
        <v>97.166892205713097</v>
      </c>
      <c r="V61" s="87">
        <f>IF(TrRoad_act!V37=0,0,V24/TrRoad_act!V37*1000
)</f>
        <v>99.190347784132541</v>
      </c>
      <c r="W61" s="87">
        <f>IF(TrRoad_act!W37=0,0,W24/TrRoad_act!W37*1000
)</f>
        <v>93.222974592325969</v>
      </c>
      <c r="X61" s="87">
        <f>IF(TrRoad_act!X37=0,0,X24/TrRoad_act!X37*1000
)</f>
        <v>79.807608194768221</v>
      </c>
      <c r="Y61" s="87">
        <f>IF(TrRoad_act!Y37=0,0,Y24/TrRoad_act!Y37*1000
)</f>
        <v>75.104009708054278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53.578856611821791</v>
      </c>
      <c r="O62" s="87">
        <f>IF(TrRoad_act!O38=0,0,O25/TrRoad_act!O38*1000
)</f>
        <v>62.049223484467447</v>
      </c>
      <c r="P62" s="87">
        <f>IF(TrRoad_act!P38=0,0,P25/TrRoad_act!P38*1000
)</f>
        <v>28.658508610739894</v>
      </c>
      <c r="Q62" s="87">
        <f>IF(TrRoad_act!Q38=0,0,Q25/TrRoad_act!Q38*1000
)</f>
        <v>131.05369949550789</v>
      </c>
      <c r="R62" s="87">
        <f>IF(TrRoad_act!R38=0,0,R25/TrRoad_act!R38*1000
)</f>
        <v>69.062853801117441</v>
      </c>
      <c r="S62" s="87">
        <f>IF(TrRoad_act!S38=0,0,S25/TrRoad_act!S38*1000
)</f>
        <v>52.43934289887919</v>
      </c>
      <c r="T62" s="87">
        <f>IF(TrRoad_act!T38=0,0,T25/TrRoad_act!T38*1000
)</f>
        <v>45.109984856739423</v>
      </c>
      <c r="U62" s="87">
        <f>IF(TrRoad_act!U38=0,0,U25/TrRoad_act!U38*1000
)</f>
        <v>41.11793214056771</v>
      </c>
      <c r="V62" s="87">
        <f>IF(TrRoad_act!V38=0,0,V25/TrRoad_act!V38*1000
)</f>
        <v>35.663988545995608</v>
      </c>
      <c r="W62" s="87">
        <f>IF(TrRoad_act!W38=0,0,W25/TrRoad_act!W38*1000
)</f>
        <v>33.422643574758872</v>
      </c>
      <c r="X62" s="87">
        <f>IF(TrRoad_act!X38=0,0,X25/TrRoad_act!X38*1000
)</f>
        <v>33.446442234434585</v>
      </c>
      <c r="Y62" s="87">
        <f>IF(TrRoad_act!Y38=0,0,Y25/TrRoad_act!Y38*1000
)</f>
        <v>32.161555740884367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1690.6083850024711</v>
      </c>
      <c r="C64" s="116">
        <f>IF(TrRoad_act!C40=0,0,C27/TrRoad_act!C40*1000
)</f>
        <v>1653.7876483556556</v>
      </c>
      <c r="D64" s="116">
        <f>IF(TrRoad_act!D40=0,0,D27/TrRoad_act!D40*1000
)</f>
        <v>1636.7586941972042</v>
      </c>
      <c r="E64" s="116">
        <f>IF(TrRoad_act!E40=0,0,E27/TrRoad_act!E40*1000
)</f>
        <v>1674.3952245168475</v>
      </c>
      <c r="F64" s="116">
        <f>IF(TrRoad_act!F40=0,0,F27/TrRoad_act!F40*1000
)</f>
        <v>1671.5646024479054</v>
      </c>
      <c r="G64" s="116">
        <f>IF(TrRoad_act!G40=0,0,G27/TrRoad_act!G40*1000
)</f>
        <v>1656.3550095768933</v>
      </c>
      <c r="H64" s="116">
        <f>IF(TrRoad_act!H40=0,0,H27/TrRoad_act!H40*1000
)</f>
        <v>1635.8299327655839</v>
      </c>
      <c r="I64" s="116">
        <f>IF(TrRoad_act!I40=0,0,I27/TrRoad_act!I40*1000
)</f>
        <v>1627.982137437936</v>
      </c>
      <c r="J64" s="116">
        <f>IF(TrRoad_act!J40=0,0,J27/TrRoad_act!J40*1000
)</f>
        <v>1628.3402243731168</v>
      </c>
      <c r="K64" s="116">
        <f>IF(TrRoad_act!K40=0,0,K27/TrRoad_act!K40*1000
)</f>
        <v>1628.3712964515476</v>
      </c>
      <c r="L64" s="116">
        <f>IF(TrRoad_act!L40=0,0,L27/TrRoad_act!L40*1000
)</f>
        <v>1632.9958218164948</v>
      </c>
      <c r="M64" s="116">
        <f>IF(TrRoad_act!M40=0,0,M27/TrRoad_act!M40*1000
)</f>
        <v>1578.7482447612078</v>
      </c>
      <c r="N64" s="116">
        <f>IF(TrRoad_act!N40=0,0,N27/TrRoad_act!N40*1000
)</f>
        <v>1523.813016907797</v>
      </c>
      <c r="O64" s="116">
        <f>IF(TrRoad_act!O40=0,0,O27/TrRoad_act!O40*1000
)</f>
        <v>1512.6825324234471</v>
      </c>
      <c r="P64" s="116">
        <f>IF(TrRoad_act!P40=0,0,P27/TrRoad_act!P40*1000
)</f>
        <v>1521.4866395693541</v>
      </c>
      <c r="Q64" s="116">
        <f>IF(TrRoad_act!Q40=0,0,Q27/TrRoad_act!Q40*1000
)</f>
        <v>1533.1991458465741</v>
      </c>
      <c r="R64" s="116">
        <f>IF(TrRoad_act!R40=0,0,R27/TrRoad_act!R40*1000
)</f>
        <v>1541.4120857097555</v>
      </c>
      <c r="S64" s="116">
        <f>IF(TrRoad_act!S40=0,0,S27/TrRoad_act!S40*1000
)</f>
        <v>1550.3007388172302</v>
      </c>
      <c r="T64" s="116">
        <f>IF(TrRoad_act!T40=0,0,T27/TrRoad_act!T40*1000
)</f>
        <v>1560.6914951440272</v>
      </c>
      <c r="U64" s="116">
        <f>IF(TrRoad_act!U40=0,0,U27/TrRoad_act!U40*1000
)</f>
        <v>1539.6534456338318</v>
      </c>
      <c r="V64" s="116">
        <f>IF(TrRoad_act!V40=0,0,V27/TrRoad_act!V40*1000
)</f>
        <v>1534.2984694910949</v>
      </c>
      <c r="W64" s="116">
        <f>IF(TrRoad_act!W40=0,0,W27/TrRoad_act!W40*1000
)</f>
        <v>1499.4867504953982</v>
      </c>
      <c r="X64" s="116">
        <f>IF(TrRoad_act!X40=0,0,X27/TrRoad_act!X40*1000
)</f>
        <v>1458.0939278106955</v>
      </c>
      <c r="Y64" s="116">
        <f>IF(TrRoad_act!Y40=0,0,Y27/TrRoad_act!Y40*1000
)</f>
        <v>1393.900992665735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593.07697422909519</v>
      </c>
      <c r="C65" s="101">
        <f>IF(TrRoad_act!C41=0,0,C28/TrRoad_act!C41*1000
)</f>
        <v>593.07697422909519</v>
      </c>
      <c r="D65" s="101">
        <f>IF(TrRoad_act!D41=0,0,D28/TrRoad_act!D41*1000
)</f>
        <v>593.07697422909541</v>
      </c>
      <c r="E65" s="101">
        <f>IF(TrRoad_act!E41=0,0,E28/TrRoad_act!E41*1000
)</f>
        <v>593.07697422909541</v>
      </c>
      <c r="F65" s="101">
        <f>IF(TrRoad_act!F41=0,0,F28/TrRoad_act!F41*1000
)</f>
        <v>593.0769742290953</v>
      </c>
      <c r="G65" s="101">
        <f>IF(TrRoad_act!G41=0,0,G28/TrRoad_act!G41*1000
)</f>
        <v>589.39911757343498</v>
      </c>
      <c r="H65" s="101">
        <f>IF(TrRoad_act!H41=0,0,H28/TrRoad_act!H41*1000
)</f>
        <v>573.8160506456552</v>
      </c>
      <c r="I65" s="101">
        <f>IF(TrRoad_act!I41=0,0,I28/TrRoad_act!I41*1000
)</f>
        <v>558.35402921085995</v>
      </c>
      <c r="J65" s="101">
        <f>IF(TrRoad_act!J41=0,0,J28/TrRoad_act!J41*1000
)</f>
        <v>543.86918045511322</v>
      </c>
      <c r="K65" s="101">
        <f>IF(TrRoad_act!K41=0,0,K28/TrRoad_act!K41*1000
)</f>
        <v>528.94539007002459</v>
      </c>
      <c r="L65" s="101">
        <f>IF(TrRoad_act!L41=0,0,L28/TrRoad_act!L41*1000
)</f>
        <v>509.18298409286291</v>
      </c>
      <c r="M65" s="101">
        <f>IF(TrRoad_act!M41=0,0,M28/TrRoad_act!M41*1000
)</f>
        <v>492.85562163073973</v>
      </c>
      <c r="N65" s="101">
        <f>IF(TrRoad_act!N41=0,0,N28/TrRoad_act!N41*1000
)</f>
        <v>480.82146908772955</v>
      </c>
      <c r="O65" s="101">
        <f>IF(TrRoad_act!O41=0,0,O28/TrRoad_act!O41*1000
)</f>
        <v>475.60122561981041</v>
      </c>
      <c r="P65" s="101">
        <f>IF(TrRoad_act!P41=0,0,P28/TrRoad_act!P41*1000
)</f>
        <v>473.14529281030934</v>
      </c>
      <c r="Q65" s="101">
        <f>IF(TrRoad_act!Q41=0,0,Q28/TrRoad_act!Q41*1000
)</f>
        <v>466.74708859041971</v>
      </c>
      <c r="R65" s="101">
        <f>IF(TrRoad_act!R41=0,0,R28/TrRoad_act!R41*1000
)</f>
        <v>465.78032253698541</v>
      </c>
      <c r="S65" s="101">
        <f>IF(TrRoad_act!S41=0,0,S28/TrRoad_act!S41*1000
)</f>
        <v>464.19761609852435</v>
      </c>
      <c r="T65" s="101">
        <f>IF(TrRoad_act!T41=0,0,T28/TrRoad_act!T41*1000
)</f>
        <v>460.76710416096171</v>
      </c>
      <c r="U65" s="101">
        <f>IF(TrRoad_act!U41=0,0,U28/TrRoad_act!U41*1000
)</f>
        <v>460.44135113064772</v>
      </c>
      <c r="V65" s="101">
        <f>IF(TrRoad_act!V41=0,0,V28/TrRoad_act!V41*1000
)</f>
        <v>445.19342022691308</v>
      </c>
      <c r="W65" s="101">
        <f>IF(TrRoad_act!W41=0,0,W28/TrRoad_act!W41*1000
)</f>
        <v>444.61141198075103</v>
      </c>
      <c r="X65" s="101">
        <f>IF(TrRoad_act!X41=0,0,X28/TrRoad_act!X41*1000
)</f>
        <v>445.09531550086967</v>
      </c>
      <c r="Y65" s="101">
        <f>IF(TrRoad_act!Y41=0,0,Y28/TrRoad_act!Y41*1000
)</f>
        <v>443.31948641664707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1830.8315300805946</v>
      </c>
      <c r="C66" s="101">
        <f>IF(TrRoad_act!C42=0,0,C29/TrRoad_act!C42*1000
)</f>
        <v>1792.5488006982976</v>
      </c>
      <c r="D66" s="101">
        <f>IF(TrRoad_act!D42=0,0,D29/TrRoad_act!D42*1000
)</f>
        <v>1774.7638819890567</v>
      </c>
      <c r="E66" s="101">
        <f>IF(TrRoad_act!E42=0,0,E29/TrRoad_act!E42*1000
)</f>
        <v>1761.9924657153151</v>
      </c>
      <c r="F66" s="101">
        <f>IF(TrRoad_act!F42=0,0,F29/TrRoad_act!F42*1000
)</f>
        <v>1743.555557696511</v>
      </c>
      <c r="G66" s="101">
        <f>IF(TrRoad_act!G42=0,0,G29/TrRoad_act!G42*1000
)</f>
        <v>1722.19496751314</v>
      </c>
      <c r="H66" s="101">
        <f>IF(TrRoad_act!H42=0,0,H29/TrRoad_act!H42*1000
)</f>
        <v>1700.7014391658565</v>
      </c>
      <c r="I66" s="101">
        <f>IF(TrRoad_act!I42=0,0,I29/TrRoad_act!I42*1000
)</f>
        <v>1692.216324506604</v>
      </c>
      <c r="J66" s="101">
        <f>IF(TrRoad_act!J42=0,0,J29/TrRoad_act!J42*1000
)</f>
        <v>1693.3055096211651</v>
      </c>
      <c r="K66" s="101">
        <f>IF(TrRoad_act!K42=0,0,K29/TrRoad_act!K42*1000
)</f>
        <v>1690.6632966280104</v>
      </c>
      <c r="L66" s="101">
        <f>IF(TrRoad_act!L42=0,0,L29/TrRoad_act!L42*1000
)</f>
        <v>1693.2959709149943</v>
      </c>
      <c r="M66" s="101">
        <f>IF(TrRoad_act!M42=0,0,M29/TrRoad_act!M42*1000
)</f>
        <v>1636.7247314675271</v>
      </c>
      <c r="N66" s="101">
        <f>IF(TrRoad_act!N42=0,0,N29/TrRoad_act!N42*1000
)</f>
        <v>1581.4481261734268</v>
      </c>
      <c r="O66" s="101">
        <f>IF(TrRoad_act!O42=0,0,O29/TrRoad_act!O42*1000
)</f>
        <v>1576.3594194267548</v>
      </c>
      <c r="P66" s="101">
        <f>IF(TrRoad_act!P42=0,0,P29/TrRoad_act!P42*1000
)</f>
        <v>1577.2455208068402</v>
      </c>
      <c r="Q66" s="101">
        <f>IF(TrRoad_act!Q42=0,0,Q29/TrRoad_act!Q42*1000
)</f>
        <v>1582.7664761966103</v>
      </c>
      <c r="R66" s="101">
        <f>IF(TrRoad_act!R42=0,0,R29/TrRoad_act!R42*1000
)</f>
        <v>1588.8013677344536</v>
      </c>
      <c r="S66" s="101">
        <f>IF(TrRoad_act!S42=0,0,S29/TrRoad_act!S42*1000
)</f>
        <v>1596.0973014066328</v>
      </c>
      <c r="T66" s="101">
        <f>IF(TrRoad_act!T42=0,0,T29/TrRoad_act!T42*1000
)</f>
        <v>1599.9120138664671</v>
      </c>
      <c r="U66" s="101">
        <f>IF(TrRoad_act!U42=0,0,U29/TrRoad_act!U42*1000
)</f>
        <v>1585.5125718669622</v>
      </c>
      <c r="V66" s="101">
        <f>IF(TrRoad_act!V42=0,0,V29/TrRoad_act!V42*1000
)</f>
        <v>1580.8638188084308</v>
      </c>
      <c r="W66" s="101">
        <f>IF(TrRoad_act!W42=0,0,W29/TrRoad_act!W42*1000
)</f>
        <v>1571.5043504108742</v>
      </c>
      <c r="X66" s="101">
        <f>IF(TrRoad_act!X42=0,0,X29/TrRoad_act!X42*1000
)</f>
        <v>1575.8868191496251</v>
      </c>
      <c r="Y66" s="101">
        <f>IF(TrRoad_act!Y42=0,0,Y29/TrRoad_act!Y42*1000
)</f>
        <v>1586.3929481958658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X67" s="101">
        <f>IF(TrRoad_act!X43=0,0,X30/TrRoad_act!X43*1000
)</f>
        <v>0</v>
      </c>
      <c r="Y67" s="101">
        <f>IF(TrRoad_act!Y43=0,0,Y30/TrRoad_act!Y43*1000
)</f>
        <v>0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1495.1553720297804</v>
      </c>
      <c r="R68" s="101">
        <f>IF(TrRoad_act!R44=0,0,R31/TrRoad_act!R44*1000
)</f>
        <v>1231.0899587627707</v>
      </c>
      <c r="S68" s="101">
        <f>IF(TrRoad_act!S44=0,0,S31/TrRoad_act!S44*1000
)</f>
        <v>1253.4334776125904</v>
      </c>
      <c r="T68" s="101">
        <f>IF(TrRoad_act!T44=0,0,T31/TrRoad_act!T44*1000
)</f>
        <v>1481.9003548998821</v>
      </c>
      <c r="U68" s="101">
        <f>IF(TrRoad_act!U44=0,0,U31/TrRoad_act!U44*1000
)</f>
        <v>1470.9327320620318</v>
      </c>
      <c r="V68" s="101">
        <f>IF(TrRoad_act!V44=0,0,V31/TrRoad_act!V44*1000
)</f>
        <v>1258.5443300845752</v>
      </c>
      <c r="W68" s="101">
        <f>IF(TrRoad_act!W44=0,0,W31/TrRoad_act!W44*1000
)</f>
        <v>1324.0998450527577</v>
      </c>
      <c r="X68" s="101">
        <f>IF(TrRoad_act!X44=0,0,X31/TrRoad_act!X44*1000
)</f>
        <v>1313.3400346774913</v>
      </c>
      <c r="Y68" s="101">
        <f>IF(TrRoad_act!Y44=0,0,Y31/TrRoad_act!Y44*1000
)</f>
        <v>1096.653782112684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609.13108560409216</v>
      </c>
      <c r="C70" s="29">
        <f>IF(TrRoad_act!C46=0,0,C33/TrRoad_act!C46*1000
)</f>
        <v>591.92793896408409</v>
      </c>
      <c r="D70" s="29">
        <f>IF(TrRoad_act!D46=0,0,D33/TrRoad_act!D46*1000
)</f>
        <v>575.35783628461957</v>
      </c>
      <c r="E70" s="29">
        <f>IF(TrRoad_act!E46=0,0,E33/TrRoad_act!E46*1000
)</f>
        <v>576.64764439433043</v>
      </c>
      <c r="F70" s="29">
        <f>IF(TrRoad_act!F46=0,0,F33/TrRoad_act!F46*1000
)</f>
        <v>567.16922119712365</v>
      </c>
      <c r="G70" s="29">
        <f>IF(TrRoad_act!G46=0,0,G33/TrRoad_act!G46*1000
)</f>
        <v>539.38203368640541</v>
      </c>
      <c r="H70" s="29">
        <f>IF(TrRoad_act!H46=0,0,H33/TrRoad_act!H46*1000
)</f>
        <v>513.79647261225978</v>
      </c>
      <c r="I70" s="29">
        <f>IF(TrRoad_act!I46=0,0,I33/TrRoad_act!I46*1000
)</f>
        <v>490.96028283306987</v>
      </c>
      <c r="J70" s="29">
        <f>IF(TrRoad_act!J46=0,0,J33/TrRoad_act!J46*1000
)</f>
        <v>460.68762362276146</v>
      </c>
      <c r="K70" s="29">
        <f>IF(TrRoad_act!K46=0,0,K33/TrRoad_act!K46*1000
)</f>
        <v>439.22126699389668</v>
      </c>
      <c r="L70" s="29">
        <f>IF(TrRoad_act!L46=0,0,L33/TrRoad_act!L46*1000
)</f>
        <v>447.49014187361803</v>
      </c>
      <c r="M70" s="29">
        <f>IF(TrRoad_act!M46=0,0,M33/TrRoad_act!M46*1000
)</f>
        <v>448.27171433582555</v>
      </c>
      <c r="N70" s="29">
        <f>IF(TrRoad_act!N46=0,0,N33/TrRoad_act!N46*1000
)</f>
        <v>425.24285483743893</v>
      </c>
      <c r="O70" s="29">
        <f>IF(TrRoad_act!O46=0,0,O33/TrRoad_act!O46*1000
)</f>
        <v>424.39298160884351</v>
      </c>
      <c r="P70" s="29">
        <f>IF(TrRoad_act!P46=0,0,P33/TrRoad_act!P46*1000
)</f>
        <v>445.49310653005881</v>
      </c>
      <c r="Q70" s="29">
        <f>IF(TrRoad_act!Q46=0,0,Q33/TrRoad_act!Q46*1000
)</f>
        <v>422.68521841988394</v>
      </c>
      <c r="R70" s="29">
        <f>IF(TrRoad_act!R46=0,0,R33/TrRoad_act!R46*1000
)</f>
        <v>447.85514696233741</v>
      </c>
      <c r="S70" s="29">
        <f>IF(TrRoad_act!S46=0,0,S33/TrRoad_act!S46*1000
)</f>
        <v>447.6930329089322</v>
      </c>
      <c r="T70" s="29">
        <f>IF(TrRoad_act!T46=0,0,T33/TrRoad_act!T46*1000
)</f>
        <v>454.011368785885</v>
      </c>
      <c r="U70" s="29">
        <f>IF(TrRoad_act!U46=0,0,U33/TrRoad_act!U46*1000
)</f>
        <v>442.96987601129894</v>
      </c>
      <c r="V70" s="29">
        <f>IF(TrRoad_act!V46=0,0,V33/TrRoad_act!V46*1000
)</f>
        <v>442.78852349463716</v>
      </c>
      <c r="W70" s="29">
        <f>IF(TrRoad_act!W46=0,0,W33/TrRoad_act!W46*1000
)</f>
        <v>441.10054303065698</v>
      </c>
      <c r="X70" s="29">
        <f>IF(TrRoad_act!X46=0,0,X33/TrRoad_act!X46*1000
)</f>
        <v>431.95861637547102</v>
      </c>
      <c r="Y70" s="29">
        <f>IF(TrRoad_act!Y46=0,0,Y33/TrRoad_act!Y46*1000
)</f>
        <v>442.49603351543419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348.74932804704264</v>
      </c>
      <c r="C71" s="152">
        <f>IF(TrRoad_act!C47=0,0,C34/TrRoad_act!C47*1000
)</f>
        <v>332.06566539852031</v>
      </c>
      <c r="D71" s="152">
        <f>IF(TrRoad_act!D47=0,0,D34/TrRoad_act!D47*1000
)</f>
        <v>316.64534032258854</v>
      </c>
      <c r="E71" s="152">
        <f>IF(TrRoad_act!E47=0,0,E34/TrRoad_act!E47*1000
)</f>
        <v>303.33662002461546</v>
      </c>
      <c r="F71" s="152">
        <f>IF(TrRoad_act!F47=0,0,F34/TrRoad_act!F47*1000
)</f>
        <v>291.20725826073561</v>
      </c>
      <c r="G71" s="152">
        <f>IF(TrRoad_act!G47=0,0,G34/TrRoad_act!G47*1000
)</f>
        <v>281.35320418297704</v>
      </c>
      <c r="H71" s="152">
        <f>IF(TrRoad_act!H47=0,0,H34/TrRoad_act!H47*1000
)</f>
        <v>273.78970751015157</v>
      </c>
      <c r="I71" s="152">
        <f>IF(TrRoad_act!I47=0,0,I34/TrRoad_act!I47*1000
)</f>
        <v>267.40882935640428</v>
      </c>
      <c r="J71" s="152">
        <f>IF(TrRoad_act!J47=0,0,J34/TrRoad_act!J47*1000
)</f>
        <v>261.87914497738007</v>
      </c>
      <c r="K71" s="152">
        <f>IF(TrRoad_act!K47=0,0,K34/TrRoad_act!K47*1000
)</f>
        <v>257.16428647023486</v>
      </c>
      <c r="L71" s="152">
        <f>IF(TrRoad_act!L47=0,0,L34/TrRoad_act!L47*1000
)</f>
        <v>255.76248909816618</v>
      </c>
      <c r="M71" s="152">
        <f>IF(TrRoad_act!M47=0,0,M34/TrRoad_act!M47*1000
)</f>
        <v>250.34026080817767</v>
      </c>
      <c r="N71" s="152">
        <f>IF(TrRoad_act!N47=0,0,N34/TrRoad_act!N47*1000
)</f>
        <v>244.59982914348879</v>
      </c>
      <c r="O71" s="152">
        <f>IF(TrRoad_act!O47=0,0,O34/TrRoad_act!O47*1000
)</f>
        <v>243.82744657920952</v>
      </c>
      <c r="P71" s="152">
        <f>IF(TrRoad_act!P47=0,0,P34/TrRoad_act!P47*1000
)</f>
        <v>241.87435063034329</v>
      </c>
      <c r="Q71" s="152">
        <f>IF(TrRoad_act!Q47=0,0,Q34/TrRoad_act!Q47*1000
)</f>
        <v>238.81829151061308</v>
      </c>
      <c r="R71" s="152">
        <f>IF(TrRoad_act!R47=0,0,R34/TrRoad_act!R47*1000
)</f>
        <v>236.09014172669305</v>
      </c>
      <c r="S71" s="152">
        <f>IF(TrRoad_act!S47=0,0,S34/TrRoad_act!S47*1000
)</f>
        <v>233.18632861546752</v>
      </c>
      <c r="T71" s="152">
        <f>IF(TrRoad_act!T47=0,0,T34/TrRoad_act!T47*1000
)</f>
        <v>228.77425823107686</v>
      </c>
      <c r="U71" s="152">
        <f>IF(TrRoad_act!U47=0,0,U34/TrRoad_act!U47*1000
)</f>
        <v>221.90513147676378</v>
      </c>
      <c r="V71" s="152">
        <f>IF(TrRoad_act!V47=0,0,V34/TrRoad_act!V47*1000
)</f>
        <v>221.03921819057189</v>
      </c>
      <c r="W71" s="152">
        <f>IF(TrRoad_act!W47=0,0,W34/TrRoad_act!W47*1000
)</f>
        <v>220.93980092875961</v>
      </c>
      <c r="X71" s="152">
        <f>IF(TrRoad_act!X47=0,0,X34/TrRoad_act!X47*1000
)</f>
        <v>222.96343326399312</v>
      </c>
      <c r="Y71" s="152">
        <f>IF(TrRoad_act!Y47=0,0,Y34/TrRoad_act!Y47*1000
)</f>
        <v>225.95771234729037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382.13832926564891</v>
      </c>
      <c r="C72" s="87">
        <f>IF(TrRoad_act!C48=0,0,C35/TrRoad_act!C48*1000
)</f>
        <v>371.78834535513005</v>
      </c>
      <c r="D72" s="87">
        <f>IF(TrRoad_act!D48=0,0,D35/TrRoad_act!D48*1000
)</f>
        <v>362.47189619381965</v>
      </c>
      <c r="E72" s="87">
        <f>IF(TrRoad_act!E48=0,0,E35/TrRoad_act!E48*1000
)</f>
        <v>354.63347032657811</v>
      </c>
      <c r="F72" s="87">
        <f>IF(TrRoad_act!F48=0,0,F35/TrRoad_act!F48*1000
)</f>
        <v>347.6458878227366</v>
      </c>
      <c r="G72" s="87">
        <f>IF(TrRoad_act!G48=0,0,G35/TrRoad_act!G48*1000
)</f>
        <v>341.47885586503492</v>
      </c>
      <c r="H72" s="87">
        <f>IF(TrRoad_act!H48=0,0,H35/TrRoad_act!H48*1000
)</f>
        <v>335.68389142292159</v>
      </c>
      <c r="I72" s="87">
        <f>IF(TrRoad_act!I48=0,0,I35/TrRoad_act!I48*1000
)</f>
        <v>331.9347938842032</v>
      </c>
      <c r="J72" s="87">
        <f>IF(TrRoad_act!J48=0,0,J35/TrRoad_act!J48*1000
)</f>
        <v>326.70394911639926</v>
      </c>
      <c r="K72" s="87">
        <f>IF(TrRoad_act!K48=0,0,K35/TrRoad_act!K48*1000
)</f>
        <v>320.446179820358</v>
      </c>
      <c r="L72" s="87">
        <f>IF(TrRoad_act!L48=0,0,L35/TrRoad_act!L48*1000
)</f>
        <v>311.94505317033583</v>
      </c>
      <c r="M72" s="87">
        <f>IF(TrRoad_act!M48=0,0,M35/TrRoad_act!M48*1000
)</f>
        <v>307.15308867998749</v>
      </c>
      <c r="N72" s="87">
        <f>IF(TrRoad_act!N48=0,0,N35/TrRoad_act!N48*1000
)</f>
        <v>304.15981951070728</v>
      </c>
      <c r="O72" s="87">
        <f>IF(TrRoad_act!O48=0,0,O35/TrRoad_act!O48*1000
)</f>
        <v>299.85409142233647</v>
      </c>
      <c r="P72" s="87">
        <f>IF(TrRoad_act!P48=0,0,P35/TrRoad_act!P48*1000
)</f>
        <v>292.90539211104118</v>
      </c>
      <c r="Q72" s="87">
        <f>IF(TrRoad_act!Q48=0,0,Q35/TrRoad_act!Q48*1000
)</f>
        <v>281.16437372103667</v>
      </c>
      <c r="R72" s="87">
        <f>IF(TrRoad_act!R48=0,0,R35/TrRoad_act!R48*1000
)</f>
        <v>268.26100606202903</v>
      </c>
      <c r="S72" s="87">
        <f>IF(TrRoad_act!S48=0,0,S35/TrRoad_act!S48*1000
)</f>
        <v>255.74652318849422</v>
      </c>
      <c r="T72" s="87">
        <f>IF(TrRoad_act!T48=0,0,T35/TrRoad_act!T48*1000
)</f>
        <v>243.85558639439452</v>
      </c>
      <c r="U72" s="87">
        <f>IF(TrRoad_act!U48=0,0,U35/TrRoad_act!U48*1000
)</f>
        <v>229.9863104721012</v>
      </c>
      <c r="V72" s="87">
        <f>IF(TrRoad_act!V48=0,0,V35/TrRoad_act!V48*1000
)</f>
        <v>210.81903125654037</v>
      </c>
      <c r="W72" s="87">
        <f>IF(TrRoad_act!W48=0,0,W35/TrRoad_act!W48*1000
)</f>
        <v>199.81527335173723</v>
      </c>
      <c r="X72" s="87">
        <f>IF(TrRoad_act!X48=0,0,X35/TrRoad_act!X48*1000
)</f>
        <v>188.76437626651364</v>
      </c>
      <c r="Y72" s="87">
        <f>IF(TrRoad_act!Y48=0,0,Y35/TrRoad_act!Y48*1000
)</f>
        <v>181.45536181219458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340.73769177900198</v>
      </c>
      <c r="C73" s="87">
        <f>IF(TrRoad_act!C49=0,0,C36/TrRoad_act!C49*1000
)</f>
        <v>322.18384425765811</v>
      </c>
      <c r="D73" s="87">
        <f>IF(TrRoad_act!D49=0,0,D36/TrRoad_act!D49*1000
)</f>
        <v>305.95424993275913</v>
      </c>
      <c r="E73" s="87">
        <f>IF(TrRoad_act!E49=0,0,E36/TrRoad_act!E49*1000
)</f>
        <v>293.08079542078093</v>
      </c>
      <c r="F73" s="87">
        <f>IF(TrRoad_act!F49=0,0,F36/TrRoad_act!F49*1000
)</f>
        <v>281.2956181711275</v>
      </c>
      <c r="G73" s="87">
        <f>IF(TrRoad_act!G49=0,0,G36/TrRoad_act!G49*1000
)</f>
        <v>271.95368927363165</v>
      </c>
      <c r="H73" s="87">
        <f>IF(TrRoad_act!H49=0,0,H36/TrRoad_act!H49*1000
)</f>
        <v>265.42372319098683</v>
      </c>
      <c r="I73" s="87">
        <f>IF(TrRoad_act!I49=0,0,I36/TrRoad_act!I49*1000
)</f>
        <v>260.00442234978772</v>
      </c>
      <c r="J73" s="87">
        <f>IF(TrRoad_act!J49=0,0,J36/TrRoad_act!J49*1000
)</f>
        <v>255.37550798787339</v>
      </c>
      <c r="K73" s="87">
        <f>IF(TrRoad_act!K49=0,0,K36/TrRoad_act!K49*1000
)</f>
        <v>251.14497465656089</v>
      </c>
      <c r="L73" s="87">
        <f>IF(TrRoad_act!L49=0,0,L36/TrRoad_act!L49*1000
)</f>
        <v>250.88062243498493</v>
      </c>
      <c r="M73" s="87">
        <f>IF(TrRoad_act!M49=0,0,M36/TrRoad_act!M49*1000
)</f>
        <v>245.70856189247334</v>
      </c>
      <c r="N73" s="87">
        <f>IF(TrRoad_act!N49=0,0,N36/TrRoad_act!N49*1000
)</f>
        <v>240.20216374849844</v>
      </c>
      <c r="O73" s="87">
        <f>IF(TrRoad_act!O49=0,0,O36/TrRoad_act!O49*1000
)</f>
        <v>239.83436637151146</v>
      </c>
      <c r="P73" s="87">
        <f>IF(TrRoad_act!P49=0,0,P36/TrRoad_act!P49*1000
)</f>
        <v>238.34225643955472</v>
      </c>
      <c r="Q73" s="87">
        <f>IF(TrRoad_act!Q49=0,0,Q36/TrRoad_act!Q49*1000
)</f>
        <v>236.29318275457683</v>
      </c>
      <c r="R73" s="87">
        <f>IF(TrRoad_act!R49=0,0,R36/TrRoad_act!R49*1000
)</f>
        <v>234.3049592259818</v>
      </c>
      <c r="S73" s="87">
        <f>IF(TrRoad_act!S49=0,0,S36/TrRoad_act!S49*1000
)</f>
        <v>232.12214118594065</v>
      </c>
      <c r="T73" s="87">
        <f>IF(TrRoad_act!T49=0,0,T36/TrRoad_act!T49*1000
)</f>
        <v>228.23409299606482</v>
      </c>
      <c r="U73" s="87">
        <f>IF(TrRoad_act!U49=0,0,U36/TrRoad_act!U49*1000
)</f>
        <v>221.86468515885818</v>
      </c>
      <c r="V73" s="87">
        <f>IF(TrRoad_act!V49=0,0,V36/TrRoad_act!V49*1000
)</f>
        <v>222.24906186634433</v>
      </c>
      <c r="W73" s="87">
        <f>IF(TrRoad_act!W49=0,0,W36/TrRoad_act!W49*1000
)</f>
        <v>223.5922911876294</v>
      </c>
      <c r="X73" s="87">
        <f>IF(TrRoad_act!X49=0,0,X36/TrRoad_act!X49*1000
)</f>
        <v>227.10467532434069</v>
      </c>
      <c r="Y73" s="87">
        <f>IF(TrRoad_act!Y49=0,0,Y36/TrRoad_act!Y49*1000
)</f>
        <v>231.67591335979284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504.84756496232995</v>
      </c>
      <c r="C74" s="87">
        <f>IF(TrRoad_act!C50=0,0,C37/TrRoad_act!C50*1000
)</f>
        <v>463.77879147998726</v>
      </c>
      <c r="D74" s="87">
        <f>IF(TrRoad_act!D50=0,0,D37/TrRoad_act!D50*1000
)</f>
        <v>429.75881452554063</v>
      </c>
      <c r="E74" s="87">
        <f>IF(TrRoad_act!E50=0,0,E37/TrRoad_act!E50*1000
)</f>
        <v>423.31195399577354</v>
      </c>
      <c r="F74" s="87">
        <f>IF(TrRoad_act!F50=0,0,F37/TrRoad_act!F50*1000
)</f>
        <v>416.79909076077672</v>
      </c>
      <c r="G74" s="87">
        <f>IF(TrRoad_act!G50=0,0,G37/TrRoad_act!G50*1000
)</f>
        <v>409.19168010733659</v>
      </c>
      <c r="H74" s="87">
        <f>IF(TrRoad_act!H50=0,0,H37/TrRoad_act!H50*1000
)</f>
        <v>405.54823502126601</v>
      </c>
      <c r="I74" s="87">
        <f>IF(TrRoad_act!I50=0,0,I37/TrRoad_act!I50*1000
)</f>
        <v>392.06318504171139</v>
      </c>
      <c r="J74" s="87">
        <f>IF(TrRoad_act!J50=0,0,J37/TrRoad_act!J50*1000
)</f>
        <v>373.55416402784925</v>
      </c>
      <c r="K74" s="87">
        <f>IF(TrRoad_act!K50=0,0,K37/TrRoad_act!K50*1000
)</f>
        <v>349.80067750971841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X74" s="87">
        <f>IF(TrRoad_act!X50=0,0,X37/TrRoad_act!X50*1000
)</f>
        <v>0</v>
      </c>
      <c r="Y74" s="87">
        <f>IF(TrRoad_act!Y50=0,0,Y37/TrRoad_act!Y50*1000
)</f>
        <v>0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213.54409878413526</v>
      </c>
      <c r="R75" s="87">
        <f>IF(TrRoad_act!R51=0,0,R38/TrRoad_act!R51*1000
)</f>
        <v>203.29721054929604</v>
      </c>
      <c r="S75" s="87">
        <f>IF(TrRoad_act!S51=0,0,S38/TrRoad_act!S51*1000
)</f>
        <v>191.75752757302294</v>
      </c>
      <c r="T75" s="87">
        <f>IF(TrRoad_act!T51=0,0,T38/TrRoad_act!T51*1000
)</f>
        <v>196.8688325320513</v>
      </c>
      <c r="U75" s="87">
        <f>IF(TrRoad_act!U51=0,0,U38/TrRoad_act!U51*1000
)</f>
        <v>172.92076628089924</v>
      </c>
      <c r="V75" s="87">
        <f>IF(TrRoad_act!V51=0,0,V38/TrRoad_act!V51*1000
)</f>
        <v>175.58826791155585</v>
      </c>
      <c r="W75" s="87">
        <f>IF(TrRoad_act!W51=0,0,W38/TrRoad_act!W51*1000
)</f>
        <v>165.75560088021535</v>
      </c>
      <c r="X75" s="87">
        <f>IF(TrRoad_act!X51=0,0,X38/TrRoad_act!X51*1000
)</f>
        <v>142.27056530596315</v>
      </c>
      <c r="Y75" s="87">
        <f>IF(TrRoad_act!Y51=0,0,Y38/TrRoad_act!Y51*1000
)</f>
        <v>133.79679629699558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1358.9371090975433</v>
      </c>
      <c r="C77" s="116">
        <f>IF(TrRoad_act!C53=0,0,C40/TrRoad_act!C53*1000
)</f>
        <v>1381.8702616324708</v>
      </c>
      <c r="D77" s="116">
        <f>IF(TrRoad_act!D53=0,0,D40/TrRoad_act!D53*1000
)</f>
        <v>1403.2451991856203</v>
      </c>
      <c r="E77" s="116">
        <f>IF(TrRoad_act!E53=0,0,E40/TrRoad_act!E53*1000
)</f>
        <v>1473.4206474059058</v>
      </c>
      <c r="F77" s="116">
        <f>IF(TrRoad_act!F53=0,0,F40/TrRoad_act!F53*1000
)</f>
        <v>1589.3326593193392</v>
      </c>
      <c r="G77" s="116">
        <f>IF(TrRoad_act!G53=0,0,G40/TrRoad_act!G53*1000
)</f>
        <v>1581.634993834391</v>
      </c>
      <c r="H77" s="116">
        <f>IF(TrRoad_act!H53=0,0,H40/TrRoad_act!H53*1000
)</f>
        <v>1542.495734956866</v>
      </c>
      <c r="I77" s="116">
        <f>IF(TrRoad_act!I53=0,0,I40/TrRoad_act!I53*1000
)</f>
        <v>1524.2825294639042</v>
      </c>
      <c r="J77" s="116">
        <f>IF(TrRoad_act!J53=0,0,J40/TrRoad_act!J53*1000
)</f>
        <v>1363.0599864014778</v>
      </c>
      <c r="K77" s="116">
        <f>IF(TrRoad_act!K53=0,0,K40/TrRoad_act!K53*1000
)</f>
        <v>1342.8008465507248</v>
      </c>
      <c r="L77" s="116">
        <f>IF(TrRoad_act!L53=0,0,L40/TrRoad_act!L53*1000
)</f>
        <v>1377.5189151363934</v>
      </c>
      <c r="M77" s="116">
        <f>IF(TrRoad_act!M53=0,0,M40/TrRoad_act!M53*1000
)</f>
        <v>1290.093167608776</v>
      </c>
      <c r="N77" s="116">
        <f>IF(TrRoad_act!N53=0,0,N40/TrRoad_act!N53*1000
)</f>
        <v>1122.690126688201</v>
      </c>
      <c r="O77" s="116">
        <f>IF(TrRoad_act!O53=0,0,O40/TrRoad_act!O53*1000
)</f>
        <v>1070.7877337510299</v>
      </c>
      <c r="P77" s="116">
        <f>IF(TrRoad_act!P53=0,0,P40/TrRoad_act!P53*1000
)</f>
        <v>1148.3017396961202</v>
      </c>
      <c r="Q77" s="116">
        <f>IF(TrRoad_act!Q53=0,0,Q40/TrRoad_act!Q53*1000
)</f>
        <v>1085.0731189699879</v>
      </c>
      <c r="R77" s="116">
        <f>IF(TrRoad_act!R53=0,0,R40/TrRoad_act!R53*1000
)</f>
        <v>1188.5665326893688</v>
      </c>
      <c r="S77" s="116">
        <f>IF(TrRoad_act!S53=0,0,S40/TrRoad_act!S53*1000
)</f>
        <v>1241.0394685266815</v>
      </c>
      <c r="T77" s="116">
        <f>IF(TrRoad_act!T53=0,0,T40/TrRoad_act!T53*1000
)</f>
        <v>1344.0285739879062</v>
      </c>
      <c r="U77" s="116">
        <f>IF(TrRoad_act!U53=0,0,U40/TrRoad_act!U53*1000
)</f>
        <v>1276.6191610041462</v>
      </c>
      <c r="V77" s="116">
        <f>IF(TrRoad_act!V53=0,0,V40/TrRoad_act!V53*1000
)</f>
        <v>1196.6498099257249</v>
      </c>
      <c r="W77" s="116">
        <f>IF(TrRoad_act!W53=0,0,W40/TrRoad_act!W53*1000
)</f>
        <v>1195.2565182463452</v>
      </c>
      <c r="X77" s="116">
        <f>IF(TrRoad_act!X53=0,0,X40/TrRoad_act!X53*1000
)</f>
        <v>1186.4402722559687</v>
      </c>
      <c r="Y77" s="116">
        <f>IF(TrRoad_act!Y53=0,0,Y40/TrRoad_act!Y53*1000
)</f>
        <v>1242.1943385387146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1125.8113017104793</v>
      </c>
      <c r="C78" s="101">
        <f>IF(TrRoad_act!C54=0,0,C41/TrRoad_act!C54*1000
)</f>
        <v>1128.6786547261336</v>
      </c>
      <c r="D78" s="101">
        <f>IF(TrRoad_act!D54=0,0,D41/TrRoad_act!D54*1000
)</f>
        <v>1130.4453563330019</v>
      </c>
      <c r="E78" s="101">
        <f>IF(TrRoad_act!E54=0,0,E41/TrRoad_act!E54*1000
)</f>
        <v>1142.3964424304186</v>
      </c>
      <c r="F78" s="101">
        <f>IF(TrRoad_act!F54=0,0,F41/TrRoad_act!F54*1000
)</f>
        <v>1161.2195904794203</v>
      </c>
      <c r="G78" s="101">
        <f>IF(TrRoad_act!G54=0,0,G41/TrRoad_act!G54*1000
)</f>
        <v>1154.9346232893402</v>
      </c>
      <c r="H78" s="101">
        <f>IF(TrRoad_act!H54=0,0,H41/TrRoad_act!H54*1000
)</f>
        <v>1145.7886895165113</v>
      </c>
      <c r="I78" s="101">
        <f>IF(TrRoad_act!I54=0,0,I41/TrRoad_act!I54*1000
)</f>
        <v>1137.957990594841</v>
      </c>
      <c r="J78" s="101">
        <f>IF(TrRoad_act!J54=0,0,J41/TrRoad_act!J54*1000
)</f>
        <v>1104.0465334822525</v>
      </c>
      <c r="K78" s="101">
        <f>IF(TrRoad_act!K54=0,0,K41/TrRoad_act!K54*1000
)</f>
        <v>1097.4055798779577</v>
      </c>
      <c r="L78" s="101">
        <f>IF(TrRoad_act!L54=0,0,L41/TrRoad_act!L54*1000
)</f>
        <v>1105.6234290330933</v>
      </c>
      <c r="M78" s="101">
        <f>IF(TrRoad_act!M54=0,0,M41/TrRoad_act!M54*1000
)</f>
        <v>1058.5588189228938</v>
      </c>
      <c r="N78" s="101">
        <f>IF(TrRoad_act!N54=0,0,N41/TrRoad_act!N54*1000
)</f>
        <v>996.22586395703786</v>
      </c>
      <c r="O78" s="101">
        <f>IF(TrRoad_act!O54=0,0,O41/TrRoad_act!O54*1000
)</f>
        <v>980.39684448642629</v>
      </c>
      <c r="P78" s="101">
        <f>IF(TrRoad_act!P54=0,0,P41/TrRoad_act!P54*1000
)</f>
        <v>992.12776153972447</v>
      </c>
      <c r="Q78" s="101">
        <f>IF(TrRoad_act!Q54=0,0,Q41/TrRoad_act!Q54*1000
)</f>
        <v>975.17274455746258</v>
      </c>
      <c r="R78" s="101">
        <f>IF(TrRoad_act!R54=0,0,R41/TrRoad_act!R54*1000
)</f>
        <v>993.65894522024234</v>
      </c>
      <c r="S78" s="101">
        <f>IF(TrRoad_act!S54=0,0,S41/TrRoad_act!S54*1000
)</f>
        <v>996.60437774278341</v>
      </c>
      <c r="T78" s="101">
        <f>IF(TrRoad_act!T54=0,0,T41/TrRoad_act!T54*1000
)</f>
        <v>1006.5096841675394</v>
      </c>
      <c r="U78" s="101">
        <f>IF(TrRoad_act!U54=0,0,U41/TrRoad_act!U54*1000
)</f>
        <v>974.91005216784845</v>
      </c>
      <c r="V78" s="101">
        <f>IF(TrRoad_act!V54=0,0,V41/TrRoad_act!V54*1000
)</f>
        <v>952.12562655394845</v>
      </c>
      <c r="W78" s="101">
        <f>IF(TrRoad_act!W54=0,0,W41/TrRoad_act!W54*1000
)</f>
        <v>941.70882324177205</v>
      </c>
      <c r="X78" s="101">
        <f>IF(TrRoad_act!X54=0,0,X41/TrRoad_act!X54*1000
)</f>
        <v>933.92060718867799</v>
      </c>
      <c r="Y78" s="101">
        <f>IF(TrRoad_act!Y54=0,0,Y41/TrRoad_act!Y54*1000
)</f>
        <v>939.67347386496181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2481.0257556315746</v>
      </c>
      <c r="C79" s="88">
        <f>IF(TrRoad_act!C55=0,0,C42/TrRoad_act!C55*1000
)</f>
        <v>2549.5269235609967</v>
      </c>
      <c r="D79" s="88">
        <f>IF(TrRoad_act!D55=0,0,D42/TrRoad_act!D55*1000
)</f>
        <v>2582.4281391724662</v>
      </c>
      <c r="E79" s="88">
        <f>IF(TrRoad_act!E55=0,0,E42/TrRoad_act!E55*1000
)</f>
        <v>2970.348388994822</v>
      </c>
      <c r="F79" s="88">
        <f>IF(TrRoad_act!F55=0,0,F42/TrRoad_act!F55*1000
)</f>
        <v>3150.9898699592195</v>
      </c>
      <c r="G79" s="88">
        <f>IF(TrRoad_act!G55=0,0,G42/TrRoad_act!G55*1000
)</f>
        <v>3069.6750123948368</v>
      </c>
      <c r="H79" s="88">
        <f>IF(TrRoad_act!H55=0,0,H42/TrRoad_act!H55*1000
)</f>
        <v>2892.6009111881112</v>
      </c>
      <c r="I79" s="88">
        <f>IF(TrRoad_act!I55=0,0,I42/TrRoad_act!I55*1000
)</f>
        <v>2796.5788813242366</v>
      </c>
      <c r="J79" s="88">
        <f>IF(TrRoad_act!J55=0,0,J42/TrRoad_act!J55*1000
)</f>
        <v>2011.2359106605572</v>
      </c>
      <c r="K79" s="88">
        <f>IF(TrRoad_act!K55=0,0,K42/TrRoad_act!K55*1000
)</f>
        <v>1964.2281399609215</v>
      </c>
      <c r="L79" s="88">
        <f>IF(TrRoad_act!L55=0,0,L42/TrRoad_act!L55*1000
)</f>
        <v>2126.4964665095795</v>
      </c>
      <c r="M79" s="88">
        <f>IF(TrRoad_act!M55=0,0,M42/TrRoad_act!M55*1000
)</f>
        <v>1982.478555289649</v>
      </c>
      <c r="N79" s="88">
        <f>IF(TrRoad_act!N55=0,0,N42/TrRoad_act!N55*1000
)</f>
        <v>1514.7781696252155</v>
      </c>
      <c r="O79" s="88">
        <f>IF(TrRoad_act!O55=0,0,O42/TrRoad_act!O55*1000
)</f>
        <v>1316.6089508592715</v>
      </c>
      <c r="P79" s="88">
        <f>IF(TrRoad_act!P55=0,0,P42/TrRoad_act!P55*1000
)</f>
        <v>1617.8314332508758</v>
      </c>
      <c r="Q79" s="88">
        <f>IF(TrRoad_act!Q55=0,0,Q42/TrRoad_act!Q55*1000
)</f>
        <v>1400.54059256456</v>
      </c>
      <c r="R79" s="88">
        <f>IF(TrRoad_act!R55=0,0,R42/TrRoad_act!R55*1000
)</f>
        <v>1673.0347620947614</v>
      </c>
      <c r="S79" s="88">
        <f>IF(TrRoad_act!S55=0,0,S42/TrRoad_act!S55*1000
)</f>
        <v>1807.0987654916544</v>
      </c>
      <c r="T79" s="88">
        <f>IF(TrRoad_act!T55=0,0,T42/TrRoad_act!T55*1000
)</f>
        <v>2174.0371872770265</v>
      </c>
      <c r="U79" s="88">
        <f>IF(TrRoad_act!U55=0,0,U42/TrRoad_act!U55*1000
)</f>
        <v>2019.1983102745498</v>
      </c>
      <c r="V79" s="88">
        <f>IF(TrRoad_act!V55=0,0,V42/TrRoad_act!V55*1000
)</f>
        <v>1759.6959406262774</v>
      </c>
      <c r="W79" s="88">
        <f>IF(TrRoad_act!W55=0,0,W42/TrRoad_act!W55*1000
)</f>
        <v>1790.3941741459009</v>
      </c>
      <c r="X79" s="88">
        <f>IF(TrRoad_act!X55=0,0,X42/TrRoad_act!X55*1000
)</f>
        <v>1760.0369254626498</v>
      </c>
      <c r="Y79" s="88">
        <f>IF(TrRoad_act!Y55=0,0,Y42/TrRoad_act!Y55*1000
)</f>
        <v>1964.3726831535701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120.32709151763498</v>
      </c>
      <c r="C82" s="29">
        <f>IF(TrRoad_act!C4=0,0,C18/TrRoad_act!C4*1000)</f>
        <v>120.9202787917996</v>
      </c>
      <c r="D82" s="29">
        <f>IF(TrRoad_act!D4=0,0,D18/TrRoad_act!D4*1000)</f>
        <v>122.65642330796017</v>
      </c>
      <c r="E82" s="29">
        <f>IF(TrRoad_act!E4=0,0,E18/TrRoad_act!E4*1000)</f>
        <v>124.49377950741726</v>
      </c>
      <c r="F82" s="29">
        <f>IF(TrRoad_act!F4=0,0,F18/TrRoad_act!F4*1000)</f>
        <v>123.37797047412387</v>
      </c>
      <c r="G82" s="29">
        <f>IF(TrRoad_act!G4=0,0,G18/TrRoad_act!G4*1000)</f>
        <v>125.7899058346588</v>
      </c>
      <c r="H82" s="29">
        <f>IF(TrRoad_act!H4=0,0,H18/TrRoad_act!H4*1000)</f>
        <v>127.60064767201318</v>
      </c>
      <c r="I82" s="29">
        <f>IF(TrRoad_act!I4=0,0,I18/TrRoad_act!I4*1000)</f>
        <v>131.40554945114206</v>
      </c>
      <c r="J82" s="29">
        <f>IF(TrRoad_act!J4=0,0,J18/TrRoad_act!J4*1000)</f>
        <v>129.47710328528129</v>
      </c>
      <c r="K82" s="29">
        <f>IF(TrRoad_act!K4=0,0,K18/TrRoad_act!K4*1000)</f>
        <v>127.31368307106861</v>
      </c>
      <c r="L82" s="29">
        <f>IF(TrRoad_act!L4=0,0,L18/TrRoad_act!L4*1000)</f>
        <v>126.62232728608039</v>
      </c>
      <c r="M82" s="29">
        <f>IF(TrRoad_act!M4=0,0,M18/TrRoad_act!M4*1000)</f>
        <v>124.72428850429853</v>
      </c>
      <c r="N82" s="29">
        <f>IF(TrRoad_act!N4=0,0,N18/TrRoad_act!N4*1000)</f>
        <v>116.75740521241261</v>
      </c>
      <c r="O82" s="29">
        <f>IF(TrRoad_act!O4=0,0,O18/TrRoad_act!O4*1000)</f>
        <v>115.3284086209089</v>
      </c>
      <c r="P82" s="29">
        <f>IF(TrRoad_act!P4=0,0,P18/TrRoad_act!P4*1000)</f>
        <v>114.24424373468156</v>
      </c>
      <c r="Q82" s="29">
        <f>IF(TrRoad_act!Q4=0,0,Q18/TrRoad_act!Q4*1000)</f>
        <v>118.04164743097112</v>
      </c>
      <c r="R82" s="29">
        <f>IF(TrRoad_act!R4=0,0,R18/TrRoad_act!R4*1000)</f>
        <v>112.84899731332273</v>
      </c>
      <c r="S82" s="29">
        <f>IF(TrRoad_act!S4=0,0,S18/TrRoad_act!S4*1000)</f>
        <v>110.20524611380591</v>
      </c>
      <c r="T82" s="29">
        <f>IF(TrRoad_act!T4=0,0,T18/TrRoad_act!T4*1000)</f>
        <v>110.93146966781944</v>
      </c>
      <c r="U82" s="29">
        <f>IF(TrRoad_act!U4=0,0,U18/TrRoad_act!U4*1000)</f>
        <v>107.24230840438204</v>
      </c>
      <c r="V82" s="29">
        <f>IF(TrRoad_act!V4=0,0,V18/TrRoad_act!V4*1000)</f>
        <v>108.10880049064598</v>
      </c>
      <c r="W82" s="29">
        <f>IF(TrRoad_act!W4=0,0,W18/TrRoad_act!W4*1000)</f>
        <v>105.13901252481931</v>
      </c>
      <c r="X82" s="29">
        <f>IF(TrRoad_act!X4=0,0,X18/TrRoad_act!X4*1000)</f>
        <v>96.748180644545087</v>
      </c>
      <c r="Y82" s="29">
        <f>IF(TrRoad_act!Y4=0,0,Y18/TrRoad_act!Y4*1000)</f>
        <v>93.891305289134564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110.90941971152262</v>
      </c>
      <c r="C83" s="152">
        <f>IF(TrRoad_act!C5=0,0,C19/TrRoad_act!C5*1000)</f>
        <v>109.98212297767365</v>
      </c>
      <c r="D83" s="152">
        <f>IF(TrRoad_act!D5=0,0,D19/TrRoad_act!D5*1000)</f>
        <v>109.31066983516907</v>
      </c>
      <c r="E83" s="152">
        <f>IF(TrRoad_act!E5=0,0,E19/TrRoad_act!E5*1000)</f>
        <v>108.63861075029182</v>
      </c>
      <c r="F83" s="152">
        <f>IF(TrRoad_act!F5=0,0,F19/TrRoad_act!F5*1000)</f>
        <v>107.40149640069185</v>
      </c>
      <c r="G83" s="152">
        <f>IF(TrRoad_act!G5=0,0,G19/TrRoad_act!G5*1000)</f>
        <v>105.5806490882088</v>
      </c>
      <c r="H83" s="152">
        <f>IF(TrRoad_act!H5=0,0,H19/TrRoad_act!H5*1000)</f>
        <v>103.6244966862272</v>
      </c>
      <c r="I83" s="152">
        <f>IF(TrRoad_act!I5=0,0,I19/TrRoad_act!I5*1000)</f>
        <v>101.82007333426591</v>
      </c>
      <c r="J83" s="152">
        <f>IF(TrRoad_act!J5=0,0,J19/TrRoad_act!J5*1000)</f>
        <v>101.46270759130745</v>
      </c>
      <c r="K83" s="152">
        <f>IF(TrRoad_act!K5=0,0,K19/TrRoad_act!K5*1000)</f>
        <v>101.11061960311591</v>
      </c>
      <c r="L83" s="152">
        <f>IF(TrRoad_act!L5=0,0,L19/TrRoad_act!L5*1000)</f>
        <v>98.648337445694324</v>
      </c>
      <c r="M83" s="152">
        <f>IF(TrRoad_act!M5=0,0,M19/TrRoad_act!M5*1000)</f>
        <v>95.880551406689392</v>
      </c>
      <c r="N83" s="152">
        <f>IF(TrRoad_act!N5=0,0,N19/TrRoad_act!N5*1000)</f>
        <v>95.633959087281312</v>
      </c>
      <c r="O83" s="152">
        <f>IF(TrRoad_act!O5=0,0,O19/TrRoad_act!O5*1000)</f>
        <v>94.895399745982047</v>
      </c>
      <c r="P83" s="152">
        <f>IF(TrRoad_act!P5=0,0,P19/TrRoad_act!P5*1000)</f>
        <v>94.271500344482703</v>
      </c>
      <c r="Q83" s="152">
        <f>IF(TrRoad_act!Q5=0,0,Q19/TrRoad_act!Q5*1000)</f>
        <v>93.66022590122536</v>
      </c>
      <c r="R83" s="152">
        <f>IF(TrRoad_act!R5=0,0,R19/TrRoad_act!R5*1000)</f>
        <v>93.196723956603179</v>
      </c>
      <c r="S83" s="152">
        <f>IF(TrRoad_act!S5=0,0,S19/TrRoad_act!S5*1000)</f>
        <v>93.369528107241663</v>
      </c>
      <c r="T83" s="152">
        <f>IF(TrRoad_act!T5=0,0,T19/TrRoad_act!T5*1000)</f>
        <v>92.730804374711155</v>
      </c>
      <c r="U83" s="152">
        <f>IF(TrRoad_act!U5=0,0,U19/TrRoad_act!U5*1000)</f>
        <v>91.599064089710723</v>
      </c>
      <c r="V83" s="152">
        <f>IF(TrRoad_act!V5=0,0,V19/TrRoad_act!V5*1000)</f>
        <v>88.046034086515121</v>
      </c>
      <c r="W83" s="152">
        <f>IF(TrRoad_act!W5=0,0,W19/TrRoad_act!W5*1000)</f>
        <v>87.337052046668703</v>
      </c>
      <c r="X83" s="152">
        <f>IF(TrRoad_act!X5=0,0,X19/TrRoad_act!X5*1000)</f>
        <v>86.881208932088242</v>
      </c>
      <c r="Y83" s="152">
        <f>IF(TrRoad_act!Y5=0,0,Y19/TrRoad_act!Y5*1000)</f>
        <v>86.094657799968402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117.06747287567323</v>
      </c>
      <c r="C84" s="116">
        <f>IF(TrRoad_act!C6=0,0,C20/TrRoad_act!C6*1000)</f>
        <v>118.08648868364757</v>
      </c>
      <c r="D84" s="116">
        <f>IF(TrRoad_act!D6=0,0,D20/TrRoad_act!D6*1000)</f>
        <v>120.53329134237434</v>
      </c>
      <c r="E84" s="116">
        <f>IF(TrRoad_act!E6=0,0,E20/TrRoad_act!E6*1000)</f>
        <v>122.3432937278933</v>
      </c>
      <c r="F84" s="116">
        <f>IF(TrRoad_act!F6=0,0,F20/TrRoad_act!F6*1000)</f>
        <v>121.51640265112152</v>
      </c>
      <c r="G84" s="116">
        <f>IF(TrRoad_act!G6=0,0,G20/TrRoad_act!G6*1000)</f>
        <v>123.7976187272492</v>
      </c>
      <c r="H84" s="116">
        <f>IF(TrRoad_act!H6=0,0,H20/TrRoad_act!H6*1000)</f>
        <v>125.49178277404776</v>
      </c>
      <c r="I84" s="116">
        <f>IF(TrRoad_act!I6=0,0,I20/TrRoad_act!I6*1000)</f>
        <v>129.65500411574067</v>
      </c>
      <c r="J84" s="116">
        <f>IF(TrRoad_act!J6=0,0,J20/TrRoad_act!J6*1000)</f>
        <v>126.91738522762716</v>
      </c>
      <c r="K84" s="116">
        <f>IF(TrRoad_act!K6=0,0,K20/TrRoad_act!K6*1000)</f>
        <v>124.15333589120938</v>
      </c>
      <c r="L84" s="116">
        <f>IF(TrRoad_act!L6=0,0,L20/TrRoad_act!L6*1000)</f>
        <v>123.13194719500875</v>
      </c>
      <c r="M84" s="116">
        <f>IF(TrRoad_act!M6=0,0,M20/TrRoad_act!M6*1000)</f>
        <v>121.86554492524206</v>
      </c>
      <c r="N84" s="116">
        <f>IF(TrRoad_act!N6=0,0,N20/TrRoad_act!N6*1000)</f>
        <v>114.05236419494018</v>
      </c>
      <c r="O84" s="116">
        <f>IF(TrRoad_act!O6=0,0,O20/TrRoad_act!O6*1000)</f>
        <v>113.19753503548702</v>
      </c>
      <c r="P84" s="116">
        <f>IF(TrRoad_act!P6=0,0,P20/TrRoad_act!P6*1000)</f>
        <v>111.63355581548745</v>
      </c>
      <c r="Q84" s="116">
        <f>IF(TrRoad_act!Q6=0,0,Q20/TrRoad_act!Q6*1000)</f>
        <v>116.23777223742609</v>
      </c>
      <c r="R84" s="116">
        <f>IF(TrRoad_act!R6=0,0,R20/TrRoad_act!R6*1000)</f>
        <v>110.30627424351314</v>
      </c>
      <c r="S84" s="116">
        <f>IF(TrRoad_act!S6=0,0,S20/TrRoad_act!S6*1000)</f>
        <v>107.06022682040957</v>
      </c>
      <c r="T84" s="116">
        <f>IF(TrRoad_act!T6=0,0,T20/TrRoad_act!T6*1000)</f>
        <v>107.63290483179536</v>
      </c>
      <c r="U84" s="116">
        <f>IF(TrRoad_act!U6=0,0,U20/TrRoad_act!U6*1000)</f>
        <v>103.93223119873433</v>
      </c>
      <c r="V84" s="116">
        <f>IF(TrRoad_act!V6=0,0,V20/TrRoad_act!V6*1000)</f>
        <v>100.32052379728142</v>
      </c>
      <c r="W84" s="116">
        <f>IF(TrRoad_act!W6=0,0,W20/TrRoad_act!W6*1000)</f>
        <v>98.238599659264295</v>
      </c>
      <c r="X84" s="116">
        <f>IF(TrRoad_act!X6=0,0,X20/TrRoad_act!X6*1000)</f>
        <v>94.890100435274732</v>
      </c>
      <c r="Y84" s="116">
        <f>IF(TrRoad_act!Y6=0,0,Y20/TrRoad_act!Y6*1000)</f>
        <v>91.783118827795434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118.11393944411522</v>
      </c>
      <c r="C85" s="87">
        <f>IF(TrRoad_act!C7=0,0,C21/TrRoad_act!C7*1000)</f>
        <v>119.85711726530509</v>
      </c>
      <c r="D85" s="87">
        <f>IF(TrRoad_act!D7=0,0,D21/TrRoad_act!D7*1000)</f>
        <v>122.51918256152324</v>
      </c>
      <c r="E85" s="87">
        <f>IF(TrRoad_act!E7=0,0,E21/TrRoad_act!E7*1000)</f>
        <v>124.15295108204648</v>
      </c>
      <c r="F85" s="87">
        <f>IF(TrRoad_act!F7=0,0,F21/TrRoad_act!F7*1000)</f>
        <v>123.06654406695205</v>
      </c>
      <c r="G85" s="87">
        <f>IF(TrRoad_act!G7=0,0,G21/TrRoad_act!G7*1000)</f>
        <v>125.91758228546563</v>
      </c>
      <c r="H85" s="87">
        <f>IF(TrRoad_act!H7=0,0,H21/TrRoad_act!H7*1000)</f>
        <v>127.82285830725689</v>
      </c>
      <c r="I85" s="87">
        <f>IF(TrRoad_act!I7=0,0,I21/TrRoad_act!I7*1000)</f>
        <v>132.77087079728324</v>
      </c>
      <c r="J85" s="87">
        <f>IF(TrRoad_act!J7=0,0,J21/TrRoad_act!J7*1000)</f>
        <v>131.42002239000763</v>
      </c>
      <c r="K85" s="87">
        <f>IF(TrRoad_act!K7=0,0,K21/TrRoad_act!K7*1000)</f>
        <v>129.02139629370657</v>
      </c>
      <c r="L85" s="87">
        <f>IF(TrRoad_act!L7=0,0,L21/TrRoad_act!L7*1000)</f>
        <v>127.39029662541509</v>
      </c>
      <c r="M85" s="87">
        <f>IF(TrRoad_act!M7=0,0,M21/TrRoad_act!M7*1000)</f>
        <v>127.2740084193921</v>
      </c>
      <c r="N85" s="87">
        <f>IF(TrRoad_act!N7=0,0,N21/TrRoad_act!N7*1000)</f>
        <v>120.97397412242795</v>
      </c>
      <c r="O85" s="87">
        <f>IF(TrRoad_act!O7=0,0,O21/TrRoad_act!O7*1000)</f>
        <v>119.9861361237808</v>
      </c>
      <c r="P85" s="87">
        <f>IF(TrRoad_act!P7=0,0,P21/TrRoad_act!P7*1000)</f>
        <v>116.53547427894279</v>
      </c>
      <c r="Q85" s="87">
        <f>IF(TrRoad_act!Q7=0,0,Q21/TrRoad_act!Q7*1000)</f>
        <v>124.63220226403187</v>
      </c>
      <c r="R85" s="87">
        <f>IF(TrRoad_act!R7=0,0,R21/TrRoad_act!R7*1000)</f>
        <v>114.07677991532728</v>
      </c>
      <c r="S85" s="87">
        <f>IF(TrRoad_act!S7=0,0,S21/TrRoad_act!S7*1000)</f>
        <v>109.70761757466501</v>
      </c>
      <c r="T85" s="87">
        <f>IF(TrRoad_act!T7=0,0,T21/TrRoad_act!T7*1000)</f>
        <v>108.62835887442058</v>
      </c>
      <c r="U85" s="87">
        <f>IF(TrRoad_act!U7=0,0,U21/TrRoad_act!U7*1000)</f>
        <v>105.2689579093761</v>
      </c>
      <c r="V85" s="87">
        <f>IF(TrRoad_act!V7=0,0,V21/TrRoad_act!V7*1000)</f>
        <v>100.76019706265357</v>
      </c>
      <c r="W85" s="87">
        <f>IF(TrRoad_act!W7=0,0,W21/TrRoad_act!W7*1000)</f>
        <v>98.659831316394587</v>
      </c>
      <c r="X85" s="87">
        <f>IF(TrRoad_act!X7=0,0,X21/TrRoad_act!X7*1000)</f>
        <v>97.721600251661997</v>
      </c>
      <c r="Y85" s="87">
        <f>IF(TrRoad_act!Y7=0,0,Y21/TrRoad_act!Y7*1000)</f>
        <v>95.911983647222741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107.8905888872379</v>
      </c>
      <c r="C86" s="87">
        <f>IF(TrRoad_act!C8=0,0,C22/TrRoad_act!C8*1000)</f>
        <v>103.54637576310687</v>
      </c>
      <c r="D86" s="87">
        <f>IF(TrRoad_act!D8=0,0,D22/TrRoad_act!D8*1000)</f>
        <v>105.06315962274805</v>
      </c>
      <c r="E86" s="87">
        <f>IF(TrRoad_act!E8=0,0,E22/TrRoad_act!E8*1000)</f>
        <v>109.46566424726164</v>
      </c>
      <c r="F86" s="87">
        <f>IF(TrRoad_act!F8=0,0,F22/TrRoad_act!F8*1000)</f>
        <v>112.00635323155871</v>
      </c>
      <c r="G86" s="87">
        <f>IF(TrRoad_act!G8=0,0,G22/TrRoad_act!G8*1000)</f>
        <v>113.57586819017075</v>
      </c>
      <c r="H86" s="87">
        <f>IF(TrRoad_act!H8=0,0,H22/TrRoad_act!H8*1000)</f>
        <v>116.0006612834287</v>
      </c>
      <c r="I86" s="87">
        <f>IF(TrRoad_act!I8=0,0,I22/TrRoad_act!I8*1000)</f>
        <v>120.34646727919413</v>
      </c>
      <c r="J86" s="87">
        <f>IF(TrRoad_act!J8=0,0,J22/TrRoad_act!J8*1000)</f>
        <v>115.774441127711</v>
      </c>
      <c r="K86" s="87">
        <f>IF(TrRoad_act!K8=0,0,K22/TrRoad_act!K8*1000)</f>
        <v>113.48525553988084</v>
      </c>
      <c r="L86" s="87">
        <f>IF(TrRoad_act!L8=0,0,L22/TrRoad_act!L8*1000)</f>
        <v>115.28421032473614</v>
      </c>
      <c r="M86" s="87">
        <f>IF(TrRoad_act!M8=0,0,M22/TrRoad_act!M8*1000)</f>
        <v>112.90654505761529</v>
      </c>
      <c r="N86" s="87">
        <f>IF(TrRoad_act!N8=0,0,N22/TrRoad_act!N8*1000)</f>
        <v>104.03379696503566</v>
      </c>
      <c r="O86" s="87">
        <f>IF(TrRoad_act!O8=0,0,O22/TrRoad_act!O8*1000)</f>
        <v>104.0770160938136</v>
      </c>
      <c r="P86" s="87">
        <f>IF(TrRoad_act!P8=0,0,P22/TrRoad_act!P8*1000)</f>
        <v>105.32627168660832</v>
      </c>
      <c r="Q86" s="87">
        <f>IF(TrRoad_act!Q8=0,0,Q22/TrRoad_act!Q8*1000)</f>
        <v>107.04380180785347</v>
      </c>
      <c r="R86" s="87">
        <f>IF(TrRoad_act!R8=0,0,R22/TrRoad_act!R8*1000)</f>
        <v>106.06567721608467</v>
      </c>
      <c r="S86" s="87">
        <f>IF(TrRoad_act!S8=0,0,S22/TrRoad_act!S8*1000)</f>
        <v>104.53378712737064</v>
      </c>
      <c r="T86" s="87">
        <f>IF(TrRoad_act!T8=0,0,T22/TrRoad_act!T8*1000)</f>
        <v>107.42636055819267</v>
      </c>
      <c r="U86" s="87">
        <f>IF(TrRoad_act!U8=0,0,U22/TrRoad_act!U8*1000)</f>
        <v>103.81387366602206</v>
      </c>
      <c r="V86" s="87">
        <f>IF(TrRoad_act!V8=0,0,V22/TrRoad_act!V8*1000)</f>
        <v>103.27004857396797</v>
      </c>
      <c r="W86" s="87">
        <f>IF(TrRoad_act!W8=0,0,W22/TrRoad_act!W8*1000)</f>
        <v>105.88442855177817</v>
      </c>
      <c r="X86" s="87">
        <f>IF(TrRoad_act!X8=0,0,X22/TrRoad_act!X8*1000)</f>
        <v>104.1818229959797</v>
      </c>
      <c r="Y86" s="87">
        <f>IF(TrRoad_act!Y8=0,0,Y22/TrRoad_act!Y8*1000)</f>
        <v>106.77583574577406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99.406021907749647</v>
      </c>
      <c r="C87" s="87">
        <f>IF(TrRoad_act!C9=0,0,C23/TrRoad_act!C9*1000)</f>
        <v>114.94242176210368</v>
      </c>
      <c r="D87" s="87">
        <f>IF(TrRoad_act!D9=0,0,D23/TrRoad_act!D9*1000)</f>
        <v>141.31029174129517</v>
      </c>
      <c r="E87" s="87">
        <f>IF(TrRoad_act!E9=0,0,E23/TrRoad_act!E9*1000)</f>
        <v>135.75185187486093</v>
      </c>
      <c r="F87" s="87">
        <f>IF(TrRoad_act!F9=0,0,F23/TrRoad_act!F9*1000)</f>
        <v>134.2949471882813</v>
      </c>
      <c r="G87" s="87">
        <f>IF(TrRoad_act!G9=0,0,G23/TrRoad_act!G9*1000)</f>
        <v>143.92205005280198</v>
      </c>
      <c r="H87" s="87">
        <f>IF(TrRoad_act!H9=0,0,H23/TrRoad_act!H9*1000)</f>
        <v>148.19174560904824</v>
      </c>
      <c r="I87" s="87">
        <f>IF(TrRoad_act!I9=0,0,I23/TrRoad_act!I9*1000)</f>
        <v>147.06937292017321</v>
      </c>
      <c r="J87" s="87">
        <f>IF(TrRoad_act!J9=0,0,J23/TrRoad_act!J9*1000)</f>
        <v>147.6256425367755</v>
      </c>
      <c r="K87" s="87">
        <f>IF(TrRoad_act!K9=0,0,K23/TrRoad_act!K9*1000)</f>
        <v>155.31911048476525</v>
      </c>
      <c r="L87" s="87">
        <f>IF(TrRoad_act!L9=0,0,L23/TrRoad_act!L9*1000)</f>
        <v>0</v>
      </c>
      <c r="M87" s="87">
        <f>IF(TrRoad_act!M9=0,0,M23/TrRoad_act!M9*1000)</f>
        <v>0</v>
      </c>
      <c r="N87" s="87">
        <f>IF(TrRoad_act!N9=0,0,N23/TrRoad_act!N9*1000)</f>
        <v>0</v>
      </c>
      <c r="O87" s="87">
        <f>IF(TrRoad_act!O9=0,0,O23/TrRoad_act!O9*1000)</f>
        <v>0</v>
      </c>
      <c r="P87" s="87">
        <f>IF(TrRoad_act!P9=0,0,P23/TrRoad_act!P9*1000)</f>
        <v>0</v>
      </c>
      <c r="Q87" s="87">
        <f>IF(TrRoad_act!Q9=0,0,Q23/TrRoad_act!Q9*1000)</f>
        <v>0</v>
      </c>
      <c r="R87" s="87">
        <f>IF(TrRoad_act!R9=0,0,R23/TrRoad_act!R9*1000)</f>
        <v>0</v>
      </c>
      <c r="S87" s="87">
        <f>IF(TrRoad_act!S9=0,0,S23/TrRoad_act!S9*1000)</f>
        <v>0</v>
      </c>
      <c r="T87" s="87">
        <f>IF(TrRoad_act!T9=0,0,T23/TrRoad_act!T9*1000)</f>
        <v>0</v>
      </c>
      <c r="U87" s="87">
        <f>IF(TrRoad_act!U9=0,0,U23/TrRoad_act!U9*1000)</f>
        <v>0</v>
      </c>
      <c r="V87" s="87">
        <f>IF(TrRoad_act!V9=0,0,V23/TrRoad_act!V9*1000)</f>
        <v>0</v>
      </c>
      <c r="W87" s="87">
        <f>IF(TrRoad_act!W9=0,0,W23/TrRoad_act!W9*1000)</f>
        <v>0</v>
      </c>
      <c r="X87" s="87">
        <f>IF(TrRoad_act!X9=0,0,X23/TrRoad_act!X9*1000)</f>
        <v>0</v>
      </c>
      <c r="Y87" s="87">
        <f>IF(TrRoad_act!Y9=0,0,Y23/TrRoad_act!Y9*1000)</f>
        <v>0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97.909058352582292</v>
      </c>
      <c r="R88" s="87">
        <f>IF(TrRoad_act!R10=0,0,R24/TrRoad_act!R10*1000)</f>
        <v>113.95849284413838</v>
      </c>
      <c r="S88" s="87">
        <f>IF(TrRoad_act!S10=0,0,S24/TrRoad_act!S10*1000)</f>
        <v>63.297573502337599</v>
      </c>
      <c r="T88" s="87">
        <f>IF(TrRoad_act!T10=0,0,T24/TrRoad_act!T10*1000)</f>
        <v>71.050757658912659</v>
      </c>
      <c r="U88" s="87">
        <f>IF(TrRoad_act!U10=0,0,U24/TrRoad_act!U10*1000)</f>
        <v>63.674466232596536</v>
      </c>
      <c r="V88" s="87">
        <f>IF(TrRoad_act!V10=0,0,V24/TrRoad_act!V10*1000)</f>
        <v>66.159641184415207</v>
      </c>
      <c r="W88" s="87">
        <f>IF(TrRoad_act!W10=0,0,W24/TrRoad_act!W10*1000)</f>
        <v>64.504250439665867</v>
      </c>
      <c r="X88" s="87">
        <f>IF(TrRoad_act!X10=0,0,X24/TrRoad_act!X10*1000)</f>
        <v>54.506095570203406</v>
      </c>
      <c r="Y88" s="87">
        <f>IF(TrRoad_act!Y10=0,0,Y24/TrRoad_act!Y10*1000)</f>
        <v>52.171054774934113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33.68280225829325</v>
      </c>
      <c r="O89" s="87">
        <f>IF(TrRoad_act!O11=0,0,O25/TrRoad_act!O11*1000)</f>
        <v>39.846749338063042</v>
      </c>
      <c r="P89" s="87">
        <f>IF(TrRoad_act!P11=0,0,P25/TrRoad_act!P11*1000)</f>
        <v>18.507573731932503</v>
      </c>
      <c r="Q89" s="87">
        <f>IF(TrRoad_act!Q11=0,0,Q25/TrRoad_act!Q11*1000)</f>
        <v>89.155212289151081</v>
      </c>
      <c r="R89" s="87">
        <f>IF(TrRoad_act!R11=0,0,R25/TrRoad_act!R11*1000)</f>
        <v>46.523209359521658</v>
      </c>
      <c r="S89" s="87">
        <f>IF(TrRoad_act!S11=0,0,S25/TrRoad_act!S11*1000)</f>
        <v>34.93801979309616</v>
      </c>
      <c r="T89" s="87">
        <f>IF(TrRoad_act!T11=0,0,T25/TrRoad_act!T11*1000)</f>
        <v>30.411321819437305</v>
      </c>
      <c r="U89" s="87">
        <f>IF(TrRoad_act!U11=0,0,U25/TrRoad_act!U11*1000)</f>
        <v>27.536853868650269</v>
      </c>
      <c r="V89" s="87">
        <f>IF(TrRoad_act!V11=0,0,V25/TrRoad_act!V11*1000)</f>
        <v>24.310265034600199</v>
      </c>
      <c r="W89" s="87">
        <f>IF(TrRoad_act!W11=0,0,W25/TrRoad_act!W11*1000)</f>
        <v>23.634271918474138</v>
      </c>
      <c r="X89" s="87">
        <f>IF(TrRoad_act!X11=0,0,X25/TrRoad_act!X11*1000)</f>
        <v>23.344617347158493</v>
      </c>
      <c r="Y89" s="87">
        <f>IF(TrRoad_act!Y11=0,0,Y25/TrRoad_act!Y11*1000)</f>
        <v>22.831770772232105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143.3530161993198</v>
      </c>
      <c r="C91" s="116">
        <f>IF(TrRoad_act!C13=0,0,C27/TrRoad_act!C13*1000)</f>
        <v>140.97344247439781</v>
      </c>
      <c r="D91" s="116">
        <f>IF(TrRoad_act!D13=0,0,D27/TrRoad_act!D13*1000)</f>
        <v>138.16521776016654</v>
      </c>
      <c r="E91" s="116">
        <f>IF(TrRoad_act!E13=0,0,E27/TrRoad_act!E13*1000)</f>
        <v>140.5331918954758</v>
      </c>
      <c r="F91" s="116">
        <f>IF(TrRoad_act!F13=0,0,F27/TrRoad_act!F13*1000)</f>
        <v>137.61785288646456</v>
      </c>
      <c r="G91" s="116">
        <f>IF(TrRoad_act!G13=0,0,G27/TrRoad_act!G13*1000)</f>
        <v>141.39897696485684</v>
      </c>
      <c r="H91" s="116">
        <f>IF(TrRoad_act!H13=0,0,H27/TrRoad_act!H13*1000)</f>
        <v>144.70624865972846</v>
      </c>
      <c r="I91" s="116">
        <f>IF(TrRoad_act!I13=0,0,I27/TrRoad_act!I13*1000)</f>
        <v>147.45784152104022</v>
      </c>
      <c r="J91" s="116">
        <f>IF(TrRoad_act!J13=0,0,J27/TrRoad_act!J13*1000)</f>
        <v>151.98486439096166</v>
      </c>
      <c r="K91" s="116">
        <f>IF(TrRoad_act!K13=0,0,K27/TrRoad_act!K13*1000)</f>
        <v>154.28620739015744</v>
      </c>
      <c r="L91" s="116">
        <f>IF(TrRoad_act!L13=0,0,L27/TrRoad_act!L13*1000)</f>
        <v>155.88989935454222</v>
      </c>
      <c r="M91" s="116">
        <f>IF(TrRoad_act!M13=0,0,M27/TrRoad_act!M13*1000)</f>
        <v>150.35779283540913</v>
      </c>
      <c r="N91" s="116">
        <f>IF(TrRoad_act!N13=0,0,N27/TrRoad_act!N13*1000)</f>
        <v>141.02083200946416</v>
      </c>
      <c r="O91" s="116">
        <f>IF(TrRoad_act!O13=0,0,O27/TrRoad_act!O13*1000)</f>
        <v>134.94915961616201</v>
      </c>
      <c r="P91" s="116">
        <f>IF(TrRoad_act!P13=0,0,P27/TrRoad_act!P13*1000)</f>
        <v>138.05320073323225</v>
      </c>
      <c r="Q91" s="116">
        <f>IF(TrRoad_act!Q13=0,0,Q27/TrRoad_act!Q13*1000)</f>
        <v>135.53883039869061</v>
      </c>
      <c r="R91" s="116">
        <f>IF(TrRoad_act!R13=0,0,R27/TrRoad_act!R13*1000)</f>
        <v>136.06466847968417</v>
      </c>
      <c r="S91" s="116">
        <f>IF(TrRoad_act!S13=0,0,S27/TrRoad_act!S13*1000)</f>
        <v>137.61573681555689</v>
      </c>
      <c r="T91" s="116">
        <f>IF(TrRoad_act!T13=0,0,T27/TrRoad_act!T13*1000)</f>
        <v>140.96285029297491</v>
      </c>
      <c r="U91" s="116">
        <f>IF(TrRoad_act!U13=0,0,U27/TrRoad_act!U13*1000)</f>
        <v>138.70844446709773</v>
      </c>
      <c r="V91" s="116">
        <f>IF(TrRoad_act!V13=0,0,V27/TrRoad_act!V13*1000)</f>
        <v>209.75191088349337</v>
      </c>
      <c r="W91" s="116">
        <f>IF(TrRoad_act!W13=0,0,W27/TrRoad_act!W13*1000)</f>
        <v>192.94024778726151</v>
      </c>
      <c r="X91" s="116">
        <f>IF(TrRoad_act!X13=0,0,X27/TrRoad_act!X13*1000)</f>
        <v>111.25404545837165</v>
      </c>
      <c r="Y91" s="116">
        <f>IF(TrRoad_act!Y13=0,0,Y27/TrRoad_act!Y13*1000)</f>
        <v>111.31950361932071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91.898778084010388</v>
      </c>
      <c r="C92" s="101">
        <f>IF(TrRoad_act!C14=0,0,C28/TrRoad_act!C14*1000)</f>
        <v>91.932814705650912</v>
      </c>
      <c r="D92" s="101">
        <f>IF(TrRoad_act!D14=0,0,D28/TrRoad_act!D14*1000)</f>
        <v>91.869724271183046</v>
      </c>
      <c r="E92" s="101">
        <f>IF(TrRoad_act!E14=0,0,E28/TrRoad_act!E14*1000)</f>
        <v>91.83240968122854</v>
      </c>
      <c r="F92" s="101">
        <f>IF(TrRoad_act!F14=0,0,F28/TrRoad_act!F14*1000)</f>
        <v>91.705794799950965</v>
      </c>
      <c r="G92" s="101">
        <f>IF(TrRoad_act!G14=0,0,G28/TrRoad_act!G14*1000)</f>
        <v>91.372051702813678</v>
      </c>
      <c r="H92" s="101">
        <f>IF(TrRoad_act!H14=0,0,H28/TrRoad_act!H14*1000)</f>
        <v>89.174041702667779</v>
      </c>
      <c r="I92" s="101">
        <f>IF(TrRoad_act!I14=0,0,I28/TrRoad_act!I14*1000)</f>
        <v>86.908385563453493</v>
      </c>
      <c r="J92" s="101">
        <f>IF(TrRoad_act!J14=0,0,J28/TrRoad_act!J14*1000)</f>
        <v>84.81958915120606</v>
      </c>
      <c r="K92" s="101">
        <f>IF(TrRoad_act!K14=0,0,K28/TrRoad_act!K14*1000)</f>
        <v>82.571187665615909</v>
      </c>
      <c r="L92" s="101">
        <f>IF(TrRoad_act!L14=0,0,L28/TrRoad_act!L14*1000)</f>
        <v>79.523847579591575</v>
      </c>
      <c r="M92" s="101">
        <f>IF(TrRoad_act!M14=0,0,M28/TrRoad_act!M14*1000)</f>
        <v>76.962465790883201</v>
      </c>
      <c r="N92" s="101">
        <f>IF(TrRoad_act!N14=0,0,N28/TrRoad_act!N14*1000)</f>
        <v>74.945679833394195</v>
      </c>
      <c r="O92" s="101">
        <f>IF(TrRoad_act!O14=0,0,O28/TrRoad_act!O14*1000)</f>
        <v>73.953025072914443</v>
      </c>
      <c r="P92" s="101">
        <f>IF(TrRoad_act!P14=0,0,P28/TrRoad_act!P14*1000)</f>
        <v>73.654069717880589</v>
      </c>
      <c r="Q92" s="101">
        <f>IF(TrRoad_act!Q14=0,0,Q28/TrRoad_act!Q14*1000)</f>
        <v>72.53175457220712</v>
      </c>
      <c r="R92" s="101">
        <f>IF(TrRoad_act!R14=0,0,R28/TrRoad_act!R14*1000)</f>
        <v>72.374320753546527</v>
      </c>
      <c r="S92" s="101">
        <f>IF(TrRoad_act!S14=0,0,S28/TrRoad_act!S14*1000)</f>
        <v>72.155602428570845</v>
      </c>
      <c r="T92" s="101">
        <f>IF(TrRoad_act!T14=0,0,T28/TrRoad_act!T14*1000)</f>
        <v>71.705430753820366</v>
      </c>
      <c r="U92" s="101">
        <f>IF(TrRoad_act!U14=0,0,U28/TrRoad_act!U14*1000)</f>
        <v>71.642611867751512</v>
      </c>
      <c r="V92" s="101">
        <f>IF(TrRoad_act!V14=0,0,V28/TrRoad_act!V14*1000)</f>
        <v>70.875555501365071</v>
      </c>
      <c r="W92" s="101">
        <f>IF(TrRoad_act!W14=0,0,W28/TrRoad_act!W14*1000)</f>
        <v>70.585406060859071</v>
      </c>
      <c r="X92" s="101">
        <f>IF(TrRoad_act!X14=0,0,X28/TrRoad_act!X14*1000)</f>
        <v>68.433285526560482</v>
      </c>
      <c r="Y92" s="101">
        <f>IF(TrRoad_act!Y14=0,0,Y28/TrRoad_act!Y14*1000)</f>
        <v>68.396603107700571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146.75369717421017</v>
      </c>
      <c r="C93" s="101">
        <f>IF(TrRoad_act!C15=0,0,C29/TrRoad_act!C15*1000)</f>
        <v>144.30523998328115</v>
      </c>
      <c r="D93" s="101">
        <f>IF(TrRoad_act!D15=0,0,D29/TrRoad_act!D15*1000)</f>
        <v>141.31182566252053</v>
      </c>
      <c r="E93" s="101">
        <f>IF(TrRoad_act!E15=0,0,E29/TrRoad_act!E15*1000)</f>
        <v>142.59519232544275</v>
      </c>
      <c r="F93" s="101">
        <f>IF(TrRoad_act!F15=0,0,F29/TrRoad_act!F15*1000)</f>
        <v>139.20022256770477</v>
      </c>
      <c r="G93" s="101">
        <f>IF(TrRoad_act!G15=0,0,G29/TrRoad_act!G15*1000)</f>
        <v>143.05306201630037</v>
      </c>
      <c r="H93" s="101">
        <f>IF(TrRoad_act!H15=0,0,H29/TrRoad_act!H15*1000)</f>
        <v>146.58760970678816</v>
      </c>
      <c r="I93" s="101">
        <f>IF(TrRoad_act!I15=0,0,I29/TrRoad_act!I15*1000)</f>
        <v>149.52198950270528</v>
      </c>
      <c r="J93" s="101">
        <f>IF(TrRoad_act!J15=0,0,J29/TrRoad_act!J15*1000)</f>
        <v>154.33633378627283</v>
      </c>
      <c r="K93" s="101">
        <f>IF(TrRoad_act!K15=0,0,K29/TrRoad_act!K15*1000)</f>
        <v>156.69870572424492</v>
      </c>
      <c r="L93" s="101">
        <f>IF(TrRoad_act!L15=0,0,L29/TrRoad_act!L15*1000)</f>
        <v>158.34329755513318</v>
      </c>
      <c r="M93" s="101">
        <f>IF(TrRoad_act!M15=0,0,M29/TrRoad_act!M15*1000)</f>
        <v>152.6989718930609</v>
      </c>
      <c r="N93" s="101">
        <f>IF(TrRoad_act!N15=0,0,N29/TrRoad_act!N15*1000)</f>
        <v>143.14110195189267</v>
      </c>
      <c r="O93" s="101">
        <f>IF(TrRoad_act!O15=0,0,O29/TrRoad_act!O15*1000)</f>
        <v>137.04308025685978</v>
      </c>
      <c r="P93" s="101">
        <f>IF(TrRoad_act!P15=0,0,P29/TrRoad_act!P15*1000)</f>
        <v>140.00635964581497</v>
      </c>
      <c r="Q93" s="101">
        <f>IF(TrRoad_act!Q15=0,0,Q29/TrRoad_act!Q15*1000)</f>
        <v>137.18909310683162</v>
      </c>
      <c r="R93" s="101">
        <f>IF(TrRoad_act!R15=0,0,R29/TrRoad_act!R15*1000)</f>
        <v>137.8213306102318</v>
      </c>
      <c r="S93" s="101">
        <f>IF(TrRoad_act!S15=0,0,S29/TrRoad_act!S15*1000)</f>
        <v>139.51873158311832</v>
      </c>
      <c r="T93" s="101">
        <f>IF(TrRoad_act!T15=0,0,T29/TrRoad_act!T15*1000)</f>
        <v>142.54369806707726</v>
      </c>
      <c r="U93" s="101">
        <f>IF(TrRoad_act!U15=0,0,U29/TrRoad_act!U15*1000)</f>
        <v>141.07605922288167</v>
      </c>
      <c r="V93" s="101">
        <f>IF(TrRoad_act!V15=0,0,V29/TrRoad_act!V15*1000)</f>
        <v>215.27144020788313</v>
      </c>
      <c r="W93" s="101">
        <f>IF(TrRoad_act!W15=0,0,W29/TrRoad_act!W15*1000)</f>
        <v>201.19613417991866</v>
      </c>
      <c r="X93" s="101">
        <f>IF(TrRoad_act!X15=0,0,X29/TrRoad_act!X15*1000)</f>
        <v>118.67390888561857</v>
      </c>
      <c r="Y93" s="101">
        <f>IF(TrRoad_act!Y15=0,0,Y29/TrRoad_act!Y15*1000)</f>
        <v>125.22003612276619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X94" s="101">
        <f>IF(TrRoad_act!X16=0,0,X30/TrRoad_act!X16*1000)</f>
        <v>0</v>
      </c>
      <c r="Y94" s="101">
        <f>IF(TrRoad_act!Y16=0,0,Y30/TrRoad_act!Y16*1000)</f>
        <v>0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129.59524517822379</v>
      </c>
      <c r="R95" s="101">
        <f>IF(TrRoad_act!R17=0,0,R31/TrRoad_act!R17*1000)</f>
        <v>106.79148423664913</v>
      </c>
      <c r="S95" s="101">
        <f>IF(TrRoad_act!S17=0,0,S31/TrRoad_act!S17*1000)</f>
        <v>109.5656566590313</v>
      </c>
      <c r="T95" s="101">
        <f>IF(TrRoad_act!T17=0,0,T31/TrRoad_act!T17*1000)</f>
        <v>132.02948344881526</v>
      </c>
      <c r="U95" s="101">
        <f>IF(TrRoad_act!U17=0,0,U31/TrRoad_act!U17*1000)</f>
        <v>130.88095099549321</v>
      </c>
      <c r="V95" s="101">
        <f>IF(TrRoad_act!V17=0,0,V31/TrRoad_act!V17*1000)</f>
        <v>171.38013235509641</v>
      </c>
      <c r="W95" s="101">
        <f>IF(TrRoad_act!W17=0,0,W31/TrRoad_act!W17*1000)</f>
        <v>169.52149704402157</v>
      </c>
      <c r="X95" s="101">
        <f>IF(TrRoad_act!X17=0,0,X31/TrRoad_act!X17*1000)</f>
        <v>98.902531398324626</v>
      </c>
      <c r="Y95" s="101">
        <f>IF(TrRoad_act!Y17=0,0,Y31/TrRoad_act!Y17*1000)</f>
        <v>86.563058898168848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248.60831523954559</v>
      </c>
      <c r="C97" s="29">
        <f>IF(TrRoad_act!C19=0,0,C33/TrRoad_act!C19*1000)</f>
        <v>256.36093022605013</v>
      </c>
      <c r="D97" s="29">
        <f>IF(TrRoad_act!D19=0,0,D33/TrRoad_act!D19*1000)</f>
        <v>251.14290024483893</v>
      </c>
      <c r="E97" s="29">
        <f>IF(TrRoad_act!E19=0,0,E33/TrRoad_act!E19*1000)</f>
        <v>270.27598332274567</v>
      </c>
      <c r="F97" s="29">
        <f>IF(TrRoad_act!F19=0,0,F33/TrRoad_act!F19*1000)</f>
        <v>283.65977157061667</v>
      </c>
      <c r="G97" s="29">
        <f>IF(TrRoad_act!G19=0,0,G33/TrRoad_act!G19*1000)</f>
        <v>275.63740359865062</v>
      </c>
      <c r="H97" s="29">
        <f>IF(TrRoad_act!H19=0,0,H33/TrRoad_act!H19*1000)</f>
        <v>274.42928774065166</v>
      </c>
      <c r="I97" s="29">
        <f>IF(TrRoad_act!I19=0,0,I33/TrRoad_act!I19*1000)</f>
        <v>276.23355462459989</v>
      </c>
      <c r="J97" s="29">
        <f>IF(TrRoad_act!J19=0,0,J33/TrRoad_act!J19*1000)</f>
        <v>255.97330570230113</v>
      </c>
      <c r="K97" s="29">
        <f>IF(TrRoad_act!K19=0,0,K33/TrRoad_act!K19*1000)</f>
        <v>252.06611030276454</v>
      </c>
      <c r="L97" s="29">
        <f>IF(TrRoad_act!L19=0,0,L33/TrRoad_act!L19*1000)</f>
        <v>246.5349570108832</v>
      </c>
      <c r="M97" s="29">
        <f>IF(TrRoad_act!M19=0,0,M33/TrRoad_act!M19*1000)</f>
        <v>215.11230927859449</v>
      </c>
      <c r="N97" s="29">
        <f>IF(TrRoad_act!N19=0,0,N33/TrRoad_act!N19*1000)</f>
        <v>190.25060657771186</v>
      </c>
      <c r="O97" s="29">
        <f>IF(TrRoad_act!O19=0,0,O33/TrRoad_act!O19*1000)</f>
        <v>176.81428983110246</v>
      </c>
      <c r="P97" s="29">
        <f>IF(TrRoad_act!P19=0,0,P33/TrRoad_act!P19*1000)</f>
        <v>178.44535644141172</v>
      </c>
      <c r="Q97" s="29">
        <f>IF(TrRoad_act!Q19=0,0,Q33/TrRoad_act!Q19*1000)</f>
        <v>174.35904797784769</v>
      </c>
      <c r="R97" s="29">
        <f>IF(TrRoad_act!R19=0,0,R33/TrRoad_act!R19*1000)</f>
        <v>174.64373263037243</v>
      </c>
      <c r="S97" s="29">
        <f>IF(TrRoad_act!S19=0,0,S33/TrRoad_act!S19*1000)</f>
        <v>179.17186942296539</v>
      </c>
      <c r="T97" s="29">
        <f>IF(TrRoad_act!T19=0,0,T33/TrRoad_act!T19*1000)</f>
        <v>193.1576282428671</v>
      </c>
      <c r="U97" s="29">
        <f>IF(TrRoad_act!U19=0,0,U33/TrRoad_act!U19*1000)</f>
        <v>183.38552702401688</v>
      </c>
      <c r="V97" s="29">
        <f>IF(TrRoad_act!V19=0,0,V33/TrRoad_act!V19*1000)</f>
        <v>169.40834912729173</v>
      </c>
      <c r="W97" s="29">
        <f>IF(TrRoad_act!W19=0,0,W33/TrRoad_act!W19*1000)</f>
        <v>167.97145413713056</v>
      </c>
      <c r="X97" s="29">
        <f>IF(TrRoad_act!X19=0,0,X33/TrRoad_act!X19*1000)</f>
        <v>170.73198550232959</v>
      </c>
      <c r="Y97" s="29">
        <f>IF(TrRoad_act!Y19=0,0,Y33/TrRoad_act!Y19*1000)</f>
        <v>168.65040511092133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1898.4789450790047</v>
      </c>
      <c r="C98" s="152">
        <f>IF(TrRoad_act!C20=0,0,C34/TrRoad_act!C20*1000)</f>
        <v>1834.442903890086</v>
      </c>
      <c r="D98" s="152">
        <f>IF(TrRoad_act!D20=0,0,D34/TrRoad_act!D20*1000)</f>
        <v>1754.1515803924406</v>
      </c>
      <c r="E98" s="152">
        <f>IF(TrRoad_act!E20=0,0,E34/TrRoad_act!E20*1000)</f>
        <v>1691.0117573892444</v>
      </c>
      <c r="F98" s="152">
        <f>IF(TrRoad_act!F20=0,0,F34/TrRoad_act!F20*1000)</f>
        <v>1636.2020049827277</v>
      </c>
      <c r="G98" s="152">
        <f>IF(TrRoad_act!G20=0,0,G34/TrRoad_act!G20*1000)</f>
        <v>1580.2922504069286</v>
      </c>
      <c r="H98" s="152">
        <f>IF(TrRoad_act!H20=0,0,H34/TrRoad_act!H20*1000)</f>
        <v>1539.1792722600137</v>
      </c>
      <c r="I98" s="152">
        <f>IF(TrRoad_act!I20=0,0,I34/TrRoad_act!I20*1000)</f>
        <v>1514.929871926935</v>
      </c>
      <c r="J98" s="152">
        <f>IF(TrRoad_act!J20=0,0,J34/TrRoad_act!J20*1000)</f>
        <v>1485.2501966479117</v>
      </c>
      <c r="K98" s="152">
        <f>IF(TrRoad_act!K20=0,0,K34/TrRoad_act!K20*1000)</f>
        <v>1451.384737359348</v>
      </c>
      <c r="L98" s="152">
        <f>IF(TrRoad_act!L20=0,0,L34/TrRoad_act!L20*1000)</f>
        <v>1445.6434007872042</v>
      </c>
      <c r="M98" s="152">
        <f>IF(TrRoad_act!M20=0,0,M34/TrRoad_act!M20*1000)</f>
        <v>1392.9800996809927</v>
      </c>
      <c r="N98" s="152">
        <f>IF(TrRoad_act!N20=0,0,N34/TrRoad_act!N20*1000)</f>
        <v>1340.7138064564438</v>
      </c>
      <c r="O98" s="152">
        <f>IF(TrRoad_act!O20=0,0,O34/TrRoad_act!O20*1000)</f>
        <v>1329.5674127856548</v>
      </c>
      <c r="P98" s="152">
        <f>IF(TrRoad_act!P20=0,0,P34/TrRoad_act!P20*1000)</f>
        <v>1310.093316680596</v>
      </c>
      <c r="Q98" s="152">
        <f>IF(TrRoad_act!Q20=0,0,Q34/TrRoad_act!Q20*1000)</f>
        <v>1294.4465840030309</v>
      </c>
      <c r="R98" s="152">
        <f>IF(TrRoad_act!R20=0,0,R34/TrRoad_act!R20*1000)</f>
        <v>1279.9852891435464</v>
      </c>
      <c r="S98" s="152">
        <f>IF(TrRoad_act!S20=0,0,S34/TrRoad_act!S20*1000)</f>
        <v>1271.339807177638</v>
      </c>
      <c r="T98" s="152">
        <f>IF(TrRoad_act!T20=0,0,T34/TrRoad_act!T20*1000)</f>
        <v>1256.347853607479</v>
      </c>
      <c r="U98" s="152">
        <f>IF(TrRoad_act!U20=0,0,U34/TrRoad_act!U20*1000)</f>
        <v>1216.5331630535179</v>
      </c>
      <c r="V98" s="152">
        <f>IF(TrRoad_act!V20=0,0,V34/TrRoad_act!V20*1000)</f>
        <v>1197.3997605195632</v>
      </c>
      <c r="W98" s="152">
        <f>IF(TrRoad_act!W20=0,0,W34/TrRoad_act!W20*1000)</f>
        <v>1205.6429208169488</v>
      </c>
      <c r="X98" s="152">
        <f>IF(TrRoad_act!X20=0,0,X34/TrRoad_act!X20*1000)</f>
        <v>1235.5122469418759</v>
      </c>
      <c r="Y98" s="152">
        <f>IF(TrRoad_act!Y20=0,0,Y34/TrRoad_act!Y20*1000)</f>
        <v>1256.9950685661095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2589.1724607090518</v>
      </c>
      <c r="C99" s="87">
        <f>IF(TrRoad_act!C21=0,0,C35/TrRoad_act!C21*1000)</f>
        <v>2580.1067372408438</v>
      </c>
      <c r="D99" s="87">
        <f>IF(TrRoad_act!D21=0,0,D35/TrRoad_act!D21*1000)</f>
        <v>2514.663463764693</v>
      </c>
      <c r="E99" s="87">
        <f>IF(TrRoad_act!E21=0,0,E35/TrRoad_act!E21*1000)</f>
        <v>2439.2551169755711</v>
      </c>
      <c r="F99" s="87">
        <f>IF(TrRoad_act!F21=0,0,F35/TrRoad_act!F21*1000)</f>
        <v>2394.6564098481608</v>
      </c>
      <c r="G99" s="87">
        <f>IF(TrRoad_act!G21=0,0,G35/TrRoad_act!G21*1000)</f>
        <v>2344.9684060923582</v>
      </c>
      <c r="H99" s="87">
        <f>IF(TrRoad_act!H21=0,0,H35/TrRoad_act!H21*1000)</f>
        <v>2288.3223165193936</v>
      </c>
      <c r="I99" s="87">
        <f>IF(TrRoad_act!I21=0,0,I35/TrRoad_act!I21*1000)</f>
        <v>2290.3108803113728</v>
      </c>
      <c r="J99" s="87">
        <f>IF(TrRoad_act!J21=0,0,J35/TrRoad_act!J21*1000)</f>
        <v>2235.6743252029446</v>
      </c>
      <c r="K99" s="87">
        <f>IF(TrRoad_act!K21=0,0,K35/TrRoad_act!K21*1000)</f>
        <v>2179.6899115366582</v>
      </c>
      <c r="L99" s="87">
        <f>IF(TrRoad_act!L21=0,0,L35/TrRoad_act!L21*1000)</f>
        <v>2118.6231402043309</v>
      </c>
      <c r="M99" s="87">
        <f>IF(TrRoad_act!M21=0,0,M35/TrRoad_act!M21*1000)</f>
        <v>2042.9732064084988</v>
      </c>
      <c r="N99" s="87">
        <f>IF(TrRoad_act!N21=0,0,N35/TrRoad_act!N21*1000)</f>
        <v>1988.6852893149485</v>
      </c>
      <c r="O99" s="87">
        <f>IF(TrRoad_act!O21=0,0,O35/TrRoad_act!O21*1000)</f>
        <v>1967.8120607966189</v>
      </c>
      <c r="P99" s="87">
        <f>IF(TrRoad_act!P21=0,0,P35/TrRoad_act!P21*1000)</f>
        <v>1940.1404896279967</v>
      </c>
      <c r="Q99" s="87">
        <f>IF(TrRoad_act!Q21=0,0,Q35/TrRoad_act!Q21*1000)</f>
        <v>1894.4156404460605</v>
      </c>
      <c r="R99" s="87">
        <f>IF(TrRoad_act!R21=0,0,R35/TrRoad_act!R21*1000)</f>
        <v>1819.8873855190291</v>
      </c>
      <c r="S99" s="87">
        <f>IF(TrRoad_act!S21=0,0,S35/TrRoad_act!S21*1000)</f>
        <v>1752.9557044217681</v>
      </c>
      <c r="T99" s="87">
        <f>IF(TrRoad_act!T21=0,0,T35/TrRoad_act!T21*1000)</f>
        <v>1676.9835111105499</v>
      </c>
      <c r="U99" s="87">
        <f>IF(TrRoad_act!U21=0,0,U35/TrRoad_act!U21*1000)</f>
        <v>1594.6318951171529</v>
      </c>
      <c r="V99" s="87">
        <f>IF(TrRoad_act!V21=0,0,V35/TrRoad_act!V21*1000)</f>
        <v>1452.7204492088267</v>
      </c>
      <c r="W99" s="87">
        <f>IF(TrRoad_act!W21=0,0,W35/TrRoad_act!W21*1000)</f>
        <v>1405.0341678615785</v>
      </c>
      <c r="X99" s="87">
        <f>IF(TrRoad_act!X21=0,0,X35/TrRoad_act!X21*1000)</f>
        <v>1341.2935237779868</v>
      </c>
      <c r="Y99" s="87">
        <f>IF(TrRoad_act!Y21=0,0,Y35/TrRoad_act!Y21*1000)</f>
        <v>1294.3967662604935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1771.256085035662</v>
      </c>
      <c r="C100" s="87">
        <f>IF(TrRoad_act!C22=0,0,C36/TrRoad_act!C22*1000)</f>
        <v>1693.6476905330614</v>
      </c>
      <c r="D100" s="87">
        <f>IF(TrRoad_act!D22=0,0,D36/TrRoad_act!D22*1000)</f>
        <v>1618.4464117661905</v>
      </c>
      <c r="E100" s="87">
        <f>IF(TrRoad_act!E22=0,0,E36/TrRoad_act!E22*1000)</f>
        <v>1573.8411844822199</v>
      </c>
      <c r="F100" s="87">
        <f>IF(TrRoad_act!F22=0,0,F36/TrRoad_act!F22*1000)</f>
        <v>1530.6539741364552</v>
      </c>
      <c r="G100" s="87">
        <f>IF(TrRoad_act!G22=0,0,G36/TrRoad_act!G22*1000)</f>
        <v>1484.9846820011958</v>
      </c>
      <c r="H100" s="87">
        <f>IF(TrRoad_act!H22=0,0,H36/TrRoad_act!H22*1000)</f>
        <v>1457.4308977209246</v>
      </c>
      <c r="I100" s="87">
        <f>IF(TrRoad_act!I22=0,0,I36/TrRoad_act!I22*1000)</f>
        <v>1443.2091527219609</v>
      </c>
      <c r="J100" s="87">
        <f>IF(TrRoad_act!J22=0,0,J36/TrRoad_act!J22*1000)</f>
        <v>1423.7887267673643</v>
      </c>
      <c r="K100" s="87">
        <f>IF(TrRoad_act!K22=0,0,K36/TrRoad_act!K22*1000)</f>
        <v>1394.7197426109353</v>
      </c>
      <c r="L100" s="87">
        <f>IF(TrRoad_act!L22=0,0,L36/TrRoad_act!L22*1000)</f>
        <v>1397.6755790261413</v>
      </c>
      <c r="M100" s="87">
        <f>IF(TrRoad_act!M22=0,0,M36/TrRoad_act!M22*1000)</f>
        <v>1349.2318019264626</v>
      </c>
      <c r="N100" s="87">
        <f>IF(TrRoad_act!N22=0,0,N36/TrRoad_act!N22*1000)</f>
        <v>1301.0535873691642</v>
      </c>
      <c r="O100" s="87">
        <f>IF(TrRoad_act!O22=0,0,O36/TrRoad_act!O22*1000)</f>
        <v>1292.1243443026935</v>
      </c>
      <c r="P100" s="87">
        <f>IF(TrRoad_act!P22=0,0,P36/TrRoad_act!P22*1000)</f>
        <v>1274.7871407621417</v>
      </c>
      <c r="Q100" s="87">
        <f>IF(TrRoad_act!Q22=0,0,Q36/TrRoad_act!Q22*1000)</f>
        <v>1264.3753558223289</v>
      </c>
      <c r="R100" s="87">
        <f>IF(TrRoad_act!R22=0,0,R36/TrRoad_act!R22*1000)</f>
        <v>1254.0270233326867</v>
      </c>
      <c r="S100" s="87">
        <f>IF(TrRoad_act!S22=0,0,S36/TrRoad_act!S22*1000)</f>
        <v>1249.7284497983221</v>
      </c>
      <c r="T100" s="87">
        <f>IF(TrRoad_act!T22=0,0,T36/TrRoad_act!T22*1000)</f>
        <v>1239.3028053643168</v>
      </c>
      <c r="U100" s="87">
        <f>IF(TrRoad_act!U22=0,0,U36/TrRoad_act!U22*1000)</f>
        <v>1202.2364170965418</v>
      </c>
      <c r="V100" s="87">
        <f>IF(TrRoad_act!V22=0,0,V36/TrRoad_act!V22*1000)</f>
        <v>1189.7401743807998</v>
      </c>
      <c r="W100" s="87">
        <f>IF(TrRoad_act!W22=0,0,W36/TrRoad_act!W22*1000)</f>
        <v>1204.3039071032047</v>
      </c>
      <c r="X100" s="87">
        <f>IF(TrRoad_act!X22=0,0,X36/TrRoad_act!X22*1000)</f>
        <v>1243.0493562367612</v>
      </c>
      <c r="Y100" s="87">
        <f>IF(TrRoad_act!Y22=0,0,Y36/TrRoad_act!Y22*1000)</f>
        <v>1273.2994999957566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X101" s="87">
        <f>IF(TrRoad_act!X23=0,0,X37/TrRoad_act!X23*1000)</f>
        <v>0</v>
      </c>
      <c r="Y101" s="87">
        <f>IF(TrRoad_act!Y23=0,0,Y37/TrRoad_act!Y23*1000)</f>
        <v>0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1438.8070412612046</v>
      </c>
      <c r="R102" s="87">
        <f>IF(TrRoad_act!R24=0,0,R38/TrRoad_act!R24*1000)</f>
        <v>1372.2567740685454</v>
      </c>
      <c r="S102" s="87">
        <f>IF(TrRoad_act!S24=0,0,S38/TrRoad_act!S24*1000)</f>
        <v>1288.8681585429765</v>
      </c>
      <c r="T102" s="87">
        <f>IF(TrRoad_act!T24=0,0,T38/TrRoad_act!T24*1000)</f>
        <v>1322.0521483275329</v>
      </c>
      <c r="U102" s="87">
        <f>IF(TrRoad_act!U24=0,0,U38/TrRoad_act!U24*1000)</f>
        <v>1159.0176580501497</v>
      </c>
      <c r="V102" s="87">
        <f>IF(TrRoad_act!V24=0,0,V38/TrRoad_act!V24*1000)</f>
        <v>1165.4547136807805</v>
      </c>
      <c r="W102" s="87">
        <f>IF(TrRoad_act!W24=0,0,W38/TrRoad_act!W24*1000)</f>
        <v>1109.8920682722639</v>
      </c>
      <c r="X102" s="87">
        <f>IF(TrRoad_act!X24=0,0,X38/TrRoad_act!X24*1000)</f>
        <v>960.92862253681449</v>
      </c>
      <c r="Y102" s="87">
        <f>IF(TrRoad_act!Y24=0,0,Y38/TrRoad_act!Y24*1000)</f>
        <v>905.47512864646308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151.38378435851527</v>
      </c>
      <c r="C104" s="116">
        <f>IF(TrRoad_act!C26=0,0,C40/TrRoad_act!C26*1000)</f>
        <v>157.43145290997722</v>
      </c>
      <c r="D104" s="116">
        <f>IF(TrRoad_act!D26=0,0,D40/TrRoad_act!D26*1000)</f>
        <v>155.1499426181029</v>
      </c>
      <c r="E104" s="116">
        <f>IF(TrRoad_act!E26=0,0,E40/TrRoad_act!E26*1000)</f>
        <v>172.42137823032567</v>
      </c>
      <c r="F104" s="116">
        <f>IF(TrRoad_act!F26=0,0,F40/TrRoad_act!F26*1000)</f>
        <v>181.71526458324081</v>
      </c>
      <c r="G104" s="116">
        <f>IF(TrRoad_act!G26=0,0,G40/TrRoad_act!G26*1000)</f>
        <v>173.00753909889087</v>
      </c>
      <c r="H104" s="116">
        <f>IF(TrRoad_act!H26=0,0,H40/TrRoad_act!H26*1000)</f>
        <v>168.86556984664884</v>
      </c>
      <c r="I104" s="116">
        <f>IF(TrRoad_act!I26=0,0,I40/TrRoad_act!I26*1000)</f>
        <v>166.10139592947817</v>
      </c>
      <c r="J104" s="116">
        <f>IF(TrRoad_act!J26=0,0,J40/TrRoad_act!J26*1000)</f>
        <v>148.6704064293744</v>
      </c>
      <c r="K104" s="116">
        <f>IF(TrRoad_act!K26=0,0,K40/TrRoad_act!K26*1000)</f>
        <v>141.17911666092445</v>
      </c>
      <c r="L104" s="116">
        <f>IF(TrRoad_act!L26=0,0,L40/TrRoad_act!L26*1000)</f>
        <v>141.11520329379093</v>
      </c>
      <c r="M104" s="116">
        <f>IF(TrRoad_act!M26=0,0,M40/TrRoad_act!M26*1000)</f>
        <v>126.69636504826015</v>
      </c>
      <c r="N104" s="116">
        <f>IF(TrRoad_act!N26=0,0,N40/TrRoad_act!N26*1000)</f>
        <v>110.49452212456674</v>
      </c>
      <c r="O104" s="116">
        <f>IF(TrRoad_act!O26=0,0,O40/TrRoad_act!O26*1000)</f>
        <v>103.59683789756897</v>
      </c>
      <c r="P104" s="116">
        <f>IF(TrRoad_act!P26=0,0,P40/TrRoad_act!P26*1000)</f>
        <v>109.60991942450703</v>
      </c>
      <c r="Q104" s="116">
        <f>IF(TrRoad_act!Q26=0,0,Q40/TrRoad_act!Q26*1000)</f>
        <v>103.40988833559402</v>
      </c>
      <c r="R104" s="116">
        <f>IF(TrRoad_act!R26=0,0,R40/TrRoad_act!R26*1000)</f>
        <v>109.15332703780173</v>
      </c>
      <c r="S104" s="116">
        <f>IF(TrRoad_act!S26=0,0,S40/TrRoad_act!S26*1000)</f>
        <v>112.1934614391669</v>
      </c>
      <c r="T104" s="116">
        <f>IF(TrRoad_act!T26=0,0,T40/TrRoad_act!T26*1000)</f>
        <v>123.09374884470517</v>
      </c>
      <c r="U104" s="116">
        <f>IF(TrRoad_act!U26=0,0,U40/TrRoad_act!U26*1000)</f>
        <v>117.80527771558333</v>
      </c>
      <c r="V104" s="116">
        <f>IF(TrRoad_act!V26=0,0,V40/TrRoad_act!V26*1000)</f>
        <v>110.06864536946154</v>
      </c>
      <c r="W104" s="116">
        <f>IF(TrRoad_act!W26=0,0,W40/TrRoad_act!W26*1000)</f>
        <v>108.72125936579761</v>
      </c>
      <c r="X104" s="116">
        <f>IF(TrRoad_act!X26=0,0,X40/TrRoad_act!X26*1000)</f>
        <v>107.73956226681332</v>
      </c>
      <c r="Y104" s="116">
        <f>IF(TrRoad_act!Y26=0,0,Y40/TrRoad_act!Y26*1000)</f>
        <v>106.62939301565395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142.87568883525717</v>
      </c>
      <c r="C105" s="101">
        <f>IF(TrRoad_act!C27=0,0,C41/TrRoad_act!C27*1000)</f>
        <v>148.66585752523886</v>
      </c>
      <c r="D105" s="101">
        <f>IF(TrRoad_act!D27=0,0,D41/TrRoad_act!D27*1000)</f>
        <v>144.5645051871995</v>
      </c>
      <c r="E105" s="101">
        <f>IF(TrRoad_act!E27=0,0,E41/TrRoad_act!E27*1000)</f>
        <v>156.85646757671566</v>
      </c>
      <c r="F105" s="101">
        <f>IF(TrRoad_act!F27=0,0,F41/TrRoad_act!F27*1000)</f>
        <v>158.8990937057624</v>
      </c>
      <c r="G105" s="101">
        <f>IF(TrRoad_act!G27=0,0,G41/TrRoad_act!G27*1000)</f>
        <v>149.04066806238816</v>
      </c>
      <c r="H105" s="101">
        <f>IF(TrRoad_act!H27=0,0,H41/TrRoad_act!H27*1000)</f>
        <v>149.21667405012764</v>
      </c>
      <c r="I105" s="101">
        <f>IF(TrRoad_act!I27=0,0,I41/TrRoad_act!I27*1000)</f>
        <v>148.22385013087037</v>
      </c>
      <c r="J105" s="101">
        <f>IF(TrRoad_act!J27=0,0,J41/TrRoad_act!J27*1000)</f>
        <v>151.83472572801267</v>
      </c>
      <c r="K105" s="101">
        <f>IF(TrRoad_act!K27=0,0,K41/TrRoad_act!K27*1000)</f>
        <v>139.89123318780204</v>
      </c>
      <c r="L105" s="101">
        <f>IF(TrRoad_act!L27=0,0,L41/TrRoad_act!L27*1000)</f>
        <v>135.52331069960172</v>
      </c>
      <c r="M105" s="101">
        <f>IF(TrRoad_act!M27=0,0,M41/TrRoad_act!M27*1000)</f>
        <v>119.45649208136108</v>
      </c>
      <c r="N105" s="101">
        <f>IF(TrRoad_act!N27=0,0,N41/TrRoad_act!N27*1000)</f>
        <v>112.0065200120913</v>
      </c>
      <c r="O105" s="101">
        <f>IF(TrRoad_act!O27=0,0,O41/TrRoad_act!O27*1000)</f>
        <v>109.53930528967602</v>
      </c>
      <c r="P105" s="101">
        <f>IF(TrRoad_act!P27=0,0,P41/TrRoad_act!P27*1000)</f>
        <v>107.16175621050259</v>
      </c>
      <c r="Q105" s="101">
        <f>IF(TrRoad_act!Q27=0,0,Q41/TrRoad_act!Q27*1000)</f>
        <v>105.2053583340001</v>
      </c>
      <c r="R105" s="101">
        <f>IF(TrRoad_act!R27=0,0,R41/TrRoad_act!R27*1000)</f>
        <v>102.81858687597661</v>
      </c>
      <c r="S105" s="101">
        <f>IF(TrRoad_act!S27=0,0,S41/TrRoad_act!S27*1000)</f>
        <v>101.82369606420264</v>
      </c>
      <c r="T105" s="101">
        <f>IF(TrRoad_act!T27=0,0,T41/TrRoad_act!T27*1000)</f>
        <v>104.77703296054634</v>
      </c>
      <c r="U105" s="101">
        <f>IF(TrRoad_act!U27=0,0,U41/TrRoad_act!U27*1000)</f>
        <v>102.33950979189005</v>
      </c>
      <c r="V105" s="101">
        <f>IF(TrRoad_act!V27=0,0,V41/TrRoad_act!V27*1000)</f>
        <v>99.456340131693167</v>
      </c>
      <c r="W105" s="101">
        <f>IF(TrRoad_act!W27=0,0,W41/TrRoad_act!W27*1000)</f>
        <v>97.150556514174895</v>
      </c>
      <c r="X105" s="101">
        <f>IF(TrRoad_act!X27=0,0,X41/TrRoad_act!X27*1000)</f>
        <v>96.284249192717482</v>
      </c>
      <c r="Y105" s="101">
        <f>IF(TrRoad_act!Y27=0,0,Y41/TrRoad_act!Y27*1000)</f>
        <v>87.548056576600487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174.01643582506517</v>
      </c>
      <c r="C106" s="88">
        <f>IF(TrRoad_act!C28=0,0,C42/TrRoad_act!C28*1000)</f>
        <v>178.97623541815992</v>
      </c>
      <c r="D106" s="88">
        <f>IF(TrRoad_act!D28=0,0,D42/TrRoad_act!D28*1000)</f>
        <v>180.10318124888025</v>
      </c>
      <c r="E106" s="88">
        <f>IF(TrRoad_act!E28=0,0,E42/TrRoad_act!E28*1000)</f>
        <v>208.38477701166136</v>
      </c>
      <c r="F106" s="88">
        <f>IF(TrRoad_act!F28=0,0,F42/TrRoad_act!F28*1000)</f>
        <v>225.18107742270305</v>
      </c>
      <c r="G106" s="88">
        <f>IF(TrRoad_act!G28=0,0,G42/TrRoad_act!G28*1000)</f>
        <v>219.27184007496513</v>
      </c>
      <c r="H106" s="88">
        <f>IF(TrRoad_act!H28=0,0,H42/TrRoad_act!H28*1000)</f>
        <v>205.3113706519201</v>
      </c>
      <c r="I106" s="88">
        <f>IF(TrRoad_act!I28=0,0,I42/TrRoad_act!I28*1000)</f>
        <v>198.12447442394603</v>
      </c>
      <c r="J106" s="88">
        <f>IF(TrRoad_act!J28=0,0,J42/TrRoad_act!J28*1000)</f>
        <v>144.53260209630929</v>
      </c>
      <c r="K106" s="88">
        <f>IF(TrRoad_act!K28=0,0,K42/TrRoad_act!K28*1000)</f>
        <v>143.04227540548584</v>
      </c>
      <c r="L106" s="88">
        <f>IF(TrRoad_act!L28=0,0,L42/TrRoad_act!L28*1000)</f>
        <v>149.9782377160667</v>
      </c>
      <c r="M106" s="88">
        <f>IF(TrRoad_act!M28=0,0,M42/TrRoad_act!M28*1000)</f>
        <v>140.27099598328871</v>
      </c>
      <c r="N106" s="88">
        <f>IF(TrRoad_act!N28=0,0,N42/TrRoad_act!N28*1000)</f>
        <v>107.53459750470462</v>
      </c>
      <c r="O106" s="88">
        <f>IF(TrRoad_act!O28=0,0,O42/TrRoad_act!O28*1000)</f>
        <v>93.342320516787737</v>
      </c>
      <c r="P106" s="88">
        <f>IF(TrRoad_act!P28=0,0,P42/TrRoad_act!P28*1000)</f>
        <v>114.42970881102599</v>
      </c>
      <c r="Q106" s="88">
        <f>IF(TrRoad_act!Q28=0,0,Q42/TrRoad_act!Q28*1000)</f>
        <v>99.998926196931805</v>
      </c>
      <c r="R106" s="88">
        <f>IF(TrRoad_act!R28=0,0,R42/TrRoad_act!R28*1000)</f>
        <v>120.07471064411486</v>
      </c>
      <c r="S106" s="88">
        <f>IF(TrRoad_act!S28=0,0,S42/TrRoad_act!S28*1000)</f>
        <v>128.96758849805968</v>
      </c>
      <c r="T106" s="88">
        <f>IF(TrRoad_act!T28=0,0,T42/TrRoad_act!T28*1000)</f>
        <v>153.68071389811661</v>
      </c>
      <c r="U106" s="88">
        <f>IF(TrRoad_act!U28=0,0,U42/TrRoad_act!U28*1000)</f>
        <v>143.59215638769533</v>
      </c>
      <c r="V106" s="88">
        <f>IF(TrRoad_act!V28=0,0,V42/TrRoad_act!V28*1000)</f>
        <v>126.94468626730723</v>
      </c>
      <c r="W106" s="88">
        <f>IF(TrRoad_act!W28=0,0,W42/TrRoad_act!W28*1000)</f>
        <v>127.46372892635962</v>
      </c>
      <c r="X106" s="88">
        <f>IF(TrRoad_act!X28=0,0,X42/TrRoad_act!X28*1000)</f>
        <v>125.77591805746785</v>
      </c>
      <c r="Y106" s="88">
        <f>IF(TrRoad_act!Y28=0,0,Y42/TrRoad_act!Y28*1000)</f>
        <v>141.96209913005441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495.61836547109908</v>
      </c>
      <c r="C110" s="152">
        <f>IF(C19=0,0,1000000*C19/TrRoad_act!C59)</f>
        <v>440.84067421259903</v>
      </c>
      <c r="D110" s="152">
        <f>IF(D19=0,0,1000000*D19/TrRoad_act!D59)</f>
        <v>440.55868113391671</v>
      </c>
      <c r="E110" s="152">
        <f>IF(E19=0,0,1000000*E19/TrRoad_act!E59)</f>
        <v>429.85039731558987</v>
      </c>
      <c r="F110" s="152">
        <f>IF(F19=0,0,1000000*F19/TrRoad_act!F59)</f>
        <v>407.83414394818067</v>
      </c>
      <c r="G110" s="152">
        <f>IF(G19=0,0,1000000*G19/TrRoad_act!G59)</f>
        <v>388.04237948176774</v>
      </c>
      <c r="H110" s="152">
        <f>IF(H19=0,0,1000000*H19/TrRoad_act!H59)</f>
        <v>374.85825566614881</v>
      </c>
      <c r="I110" s="152">
        <f>IF(I19=0,0,1000000*I19/TrRoad_act!I59)</f>
        <v>367.71560356212279</v>
      </c>
      <c r="J110" s="152">
        <f>IF(J19=0,0,1000000*J19/TrRoad_act!J59)</f>
        <v>353.02342491298026</v>
      </c>
      <c r="K110" s="152">
        <f>IF(K19=0,0,1000000*K19/TrRoad_act!K59)</f>
        <v>338.14267775064536</v>
      </c>
      <c r="L110" s="152">
        <f>IF(L19=0,0,1000000*L19/TrRoad_act!L59)</f>
        <v>332.76129385187699</v>
      </c>
      <c r="M110" s="152">
        <f>IF(M19=0,0,1000000*M19/TrRoad_act!M59)</f>
        <v>325.8215745220561</v>
      </c>
      <c r="N110" s="152">
        <f>IF(N19=0,0,1000000*N19/TrRoad_act!N59)</f>
        <v>327.80851373182372</v>
      </c>
      <c r="O110" s="152">
        <f>IF(O19=0,0,1000000*O19/TrRoad_act!O59)</f>
        <v>331.44291295599555</v>
      </c>
      <c r="P110" s="152">
        <f>IF(P19=0,0,1000000*P19/TrRoad_act!P59)</f>
        <v>337.25083707377297</v>
      </c>
      <c r="Q110" s="152">
        <f>IF(Q19=0,0,1000000*Q19/TrRoad_act!Q59)</f>
        <v>337.5950007757375</v>
      </c>
      <c r="R110" s="152">
        <f>IF(R19=0,0,1000000*R19/TrRoad_act!R59)</f>
        <v>335.84197570900977</v>
      </c>
      <c r="S110" s="152">
        <f>IF(S19=0,0,1000000*S19/TrRoad_act!S59)</f>
        <v>315.13014218612807</v>
      </c>
      <c r="T110" s="152">
        <f>IF(T19=0,0,1000000*T19/TrRoad_act!T59)</f>
        <v>295.32179592072379</v>
      </c>
      <c r="U110" s="152">
        <f>IF(U19=0,0,1000000*U19/TrRoad_act!U59)</f>
        <v>313.72111565246502</v>
      </c>
      <c r="V110" s="152">
        <f>IF(V19=0,0,1000000*V19/TrRoad_act!V59)</f>
        <v>266.63769859227466</v>
      </c>
      <c r="W110" s="152">
        <f>IF(W19=0,0,1000000*W19/TrRoad_act!W59)</f>
        <v>271.960400440424</v>
      </c>
      <c r="X110" s="152">
        <f>IF(X19=0,0,1000000*X19/TrRoad_act!X59)</f>
        <v>272.01288872142868</v>
      </c>
      <c r="Y110" s="152">
        <f>IF(Y19=0,0,1000000*Y19/TrRoad_act!Y59)</f>
        <v>289.31808129873167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3195.8890972256563</v>
      </c>
      <c r="C111" s="116">
        <f>IF(C20=0,0,1000000*C20/TrRoad_act!C60)</f>
        <v>3128.9942164166846</v>
      </c>
      <c r="D111" s="116">
        <f>IF(D20=0,0,1000000*D20/TrRoad_act!D60)</f>
        <v>3156.7467867995806</v>
      </c>
      <c r="E111" s="116">
        <f>IF(E20=0,0,1000000*E20/TrRoad_act!E60)</f>
        <v>3208.3319385228629</v>
      </c>
      <c r="F111" s="116">
        <f>IF(F20=0,0,1000000*F20/TrRoad_act!F60)</f>
        <v>3206.1309509641355</v>
      </c>
      <c r="G111" s="116">
        <f>IF(G20=0,0,1000000*G20/TrRoad_act!G60)</f>
        <v>3134.7214045309847</v>
      </c>
      <c r="H111" s="116">
        <f>IF(H20=0,0,1000000*H20/TrRoad_act!H60)</f>
        <v>3083.6652042091068</v>
      </c>
      <c r="I111" s="116">
        <f>IF(I20=0,0,1000000*I20/TrRoad_act!I60)</f>
        <v>3179.1847644576487</v>
      </c>
      <c r="J111" s="116">
        <f>IF(J20=0,0,1000000*J20/TrRoad_act!J60)</f>
        <v>3110.4997754074752</v>
      </c>
      <c r="K111" s="116">
        <f>IF(K20=0,0,1000000*K20/TrRoad_act!K60)</f>
        <v>3037.1219632086377</v>
      </c>
      <c r="L111" s="116">
        <f>IF(L20=0,0,1000000*L20/TrRoad_act!L60)</f>
        <v>2938.7166054391614</v>
      </c>
      <c r="M111" s="116">
        <f>IF(M20=0,0,1000000*M20/TrRoad_act!M60)</f>
        <v>2934.1366958881763</v>
      </c>
      <c r="N111" s="116">
        <f>IF(N20=0,0,1000000*N20/TrRoad_act!N60)</f>
        <v>2683.4849305364423</v>
      </c>
      <c r="O111" s="116">
        <f>IF(O20=0,0,1000000*O20/TrRoad_act!O60)</f>
        <v>2627.7601841868473</v>
      </c>
      <c r="P111" s="116">
        <f>IF(P20=0,0,1000000*P20/TrRoad_act!P60)</f>
        <v>2606.3136429167062</v>
      </c>
      <c r="Q111" s="116">
        <f>IF(Q20=0,0,1000000*Q20/TrRoad_act!Q60)</f>
        <v>2787.8503209238556</v>
      </c>
      <c r="R111" s="116">
        <f>IF(R20=0,0,1000000*R20/TrRoad_act!R60)</f>
        <v>2751.8284293151478</v>
      </c>
      <c r="S111" s="116">
        <f>IF(S20=0,0,1000000*S20/TrRoad_act!S60)</f>
        <v>2590.2172206243936</v>
      </c>
      <c r="T111" s="116">
        <f>IF(T20=0,0,1000000*T20/TrRoad_act!T60)</f>
        <v>2534.3903735841145</v>
      </c>
      <c r="U111" s="116">
        <f>IF(U20=0,0,1000000*U20/TrRoad_act!U60)</f>
        <v>2449.3076009574033</v>
      </c>
      <c r="V111" s="116">
        <f>IF(V20=0,0,1000000*V20/TrRoad_act!V60)</f>
        <v>2106.5294704506787</v>
      </c>
      <c r="W111" s="116">
        <f>IF(W20=0,0,1000000*W20/TrRoad_act!W60)</f>
        <v>2054.5056812309881</v>
      </c>
      <c r="X111" s="116">
        <f>IF(X20=0,0,1000000*X20/TrRoad_act!X60)</f>
        <v>2056.6973980459661</v>
      </c>
      <c r="Y111" s="116">
        <f>IF(Y20=0,0,1000000*Y20/TrRoad_act!Y60)</f>
        <v>2020.8187326039017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3116.1393166879275</v>
      </c>
      <c r="C112" s="87">
        <f>IF(C21=0,0,1000000*C21/TrRoad_act!C61)</f>
        <v>3051.872515462187</v>
      </c>
      <c r="D112" s="87">
        <f>IF(D21=0,0,1000000*D21/TrRoad_act!D61)</f>
        <v>3069.3816769621717</v>
      </c>
      <c r="E112" s="87">
        <f>IF(E21=0,0,1000000*E21/TrRoad_act!E61)</f>
        <v>3100.009207549333</v>
      </c>
      <c r="F112" s="87">
        <f>IF(F21=0,0,1000000*F21/TrRoad_act!F61)</f>
        <v>3065.4950177222154</v>
      </c>
      <c r="G112" s="87">
        <f>IF(G21=0,0,1000000*G21/TrRoad_act!G61)</f>
        <v>2971.7824219826598</v>
      </c>
      <c r="H112" s="87">
        <f>IF(H21=0,0,1000000*H21/TrRoad_act!H61)</f>
        <v>2893.2108062245484</v>
      </c>
      <c r="I112" s="87">
        <f>IF(I21=0,0,1000000*I21/TrRoad_act!I61)</f>
        <v>2933.2694804654516</v>
      </c>
      <c r="J112" s="87">
        <f>IF(J21=0,0,1000000*J21/TrRoad_act!J61)</f>
        <v>2853.4531285223329</v>
      </c>
      <c r="K112" s="87">
        <f>IF(K21=0,0,1000000*K21/TrRoad_act!K61)</f>
        <v>2767.0621621919709</v>
      </c>
      <c r="L112" s="87">
        <f>IF(L21=0,0,1000000*L21/TrRoad_act!L61)</f>
        <v>2615.079125816264</v>
      </c>
      <c r="M112" s="87">
        <f>IF(M21=0,0,1000000*M21/TrRoad_act!M61)</f>
        <v>2612.1347346131843</v>
      </c>
      <c r="N112" s="87">
        <f>IF(N21=0,0,1000000*N21/TrRoad_act!N61)</f>
        <v>2381.4316471146158</v>
      </c>
      <c r="O112" s="87">
        <f>IF(O21=0,0,1000000*O21/TrRoad_act!O61)</f>
        <v>2341.0744412046474</v>
      </c>
      <c r="P112" s="87">
        <f>IF(P21=0,0,1000000*P21/TrRoad_act!P61)</f>
        <v>2359.997449043638</v>
      </c>
      <c r="Q112" s="87">
        <f>IF(Q21=0,0,1000000*Q21/TrRoad_act!Q61)</f>
        <v>2554.5534042582103</v>
      </c>
      <c r="R112" s="87">
        <f>IF(R21=0,0,1000000*R21/TrRoad_act!R61)</f>
        <v>2385.4024732023577</v>
      </c>
      <c r="S112" s="87">
        <f>IF(S21=0,0,1000000*S21/TrRoad_act!S61)</f>
        <v>2157.9810653029144</v>
      </c>
      <c r="T112" s="87">
        <f>IF(T21=0,0,1000000*T21/TrRoad_act!T61)</f>
        <v>2070.4107973824357</v>
      </c>
      <c r="U112" s="87">
        <f>IF(U21=0,0,1000000*U21/TrRoad_act!U61)</f>
        <v>2026.7816528608691</v>
      </c>
      <c r="V112" s="87">
        <f>IF(V21=0,0,1000000*V21/TrRoad_act!V61)</f>
        <v>1756.9339968874972</v>
      </c>
      <c r="W112" s="87">
        <f>IF(W21=0,0,1000000*W21/TrRoad_act!W61)</f>
        <v>1740.3760291249455</v>
      </c>
      <c r="X112" s="87">
        <f>IF(X21=0,0,1000000*X21/TrRoad_act!X61)</f>
        <v>1795.8489498233646</v>
      </c>
      <c r="Y112" s="87">
        <f>IF(Y21=0,0,1000000*Y21/TrRoad_act!Y61)</f>
        <v>1840.3290023819015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4366.6792192270386</v>
      </c>
      <c r="C113" s="87">
        <f>IF(C22=0,0,1000000*C22/TrRoad_act!C62)</f>
        <v>4084.437701751498</v>
      </c>
      <c r="D113" s="87">
        <f>IF(D22=0,0,1000000*D22/TrRoad_act!D62)</f>
        <v>4108.020168983051</v>
      </c>
      <c r="E113" s="87">
        <f>IF(E22=0,0,1000000*E22/TrRoad_act!E62)</f>
        <v>4367.3730885479363</v>
      </c>
      <c r="F113" s="87">
        <f>IF(F22=0,0,1000000*F22/TrRoad_act!F62)</f>
        <v>4545.5342869511433</v>
      </c>
      <c r="G113" s="87">
        <f>IF(G22=0,0,1000000*G22/TrRoad_act!G62)</f>
        <v>4357.8103883284102</v>
      </c>
      <c r="H113" s="87">
        <f>IF(H22=0,0,1000000*H22/TrRoad_act!H62)</f>
        <v>4313.8739080014366</v>
      </c>
      <c r="I113" s="87">
        <f>IF(I22=0,0,1000000*I22/TrRoad_act!I62)</f>
        <v>4367.1625323367007</v>
      </c>
      <c r="J113" s="87">
        <f>IF(J22=0,0,1000000*J22/TrRoad_act!J62)</f>
        <v>4150.3406212979535</v>
      </c>
      <c r="K113" s="87">
        <f>IF(K22=0,0,1000000*K22/TrRoad_act!K62)</f>
        <v>4000.5867602111398</v>
      </c>
      <c r="L113" s="87">
        <f>IF(L22=0,0,1000000*L22/TrRoad_act!L62)</f>
        <v>3930.3947492071802</v>
      </c>
      <c r="M113" s="87">
        <f>IF(M22=0,0,1000000*M22/TrRoad_act!M62)</f>
        <v>3821.2748912233042</v>
      </c>
      <c r="N113" s="87">
        <f>IF(N22=0,0,1000000*N22/TrRoad_act!N62)</f>
        <v>3425.9440086573982</v>
      </c>
      <c r="O113" s="87">
        <f>IF(O22=0,0,1000000*O22/TrRoad_act!O62)</f>
        <v>3261.0315892286249</v>
      </c>
      <c r="P113" s="87">
        <f>IF(P22=0,0,1000000*P22/TrRoad_act!P62)</f>
        <v>3096.8411950780455</v>
      </c>
      <c r="Q113" s="87">
        <f>IF(Q22=0,0,1000000*Q22/TrRoad_act!Q62)</f>
        <v>3226.9870912863189</v>
      </c>
      <c r="R113" s="87">
        <f>IF(R22=0,0,1000000*R22/TrRoad_act!R62)</f>
        <v>3556.8445002738113</v>
      </c>
      <c r="S113" s="87">
        <f>IF(S22=0,0,1000000*S22/TrRoad_act!S62)</f>
        <v>3548.5362443146182</v>
      </c>
      <c r="T113" s="87">
        <f>IF(T22=0,0,1000000*T22/TrRoad_act!T62)</f>
        <v>3582.7356371166975</v>
      </c>
      <c r="U113" s="87">
        <f>IF(U22=0,0,1000000*U22/TrRoad_act!U62)</f>
        <v>3442.0046622239188</v>
      </c>
      <c r="V113" s="87">
        <f>IF(V22=0,0,1000000*V22/TrRoad_act!V62)</f>
        <v>3017.5443514792787</v>
      </c>
      <c r="W113" s="87">
        <f>IF(W22=0,0,1000000*W22/TrRoad_act!W62)</f>
        <v>3093.7850663528575</v>
      </c>
      <c r="X113" s="87">
        <f>IF(X22=0,0,1000000*X22/TrRoad_act!X62)</f>
        <v>3218.6962969419019</v>
      </c>
      <c r="Y113" s="87">
        <f>IF(Y22=0,0,1000000*Y22/TrRoad_act!Y62)</f>
        <v>3360.4831383396945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3399.2853698845697</v>
      </c>
      <c r="C114" s="87">
        <f>IF(C23=0,0,1000000*C23/TrRoad_act!C63)</f>
        <v>3769.870276351518</v>
      </c>
      <c r="D114" s="87">
        <f>IF(D23=0,0,1000000*D23/TrRoad_act!D63)</f>
        <v>4378.70867733257</v>
      </c>
      <c r="E114" s="87">
        <f>IF(E23=0,0,1000000*E23/TrRoad_act!E63)</f>
        <v>4089.8632477108226</v>
      </c>
      <c r="F114" s="87">
        <f>IF(F23=0,0,1000000*F23/TrRoad_act!F63)</f>
        <v>3924.0429019670228</v>
      </c>
      <c r="G114" s="87">
        <f>IF(G23=0,0,1000000*G23/TrRoad_act!G63)</f>
        <v>3794.7633226453663</v>
      </c>
      <c r="H114" s="87">
        <f>IF(H23=0,0,1000000*H23/TrRoad_act!H63)</f>
        <v>3612.8517649466089</v>
      </c>
      <c r="I114" s="87">
        <f>IF(I23=0,0,1000000*I23/TrRoad_act!I63)</f>
        <v>3343.6574168453953</v>
      </c>
      <c r="J114" s="87">
        <f>IF(J23=0,0,1000000*J23/TrRoad_act!J63)</f>
        <v>3165.4386120485574</v>
      </c>
      <c r="K114" s="87">
        <f>IF(K23=0,0,1000000*K23/TrRoad_act!K63)</f>
        <v>3124.397290473456</v>
      </c>
      <c r="L114" s="87">
        <f>IF(L23=0,0,1000000*L23/TrRoad_act!L63)</f>
        <v>0</v>
      </c>
      <c r="M114" s="87">
        <f>IF(M23=0,0,1000000*M23/TrRoad_act!M63)</f>
        <v>0</v>
      </c>
      <c r="N114" s="87">
        <f>IF(N23=0,0,1000000*N23/TrRoad_act!N63)</f>
        <v>0</v>
      </c>
      <c r="O114" s="87">
        <f>IF(O23=0,0,1000000*O23/TrRoad_act!O63)</f>
        <v>0</v>
      </c>
      <c r="P114" s="87">
        <f>IF(P23=0,0,1000000*P23/TrRoad_act!P63)</f>
        <v>0</v>
      </c>
      <c r="Q114" s="87">
        <f>IF(Q23=0,0,1000000*Q23/TrRoad_act!Q63)</f>
        <v>0</v>
      </c>
      <c r="R114" s="87">
        <f>IF(R23=0,0,1000000*R23/TrRoad_act!R63)</f>
        <v>0</v>
      </c>
      <c r="S114" s="87">
        <f>IF(S23=0,0,1000000*S23/TrRoad_act!S63)</f>
        <v>0</v>
      </c>
      <c r="T114" s="87">
        <f>IF(T23=0,0,1000000*T23/TrRoad_act!T63)</f>
        <v>0</v>
      </c>
      <c r="U114" s="87">
        <f>IF(U23=0,0,1000000*U23/TrRoad_act!U63)</f>
        <v>0</v>
      </c>
      <c r="V114" s="87">
        <f>IF(V23=0,0,1000000*V23/TrRoad_act!V63)</f>
        <v>0</v>
      </c>
      <c r="W114" s="87">
        <f>IF(W23=0,0,1000000*W23/TrRoad_act!W63)</f>
        <v>0</v>
      </c>
      <c r="X114" s="87">
        <f>IF(X23=0,0,1000000*X23/TrRoad_act!X63)</f>
        <v>0</v>
      </c>
      <c r="Y114" s="87">
        <f>IF(Y23=0,0,1000000*Y23/TrRoad_act!Y63)</f>
        <v>0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3127.7493814655913</v>
      </c>
      <c r="R115" s="87">
        <f>IF(R24=0,0,1000000*R24/TrRoad_act!R64)</f>
        <v>3805.8817786199843</v>
      </c>
      <c r="S115" s="87">
        <f>IF(S24=0,0,1000000*S24/TrRoad_act!S64)</f>
        <v>2027.2882139870428</v>
      </c>
      <c r="T115" s="87">
        <f>IF(T24=0,0,1000000*T24/TrRoad_act!T64)</f>
        <v>2213.0883088466471</v>
      </c>
      <c r="U115" s="87">
        <f>IF(U24=0,0,1000000*U24/TrRoad_act!U64)</f>
        <v>1950.2545749519722</v>
      </c>
      <c r="V115" s="87">
        <f>IF(V24=0,0,1000000*V24/TrRoad_act!V64)</f>
        <v>1772.0962097825081</v>
      </c>
      <c r="W115" s="87">
        <f>IF(W24=0,0,1000000*W24/TrRoad_act!W64)</f>
        <v>1718.9819727639506</v>
      </c>
      <c r="X115" s="87">
        <f>IF(X24=0,0,1000000*X24/TrRoad_act!X64)</f>
        <v>1551.7274113772251</v>
      </c>
      <c r="Y115" s="87">
        <f>IF(Y24=0,0,1000000*Y24/TrRoad_act!Y64)</f>
        <v>1478.8091931970926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665.08732513767723</v>
      </c>
      <c r="O116" s="87">
        <f>IF(O25=0,0,1000000*O25/TrRoad_act!O65)</f>
        <v>777.925123286754</v>
      </c>
      <c r="P116" s="87">
        <f>IF(P25=0,0,1000000*P25/TrRoad_act!P65)</f>
        <v>372.44215795094374</v>
      </c>
      <c r="Q116" s="87">
        <f>IF(Q25=0,0,1000000*Q25/TrRoad_act!Q65)</f>
        <v>1893.4958592733301</v>
      </c>
      <c r="R116" s="87">
        <f>IF(R25=0,0,1000000*R25/TrRoad_act!R65)</f>
        <v>973.38816161417753</v>
      </c>
      <c r="S116" s="87">
        <f>IF(S25=0,0,1000000*S25/TrRoad_act!S65)</f>
        <v>692.20205637049685</v>
      </c>
      <c r="T116" s="87">
        <f>IF(T25=0,0,1000000*T25/TrRoad_act!T65)</f>
        <v>585.42616361307739</v>
      </c>
      <c r="U116" s="87">
        <f>IF(U25=0,0,1000000*U25/TrRoad_act!U65)</f>
        <v>533.65110703208416</v>
      </c>
      <c r="V116" s="87">
        <f>IF(V25=0,0,1000000*V25/TrRoad_act!V65)</f>
        <v>422.78111096856338</v>
      </c>
      <c r="W116" s="87">
        <f>IF(W25=0,0,1000000*W25/TrRoad_act!W65)</f>
        <v>415.48962423091251</v>
      </c>
      <c r="X116" s="87">
        <f>IF(X25=0,0,1000000*X25/TrRoad_act!X65)</f>
        <v>425.96835457712439</v>
      </c>
      <c r="Y116" s="87">
        <f>IF(Y25=0,0,1000000*Y25/TrRoad_act!Y65)</f>
        <v>431.12459776796021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76130.632457513915</v>
      </c>
      <c r="C118" s="116">
        <f>IF(C27=0,0,1000000*C27/TrRoad_act!C67)</f>
        <v>74073.189065664672</v>
      </c>
      <c r="D118" s="116">
        <f>IF(D27=0,0,1000000*D27/TrRoad_act!D67)</f>
        <v>72066.01341058308</v>
      </c>
      <c r="E118" s="116">
        <f>IF(E27=0,0,1000000*E27/TrRoad_act!E67)</f>
        <v>72315.126766480331</v>
      </c>
      <c r="F118" s="116">
        <f>IF(F27=0,0,1000000*F27/TrRoad_act!F67)</f>
        <v>70792.074277442836</v>
      </c>
      <c r="G118" s="116">
        <f>IF(G27=0,0,1000000*G27/TrRoad_act!G67)</f>
        <v>70385.31216921669</v>
      </c>
      <c r="H118" s="116">
        <f>IF(H27=0,0,1000000*H27/TrRoad_act!H67)</f>
        <v>70145.538623263084</v>
      </c>
      <c r="I118" s="116">
        <f>IF(I27=0,0,1000000*I27/TrRoad_act!I67)</f>
        <v>69696.790858411841</v>
      </c>
      <c r="J118" s="116">
        <f>IF(J27=0,0,1000000*J27/TrRoad_act!J67)</f>
        <v>70870.883001016511</v>
      </c>
      <c r="K118" s="116">
        <f>IF(K27=0,0,1000000*K27/TrRoad_act!K67)</f>
        <v>71730.858377257216</v>
      </c>
      <c r="L118" s="116">
        <f>IF(L27=0,0,1000000*L27/TrRoad_act!L67)</f>
        <v>73352.994170621721</v>
      </c>
      <c r="M118" s="116">
        <f>IF(M27=0,0,1000000*M27/TrRoad_act!M67)</f>
        <v>71595.37259816505</v>
      </c>
      <c r="N118" s="116">
        <f>IF(N27=0,0,1000000*N27/TrRoad_act!N67)</f>
        <v>67618.887636128682</v>
      </c>
      <c r="O118" s="116">
        <f>IF(O27=0,0,1000000*O27/TrRoad_act!O67)</f>
        <v>65755.935650196188</v>
      </c>
      <c r="P118" s="116">
        <f>IF(P27=0,0,1000000*P27/TrRoad_act!P67)</f>
        <v>67523.33609848874</v>
      </c>
      <c r="Q118" s="116">
        <f>IF(Q27=0,0,1000000*Q27/TrRoad_act!Q67)</f>
        <v>69425.291966152872</v>
      </c>
      <c r="R118" s="116">
        <f>IF(R27=0,0,1000000*R27/TrRoad_act!R67)</f>
        <v>71902.604581213091</v>
      </c>
      <c r="S118" s="116">
        <f>IF(S27=0,0,1000000*S27/TrRoad_act!S67)</f>
        <v>74513.787179466337</v>
      </c>
      <c r="T118" s="116">
        <f>IF(T27=0,0,1000000*T27/TrRoad_act!T67)</f>
        <v>76148.650241865427</v>
      </c>
      <c r="U118" s="116">
        <f>IF(U27=0,0,1000000*U27/TrRoad_act!U67)</f>
        <v>73914.543698571113</v>
      </c>
      <c r="V118" s="116">
        <f>IF(V27=0,0,1000000*V27/TrRoad_act!V67)</f>
        <v>77552.605203061015</v>
      </c>
      <c r="W118" s="116">
        <f>IF(W27=0,0,1000000*W27/TrRoad_act!W67)</f>
        <v>78224.705007432858</v>
      </c>
      <c r="X118" s="116">
        <f>IF(X27=0,0,1000000*X27/TrRoad_act!X67)</f>
        <v>80137.725457621127</v>
      </c>
      <c r="Y118" s="116">
        <f>IF(Y27=0,0,1000000*Y27/TrRoad_act!Y67)</f>
        <v>80710.249705836948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26596.407696010079</v>
      </c>
      <c r="C119" s="101">
        <f>IF(C28=0,0,1000000*C28/TrRoad_act!C68)</f>
        <v>26986.404736403088</v>
      </c>
      <c r="D119" s="101">
        <f>IF(D28=0,0,1000000*D28/TrRoad_act!D68)</f>
        <v>27046.540574548399</v>
      </c>
      <c r="E119" s="101">
        <f>IF(E28=0,0,1000000*E28/TrRoad_act!E68)</f>
        <v>27045.32772445523</v>
      </c>
      <c r="F119" s="101">
        <f>IF(F28=0,0,1000000*F28/TrRoad_act!F68)</f>
        <v>27035.287004143654</v>
      </c>
      <c r="G119" s="101">
        <f>IF(G28=0,0,1000000*G28/TrRoad_act!G68)</f>
        <v>27513.372468613874</v>
      </c>
      <c r="H119" s="101">
        <f>IF(H28=0,0,1000000*H28/TrRoad_act!H68)</f>
        <v>27593.762062047495</v>
      </c>
      <c r="I119" s="101">
        <f>IF(I28=0,0,1000000*I28/TrRoad_act!I68)</f>
        <v>27351.938208530217</v>
      </c>
      <c r="J119" s="101">
        <f>IF(J28=0,0,1000000*J28/TrRoad_act!J68)</f>
        <v>27660.775335575425</v>
      </c>
      <c r="K119" s="101">
        <f>IF(K28=0,0,1000000*K28/TrRoad_act!K68)</f>
        <v>26698.856229724603</v>
      </c>
      <c r="L119" s="101">
        <f>IF(L28=0,0,1000000*L28/TrRoad_act!L68)</f>
        <v>25698.910193418673</v>
      </c>
      <c r="M119" s="101">
        <f>IF(M28=0,0,1000000*M28/TrRoad_act!M68)</f>
        <v>24844.405248200328</v>
      </c>
      <c r="N119" s="101">
        <f>IF(N28=0,0,1000000*N28/TrRoad_act!N68)</f>
        <v>24222.995795706371</v>
      </c>
      <c r="O119" s="101">
        <f>IF(O28=0,0,1000000*O28/TrRoad_act!O68)</f>
        <v>23973.584009729268</v>
      </c>
      <c r="P119" s="101">
        <f>IF(P28=0,0,1000000*P28/TrRoad_act!P68)</f>
        <v>23896.420904612245</v>
      </c>
      <c r="Q119" s="101">
        <f>IF(Q28=0,0,1000000*Q28/TrRoad_act!Q68)</f>
        <v>23604.230630474915</v>
      </c>
      <c r="R119" s="101">
        <f>IF(R28=0,0,1000000*R28/TrRoad_act!R68)</f>
        <v>23815.927354384356</v>
      </c>
      <c r="S119" s="101">
        <f>IF(S28=0,0,1000000*S28/TrRoad_act!S68)</f>
        <v>24002.689250474577</v>
      </c>
      <c r="T119" s="101">
        <f>IF(T28=0,0,1000000*T28/TrRoad_act!T68)</f>
        <v>23720.029468769306</v>
      </c>
      <c r="U119" s="101">
        <f>IF(U28=0,0,1000000*U28/TrRoad_act!U68)</f>
        <v>22837.26117446139</v>
      </c>
      <c r="V119" s="101">
        <f>IF(V28=0,0,1000000*V28/TrRoad_act!V68)</f>
        <v>22842.472480771605</v>
      </c>
      <c r="W119" s="101">
        <f>IF(W28=0,0,1000000*W28/TrRoad_act!W68)</f>
        <v>23110.085619583155</v>
      </c>
      <c r="X119" s="101">
        <f>IF(X28=0,0,1000000*X28/TrRoad_act!X68)</f>
        <v>23948.745422026528</v>
      </c>
      <c r="Y119" s="101">
        <f>IF(Y28=0,0,1000000*Y28/TrRoad_act!Y68)</f>
        <v>24691.652538318849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82488.971834364202</v>
      </c>
      <c r="C120" s="101">
        <f>IF(C29=0,0,1000000*C29/TrRoad_act!C69)</f>
        <v>80124.212138790172</v>
      </c>
      <c r="D120" s="101">
        <f>IF(D29=0,0,1000000*D29/TrRoad_act!D69)</f>
        <v>77787.32122446227</v>
      </c>
      <c r="E120" s="101">
        <f>IF(E29=0,0,1000000*E29/TrRoad_act!E69)</f>
        <v>75773.547700226336</v>
      </c>
      <c r="F120" s="101">
        <f>IF(F29=0,0,1000000*F29/TrRoad_act!F69)</f>
        <v>73492.908446264599</v>
      </c>
      <c r="G120" s="101">
        <f>IF(G29=0,0,1000000*G29/TrRoad_act!G69)</f>
        <v>72780.357480936582</v>
      </c>
      <c r="H120" s="101">
        <f>IF(H29=0,0,1000000*H29/TrRoad_act!H69)</f>
        <v>72448.050545843886</v>
      </c>
      <c r="I120" s="101">
        <f>IF(I29=0,0,1000000*I29/TrRoad_act!I69)</f>
        <v>71902.476245260012</v>
      </c>
      <c r="J120" s="101">
        <f>IF(J29=0,0,1000000*J29/TrRoad_act!J69)</f>
        <v>73067.048583663447</v>
      </c>
      <c r="K120" s="101">
        <f>IF(K29=0,0,1000000*K29/TrRoad_act!K69)</f>
        <v>73941.597257900314</v>
      </c>
      <c r="L120" s="101">
        <f>IF(L29=0,0,1000000*L29/TrRoad_act!L69)</f>
        <v>75615.349338843604</v>
      </c>
      <c r="M120" s="101">
        <f>IF(M29=0,0,1000000*M29/TrRoad_act!M69)</f>
        <v>73828.93283267926</v>
      </c>
      <c r="N120" s="101">
        <f>IF(N29=0,0,1000000*N29/TrRoad_act!N69)</f>
        <v>69717.328491663371</v>
      </c>
      <c r="O120" s="101">
        <f>IF(O29=0,0,1000000*O29/TrRoad_act!O69)</f>
        <v>67949.774227765112</v>
      </c>
      <c r="P120" s="101">
        <f>IF(P29=0,0,1000000*P29/TrRoad_act!P69)</f>
        <v>69549.248417255352</v>
      </c>
      <c r="Q120" s="101">
        <f>IF(Q29=0,0,1000000*Q29/TrRoad_act!Q69)</f>
        <v>71252.956731049577</v>
      </c>
      <c r="R120" s="101">
        <f>IF(R29=0,0,1000000*R29/TrRoad_act!R69)</f>
        <v>73685.071105228766</v>
      </c>
      <c r="S120" s="101">
        <f>IF(S29=0,0,1000000*S29/TrRoad_act!S69)</f>
        <v>76164.996714019886</v>
      </c>
      <c r="T120" s="101">
        <f>IF(T29=0,0,1000000*T29/TrRoad_act!T69)</f>
        <v>77561.506501811557</v>
      </c>
      <c r="U120" s="101">
        <f>IF(U29=0,0,1000000*U29/TrRoad_act!U69)</f>
        <v>75709.12955080517</v>
      </c>
      <c r="V120" s="101">
        <f>IF(V29=0,0,1000000*V29/TrRoad_act!V69)</f>
        <v>79550.566541453431</v>
      </c>
      <c r="W120" s="101">
        <f>IF(W29=0,0,1000000*W29/TrRoad_act!W69)</f>
        <v>81880.909374346942</v>
      </c>
      <c r="X120" s="101">
        <f>IF(X29=0,0,1000000*X29/TrRoad_act!X69)</f>
        <v>87284.867341349236</v>
      </c>
      <c r="Y120" s="101">
        <f>IF(Y29=0,0,1000000*Y29/TrRoad_act!Y69)</f>
        <v>94423.408177371064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X121" s="101">
        <f>IF(X30=0,0,1000000*X30/TrRoad_act!X70)</f>
        <v>0</v>
      </c>
      <c r="Y121" s="101">
        <f>IF(Y30=0,0,1000000*Y30/TrRoad_act!Y70)</f>
        <v>0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93875.337294427271</v>
      </c>
      <c r="R122" s="101">
        <f>IF(R31=0,0,1000000*R31/TrRoad_act!R71)</f>
        <v>79650.912855602321</v>
      </c>
      <c r="S122" s="101">
        <f>IF(S31=0,0,1000000*S31/TrRoad_act!S71)</f>
        <v>83584.746002529282</v>
      </c>
      <c r="T122" s="101">
        <f>IF(T31=0,0,1000000*T31/TrRoad_act!T71)</f>
        <v>100330.83962993989</v>
      </c>
      <c r="U122" s="101">
        <f>IF(U31=0,0,1000000*U31/TrRoad_act!U71)</f>
        <v>97971.475908557477</v>
      </c>
      <c r="V122" s="101">
        <f>IF(V31=0,0,1000000*V31/TrRoad_act!V71)</f>
        <v>88303.67325682567</v>
      </c>
      <c r="W122" s="101">
        <f>IF(W31=0,0,1000000*W31/TrRoad_act!W71)</f>
        <v>95914.197248763536</v>
      </c>
      <c r="X122" s="101">
        <f>IF(X31=0,0,1000000*X31/TrRoad_act!X71)</f>
        <v>100280.3995759032</v>
      </c>
      <c r="Y122" s="101">
        <f>IF(Y31=0,0,1000000*Y31/TrRoad_act!Y71)</f>
        <v>88263.291521822161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5005.4483845052246</v>
      </c>
      <c r="C125" s="152">
        <f>IF(C34=0,0,1000000*C34/TrRoad_act!C74)</f>
        <v>5104.6026039038697</v>
      </c>
      <c r="D125" s="152">
        <f>IF(D34=0,0,1000000*D34/TrRoad_act!D74)</f>
        <v>4991.8817198713032</v>
      </c>
      <c r="E125" s="152">
        <f>IF(E34=0,0,1000000*E34/TrRoad_act!E74)</f>
        <v>5052.5926756056733</v>
      </c>
      <c r="F125" s="152">
        <f>IF(F34=0,0,1000000*F34/TrRoad_act!F74)</f>
        <v>5145.7205462950124</v>
      </c>
      <c r="G125" s="152">
        <f>IF(G34=0,0,1000000*G34/TrRoad_act!G74)</f>
        <v>5050.3808134973515</v>
      </c>
      <c r="H125" s="152">
        <f>IF(H34=0,0,1000000*H34/TrRoad_act!H74)</f>
        <v>5028.1865372909797</v>
      </c>
      <c r="I125" s="152">
        <f>IF(I34=0,0,1000000*I34/TrRoad_act!I74)</f>
        <v>5221.8085111102819</v>
      </c>
      <c r="J125" s="152">
        <f>IF(J34=0,0,1000000*J34/TrRoad_act!J74)</f>
        <v>5209.9790726976507</v>
      </c>
      <c r="K125" s="152">
        <f>IF(K34=0,0,1000000*K34/TrRoad_act!K74)</f>
        <v>5020.5209764418869</v>
      </c>
      <c r="L125" s="152">
        <f>IF(L34=0,0,1000000*L34/TrRoad_act!L74)</f>
        <v>5076.3461365914009</v>
      </c>
      <c r="M125" s="152">
        <f>IF(M34=0,0,1000000*M34/TrRoad_act!M74)</f>
        <v>4616.7281681783361</v>
      </c>
      <c r="N125" s="152">
        <f>IF(N34=0,0,1000000*N34/TrRoad_act!N74)</f>
        <v>4220.288692858775</v>
      </c>
      <c r="O125" s="152">
        <f>IF(O34=0,0,1000000*O34/TrRoad_act!O74)</f>
        <v>4119.5619316390512</v>
      </c>
      <c r="P125" s="152">
        <f>IF(P34=0,0,1000000*P34/TrRoad_act!P74)</f>
        <v>3975.5022825441515</v>
      </c>
      <c r="Q125" s="152">
        <f>IF(Q34=0,0,1000000*Q34/TrRoad_act!Q74)</f>
        <v>3964.1270363830904</v>
      </c>
      <c r="R125" s="152">
        <f>IF(R34=0,0,1000000*R34/TrRoad_act!R74)</f>
        <v>3934.9372447054461</v>
      </c>
      <c r="S125" s="152">
        <f>IF(S34=0,0,1000000*S34/TrRoad_act!S74)</f>
        <v>4011.5952486206065</v>
      </c>
      <c r="T125" s="152">
        <f>IF(T34=0,0,1000000*T34/TrRoad_act!T74)</f>
        <v>4104.1330776974282</v>
      </c>
      <c r="U125" s="152">
        <f>IF(U34=0,0,1000000*U34/TrRoad_act!U74)</f>
        <v>3952.90363835074</v>
      </c>
      <c r="V125" s="152">
        <f>IF(V34=0,0,1000000*V34/TrRoad_act!V74)</f>
        <v>3710.6490592997825</v>
      </c>
      <c r="W125" s="152">
        <f>IF(W34=0,0,1000000*W34/TrRoad_act!W74)</f>
        <v>3834.7736215242476</v>
      </c>
      <c r="X125" s="152">
        <f>IF(X34=0,0,1000000*X34/TrRoad_act!X74)</f>
        <v>4177.7920148259518</v>
      </c>
      <c r="Y125" s="152">
        <f>IF(Y34=0,0,1000000*Y34/TrRoad_act!Y74)</f>
        <v>4311.4069596128475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5052.7241036251917</v>
      </c>
      <c r="C126" s="87">
        <f>IF(C35=0,0,1000000*C35/TrRoad_act!C75)</f>
        <v>5541.2579731027026</v>
      </c>
      <c r="D126" s="87">
        <f>IF(D35=0,0,1000000*D35/TrRoad_act!D75)</f>
        <v>5393.9273400828351</v>
      </c>
      <c r="E126" s="87">
        <f>IF(E35=0,0,1000000*E35/TrRoad_act!E75)</f>
        <v>5055.5723201711753</v>
      </c>
      <c r="F126" s="87">
        <f>IF(F35=0,0,1000000*F35/TrRoad_act!F75)</f>
        <v>4991.9560012901929</v>
      </c>
      <c r="G126" s="87">
        <f>IF(G35=0,0,1000000*G35/TrRoad_act!G75)</f>
        <v>4828.728640556611</v>
      </c>
      <c r="H126" s="87">
        <f>IF(H35=0,0,1000000*H35/TrRoad_act!H75)</f>
        <v>4575.8003497212776</v>
      </c>
      <c r="I126" s="87">
        <f>IF(I35=0,0,1000000*I35/TrRoad_act!I75)</f>
        <v>4806.8897364276017</v>
      </c>
      <c r="J126" s="87">
        <f>IF(J35=0,0,1000000*J35/TrRoad_act!J75)</f>
        <v>4539.7114738282262</v>
      </c>
      <c r="K126" s="87">
        <f>IF(K35=0,0,1000000*K35/TrRoad_act!K75)</f>
        <v>4320.7214406375024</v>
      </c>
      <c r="L126" s="87">
        <f>IF(L35=0,0,1000000*L35/TrRoad_act!L75)</f>
        <v>4174.0652807992865</v>
      </c>
      <c r="M126" s="87">
        <f>IF(M35=0,0,1000000*M35/TrRoad_act!M75)</f>
        <v>3702.515613194515</v>
      </c>
      <c r="N126" s="87">
        <f>IF(N35=0,0,1000000*N35/TrRoad_act!N75)</f>
        <v>3365.3173945144895</v>
      </c>
      <c r="O126" s="87">
        <f>IF(O35=0,0,1000000*O35/TrRoad_act!O75)</f>
        <v>3379.7242330304771</v>
      </c>
      <c r="P126" s="87">
        <f>IF(P35=0,0,1000000*P35/TrRoad_act!P75)</f>
        <v>3458.2749665104916</v>
      </c>
      <c r="Q126" s="87">
        <f>IF(Q35=0,0,1000000*Q35/TrRoad_act!Q75)</f>
        <v>3615.2495674162697</v>
      </c>
      <c r="R126" s="87">
        <f>IF(R35=0,0,1000000*R35/TrRoad_act!R75)</f>
        <v>3569.4020533593903</v>
      </c>
      <c r="S126" s="87">
        <f>IF(S35=0,0,1000000*S35/TrRoad_act!S75)</f>
        <v>3582.7693350940804</v>
      </c>
      <c r="T126" s="87">
        <f>IF(T35=0,0,1000000*T35/TrRoad_act!T75)</f>
        <v>3473.0914370815963</v>
      </c>
      <c r="U126" s="87">
        <f>IF(U35=0,0,1000000*U35/TrRoad_act!U75)</f>
        <v>3412.6942357317203</v>
      </c>
      <c r="V126" s="87">
        <f>IF(V35=0,0,1000000*V35/TrRoad_act!V75)</f>
        <v>3033.0117146760531</v>
      </c>
      <c r="W126" s="87">
        <f>IF(W35=0,0,1000000*W35/TrRoad_act!W75)</f>
        <v>3180.7006214248854</v>
      </c>
      <c r="X126" s="87">
        <f>IF(X35=0,0,1000000*X35/TrRoad_act!X75)</f>
        <v>3166.2272365733556</v>
      </c>
      <c r="Y126" s="87">
        <f>IF(Y35=0,0,1000000*Y35/TrRoad_act!Y75)</f>
        <v>3103.5658563060424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4993.1786490667937</v>
      </c>
      <c r="C127" s="87">
        <f>IF(C36=0,0,1000000*C36/TrRoad_act!C76)</f>
        <v>4992.8827968417108</v>
      </c>
      <c r="D127" s="87">
        <f>IF(D36=0,0,1000000*D36/TrRoad_act!D76)</f>
        <v>4892.3407326071665</v>
      </c>
      <c r="E127" s="87">
        <f>IF(E36=0,0,1000000*E36/TrRoad_act!E76)</f>
        <v>5052.4976443495616</v>
      </c>
      <c r="F127" s="87">
        <f>IF(F36=0,0,1000000*F36/TrRoad_act!F76)</f>
        <v>5180.6503927062804</v>
      </c>
      <c r="G127" s="87">
        <f>IF(G36=0,0,1000000*G36/TrRoad_act!G76)</f>
        <v>5096.606302866182</v>
      </c>
      <c r="H127" s="87">
        <f>IF(H36=0,0,1000000*H36/TrRoad_act!H76)</f>
        <v>5114.83880372766</v>
      </c>
      <c r="I127" s="87">
        <f>IF(I36=0,0,1000000*I36/TrRoad_act!I76)</f>
        <v>5289.0109953472929</v>
      </c>
      <c r="J127" s="87">
        <f>IF(J36=0,0,1000000*J36/TrRoad_act!J76)</f>
        <v>5310.8228189524689</v>
      </c>
      <c r="K127" s="87">
        <f>IF(K36=0,0,1000000*K36/TrRoad_act!K76)</f>
        <v>5121.3895324837295</v>
      </c>
      <c r="L127" s="87">
        <f>IF(L36=0,0,1000000*L36/TrRoad_act!L76)</f>
        <v>5197.7387596986528</v>
      </c>
      <c r="M127" s="87">
        <f>IF(M36=0,0,1000000*M36/TrRoad_act!M76)</f>
        <v>4735.9021678265144</v>
      </c>
      <c r="N127" s="87">
        <f>IF(N36=0,0,1000000*N36/TrRoad_act!N76)</f>
        <v>4323.3390790554649</v>
      </c>
      <c r="O127" s="87">
        <f>IF(O36=0,0,1000000*O36/TrRoad_act!O76)</f>
        <v>4202.6858191417123</v>
      </c>
      <c r="P127" s="87">
        <f>IF(P36=0,0,1000000*P36/TrRoad_act!P76)</f>
        <v>4027.4969501189134</v>
      </c>
      <c r="Q127" s="87">
        <f>IF(Q36=0,0,1000000*Q36/TrRoad_act!Q76)</f>
        <v>4001.5327923801246</v>
      </c>
      <c r="R127" s="87">
        <f>IF(R36=0,0,1000000*R36/TrRoad_act!R76)</f>
        <v>3972.4605237411683</v>
      </c>
      <c r="S127" s="87">
        <f>IF(S36=0,0,1000000*S36/TrRoad_act!S76)</f>
        <v>4053.8068070835584</v>
      </c>
      <c r="T127" s="87">
        <f>IF(T36=0,0,1000000*T36/TrRoad_act!T76)</f>
        <v>4159.2605432381524</v>
      </c>
      <c r="U127" s="87">
        <f>IF(U36=0,0,1000000*U36/TrRoad_act!U76)</f>
        <v>4001.7293549449305</v>
      </c>
      <c r="V127" s="87">
        <f>IF(V36=0,0,1000000*V36/TrRoad_act!V76)</f>
        <v>3771.8283907087421</v>
      </c>
      <c r="W127" s="87">
        <f>IF(W36=0,0,1000000*W36/TrRoad_act!W76)</f>
        <v>3912.9491891865646</v>
      </c>
      <c r="X127" s="87">
        <f>IF(X36=0,0,1000000*X36/TrRoad_act!X76)</f>
        <v>4307.1361669500193</v>
      </c>
      <c r="Y127" s="87">
        <f>IF(Y36=0,0,1000000*Y36/TrRoad_act!Y76)</f>
        <v>4485.1848252671862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4758.4591800238213</v>
      </c>
      <c r="C128" s="87">
        <f>IF(C37=0,0,1000000*C37/TrRoad_act!C77)</f>
        <v>4504.5206156929071</v>
      </c>
      <c r="D128" s="87">
        <f>IF(D37=0,0,1000000*D37/TrRoad_act!D77)</f>
        <v>4132.8962181222123</v>
      </c>
      <c r="E128" s="87">
        <f>IF(E37=0,0,1000000*E37/TrRoad_act!E77)</f>
        <v>4193.1309510576812</v>
      </c>
      <c r="F128" s="87">
        <f>IF(F37=0,0,1000000*F37/TrRoad_act!F77)</f>
        <v>4408.0253930998279</v>
      </c>
      <c r="G128" s="87">
        <f>IF(G37=0,0,1000000*G37/TrRoad_act!G77)</f>
        <v>4110.9206154743033</v>
      </c>
      <c r="H128" s="87">
        <f>IF(H37=0,0,1000000*H37/TrRoad_act!H77)</f>
        <v>3838.15359943257</v>
      </c>
      <c r="I128" s="87">
        <f>IF(I37=0,0,1000000*I37/TrRoad_act!I77)</f>
        <v>3689.9620115375292</v>
      </c>
      <c r="J128" s="87">
        <f>IF(J37=0,0,1000000*J37/TrRoad_act!J77)</f>
        <v>3613.3196614449466</v>
      </c>
      <c r="K128" s="87">
        <f>IF(K37=0,0,1000000*K37/TrRoad_act!K77)</f>
        <v>3350.6071120797096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X128" s="87">
        <f>IF(X37=0,0,1000000*X37/TrRoad_act!X77)</f>
        <v>0</v>
      </c>
      <c r="Y128" s="87">
        <f>IF(Y37=0,0,1000000*Y37/TrRoad_act!Y77)</f>
        <v>0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2288.6385342613148</v>
      </c>
      <c r="R129" s="87">
        <f>IF(R38=0,0,1000000*R38/TrRoad_act!R78)</f>
        <v>2198.6999607677476</v>
      </c>
      <c r="S129" s="87">
        <f>IF(S38=0,0,1000000*S38/TrRoad_act!S78)</f>
        <v>2030.2406441751018</v>
      </c>
      <c r="T129" s="87">
        <f>IF(T38=0,0,1000000*T38/TrRoad_act!T78)</f>
        <v>2075.1514518663489</v>
      </c>
      <c r="U129" s="87">
        <f>IF(U38=0,0,1000000*U38/TrRoad_act!U78)</f>
        <v>1805.4122648947809</v>
      </c>
      <c r="V129" s="87">
        <f>IF(V38=0,0,1000000*V38/TrRoad_act!V78)</f>
        <v>1745.8614091121876</v>
      </c>
      <c r="W129" s="87">
        <f>IF(W38=0,0,1000000*W38/TrRoad_act!W78)</f>
        <v>1722.0494608400677</v>
      </c>
      <c r="X129" s="87">
        <f>IF(X38=0,0,1000000*X38/TrRoad_act!X78)</f>
        <v>1543.5124975828905</v>
      </c>
      <c r="Y129" s="87">
        <f>IF(Y38=0,0,1000000*Y38/TrRoad_act!Y78)</f>
        <v>1465.9342816628352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57644.951557624387</v>
      </c>
      <c r="C131" s="116">
        <f>IF(C40=0,0,1000000*C40/TrRoad_act!C80)</f>
        <v>58044.565111653756</v>
      </c>
      <c r="D131" s="116">
        <f>IF(D40=0,0,1000000*D40/TrRoad_act!D80)</f>
        <v>56964.882725311742</v>
      </c>
      <c r="E131" s="116">
        <f>IF(E40=0,0,1000000*E40/TrRoad_act!E80)</f>
        <v>62481.875290399614</v>
      </c>
      <c r="F131" s="116">
        <f>IF(F40=0,0,1000000*F40/TrRoad_act!F80)</f>
        <v>64049.859128563432</v>
      </c>
      <c r="G131" s="116">
        <f>IF(G40=0,0,1000000*G40/TrRoad_act!G80)</f>
        <v>56439.227760353548</v>
      </c>
      <c r="H131" s="116">
        <f>IF(H40=0,0,1000000*H40/TrRoad_act!H80)</f>
        <v>55628.006631738608</v>
      </c>
      <c r="I131" s="116">
        <f>IF(I40=0,0,1000000*I40/TrRoad_act!I80)</f>
        <v>51268.27647876594</v>
      </c>
      <c r="J131" s="116">
        <f>IF(J40=0,0,1000000*J40/TrRoad_act!J80)</f>
        <v>47098.471203025962</v>
      </c>
      <c r="K131" s="116">
        <f>IF(K40=0,0,1000000*K40/TrRoad_act!K80)</f>
        <v>43529.343906114249</v>
      </c>
      <c r="L131" s="116">
        <f>IF(L40=0,0,1000000*L40/TrRoad_act!L80)</f>
        <v>44745.599347564086</v>
      </c>
      <c r="M131" s="116">
        <f>IF(M40=0,0,1000000*M40/TrRoad_act!M80)</f>
        <v>44006.360458329495</v>
      </c>
      <c r="N131" s="116">
        <f>IF(N40=0,0,1000000*N40/TrRoad_act!N80)</f>
        <v>39266.675473936164</v>
      </c>
      <c r="O131" s="116">
        <f>IF(O40=0,0,1000000*O40/TrRoad_act!O80)</f>
        <v>38521.616696082863</v>
      </c>
      <c r="P131" s="116">
        <f>IF(P40=0,0,1000000*P40/TrRoad_act!P80)</f>
        <v>41676.295623113016</v>
      </c>
      <c r="Q131" s="116">
        <f>IF(Q40=0,0,1000000*Q40/TrRoad_act!Q80)</f>
        <v>44229.786234357445</v>
      </c>
      <c r="R131" s="116">
        <f>IF(R40=0,0,1000000*R40/TrRoad_act!R80)</f>
        <v>48574.88849214121</v>
      </c>
      <c r="S131" s="116">
        <f>IF(S40=0,0,1000000*S40/TrRoad_act!S80)</f>
        <v>48704.677827553569</v>
      </c>
      <c r="T131" s="116">
        <f>IF(T40=0,0,1000000*T40/TrRoad_act!T80)</f>
        <v>50921.337830163022</v>
      </c>
      <c r="U131" s="116">
        <f>IF(U40=0,0,1000000*U40/TrRoad_act!U80)</f>
        <v>48666.040663630461</v>
      </c>
      <c r="V131" s="116">
        <f>IF(V40=0,0,1000000*V40/TrRoad_act!V80)</f>
        <v>46690.398066191898</v>
      </c>
      <c r="W131" s="116">
        <f>IF(W40=0,0,1000000*W40/TrRoad_act!W80)</f>
        <v>46395.706341327423</v>
      </c>
      <c r="X131" s="116">
        <f>IF(X40=0,0,1000000*X40/TrRoad_act!X80)</f>
        <v>45621.917662612606</v>
      </c>
      <c r="Y131" s="116">
        <f>IF(Y40=0,0,1000000*Y40/TrRoad_act!Y80)</f>
        <v>46369.727319728285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43253.958364877639</v>
      </c>
      <c r="C132" s="101">
        <f>IF(C41=0,0,1000000*C41/TrRoad_act!C81)</f>
        <v>42723.18632872124</v>
      </c>
      <c r="D132" s="101">
        <f>IF(D41=0,0,1000000*D41/TrRoad_act!D81)</f>
        <v>40942.848130295446</v>
      </c>
      <c r="E132" s="101">
        <f>IF(E41=0,0,1000000*E41/TrRoad_act!E81)</f>
        <v>43612.165352592856</v>
      </c>
      <c r="F132" s="101">
        <f>IF(F41=0,0,1000000*F41/TrRoad_act!F81)</f>
        <v>40900.797495635663</v>
      </c>
      <c r="G132" s="101">
        <f>IF(G41=0,0,1000000*G41/TrRoad_act!G81)</f>
        <v>35334.170345687206</v>
      </c>
      <c r="H132" s="101">
        <f>IF(H41=0,0,1000000*H41/TrRoad_act!H81)</f>
        <v>35342.571256206567</v>
      </c>
      <c r="I132" s="101">
        <f>IF(I41=0,0,1000000*I41/TrRoad_act!I81)</f>
        <v>32340.546421069314</v>
      </c>
      <c r="J132" s="101">
        <f>IF(J41=0,0,1000000*J41/TrRoad_act!J81)</f>
        <v>30835.899390863855</v>
      </c>
      <c r="K132" s="101">
        <f>IF(K41=0,0,1000000*K41/TrRoad_act!K81)</f>
        <v>28589.949210142957</v>
      </c>
      <c r="L132" s="101">
        <f>IF(L41=0,0,1000000*L41/TrRoad_act!L81)</f>
        <v>29334.206072571276</v>
      </c>
      <c r="M132" s="101">
        <f>IF(M41=0,0,1000000*M41/TrRoad_act!M81)</f>
        <v>30085.542606257426</v>
      </c>
      <c r="N132" s="101">
        <f>IF(N41=0,0,1000000*N41/TrRoad_act!N81)</f>
        <v>29284.556599919732</v>
      </c>
      <c r="O132" s="101">
        <f>IF(O41=0,0,1000000*O41/TrRoad_act!O81)</f>
        <v>29098.536480190734</v>
      </c>
      <c r="P132" s="101">
        <f>IF(P41=0,0,1000000*P41/TrRoad_act!P81)</f>
        <v>30244.104026003817</v>
      </c>
      <c r="Q132" s="101">
        <f>IF(Q41=0,0,1000000*Q41/TrRoad_act!Q81)</f>
        <v>33648.959998001359</v>
      </c>
      <c r="R132" s="101">
        <f>IF(R41=0,0,1000000*R41/TrRoad_act!R81)</f>
        <v>33592.61000681921</v>
      </c>
      <c r="S132" s="101">
        <f>IF(S41=0,0,1000000*S41/TrRoad_act!S81)</f>
        <v>31735.060350881617</v>
      </c>
      <c r="T132" s="101">
        <f>IF(T41=0,0,1000000*T41/TrRoad_act!T81)</f>
        <v>31119.977198342072</v>
      </c>
      <c r="U132" s="101">
        <f>IF(U41=0,0,1000000*U41/TrRoad_act!U81)</f>
        <v>30361.178798154917</v>
      </c>
      <c r="V132" s="101">
        <f>IF(V41=0,0,1000000*V41/TrRoad_act!V81)</f>
        <v>30082.518150464839</v>
      </c>
      <c r="W132" s="101">
        <f>IF(W41=0,0,1000000*W41/TrRoad_act!W81)</f>
        <v>29682.841055625453</v>
      </c>
      <c r="X132" s="101">
        <f>IF(X41=0,0,1000000*X41/TrRoad_act!X81)</f>
        <v>28936.091570922941</v>
      </c>
      <c r="Y132" s="101">
        <f>IF(Y41=0,0,1000000*Y41/TrRoad_act!Y81)</f>
        <v>28403.94554868219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210897.21933560006</v>
      </c>
      <c r="C133" s="88">
        <f>IF(C42=0,0,1000000*C42/TrRoad_act!C82)</f>
        <v>216720.1019658407</v>
      </c>
      <c r="D133" s="88">
        <f>IF(D42=0,0,1000000*D42/TrRoad_act!D82)</f>
        <v>219478.84807320248</v>
      </c>
      <c r="E133" s="88">
        <f>IF(E42=0,0,1000000*E42/TrRoad_act!E82)</f>
        <v>252454.86252903051</v>
      </c>
      <c r="F133" s="88">
        <f>IF(F42=0,0,1000000*F42/TrRoad_act!F82)</f>
        <v>267817.34638981114</v>
      </c>
      <c r="G133" s="88">
        <f>IF(G42=0,0,1000000*G42/TrRoad_act!G82)</f>
        <v>260926.80420245623</v>
      </c>
      <c r="H133" s="88">
        <f>IF(H42=0,0,1000000*H42/TrRoad_act!H82)</f>
        <v>245868.15149073771</v>
      </c>
      <c r="I133" s="88">
        <f>IF(I42=0,0,1000000*I42/TrRoad_act!I82)</f>
        <v>237691.422896604</v>
      </c>
      <c r="J133" s="88">
        <f>IF(J42=0,0,1000000*J42/TrRoad_act!J82)</f>
        <v>170945.1129615909</v>
      </c>
      <c r="K133" s="88">
        <f>IF(K42=0,0,1000000*K42/TrRoad_act!K82)</f>
        <v>166969.15083179978</v>
      </c>
      <c r="L133" s="88">
        <f>IF(L42=0,0,1000000*L42/TrRoad_act!L82)</f>
        <v>180752.88521993521</v>
      </c>
      <c r="M133" s="88">
        <f>IF(M42=0,0,1000000*M42/TrRoad_act!M82)</f>
        <v>168498.46931111711</v>
      </c>
      <c r="N133" s="88">
        <f>IF(N42=0,0,1000000*N42/TrRoad_act!N82)</f>
        <v>128759.30261791185</v>
      </c>
      <c r="O133" s="88">
        <f>IF(O42=0,0,1000000*O42/TrRoad_act!O82)</f>
        <v>111911.53356803526</v>
      </c>
      <c r="P133" s="88">
        <f>IF(P42=0,0,1000000*P42/TrRoad_act!P82)</f>
        <v>137505.26777508305</v>
      </c>
      <c r="Q133" s="88">
        <f>IF(Q42=0,0,1000000*Q42/TrRoad_act!Q82)</f>
        <v>119049.84282935911</v>
      </c>
      <c r="R133" s="88">
        <f>IF(R42=0,0,1000000*R42/TrRoad_act!R82)</f>
        <v>142206.50296352786</v>
      </c>
      <c r="S133" s="88">
        <f>IF(S42=0,0,1000000*S42/TrRoad_act!S82)</f>
        <v>153605.40449017921</v>
      </c>
      <c r="T133" s="88">
        <f>IF(T42=0,0,1000000*T42/TrRoad_act!T82)</f>
        <v>184779.72101717346</v>
      </c>
      <c r="U133" s="88">
        <f>IF(U42=0,0,1000000*U42/TrRoad_act!U82)</f>
        <v>171633.08863116399</v>
      </c>
      <c r="V133" s="88">
        <f>IF(V42=0,0,1000000*V42/TrRoad_act!V82)</f>
        <v>149565.4548863683</v>
      </c>
      <c r="W133" s="88">
        <f>IF(W42=0,0,1000000*W42/TrRoad_act!W82)</f>
        <v>152186.05794680826</v>
      </c>
      <c r="X133" s="88">
        <f>IF(X42=0,0,1000000*X42/TrRoad_act!X82)</f>
        <v>149597.81415115946</v>
      </c>
      <c r="Y133" s="88">
        <f>IF(Y42=0,0,1000000*Y42/TrRoad_act!Y82)</f>
        <v>166969.81559132494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0.63914714600258171</v>
      </c>
      <c r="C136" s="46">
        <f t="shared" si="40"/>
        <v>0.62510494421351248</v>
      </c>
      <c r="D136" s="46">
        <f t="shared" si="40"/>
        <v>0.62576722208720492</v>
      </c>
      <c r="E136" s="46">
        <f t="shared" si="40"/>
        <v>0.61130960983697968</v>
      </c>
      <c r="F136" s="46">
        <f t="shared" si="40"/>
        <v>0.59542487907567443</v>
      </c>
      <c r="G136" s="46">
        <f t="shared" si="40"/>
        <v>0.59195070589188059</v>
      </c>
      <c r="H136" s="46">
        <f t="shared" si="40"/>
        <v>0.58185709055177326</v>
      </c>
      <c r="I136" s="46">
        <f t="shared" si="40"/>
        <v>0.58069341286107523</v>
      </c>
      <c r="J136" s="46">
        <f t="shared" si="40"/>
        <v>0.59166128232158322</v>
      </c>
      <c r="K136" s="46">
        <f t="shared" si="40"/>
        <v>0.61849673450951581</v>
      </c>
      <c r="L136" s="46">
        <f t="shared" si="41"/>
        <v>0.61843094473792981</v>
      </c>
      <c r="M136" s="46">
        <f t="shared" si="40"/>
        <v>0.63822194883653838</v>
      </c>
      <c r="N136" s="46">
        <f t="shared" si="40"/>
        <v>0.64893566124650692</v>
      </c>
      <c r="O136" s="46">
        <f t="shared" si="40"/>
        <v>0.65623108323148505</v>
      </c>
      <c r="P136" s="46">
        <f t="shared" si="40"/>
        <v>0.65598431147321834</v>
      </c>
      <c r="Q136" s="46">
        <f t="shared" si="40"/>
        <v>0.68192453376061035</v>
      </c>
      <c r="R136" s="46">
        <f t="shared" si="40"/>
        <v>0.66430412534871308</v>
      </c>
      <c r="S136" s="46">
        <f t="shared" si="40"/>
        <v>0.65948793984636755</v>
      </c>
      <c r="T136" s="46">
        <f t="shared" si="40"/>
        <v>0.65805351894373265</v>
      </c>
      <c r="U136" s="46">
        <f t="shared" si="40"/>
        <v>0.66520502706934603</v>
      </c>
      <c r="V136" s="46">
        <f t="shared" si="40"/>
        <v>0.65271277219050639</v>
      </c>
      <c r="W136" s="46">
        <f t="shared" si="42"/>
        <v>0.65042973147789218</v>
      </c>
      <c r="X136" s="46">
        <f t="shared" si="42"/>
        <v>0.64073170824707837</v>
      </c>
      <c r="Y136" s="46">
        <f t="shared" si="42"/>
        <v>0.63477976230155642</v>
      </c>
      <c r="DA136" s="211"/>
    </row>
    <row r="137" spans="1:105" ht="11.45" customHeight="1" x14ac:dyDescent="0.25">
      <c r="A137" s="153" t="s">
        <v>173</v>
      </c>
      <c r="B137" s="154">
        <f t="shared" si="40"/>
        <v>6.2081545719047835E-3</v>
      </c>
      <c r="C137" s="154">
        <f t="shared" si="40"/>
        <v>5.7971273423637988E-3</v>
      </c>
      <c r="D137" s="154">
        <f t="shared" si="40"/>
        <v>5.9296314312705248E-3</v>
      </c>
      <c r="E137" s="154">
        <f t="shared" si="40"/>
        <v>5.7086728325106487E-3</v>
      </c>
      <c r="F137" s="154">
        <f t="shared" si="40"/>
        <v>5.4573048363995682E-3</v>
      </c>
      <c r="G137" s="154">
        <f t="shared" si="40"/>
        <v>5.4541318073017533E-3</v>
      </c>
      <c r="H137" s="154">
        <f t="shared" si="40"/>
        <v>5.4835971760260884E-3</v>
      </c>
      <c r="I137" s="154">
        <f t="shared" si="40"/>
        <v>5.4967600689744779E-3</v>
      </c>
      <c r="J137" s="154">
        <f t="shared" si="40"/>
        <v>5.6073489168014592E-3</v>
      </c>
      <c r="K137" s="154">
        <f t="shared" si="40"/>
        <v>5.68391513773394E-3</v>
      </c>
      <c r="L137" s="154">
        <f t="shared" si="41"/>
        <v>5.5897910222199657E-3</v>
      </c>
      <c r="M137" s="154">
        <f t="shared" si="40"/>
        <v>5.5452818281561921E-3</v>
      </c>
      <c r="N137" s="154">
        <f t="shared" si="40"/>
        <v>6.0690120239794238E-3</v>
      </c>
      <c r="O137" s="154">
        <f t="shared" si="40"/>
        <v>6.2196017572878921E-3</v>
      </c>
      <c r="P137" s="154">
        <f t="shared" si="40"/>
        <v>6.2023423013644937E-3</v>
      </c>
      <c r="Q137" s="154">
        <f t="shared" si="40"/>
        <v>5.9960709881808211E-3</v>
      </c>
      <c r="R137" s="154">
        <f t="shared" si="40"/>
        <v>5.8432403847340931E-3</v>
      </c>
      <c r="S137" s="154">
        <f t="shared" si="40"/>
        <v>5.4898402031958943E-3</v>
      </c>
      <c r="T137" s="154">
        <f t="shared" si="40"/>
        <v>5.0615244997623309E-3</v>
      </c>
      <c r="U137" s="154">
        <f t="shared" si="40"/>
        <v>5.3756957208801583E-3</v>
      </c>
      <c r="V137" s="154">
        <f t="shared" si="40"/>
        <v>5.0083570249579981E-3</v>
      </c>
      <c r="W137" s="154">
        <f t="shared" si="42"/>
        <v>5.0684085901713414E-3</v>
      </c>
      <c r="X137" s="154">
        <f t="shared" si="42"/>
        <v>5.0896085153943598E-3</v>
      </c>
      <c r="Y137" s="154">
        <f t="shared" si="42"/>
        <v>5.4168624468120766E-3</v>
      </c>
      <c r="DA137" s="212"/>
    </row>
    <row r="138" spans="1:105" ht="11.45" customHeight="1" x14ac:dyDescent="0.25">
      <c r="A138" s="155" t="s">
        <v>20</v>
      </c>
      <c r="B138" s="156">
        <f t="shared" si="40"/>
        <v>0.53663257717438972</v>
      </c>
      <c r="C138" s="156">
        <f t="shared" si="40"/>
        <v>0.52644246540798589</v>
      </c>
      <c r="D138" s="156">
        <f t="shared" si="40"/>
        <v>0.53018850060796197</v>
      </c>
      <c r="E138" s="156">
        <f t="shared" si="40"/>
        <v>0.51845434023680859</v>
      </c>
      <c r="F138" s="156">
        <f t="shared" si="40"/>
        <v>0.50705235683455119</v>
      </c>
      <c r="G138" s="156">
        <f t="shared" si="40"/>
        <v>0.50361986571259809</v>
      </c>
      <c r="H138" s="156">
        <f t="shared" si="40"/>
        <v>0.49523659176142726</v>
      </c>
      <c r="I138" s="156">
        <f t="shared" si="40"/>
        <v>0.4986758016796255</v>
      </c>
      <c r="J138" s="156">
        <f t="shared" si="40"/>
        <v>0.50660583198693665</v>
      </c>
      <c r="K138" s="156">
        <f t="shared" si="40"/>
        <v>0.52756934390075283</v>
      </c>
      <c r="L138" s="156">
        <f t="shared" si="41"/>
        <v>0.52511401680917058</v>
      </c>
      <c r="M138" s="156">
        <f t="shared" si="40"/>
        <v>0.54754984543554008</v>
      </c>
      <c r="N138" s="156">
        <f t="shared" si="40"/>
        <v>0.55813733919860475</v>
      </c>
      <c r="O138" s="156">
        <f t="shared" si="40"/>
        <v>0.56734530175798537</v>
      </c>
      <c r="P138" s="156">
        <f t="shared" si="40"/>
        <v>0.56548206123241107</v>
      </c>
      <c r="Q138" s="156">
        <f t="shared" si="40"/>
        <v>0.59259872807224201</v>
      </c>
      <c r="R138" s="156">
        <f t="shared" si="40"/>
        <v>0.573727408227097</v>
      </c>
      <c r="S138" s="156">
        <f t="shared" si="40"/>
        <v>0.56560964772451661</v>
      </c>
      <c r="T138" s="156">
        <f t="shared" si="40"/>
        <v>0.56679547314270073</v>
      </c>
      <c r="U138" s="156">
        <f t="shared" si="40"/>
        <v>0.57504913460643459</v>
      </c>
      <c r="V138" s="156">
        <f t="shared" si="40"/>
        <v>0.55623672166384808</v>
      </c>
      <c r="W138" s="156">
        <f t="shared" si="42"/>
        <v>0.5571009208843376</v>
      </c>
      <c r="X138" s="156">
        <f t="shared" si="42"/>
        <v>0.54879083041911991</v>
      </c>
      <c r="Y138" s="156">
        <f t="shared" si="42"/>
        <v>0.54610900431675524</v>
      </c>
      <c r="DA138" s="213"/>
    </row>
    <row r="139" spans="1:105" ht="11.45" customHeight="1" x14ac:dyDescent="0.25">
      <c r="A139" s="157" t="s">
        <v>110</v>
      </c>
      <c r="B139" s="103">
        <f t="shared" si="40"/>
        <v>0.48825659154745266</v>
      </c>
      <c r="C139" s="103">
        <f t="shared" si="40"/>
        <v>0.47449504995586894</v>
      </c>
      <c r="D139" s="103">
        <f t="shared" si="40"/>
        <v>0.47265563300559604</v>
      </c>
      <c r="E139" s="103">
        <f t="shared" si="40"/>
        <v>0.45777602223469244</v>
      </c>
      <c r="F139" s="103">
        <f t="shared" si="40"/>
        <v>0.43813719985312044</v>
      </c>
      <c r="G139" s="103">
        <f t="shared" si="40"/>
        <v>0.42080487071453154</v>
      </c>
      <c r="H139" s="103">
        <f t="shared" si="40"/>
        <v>0.40182989143510378</v>
      </c>
      <c r="I139" s="103">
        <f t="shared" si="40"/>
        <v>0.38052779099500544</v>
      </c>
      <c r="J139" s="103">
        <f t="shared" si="40"/>
        <v>0.37203146875004461</v>
      </c>
      <c r="K139" s="103">
        <f t="shared" si="40"/>
        <v>0.37496884174959105</v>
      </c>
      <c r="L139" s="103">
        <f t="shared" si="41"/>
        <v>0.35227430576832108</v>
      </c>
      <c r="M139" s="103">
        <f t="shared" si="40"/>
        <v>0.35731973936949857</v>
      </c>
      <c r="N139" s="103">
        <f t="shared" si="40"/>
        <v>0.3513786899644194</v>
      </c>
      <c r="O139" s="103">
        <f t="shared" si="40"/>
        <v>0.3467821684488383</v>
      </c>
      <c r="P139" s="103">
        <f t="shared" si="40"/>
        <v>0.33801509046200551</v>
      </c>
      <c r="Q139" s="103">
        <f t="shared" si="40"/>
        <v>0.34297540843700192</v>
      </c>
      <c r="R139" s="103">
        <f t="shared" si="40"/>
        <v>0.33587180151548901</v>
      </c>
      <c r="S139" s="103">
        <f t="shared" si="40"/>
        <v>0.31966739147352624</v>
      </c>
      <c r="T139" s="103">
        <f t="shared" si="40"/>
        <v>0.31472711557749278</v>
      </c>
      <c r="U139" s="103">
        <f t="shared" si="40"/>
        <v>0.32350427846965146</v>
      </c>
      <c r="V139" s="103">
        <f t="shared" si="40"/>
        <v>0.31358648431723862</v>
      </c>
      <c r="W139" s="103">
        <f t="shared" si="42"/>
        <v>0.31595023441119241</v>
      </c>
      <c r="X139" s="103">
        <f t="shared" si="42"/>
        <v>0.31493784380357132</v>
      </c>
      <c r="Y139" s="103">
        <f t="shared" si="42"/>
        <v>0.31859908849867635</v>
      </c>
      <c r="DA139" s="191"/>
    </row>
    <row r="140" spans="1:105" ht="11.45" customHeight="1" x14ac:dyDescent="0.25">
      <c r="A140" s="157" t="s">
        <v>111</v>
      </c>
      <c r="B140" s="103">
        <f t="shared" si="40"/>
        <v>4.6096303800202548E-2</v>
      </c>
      <c r="C140" s="103">
        <f t="shared" si="40"/>
        <v>4.9427796245673214E-2</v>
      </c>
      <c r="D140" s="103">
        <f t="shared" si="40"/>
        <v>5.4779353346467011E-2</v>
      </c>
      <c r="E140" s="103">
        <f t="shared" si="40"/>
        <v>5.8526469946744916E-2</v>
      </c>
      <c r="F140" s="103">
        <f t="shared" si="40"/>
        <v>6.7068127938136685E-2</v>
      </c>
      <c r="G140" s="103">
        <f t="shared" si="40"/>
        <v>8.1211310716046342E-2</v>
      </c>
      <c r="H140" s="103">
        <f t="shared" si="40"/>
        <v>9.2068754490797183E-2</v>
      </c>
      <c r="I140" s="103">
        <f t="shared" si="40"/>
        <v>0.11708411460034356</v>
      </c>
      <c r="J140" s="103">
        <f t="shared" si="40"/>
        <v>0.13370318857932595</v>
      </c>
      <c r="K140" s="103">
        <f t="shared" si="40"/>
        <v>0.15191010990433571</v>
      </c>
      <c r="L140" s="103">
        <f t="shared" si="41"/>
        <v>0.17283971104084947</v>
      </c>
      <c r="M140" s="103">
        <f t="shared" si="40"/>
        <v>0.19023010606604149</v>
      </c>
      <c r="N140" s="103">
        <f t="shared" si="40"/>
        <v>0.20675660981120733</v>
      </c>
      <c r="O140" s="103">
        <f t="shared" si="40"/>
        <v>0.22055989056669531</v>
      </c>
      <c r="P140" s="103">
        <f t="shared" si="40"/>
        <v>0.2274619769774279</v>
      </c>
      <c r="Q140" s="103">
        <f t="shared" si="40"/>
        <v>0.24834176597154911</v>
      </c>
      <c r="R140" s="103">
        <f t="shared" si="40"/>
        <v>0.23775839767163182</v>
      </c>
      <c r="S140" s="103">
        <f t="shared" si="40"/>
        <v>0.24583655746920124</v>
      </c>
      <c r="T140" s="103">
        <f t="shared" si="40"/>
        <v>0.25178158611971024</v>
      </c>
      <c r="U140" s="103">
        <f t="shared" si="40"/>
        <v>0.25107214533257138</v>
      </c>
      <c r="V140" s="103">
        <f t="shared" si="40"/>
        <v>0.24146742961349002</v>
      </c>
      <c r="W140" s="103">
        <f t="shared" si="42"/>
        <v>0.23831448134603317</v>
      </c>
      <c r="X140" s="103">
        <f t="shared" si="42"/>
        <v>0.22978664940232599</v>
      </c>
      <c r="Y140" s="103">
        <f t="shared" si="42"/>
        <v>0.22230892027320262</v>
      </c>
      <c r="DA140" s="191"/>
    </row>
    <row r="141" spans="1:105" ht="11.45" customHeight="1" x14ac:dyDescent="0.25">
      <c r="A141" s="157" t="s">
        <v>112</v>
      </c>
      <c r="B141" s="103">
        <f t="shared" si="40"/>
        <v>2.2796818267344977E-3</v>
      </c>
      <c r="C141" s="103">
        <f t="shared" si="40"/>
        <v>2.5196192064436719E-3</v>
      </c>
      <c r="D141" s="103">
        <f t="shared" si="40"/>
        <v>2.7535142558989395E-3</v>
      </c>
      <c r="E141" s="103">
        <f t="shared" si="40"/>
        <v>2.1518480553712493E-3</v>
      </c>
      <c r="F141" s="103">
        <f t="shared" si="40"/>
        <v>1.8470290432941541E-3</v>
      </c>
      <c r="G141" s="103">
        <f t="shared" si="40"/>
        <v>1.6036842820202019E-3</v>
      </c>
      <c r="H141" s="103">
        <f t="shared" si="40"/>
        <v>1.3379458355262744E-3</v>
      </c>
      <c r="I141" s="103">
        <f t="shared" si="40"/>
        <v>1.0638960842764842E-3</v>
      </c>
      <c r="J141" s="103">
        <f t="shared" si="40"/>
        <v>8.7117465756609831E-4</v>
      </c>
      <c r="K141" s="103">
        <f t="shared" si="40"/>
        <v>6.9039224682603299E-4</v>
      </c>
      <c r="L141" s="103">
        <f t="shared" si="41"/>
        <v>0</v>
      </c>
      <c r="M141" s="103">
        <f t="shared" si="40"/>
        <v>0</v>
      </c>
      <c r="N141" s="103">
        <f t="shared" si="40"/>
        <v>0</v>
      </c>
      <c r="O141" s="103">
        <f t="shared" si="40"/>
        <v>0</v>
      </c>
      <c r="P141" s="103">
        <f t="shared" si="40"/>
        <v>0</v>
      </c>
      <c r="Q141" s="103">
        <f t="shared" si="40"/>
        <v>0</v>
      </c>
      <c r="R141" s="103">
        <f t="shared" si="40"/>
        <v>0</v>
      </c>
      <c r="S141" s="103">
        <f t="shared" si="40"/>
        <v>0</v>
      </c>
      <c r="T141" s="103">
        <f t="shared" si="40"/>
        <v>0</v>
      </c>
      <c r="U141" s="103">
        <f t="shared" si="40"/>
        <v>0</v>
      </c>
      <c r="V141" s="103">
        <f t="shared" si="40"/>
        <v>0</v>
      </c>
      <c r="W141" s="103">
        <f t="shared" si="42"/>
        <v>0</v>
      </c>
      <c r="X141" s="103">
        <f t="shared" si="42"/>
        <v>0</v>
      </c>
      <c r="Y141" s="103">
        <f t="shared" si="42"/>
        <v>0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1.0098648450290558E-5</v>
      </c>
      <c r="R142" s="103">
        <f t="shared" si="40"/>
        <v>3.1180991387933223E-5</v>
      </c>
      <c r="S142" s="103">
        <f t="shared" si="40"/>
        <v>3.1214624280860076E-5</v>
      </c>
      <c r="T142" s="103">
        <f t="shared" si="40"/>
        <v>5.882946116348012E-5</v>
      </c>
      <c r="U142" s="103">
        <f t="shared" si="40"/>
        <v>7.6726806303449636E-5</v>
      </c>
      <c r="V142" s="103">
        <f t="shared" si="40"/>
        <v>9.8231772985568635E-5</v>
      </c>
      <c r="W142" s="103">
        <f t="shared" si="42"/>
        <v>1.151704339165074E-4</v>
      </c>
      <c r="X142" s="103">
        <f t="shared" si="42"/>
        <v>1.2298443731628244E-4</v>
      </c>
      <c r="Y142" s="103">
        <f t="shared" si="42"/>
        <v>1.3340668577629876E-4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2.0394229780414691E-6</v>
      </c>
      <c r="O143" s="103">
        <f t="shared" si="40"/>
        <v>3.2427424517172834E-6</v>
      </c>
      <c r="P143" s="103">
        <f t="shared" si="40"/>
        <v>4.9937929776713411E-6</v>
      </c>
      <c r="Q143" s="103">
        <f t="shared" si="40"/>
        <v>1.2714550152406808E-3</v>
      </c>
      <c r="R143" s="103">
        <f t="shared" si="40"/>
        <v>6.6028048588271046E-5</v>
      </c>
      <c r="S143" s="103">
        <f t="shared" si="40"/>
        <v>7.448415750826789E-5</v>
      </c>
      <c r="T143" s="103">
        <f t="shared" si="40"/>
        <v>2.2794198433429282E-4</v>
      </c>
      <c r="U143" s="103">
        <f t="shared" si="40"/>
        <v>3.9598399790820706E-4</v>
      </c>
      <c r="V143" s="103">
        <f t="shared" si="40"/>
        <v>1.0845759601338684E-3</v>
      </c>
      <c r="W143" s="103">
        <f t="shared" si="42"/>
        <v>2.7210346931955255E-3</v>
      </c>
      <c r="X143" s="103">
        <f t="shared" si="42"/>
        <v>3.943352775906332E-3</v>
      </c>
      <c r="Y143" s="103">
        <f t="shared" si="42"/>
        <v>5.0675888591000381E-3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9.6306414256287234E-2</v>
      </c>
      <c r="C145" s="156">
        <f t="shared" si="40"/>
        <v>9.2865351463162812E-2</v>
      </c>
      <c r="D145" s="156">
        <f t="shared" si="40"/>
        <v>8.9649090047972321E-2</v>
      </c>
      <c r="E145" s="156">
        <f t="shared" si="40"/>
        <v>8.7146596767660428E-2</v>
      </c>
      <c r="F145" s="156">
        <f t="shared" si="40"/>
        <v>8.2915217404723712E-2</v>
      </c>
      <c r="G145" s="156">
        <f t="shared" si="40"/>
        <v>8.2876708371980676E-2</v>
      </c>
      <c r="H145" s="156">
        <f t="shared" si="40"/>
        <v>8.1136901614319926E-2</v>
      </c>
      <c r="I145" s="156">
        <f t="shared" si="40"/>
        <v>7.6520851112475294E-2</v>
      </c>
      <c r="J145" s="156">
        <f t="shared" si="40"/>
        <v>7.9448101417845057E-2</v>
      </c>
      <c r="K145" s="156">
        <f t="shared" si="40"/>
        <v>8.524347547102909E-2</v>
      </c>
      <c r="L145" s="156">
        <f t="shared" si="41"/>
        <v>8.7727136906539299E-2</v>
      </c>
      <c r="M145" s="156">
        <f t="shared" si="40"/>
        <v>8.5126821572842196E-2</v>
      </c>
      <c r="N145" s="156">
        <f t="shared" si="40"/>
        <v>8.4729310023922699E-2</v>
      </c>
      <c r="O145" s="156">
        <f t="shared" si="40"/>
        <v>8.2666179716211902E-2</v>
      </c>
      <c r="P145" s="156">
        <f t="shared" si="40"/>
        <v>8.4299907939442781E-2</v>
      </c>
      <c r="Q145" s="156">
        <f t="shared" si="40"/>
        <v>8.3329734700187619E-2</v>
      </c>
      <c r="R145" s="156">
        <f t="shared" si="40"/>
        <v>8.4733476736881877E-2</v>
      </c>
      <c r="S145" s="156">
        <f t="shared" si="40"/>
        <v>8.8388451918655062E-2</v>
      </c>
      <c r="T145" s="156">
        <f t="shared" si="40"/>
        <v>8.6196521301269577E-2</v>
      </c>
      <c r="U145" s="156">
        <f t="shared" si="40"/>
        <v>8.4780196742031314E-2</v>
      </c>
      <c r="V145" s="156">
        <f t="shared" si="40"/>
        <v>9.1467693501700295E-2</v>
      </c>
      <c r="W145" s="156">
        <f t="shared" si="42"/>
        <v>8.8260402003383295E-2</v>
      </c>
      <c r="X145" s="156">
        <f t="shared" si="42"/>
        <v>8.6851269312564164E-2</v>
      </c>
      <c r="Y145" s="156">
        <f t="shared" si="42"/>
        <v>8.3253895537989092E-2</v>
      </c>
      <c r="DA145" s="213"/>
    </row>
    <row r="146" spans="1:105" ht="11.45" customHeight="1" x14ac:dyDescent="0.25">
      <c r="A146" s="157" t="s">
        <v>110</v>
      </c>
      <c r="B146" s="103">
        <f t="shared" si="40"/>
        <v>3.8274403231537556E-3</v>
      </c>
      <c r="C146" s="103">
        <f t="shared" si="40"/>
        <v>3.8526794119526308E-3</v>
      </c>
      <c r="D146" s="103">
        <f t="shared" si="40"/>
        <v>3.7937200598941886E-3</v>
      </c>
      <c r="E146" s="103">
        <f t="shared" si="40"/>
        <v>2.3131874777467562E-3</v>
      </c>
      <c r="F146" s="103">
        <f t="shared" si="40"/>
        <v>1.8408632970748271E-3</v>
      </c>
      <c r="G146" s="103">
        <f t="shared" si="40"/>
        <v>1.714061676769626E-3</v>
      </c>
      <c r="H146" s="103">
        <f t="shared" si="40"/>
        <v>1.6384273754782308E-3</v>
      </c>
      <c r="I146" s="103">
        <f t="shared" si="40"/>
        <v>1.4867766413307326E-3</v>
      </c>
      <c r="J146" s="103">
        <f t="shared" si="40"/>
        <v>1.4997858491484944E-3</v>
      </c>
      <c r="K146" s="103">
        <f t="shared" si="40"/>
        <v>1.4847390763473365E-3</v>
      </c>
      <c r="L146" s="103">
        <f t="shared" si="41"/>
        <v>1.3929900229891546E-3</v>
      </c>
      <c r="M146" s="103">
        <f t="shared" si="40"/>
        <v>1.3469417488649064E-3</v>
      </c>
      <c r="N146" s="103">
        <f t="shared" si="40"/>
        <v>1.4000157949274426E-3</v>
      </c>
      <c r="O146" s="103">
        <f t="shared" si="40"/>
        <v>1.5035329074510957E-3</v>
      </c>
      <c r="P146" s="103">
        <f t="shared" si="40"/>
        <v>1.3239117383852621E-3</v>
      </c>
      <c r="Q146" s="103">
        <f t="shared" si="40"/>
        <v>1.1198873210276929E-3</v>
      </c>
      <c r="R146" s="103">
        <f t="shared" si="40"/>
        <v>1.0028756126567286E-3</v>
      </c>
      <c r="S146" s="103">
        <f t="shared" si="40"/>
        <v>9.2288142977502087E-4</v>
      </c>
      <c r="T146" s="103">
        <f t="shared" si="40"/>
        <v>8.0806827653108568E-4</v>
      </c>
      <c r="U146" s="103">
        <f t="shared" si="40"/>
        <v>7.3125963444856004E-4</v>
      </c>
      <c r="V146" s="103">
        <f t="shared" si="40"/>
        <v>7.1854471869662586E-4</v>
      </c>
      <c r="W146" s="103">
        <f t="shared" si="42"/>
        <v>6.7576618656357194E-4</v>
      </c>
      <c r="X146" s="103">
        <f t="shared" si="42"/>
        <v>6.7756445814392793E-4</v>
      </c>
      <c r="Y146" s="103">
        <f t="shared" si="42"/>
        <v>6.300207848222531E-4</v>
      </c>
      <c r="DA146" s="191"/>
    </row>
    <row r="147" spans="1:105" ht="11.45" customHeight="1" x14ac:dyDescent="0.25">
      <c r="A147" s="157" t="s">
        <v>111</v>
      </c>
      <c r="B147" s="103">
        <f t="shared" si="40"/>
        <v>9.2478973933133479E-2</v>
      </c>
      <c r="C147" s="103">
        <f t="shared" si="40"/>
        <v>8.901267205121019E-2</v>
      </c>
      <c r="D147" s="103">
        <f t="shared" si="40"/>
        <v>8.5855369988078134E-2</v>
      </c>
      <c r="E147" s="103">
        <f t="shared" si="40"/>
        <v>8.4833409289913675E-2</v>
      </c>
      <c r="F147" s="103">
        <f t="shared" si="40"/>
        <v>8.1074354107648891E-2</v>
      </c>
      <c r="G147" s="103">
        <f t="shared" si="40"/>
        <v>8.116264669521106E-2</v>
      </c>
      <c r="H147" s="103">
        <f t="shared" si="40"/>
        <v>7.9498474238841696E-2</v>
      </c>
      <c r="I147" s="103">
        <f t="shared" si="40"/>
        <v>7.5034074471144546E-2</v>
      </c>
      <c r="J147" s="103">
        <f t="shared" si="40"/>
        <v>7.7948315568696566E-2</v>
      </c>
      <c r="K147" s="103">
        <f t="shared" si="40"/>
        <v>8.375873639468176E-2</v>
      </c>
      <c r="L147" s="103">
        <f t="shared" si="41"/>
        <v>8.633414688355015E-2</v>
      </c>
      <c r="M147" s="103">
        <f t="shared" si="40"/>
        <v>8.3779879823977291E-2</v>
      </c>
      <c r="N147" s="103">
        <f t="shared" si="40"/>
        <v>8.3329294228995252E-2</v>
      </c>
      <c r="O147" s="103">
        <f t="shared" si="40"/>
        <v>8.1162646808760799E-2</v>
      </c>
      <c r="P147" s="103">
        <f t="shared" si="40"/>
        <v>8.2975996201057514E-2</v>
      </c>
      <c r="Q147" s="103">
        <f t="shared" si="40"/>
        <v>8.1932007707760934E-2</v>
      </c>
      <c r="R147" s="103">
        <f t="shared" ref="R147:V147" si="43">IF(R29=0,0,R29/R$17)</f>
        <v>8.3218370789014603E-2</v>
      </c>
      <c r="S147" s="103">
        <f t="shared" si="43"/>
        <v>8.6333033707385612E-2</v>
      </c>
      <c r="T147" s="103">
        <f t="shared" si="43"/>
        <v>8.4059245427828347E-2</v>
      </c>
      <c r="U147" s="103">
        <f t="shared" si="43"/>
        <v>8.2718049660664358E-2</v>
      </c>
      <c r="V147" s="103">
        <f t="shared" si="43"/>
        <v>8.9444972379748078E-2</v>
      </c>
      <c r="W147" s="103">
        <f t="shared" ref="W147:Y147" si="44">IF(W29=0,0,W29/W$17)</f>
        <v>8.6186851895870123E-2</v>
      </c>
      <c r="X147" s="103">
        <f t="shared" si="44"/>
        <v>8.470258459374988E-2</v>
      </c>
      <c r="Y147" s="103">
        <f t="shared" si="44"/>
        <v>8.1274310516766438E-2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:Y148" si="48">IF(W30=0,0,W30/W$17)</f>
        <v>0</v>
      </c>
      <c r="X148" s="103">
        <f t="shared" si="48"/>
        <v>0</v>
      </c>
      <c r="Y148" s="103">
        <f t="shared" si="48"/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2.7783967139899152E-4</v>
      </c>
      <c r="R149" s="103">
        <f t="shared" si="50"/>
        <v>5.1223033521054814E-4</v>
      </c>
      <c r="S149" s="103">
        <f t="shared" si="50"/>
        <v>1.1325367814944236E-3</v>
      </c>
      <c r="T149" s="103">
        <f t="shared" si="50"/>
        <v>1.3292075969101541E-3</v>
      </c>
      <c r="U149" s="103">
        <f t="shared" si="50"/>
        <v>1.330887446918394E-3</v>
      </c>
      <c r="V149" s="103">
        <f t="shared" si="50"/>
        <v>1.3041764032555899E-3</v>
      </c>
      <c r="W149" s="103">
        <f t="shared" ref="W149:Y149" si="51">IF(W31=0,0,W31/W$17)</f>
        <v>1.3977839209495886E-3</v>
      </c>
      <c r="X149" s="103">
        <f t="shared" si="51"/>
        <v>1.4711202606703516E-3</v>
      </c>
      <c r="Y149" s="103">
        <f t="shared" si="51"/>
        <v>1.3495642364003909E-3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0.36085285399741834</v>
      </c>
      <c r="C151" s="46">
        <f t="shared" si="55"/>
        <v>0.37489505578648746</v>
      </c>
      <c r="D151" s="46">
        <f t="shared" si="55"/>
        <v>0.37423277791279519</v>
      </c>
      <c r="E151" s="46">
        <f t="shared" si="55"/>
        <v>0.38869039016302026</v>
      </c>
      <c r="F151" s="46">
        <f t="shared" si="55"/>
        <v>0.40457512092432563</v>
      </c>
      <c r="G151" s="46">
        <f t="shared" si="55"/>
        <v>0.40804929410811952</v>
      </c>
      <c r="H151" s="46">
        <f t="shared" si="55"/>
        <v>0.41814290944822669</v>
      </c>
      <c r="I151" s="46">
        <f t="shared" si="55"/>
        <v>0.41930658713892482</v>
      </c>
      <c r="J151" s="46">
        <f t="shared" si="55"/>
        <v>0.40833871767841673</v>
      </c>
      <c r="K151" s="46">
        <f t="shared" si="55"/>
        <v>0.38150326549048413</v>
      </c>
      <c r="L151" s="46">
        <f t="shared" ref="L151" si="56">IF(L33=0,0,L33/L$17)</f>
        <v>0.38156905526207013</v>
      </c>
      <c r="M151" s="46">
        <f t="shared" ref="M151:V151" si="57">IF(M33=0,0,M33/M$17)</f>
        <v>0.36177805116346162</v>
      </c>
      <c r="N151" s="46">
        <f t="shared" si="57"/>
        <v>0.35106433875349308</v>
      </c>
      <c r="O151" s="46">
        <f t="shared" si="57"/>
        <v>0.3437689167685149</v>
      </c>
      <c r="P151" s="46">
        <f t="shared" si="57"/>
        <v>0.3440156885267816</v>
      </c>
      <c r="Q151" s="46">
        <f t="shared" si="57"/>
        <v>0.3180754662393897</v>
      </c>
      <c r="R151" s="46">
        <f t="shared" si="57"/>
        <v>0.33569587465128703</v>
      </c>
      <c r="S151" s="46">
        <f t="shared" si="57"/>
        <v>0.34051206015363239</v>
      </c>
      <c r="T151" s="46">
        <f t="shared" si="57"/>
        <v>0.34194648105626735</v>
      </c>
      <c r="U151" s="46">
        <f t="shared" si="57"/>
        <v>0.33479497293065408</v>
      </c>
      <c r="V151" s="46">
        <f t="shared" si="57"/>
        <v>0.34728722780949361</v>
      </c>
      <c r="W151" s="46">
        <f t="shared" ref="W151:Y151" si="58">IF(W33=0,0,W33/W$17)</f>
        <v>0.34957026852210782</v>
      </c>
      <c r="X151" s="46">
        <f t="shared" si="58"/>
        <v>0.35926829175292169</v>
      </c>
      <c r="Y151" s="46">
        <f t="shared" si="58"/>
        <v>0.36522023769844358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0.15334851495280866</v>
      </c>
      <c r="C152" s="154">
        <f t="shared" si="59"/>
        <v>0.15825293002641436</v>
      </c>
      <c r="D152" s="154">
        <f t="shared" si="59"/>
        <v>0.15692007299278804</v>
      </c>
      <c r="E152" s="154">
        <f t="shared" si="59"/>
        <v>0.1567052689146626</v>
      </c>
      <c r="F152" s="154">
        <f t="shared" si="59"/>
        <v>0.16356576447169321</v>
      </c>
      <c r="G152" s="154">
        <f t="shared" si="59"/>
        <v>0.1706096833335293</v>
      </c>
      <c r="H152" s="154">
        <f t="shared" si="59"/>
        <v>0.1806667205984247</v>
      </c>
      <c r="I152" s="154">
        <f t="shared" si="59"/>
        <v>0.18776092152488316</v>
      </c>
      <c r="J152" s="154">
        <f t="shared" si="59"/>
        <v>0.19021382049290234</v>
      </c>
      <c r="K152" s="154">
        <f t="shared" si="59"/>
        <v>0.18591203409698021</v>
      </c>
      <c r="L152" s="154">
        <f t="shared" ref="L152" si="60">IF(L34=0,0,L34/L$17)</f>
        <v>0.18081078978137929</v>
      </c>
      <c r="M152" s="154">
        <f t="shared" ref="M152:V152" si="61">IF(M34=0,0,M34/M$17)</f>
        <v>0.16357669355951118</v>
      </c>
      <c r="N152" s="154">
        <f t="shared" si="61"/>
        <v>0.16039027851310325</v>
      </c>
      <c r="O152" s="154">
        <f t="shared" si="61"/>
        <v>0.15438111419188449</v>
      </c>
      <c r="P152" s="154">
        <f t="shared" si="61"/>
        <v>0.14482086745885869</v>
      </c>
      <c r="Q152" s="154">
        <f t="shared" si="61"/>
        <v>0.14066690456727504</v>
      </c>
      <c r="R152" s="154">
        <f t="shared" si="61"/>
        <v>0.13761985255747983</v>
      </c>
      <c r="S152" s="154">
        <f t="shared" si="61"/>
        <v>0.13961139571940223</v>
      </c>
      <c r="T152" s="154">
        <f t="shared" si="61"/>
        <v>0.13750644565183154</v>
      </c>
      <c r="U152" s="154">
        <f t="shared" si="61"/>
        <v>0.13256251635058169</v>
      </c>
      <c r="V152" s="154">
        <f t="shared" si="61"/>
        <v>0.13396048956773432</v>
      </c>
      <c r="W152" s="154">
        <f t="shared" ref="W152:Y152" si="62">IF(W34=0,0,W34/W$17)</f>
        <v>0.13552888836328886</v>
      </c>
      <c r="X152" s="154">
        <f t="shared" si="62"/>
        <v>0.14521711238880608</v>
      </c>
      <c r="Y152" s="154">
        <f t="shared" si="62"/>
        <v>0.14675873313536281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3.2257679858736663E-2</v>
      </c>
      <c r="C153" s="103">
        <f t="shared" si="63"/>
        <v>3.5095247378353553E-2</v>
      </c>
      <c r="D153" s="103">
        <f t="shared" si="63"/>
        <v>3.3819949051456216E-2</v>
      </c>
      <c r="E153" s="103">
        <f t="shared" si="63"/>
        <v>3.0391091172624406E-2</v>
      </c>
      <c r="F153" s="103">
        <f t="shared" si="63"/>
        <v>2.9051210205564282E-2</v>
      </c>
      <c r="G153" s="103">
        <f t="shared" si="63"/>
        <v>2.7900232868196446E-2</v>
      </c>
      <c r="H153" s="103">
        <f t="shared" si="63"/>
        <v>2.6298869667426127E-2</v>
      </c>
      <c r="I153" s="103">
        <f t="shared" si="63"/>
        <v>2.3935128928816416E-2</v>
      </c>
      <c r="J153" s="103">
        <f t="shared" si="63"/>
        <v>2.1593959826574281E-2</v>
      </c>
      <c r="K153" s="103">
        <f t="shared" si="63"/>
        <v>2.0091687614871349E-2</v>
      </c>
      <c r="L153" s="103">
        <f t="shared" ref="L153" si="64">IF(L35=0,0,L35/L$17)</f>
        <v>1.7630441864947485E-2</v>
      </c>
      <c r="M153" s="103">
        <f t="shared" ref="M153:V153" si="65">IF(M35=0,0,M35/M$17)</f>
        <v>1.5128738921905598E-2</v>
      </c>
      <c r="N153" s="103">
        <f t="shared" si="65"/>
        <v>1.3734815654568293E-2</v>
      </c>
      <c r="O153" s="103">
        <f t="shared" si="65"/>
        <v>1.2706287855439527E-2</v>
      </c>
      <c r="P153" s="103">
        <f t="shared" si="65"/>
        <v>1.1413949901450577E-2</v>
      </c>
      <c r="Q153" s="103">
        <f t="shared" si="65"/>
        <v>1.01821204059632E-2</v>
      </c>
      <c r="R153" s="103">
        <f t="shared" si="65"/>
        <v>9.3874940472727826E-3</v>
      </c>
      <c r="S153" s="103">
        <f t="shared" si="65"/>
        <v>8.8200516066616469E-3</v>
      </c>
      <c r="T153" s="103">
        <f t="shared" si="65"/>
        <v>7.7450169181602991E-3</v>
      </c>
      <c r="U153" s="103">
        <f t="shared" si="65"/>
        <v>7.2104126374468117E-3</v>
      </c>
      <c r="V153" s="103">
        <f t="shared" si="65"/>
        <v>6.7018300436490876E-3</v>
      </c>
      <c r="W153" s="103">
        <f t="shared" ref="W153:Y153" si="66">IF(W35=0,0,W35/W$17)</f>
        <v>6.7633566469584728E-3</v>
      </c>
      <c r="X153" s="103">
        <f t="shared" si="66"/>
        <v>6.6412690103228372E-3</v>
      </c>
      <c r="Y153" s="103">
        <f t="shared" si="66"/>
        <v>6.3576727966460642E-3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0.12100464489319024</v>
      </c>
      <c r="C154" s="103">
        <f t="shared" si="67"/>
        <v>0.12306945615475667</v>
      </c>
      <c r="D154" s="103">
        <f t="shared" si="67"/>
        <v>0.12301373777011887</v>
      </c>
      <c r="E154" s="103">
        <f t="shared" si="67"/>
        <v>0.1262383737743713</v>
      </c>
      <c r="F154" s="103">
        <f t="shared" si="67"/>
        <v>0.13444506558629649</v>
      </c>
      <c r="G154" s="103">
        <f t="shared" si="67"/>
        <v>0.14265197760036408</v>
      </c>
      <c r="H154" s="103">
        <f t="shared" si="67"/>
        <v>0.15432147831272475</v>
      </c>
      <c r="I154" s="103">
        <f t="shared" si="67"/>
        <v>0.16378942591110424</v>
      </c>
      <c r="J154" s="103">
        <f t="shared" si="67"/>
        <v>0.16859043113066596</v>
      </c>
      <c r="K154" s="103">
        <f t="shared" si="67"/>
        <v>0.1657975698605399</v>
      </c>
      <c r="L154" s="103">
        <f t="shared" ref="L154" si="68">IF(L36=0,0,L36/L$17)</f>
        <v>0.16318034791643182</v>
      </c>
      <c r="M154" s="103">
        <f t="shared" ref="M154:V154" si="69">IF(M36=0,0,M36/M$17)</f>
        <v>0.14844795463760557</v>
      </c>
      <c r="N154" s="103">
        <f t="shared" si="69"/>
        <v>0.14665546285853495</v>
      </c>
      <c r="O154" s="103">
        <f t="shared" si="69"/>
        <v>0.14167482633644499</v>
      </c>
      <c r="P154" s="103">
        <f t="shared" si="69"/>
        <v>0.13340691755740813</v>
      </c>
      <c r="Q154" s="103">
        <f t="shared" si="69"/>
        <v>0.13039652201830976</v>
      </c>
      <c r="R154" s="103">
        <f t="shared" si="69"/>
        <v>0.12814519591362644</v>
      </c>
      <c r="S154" s="103">
        <f t="shared" si="69"/>
        <v>0.1307038158788579</v>
      </c>
      <c r="T154" s="103">
        <f t="shared" si="69"/>
        <v>0.12967466790027865</v>
      </c>
      <c r="U154" s="103">
        <f t="shared" si="69"/>
        <v>0.12527725312731075</v>
      </c>
      <c r="V154" s="103">
        <f t="shared" si="69"/>
        <v>0.12718297884022686</v>
      </c>
      <c r="W154" s="103">
        <f t="shared" ref="W154:Y154" si="70">IF(W36=0,0,W36/W$17)</f>
        <v>0.12869611059195102</v>
      </c>
      <c r="X154" s="103">
        <f t="shared" si="70"/>
        <v>0.13851761740794302</v>
      </c>
      <c r="Y154" s="103">
        <f t="shared" si="70"/>
        <v>0.14035034766238699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8.6190200881754481E-5</v>
      </c>
      <c r="C155" s="103">
        <f t="shared" si="71"/>
        <v>8.8226493304131273E-5</v>
      </c>
      <c r="D155" s="103">
        <f t="shared" si="71"/>
        <v>8.6386171212954509E-5</v>
      </c>
      <c r="E155" s="103">
        <f t="shared" si="71"/>
        <v>7.5803967666894401E-5</v>
      </c>
      <c r="F155" s="103">
        <f t="shared" si="71"/>
        <v>6.9488679832449053E-5</v>
      </c>
      <c r="G155" s="103">
        <f t="shared" si="71"/>
        <v>5.7472864968769435E-5</v>
      </c>
      <c r="H155" s="103">
        <f t="shared" si="71"/>
        <v>4.6372618273837613E-5</v>
      </c>
      <c r="I155" s="103">
        <f t="shared" si="71"/>
        <v>3.6366684962516418E-5</v>
      </c>
      <c r="J155" s="103">
        <f t="shared" si="71"/>
        <v>2.9429535662118837E-5</v>
      </c>
      <c r="K155" s="103">
        <f t="shared" si="71"/>
        <v>2.2776621568950247E-5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:Y155" si="74">IF(W37=0,0,W37/W$17)</f>
        <v>0</v>
      </c>
      <c r="X155" s="103">
        <f t="shared" si="74"/>
        <v>0</v>
      </c>
      <c r="Y155" s="103">
        <f t="shared" si="74"/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8.8262143002072128E-5</v>
      </c>
      <c r="R156" s="103">
        <f t="shared" si="77"/>
        <v>8.7162596580596816E-5</v>
      </c>
      <c r="S156" s="103">
        <f t="shared" si="77"/>
        <v>8.7528233882670846E-5</v>
      </c>
      <c r="T156" s="103">
        <f t="shared" si="77"/>
        <v>8.6760833392605214E-5</v>
      </c>
      <c r="U156" s="103">
        <f t="shared" si="77"/>
        <v>7.4850585824122749E-5</v>
      </c>
      <c r="V156" s="103">
        <f t="shared" si="77"/>
        <v>7.5680683858378393E-5</v>
      </c>
      <c r="W156" s="103">
        <f t="shared" ref="W156:Y156" si="78">IF(W38=0,0,W38/W$17)</f>
        <v>6.942112437933387E-5</v>
      </c>
      <c r="X156" s="103">
        <f t="shared" si="78"/>
        <v>5.8225970540193459E-5</v>
      </c>
      <c r="Y156" s="103">
        <f t="shared" si="78"/>
        <v>5.0712676329759265E-5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0.20750433904460969</v>
      </c>
      <c r="C158" s="156">
        <f t="shared" si="83"/>
        <v>0.21664212576007305</v>
      </c>
      <c r="D158" s="156">
        <f t="shared" si="83"/>
        <v>0.21731270492000715</v>
      </c>
      <c r="E158" s="156">
        <f t="shared" si="83"/>
        <v>0.23198512124835766</v>
      </c>
      <c r="F158" s="156">
        <f t="shared" si="83"/>
        <v>0.24100935645263241</v>
      </c>
      <c r="G158" s="156">
        <f t="shared" si="83"/>
        <v>0.23743961077459022</v>
      </c>
      <c r="H158" s="156">
        <f t="shared" si="83"/>
        <v>0.23747618884980193</v>
      </c>
      <c r="I158" s="156">
        <f t="shared" si="83"/>
        <v>0.23154566561404166</v>
      </c>
      <c r="J158" s="156">
        <f t="shared" si="83"/>
        <v>0.21812489718551442</v>
      </c>
      <c r="K158" s="156">
        <f t="shared" si="83"/>
        <v>0.19559123139350396</v>
      </c>
      <c r="L158" s="156">
        <f t="shared" ref="L158" si="84">IF(L40=0,0,L40/L$17)</f>
        <v>0.20075826548069084</v>
      </c>
      <c r="M158" s="156">
        <f t="shared" ref="M158:V158" si="85">IF(M40=0,0,M40/M$17)</f>
        <v>0.19820135760395038</v>
      </c>
      <c r="N158" s="156">
        <f t="shared" si="85"/>
        <v>0.19067406024038983</v>
      </c>
      <c r="O158" s="156">
        <f t="shared" si="85"/>
        <v>0.18938780257663038</v>
      </c>
      <c r="P158" s="156">
        <f t="shared" si="85"/>
        <v>0.19919482106792294</v>
      </c>
      <c r="Q158" s="156">
        <f t="shared" si="85"/>
        <v>0.17740856167211466</v>
      </c>
      <c r="R158" s="156">
        <f t="shared" si="85"/>
        <v>0.19807602209380717</v>
      </c>
      <c r="S158" s="156">
        <f t="shared" si="85"/>
        <v>0.20090066443423016</v>
      </c>
      <c r="T158" s="156">
        <f t="shared" si="85"/>
        <v>0.20444003540443578</v>
      </c>
      <c r="U158" s="156">
        <f t="shared" si="85"/>
        <v>0.20223245658007236</v>
      </c>
      <c r="V158" s="156">
        <f t="shared" si="85"/>
        <v>0.2133267382417593</v>
      </c>
      <c r="W158" s="156">
        <f t="shared" ref="W158:Y158" si="86">IF(W40=0,0,W40/W$17)</f>
        <v>0.21404138015881899</v>
      </c>
      <c r="X158" s="156">
        <f t="shared" si="86"/>
        <v>0.21405117936411561</v>
      </c>
      <c r="Y158" s="156">
        <f t="shared" si="86"/>
        <v>0.21846150456308075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0.14233528377083857</v>
      </c>
      <c r="C159" s="103">
        <f t="shared" si="87"/>
        <v>0.1454164066127813</v>
      </c>
      <c r="D159" s="103">
        <f t="shared" si="87"/>
        <v>0.14217421772274083</v>
      </c>
      <c r="E159" s="103">
        <f t="shared" si="87"/>
        <v>0.14729441650361935</v>
      </c>
      <c r="F159" s="103">
        <f t="shared" si="87"/>
        <v>0.13820260220045177</v>
      </c>
      <c r="G159" s="103">
        <f t="shared" si="87"/>
        <v>0.13474387113220113</v>
      </c>
      <c r="H159" s="103">
        <f t="shared" si="87"/>
        <v>0.13633959827190503</v>
      </c>
      <c r="I159" s="103">
        <f t="shared" si="87"/>
        <v>0.13259848564727258</v>
      </c>
      <c r="J159" s="103">
        <f t="shared" si="87"/>
        <v>0.12623290843566942</v>
      </c>
      <c r="K159" s="103">
        <f t="shared" si="87"/>
        <v>0.11459483841789454</v>
      </c>
      <c r="L159" s="103">
        <f t="shared" ref="L159" si="88">IF(L41=0,0,L41/L$17)</f>
        <v>0.11821706268400993</v>
      </c>
      <c r="M159" s="103">
        <f t="shared" ref="M159:V159" si="89">IF(M41=0,0,M41/M$17)</f>
        <v>0.12187487793997702</v>
      </c>
      <c r="N159" s="103">
        <f t="shared" si="89"/>
        <v>0.12793240157085445</v>
      </c>
      <c r="O159" s="103">
        <f t="shared" si="89"/>
        <v>0.12678169080075735</v>
      </c>
      <c r="P159" s="103">
        <f t="shared" si="89"/>
        <v>0.12914689865966483</v>
      </c>
      <c r="Q159" s="103">
        <f t="shared" si="89"/>
        <v>0.11824616174223826</v>
      </c>
      <c r="R159" s="103">
        <f t="shared" si="89"/>
        <v>0.11808669647745614</v>
      </c>
      <c r="S159" s="103">
        <f t="shared" si="89"/>
        <v>0.11267575734591968</v>
      </c>
      <c r="T159" s="103">
        <f t="shared" si="89"/>
        <v>0.10884058884984751</v>
      </c>
      <c r="U159" s="103">
        <f t="shared" si="89"/>
        <v>0.10981872644884981</v>
      </c>
      <c r="V159" s="103">
        <f t="shared" si="89"/>
        <v>0.11834123671205672</v>
      </c>
      <c r="W159" s="103">
        <f t="shared" ref="W159:Y159" si="90">IF(W41=0,0,W41/W$17)</f>
        <v>0.1182562180125114</v>
      </c>
      <c r="X159" s="103">
        <f t="shared" si="90"/>
        <v>0.11698956099614563</v>
      </c>
      <c r="Y159" s="103">
        <f t="shared" si="90"/>
        <v>0.11646901496272287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6.516905527377112E-2</v>
      </c>
      <c r="C160" s="105">
        <f t="shared" si="91"/>
        <v>7.1225719147291783E-2</v>
      </c>
      <c r="D160" s="105">
        <f t="shared" si="91"/>
        <v>7.5138487197266318E-2</v>
      </c>
      <c r="E160" s="105">
        <f t="shared" si="91"/>
        <v>8.4690704744738304E-2</v>
      </c>
      <c r="F160" s="105">
        <f t="shared" si="91"/>
        <v>0.10280675425218067</v>
      </c>
      <c r="G160" s="105">
        <f t="shared" si="91"/>
        <v>0.10269573964238909</v>
      </c>
      <c r="H160" s="105">
        <f t="shared" si="91"/>
        <v>0.1011365905778969</v>
      </c>
      <c r="I160" s="105">
        <f t="shared" si="91"/>
        <v>9.8947179966769064E-2</v>
      </c>
      <c r="J160" s="105">
        <f t="shared" si="91"/>
        <v>9.1891988749844999E-2</v>
      </c>
      <c r="K160" s="105">
        <f t="shared" si="91"/>
        <v>8.0996392975609399E-2</v>
      </c>
      <c r="L160" s="105">
        <f t="shared" ref="L160" si="92">IF(L42=0,0,L42/L$17)</f>
        <v>8.254120279668091E-2</v>
      </c>
      <c r="M160" s="105">
        <f t="shared" ref="M160:V160" si="93">IF(M42=0,0,M42/M$17)</f>
        <v>7.6326479663973365E-2</v>
      </c>
      <c r="N160" s="105">
        <f t="shared" si="93"/>
        <v>6.2741658669535363E-2</v>
      </c>
      <c r="O160" s="105">
        <f t="shared" si="93"/>
        <v>6.2606111775873025E-2</v>
      </c>
      <c r="P160" s="105">
        <f t="shared" si="93"/>
        <v>7.0047922408258093E-2</v>
      </c>
      <c r="Q160" s="105">
        <f t="shared" si="93"/>
        <v>5.9162399929876382E-2</v>
      </c>
      <c r="R160" s="105">
        <f t="shared" si="93"/>
        <v>7.9989325616351026E-2</v>
      </c>
      <c r="S160" s="105">
        <f t="shared" si="93"/>
        <v>8.8224907088310461E-2</v>
      </c>
      <c r="T160" s="105">
        <f t="shared" si="93"/>
        <v>9.5599446554588269E-2</v>
      </c>
      <c r="U160" s="105">
        <f t="shared" si="93"/>
        <v>9.2413730131222574E-2</v>
      </c>
      <c r="V160" s="105">
        <f t="shared" si="93"/>
        <v>9.4985501529702573E-2</v>
      </c>
      <c r="W160" s="105">
        <f t="shared" ref="W160:Y160" si="94">IF(W42=0,0,W42/W$17)</f>
        <v>9.5785162146307584E-2</v>
      </c>
      <c r="X160" s="105">
        <f t="shared" si="94"/>
        <v>9.7061618367969962E-2</v>
      </c>
      <c r="Y160" s="105">
        <f t="shared" si="94"/>
        <v>0.10199248960035787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2384364</v>
      </c>
      <c r="C3" s="54">
        <f>TrRoad_act!C57</f>
        <v>2419553</v>
      </c>
      <c r="D3" s="54">
        <f>TrRoad_act!D57</f>
        <v>2449909</v>
      </c>
      <c r="E3" s="54">
        <f>TrRoad_act!E57</f>
        <v>2472138</v>
      </c>
      <c r="F3" s="54">
        <f>TrRoad_act!F57</f>
        <v>2523216</v>
      </c>
      <c r="G3" s="54">
        <f>TrRoad_act!G57</f>
        <v>2616030</v>
      </c>
      <c r="H3" s="54">
        <f>TrRoad_act!H57</f>
        <v>2724787</v>
      </c>
      <c r="I3" s="54">
        <f>TrRoad_act!I57</f>
        <v>2814541</v>
      </c>
      <c r="J3" s="54">
        <f>TrRoad_act!J57</f>
        <v>2849275</v>
      </c>
      <c r="K3" s="54">
        <f>TrRoad_act!K57</f>
        <v>2847696</v>
      </c>
      <c r="L3" s="54">
        <f>TrRoad_act!L57</f>
        <v>2870057</v>
      </c>
      <c r="M3" s="54">
        <f>TrRoad_act!M57</f>
        <v>2884803</v>
      </c>
      <c r="N3" s="54">
        <f>TrRoad_act!N57</f>
        <v>2912330</v>
      </c>
      <c r="O3" s="54">
        <f>TrRoad_act!O57</f>
        <v>2937785</v>
      </c>
      <c r="P3" s="54">
        <f>TrRoad_act!P57</f>
        <v>2983624</v>
      </c>
      <c r="Q3" s="54">
        <f>TrRoad_act!Q57</f>
        <v>3021872</v>
      </c>
      <c r="R3" s="54">
        <f>TrRoad_act!R57</f>
        <v>3020808</v>
      </c>
      <c r="S3" s="54">
        <f>TrRoad_act!S57</f>
        <v>3135765</v>
      </c>
      <c r="T3" s="54">
        <f>TrRoad_act!T57</f>
        <v>3248167</v>
      </c>
      <c r="U3" s="54">
        <f>TrRoad_act!U57</f>
        <v>3296128</v>
      </c>
      <c r="V3" s="54">
        <f>TrRoad_act!V57</f>
        <v>3385541</v>
      </c>
      <c r="W3" s="54">
        <f>TrRoad_act!W57</f>
        <v>3496514</v>
      </c>
      <c r="X3" s="54">
        <f>TrRoad_act!X57</f>
        <v>3423014</v>
      </c>
      <c r="Y3" s="54">
        <f>TrRoad_act!Y57</f>
        <v>3440076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2006338</v>
      </c>
      <c r="C4" s="28">
        <f>TrRoad_act!C58</f>
        <v>2032950</v>
      </c>
      <c r="D4" s="28">
        <f>TrRoad_act!D58</f>
        <v>2053598</v>
      </c>
      <c r="E4" s="28">
        <f>TrRoad_act!E58</f>
        <v>2064891</v>
      </c>
      <c r="F4" s="28">
        <f>TrRoad_act!F58</f>
        <v>2092493</v>
      </c>
      <c r="G4" s="28">
        <f>TrRoad_act!G58</f>
        <v>2151381</v>
      </c>
      <c r="H4" s="28">
        <f>TrRoad_act!H58</f>
        <v>2219046</v>
      </c>
      <c r="I4" s="28">
        <f>TrRoad_act!I58</f>
        <v>2280676</v>
      </c>
      <c r="J4" s="28">
        <f>TrRoad_act!J58</f>
        <v>2318898</v>
      </c>
      <c r="K4" s="28">
        <f>TrRoad_act!K58</f>
        <v>2340695</v>
      </c>
      <c r="L4" s="28">
        <f>TrRoad_act!L58</f>
        <v>2383952</v>
      </c>
      <c r="M4" s="28">
        <f>TrRoad_act!M58</f>
        <v>2414111</v>
      </c>
      <c r="N4" s="28">
        <f>TrRoad_act!N58</f>
        <v>2451074</v>
      </c>
      <c r="O4" s="28">
        <f>TrRoad_act!O58</f>
        <v>2490322</v>
      </c>
      <c r="P4" s="28">
        <f>TrRoad_act!P58</f>
        <v>2541065</v>
      </c>
      <c r="Q4" s="28">
        <f>TrRoad_act!Q58</f>
        <v>2581495</v>
      </c>
      <c r="R4" s="28">
        <f>TrRoad_act!R58</f>
        <v>2577519</v>
      </c>
      <c r="S4" s="28">
        <f>TrRoad_act!S58</f>
        <v>2693335</v>
      </c>
      <c r="T4" s="28">
        <f>TrRoad_act!T58</f>
        <v>2812037</v>
      </c>
      <c r="U4" s="28">
        <f>TrRoad_act!U58</f>
        <v>2868844</v>
      </c>
      <c r="V4" s="28">
        <f>TrRoad_act!V58</f>
        <v>2961465</v>
      </c>
      <c r="W4" s="28">
        <f>TrRoad_act!W58</f>
        <v>3074293</v>
      </c>
      <c r="X4" s="28">
        <f>TrRoad_act!X58</f>
        <v>3008873</v>
      </c>
      <c r="Y4" s="28">
        <f>TrRoad_act!Y58</f>
        <v>3034578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138310</v>
      </c>
      <c r="C5" s="137">
        <f>TrRoad_act!C59</f>
        <v>146365</v>
      </c>
      <c r="D5" s="137">
        <f>TrRoad_act!D59</f>
        <v>151322</v>
      </c>
      <c r="E5" s="137">
        <f>TrRoad_act!E59</f>
        <v>155740</v>
      </c>
      <c r="F5" s="137">
        <f>TrRoad_act!F59</f>
        <v>162128</v>
      </c>
      <c r="G5" s="137">
        <f>TrRoad_act!G59</f>
        <v>171917</v>
      </c>
      <c r="H5" s="137">
        <f>TrRoad_act!H59</f>
        <v>184036</v>
      </c>
      <c r="I5" s="137">
        <f>TrRoad_act!I59</f>
        <v>197177</v>
      </c>
      <c r="J5" s="137">
        <f>TrRoad_act!J59</f>
        <v>204770</v>
      </c>
      <c r="K5" s="137">
        <f>TrRoad_act!K59</f>
        <v>205239</v>
      </c>
      <c r="L5" s="137">
        <f>TrRoad_act!L59</f>
        <v>203608</v>
      </c>
      <c r="M5" s="137">
        <f>TrRoad_act!M59</f>
        <v>200597</v>
      </c>
      <c r="N5" s="137">
        <f>TrRoad_act!N59</f>
        <v>199243</v>
      </c>
      <c r="O5" s="137">
        <f>TrRoad_act!O59</f>
        <v>198076</v>
      </c>
      <c r="P5" s="137">
        <f>TrRoad_act!P59</f>
        <v>197512</v>
      </c>
      <c r="Q5" s="137">
        <f>TrRoad_act!Q59</f>
        <v>198035</v>
      </c>
      <c r="R5" s="137">
        <f>TrRoad_act!R59</f>
        <v>197500</v>
      </c>
      <c r="S5" s="137">
        <f>TrRoad_act!S59</f>
        <v>198000</v>
      </c>
      <c r="T5" s="137">
        <f>TrRoad_act!T59</f>
        <v>199227</v>
      </c>
      <c r="U5" s="137">
        <f>TrRoad_act!U59</f>
        <v>194254</v>
      </c>
      <c r="V5" s="137">
        <f>TrRoad_act!V59</f>
        <v>195856</v>
      </c>
      <c r="W5" s="137">
        <f>TrRoad_act!W59</f>
        <v>196938</v>
      </c>
      <c r="X5" s="137">
        <f>TrRoad_act!X59</f>
        <v>196419</v>
      </c>
      <c r="Y5" s="137">
        <f>TrRoad_act!Y59</f>
        <v>195920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1854060</v>
      </c>
      <c r="C6" s="110">
        <f>TrRoad_act!C60</f>
        <v>1872631</v>
      </c>
      <c r="D6" s="110">
        <f>TrRoad_act!D60</f>
        <v>1888290</v>
      </c>
      <c r="E6" s="110">
        <f>TrRoad_act!E60</f>
        <v>1895019</v>
      </c>
      <c r="F6" s="110">
        <f>TrRoad_act!F60</f>
        <v>1916174</v>
      </c>
      <c r="G6" s="110">
        <f>TrRoad_act!G60</f>
        <v>1965062.0000000002</v>
      </c>
      <c r="H6" s="110">
        <f>TrRoad_act!H60</f>
        <v>2020457.9999999998</v>
      </c>
      <c r="I6" s="110">
        <f>TrRoad_act!I60</f>
        <v>2069016.9999999998</v>
      </c>
      <c r="J6" s="110">
        <f>TrRoad_act!J60</f>
        <v>2099676</v>
      </c>
      <c r="K6" s="110">
        <f>TrRoad_act!K60</f>
        <v>2120946</v>
      </c>
      <c r="L6" s="110">
        <f>TrRoad_act!L60</f>
        <v>2165848</v>
      </c>
      <c r="M6" s="110">
        <f>TrRoad_act!M60</f>
        <v>2199500</v>
      </c>
      <c r="N6" s="110">
        <f>TrRoad_act!N60</f>
        <v>2238346</v>
      </c>
      <c r="O6" s="110">
        <f>TrRoad_act!O60</f>
        <v>2278976</v>
      </c>
      <c r="P6" s="110">
        <f>TrRoad_act!P60</f>
        <v>2330145</v>
      </c>
      <c r="Q6" s="110">
        <f>TrRoad_act!Q60</f>
        <v>2370077</v>
      </c>
      <c r="R6" s="110">
        <f>TrRoad_act!R60</f>
        <v>2366642</v>
      </c>
      <c r="S6" s="110">
        <f>TrRoad_act!S60</f>
        <v>2481853</v>
      </c>
      <c r="T6" s="110">
        <f>TrRoad_act!T60</f>
        <v>2599652</v>
      </c>
      <c r="U6" s="110">
        <f>TrRoad_act!U60</f>
        <v>2661587</v>
      </c>
      <c r="V6" s="110">
        <f>TrRoad_act!V60</f>
        <v>2753311</v>
      </c>
      <c r="W6" s="110">
        <f>TrRoad_act!W60</f>
        <v>2865432</v>
      </c>
      <c r="X6" s="110">
        <f>TrRoad_act!X60</f>
        <v>2801077</v>
      </c>
      <c r="Y6" s="110">
        <f>TrRoad_act!Y60</f>
        <v>2827864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1730094</v>
      </c>
      <c r="C7" s="84">
        <f>TrRoad_act!C61</f>
        <v>1730499</v>
      </c>
      <c r="D7" s="84">
        <f>TrRoad_act!D61</f>
        <v>1731299</v>
      </c>
      <c r="E7" s="84">
        <f>TrRoad_act!E61</f>
        <v>1731699</v>
      </c>
      <c r="F7" s="84">
        <f>TrRoad_act!F61</f>
        <v>1731701</v>
      </c>
      <c r="G7" s="84">
        <f>TrRoad_act!G61</f>
        <v>1731953.0000000002</v>
      </c>
      <c r="H7" s="84">
        <f>TrRoad_act!H61</f>
        <v>1747295.9999999998</v>
      </c>
      <c r="I7" s="84">
        <f>TrRoad_act!I61</f>
        <v>1711180.9999999998</v>
      </c>
      <c r="J7" s="84">
        <f>TrRoad_act!J61</f>
        <v>1680820</v>
      </c>
      <c r="K7" s="84">
        <f>TrRoad_act!K61</f>
        <v>1654583</v>
      </c>
      <c r="L7" s="84">
        <f>TrRoad_act!L61</f>
        <v>1632782</v>
      </c>
      <c r="M7" s="84">
        <f>TrRoad_act!M61</f>
        <v>1612286</v>
      </c>
      <c r="N7" s="84">
        <f>TrRoad_act!N61</f>
        <v>1587898</v>
      </c>
      <c r="O7" s="84">
        <f>TrRoad_act!O61</f>
        <v>1563578</v>
      </c>
      <c r="P7" s="84">
        <f>TrRoad_act!P61</f>
        <v>1538209</v>
      </c>
      <c r="Q7" s="84">
        <f>TrRoad_act!Q61</f>
        <v>1496991</v>
      </c>
      <c r="R7" s="84">
        <f>TrRoad_act!R61</f>
        <v>1598307</v>
      </c>
      <c r="S7" s="84">
        <f>TrRoad_act!S61</f>
        <v>1683628</v>
      </c>
      <c r="T7" s="84">
        <f>TrRoad_act!T61</f>
        <v>1767014</v>
      </c>
      <c r="U7" s="84">
        <f>TrRoad_act!U61</f>
        <v>1809473</v>
      </c>
      <c r="V7" s="84">
        <f>TrRoad_act!V61</f>
        <v>1861080</v>
      </c>
      <c r="W7" s="84">
        <f>TrRoad_act!W61</f>
        <v>1918400</v>
      </c>
      <c r="X7" s="84">
        <f>TrRoad_act!X61</f>
        <v>1840957</v>
      </c>
      <c r="Y7" s="84">
        <f>TrRoad_act!Y61</f>
        <v>1811572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116561</v>
      </c>
      <c r="C8" s="84">
        <f>TrRoad_act!C62</f>
        <v>134693</v>
      </c>
      <c r="D8" s="84">
        <f>TrRoad_act!D62</f>
        <v>149921</v>
      </c>
      <c r="E8" s="84">
        <f>TrRoad_act!E62</f>
        <v>157150</v>
      </c>
      <c r="F8" s="84">
        <f>TrRoad_act!F62</f>
        <v>178770</v>
      </c>
      <c r="G8" s="84">
        <f>TrRoad_act!G62</f>
        <v>227940</v>
      </c>
      <c r="H8" s="84">
        <f>TrRoad_act!H62</f>
        <v>268503</v>
      </c>
      <c r="I8" s="84">
        <f>TrRoad_act!I62</f>
        <v>353639</v>
      </c>
      <c r="J8" s="84">
        <f>TrRoad_act!J62</f>
        <v>415308</v>
      </c>
      <c r="K8" s="84">
        <f>TrRoad_act!K62</f>
        <v>463634</v>
      </c>
      <c r="L8" s="84">
        <f>TrRoad_act!L62</f>
        <v>533015</v>
      </c>
      <c r="M8" s="84">
        <f>TrRoad_act!M62</f>
        <v>586748</v>
      </c>
      <c r="N8" s="84">
        <f>TrRoad_act!N62</f>
        <v>649478</v>
      </c>
      <c r="O8" s="84">
        <f>TrRoad_act!O62</f>
        <v>713920</v>
      </c>
      <c r="P8" s="84">
        <f>TrRoad_act!P62</f>
        <v>788825</v>
      </c>
      <c r="Q8" s="84">
        <f>TrRoad_act!Q62</f>
        <v>858072</v>
      </c>
      <c r="R8" s="84">
        <f>TrRoad_act!R62</f>
        <v>758786</v>
      </c>
      <c r="S8" s="84">
        <f>TrRoad_act!S62</f>
        <v>787395</v>
      </c>
      <c r="T8" s="84">
        <f>TrRoad_act!T62</f>
        <v>816905</v>
      </c>
      <c r="U8" s="84">
        <f>TrRoad_act!U62</f>
        <v>826925</v>
      </c>
      <c r="V8" s="84">
        <f>TrRoad_act!V62</f>
        <v>834388</v>
      </c>
      <c r="W8" s="84">
        <f>TrRoad_act!W62</f>
        <v>813999</v>
      </c>
      <c r="X8" s="84">
        <f>TrRoad_act!X62</f>
        <v>749434</v>
      </c>
      <c r="Y8" s="84">
        <f>TrRoad_act!Y62</f>
        <v>692248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7405</v>
      </c>
      <c r="C9" s="84">
        <f>TrRoad_act!C63</f>
        <v>7439</v>
      </c>
      <c r="D9" s="84">
        <f>TrRoad_act!D63</f>
        <v>7070</v>
      </c>
      <c r="E9" s="84">
        <f>TrRoad_act!E63</f>
        <v>6170</v>
      </c>
      <c r="F9" s="84">
        <f>TrRoad_act!F63</f>
        <v>5703</v>
      </c>
      <c r="G9" s="84">
        <f>TrRoad_act!G63</f>
        <v>5169</v>
      </c>
      <c r="H9" s="84">
        <f>TrRoad_act!H63</f>
        <v>4659</v>
      </c>
      <c r="I9" s="84">
        <f>TrRoad_act!I63</f>
        <v>4197</v>
      </c>
      <c r="J9" s="84">
        <f>TrRoad_act!J63</f>
        <v>3548</v>
      </c>
      <c r="K9" s="84">
        <f>TrRoad_act!K63</f>
        <v>2698</v>
      </c>
      <c r="L9" s="84">
        <f>TrRoad_act!L63</f>
        <v>0</v>
      </c>
      <c r="M9" s="84">
        <f>TrRoad_act!M63</f>
        <v>0</v>
      </c>
      <c r="N9" s="84">
        <f>TrRoad_act!N63</f>
        <v>0</v>
      </c>
      <c r="O9" s="84">
        <f>TrRoad_act!O63</f>
        <v>0</v>
      </c>
      <c r="P9" s="84">
        <f>TrRoad_act!P63</f>
        <v>0</v>
      </c>
      <c r="Q9" s="84">
        <f>TrRoad_act!Q63</f>
        <v>0</v>
      </c>
      <c r="R9" s="84">
        <f>TrRoad_act!R63</f>
        <v>0</v>
      </c>
      <c r="S9" s="84">
        <f>TrRoad_act!S63</f>
        <v>0</v>
      </c>
      <c r="T9" s="84">
        <f>TrRoad_act!T63</f>
        <v>0</v>
      </c>
      <c r="U9" s="84">
        <f>TrRoad_act!U63</f>
        <v>0</v>
      </c>
      <c r="V9" s="84">
        <f>TrRoad_act!V63</f>
        <v>0</v>
      </c>
      <c r="W9" s="84">
        <f>TrRoad_act!W63</f>
        <v>0</v>
      </c>
      <c r="X9" s="84">
        <f>TrRoad_act!X63</f>
        <v>0</v>
      </c>
      <c r="Y9" s="84">
        <f>TrRoad_act!Y63</f>
        <v>0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36</v>
      </c>
      <c r="R10" s="84">
        <f>TrRoad_act!R64</f>
        <v>93</v>
      </c>
      <c r="S10" s="84">
        <f>TrRoad_act!S64</f>
        <v>175</v>
      </c>
      <c r="T10" s="84">
        <f>TrRoad_act!T64</f>
        <v>309</v>
      </c>
      <c r="U10" s="84">
        <f>TrRoad_act!U64</f>
        <v>446</v>
      </c>
      <c r="V10" s="84">
        <f>TrRoad_act!V64</f>
        <v>578</v>
      </c>
      <c r="W10" s="84">
        <f>TrRoad_act!W64</f>
        <v>708</v>
      </c>
      <c r="X10" s="84">
        <f>TrRoad_act!X64</f>
        <v>832</v>
      </c>
      <c r="Y10" s="84">
        <f>TrRoad_act!Y64</f>
        <v>944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33</v>
      </c>
      <c r="O11" s="84">
        <f>TrRoad_act!O65</f>
        <v>44</v>
      </c>
      <c r="P11" s="84">
        <f>TrRoad_act!P65</f>
        <v>144</v>
      </c>
      <c r="Q11" s="84">
        <f>TrRoad_act!Q65</f>
        <v>7487</v>
      </c>
      <c r="R11" s="84">
        <f>TrRoad_act!R65</f>
        <v>770</v>
      </c>
      <c r="S11" s="84">
        <f>TrRoad_act!S65</f>
        <v>1223</v>
      </c>
      <c r="T11" s="84">
        <f>TrRoad_act!T65</f>
        <v>4526</v>
      </c>
      <c r="U11" s="84">
        <f>TrRoad_act!U65</f>
        <v>8412</v>
      </c>
      <c r="V11" s="84">
        <f>TrRoad_act!V65</f>
        <v>26749</v>
      </c>
      <c r="W11" s="84">
        <f>TrRoad_act!W65</f>
        <v>69205</v>
      </c>
      <c r="X11" s="84">
        <f>TrRoad_act!X65</f>
        <v>97180</v>
      </c>
      <c r="Y11" s="84">
        <f>TrRoad_act!Y65</f>
        <v>123000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31</v>
      </c>
      <c r="L12" s="84">
        <f>TrRoad_act!L66</f>
        <v>51</v>
      </c>
      <c r="M12" s="84">
        <f>TrRoad_act!M66</f>
        <v>466</v>
      </c>
      <c r="N12" s="84">
        <f>TrRoad_act!N66</f>
        <v>937</v>
      </c>
      <c r="O12" s="84">
        <f>TrRoad_act!O66</f>
        <v>1434</v>
      </c>
      <c r="P12" s="84">
        <f>TrRoad_act!P66</f>
        <v>2967</v>
      </c>
      <c r="Q12" s="84">
        <f>TrRoad_act!Q66</f>
        <v>7491</v>
      </c>
      <c r="R12" s="84">
        <f>TrRoad_act!R66</f>
        <v>8686</v>
      </c>
      <c r="S12" s="84">
        <f>TrRoad_act!S66</f>
        <v>9432</v>
      </c>
      <c r="T12" s="84">
        <f>TrRoad_act!T66</f>
        <v>10898</v>
      </c>
      <c r="U12" s="84">
        <f>TrRoad_act!U66</f>
        <v>16331</v>
      </c>
      <c r="V12" s="84">
        <f>TrRoad_act!V66</f>
        <v>30516</v>
      </c>
      <c r="W12" s="84">
        <f>TrRoad_act!W66</f>
        <v>63120</v>
      </c>
      <c r="X12" s="84">
        <f>TrRoad_act!X66</f>
        <v>112674</v>
      </c>
      <c r="Y12" s="84">
        <f>TrRoad_act!Y66</f>
        <v>200100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13968</v>
      </c>
      <c r="C13" s="110">
        <f>TrRoad_act!C67</f>
        <v>13954</v>
      </c>
      <c r="D13" s="110">
        <f>TrRoad_act!D67</f>
        <v>13986</v>
      </c>
      <c r="E13" s="110">
        <f>TrRoad_act!E67</f>
        <v>14132</v>
      </c>
      <c r="F13" s="110">
        <f>TrRoad_act!F67</f>
        <v>14191</v>
      </c>
      <c r="G13" s="110">
        <f>TrRoad_act!G67</f>
        <v>14402</v>
      </c>
      <c r="H13" s="110">
        <f>TrRoad_act!H67</f>
        <v>14552</v>
      </c>
      <c r="I13" s="110">
        <f>TrRoad_act!I67</f>
        <v>14482</v>
      </c>
      <c r="J13" s="110">
        <f>TrRoad_act!J67</f>
        <v>14452</v>
      </c>
      <c r="K13" s="110">
        <f>TrRoad_act!K67</f>
        <v>14510</v>
      </c>
      <c r="L13" s="110">
        <f>TrRoad_act!L67</f>
        <v>14496</v>
      </c>
      <c r="M13" s="110">
        <f>TrRoad_act!M67</f>
        <v>14014</v>
      </c>
      <c r="N13" s="110">
        <f>TrRoad_act!N67</f>
        <v>13485</v>
      </c>
      <c r="O13" s="110">
        <f>TrRoad_act!O67</f>
        <v>13270</v>
      </c>
      <c r="P13" s="110">
        <f>TrRoad_act!P67</f>
        <v>13408</v>
      </c>
      <c r="Q13" s="110">
        <f>TrRoad_act!Q67</f>
        <v>13383</v>
      </c>
      <c r="R13" s="110">
        <f>TrRoad_act!R67</f>
        <v>13377</v>
      </c>
      <c r="S13" s="110">
        <f>TrRoad_act!S67</f>
        <v>13482</v>
      </c>
      <c r="T13" s="110">
        <f>TrRoad_act!T67</f>
        <v>13158</v>
      </c>
      <c r="U13" s="110">
        <f>TrRoad_act!U67</f>
        <v>13003</v>
      </c>
      <c r="V13" s="110">
        <f>TrRoad_act!V67</f>
        <v>12298</v>
      </c>
      <c r="W13" s="110">
        <f>TrRoad_act!W67</f>
        <v>11923</v>
      </c>
      <c r="X13" s="110">
        <f>TrRoad_act!X67</f>
        <v>11377</v>
      </c>
      <c r="Y13" s="110">
        <f>TrRoad_act!Y67</f>
        <v>10794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1589</v>
      </c>
      <c r="C14" s="102">
        <f>TrRoad_act!C68</f>
        <v>1589</v>
      </c>
      <c r="D14" s="102">
        <f>TrRoad_act!D68</f>
        <v>1577</v>
      </c>
      <c r="E14" s="102">
        <f>TrRoad_act!E68</f>
        <v>1003</v>
      </c>
      <c r="F14" s="102">
        <f>TrRoad_act!F68</f>
        <v>825</v>
      </c>
      <c r="G14" s="102">
        <f>TrRoad_act!G68</f>
        <v>762</v>
      </c>
      <c r="H14" s="102">
        <f>TrRoad_act!H68</f>
        <v>747</v>
      </c>
      <c r="I14" s="102">
        <f>TrRoad_act!I68</f>
        <v>717</v>
      </c>
      <c r="J14" s="102">
        <f>TrRoad_act!J68</f>
        <v>699</v>
      </c>
      <c r="K14" s="102">
        <f>TrRoad_act!K68</f>
        <v>679</v>
      </c>
      <c r="L14" s="102">
        <f>TrRoad_act!L68</f>
        <v>657</v>
      </c>
      <c r="M14" s="102">
        <f>TrRoad_act!M68</f>
        <v>639</v>
      </c>
      <c r="N14" s="102">
        <f>TrRoad_act!N68</f>
        <v>622</v>
      </c>
      <c r="O14" s="102">
        <f>TrRoad_act!O68</f>
        <v>662</v>
      </c>
      <c r="P14" s="102">
        <f>TrRoad_act!P68</f>
        <v>595</v>
      </c>
      <c r="Q14" s="102">
        <f>TrRoad_act!Q68</f>
        <v>529</v>
      </c>
      <c r="R14" s="102">
        <f>TrRoad_act!R68</f>
        <v>478</v>
      </c>
      <c r="S14" s="102">
        <f>TrRoad_act!S68</f>
        <v>437</v>
      </c>
      <c r="T14" s="102">
        <f>TrRoad_act!T68</f>
        <v>396</v>
      </c>
      <c r="U14" s="102">
        <f>TrRoad_act!U68</f>
        <v>363</v>
      </c>
      <c r="V14" s="102">
        <f>TrRoad_act!V68</f>
        <v>328</v>
      </c>
      <c r="W14" s="102">
        <f>TrRoad_act!W68</f>
        <v>309</v>
      </c>
      <c r="X14" s="102">
        <f>TrRoad_act!X68</f>
        <v>297</v>
      </c>
      <c r="Y14" s="102">
        <f>TrRoad_act!Y68</f>
        <v>267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12379</v>
      </c>
      <c r="C15" s="102">
        <f>TrRoad_act!C69</f>
        <v>12365</v>
      </c>
      <c r="D15" s="102">
        <f>TrRoad_act!D69</f>
        <v>12409</v>
      </c>
      <c r="E15" s="102">
        <f>TrRoad_act!E69</f>
        <v>13129</v>
      </c>
      <c r="F15" s="102">
        <f>TrRoad_act!F69</f>
        <v>13366</v>
      </c>
      <c r="G15" s="102">
        <f>TrRoad_act!G69</f>
        <v>13640</v>
      </c>
      <c r="H15" s="102">
        <f>TrRoad_act!H69</f>
        <v>13805</v>
      </c>
      <c r="I15" s="102">
        <f>TrRoad_act!I69</f>
        <v>13765</v>
      </c>
      <c r="J15" s="102">
        <f>TrRoad_act!J69</f>
        <v>13753</v>
      </c>
      <c r="K15" s="102">
        <f>TrRoad_act!K69</f>
        <v>13831</v>
      </c>
      <c r="L15" s="102">
        <f>TrRoad_act!L69</f>
        <v>13839</v>
      </c>
      <c r="M15" s="102">
        <f>TrRoad_act!M69</f>
        <v>13375</v>
      </c>
      <c r="N15" s="102">
        <f>TrRoad_act!N69</f>
        <v>12863</v>
      </c>
      <c r="O15" s="102">
        <f>TrRoad_act!O69</f>
        <v>12608</v>
      </c>
      <c r="P15" s="102">
        <f>TrRoad_act!P69</f>
        <v>12813</v>
      </c>
      <c r="Q15" s="102">
        <f>TrRoad_act!Q69</f>
        <v>12821</v>
      </c>
      <c r="R15" s="102">
        <f>TrRoad_act!R69</f>
        <v>12820</v>
      </c>
      <c r="S15" s="102">
        <f>TrRoad_act!S69</f>
        <v>12883</v>
      </c>
      <c r="T15" s="102">
        <f>TrRoad_act!T69</f>
        <v>12598</v>
      </c>
      <c r="U15" s="102">
        <f>TrRoad_act!U69</f>
        <v>12386</v>
      </c>
      <c r="V15" s="102">
        <f>TrRoad_act!V69</f>
        <v>11724</v>
      </c>
      <c r="W15" s="102">
        <f>TrRoad_act!W69</f>
        <v>11123</v>
      </c>
      <c r="X15" s="102">
        <f>TrRoad_act!X69</f>
        <v>10187</v>
      </c>
      <c r="Y15" s="102">
        <f>TrRoad_act!Y69</f>
        <v>9007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X16" s="102">
        <f>TrRoad_act!X70</f>
        <v>0</v>
      </c>
      <c r="Y16" s="102">
        <f>TrRoad_act!Y70</f>
        <v>0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33</v>
      </c>
      <c r="R17" s="102">
        <f>TrRoad_act!R71</f>
        <v>73</v>
      </c>
      <c r="S17" s="102">
        <f>TrRoad_act!S71</f>
        <v>154</v>
      </c>
      <c r="T17" s="102">
        <f>TrRoad_act!T71</f>
        <v>154</v>
      </c>
      <c r="U17" s="102">
        <f>TrRoad_act!U71</f>
        <v>154</v>
      </c>
      <c r="V17" s="102">
        <f>TrRoad_act!V71</f>
        <v>154</v>
      </c>
      <c r="W17" s="102">
        <f>TrRoad_act!W71</f>
        <v>154</v>
      </c>
      <c r="X17" s="102">
        <f>TrRoad_act!X71</f>
        <v>154</v>
      </c>
      <c r="Y17" s="102">
        <f>TrRoad_act!Y71</f>
        <v>160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0</v>
      </c>
      <c r="Q18" s="102">
        <f>TrRoad_act!Q72</f>
        <v>0</v>
      </c>
      <c r="R18" s="102">
        <f>TrRoad_act!R72</f>
        <v>6</v>
      </c>
      <c r="S18" s="102">
        <f>TrRoad_act!S72</f>
        <v>8</v>
      </c>
      <c r="T18" s="102">
        <f>TrRoad_act!T72</f>
        <v>10</v>
      </c>
      <c r="U18" s="102">
        <f>TrRoad_act!U72</f>
        <v>100</v>
      </c>
      <c r="V18" s="102">
        <f>TrRoad_act!V72</f>
        <v>92</v>
      </c>
      <c r="W18" s="102">
        <f>TrRoad_act!W72</f>
        <v>337</v>
      </c>
      <c r="X18" s="102">
        <f>TrRoad_act!X72</f>
        <v>739</v>
      </c>
      <c r="Y18" s="102">
        <f>TrRoad_act!Y72</f>
        <v>1360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378026</v>
      </c>
      <c r="C19" s="28">
        <f>TrRoad_act!C73</f>
        <v>386603</v>
      </c>
      <c r="D19" s="28">
        <f>TrRoad_act!D73</f>
        <v>396311</v>
      </c>
      <c r="E19" s="28">
        <f>TrRoad_act!E73</f>
        <v>407247</v>
      </c>
      <c r="F19" s="28">
        <f>TrRoad_act!F73</f>
        <v>430723</v>
      </c>
      <c r="G19" s="28">
        <f>TrRoad_act!G73</f>
        <v>464649</v>
      </c>
      <c r="H19" s="28">
        <f>TrRoad_act!H73</f>
        <v>505741</v>
      </c>
      <c r="I19" s="28">
        <f>TrRoad_act!I73</f>
        <v>533865</v>
      </c>
      <c r="J19" s="28">
        <f>TrRoad_act!J73</f>
        <v>530377</v>
      </c>
      <c r="K19" s="28">
        <f>TrRoad_act!K73</f>
        <v>507001</v>
      </c>
      <c r="L19" s="28">
        <f>TrRoad_act!L73</f>
        <v>486105</v>
      </c>
      <c r="M19" s="28">
        <f>TrRoad_act!M73</f>
        <v>470692</v>
      </c>
      <c r="N19" s="28">
        <f>TrRoad_act!N73</f>
        <v>461256</v>
      </c>
      <c r="O19" s="28">
        <f>TrRoad_act!O73</f>
        <v>447463</v>
      </c>
      <c r="P19" s="28">
        <f>TrRoad_act!P73</f>
        <v>442559</v>
      </c>
      <c r="Q19" s="28">
        <f>TrRoad_act!Q73</f>
        <v>440377</v>
      </c>
      <c r="R19" s="28">
        <f>TrRoad_act!R73</f>
        <v>443289</v>
      </c>
      <c r="S19" s="28">
        <f>TrRoad_act!S73</f>
        <v>442430</v>
      </c>
      <c r="T19" s="28">
        <f>TrRoad_act!T73</f>
        <v>436130</v>
      </c>
      <c r="U19" s="28">
        <f>TrRoad_act!U73</f>
        <v>427284</v>
      </c>
      <c r="V19" s="28">
        <f>TrRoad_act!V73</f>
        <v>424076</v>
      </c>
      <c r="W19" s="28">
        <f>TrRoad_act!W73</f>
        <v>422221</v>
      </c>
      <c r="X19" s="28">
        <f>TrRoad_act!X73</f>
        <v>414141</v>
      </c>
      <c r="Y19" s="28">
        <f>TrRoad_act!Y73</f>
        <v>405498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338279</v>
      </c>
      <c r="C20" s="137">
        <f>TrRoad_act!C74</f>
        <v>345061</v>
      </c>
      <c r="D20" s="137">
        <f>TrRoad_act!D74</f>
        <v>353421</v>
      </c>
      <c r="E20" s="137">
        <f>TrRoad_act!E74</f>
        <v>363707</v>
      </c>
      <c r="F20" s="137">
        <f>TrRoad_act!F74</f>
        <v>385132</v>
      </c>
      <c r="G20" s="137">
        <f>TrRoad_act!G74</f>
        <v>413192</v>
      </c>
      <c r="H20" s="137">
        <f>TrRoad_act!H74</f>
        <v>452034</v>
      </c>
      <c r="I20" s="137">
        <f>TrRoad_act!I74</f>
        <v>474292</v>
      </c>
      <c r="J20" s="137">
        <f>TrRoad_act!J74</f>
        <v>470672</v>
      </c>
      <c r="K20" s="137">
        <f>TrRoad_act!K74</f>
        <v>452138</v>
      </c>
      <c r="L20" s="137">
        <f>TrRoad_act!L74</f>
        <v>431723</v>
      </c>
      <c r="M20" s="137">
        <f>TrRoad_act!M74</f>
        <v>417607</v>
      </c>
      <c r="N20" s="137">
        <f>TrRoad_act!N74</f>
        <v>408998</v>
      </c>
      <c r="O20" s="137">
        <f>TrRoad_act!O74</f>
        <v>395568</v>
      </c>
      <c r="P20" s="137">
        <f>TrRoad_act!P74</f>
        <v>391228</v>
      </c>
      <c r="Q20" s="137">
        <f>TrRoad_act!Q74</f>
        <v>395654</v>
      </c>
      <c r="R20" s="137">
        <f>TrRoad_act!R74</f>
        <v>397001</v>
      </c>
      <c r="S20" s="137">
        <f>TrRoad_act!S74</f>
        <v>395548</v>
      </c>
      <c r="T20" s="137">
        <f>TrRoad_act!T74</f>
        <v>389461</v>
      </c>
      <c r="U20" s="137">
        <f>TrRoad_act!U74</f>
        <v>380175</v>
      </c>
      <c r="V20" s="137">
        <f>TrRoad_act!V74</f>
        <v>376435</v>
      </c>
      <c r="W20" s="137">
        <f>TrRoad_act!W74</f>
        <v>373470</v>
      </c>
      <c r="X20" s="137">
        <f>TrRoad_act!X74</f>
        <v>364888</v>
      </c>
      <c r="Y20" s="137">
        <f>TrRoad_act!Y74</f>
        <v>356198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70493</v>
      </c>
      <c r="C21" s="84">
        <f>TrRoad_act!C75</f>
        <v>70493</v>
      </c>
      <c r="D21" s="84">
        <f>TrRoad_act!D75</f>
        <v>70493</v>
      </c>
      <c r="E21" s="84">
        <f>TrRoad_act!E75</f>
        <v>70495</v>
      </c>
      <c r="F21" s="84">
        <f>TrRoad_act!F75</f>
        <v>70511</v>
      </c>
      <c r="G21" s="84">
        <f>TrRoad_act!G75</f>
        <v>70672</v>
      </c>
      <c r="H21" s="84">
        <f>TrRoad_act!H75</f>
        <v>72306</v>
      </c>
      <c r="I21" s="84">
        <f>TrRoad_act!I75</f>
        <v>65680</v>
      </c>
      <c r="J21" s="84">
        <f>TrRoad_act!J75</f>
        <v>61322</v>
      </c>
      <c r="K21" s="84">
        <f>TrRoad_act!K75</f>
        <v>56777</v>
      </c>
      <c r="L21" s="84">
        <f>TrRoad_act!L75</f>
        <v>51196</v>
      </c>
      <c r="M21" s="84">
        <f>TrRoad_act!M75</f>
        <v>48160</v>
      </c>
      <c r="N21" s="84">
        <f>TrRoad_act!N75</f>
        <v>43922</v>
      </c>
      <c r="O21" s="84">
        <f>TrRoad_act!O75</f>
        <v>39684</v>
      </c>
      <c r="P21" s="84">
        <f>TrRoad_act!P75</f>
        <v>35446</v>
      </c>
      <c r="Q21" s="84">
        <f>TrRoad_act!Q75</f>
        <v>31403</v>
      </c>
      <c r="R21" s="84">
        <f>TrRoad_act!R75</f>
        <v>29854</v>
      </c>
      <c r="S21" s="84">
        <f>TrRoad_act!S75</f>
        <v>27980</v>
      </c>
      <c r="T21" s="84">
        <f>TrRoad_act!T75</f>
        <v>25922</v>
      </c>
      <c r="U21" s="84">
        <f>TrRoad_act!U75</f>
        <v>23952</v>
      </c>
      <c r="V21" s="84">
        <f>TrRoad_act!V75</f>
        <v>23040</v>
      </c>
      <c r="W21" s="84">
        <f>TrRoad_act!W75</f>
        <v>22470</v>
      </c>
      <c r="X21" s="84">
        <f>TrRoad_act!X75</f>
        <v>22019</v>
      </c>
      <c r="Y21" s="84">
        <f>TrRoad_act!Y75</f>
        <v>21436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267586</v>
      </c>
      <c r="C22" s="84">
        <f>TrRoad_act!C76</f>
        <v>274350</v>
      </c>
      <c r="D22" s="84">
        <f>TrRoad_act!D76</f>
        <v>282693</v>
      </c>
      <c r="E22" s="84">
        <f>TrRoad_act!E76</f>
        <v>293000</v>
      </c>
      <c r="F22" s="84">
        <f>TrRoad_act!F76</f>
        <v>314430</v>
      </c>
      <c r="G22" s="84">
        <f>TrRoad_act!G76</f>
        <v>342349</v>
      </c>
      <c r="H22" s="84">
        <f>TrRoad_act!H76</f>
        <v>379576</v>
      </c>
      <c r="I22" s="84">
        <f>TrRoad_act!I76</f>
        <v>408482</v>
      </c>
      <c r="J22" s="84">
        <f>TrRoad_act!J76</f>
        <v>409245</v>
      </c>
      <c r="K22" s="84">
        <f>TrRoad_act!K76</f>
        <v>395278</v>
      </c>
      <c r="L22" s="84">
        <f>TrRoad_act!L76</f>
        <v>380527</v>
      </c>
      <c r="M22" s="84">
        <f>TrRoad_act!M76</f>
        <v>369447</v>
      </c>
      <c r="N22" s="84">
        <f>TrRoad_act!N76</f>
        <v>365060</v>
      </c>
      <c r="O22" s="84">
        <f>TrRoad_act!O76</f>
        <v>355831</v>
      </c>
      <c r="P22" s="84">
        <f>TrRoad_act!P76</f>
        <v>355741</v>
      </c>
      <c r="Q22" s="84">
        <f>TrRoad_act!Q76</f>
        <v>363338</v>
      </c>
      <c r="R22" s="84">
        <f>TrRoad_act!R76</f>
        <v>366177</v>
      </c>
      <c r="S22" s="84">
        <f>TrRoad_act!S76</f>
        <v>366455</v>
      </c>
      <c r="T22" s="84">
        <f>TrRoad_act!T76</f>
        <v>362411</v>
      </c>
      <c r="U22" s="84">
        <f>TrRoad_act!U76</f>
        <v>354898</v>
      </c>
      <c r="V22" s="84">
        <f>TrRoad_act!V76</f>
        <v>351593</v>
      </c>
      <c r="W22" s="84">
        <f>TrRoad_act!W76</f>
        <v>347556</v>
      </c>
      <c r="X22" s="84">
        <f>TrRoad_act!X76</f>
        <v>337602</v>
      </c>
      <c r="Y22" s="84">
        <f>TrRoad_act!Y76</f>
        <v>327446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200</v>
      </c>
      <c r="C23" s="84">
        <f>TrRoad_act!C77</f>
        <v>218</v>
      </c>
      <c r="D23" s="84">
        <f>TrRoad_act!D77</f>
        <v>235</v>
      </c>
      <c r="E23" s="84">
        <f>TrRoad_act!E77</f>
        <v>212</v>
      </c>
      <c r="F23" s="84">
        <f>TrRoad_act!F77</f>
        <v>191</v>
      </c>
      <c r="G23" s="84">
        <f>TrRoad_act!G77</f>
        <v>171</v>
      </c>
      <c r="H23" s="84">
        <f>TrRoad_act!H77</f>
        <v>152</v>
      </c>
      <c r="I23" s="84">
        <f>TrRoad_act!I77</f>
        <v>130</v>
      </c>
      <c r="J23" s="84">
        <f>TrRoad_act!J77</f>
        <v>105</v>
      </c>
      <c r="K23" s="84">
        <f>TrRoad_act!K77</f>
        <v>83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X23" s="84">
        <f>TrRoad_act!X77</f>
        <v>0</v>
      </c>
      <c r="Y23" s="84">
        <f>TrRoad_act!Y77</f>
        <v>0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430</v>
      </c>
      <c r="R24" s="84">
        <f>TrRoad_act!R78</f>
        <v>450</v>
      </c>
      <c r="S24" s="84">
        <f>TrRoad_act!S78</f>
        <v>490</v>
      </c>
      <c r="T24" s="84">
        <f>TrRoad_act!T78</f>
        <v>486</v>
      </c>
      <c r="U24" s="84">
        <f>TrRoad_act!U78</f>
        <v>470</v>
      </c>
      <c r="V24" s="84">
        <f>TrRoad_act!V78</f>
        <v>452</v>
      </c>
      <c r="W24" s="84">
        <f>TrRoad_act!W78</f>
        <v>426</v>
      </c>
      <c r="X24" s="84">
        <f>TrRoad_act!X78</f>
        <v>396</v>
      </c>
      <c r="Y24" s="84">
        <f>TrRoad_act!Y78</f>
        <v>362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16</v>
      </c>
      <c r="O25" s="84">
        <f>TrRoad_act!O79</f>
        <v>53</v>
      </c>
      <c r="P25" s="84">
        <f>TrRoad_act!P79</f>
        <v>41</v>
      </c>
      <c r="Q25" s="84">
        <f>TrRoad_act!Q79</f>
        <v>483</v>
      </c>
      <c r="R25" s="84">
        <f>TrRoad_act!R79</f>
        <v>520</v>
      </c>
      <c r="S25" s="84">
        <f>TrRoad_act!S79</f>
        <v>623</v>
      </c>
      <c r="T25" s="84">
        <f>TrRoad_act!T79</f>
        <v>642</v>
      </c>
      <c r="U25" s="84">
        <f>TrRoad_act!U79</f>
        <v>855</v>
      </c>
      <c r="V25" s="84">
        <f>TrRoad_act!V79</f>
        <v>1350</v>
      </c>
      <c r="W25" s="84">
        <f>TrRoad_act!W79</f>
        <v>3018</v>
      </c>
      <c r="X25" s="84">
        <f>TrRoad_act!X79</f>
        <v>4871</v>
      </c>
      <c r="Y25" s="84">
        <f>TrRoad_act!Y79</f>
        <v>6954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39747</v>
      </c>
      <c r="C26" s="110">
        <f>TrRoad_act!C80</f>
        <v>41542</v>
      </c>
      <c r="D26" s="110">
        <f>TrRoad_act!D80</f>
        <v>42890</v>
      </c>
      <c r="E26" s="110">
        <f>TrRoad_act!E80</f>
        <v>43540</v>
      </c>
      <c r="F26" s="110">
        <f>TrRoad_act!F80</f>
        <v>45591</v>
      </c>
      <c r="G26" s="110">
        <f>TrRoad_act!G80</f>
        <v>51457</v>
      </c>
      <c r="H26" s="110">
        <f>TrRoad_act!H80</f>
        <v>53707</v>
      </c>
      <c r="I26" s="110">
        <f>TrRoad_act!I80</f>
        <v>59573</v>
      </c>
      <c r="J26" s="110">
        <f>TrRoad_act!J80</f>
        <v>59705</v>
      </c>
      <c r="K26" s="110">
        <f>TrRoad_act!K80</f>
        <v>54863</v>
      </c>
      <c r="L26" s="110">
        <f>TrRoad_act!L80</f>
        <v>54382</v>
      </c>
      <c r="M26" s="110">
        <f>TrRoad_act!M80</f>
        <v>53085</v>
      </c>
      <c r="N26" s="110">
        <f>TrRoad_act!N80</f>
        <v>52258</v>
      </c>
      <c r="O26" s="110">
        <f>TrRoad_act!O80</f>
        <v>51895</v>
      </c>
      <c r="P26" s="110">
        <f>TrRoad_act!P80</f>
        <v>51331</v>
      </c>
      <c r="Q26" s="110">
        <f>TrRoad_act!Q80</f>
        <v>44723</v>
      </c>
      <c r="R26" s="110">
        <f>TrRoad_act!R80</f>
        <v>46288</v>
      </c>
      <c r="S26" s="110">
        <f>TrRoad_act!S80</f>
        <v>46882</v>
      </c>
      <c r="T26" s="110">
        <f>TrRoad_act!T80</f>
        <v>46669</v>
      </c>
      <c r="U26" s="110">
        <f>TrRoad_act!U80</f>
        <v>47109</v>
      </c>
      <c r="V26" s="110">
        <f>TrRoad_act!V80</f>
        <v>47641</v>
      </c>
      <c r="W26" s="110">
        <f>TrRoad_act!W80</f>
        <v>48751</v>
      </c>
      <c r="X26" s="110">
        <f>TrRoad_act!X80</f>
        <v>49253</v>
      </c>
      <c r="Y26" s="110">
        <f>TrRoad_act!Y80</f>
        <v>49300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36335</v>
      </c>
      <c r="C27" s="102">
        <f>TrRoad_act!C81</f>
        <v>37884</v>
      </c>
      <c r="D27" s="102">
        <f>TrRoad_act!D81</f>
        <v>39041</v>
      </c>
      <c r="E27" s="102">
        <f>TrRoad_act!E81</f>
        <v>39606</v>
      </c>
      <c r="F27" s="102">
        <f>TrRoad_act!F81</f>
        <v>40940</v>
      </c>
      <c r="G27" s="102">
        <f>TrRoad_act!G81</f>
        <v>46643</v>
      </c>
      <c r="H27" s="102">
        <f>TrRoad_act!H81</f>
        <v>48532</v>
      </c>
      <c r="I27" s="102">
        <f>TrRoad_act!I81</f>
        <v>54082</v>
      </c>
      <c r="J27" s="102">
        <f>TrRoad_act!J81</f>
        <v>52775</v>
      </c>
      <c r="K27" s="102">
        <f>TrRoad_act!K81</f>
        <v>48940</v>
      </c>
      <c r="L27" s="102">
        <f>TrRoad_act!L81</f>
        <v>48847</v>
      </c>
      <c r="M27" s="102">
        <f>TrRoad_act!M81</f>
        <v>47746</v>
      </c>
      <c r="N27" s="102">
        <f>TrRoad_act!N81</f>
        <v>47014</v>
      </c>
      <c r="O27" s="102">
        <f>TrRoad_act!O81</f>
        <v>45990</v>
      </c>
      <c r="P27" s="102">
        <f>TrRoad_act!P81</f>
        <v>45860</v>
      </c>
      <c r="Q27" s="102">
        <f>TrRoad_act!Q81</f>
        <v>39182</v>
      </c>
      <c r="R27" s="102">
        <f>TrRoad_act!R81</f>
        <v>39903</v>
      </c>
      <c r="S27" s="102">
        <f>TrRoad_act!S81</f>
        <v>40354</v>
      </c>
      <c r="T27" s="102">
        <f>TrRoad_act!T81</f>
        <v>40655</v>
      </c>
      <c r="U27" s="102">
        <f>TrRoad_act!U81</f>
        <v>41005</v>
      </c>
      <c r="V27" s="102">
        <f>TrRoad_act!V81</f>
        <v>41019</v>
      </c>
      <c r="W27" s="102">
        <f>TrRoad_act!W81</f>
        <v>42100</v>
      </c>
      <c r="X27" s="102">
        <f>TrRoad_act!X81</f>
        <v>42442</v>
      </c>
      <c r="Y27" s="102">
        <f>TrRoad_act!Y81</f>
        <v>42908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3412</v>
      </c>
      <c r="C28" s="86">
        <f>TrRoad_act!C82</f>
        <v>3658</v>
      </c>
      <c r="D28" s="86">
        <f>TrRoad_act!D82</f>
        <v>3849</v>
      </c>
      <c r="E28" s="86">
        <f>TrRoad_act!E82</f>
        <v>3934</v>
      </c>
      <c r="F28" s="86">
        <f>TrRoad_act!F82</f>
        <v>4651</v>
      </c>
      <c r="G28" s="86">
        <f>TrRoad_act!G82</f>
        <v>4814</v>
      </c>
      <c r="H28" s="86">
        <f>TrRoad_act!H82</f>
        <v>5175</v>
      </c>
      <c r="I28" s="86">
        <f>TrRoad_act!I82</f>
        <v>5491</v>
      </c>
      <c r="J28" s="86">
        <f>TrRoad_act!J82</f>
        <v>6930</v>
      </c>
      <c r="K28" s="86">
        <f>TrRoad_act!K82</f>
        <v>5923</v>
      </c>
      <c r="L28" s="86">
        <f>TrRoad_act!L82</f>
        <v>5535</v>
      </c>
      <c r="M28" s="86">
        <f>TrRoad_act!M82</f>
        <v>5339</v>
      </c>
      <c r="N28" s="86">
        <f>TrRoad_act!N82</f>
        <v>5244</v>
      </c>
      <c r="O28" s="86">
        <f>TrRoad_act!O82</f>
        <v>5905</v>
      </c>
      <c r="P28" s="86">
        <f>TrRoad_act!P82</f>
        <v>5471</v>
      </c>
      <c r="Q28" s="86">
        <f>TrRoad_act!Q82</f>
        <v>5541</v>
      </c>
      <c r="R28" s="86">
        <f>TrRoad_act!R82</f>
        <v>6385</v>
      </c>
      <c r="S28" s="86">
        <f>TrRoad_act!S82</f>
        <v>6528</v>
      </c>
      <c r="T28" s="86">
        <f>TrRoad_act!T82</f>
        <v>6014</v>
      </c>
      <c r="U28" s="86">
        <f>TrRoad_act!U82</f>
        <v>6104</v>
      </c>
      <c r="V28" s="86">
        <f>TrRoad_act!V82</f>
        <v>6622</v>
      </c>
      <c r="W28" s="86">
        <f>TrRoad_act!W82</f>
        <v>6651</v>
      </c>
      <c r="X28" s="86">
        <f>TrRoad_act!X82</f>
        <v>6811</v>
      </c>
      <c r="Y28" s="86">
        <f>TrRoad_act!Y82</f>
        <v>6392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121644</v>
      </c>
      <c r="C30" s="54">
        <f>TrRoad_act!C111</f>
        <v>170949</v>
      </c>
      <c r="D30" s="54">
        <f>TrRoad_act!D111</f>
        <v>174968</v>
      </c>
      <c r="E30" s="54">
        <f>TrRoad_act!E111</f>
        <v>152815</v>
      </c>
      <c r="F30" s="54">
        <f>TrRoad_act!F111</f>
        <v>197792</v>
      </c>
      <c r="G30" s="54">
        <f>TrRoad_act!G111</f>
        <v>255292</v>
      </c>
      <c r="H30" s="54">
        <f>TrRoad_act!H111</f>
        <v>245121</v>
      </c>
      <c r="I30" s="54">
        <f>TrRoad_act!I111</f>
        <v>311405</v>
      </c>
      <c r="J30" s="54">
        <f>TrRoad_act!J111</f>
        <v>217123</v>
      </c>
      <c r="K30" s="54">
        <f>TrRoad_act!K111</f>
        <v>159911</v>
      </c>
      <c r="L30" s="54">
        <f>TrRoad_act!L111</f>
        <v>206993</v>
      </c>
      <c r="M30" s="54">
        <f>TrRoad_act!M111</f>
        <v>213948.00000000003</v>
      </c>
      <c r="N30" s="54">
        <f>TrRoad_act!N111</f>
        <v>235869</v>
      </c>
      <c r="O30" s="54">
        <f>TrRoad_act!O111</f>
        <v>245587.99999999997</v>
      </c>
      <c r="P30" s="54">
        <f>TrRoad_act!P111</f>
        <v>273756</v>
      </c>
      <c r="Q30" s="54">
        <f>TrRoad_act!Q111</f>
        <v>274965</v>
      </c>
      <c r="R30" s="54">
        <f>TrRoad_act!R111</f>
        <v>308859</v>
      </c>
      <c r="S30" s="54">
        <f>TrRoad_act!S111</f>
        <v>293920</v>
      </c>
      <c r="T30" s="54">
        <f>TrRoad_act!T111</f>
        <v>291766</v>
      </c>
      <c r="U30" s="54">
        <f>TrRoad_act!U111</f>
        <v>299758</v>
      </c>
      <c r="V30" s="54">
        <f>TrRoad_act!V111</f>
        <v>284671</v>
      </c>
      <c r="W30" s="54">
        <f>TrRoad_act!W111</f>
        <v>311677</v>
      </c>
      <c r="X30" s="54">
        <f>TrRoad_act!X111</f>
        <v>259170</v>
      </c>
      <c r="Y30" s="54">
        <f>TrRoad_act!Y111</f>
        <v>296807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121303</v>
      </c>
      <c r="C31" s="28">
        <f>TrRoad_act!C112</f>
        <v>119817</v>
      </c>
      <c r="D31" s="28">
        <f>TrRoad_act!D112</f>
        <v>121633</v>
      </c>
      <c r="E31" s="28">
        <f>TrRoad_act!E112</f>
        <v>100959</v>
      </c>
      <c r="F31" s="28">
        <f>TrRoad_act!F112</f>
        <v>136263</v>
      </c>
      <c r="G31" s="28">
        <f>TrRoad_act!G112</f>
        <v>187608</v>
      </c>
      <c r="H31" s="28">
        <f>TrRoad_act!H112</f>
        <v>171698</v>
      </c>
      <c r="I31" s="28">
        <f>TrRoad_act!I112</f>
        <v>247252</v>
      </c>
      <c r="J31" s="28">
        <f>TrRoad_act!J112</f>
        <v>177187</v>
      </c>
      <c r="K31" s="28">
        <f>TrRoad_act!K112</f>
        <v>130651.00000000001</v>
      </c>
      <c r="L31" s="28">
        <f>TrRoad_act!L112</f>
        <v>173736</v>
      </c>
      <c r="M31" s="28">
        <f>TrRoad_act!M112</f>
        <v>168501.00000000003</v>
      </c>
      <c r="N31" s="28">
        <f>TrRoad_act!N112</f>
        <v>180957</v>
      </c>
      <c r="O31" s="28">
        <f>TrRoad_act!O112</f>
        <v>194772.99999999997</v>
      </c>
      <c r="P31" s="28">
        <f>TrRoad_act!P112</f>
        <v>217983</v>
      </c>
      <c r="Q31" s="28">
        <f>TrRoad_act!Q112</f>
        <v>218465</v>
      </c>
      <c r="R31" s="28">
        <f>TrRoad_act!R112</f>
        <v>246611</v>
      </c>
      <c r="S31" s="28">
        <f>TrRoad_act!S112</f>
        <v>230393</v>
      </c>
      <c r="T31" s="28">
        <f>TrRoad_act!T112</f>
        <v>231151</v>
      </c>
      <c r="U31" s="28">
        <f>TrRoad_act!U112</f>
        <v>239455</v>
      </c>
      <c r="V31" s="28">
        <f>TrRoad_act!V112</f>
        <v>227388</v>
      </c>
      <c r="W31" s="28">
        <f>TrRoad_act!W112</f>
        <v>253077</v>
      </c>
      <c r="X31" s="28">
        <f>TrRoad_act!X112</f>
        <v>204459</v>
      </c>
      <c r="Y31" s="28">
        <f>TrRoad_act!Y112</f>
        <v>244259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6435</v>
      </c>
      <c r="C32" s="137">
        <f>TrRoad_act!C113</f>
        <v>19754</v>
      </c>
      <c r="D32" s="137">
        <f>TrRoad_act!D113</f>
        <v>13946</v>
      </c>
      <c r="E32" s="137">
        <f>TrRoad_act!E113</f>
        <v>13042</v>
      </c>
      <c r="F32" s="137">
        <f>TrRoad_act!F113</f>
        <v>17012</v>
      </c>
      <c r="G32" s="137">
        <f>TrRoad_act!G113</f>
        <v>23831</v>
      </c>
      <c r="H32" s="137">
        <f>TrRoad_act!H113</f>
        <v>28661</v>
      </c>
      <c r="I32" s="137">
        <f>TrRoad_act!I113</f>
        <v>31009</v>
      </c>
      <c r="J32" s="137">
        <f>TrRoad_act!J113</f>
        <v>20574</v>
      </c>
      <c r="K32" s="137">
        <f>TrRoad_act!K113</f>
        <v>7299</v>
      </c>
      <c r="L32" s="137">
        <f>TrRoad_act!L113</f>
        <v>5146</v>
      </c>
      <c r="M32" s="137">
        <f>TrRoad_act!M113</f>
        <v>3830</v>
      </c>
      <c r="N32" s="137">
        <f>TrRoad_act!N113</f>
        <v>3335</v>
      </c>
      <c r="O32" s="137">
        <f>TrRoad_act!O113</f>
        <v>3553</v>
      </c>
      <c r="P32" s="137">
        <f>TrRoad_act!P113</f>
        <v>4694</v>
      </c>
      <c r="Q32" s="137">
        <f>TrRoad_act!Q113</f>
        <v>6798</v>
      </c>
      <c r="R32" s="137">
        <f>TrRoad_act!R113</f>
        <v>5825</v>
      </c>
      <c r="S32" s="137">
        <f>TrRoad_act!S113</f>
        <v>6753</v>
      </c>
      <c r="T32" s="137">
        <f>TrRoad_act!T113</f>
        <v>8184</v>
      </c>
      <c r="U32" s="137">
        <f>TrRoad_act!U113</f>
        <v>7980</v>
      </c>
      <c r="V32" s="137">
        <f>TrRoad_act!V113</f>
        <v>8046</v>
      </c>
      <c r="W32" s="137">
        <f>TrRoad_act!W113</f>
        <v>8090</v>
      </c>
      <c r="X32" s="137">
        <f>TrRoad_act!X113</f>
        <v>6168</v>
      </c>
      <c r="Y32" s="137">
        <f>TrRoad_act!Y113</f>
        <v>5238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113631</v>
      </c>
      <c r="C33" s="110">
        <f>TrRoad_act!C114</f>
        <v>99005</v>
      </c>
      <c r="D33" s="110">
        <f>TrRoad_act!D114</f>
        <v>106422</v>
      </c>
      <c r="E33" s="110">
        <f>TrRoad_act!E114</f>
        <v>86697</v>
      </c>
      <c r="F33" s="110">
        <f>TrRoad_act!F114</f>
        <v>117494</v>
      </c>
      <c r="G33" s="110">
        <f>TrRoad_act!G114</f>
        <v>161334</v>
      </c>
      <c r="H33" s="110">
        <f>TrRoad_act!H114</f>
        <v>139849</v>
      </c>
      <c r="I33" s="110">
        <f>TrRoad_act!I114</f>
        <v>212331</v>
      </c>
      <c r="J33" s="110">
        <f>TrRoad_act!J114</f>
        <v>155422</v>
      </c>
      <c r="K33" s="110">
        <f>TrRoad_act!K114</f>
        <v>122240.00000000001</v>
      </c>
      <c r="L33" s="110">
        <f>TrRoad_act!L114</f>
        <v>167586</v>
      </c>
      <c r="M33" s="110">
        <f>TrRoad_act!M114</f>
        <v>163869.00000000003</v>
      </c>
      <c r="N33" s="110">
        <f>TrRoad_act!N114</f>
        <v>176858</v>
      </c>
      <c r="O33" s="110">
        <f>TrRoad_act!O114</f>
        <v>190603.99999999997</v>
      </c>
      <c r="P33" s="110">
        <f>TrRoad_act!P114</f>
        <v>212491</v>
      </c>
      <c r="Q33" s="110">
        <f>TrRoad_act!Q114</f>
        <v>210832</v>
      </c>
      <c r="R33" s="110">
        <f>TrRoad_act!R114</f>
        <v>239747</v>
      </c>
      <c r="S33" s="110">
        <f>TrRoad_act!S114</f>
        <v>222347</v>
      </c>
      <c r="T33" s="110">
        <f>TrRoad_act!T114</f>
        <v>222205</v>
      </c>
      <c r="U33" s="110">
        <f>TrRoad_act!U114</f>
        <v>230591</v>
      </c>
      <c r="V33" s="110">
        <f>TrRoad_act!V114</f>
        <v>218902</v>
      </c>
      <c r="W33" s="110">
        <f>TrRoad_act!W114</f>
        <v>244241</v>
      </c>
      <c r="X33" s="110">
        <f>TrRoad_act!X114</f>
        <v>197577</v>
      </c>
      <c r="Y33" s="110">
        <f>TrRoad_act!Y114</f>
        <v>238390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79476</v>
      </c>
      <c r="C34" s="84">
        <f>TrRoad_act!C115</f>
        <v>68759</v>
      </c>
      <c r="D34" s="84">
        <f>TrRoad_act!D115</f>
        <v>79538</v>
      </c>
      <c r="E34" s="84">
        <f>TrRoad_act!E115</f>
        <v>67812</v>
      </c>
      <c r="F34" s="84">
        <f>TrRoad_act!F115</f>
        <v>84994</v>
      </c>
      <c r="G34" s="84">
        <f>TrRoad_act!G115</f>
        <v>102028</v>
      </c>
      <c r="H34" s="84">
        <f>TrRoad_act!H115</f>
        <v>89639</v>
      </c>
      <c r="I34" s="84">
        <f>TrRoad_act!I115</f>
        <v>117219</v>
      </c>
      <c r="J34" s="84">
        <f>TrRoad_act!J115</f>
        <v>82188</v>
      </c>
      <c r="K34" s="84">
        <f>TrRoad_act!K115</f>
        <v>59670.000000000015</v>
      </c>
      <c r="L34" s="84">
        <f>TrRoad_act!L115</f>
        <v>80630</v>
      </c>
      <c r="M34" s="84">
        <f>TrRoad_act!M115</f>
        <v>88018.000000000029</v>
      </c>
      <c r="N34" s="84">
        <f>TrRoad_act!N115</f>
        <v>86591</v>
      </c>
      <c r="O34" s="84">
        <f>TrRoad_act!O115</f>
        <v>91853.999999999971</v>
      </c>
      <c r="P34" s="84">
        <f>TrRoad_act!P115</f>
        <v>94435</v>
      </c>
      <c r="Q34" s="84">
        <f>TrRoad_act!Q115</f>
        <v>80469</v>
      </c>
      <c r="R34" s="84">
        <f>TrRoad_act!R115</f>
        <v>157597</v>
      </c>
      <c r="S34" s="84">
        <f>TrRoad_act!S115</f>
        <v>143286</v>
      </c>
      <c r="T34" s="84">
        <f>TrRoad_act!T115</f>
        <v>144700</v>
      </c>
      <c r="U34" s="84">
        <f>TrRoad_act!U115</f>
        <v>160422</v>
      </c>
      <c r="V34" s="84">
        <f>TrRoad_act!V115</f>
        <v>139828</v>
      </c>
      <c r="W34" s="84">
        <f>TrRoad_act!W115</f>
        <v>142218</v>
      </c>
      <c r="X34" s="84">
        <f>TrRoad_act!X115</f>
        <v>98141</v>
      </c>
      <c r="Y34" s="84">
        <f>TrRoad_act!Y115</f>
        <v>103149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34155</v>
      </c>
      <c r="C35" s="84">
        <f>TrRoad_act!C116</f>
        <v>29788</v>
      </c>
      <c r="D35" s="84">
        <f>TrRoad_act!D116</f>
        <v>26884</v>
      </c>
      <c r="E35" s="84">
        <f>TrRoad_act!E116</f>
        <v>18885</v>
      </c>
      <c r="F35" s="84">
        <f>TrRoad_act!F116</f>
        <v>32500</v>
      </c>
      <c r="G35" s="84">
        <f>TrRoad_act!G116</f>
        <v>59306</v>
      </c>
      <c r="H35" s="84">
        <f>TrRoad_act!H116</f>
        <v>50210</v>
      </c>
      <c r="I35" s="84">
        <f>TrRoad_act!I116</f>
        <v>95112</v>
      </c>
      <c r="J35" s="84">
        <f>TrRoad_act!J116</f>
        <v>73234</v>
      </c>
      <c r="K35" s="84">
        <f>TrRoad_act!K116</f>
        <v>62539</v>
      </c>
      <c r="L35" s="84">
        <f>TrRoad_act!L116</f>
        <v>86936</v>
      </c>
      <c r="M35" s="84">
        <f>TrRoad_act!M116</f>
        <v>75436</v>
      </c>
      <c r="N35" s="84">
        <f>TrRoad_act!N116</f>
        <v>89762</v>
      </c>
      <c r="O35" s="84">
        <f>TrRoad_act!O116</f>
        <v>98206</v>
      </c>
      <c r="P35" s="84">
        <f>TrRoad_act!P116</f>
        <v>116387</v>
      </c>
      <c r="Q35" s="84">
        <f>TrRoad_act!Q116</f>
        <v>118311</v>
      </c>
      <c r="R35" s="84">
        <f>TrRoad_act!R116</f>
        <v>80225</v>
      </c>
      <c r="S35" s="84">
        <f>TrRoad_act!S116</f>
        <v>77498</v>
      </c>
      <c r="T35" s="84">
        <f>TrRoad_act!T116</f>
        <v>72492</v>
      </c>
      <c r="U35" s="84">
        <f>TrRoad_act!U116</f>
        <v>60601</v>
      </c>
      <c r="V35" s="84">
        <f>TrRoad_act!V116</f>
        <v>46295</v>
      </c>
      <c r="W35" s="84">
        <f>TrRoad_act!W116</f>
        <v>26648</v>
      </c>
      <c r="X35" s="84">
        <f>TrRoad_act!X116</f>
        <v>21478</v>
      </c>
      <c r="Y35" s="84">
        <f>TrRoad_act!Y116</f>
        <v>21365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458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0</v>
      </c>
      <c r="M36" s="84">
        <f>TrRoad_act!M117</f>
        <v>0</v>
      </c>
      <c r="N36" s="84">
        <f>TrRoad_act!N117</f>
        <v>0</v>
      </c>
      <c r="O36" s="84">
        <f>TrRoad_act!O117</f>
        <v>0</v>
      </c>
      <c r="P36" s="84">
        <f>TrRoad_act!P117</f>
        <v>0</v>
      </c>
      <c r="Q36" s="84">
        <f>TrRoad_act!Q117</f>
        <v>0</v>
      </c>
      <c r="R36" s="84">
        <f>TrRoad_act!R117</f>
        <v>0</v>
      </c>
      <c r="S36" s="84">
        <f>TrRoad_act!S117</f>
        <v>0</v>
      </c>
      <c r="T36" s="84">
        <f>TrRoad_act!T117</f>
        <v>0</v>
      </c>
      <c r="U36" s="84">
        <f>TrRoad_act!U117</f>
        <v>0</v>
      </c>
      <c r="V36" s="84">
        <f>TrRoad_act!V117</f>
        <v>0</v>
      </c>
      <c r="W36" s="84">
        <f>TrRoad_act!W117</f>
        <v>0</v>
      </c>
      <c r="X36" s="84">
        <f>TrRoad_act!X117</f>
        <v>0</v>
      </c>
      <c r="Y36" s="84">
        <f>TrRoad_act!Y117</f>
        <v>0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36</v>
      </c>
      <c r="R37" s="84">
        <f>TrRoad_act!R118</f>
        <v>93</v>
      </c>
      <c r="S37" s="84">
        <f>TrRoad_act!S118</f>
        <v>175</v>
      </c>
      <c r="T37" s="84">
        <f>TrRoad_act!T118</f>
        <v>141</v>
      </c>
      <c r="U37" s="84">
        <f>TrRoad_act!U118</f>
        <v>144</v>
      </c>
      <c r="V37" s="84">
        <f>TrRoad_act!V118</f>
        <v>139</v>
      </c>
      <c r="W37" s="84">
        <f>TrRoad_act!W118</f>
        <v>137</v>
      </c>
      <c r="X37" s="84">
        <f>TrRoad_act!X118</f>
        <v>130</v>
      </c>
      <c r="Y37" s="84">
        <f>TrRoad_act!Y118</f>
        <v>118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33</v>
      </c>
      <c r="O38" s="84">
        <f>TrRoad_act!O119</f>
        <v>11</v>
      </c>
      <c r="P38" s="84">
        <f>TrRoad_act!P119</f>
        <v>100</v>
      </c>
      <c r="Q38" s="84">
        <f>TrRoad_act!Q119</f>
        <v>7487</v>
      </c>
      <c r="R38" s="84">
        <f>TrRoad_act!R119</f>
        <v>567</v>
      </c>
      <c r="S38" s="84">
        <f>TrRoad_act!S119</f>
        <v>620</v>
      </c>
      <c r="T38" s="84">
        <f>TrRoad_act!T119</f>
        <v>3328</v>
      </c>
      <c r="U38" s="84">
        <f>TrRoad_act!U119</f>
        <v>3923</v>
      </c>
      <c r="V38" s="84">
        <f>TrRoad_act!V119</f>
        <v>18392</v>
      </c>
      <c r="W38" s="84">
        <f>TrRoad_act!W119</f>
        <v>42542</v>
      </c>
      <c r="X38" s="84">
        <f>TrRoad_act!X119</f>
        <v>28127</v>
      </c>
      <c r="Y38" s="84">
        <f>TrRoad_act!Y119</f>
        <v>26080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31</v>
      </c>
      <c r="L39" s="84">
        <f>TrRoad_act!L120</f>
        <v>20</v>
      </c>
      <c r="M39" s="84">
        <f>TrRoad_act!M120</f>
        <v>415</v>
      </c>
      <c r="N39" s="84">
        <f>TrRoad_act!N120</f>
        <v>472</v>
      </c>
      <c r="O39" s="84">
        <f>TrRoad_act!O120</f>
        <v>533</v>
      </c>
      <c r="P39" s="84">
        <f>TrRoad_act!P120</f>
        <v>1569</v>
      </c>
      <c r="Q39" s="84">
        <f>TrRoad_act!Q120</f>
        <v>4529</v>
      </c>
      <c r="R39" s="84">
        <f>TrRoad_act!R120</f>
        <v>1265</v>
      </c>
      <c r="S39" s="84">
        <f>TrRoad_act!S120</f>
        <v>768</v>
      </c>
      <c r="T39" s="84">
        <f>TrRoad_act!T120</f>
        <v>1544</v>
      </c>
      <c r="U39" s="84">
        <f>TrRoad_act!U120</f>
        <v>5501</v>
      </c>
      <c r="V39" s="84">
        <f>TrRoad_act!V120</f>
        <v>14248</v>
      </c>
      <c r="W39" s="84">
        <f>TrRoad_act!W120</f>
        <v>32696</v>
      </c>
      <c r="X39" s="84">
        <f>TrRoad_act!X120</f>
        <v>49701</v>
      </c>
      <c r="Y39" s="84">
        <f>TrRoad_act!Y120</f>
        <v>87678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1237</v>
      </c>
      <c r="C40" s="110">
        <f>TrRoad_act!C121</f>
        <v>1058</v>
      </c>
      <c r="D40" s="110">
        <f>TrRoad_act!D121</f>
        <v>1265</v>
      </c>
      <c r="E40" s="110">
        <f>TrRoad_act!E121</f>
        <v>1220</v>
      </c>
      <c r="F40" s="110">
        <f>TrRoad_act!F121</f>
        <v>1757</v>
      </c>
      <c r="G40" s="110">
        <f>TrRoad_act!G121</f>
        <v>2443</v>
      </c>
      <c r="H40" s="110">
        <f>TrRoad_act!H121</f>
        <v>3188</v>
      </c>
      <c r="I40" s="110">
        <f>TrRoad_act!I121</f>
        <v>3912</v>
      </c>
      <c r="J40" s="110">
        <f>TrRoad_act!J121</f>
        <v>1191</v>
      </c>
      <c r="K40" s="110">
        <f>TrRoad_act!K121</f>
        <v>1112</v>
      </c>
      <c r="L40" s="110">
        <f>TrRoad_act!L121</f>
        <v>1004</v>
      </c>
      <c r="M40" s="110">
        <f>TrRoad_act!M121</f>
        <v>802</v>
      </c>
      <c r="N40" s="110">
        <f>TrRoad_act!N121</f>
        <v>764</v>
      </c>
      <c r="O40" s="110">
        <f>TrRoad_act!O121</f>
        <v>616</v>
      </c>
      <c r="P40" s="110">
        <f>TrRoad_act!P121</f>
        <v>798</v>
      </c>
      <c r="Q40" s="110">
        <f>TrRoad_act!Q121</f>
        <v>835</v>
      </c>
      <c r="R40" s="110">
        <f>TrRoad_act!R121</f>
        <v>1039</v>
      </c>
      <c r="S40" s="110">
        <f>TrRoad_act!S121</f>
        <v>1293</v>
      </c>
      <c r="T40" s="110">
        <f>TrRoad_act!T121</f>
        <v>762</v>
      </c>
      <c r="U40" s="110">
        <f>TrRoad_act!U121</f>
        <v>884</v>
      </c>
      <c r="V40" s="110">
        <f>TrRoad_act!V121</f>
        <v>440</v>
      </c>
      <c r="W40" s="110">
        <f>TrRoad_act!W121</f>
        <v>746</v>
      </c>
      <c r="X40" s="110">
        <f>TrRoad_act!X121</f>
        <v>714</v>
      </c>
      <c r="Y40" s="110">
        <f>TrRoad_act!Y121</f>
        <v>631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90</v>
      </c>
      <c r="H41" s="102">
        <f>TrRoad_act!H122</f>
        <v>126</v>
      </c>
      <c r="I41" s="102">
        <f>TrRoad_act!I122</f>
        <v>99</v>
      </c>
      <c r="J41" s="102">
        <f>TrRoad_act!J122</f>
        <v>90</v>
      </c>
      <c r="K41" s="102">
        <f>TrRoad_act!K122</f>
        <v>72</v>
      </c>
      <c r="L41" s="102">
        <f>TrRoad_act!L122</f>
        <v>54</v>
      </c>
      <c r="M41" s="102">
        <f>TrRoad_act!M122</f>
        <v>45</v>
      </c>
      <c r="N41" s="102">
        <f>TrRoad_act!N122</f>
        <v>36</v>
      </c>
      <c r="O41" s="102">
        <f>TrRoad_act!O122</f>
        <v>40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1237</v>
      </c>
      <c r="C42" s="102">
        <f>TrRoad_act!C123</f>
        <v>1058</v>
      </c>
      <c r="D42" s="102">
        <f>TrRoad_act!D123</f>
        <v>1265</v>
      </c>
      <c r="E42" s="102">
        <f>TrRoad_act!E123</f>
        <v>1220</v>
      </c>
      <c r="F42" s="102">
        <f>TrRoad_act!F123</f>
        <v>1757</v>
      </c>
      <c r="G42" s="102">
        <f>TrRoad_act!G123</f>
        <v>2353</v>
      </c>
      <c r="H42" s="102">
        <f>TrRoad_act!H123</f>
        <v>3062</v>
      </c>
      <c r="I42" s="102">
        <f>TrRoad_act!I123</f>
        <v>3813</v>
      </c>
      <c r="J42" s="102">
        <f>TrRoad_act!J123</f>
        <v>1101</v>
      </c>
      <c r="K42" s="102">
        <f>TrRoad_act!K123</f>
        <v>1040</v>
      </c>
      <c r="L42" s="102">
        <f>TrRoad_act!L123</f>
        <v>950</v>
      </c>
      <c r="M42" s="102">
        <f>TrRoad_act!M123</f>
        <v>757</v>
      </c>
      <c r="N42" s="102">
        <f>TrRoad_act!N123</f>
        <v>728</v>
      </c>
      <c r="O42" s="102">
        <f>TrRoad_act!O123</f>
        <v>576</v>
      </c>
      <c r="P42" s="102">
        <f>TrRoad_act!P123</f>
        <v>798</v>
      </c>
      <c r="Q42" s="102">
        <f>TrRoad_act!Q123</f>
        <v>802</v>
      </c>
      <c r="R42" s="102">
        <f>TrRoad_act!R123</f>
        <v>993</v>
      </c>
      <c r="S42" s="102">
        <f>TrRoad_act!S123</f>
        <v>1210</v>
      </c>
      <c r="T42" s="102">
        <f>TrRoad_act!T123</f>
        <v>760</v>
      </c>
      <c r="U42" s="102">
        <f>TrRoad_act!U123</f>
        <v>783</v>
      </c>
      <c r="V42" s="102">
        <f>TrRoad_act!V123</f>
        <v>436</v>
      </c>
      <c r="W42" s="102">
        <f>TrRoad_act!W123</f>
        <v>500</v>
      </c>
      <c r="X42" s="102">
        <f>TrRoad_act!X123</f>
        <v>309</v>
      </c>
      <c r="Y42" s="102">
        <f>TrRoad_act!Y123</f>
        <v>0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33</v>
      </c>
      <c r="R44" s="102">
        <f>TrRoad_act!R125</f>
        <v>40</v>
      </c>
      <c r="S44" s="102">
        <f>TrRoad_act!S125</f>
        <v>81</v>
      </c>
      <c r="T44" s="102">
        <f>TrRoad_act!T125</f>
        <v>0</v>
      </c>
      <c r="U44" s="102">
        <f>TrRoad_act!U125</f>
        <v>1</v>
      </c>
      <c r="V44" s="102">
        <f>TrRoad_act!V125</f>
        <v>1</v>
      </c>
      <c r="W44" s="102">
        <f>TrRoad_act!W125</f>
        <v>1</v>
      </c>
      <c r="X44" s="102">
        <f>TrRoad_act!X125</f>
        <v>2</v>
      </c>
      <c r="Y44" s="102">
        <f>TrRoad_act!Y125</f>
        <v>8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6</v>
      </c>
      <c r="S45" s="102">
        <f>TrRoad_act!S126</f>
        <v>2</v>
      </c>
      <c r="T45" s="102">
        <f>TrRoad_act!T126</f>
        <v>2</v>
      </c>
      <c r="U45" s="102">
        <f>TrRoad_act!U126</f>
        <v>100</v>
      </c>
      <c r="V45" s="102">
        <f>TrRoad_act!V126</f>
        <v>3</v>
      </c>
      <c r="W45" s="102">
        <f>TrRoad_act!W126</f>
        <v>245</v>
      </c>
      <c r="X45" s="102">
        <f>TrRoad_act!X126</f>
        <v>403</v>
      </c>
      <c r="Y45" s="102">
        <f>TrRoad_act!Y126</f>
        <v>623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341</v>
      </c>
      <c r="C46" s="28">
        <f>TrRoad_act!C127</f>
        <v>51132</v>
      </c>
      <c r="D46" s="28">
        <f>TrRoad_act!D127</f>
        <v>53335</v>
      </c>
      <c r="E46" s="28">
        <f>TrRoad_act!E127</f>
        <v>51856</v>
      </c>
      <c r="F46" s="28">
        <f>TrRoad_act!F127</f>
        <v>61529</v>
      </c>
      <c r="G46" s="28">
        <f>TrRoad_act!G127</f>
        <v>67684</v>
      </c>
      <c r="H46" s="28">
        <f>TrRoad_act!H127</f>
        <v>73423</v>
      </c>
      <c r="I46" s="28">
        <f>TrRoad_act!I127</f>
        <v>64153</v>
      </c>
      <c r="J46" s="28">
        <f>TrRoad_act!J127</f>
        <v>39936</v>
      </c>
      <c r="K46" s="28">
        <f>TrRoad_act!K127</f>
        <v>29260</v>
      </c>
      <c r="L46" s="28">
        <f>TrRoad_act!L127</f>
        <v>33257</v>
      </c>
      <c r="M46" s="28">
        <f>TrRoad_act!M127</f>
        <v>45447</v>
      </c>
      <c r="N46" s="28">
        <f>TrRoad_act!N127</f>
        <v>54912</v>
      </c>
      <c r="O46" s="28">
        <f>TrRoad_act!O127</f>
        <v>50815</v>
      </c>
      <c r="P46" s="28">
        <f>TrRoad_act!P127</f>
        <v>55773</v>
      </c>
      <c r="Q46" s="28">
        <f>TrRoad_act!Q127</f>
        <v>56500</v>
      </c>
      <c r="R46" s="28">
        <f>TrRoad_act!R127</f>
        <v>62248</v>
      </c>
      <c r="S46" s="28">
        <f>TrRoad_act!S127</f>
        <v>63527</v>
      </c>
      <c r="T46" s="28">
        <f>TrRoad_act!T127</f>
        <v>60615</v>
      </c>
      <c r="U46" s="28">
        <f>TrRoad_act!U127</f>
        <v>60303</v>
      </c>
      <c r="V46" s="28">
        <f>TrRoad_act!V127</f>
        <v>57283</v>
      </c>
      <c r="W46" s="28">
        <f>TrRoad_act!W127</f>
        <v>58600</v>
      </c>
      <c r="X46" s="28">
        <f>TrRoad_act!X127</f>
        <v>54711</v>
      </c>
      <c r="Y46" s="28">
        <f>TrRoad_act!Y127</f>
        <v>52548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0</v>
      </c>
      <c r="C47" s="137">
        <f>TrRoad_act!C128</f>
        <v>49057</v>
      </c>
      <c r="D47" s="137">
        <f>TrRoad_act!D128</f>
        <v>50638</v>
      </c>
      <c r="E47" s="137">
        <f>TrRoad_act!E128</f>
        <v>49317</v>
      </c>
      <c r="F47" s="137">
        <f>TrRoad_act!F128</f>
        <v>57207</v>
      </c>
      <c r="G47" s="137">
        <f>TrRoad_act!G128</f>
        <v>60742</v>
      </c>
      <c r="H47" s="137">
        <f>TrRoad_act!H128</f>
        <v>69997</v>
      </c>
      <c r="I47" s="137">
        <f>TrRoad_act!I128</f>
        <v>56055</v>
      </c>
      <c r="J47" s="137">
        <f>TrRoad_act!J128</f>
        <v>36577</v>
      </c>
      <c r="K47" s="137">
        <f>TrRoad_act!K128</f>
        <v>28732</v>
      </c>
      <c r="L47" s="137">
        <f>TrRoad_act!L128</f>
        <v>32768</v>
      </c>
      <c r="M47" s="137">
        <f>TrRoad_act!M128</f>
        <v>43455</v>
      </c>
      <c r="N47" s="137">
        <f>TrRoad_act!N128</f>
        <v>51994</v>
      </c>
      <c r="O47" s="137">
        <f>TrRoad_act!O128</f>
        <v>47428</v>
      </c>
      <c r="P47" s="137">
        <f>TrRoad_act!P128</f>
        <v>52566</v>
      </c>
      <c r="Q47" s="137">
        <f>TrRoad_act!Q128</f>
        <v>55535</v>
      </c>
      <c r="R47" s="137">
        <f>TrRoad_act!R128</f>
        <v>59703</v>
      </c>
      <c r="S47" s="137">
        <f>TrRoad_act!S128</f>
        <v>58965</v>
      </c>
      <c r="T47" s="137">
        <f>TrRoad_act!T128</f>
        <v>56951</v>
      </c>
      <c r="U47" s="137">
        <f>TrRoad_act!U128</f>
        <v>56203</v>
      </c>
      <c r="V47" s="137">
        <f>TrRoad_act!V128</f>
        <v>54175</v>
      </c>
      <c r="W47" s="137">
        <f>TrRoad_act!W128</f>
        <v>54647</v>
      </c>
      <c r="X47" s="137">
        <f>TrRoad_act!X128</f>
        <v>50264</v>
      </c>
      <c r="Y47" s="137">
        <f>TrRoad_act!Y128</f>
        <v>48851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8812</v>
      </c>
      <c r="D48" s="84">
        <f>TrRoad_act!D129</f>
        <v>8812</v>
      </c>
      <c r="E48" s="84">
        <f>TrRoad_act!E129</f>
        <v>8135</v>
      </c>
      <c r="F48" s="84">
        <f>TrRoad_act!F129</f>
        <v>7472</v>
      </c>
      <c r="G48" s="84">
        <f>TrRoad_act!G129</f>
        <v>6967</v>
      </c>
      <c r="H48" s="84">
        <f>TrRoad_act!H129</f>
        <v>8071</v>
      </c>
      <c r="I48" s="84">
        <f>TrRoad_act!I129</f>
        <v>181</v>
      </c>
      <c r="J48" s="84">
        <f>TrRoad_act!J129</f>
        <v>3449</v>
      </c>
      <c r="K48" s="84">
        <f>TrRoad_act!K129</f>
        <v>4255</v>
      </c>
      <c r="L48" s="84">
        <f>TrRoad_act!L129</f>
        <v>3745</v>
      </c>
      <c r="M48" s="84">
        <f>TrRoad_act!M129</f>
        <v>6290</v>
      </c>
      <c r="N48" s="84">
        <f>TrRoad_act!N129</f>
        <v>4561</v>
      </c>
      <c r="O48" s="84">
        <f>TrRoad_act!O129</f>
        <v>3368</v>
      </c>
      <c r="P48" s="84">
        <f>TrRoad_act!P129</f>
        <v>1822</v>
      </c>
      <c r="Q48" s="84">
        <f>TrRoad_act!Q129</f>
        <v>2284</v>
      </c>
      <c r="R48" s="84">
        <f>TrRoad_act!R129</f>
        <v>2521</v>
      </c>
      <c r="S48" s="84">
        <f>TrRoad_act!S129</f>
        <v>2217</v>
      </c>
      <c r="T48" s="84">
        <f>TrRoad_act!T129</f>
        <v>1952</v>
      </c>
      <c r="U48" s="84">
        <f>TrRoad_act!U129</f>
        <v>1991</v>
      </c>
      <c r="V48" s="84">
        <f>TrRoad_act!V129</f>
        <v>1972</v>
      </c>
      <c r="W48" s="84">
        <f>TrRoad_act!W129</f>
        <v>2001</v>
      </c>
      <c r="X48" s="84">
        <f>TrRoad_act!X129</f>
        <v>2258</v>
      </c>
      <c r="Y48" s="84">
        <f>TrRoad_act!Y129</f>
        <v>2243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40212</v>
      </c>
      <c r="D49" s="84">
        <f>TrRoad_act!D130</f>
        <v>41792</v>
      </c>
      <c r="E49" s="84">
        <f>TrRoad_act!E130</f>
        <v>41182</v>
      </c>
      <c r="F49" s="84">
        <f>TrRoad_act!F130</f>
        <v>49735</v>
      </c>
      <c r="G49" s="84">
        <f>TrRoad_act!G130</f>
        <v>53775</v>
      </c>
      <c r="H49" s="84">
        <f>TrRoad_act!H130</f>
        <v>61926</v>
      </c>
      <c r="I49" s="84">
        <f>TrRoad_act!I130</f>
        <v>55874</v>
      </c>
      <c r="J49" s="84">
        <f>TrRoad_act!J130</f>
        <v>33128</v>
      </c>
      <c r="K49" s="84">
        <f>TrRoad_act!K130</f>
        <v>24477</v>
      </c>
      <c r="L49" s="84">
        <f>TrRoad_act!L130</f>
        <v>29023</v>
      </c>
      <c r="M49" s="84">
        <f>TrRoad_act!M130</f>
        <v>37165</v>
      </c>
      <c r="N49" s="84">
        <f>TrRoad_act!N130</f>
        <v>47417</v>
      </c>
      <c r="O49" s="84">
        <f>TrRoad_act!O130</f>
        <v>44007</v>
      </c>
      <c r="P49" s="84">
        <f>TrRoad_act!P130</f>
        <v>50703</v>
      </c>
      <c r="Q49" s="84">
        <f>TrRoad_act!Q130</f>
        <v>52338</v>
      </c>
      <c r="R49" s="84">
        <f>TrRoad_act!R130</f>
        <v>57099</v>
      </c>
      <c r="S49" s="84">
        <f>TrRoad_act!S130</f>
        <v>56596</v>
      </c>
      <c r="T49" s="84">
        <f>TrRoad_act!T130</f>
        <v>54857</v>
      </c>
      <c r="U49" s="84">
        <f>TrRoad_act!U130</f>
        <v>53989</v>
      </c>
      <c r="V49" s="84">
        <f>TrRoad_act!V130</f>
        <v>51697</v>
      </c>
      <c r="W49" s="84">
        <f>TrRoad_act!W130</f>
        <v>50966</v>
      </c>
      <c r="X49" s="84">
        <f>TrRoad_act!X130</f>
        <v>46071</v>
      </c>
      <c r="Y49" s="84">
        <f>TrRoad_act!Y130</f>
        <v>43646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33</v>
      </c>
      <c r="D50" s="84">
        <f>TrRoad_act!D131</f>
        <v>34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X50" s="84">
        <f>TrRoad_act!X131</f>
        <v>0</v>
      </c>
      <c r="Y50" s="84">
        <f>TrRoad_act!Y131</f>
        <v>0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430</v>
      </c>
      <c r="R51" s="84">
        <f>TrRoad_act!R132</f>
        <v>22</v>
      </c>
      <c r="S51" s="84">
        <f>TrRoad_act!S132</f>
        <v>46</v>
      </c>
      <c r="T51" s="84">
        <f>TrRoad_act!T132</f>
        <v>7</v>
      </c>
      <c r="U51" s="84">
        <f>TrRoad_act!U132</f>
        <v>0</v>
      </c>
      <c r="V51" s="84">
        <f>TrRoad_act!V132</f>
        <v>2</v>
      </c>
      <c r="W51" s="84">
        <f>TrRoad_act!W132</f>
        <v>0</v>
      </c>
      <c r="X51" s="84">
        <f>TrRoad_act!X132</f>
        <v>0</v>
      </c>
      <c r="Y51" s="84">
        <f>TrRoad_act!Y132</f>
        <v>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16</v>
      </c>
      <c r="O52" s="84">
        <f>TrRoad_act!O133</f>
        <v>53</v>
      </c>
      <c r="P52" s="84">
        <f>TrRoad_act!P133</f>
        <v>41</v>
      </c>
      <c r="Q52" s="84">
        <f>TrRoad_act!Q133</f>
        <v>483</v>
      </c>
      <c r="R52" s="84">
        <f>TrRoad_act!R133</f>
        <v>61</v>
      </c>
      <c r="S52" s="84">
        <f>TrRoad_act!S133</f>
        <v>106</v>
      </c>
      <c r="T52" s="84">
        <f>TrRoad_act!T133</f>
        <v>135</v>
      </c>
      <c r="U52" s="84">
        <f>TrRoad_act!U133</f>
        <v>223</v>
      </c>
      <c r="V52" s="84">
        <f>TrRoad_act!V133</f>
        <v>504</v>
      </c>
      <c r="W52" s="84">
        <f>TrRoad_act!W133</f>
        <v>1680</v>
      </c>
      <c r="X52" s="84">
        <f>TrRoad_act!X133</f>
        <v>1935</v>
      </c>
      <c r="Y52" s="84">
        <f>TrRoad_act!Y133</f>
        <v>2962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341</v>
      </c>
      <c r="C53" s="110">
        <f>TrRoad_act!C134</f>
        <v>2075</v>
      </c>
      <c r="D53" s="110">
        <f>TrRoad_act!D134</f>
        <v>2697</v>
      </c>
      <c r="E53" s="110">
        <f>TrRoad_act!E134</f>
        <v>2539</v>
      </c>
      <c r="F53" s="110">
        <f>TrRoad_act!F134</f>
        <v>4322</v>
      </c>
      <c r="G53" s="110">
        <f>TrRoad_act!G134</f>
        <v>6942</v>
      </c>
      <c r="H53" s="110">
        <f>TrRoad_act!H134</f>
        <v>3426</v>
      </c>
      <c r="I53" s="110">
        <f>TrRoad_act!I134</f>
        <v>8098</v>
      </c>
      <c r="J53" s="110">
        <f>TrRoad_act!J134</f>
        <v>3359</v>
      </c>
      <c r="K53" s="110">
        <f>TrRoad_act!K134</f>
        <v>528</v>
      </c>
      <c r="L53" s="110">
        <f>TrRoad_act!L134</f>
        <v>489</v>
      </c>
      <c r="M53" s="110">
        <f>TrRoad_act!M134</f>
        <v>1992</v>
      </c>
      <c r="N53" s="110">
        <f>TrRoad_act!N134</f>
        <v>2918</v>
      </c>
      <c r="O53" s="110">
        <f>TrRoad_act!O134</f>
        <v>3387</v>
      </c>
      <c r="P53" s="110">
        <f>TrRoad_act!P134</f>
        <v>3207</v>
      </c>
      <c r="Q53" s="110">
        <f>TrRoad_act!Q134</f>
        <v>965</v>
      </c>
      <c r="R53" s="110">
        <f>TrRoad_act!R134</f>
        <v>2545</v>
      </c>
      <c r="S53" s="110">
        <f>TrRoad_act!S134</f>
        <v>4562</v>
      </c>
      <c r="T53" s="110">
        <f>TrRoad_act!T134</f>
        <v>3664</v>
      </c>
      <c r="U53" s="110">
        <f>TrRoad_act!U134</f>
        <v>4100</v>
      </c>
      <c r="V53" s="110">
        <f>TrRoad_act!V134</f>
        <v>3108</v>
      </c>
      <c r="W53" s="110">
        <f>TrRoad_act!W134</f>
        <v>3953</v>
      </c>
      <c r="X53" s="110">
        <f>TrRoad_act!X134</f>
        <v>4447</v>
      </c>
      <c r="Y53" s="110">
        <f>TrRoad_act!Y134</f>
        <v>3697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1680</v>
      </c>
      <c r="D54" s="102">
        <f>TrRoad_act!D135</f>
        <v>2326</v>
      </c>
      <c r="E54" s="102">
        <f>TrRoad_act!E135</f>
        <v>2241</v>
      </c>
      <c r="F54" s="102">
        <f>TrRoad_act!F135</f>
        <v>3360</v>
      </c>
      <c r="G54" s="102">
        <f>TrRoad_act!G135</f>
        <v>6496</v>
      </c>
      <c r="H54" s="102">
        <f>TrRoad_act!H135</f>
        <v>2750</v>
      </c>
      <c r="I54" s="102">
        <f>TrRoad_act!I135</f>
        <v>7436</v>
      </c>
      <c r="J54" s="102">
        <f>TrRoad_act!J135</f>
        <v>1540</v>
      </c>
      <c r="K54" s="102">
        <f>TrRoad_act!K135</f>
        <v>528</v>
      </c>
      <c r="L54" s="102">
        <f>TrRoad_act!L135</f>
        <v>489</v>
      </c>
      <c r="M54" s="102">
        <f>TrRoad_act!M135</f>
        <v>1797</v>
      </c>
      <c r="N54" s="102">
        <f>TrRoad_act!N135</f>
        <v>2609</v>
      </c>
      <c r="O54" s="102">
        <f>TrRoad_act!O135</f>
        <v>2318</v>
      </c>
      <c r="P54" s="102">
        <f>TrRoad_act!P135</f>
        <v>3207</v>
      </c>
      <c r="Q54" s="102">
        <f>TrRoad_act!Q135</f>
        <v>459</v>
      </c>
      <c r="R54" s="102">
        <f>TrRoad_act!R135</f>
        <v>1254</v>
      </c>
      <c r="S54" s="102">
        <f>TrRoad_act!S135</f>
        <v>3951</v>
      </c>
      <c r="T54" s="102">
        <f>TrRoad_act!T135</f>
        <v>3664</v>
      </c>
      <c r="U54" s="102">
        <f>TrRoad_act!U135</f>
        <v>3509</v>
      </c>
      <c r="V54" s="102">
        <f>TrRoad_act!V135</f>
        <v>2078</v>
      </c>
      <c r="W54" s="102">
        <f>TrRoad_act!W135</f>
        <v>3402</v>
      </c>
      <c r="X54" s="102">
        <f>TrRoad_act!X135</f>
        <v>3753</v>
      </c>
      <c r="Y54" s="102">
        <f>TrRoad_act!Y135</f>
        <v>3573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341</v>
      </c>
      <c r="C55" s="86">
        <f>TrRoad_act!C136</f>
        <v>395</v>
      </c>
      <c r="D55" s="86">
        <f>TrRoad_act!D136</f>
        <v>371</v>
      </c>
      <c r="E55" s="86">
        <f>TrRoad_act!E136</f>
        <v>298</v>
      </c>
      <c r="F55" s="86">
        <f>TrRoad_act!F136</f>
        <v>962</v>
      </c>
      <c r="G55" s="86">
        <f>TrRoad_act!G136</f>
        <v>446</v>
      </c>
      <c r="H55" s="86">
        <f>TrRoad_act!H136</f>
        <v>676</v>
      </c>
      <c r="I55" s="86">
        <f>TrRoad_act!I136</f>
        <v>662</v>
      </c>
      <c r="J55" s="86">
        <f>TrRoad_act!J136</f>
        <v>1819</v>
      </c>
      <c r="K55" s="86">
        <f>TrRoad_act!K136</f>
        <v>0</v>
      </c>
      <c r="L55" s="86">
        <f>TrRoad_act!L136</f>
        <v>0</v>
      </c>
      <c r="M55" s="86">
        <f>TrRoad_act!M136</f>
        <v>195</v>
      </c>
      <c r="N55" s="86">
        <f>TrRoad_act!N136</f>
        <v>309</v>
      </c>
      <c r="O55" s="86">
        <f>TrRoad_act!O136</f>
        <v>1069</v>
      </c>
      <c r="P55" s="86">
        <f>TrRoad_act!P136</f>
        <v>0</v>
      </c>
      <c r="Q55" s="86">
        <f>TrRoad_act!Q136</f>
        <v>506</v>
      </c>
      <c r="R55" s="86">
        <f>TrRoad_act!R136</f>
        <v>1291</v>
      </c>
      <c r="S55" s="86">
        <f>TrRoad_act!S136</f>
        <v>611</v>
      </c>
      <c r="T55" s="86">
        <f>TrRoad_act!T136</f>
        <v>0</v>
      </c>
      <c r="U55" s="86">
        <f>TrRoad_act!U136</f>
        <v>591</v>
      </c>
      <c r="V55" s="86">
        <f>TrRoad_act!V136</f>
        <v>1030</v>
      </c>
      <c r="W55" s="86">
        <f>TrRoad_act!W136</f>
        <v>551</v>
      </c>
      <c r="X55" s="86">
        <f>TrRoad_act!X136</f>
        <v>694</v>
      </c>
      <c r="Y55" s="86">
        <f>TrRoad_act!Y136</f>
        <v>124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50893</v>
      </c>
      <c r="C59" s="54">
        <f t="shared" si="0"/>
        <v>18880</v>
      </c>
      <c r="D59" s="54">
        <f t="shared" si="0"/>
        <v>24521</v>
      </c>
      <c r="E59" s="54">
        <f t="shared" si="0"/>
        <v>25653</v>
      </c>
      <c r="F59" s="54">
        <f t="shared" si="0"/>
        <v>38229</v>
      </c>
      <c r="G59" s="54">
        <f t="shared" si="0"/>
        <v>55983</v>
      </c>
      <c r="H59" s="54">
        <f t="shared" si="0"/>
        <v>60282</v>
      </c>
      <c r="I59" s="54">
        <f t="shared" si="0"/>
        <v>85101</v>
      </c>
      <c r="J59" s="54">
        <f t="shared" si="0"/>
        <v>63805</v>
      </c>
      <c r="K59" s="54">
        <f t="shared" si="0"/>
        <v>43214</v>
      </c>
      <c r="L59" s="54">
        <f t="shared" ref="L59" si="1">L60+L75</f>
        <v>58872</v>
      </c>
      <c r="M59" s="54">
        <f t="shared" ref="M59:V59" si="2">M60+M75</f>
        <v>95494</v>
      </c>
      <c r="N59" s="54">
        <f t="shared" si="2"/>
        <v>118090</v>
      </c>
      <c r="O59" s="54">
        <f t="shared" si="2"/>
        <v>142856</v>
      </c>
      <c r="P59" s="54">
        <f t="shared" si="2"/>
        <v>173758</v>
      </c>
      <c r="Q59" s="54">
        <f t="shared" si="2"/>
        <v>179962</v>
      </c>
      <c r="R59" s="54">
        <f t="shared" si="2"/>
        <v>227192</v>
      </c>
      <c r="S59" s="54">
        <f t="shared" si="2"/>
        <v>254738</v>
      </c>
      <c r="T59" s="54">
        <f t="shared" si="2"/>
        <v>279359</v>
      </c>
      <c r="U59" s="54">
        <f t="shared" si="2"/>
        <v>293678</v>
      </c>
      <c r="V59" s="54">
        <f t="shared" si="2"/>
        <v>282443</v>
      </c>
      <c r="W59" s="54">
        <f t="shared" ref="W59:Y59" si="3">W60+W75</f>
        <v>311165</v>
      </c>
      <c r="X59" s="54">
        <f t="shared" si="3"/>
        <v>259101</v>
      </c>
      <c r="Y59" s="54">
        <f t="shared" si="3"/>
        <v>296807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50893</v>
      </c>
      <c r="C60" s="28">
        <f t="shared" si="4"/>
        <v>18744</v>
      </c>
      <c r="D60" s="28">
        <f t="shared" si="4"/>
        <v>24220</v>
      </c>
      <c r="E60" s="28">
        <f t="shared" si="4"/>
        <v>25240</v>
      </c>
      <c r="F60" s="28">
        <f t="shared" si="4"/>
        <v>37403</v>
      </c>
      <c r="G60" s="28">
        <f t="shared" si="4"/>
        <v>53954</v>
      </c>
      <c r="H60" s="28">
        <f t="shared" si="4"/>
        <v>59231</v>
      </c>
      <c r="I60" s="28">
        <f t="shared" si="4"/>
        <v>81726</v>
      </c>
      <c r="J60" s="28">
        <f t="shared" si="4"/>
        <v>62217</v>
      </c>
      <c r="K60" s="28">
        <f t="shared" si="4"/>
        <v>42900</v>
      </c>
      <c r="L60" s="28">
        <f t="shared" ref="L60" si="5">L61+L62+L69</f>
        <v>58549</v>
      </c>
      <c r="M60" s="28">
        <f t="shared" ref="M60:V60" si="6">M61+M62+M69</f>
        <v>94069</v>
      </c>
      <c r="N60" s="28">
        <f t="shared" si="6"/>
        <v>115850</v>
      </c>
      <c r="O60" s="28">
        <f t="shared" si="6"/>
        <v>138936</v>
      </c>
      <c r="P60" s="28">
        <f t="shared" si="6"/>
        <v>169551</v>
      </c>
      <c r="Q60" s="28">
        <f t="shared" si="6"/>
        <v>176918</v>
      </c>
      <c r="R60" s="28">
        <f t="shared" si="6"/>
        <v>222692</v>
      </c>
      <c r="S60" s="28">
        <f t="shared" si="6"/>
        <v>216057</v>
      </c>
      <c r="T60" s="28">
        <f t="shared" si="6"/>
        <v>222980</v>
      </c>
      <c r="U60" s="28">
        <f t="shared" si="6"/>
        <v>235283</v>
      </c>
      <c r="V60" s="28">
        <f t="shared" si="6"/>
        <v>225862</v>
      </c>
      <c r="W60" s="28">
        <f t="shared" ref="W60:Y60" si="7">W61+W62+W69</f>
        <v>252619</v>
      </c>
      <c r="X60" s="28">
        <f t="shared" si="7"/>
        <v>204425</v>
      </c>
      <c r="Y60" s="28">
        <f t="shared" si="7"/>
        <v>244259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6500</v>
      </c>
      <c r="D61" s="137">
        <v>6702</v>
      </c>
      <c r="E61" s="137">
        <v>7118</v>
      </c>
      <c r="F61" s="137">
        <v>10335</v>
      </c>
      <c r="G61" s="137">
        <v>15862</v>
      </c>
      <c r="H61" s="137">
        <v>20614</v>
      </c>
      <c r="I61" s="137">
        <v>23820</v>
      </c>
      <c r="J61" s="137">
        <v>16710</v>
      </c>
      <c r="K61" s="137">
        <v>6212</v>
      </c>
      <c r="L61" s="137">
        <v>4554</v>
      </c>
      <c r="M61" s="137">
        <v>3499</v>
      </c>
      <c r="N61" s="137">
        <v>3129</v>
      </c>
      <c r="O61" s="137">
        <v>3402</v>
      </c>
      <c r="P61" s="137">
        <v>4567</v>
      </c>
      <c r="Q61" s="137">
        <v>6690</v>
      </c>
      <c r="R61" s="137">
        <v>5780</v>
      </c>
      <c r="S61" s="137">
        <v>6732</v>
      </c>
      <c r="T61" s="137">
        <v>8176</v>
      </c>
      <c r="U61" s="137">
        <v>7977</v>
      </c>
      <c r="V61" s="137">
        <v>8045</v>
      </c>
      <c r="W61" s="137">
        <v>8090</v>
      </c>
      <c r="X61" s="137">
        <v>6168</v>
      </c>
      <c r="Y61" s="137">
        <v>5238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50893</v>
      </c>
      <c r="C62" s="110">
        <f t="shared" si="8"/>
        <v>12244</v>
      </c>
      <c r="D62" s="110">
        <f t="shared" si="8"/>
        <v>17518</v>
      </c>
      <c r="E62" s="110">
        <f t="shared" si="8"/>
        <v>18122</v>
      </c>
      <c r="F62" s="110">
        <f t="shared" si="8"/>
        <v>27068</v>
      </c>
      <c r="G62" s="110">
        <f t="shared" si="8"/>
        <v>38075</v>
      </c>
      <c r="H62" s="110">
        <f t="shared" si="8"/>
        <v>38582</v>
      </c>
      <c r="I62" s="110">
        <f t="shared" si="8"/>
        <v>57339</v>
      </c>
      <c r="J62" s="110">
        <f t="shared" si="8"/>
        <v>45061</v>
      </c>
      <c r="K62" s="110">
        <f t="shared" si="8"/>
        <v>36200</v>
      </c>
      <c r="L62" s="110">
        <f t="shared" ref="L62" si="9">SUM(L63:L68)</f>
        <v>53489</v>
      </c>
      <c r="M62" s="110">
        <f t="shared" ref="M62:V62" si="10">SUM(M63:M68)</f>
        <v>90112</v>
      </c>
      <c r="N62" s="110">
        <f t="shared" si="10"/>
        <v>112237</v>
      </c>
      <c r="O62" s="110">
        <f t="shared" si="10"/>
        <v>135105</v>
      </c>
      <c r="P62" s="110">
        <f t="shared" si="10"/>
        <v>164385</v>
      </c>
      <c r="Q62" s="110">
        <f t="shared" si="10"/>
        <v>169554</v>
      </c>
      <c r="R62" s="110">
        <f t="shared" si="10"/>
        <v>216029</v>
      </c>
      <c r="S62" s="110">
        <f t="shared" si="10"/>
        <v>208167</v>
      </c>
      <c r="T62" s="110">
        <f t="shared" si="10"/>
        <v>214100</v>
      </c>
      <c r="U62" s="110">
        <f t="shared" si="10"/>
        <v>226471</v>
      </c>
      <c r="V62" s="110">
        <f t="shared" si="10"/>
        <v>217388</v>
      </c>
      <c r="W62" s="110">
        <f t="shared" ref="W62:Y62" si="11">SUM(W63:W68)</f>
        <v>243790</v>
      </c>
      <c r="X62" s="110">
        <f t="shared" si="11"/>
        <v>197545</v>
      </c>
      <c r="Y62" s="110">
        <f t="shared" si="11"/>
        <v>238390</v>
      </c>
      <c r="DA62" s="176" t="s">
        <v>841</v>
      </c>
    </row>
    <row r="63" spans="1:105" ht="11.45" customHeight="1" x14ac:dyDescent="0.25">
      <c r="A63" s="111" t="s">
        <v>110</v>
      </c>
      <c r="B63" s="84">
        <v>50893</v>
      </c>
      <c r="C63" s="84">
        <v>12244</v>
      </c>
      <c r="D63" s="84">
        <v>17518</v>
      </c>
      <c r="E63" s="84">
        <v>18122</v>
      </c>
      <c r="F63" s="84">
        <v>27068</v>
      </c>
      <c r="G63" s="84">
        <v>38075</v>
      </c>
      <c r="H63" s="84">
        <v>38582</v>
      </c>
      <c r="I63" s="84">
        <v>57339</v>
      </c>
      <c r="J63" s="84">
        <v>45061</v>
      </c>
      <c r="K63" s="84">
        <v>36200</v>
      </c>
      <c r="L63" s="84">
        <v>53479</v>
      </c>
      <c r="M63" s="84">
        <v>63120</v>
      </c>
      <c r="N63" s="84">
        <v>66448</v>
      </c>
      <c r="O63" s="84">
        <v>74711</v>
      </c>
      <c r="P63" s="84">
        <v>80701</v>
      </c>
      <c r="Q63" s="84">
        <v>71670</v>
      </c>
      <c r="R63" s="84">
        <v>145214</v>
      </c>
      <c r="S63" s="84">
        <v>135669</v>
      </c>
      <c r="T63" s="84">
        <v>139923</v>
      </c>
      <c r="U63" s="84">
        <v>157541</v>
      </c>
      <c r="V63" s="84">
        <v>138752</v>
      </c>
      <c r="W63" s="84">
        <v>141953</v>
      </c>
      <c r="X63" s="84">
        <v>98140</v>
      </c>
      <c r="Y63" s="84">
        <v>103149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26655</v>
      </c>
      <c r="N64" s="84">
        <v>45379</v>
      </c>
      <c r="O64" s="84">
        <v>59915</v>
      </c>
      <c r="P64" s="84">
        <v>82236</v>
      </c>
      <c r="Q64" s="84">
        <v>93608</v>
      </c>
      <c r="R64" s="84">
        <v>69114</v>
      </c>
      <c r="S64" s="84">
        <v>71015</v>
      </c>
      <c r="T64" s="84">
        <v>69294</v>
      </c>
      <c r="U64" s="84">
        <v>59480</v>
      </c>
      <c r="V64" s="84">
        <v>46072</v>
      </c>
      <c r="W64" s="84">
        <v>26637</v>
      </c>
      <c r="X64" s="84">
        <v>21478</v>
      </c>
      <c r="Y64" s="84">
        <v>21365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145</v>
      </c>
      <c r="T66" s="84">
        <v>137</v>
      </c>
      <c r="U66" s="84">
        <v>141</v>
      </c>
      <c r="V66" s="84">
        <v>137</v>
      </c>
      <c r="W66" s="84">
        <v>136</v>
      </c>
      <c r="X66" s="84">
        <v>130</v>
      </c>
      <c r="Y66" s="84">
        <v>118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486</v>
      </c>
      <c r="S67" s="84">
        <v>590</v>
      </c>
      <c r="T67" s="84">
        <v>3226</v>
      </c>
      <c r="U67" s="84">
        <v>3854</v>
      </c>
      <c r="V67" s="84">
        <v>18237</v>
      </c>
      <c r="W67" s="84">
        <v>42416</v>
      </c>
      <c r="X67" s="84">
        <v>28111</v>
      </c>
      <c r="Y67" s="84">
        <v>26080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10</v>
      </c>
      <c r="M68" s="84">
        <v>337</v>
      </c>
      <c r="N68" s="84">
        <v>410</v>
      </c>
      <c r="O68" s="84">
        <v>479</v>
      </c>
      <c r="P68" s="84">
        <v>1448</v>
      </c>
      <c r="Q68" s="84">
        <v>4276</v>
      </c>
      <c r="R68" s="84">
        <v>1215</v>
      </c>
      <c r="S68" s="84">
        <v>748</v>
      </c>
      <c r="T68" s="84">
        <v>1520</v>
      </c>
      <c r="U68" s="84">
        <v>5455</v>
      </c>
      <c r="V68" s="84">
        <v>14190</v>
      </c>
      <c r="W68" s="84">
        <v>32648</v>
      </c>
      <c r="X68" s="84">
        <v>49686</v>
      </c>
      <c r="Y68" s="84">
        <v>87678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17</v>
      </c>
      <c r="H69" s="110">
        <f t="shared" si="12"/>
        <v>35</v>
      </c>
      <c r="I69" s="110">
        <f t="shared" si="12"/>
        <v>567</v>
      </c>
      <c r="J69" s="110">
        <f t="shared" si="12"/>
        <v>446</v>
      </c>
      <c r="K69" s="110">
        <f t="shared" si="12"/>
        <v>488</v>
      </c>
      <c r="L69" s="110">
        <f t="shared" ref="L69" si="13">SUM(L70:L74)</f>
        <v>506</v>
      </c>
      <c r="M69" s="110">
        <f t="shared" ref="M69:V69" si="14">SUM(M70:M74)</f>
        <v>458</v>
      </c>
      <c r="N69" s="110">
        <f t="shared" si="14"/>
        <v>484</v>
      </c>
      <c r="O69" s="110">
        <f t="shared" si="14"/>
        <v>429</v>
      </c>
      <c r="P69" s="110">
        <f t="shared" si="14"/>
        <v>599</v>
      </c>
      <c r="Q69" s="110">
        <f t="shared" si="14"/>
        <v>674</v>
      </c>
      <c r="R69" s="110">
        <f t="shared" si="14"/>
        <v>883</v>
      </c>
      <c r="S69" s="110">
        <f t="shared" si="14"/>
        <v>1158</v>
      </c>
      <c r="T69" s="110">
        <f t="shared" si="14"/>
        <v>704</v>
      </c>
      <c r="U69" s="110">
        <f t="shared" si="14"/>
        <v>835</v>
      </c>
      <c r="V69" s="110">
        <f t="shared" si="14"/>
        <v>429</v>
      </c>
      <c r="W69" s="110">
        <f t="shared" ref="W69:Y69" si="15">SUM(W70:W74)</f>
        <v>739</v>
      </c>
      <c r="X69" s="110">
        <f t="shared" si="15"/>
        <v>712</v>
      </c>
      <c r="Y69" s="110">
        <f t="shared" si="15"/>
        <v>631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17</v>
      </c>
      <c r="H70" s="102">
        <v>35</v>
      </c>
      <c r="I70" s="102">
        <v>34</v>
      </c>
      <c r="J70" s="102">
        <v>36</v>
      </c>
      <c r="K70" s="102">
        <v>34</v>
      </c>
      <c r="L70" s="102">
        <v>29</v>
      </c>
      <c r="M70" s="102">
        <v>28</v>
      </c>
      <c r="N70" s="102">
        <v>24</v>
      </c>
      <c r="O70" s="102">
        <v>30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533</v>
      </c>
      <c r="J71" s="102">
        <v>410</v>
      </c>
      <c r="K71" s="102">
        <v>454</v>
      </c>
      <c r="L71" s="102">
        <v>477</v>
      </c>
      <c r="M71" s="102">
        <v>430</v>
      </c>
      <c r="N71" s="102">
        <v>460</v>
      </c>
      <c r="O71" s="102">
        <v>399</v>
      </c>
      <c r="P71" s="102">
        <v>599</v>
      </c>
      <c r="Q71" s="102">
        <v>644</v>
      </c>
      <c r="R71" s="102">
        <v>845</v>
      </c>
      <c r="S71" s="102">
        <v>1079</v>
      </c>
      <c r="T71" s="102">
        <v>704</v>
      </c>
      <c r="U71" s="102">
        <v>746</v>
      </c>
      <c r="V71" s="102">
        <v>425</v>
      </c>
      <c r="W71" s="102">
        <v>494</v>
      </c>
      <c r="X71" s="102">
        <v>308</v>
      </c>
      <c r="Y71" s="102">
        <v>0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30</v>
      </c>
      <c r="R73" s="102">
        <v>38</v>
      </c>
      <c r="S73" s="102">
        <v>79</v>
      </c>
      <c r="T73" s="102">
        <v>0</v>
      </c>
      <c r="U73" s="102">
        <v>1</v>
      </c>
      <c r="V73" s="102">
        <v>1</v>
      </c>
      <c r="W73" s="102">
        <v>1</v>
      </c>
      <c r="X73" s="102">
        <v>2</v>
      </c>
      <c r="Y73" s="102">
        <v>8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88</v>
      </c>
      <c r="V74" s="102">
        <v>3</v>
      </c>
      <c r="W74" s="102">
        <v>244</v>
      </c>
      <c r="X74" s="102">
        <v>402</v>
      </c>
      <c r="Y74" s="102">
        <v>623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136</v>
      </c>
      <c r="D75" s="28">
        <f t="shared" si="16"/>
        <v>301</v>
      </c>
      <c r="E75" s="28">
        <f t="shared" si="16"/>
        <v>413</v>
      </c>
      <c r="F75" s="28">
        <f t="shared" si="16"/>
        <v>826</v>
      </c>
      <c r="G75" s="28">
        <f t="shared" si="16"/>
        <v>2029</v>
      </c>
      <c r="H75" s="28">
        <f t="shared" si="16"/>
        <v>1051</v>
      </c>
      <c r="I75" s="28">
        <f t="shared" si="16"/>
        <v>3375</v>
      </c>
      <c r="J75" s="28">
        <f t="shared" si="16"/>
        <v>1588</v>
      </c>
      <c r="K75" s="28">
        <f t="shared" si="16"/>
        <v>314</v>
      </c>
      <c r="L75" s="28">
        <f t="shared" ref="L75" si="17">L76+L82</f>
        <v>323</v>
      </c>
      <c r="M75" s="28">
        <f t="shared" ref="M75:V75" si="18">M76+M82</f>
        <v>1425</v>
      </c>
      <c r="N75" s="28">
        <f t="shared" si="18"/>
        <v>2240</v>
      </c>
      <c r="O75" s="28">
        <f t="shared" si="18"/>
        <v>3920</v>
      </c>
      <c r="P75" s="28">
        <f t="shared" si="18"/>
        <v>4207</v>
      </c>
      <c r="Q75" s="28">
        <f t="shared" si="18"/>
        <v>3044</v>
      </c>
      <c r="R75" s="28">
        <f t="shared" si="18"/>
        <v>4500</v>
      </c>
      <c r="S75" s="28">
        <f t="shared" si="18"/>
        <v>38681</v>
      </c>
      <c r="T75" s="28">
        <f t="shared" si="18"/>
        <v>56379</v>
      </c>
      <c r="U75" s="28">
        <f t="shared" si="18"/>
        <v>58395</v>
      </c>
      <c r="V75" s="28">
        <f t="shared" si="18"/>
        <v>56581</v>
      </c>
      <c r="W75" s="28">
        <f t="shared" ref="W75:Y75" si="19">W76+W82</f>
        <v>58546</v>
      </c>
      <c r="X75" s="28">
        <f t="shared" si="19"/>
        <v>54676</v>
      </c>
      <c r="Y75" s="28">
        <f t="shared" si="19"/>
        <v>52548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0</v>
      </c>
      <c r="K76" s="137">
        <f t="shared" si="20"/>
        <v>0</v>
      </c>
      <c r="L76" s="137">
        <f t="shared" ref="L76" si="21">SUM(L77:L81)</f>
        <v>0</v>
      </c>
      <c r="M76" s="137">
        <f t="shared" ref="M76:V76" si="22">SUM(M77:M81)</f>
        <v>0</v>
      </c>
      <c r="N76" s="137">
        <f t="shared" si="22"/>
        <v>0</v>
      </c>
      <c r="O76" s="137">
        <f t="shared" si="22"/>
        <v>1263</v>
      </c>
      <c r="P76" s="137">
        <f t="shared" si="22"/>
        <v>1406</v>
      </c>
      <c r="Q76" s="137">
        <f t="shared" si="22"/>
        <v>2255</v>
      </c>
      <c r="R76" s="137">
        <f t="shared" si="22"/>
        <v>2339</v>
      </c>
      <c r="S76" s="137">
        <f t="shared" si="22"/>
        <v>34396</v>
      </c>
      <c r="T76" s="137">
        <f t="shared" si="22"/>
        <v>52788</v>
      </c>
      <c r="U76" s="137">
        <f t="shared" si="22"/>
        <v>54412</v>
      </c>
      <c r="V76" s="137">
        <f t="shared" si="22"/>
        <v>53594</v>
      </c>
      <c r="W76" s="137">
        <f t="shared" ref="W76:Y76" si="23">SUM(W77:W81)</f>
        <v>54636</v>
      </c>
      <c r="X76" s="137">
        <f t="shared" si="23"/>
        <v>50258</v>
      </c>
      <c r="Y76" s="137">
        <f t="shared" si="23"/>
        <v>48851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1263</v>
      </c>
      <c r="P77" s="84">
        <v>1406</v>
      </c>
      <c r="Q77" s="84">
        <v>1964</v>
      </c>
      <c r="R77" s="84">
        <v>2320</v>
      </c>
      <c r="S77" s="84">
        <v>2125</v>
      </c>
      <c r="T77" s="84">
        <v>1914</v>
      </c>
      <c r="U77" s="84">
        <v>1975</v>
      </c>
      <c r="V77" s="84">
        <v>1967</v>
      </c>
      <c r="W77" s="84">
        <v>2001</v>
      </c>
      <c r="X77" s="84">
        <v>2258</v>
      </c>
      <c r="Y77" s="84">
        <v>2243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32228</v>
      </c>
      <c r="T78" s="84">
        <v>50867</v>
      </c>
      <c r="U78" s="84">
        <v>52437</v>
      </c>
      <c r="V78" s="84">
        <v>51246</v>
      </c>
      <c r="W78" s="84">
        <v>50956</v>
      </c>
      <c r="X78" s="84">
        <v>46066</v>
      </c>
      <c r="Y78" s="84">
        <v>43646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291</v>
      </c>
      <c r="R80" s="84">
        <v>19</v>
      </c>
      <c r="S80" s="84">
        <v>43</v>
      </c>
      <c r="T80" s="84">
        <v>7</v>
      </c>
      <c r="U80" s="84">
        <v>0</v>
      </c>
      <c r="V80" s="84">
        <v>2</v>
      </c>
      <c r="W80" s="84">
        <v>0</v>
      </c>
      <c r="X80" s="84">
        <v>0</v>
      </c>
      <c r="Y80" s="84">
        <v>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379</v>
      </c>
      <c r="W81" s="84">
        <v>1679</v>
      </c>
      <c r="X81" s="84">
        <v>1934</v>
      </c>
      <c r="Y81" s="84">
        <v>2962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136</v>
      </c>
      <c r="D82" s="110">
        <f t="shared" si="24"/>
        <v>301</v>
      </c>
      <c r="E82" s="110">
        <f t="shared" si="24"/>
        <v>413</v>
      </c>
      <c r="F82" s="110">
        <f t="shared" si="24"/>
        <v>826</v>
      </c>
      <c r="G82" s="110">
        <f t="shared" si="24"/>
        <v>2029</v>
      </c>
      <c r="H82" s="110">
        <f t="shared" si="24"/>
        <v>1051</v>
      </c>
      <c r="I82" s="110">
        <f t="shared" si="24"/>
        <v>3375</v>
      </c>
      <c r="J82" s="110">
        <f t="shared" si="24"/>
        <v>1588</v>
      </c>
      <c r="K82" s="110">
        <f t="shared" si="24"/>
        <v>314</v>
      </c>
      <c r="L82" s="110">
        <f t="shared" ref="L82" si="25">SUM(L83:L84)</f>
        <v>323</v>
      </c>
      <c r="M82" s="110">
        <f t="shared" ref="M82:V82" si="26">SUM(M83:M84)</f>
        <v>1425</v>
      </c>
      <c r="N82" s="110">
        <f t="shared" si="26"/>
        <v>2240</v>
      </c>
      <c r="O82" s="110">
        <f t="shared" si="26"/>
        <v>2657</v>
      </c>
      <c r="P82" s="110">
        <f t="shared" si="26"/>
        <v>2801</v>
      </c>
      <c r="Q82" s="110">
        <f t="shared" si="26"/>
        <v>789</v>
      </c>
      <c r="R82" s="110">
        <f t="shared" si="26"/>
        <v>2161</v>
      </c>
      <c r="S82" s="110">
        <f t="shared" si="26"/>
        <v>4285</v>
      </c>
      <c r="T82" s="110">
        <f t="shared" si="26"/>
        <v>3591</v>
      </c>
      <c r="U82" s="110">
        <f t="shared" si="26"/>
        <v>3983</v>
      </c>
      <c r="V82" s="110">
        <f t="shared" si="26"/>
        <v>2987</v>
      </c>
      <c r="W82" s="110">
        <f t="shared" ref="W82:Y82" si="27">SUM(W83:W84)</f>
        <v>3910</v>
      </c>
      <c r="X82" s="110">
        <f t="shared" si="27"/>
        <v>4418</v>
      </c>
      <c r="Y82" s="110">
        <f t="shared" si="27"/>
        <v>3697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136</v>
      </c>
      <c r="D83" s="102">
        <v>301</v>
      </c>
      <c r="E83" s="102">
        <v>413</v>
      </c>
      <c r="F83" s="102">
        <v>826</v>
      </c>
      <c r="G83" s="102">
        <v>2029</v>
      </c>
      <c r="H83" s="102">
        <v>1051</v>
      </c>
      <c r="I83" s="102">
        <v>3375</v>
      </c>
      <c r="J83" s="102">
        <v>808</v>
      </c>
      <c r="K83" s="102">
        <v>314</v>
      </c>
      <c r="L83" s="102">
        <v>323</v>
      </c>
      <c r="M83" s="102">
        <v>1300</v>
      </c>
      <c r="N83" s="102">
        <v>2034</v>
      </c>
      <c r="O83" s="102">
        <v>1925</v>
      </c>
      <c r="P83" s="102">
        <v>2801</v>
      </c>
      <c r="Q83" s="102">
        <v>417</v>
      </c>
      <c r="R83" s="102">
        <v>1179</v>
      </c>
      <c r="S83" s="102">
        <v>3804</v>
      </c>
      <c r="T83" s="102">
        <v>3591</v>
      </c>
      <c r="U83" s="102">
        <v>3479</v>
      </c>
      <c r="V83" s="102">
        <v>2074</v>
      </c>
      <c r="W83" s="102">
        <v>3402</v>
      </c>
      <c r="X83" s="102">
        <v>3753</v>
      </c>
      <c r="Y83" s="102">
        <v>3573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780</v>
      </c>
      <c r="K84" s="86">
        <v>0</v>
      </c>
      <c r="L84" s="86">
        <v>0</v>
      </c>
      <c r="M84" s="86">
        <v>125</v>
      </c>
      <c r="N84" s="86">
        <v>206</v>
      </c>
      <c r="O84" s="86">
        <v>732</v>
      </c>
      <c r="P84" s="86">
        <v>0</v>
      </c>
      <c r="Q84" s="86">
        <v>372</v>
      </c>
      <c r="R84" s="86">
        <v>982</v>
      </c>
      <c r="S84" s="86">
        <v>481</v>
      </c>
      <c r="T84" s="86">
        <v>0</v>
      </c>
      <c r="U84" s="86">
        <v>504</v>
      </c>
      <c r="V84" s="86">
        <v>913</v>
      </c>
      <c r="W84" s="86">
        <v>508</v>
      </c>
      <c r="X84" s="86">
        <v>665</v>
      </c>
      <c r="Y84" s="86">
        <v>124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3.9268892737594174</v>
      </c>
      <c r="C90" s="141">
        <v>3.8577648231816775</v>
      </c>
      <c r="D90" s="141">
        <v>3.811376700741941</v>
      </c>
      <c r="E90" s="141">
        <v>3.7670547224473885</v>
      </c>
      <c r="F90" s="141">
        <v>3.7053509037171741</v>
      </c>
      <c r="G90" s="141">
        <v>3.6294071317481187</v>
      </c>
      <c r="H90" s="141">
        <v>3.5442169725352781</v>
      </c>
      <c r="I90" s="141">
        <v>3.4547020784986766</v>
      </c>
      <c r="J90" s="141">
        <v>3.3780480189897366</v>
      </c>
      <c r="K90" s="141">
        <v>3.3395038072730276</v>
      </c>
      <c r="L90" s="141">
        <v>3.3038200733961709</v>
      </c>
      <c r="M90" s="141">
        <v>3.2702170276478548</v>
      </c>
      <c r="N90" s="141">
        <v>3.2552616433551274</v>
      </c>
      <c r="O90" s="141">
        <v>3.2381603038628706</v>
      </c>
      <c r="P90" s="141">
        <v>3.1998048142233615</v>
      </c>
      <c r="Q90" s="141">
        <v>3.1670678097706491</v>
      </c>
      <c r="R90" s="141">
        <v>3.1182184998090974</v>
      </c>
      <c r="S90" s="141">
        <v>3.083760453905692</v>
      </c>
      <c r="T90" s="141">
        <v>3.041874114002451</v>
      </c>
      <c r="U90" s="141">
        <v>2.9817389634297449</v>
      </c>
      <c r="V90" s="141">
        <v>2.9370697636524303</v>
      </c>
      <c r="W90" s="141">
        <v>2.8914279177263578</v>
      </c>
      <c r="X90" s="141">
        <v>2.853860503924956</v>
      </c>
      <c r="Y90" s="141">
        <v>2.8216472487343909</v>
      </c>
      <c r="DA90" s="174" t="s">
        <v>864</v>
      </c>
    </row>
    <row r="91" spans="1:105" ht="11.45" customHeight="1" x14ac:dyDescent="0.25">
      <c r="A91" s="109" t="s">
        <v>20</v>
      </c>
      <c r="B91" s="130">
        <v>8.1841338449700398</v>
      </c>
      <c r="C91" s="130">
        <v>8.0541002452484776</v>
      </c>
      <c r="D91" s="130">
        <v>7.9838142925141193</v>
      </c>
      <c r="E91" s="130">
        <v>7.928420390943808</v>
      </c>
      <c r="F91" s="130">
        <v>7.8431527567833452</v>
      </c>
      <c r="G91" s="130">
        <v>7.7184872752152938</v>
      </c>
      <c r="H91" s="130">
        <v>7.6244766548360721</v>
      </c>
      <c r="I91" s="130">
        <v>7.4591246077404358</v>
      </c>
      <c r="J91" s="130">
        <v>7.3213261178354818</v>
      </c>
      <c r="K91" s="130">
        <v>7.2077205769071213</v>
      </c>
      <c r="L91" s="130">
        <v>7.0530951550628176</v>
      </c>
      <c r="M91" s="130">
        <v>6.8893979843599737</v>
      </c>
      <c r="N91" s="130">
        <v>6.7108674582782317</v>
      </c>
      <c r="O91" s="130">
        <v>6.5235473372751587</v>
      </c>
      <c r="P91" s="130">
        <v>6.3119403230663753</v>
      </c>
      <c r="Q91" s="130">
        <v>6.0961378697979676</v>
      </c>
      <c r="R91" s="130">
        <v>5.9332129552672352</v>
      </c>
      <c r="S91" s="130">
        <v>5.7833471643321142</v>
      </c>
      <c r="T91" s="130">
        <v>5.6618247460085955</v>
      </c>
      <c r="U91" s="130">
        <v>5.5065324652847609</v>
      </c>
      <c r="V91" s="130">
        <v>5.3551230062481689</v>
      </c>
      <c r="W91" s="130">
        <v>5.172176474627137</v>
      </c>
      <c r="X91" s="130">
        <v>4.9422432197530268</v>
      </c>
      <c r="Y91" s="130">
        <v>4.6751232030560148</v>
      </c>
      <c r="DA91" s="176" t="s">
        <v>865</v>
      </c>
    </row>
    <row r="92" spans="1:105" ht="11.45" customHeight="1" x14ac:dyDescent="0.25">
      <c r="A92" s="111" t="s">
        <v>110</v>
      </c>
      <c r="B92" s="96">
        <v>8.2853424553175561</v>
      </c>
      <c r="C92" s="96">
        <v>8.162060080599387</v>
      </c>
      <c r="D92" s="96">
        <v>8.0951183652507659</v>
      </c>
      <c r="E92" s="96">
        <v>8.0342161224678801</v>
      </c>
      <c r="F92" s="96">
        <v>7.947322365332492</v>
      </c>
      <c r="G92" s="96">
        <v>7.8365674788118147</v>
      </c>
      <c r="H92" s="96">
        <v>7.7412477013699243</v>
      </c>
      <c r="I92" s="96">
        <v>7.5978637931264341</v>
      </c>
      <c r="J92" s="96">
        <v>7.4643272241418925</v>
      </c>
      <c r="K92" s="96">
        <v>7.3475642471339482</v>
      </c>
      <c r="L92" s="96">
        <v>7.1922988527329972</v>
      </c>
      <c r="M92" s="96">
        <v>7.0043796739548618</v>
      </c>
      <c r="N92" s="96">
        <v>6.7888818537390394</v>
      </c>
      <c r="O92" s="96">
        <v>6.555676549577699</v>
      </c>
      <c r="P92" s="96">
        <v>6.3085677276341938</v>
      </c>
      <c r="Q92" s="96">
        <v>6.0872410507744652</v>
      </c>
      <c r="R92" s="96">
        <v>5.8684156193900829</v>
      </c>
      <c r="S92" s="96">
        <v>5.6871974726604311</v>
      </c>
      <c r="T92" s="96">
        <v>5.543088749653859</v>
      </c>
      <c r="U92" s="96">
        <v>5.3922232971766064</v>
      </c>
      <c r="V92" s="96">
        <v>5.2683119794223749</v>
      </c>
      <c r="W92" s="96">
        <v>5.1479724308441446</v>
      </c>
      <c r="X92" s="96">
        <v>5.0188788795591162</v>
      </c>
      <c r="Y92" s="96">
        <v>4.8940438172118172</v>
      </c>
      <c r="DA92" s="171" t="s">
        <v>866</v>
      </c>
    </row>
    <row r="93" spans="1:105" ht="11.45" customHeight="1" x14ac:dyDescent="0.25">
      <c r="A93" s="111" t="s">
        <v>111</v>
      </c>
      <c r="B93" s="96">
        <v>6.7149838895179652</v>
      </c>
      <c r="C93" s="96">
        <v>6.2283023302433413</v>
      </c>
      <c r="D93" s="96">
        <v>6.1168308620188556</v>
      </c>
      <c r="E93" s="96">
        <v>6.0591747147009007</v>
      </c>
      <c r="F93" s="96">
        <v>6.0231514224127602</v>
      </c>
      <c r="G93" s="96">
        <v>6.0132201298910291</v>
      </c>
      <c r="H93" s="96">
        <v>6.0542020339325866</v>
      </c>
      <c r="I93" s="96">
        <v>6.0733816584686089</v>
      </c>
      <c r="J93" s="96">
        <v>6.0530201232314464</v>
      </c>
      <c r="K93" s="96">
        <v>6.0280751527769949</v>
      </c>
      <c r="L93" s="96">
        <v>5.9610969998583769</v>
      </c>
      <c r="M93" s="96">
        <v>5.8942095077333621</v>
      </c>
      <c r="N93" s="96">
        <v>5.837214201915442</v>
      </c>
      <c r="O93" s="96">
        <v>5.7772022209823</v>
      </c>
      <c r="P93" s="96">
        <v>5.7080000789283991</v>
      </c>
      <c r="Q93" s="96">
        <v>5.6073699399998604</v>
      </c>
      <c r="R93" s="96">
        <v>5.4113107208710627</v>
      </c>
      <c r="S93" s="96">
        <v>5.3009337009341513</v>
      </c>
      <c r="T93" s="96">
        <v>5.2485811948235668</v>
      </c>
      <c r="U93" s="96">
        <v>5.1744851185191054</v>
      </c>
      <c r="V93" s="96">
        <v>5.1232935225795497</v>
      </c>
      <c r="W93" s="96">
        <v>5.0883709754600126</v>
      </c>
      <c r="X93" s="96">
        <v>5.0207450822711044</v>
      </c>
      <c r="Y93" s="96">
        <v>4.974328579918982</v>
      </c>
      <c r="DA93" s="171" t="s">
        <v>867</v>
      </c>
    </row>
    <row r="94" spans="1:105" ht="11.45" customHeight="1" x14ac:dyDescent="0.25">
      <c r="A94" s="111" t="s">
        <v>112</v>
      </c>
      <c r="B94" s="96">
        <v>7.6635637500168547</v>
      </c>
      <c r="C94" s="96">
        <v>7.600410911888356</v>
      </c>
      <c r="D94" s="96">
        <v>7.5974186758977078</v>
      </c>
      <c r="E94" s="96">
        <v>7.5899720779474107</v>
      </c>
      <c r="F94" s="96">
        <v>7.5853186696192285</v>
      </c>
      <c r="G94" s="96">
        <v>7.5792634626896955</v>
      </c>
      <c r="H94" s="96">
        <v>7.5745031488431467</v>
      </c>
      <c r="I94" s="96">
        <v>7.5671897576282001</v>
      </c>
      <c r="J94" s="96">
        <v>7.5528934343191496</v>
      </c>
      <c r="K94" s="96">
        <v>7.5254522338945273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0</v>
      </c>
      <c r="S94" s="96">
        <v>0</v>
      </c>
      <c r="T94" s="96">
        <v>0</v>
      </c>
      <c r="U94" s="96">
        <v>0</v>
      </c>
      <c r="V94" s="96">
        <v>0</v>
      </c>
      <c r="W94" s="96">
        <v>0</v>
      </c>
      <c r="X94" s="96">
        <v>0</v>
      </c>
      <c r="Y94" s="96">
        <v>0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5.9026811755590884</v>
      </c>
      <c r="R95" s="96">
        <v>7.1937356965111601</v>
      </c>
      <c r="S95" s="96">
        <v>4.2005499357079623</v>
      </c>
      <c r="T95" s="96">
        <v>4.5168127774133744</v>
      </c>
      <c r="U95" s="96">
        <v>4.6297464328958489</v>
      </c>
      <c r="V95" s="96">
        <v>4.6526831252061704</v>
      </c>
      <c r="W95" s="96">
        <v>4.6245505196195262</v>
      </c>
      <c r="X95" s="96">
        <v>4.60356484065972</v>
      </c>
      <c r="Y95" s="96">
        <v>4.5954883230427113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2.6790006484015434</v>
      </c>
      <c r="O96" s="96">
        <v>2.9926178993584918</v>
      </c>
      <c r="P96" s="96">
        <v>2.0100879275776395</v>
      </c>
      <c r="Q96" s="96">
        <v>5.101821500015177</v>
      </c>
      <c r="R96" s="96">
        <v>3.3483933618692379</v>
      </c>
      <c r="S96" s="96">
        <v>2.7399791381013556</v>
      </c>
      <c r="T96" s="96">
        <v>2.4380395164078656</v>
      </c>
      <c r="U96" s="96">
        <v>2.3912954503013699</v>
      </c>
      <c r="V96" s="96">
        <v>2.2854203732776703</v>
      </c>
      <c r="W96" s="96">
        <v>2.4401455872040083</v>
      </c>
      <c r="X96" s="96">
        <v>2.4502365786760749</v>
      </c>
      <c r="Y96" s="96">
        <v>2.4403681781189182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1.2208913782356174</v>
      </c>
      <c r="L97" s="96">
        <v>1.2140317580067785</v>
      </c>
      <c r="M97" s="96">
        <v>1.2048473618793256</v>
      </c>
      <c r="N97" s="96">
        <v>1.2043010276179982</v>
      </c>
      <c r="O97" s="96">
        <v>1.2360367266819201</v>
      </c>
      <c r="P97" s="96">
        <v>1.2189270546483693</v>
      </c>
      <c r="Q97" s="96">
        <v>1.3516326923782505</v>
      </c>
      <c r="R97" s="96">
        <v>1.3340550190083156</v>
      </c>
      <c r="S97" s="96">
        <v>1.3235274113469329</v>
      </c>
      <c r="T97" s="96">
        <v>1.3119581872778636</v>
      </c>
      <c r="U97" s="96">
        <v>1.3482053924491819</v>
      </c>
      <c r="V97" s="96">
        <v>1.3929474738770573</v>
      </c>
      <c r="W97" s="96">
        <v>1.4380304066070948</v>
      </c>
      <c r="X97" s="96">
        <v>1.4678109731613984</v>
      </c>
      <c r="Y97" s="96">
        <v>1.4637867886344242</v>
      </c>
      <c r="DA97" s="171" t="s">
        <v>871</v>
      </c>
    </row>
    <row r="98" spans="1:105" ht="11.45" customHeight="1" x14ac:dyDescent="0.25">
      <c r="A98" s="109" t="s">
        <v>21</v>
      </c>
      <c r="B98" s="130">
        <v>49.659132323882268</v>
      </c>
      <c r="C98" s="130">
        <v>48.849184118323819</v>
      </c>
      <c r="D98" s="130">
        <v>48.439531692411379</v>
      </c>
      <c r="E98" s="130">
        <v>49.483647273505213</v>
      </c>
      <c r="F98" s="130">
        <v>49.266645820209952</v>
      </c>
      <c r="G98" s="130">
        <v>48.556795257952189</v>
      </c>
      <c r="H98" s="130">
        <v>47.429467689370881</v>
      </c>
      <c r="I98" s="130">
        <v>46.472309411514374</v>
      </c>
      <c r="J98" s="130">
        <v>46.320221809964814</v>
      </c>
      <c r="K98" s="130">
        <v>46.144364641609968</v>
      </c>
      <c r="L98" s="130">
        <v>45.961052340165544</v>
      </c>
      <c r="M98" s="130">
        <v>45.736857862145634</v>
      </c>
      <c r="N98" s="130">
        <v>45.445580835407519</v>
      </c>
      <c r="O98" s="130">
        <v>45.106963716209066</v>
      </c>
      <c r="P98" s="130">
        <v>45.058927387337917</v>
      </c>
      <c r="Q98" s="130">
        <v>44.943759145503734</v>
      </c>
      <c r="R98" s="130">
        <v>44.651132875472612</v>
      </c>
      <c r="S98" s="130">
        <v>44.186398180420994</v>
      </c>
      <c r="T98" s="130">
        <v>43.814383027783258</v>
      </c>
      <c r="U98" s="130">
        <v>43.357391755969651</v>
      </c>
      <c r="V98" s="130">
        <v>42.914790827156921</v>
      </c>
      <c r="W98" s="130">
        <v>41.925149631985448</v>
      </c>
      <c r="X98" s="130">
        <v>40.579433456942034</v>
      </c>
      <c r="Y98" s="130">
        <v>39.315424107435419</v>
      </c>
      <c r="DA98" s="176" t="s">
        <v>872</v>
      </c>
    </row>
    <row r="99" spans="1:105" ht="11.45" customHeight="1" x14ac:dyDescent="0.25">
      <c r="A99" s="111" t="s">
        <v>110</v>
      </c>
      <c r="B99" s="97">
        <v>18.582448075298945</v>
      </c>
      <c r="C99" s="97">
        <v>18.582448075298949</v>
      </c>
      <c r="D99" s="97">
        <v>18.582448075298945</v>
      </c>
      <c r="E99" s="97">
        <v>18.582448075298949</v>
      </c>
      <c r="F99" s="97">
        <v>18.582448075298942</v>
      </c>
      <c r="G99" s="97">
        <v>18.383778458597206</v>
      </c>
      <c r="H99" s="97">
        <v>17.799853090717086</v>
      </c>
      <c r="I99" s="97">
        <v>17.209241892529455</v>
      </c>
      <c r="J99" s="97">
        <v>16.621028390461298</v>
      </c>
      <c r="K99" s="97">
        <v>16.034957621716785</v>
      </c>
      <c r="L99" s="97">
        <v>15.530970482689344</v>
      </c>
      <c r="M99" s="97">
        <v>15.116396622103961</v>
      </c>
      <c r="N99" s="97">
        <v>14.723743732923172</v>
      </c>
      <c r="O99" s="97">
        <v>14.471713818576021</v>
      </c>
      <c r="P99" s="97">
        <v>14.361093559095854</v>
      </c>
      <c r="Q99" s="97">
        <v>14.070630791472139</v>
      </c>
      <c r="R99" s="97">
        <v>14.031894384795335</v>
      </c>
      <c r="S99" s="97">
        <v>13.989590910699908</v>
      </c>
      <c r="T99" s="97">
        <v>13.841650641395612</v>
      </c>
      <c r="U99" s="97">
        <v>13.837243754589514</v>
      </c>
      <c r="V99" s="97">
        <v>13.822397007450245</v>
      </c>
      <c r="W99" s="97">
        <v>13.796229949602077</v>
      </c>
      <c r="X99" s="97">
        <v>13.795074624151358</v>
      </c>
      <c r="Y99" s="97">
        <v>13.763859097736331</v>
      </c>
      <c r="DA99" s="175" t="s">
        <v>873</v>
      </c>
    </row>
    <row r="100" spans="1:105" ht="11.45" customHeight="1" x14ac:dyDescent="0.25">
      <c r="A100" s="111" t="s">
        <v>111</v>
      </c>
      <c r="B100" s="97">
        <v>53.648214743382944</v>
      </c>
      <c r="C100" s="97">
        <v>52.507033269364797</v>
      </c>
      <c r="D100" s="97">
        <v>51.934123108339861</v>
      </c>
      <c r="E100" s="97">
        <v>51.48297318885102</v>
      </c>
      <c r="F100" s="97">
        <v>50.785705032145628</v>
      </c>
      <c r="G100" s="97">
        <v>49.890838411786312</v>
      </c>
      <c r="H100" s="97">
        <v>48.842949094219243</v>
      </c>
      <c r="I100" s="97">
        <v>47.961332227676955</v>
      </c>
      <c r="J100" s="97">
        <v>47.790852530158602</v>
      </c>
      <c r="K100" s="97">
        <v>47.57378470542892</v>
      </c>
      <c r="L100" s="97">
        <v>47.343743571981804</v>
      </c>
      <c r="M100" s="97">
        <v>47.125021718456146</v>
      </c>
      <c r="N100" s="97">
        <v>46.833775908157364</v>
      </c>
      <c r="O100" s="97">
        <v>46.589804526750285</v>
      </c>
      <c r="P100" s="97">
        <v>46.319201760903688</v>
      </c>
      <c r="Q100" s="97">
        <v>46.031573780997057</v>
      </c>
      <c r="R100" s="97">
        <v>45.592945335754223</v>
      </c>
      <c r="S100" s="97">
        <v>45.005354352639458</v>
      </c>
      <c r="T100" s="97">
        <v>44.517777848870168</v>
      </c>
      <c r="U100" s="97">
        <v>44.042833565420814</v>
      </c>
      <c r="V100" s="97">
        <v>43.523136500834262</v>
      </c>
      <c r="W100" s="97">
        <v>42.851418643192829</v>
      </c>
      <c r="X100" s="97">
        <v>42.167944678270807</v>
      </c>
      <c r="Y100" s="97">
        <v>42.004711043255504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X101" s="97">
        <v>0</v>
      </c>
      <c r="Y101" s="97">
        <v>0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37.799999999919784</v>
      </c>
      <c r="R102" s="97">
        <v>37.30914292368292</v>
      </c>
      <c r="S102" s="97">
        <v>36.799273874308859</v>
      </c>
      <c r="T102" s="97">
        <v>36.799273874308859</v>
      </c>
      <c r="U102" s="97">
        <v>36.785545995505551</v>
      </c>
      <c r="V102" s="97">
        <v>36.770185920722668</v>
      </c>
      <c r="W102" s="97">
        <v>36.753403156302141</v>
      </c>
      <c r="X102" s="97">
        <v>36.731641536432775</v>
      </c>
      <c r="Y102" s="97">
        <v>36.635590980985818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0</v>
      </c>
      <c r="Q103" s="97">
        <v>0</v>
      </c>
      <c r="R103" s="97">
        <v>25.353161986188397</v>
      </c>
      <c r="S103" s="97">
        <v>25.362544640135702</v>
      </c>
      <c r="T103" s="97">
        <v>25.348427159924203</v>
      </c>
      <c r="U103" s="97">
        <v>25.084930037295678</v>
      </c>
      <c r="V103" s="97">
        <v>25.074371851649317</v>
      </c>
      <c r="W103" s="97">
        <v>24.553893688368273</v>
      </c>
      <c r="X103" s="97">
        <v>24.186051135307132</v>
      </c>
      <c r="Y103" s="97">
        <v>23.795183254244598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10.403313775856093</v>
      </c>
      <c r="C105" s="141">
        <v>10.004430744663042</v>
      </c>
      <c r="D105" s="141">
        <v>9.6072656716608762</v>
      </c>
      <c r="E105" s="141">
        <v>9.2473542742387664</v>
      </c>
      <c r="F105" s="141">
        <v>8.9007453472733591</v>
      </c>
      <c r="G105" s="141">
        <v>8.5828753623803422</v>
      </c>
      <c r="H105" s="141">
        <v>8.3178327974127431</v>
      </c>
      <c r="I105" s="141">
        <v>8.0516584508489171</v>
      </c>
      <c r="J105" s="141">
        <v>7.8261885863942613</v>
      </c>
      <c r="K105" s="141">
        <v>7.631649454715383</v>
      </c>
      <c r="L105" s="141">
        <v>7.5342644428505334</v>
      </c>
      <c r="M105" s="141">
        <v>7.5748207592441137</v>
      </c>
      <c r="N105" s="141">
        <v>7.5704387222044707</v>
      </c>
      <c r="O105" s="141">
        <v>7.4911836954199371</v>
      </c>
      <c r="P105" s="141">
        <v>7.3391381687330739</v>
      </c>
      <c r="Q105" s="141">
        <v>7.1262651054329869</v>
      </c>
      <c r="R105" s="141">
        <v>6.9158101123281019</v>
      </c>
      <c r="S105" s="141">
        <v>6.6901800228773061</v>
      </c>
      <c r="T105" s="141">
        <v>6.4094029905302206</v>
      </c>
      <c r="U105" s="141">
        <v>6.1230228814566061</v>
      </c>
      <c r="V105" s="141">
        <v>6.0064777251731112</v>
      </c>
      <c r="W105" s="141">
        <v>5.9248304420866038</v>
      </c>
      <c r="X105" s="141">
        <v>5.8594202973455198</v>
      </c>
      <c r="Y105" s="141">
        <v>5.8276539852828027</v>
      </c>
      <c r="DA105" s="174" t="s">
        <v>878</v>
      </c>
    </row>
    <row r="106" spans="1:105" ht="11.45" customHeight="1" x14ac:dyDescent="0.25">
      <c r="A106" s="111" t="s">
        <v>110</v>
      </c>
      <c r="B106" s="96">
        <v>11.973261431015182</v>
      </c>
      <c r="C106" s="96">
        <v>11.647756744370231</v>
      </c>
      <c r="D106" s="96">
        <v>11.35319838455556</v>
      </c>
      <c r="E106" s="96">
        <v>11.103678911069654</v>
      </c>
      <c r="F106" s="96">
        <v>10.879519979798413</v>
      </c>
      <c r="G106" s="96">
        <v>10.679807363797458</v>
      </c>
      <c r="H106" s="96">
        <v>10.506572998537481</v>
      </c>
      <c r="I106" s="96">
        <v>10.396731617996146</v>
      </c>
      <c r="J106" s="96">
        <v>10.214042964569582</v>
      </c>
      <c r="K106" s="96">
        <v>9.9912940610370917</v>
      </c>
      <c r="L106" s="96">
        <v>9.8321831933247559</v>
      </c>
      <c r="M106" s="96">
        <v>9.7551838825013721</v>
      </c>
      <c r="N106" s="96">
        <v>9.6529053365840998</v>
      </c>
      <c r="O106" s="96">
        <v>9.4303145239809929</v>
      </c>
      <c r="P106" s="96">
        <v>9.1402924749054613</v>
      </c>
      <c r="Q106" s="96">
        <v>8.6571852198897101</v>
      </c>
      <c r="R106" s="96">
        <v>8.1585920132758059</v>
      </c>
      <c r="S106" s="96">
        <v>7.6860795195718579</v>
      </c>
      <c r="T106" s="96">
        <v>7.2175155211111841</v>
      </c>
      <c r="U106" s="96">
        <v>6.6872166768981458</v>
      </c>
      <c r="V106" s="96">
        <v>6.2257119482486374</v>
      </c>
      <c r="W106" s="96">
        <v>5.7956111899104812</v>
      </c>
      <c r="X106" s="96">
        <v>5.3595237674504883</v>
      </c>
      <c r="Y106" s="96">
        <v>5.0594275680487604</v>
      </c>
      <c r="DA106" s="171" t="s">
        <v>879</v>
      </c>
    </row>
    <row r="107" spans="1:105" ht="11.45" customHeight="1" x14ac:dyDescent="0.25">
      <c r="A107" s="111" t="s">
        <v>111</v>
      </c>
      <c r="B107" s="96">
        <v>9.9845171766950251</v>
      </c>
      <c r="C107" s="96">
        <v>9.4393497615443511</v>
      </c>
      <c r="D107" s="96">
        <v>8.9605957948428383</v>
      </c>
      <c r="E107" s="96">
        <v>8.5784431421108316</v>
      </c>
      <c r="F107" s="96">
        <v>8.2251255826971725</v>
      </c>
      <c r="G107" s="96">
        <v>7.9409677610021374</v>
      </c>
      <c r="H107" s="96">
        <v>7.7323160672766917</v>
      </c>
      <c r="I107" s="96">
        <v>7.5533918686874637</v>
      </c>
      <c r="J107" s="96">
        <v>7.4003881580238149</v>
      </c>
      <c r="K107" s="96">
        <v>7.2680760900596448</v>
      </c>
      <c r="L107" s="96">
        <v>7.2299703713787222</v>
      </c>
      <c r="M107" s="96">
        <v>7.3011689955654697</v>
      </c>
      <c r="N107" s="96">
        <v>7.3272182848423784</v>
      </c>
      <c r="O107" s="96">
        <v>7.2670787727468529</v>
      </c>
      <c r="P107" s="96">
        <v>7.1305502797822342</v>
      </c>
      <c r="Q107" s="96">
        <v>6.9537704841321126</v>
      </c>
      <c r="R107" s="96">
        <v>6.7649017075009894</v>
      </c>
      <c r="S107" s="96">
        <v>6.5635666532606001</v>
      </c>
      <c r="T107" s="96">
        <v>6.3103793775181805</v>
      </c>
      <c r="U107" s="96">
        <v>6.0610855923572062</v>
      </c>
      <c r="V107" s="96">
        <v>5.9864459714396228</v>
      </c>
      <c r="W107" s="96">
        <v>5.9540990996006018</v>
      </c>
      <c r="X107" s="96">
        <v>5.9402836729663964</v>
      </c>
      <c r="Y107" s="96">
        <v>5.9611556646219039</v>
      </c>
      <c r="DA107" s="171" t="s">
        <v>880</v>
      </c>
    </row>
    <row r="108" spans="1:105" ht="11.45" customHeight="1" x14ac:dyDescent="0.25">
      <c r="A108" s="111" t="s">
        <v>112</v>
      </c>
      <c r="B108" s="96">
        <v>17.372247415775526</v>
      </c>
      <c r="C108" s="96">
        <v>15.951814401576094</v>
      </c>
      <c r="D108" s="96">
        <v>14.775403165012749</v>
      </c>
      <c r="E108" s="96">
        <v>14.552447094964835</v>
      </c>
      <c r="F108" s="96">
        <v>14.327208409417079</v>
      </c>
      <c r="G108" s="96">
        <v>14.064116261743006</v>
      </c>
      <c r="H108" s="96">
        <v>13.938117557277758</v>
      </c>
      <c r="I108" s="96">
        <v>13.471755772101478</v>
      </c>
      <c r="J108" s="96">
        <v>12.831647312265124</v>
      </c>
      <c r="K108" s="96">
        <v>12.010166454319396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X108" s="96">
        <v>0</v>
      </c>
      <c r="Y108" s="96">
        <v>0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7.1415779395813477</v>
      </c>
      <c r="R109" s="96">
        <v>7.0781943891337615</v>
      </c>
      <c r="S109" s="96">
        <v>6.9506202937167192</v>
      </c>
      <c r="T109" s="96">
        <v>6.9224022401389647</v>
      </c>
      <c r="U109" s="96">
        <v>6.9150218474498217</v>
      </c>
      <c r="V109" s="96">
        <v>6.9157613372696476</v>
      </c>
      <c r="W109" s="96">
        <v>6.9084204888734941</v>
      </c>
      <c r="X109" s="96">
        <v>6.8977273048404273</v>
      </c>
      <c r="Y109" s="96">
        <v>6.8825076142257391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1.3327601031814273</v>
      </c>
      <c r="O110" s="96">
        <v>1.3327601031814271</v>
      </c>
      <c r="P110" s="96">
        <v>1.4317471635593397</v>
      </c>
      <c r="Q110" s="96">
        <v>1.4202542778941014</v>
      </c>
      <c r="R110" s="96">
        <v>1.423102266460254</v>
      </c>
      <c r="S110" s="96">
        <v>1.4221411480071722</v>
      </c>
      <c r="T110" s="96">
        <v>1.4889176940185522</v>
      </c>
      <c r="U110" s="96">
        <v>1.5388319125246004</v>
      </c>
      <c r="V110" s="96">
        <v>1.8040675074407422</v>
      </c>
      <c r="W110" s="96">
        <v>2.0742412989844174</v>
      </c>
      <c r="X110" s="96">
        <v>2.1211495843549977</v>
      </c>
      <c r="Y110" s="96">
        <v>2.0740342549478088</v>
      </c>
      <c r="DA110" s="171" t="s">
        <v>883</v>
      </c>
    </row>
    <row r="111" spans="1:105" ht="11.45" customHeight="1" x14ac:dyDescent="0.25">
      <c r="A111" s="109" t="s">
        <v>154</v>
      </c>
      <c r="B111" s="130">
        <v>32.00048426923022</v>
      </c>
      <c r="C111" s="130">
        <v>31.916881751530955</v>
      </c>
      <c r="D111" s="130">
        <v>31.806003842875903</v>
      </c>
      <c r="E111" s="130">
        <v>31.690578222536839</v>
      </c>
      <c r="F111" s="130">
        <v>31.528298614642697</v>
      </c>
      <c r="G111" s="130">
        <v>31.213624826770225</v>
      </c>
      <c r="H111" s="130">
        <v>31.072941221349392</v>
      </c>
      <c r="I111" s="130">
        <v>30.723982690879851</v>
      </c>
      <c r="J111" s="130">
        <v>30.613951978651826</v>
      </c>
      <c r="K111" s="130">
        <v>30.442729546260079</v>
      </c>
      <c r="L111" s="130">
        <v>30.373439178304164</v>
      </c>
      <c r="M111" s="130">
        <v>30.173524661040474</v>
      </c>
      <c r="N111" s="130">
        <v>29.882161578876172</v>
      </c>
      <c r="O111" s="130">
        <v>29.578269068436487</v>
      </c>
      <c r="P111" s="130">
        <v>29.201362586874755</v>
      </c>
      <c r="Q111" s="130">
        <v>28.785328449877984</v>
      </c>
      <c r="R111" s="130">
        <v>28.555117905678237</v>
      </c>
      <c r="S111" s="130">
        <v>27.921451293710668</v>
      </c>
      <c r="T111" s="130">
        <v>27.157728102313907</v>
      </c>
      <c r="U111" s="130">
        <v>26.331126302731871</v>
      </c>
      <c r="V111" s="130">
        <v>25.885253335036651</v>
      </c>
      <c r="W111" s="130">
        <v>25.257919814994285</v>
      </c>
      <c r="X111" s="130">
        <v>24.475592905984151</v>
      </c>
      <c r="Y111" s="130">
        <v>23.745833374766988</v>
      </c>
      <c r="DA111" s="176" t="s">
        <v>884</v>
      </c>
    </row>
    <row r="112" spans="1:105" ht="11.45" customHeight="1" x14ac:dyDescent="0.25">
      <c r="A112" s="128" t="s">
        <v>27</v>
      </c>
      <c r="B112" s="97">
        <v>31.555212046033915</v>
      </c>
      <c r="C112" s="97">
        <v>31.486519075786319</v>
      </c>
      <c r="D112" s="97">
        <v>31.387169330458828</v>
      </c>
      <c r="E112" s="97">
        <v>31.28267947754965</v>
      </c>
      <c r="F112" s="97">
        <v>31.118135404305736</v>
      </c>
      <c r="G112" s="97">
        <v>30.839749015732689</v>
      </c>
      <c r="H112" s="97">
        <v>30.716206617308639</v>
      </c>
      <c r="I112" s="97">
        <v>30.389398257567745</v>
      </c>
      <c r="J112" s="97">
        <v>30.267742051949877</v>
      </c>
      <c r="K112" s="97">
        <v>30.141296353561444</v>
      </c>
      <c r="L112" s="97">
        <v>30.099429207980094</v>
      </c>
      <c r="M112" s="97">
        <v>29.909500066656655</v>
      </c>
      <c r="N112" s="97">
        <v>29.626004156115489</v>
      </c>
      <c r="O112" s="97">
        <v>29.333989719182465</v>
      </c>
      <c r="P112" s="97">
        <v>28.938516473982848</v>
      </c>
      <c r="Q112" s="97">
        <v>28.471750808282859</v>
      </c>
      <c r="R112" s="97">
        <v>28.303666962159006</v>
      </c>
      <c r="S112" s="97">
        <v>27.635601455657632</v>
      </c>
      <c r="T112" s="97">
        <v>26.802238046219884</v>
      </c>
      <c r="U112" s="97">
        <v>25.932045402151992</v>
      </c>
      <c r="V112" s="97">
        <v>25.507498357044529</v>
      </c>
      <c r="W112" s="97">
        <v>24.86023755121602</v>
      </c>
      <c r="X112" s="97">
        <v>24.025323354927998</v>
      </c>
      <c r="Y112" s="97">
        <v>23.254139349451332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36.373923743851819</v>
      </c>
      <c r="D113" s="98">
        <v>36.054306830476577</v>
      </c>
      <c r="E113" s="98">
        <v>35.797146014596507</v>
      </c>
      <c r="F113" s="98">
        <v>35.138722573188218</v>
      </c>
      <c r="G113" s="98">
        <v>34.836119520210985</v>
      </c>
      <c r="H113" s="98">
        <v>34.418456932133125</v>
      </c>
      <c r="I113" s="98">
        <v>34.019374299400233</v>
      </c>
      <c r="J113" s="98">
        <v>33.250492942821417</v>
      </c>
      <c r="K113" s="98">
        <v>32.933383007457294</v>
      </c>
      <c r="L113" s="98">
        <v>32.791608107015946</v>
      </c>
      <c r="M113" s="98">
        <v>32.534663129564557</v>
      </c>
      <c r="N113" s="98">
        <v>32.178688099408362</v>
      </c>
      <c r="O113" s="98">
        <v>31.480793585319219</v>
      </c>
      <c r="P113" s="98">
        <v>31.404638539574943</v>
      </c>
      <c r="Q113" s="98">
        <v>31.002725878677861</v>
      </c>
      <c r="R113" s="98">
        <v>30.126558312764839</v>
      </c>
      <c r="S113" s="98">
        <v>29.688483212336923</v>
      </c>
      <c r="T113" s="98">
        <v>29.56086216126014</v>
      </c>
      <c r="U113" s="98">
        <v>29.012042477089317</v>
      </c>
      <c r="V113" s="98">
        <v>28.225200698712108</v>
      </c>
      <c r="W113" s="98">
        <v>27.775198916642889</v>
      </c>
      <c r="X113" s="98">
        <v>27.281398262895792</v>
      </c>
      <c r="Y113" s="98">
        <v>27.046460289385923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1.0753784474072972</v>
      </c>
      <c r="C117" s="150">
        <f>IF(TrRoad_act!C59=0,0,TrRoad_ene!C62/TrRoad_tech!C90)</f>
        <v>1.0854743632855277</v>
      </c>
      <c r="D117" s="150">
        <f>IF(TrRoad_act!D59=0,0,TrRoad_ene!D62/TrRoad_tech!D90)</f>
        <v>1.0917882869219384</v>
      </c>
      <c r="E117" s="150">
        <f>IF(TrRoad_act!E59=0,0,TrRoad_ene!E62/TrRoad_tech!E90)</f>
        <v>1.0983035220717587</v>
      </c>
      <c r="F117" s="150">
        <f>IF(TrRoad_act!F59=0,0,TrRoad_ene!F62/TrRoad_tech!F90)</f>
        <v>1.104025863902321</v>
      </c>
      <c r="G117" s="150">
        <f>IF(TrRoad_act!G59=0,0,TrRoad_ene!G62/TrRoad_tech!G90)</f>
        <v>1.1070148687648658</v>
      </c>
      <c r="H117" s="150">
        <f>IF(TrRoad_act!H59=0,0,TrRoad_ene!H62/TrRoad_tech!H90)</f>
        <v>1.1151869988209628</v>
      </c>
      <c r="I117" s="150">
        <f>IF(TrRoad_act!I59=0,0,TrRoad_ene!I62/TrRoad_tech!I90)</f>
        <v>1.1271346711887933</v>
      </c>
      <c r="J117" s="150">
        <f>IF(TrRoad_act!J59=0,0,TrRoad_ene!J62/TrRoad_tech!J90)</f>
        <v>1.1490374223860311</v>
      </c>
      <c r="K117" s="150">
        <f>IF(TrRoad_act!K59=0,0,TrRoad_ene!K62/TrRoad_tech!K90)</f>
        <v>1.1589939007618253</v>
      </c>
      <c r="L117" s="150">
        <f>IF(TrRoad_act!L59=0,0,TrRoad_ene!L62/TrRoad_tech!L90)</f>
        <v>1.156942916665932</v>
      </c>
      <c r="M117" s="150">
        <f>IF(TrRoad_act!M59=0,0,TrRoad_ene!M62/TrRoad_tech!M90)</f>
        <v>1.1502341797071449</v>
      </c>
      <c r="N117" s="150">
        <f>IF(TrRoad_act!N59=0,0,TrRoad_ene!N62/TrRoad_tech!N90)</f>
        <v>1.1519141547483105</v>
      </c>
      <c r="O117" s="150">
        <f>IF(TrRoad_act!O59=0,0,TrRoad_ene!O62/TrRoad_tech!O90)</f>
        <v>1.1461527475937914</v>
      </c>
      <c r="P117" s="150">
        <f>IF(TrRoad_act!P59=0,0,TrRoad_ene!P62/TrRoad_tech!P90)</f>
        <v>1.1541152287847314</v>
      </c>
      <c r="Q117" s="150">
        <f>IF(TrRoad_act!Q59=0,0,TrRoad_ene!Q62/TrRoad_tech!Q90)</f>
        <v>1.1581116706873009</v>
      </c>
      <c r="R117" s="150">
        <f>IF(TrRoad_act!R59=0,0,TrRoad_ene!R62/TrRoad_tech!R90)</f>
        <v>1.1706185937362252</v>
      </c>
      <c r="S117" s="150">
        <f>IF(TrRoad_act!S59=0,0,TrRoad_ene!S62/TrRoad_tech!S90)</f>
        <v>1.1867099983262701</v>
      </c>
      <c r="T117" s="150">
        <f>IF(TrRoad_act!T59=0,0,TrRoad_ene!T62/TrRoad_tech!T90)</f>
        <v>1.1934952666865155</v>
      </c>
      <c r="U117" s="150">
        <f>IF(TrRoad_act!U59=0,0,TrRoad_ene!U62/TrRoad_tech!U90)</f>
        <v>1.2039176149550566</v>
      </c>
      <c r="V117" s="150">
        <f>IF(TrRoad_act!V59=0,0,TrRoad_ene!V62/TrRoad_tech!V90)</f>
        <v>1.2128627409933224</v>
      </c>
      <c r="W117" s="150">
        <f>IF(TrRoad_act!W59=0,0,TrRoad_ene!W62/TrRoad_tech!W90)</f>
        <v>1.2225030595558846</v>
      </c>
      <c r="X117" s="150">
        <f>IF(TrRoad_act!X59=0,0,TrRoad_ene!X62/TrRoad_tech!X90)</f>
        <v>1.2306396732871938</v>
      </c>
      <c r="Y117" s="150">
        <f>IF(TrRoad_act!Y59=0,0,TrRoad_ene!Y62/TrRoad_tech!Y90)</f>
        <v>1.2377775414858558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1.032334172178486</v>
      </c>
      <c r="C118" s="151">
        <f>IF(TrRoad_act!C60=0,0,TrRoad_ene!C63/TrRoad_tech!C91)</f>
        <v>1.0277371157535218</v>
      </c>
      <c r="D118" s="151">
        <f>IF(TrRoad_act!D60=0,0,TrRoad_ene!D63/TrRoad_tech!D91)</f>
        <v>1.0271056009652144</v>
      </c>
      <c r="E118" s="151">
        <f>IF(TrRoad_act!E60=0,0,TrRoad_ene!E63/TrRoad_tech!E91)</f>
        <v>1.0282002260709291</v>
      </c>
      <c r="F118" s="151">
        <f>IF(TrRoad_act!F60=0,0,TrRoad_ene!F63/TrRoad_tech!F91)</f>
        <v>1.0304460723649578</v>
      </c>
      <c r="G118" s="151">
        <f>IF(TrRoad_act!G60=0,0,TrRoad_ene!G63/TrRoad_tech!G91)</f>
        <v>1.0289783008900866</v>
      </c>
      <c r="H118" s="151">
        <f>IF(TrRoad_act!H60=0,0,TrRoad_ene!H63/TrRoad_tech!H91)</f>
        <v>1.0281144741663704</v>
      </c>
      <c r="I118" s="151">
        <f>IF(TrRoad_act!I60=0,0,TrRoad_ene!I63/TrRoad_tech!I91)</f>
        <v>1.0270652226938872</v>
      </c>
      <c r="J118" s="151">
        <f>IF(TrRoad_act!J60=0,0,TrRoad_ene!J63/TrRoad_tech!J91)</f>
        <v>1.0180012236550269</v>
      </c>
      <c r="K118" s="151">
        <f>IF(TrRoad_act!K60=0,0,TrRoad_ene!K63/TrRoad_tech!K91)</f>
        <v>1.015290724273936</v>
      </c>
      <c r="L118" s="151">
        <f>IF(TrRoad_act!L60=0,0,TrRoad_ene!L63/TrRoad_tech!L91)</f>
        <v>1.0160270973774341</v>
      </c>
      <c r="M118" s="151">
        <f>IF(TrRoad_act!M60=0,0,TrRoad_ene!M63/TrRoad_tech!M91)</f>
        <v>1.0126505619713153</v>
      </c>
      <c r="N118" s="151">
        <f>IF(TrRoad_act!N60=0,0,TrRoad_ene!N63/TrRoad_tech!N91)</f>
        <v>1.0050659761921517</v>
      </c>
      <c r="O118" s="151">
        <f>IF(TrRoad_act!O60=0,0,TrRoad_ene!O63/TrRoad_tech!O91)</f>
        <v>1.00406843999664</v>
      </c>
      <c r="P118" s="151">
        <f>IF(TrRoad_act!P60=0,0,TrRoad_ene!P63/TrRoad_tech!P91)</f>
        <v>1.0172502271982105</v>
      </c>
      <c r="Q118" s="151">
        <f>IF(TrRoad_act!Q60=0,0,TrRoad_ene!Q63/TrRoad_tech!Q91)</f>
        <v>1.0396862897742896</v>
      </c>
      <c r="R118" s="151">
        <f>IF(TrRoad_act!R60=0,0,TrRoad_ene!R63/TrRoad_tech!R91)</f>
        <v>1.0232705086936313</v>
      </c>
      <c r="S118" s="151">
        <f>IF(TrRoad_act!S60=0,0,TrRoad_ene!S63/TrRoad_tech!S91)</f>
        <v>1.0294192042943811</v>
      </c>
      <c r="T118" s="151">
        <f>IF(TrRoad_act!T60=0,0,TrRoad_ene!T63/TrRoad_tech!T91)</f>
        <v>1.0433143834098457</v>
      </c>
      <c r="U118" s="151">
        <f>IF(TrRoad_act!U60=0,0,TrRoad_ene!U63/TrRoad_tech!U91)</f>
        <v>1.0473329012785066</v>
      </c>
      <c r="V118" s="151">
        <f>IF(TrRoad_act!V60=0,0,TrRoad_ene!V63/TrRoad_tech!V91)</f>
        <v>1.0440611567004587</v>
      </c>
      <c r="W118" s="151">
        <f>IF(TrRoad_act!W60=0,0,TrRoad_ene!W63/TrRoad_tech!W91)</f>
        <v>1.028843680724693</v>
      </c>
      <c r="X118" s="151">
        <f>IF(TrRoad_act!X60=0,0,TrRoad_ene!X63/TrRoad_tech!X91)</f>
        <v>1.0592502756145381</v>
      </c>
      <c r="Y118" s="151">
        <f>IF(TrRoad_act!Y60=0,0,TrRoad_ene!Y63/TrRoad_tech!Y91)</f>
        <v>1.0775424003207899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1.0278218932158139</v>
      </c>
      <c r="C119" s="91">
        <f>IF(TrRoad_act!C61=0,0,TrRoad_ene!C64/TrRoad_tech!C92)</f>
        <v>1.0278640922748585</v>
      </c>
      <c r="D119" s="91">
        <f>IF(TrRoad_act!D61=0,0,TrRoad_ene!D64/TrRoad_tech!D92)</f>
        <v>1.0279945536776032</v>
      </c>
      <c r="E119" s="91">
        <f>IF(TrRoad_act!E61=0,0,TrRoad_ene!E64/TrRoad_tech!E92)</f>
        <v>1.0282176120817115</v>
      </c>
      <c r="F119" s="91">
        <f>IF(TrRoad_act!F61=0,0,TrRoad_ene!F64/TrRoad_tech!F92)</f>
        <v>1.0286281003945947</v>
      </c>
      <c r="G119" s="91">
        <f>IF(TrRoad_act!G61=0,0,TrRoad_ene!G64/TrRoad_tech!G92)</f>
        <v>1.0293306010190251</v>
      </c>
      <c r="H119" s="91">
        <f>IF(TrRoad_act!H61=0,0,TrRoad_ene!H64/TrRoad_tech!H92)</f>
        <v>1.0302628427247804</v>
      </c>
      <c r="I119" s="91">
        <f>IF(TrRoad_act!I61=0,0,TrRoad_ene!I64/TrRoad_tech!I92)</f>
        <v>1.0315232530611071</v>
      </c>
      <c r="J119" s="91">
        <f>IF(TrRoad_act!J61=0,0,TrRoad_ene!J64/TrRoad_tech!J92)</f>
        <v>1.0324462126783989</v>
      </c>
      <c r="K119" s="91">
        <f>IF(TrRoad_act!K61=0,0,TrRoad_ene!K64/TrRoad_tech!K92)</f>
        <v>1.0331234602845052</v>
      </c>
      <c r="L119" s="91">
        <f>IF(TrRoad_act!L61=0,0,TrRoad_ene!L64/TrRoad_tech!L92)</f>
        <v>1.0343774537806272</v>
      </c>
      <c r="M119" s="91">
        <f>IF(TrRoad_act!M61=0,0,TrRoad_ene!M64/TrRoad_tech!M92)</f>
        <v>1.0363746943546799</v>
      </c>
      <c r="N119" s="91">
        <f>IF(TrRoad_act!N61=0,0,TrRoad_ene!N64/TrRoad_tech!N92)</f>
        <v>1.0383857883593965</v>
      </c>
      <c r="O119" s="91">
        <f>IF(TrRoad_act!O61=0,0,TrRoad_ene!O64/TrRoad_tech!O92)</f>
        <v>1.0408481245534464</v>
      </c>
      <c r="P119" s="91">
        <f>IF(TrRoad_act!P61=0,0,TrRoad_ene!P64/TrRoad_tech!P92)</f>
        <v>1.0439078259017529</v>
      </c>
      <c r="Q119" s="91">
        <f>IF(TrRoad_act!Q61=0,0,TrRoad_ene!Q64/TrRoad_tech!Q92)</f>
        <v>1.0943611962349948</v>
      </c>
      <c r="R119" s="91">
        <f>IF(TrRoad_act!R61=0,0,TrRoad_ene!R64/TrRoad_tech!R92)</f>
        <v>1.0512202572645637</v>
      </c>
      <c r="S119" s="91">
        <f>IF(TrRoad_act!S61=0,0,TrRoad_ene!S64/TrRoad_tech!S92)</f>
        <v>1.0551514546642957</v>
      </c>
      <c r="T119" s="91">
        <f>IF(TrRoad_act!T61=0,0,TrRoad_ene!T64/TrRoad_tech!T92)</f>
        <v>1.0588494664256707</v>
      </c>
      <c r="U119" s="91">
        <f>IF(TrRoad_act!U61=0,0,TrRoad_ene!U64/TrRoad_tech!U92)</f>
        <v>1.0633534729937901</v>
      </c>
      <c r="V119" s="91">
        <f>IF(TrRoad_act!V61=0,0,TrRoad_ene!V64/TrRoad_tech!V92)</f>
        <v>1.0600769134330887</v>
      </c>
      <c r="W119" s="91">
        <f>IF(TrRoad_act!W61=0,0,TrRoad_ene!W64/TrRoad_tech!W92)</f>
        <v>1.0282815746447291</v>
      </c>
      <c r="X119" s="91">
        <f>IF(TrRoad_act!X61=0,0,TrRoad_ene!X64/TrRoad_tech!X92)</f>
        <v>1.0623581780450873</v>
      </c>
      <c r="Y119" s="91">
        <f>IF(TrRoad_act!Y61=0,0,TrRoad_ene!Y64/TrRoad_tech!Y92)</f>
        <v>1.0627887433175573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1.1596118297423783</v>
      </c>
      <c r="C120" s="91">
        <f>IF(TrRoad_act!C62=0,0,TrRoad_ene!C65/TrRoad_tech!C93)</f>
        <v>1.1648868597078719</v>
      </c>
      <c r="D120" s="91">
        <f>IF(TrRoad_act!D62=0,0,TrRoad_ene!D65/TrRoad_tech!D93)</f>
        <v>1.1678331195038043</v>
      </c>
      <c r="E120" s="91">
        <f>IF(TrRoad_act!E62=0,0,TrRoad_ene!E65/TrRoad_tech!E93)</f>
        <v>1.2033246643189022</v>
      </c>
      <c r="F120" s="91">
        <f>IF(TrRoad_act!F62=0,0,TrRoad_ene!F65/TrRoad_tech!F93)</f>
        <v>1.2365308625557936</v>
      </c>
      <c r="G120" s="91">
        <f>IF(TrRoad_act!G62=0,0,TrRoad_ene!G65/TrRoad_tech!G93)</f>
        <v>1.2112121635484461</v>
      </c>
      <c r="H120" s="91">
        <f>IF(TrRoad_act!H62=0,0,TrRoad_ene!H65/TrRoad_tech!H93)</f>
        <v>1.1943215940253813</v>
      </c>
      <c r="I120" s="91">
        <f>IF(TrRoad_act!I62=0,0,TrRoad_ene!I65/TrRoad_tech!I93)</f>
        <v>1.16731165384907</v>
      </c>
      <c r="J120" s="91">
        <f>IF(TrRoad_act!J62=0,0,TrRoad_ene!J65/TrRoad_tech!J93)</f>
        <v>1.1195446764186543</v>
      </c>
      <c r="K120" s="91">
        <f>IF(TrRoad_act!K62=0,0,TrRoad_ene!K65/TrRoad_tech!K93)</f>
        <v>1.1071238241262185</v>
      </c>
      <c r="L120" s="91">
        <f>IF(TrRoad_act!L62=0,0,TrRoad_ene!L65/TrRoad_tech!L93)</f>
        <v>1.1116676069803424</v>
      </c>
      <c r="M120" s="91">
        <f>IF(TrRoad_act!M62=0,0,TrRoad_ene!M65/TrRoad_tech!M93)</f>
        <v>1.0986619195510292</v>
      </c>
      <c r="N120" s="91">
        <f>IF(TrRoad_act!N62=0,0,TrRoad_ene!N65/TrRoad_tech!N93)</f>
        <v>1.0748945158703047</v>
      </c>
      <c r="O120" s="91">
        <f>IF(TrRoad_act!O62=0,0,TrRoad_ene!O65/TrRoad_tech!O93)</f>
        <v>1.0661335897954056</v>
      </c>
      <c r="P120" s="91">
        <f>IF(TrRoad_act!P62=0,0,TrRoad_ene!P65/TrRoad_tech!P93)</f>
        <v>1.0862528250052659</v>
      </c>
      <c r="Q120" s="91">
        <f>IF(TrRoad_act!Q62=0,0,TrRoad_ene!Q65/TrRoad_tech!Q93)</f>
        <v>1.0635618223949463</v>
      </c>
      <c r="R120" s="91">
        <f>IF(TrRoad_act!R62=0,0,TrRoad_ene!R65/TrRoad_tech!R93)</f>
        <v>1.1036118446585423</v>
      </c>
      <c r="S120" s="91">
        <f>IF(TrRoad_act!S62=0,0,TrRoad_ene!S65/TrRoad_tech!S93)</f>
        <v>1.1188871612984881</v>
      </c>
      <c r="T120" s="91">
        <f>IF(TrRoad_act!T62=0,0,TrRoad_ene!T65/TrRoad_tech!T93)</f>
        <v>1.1450878674618048</v>
      </c>
      <c r="U120" s="91">
        <f>IF(TrRoad_act!U62=0,0,TrRoad_ene!U65/TrRoad_tech!U93)</f>
        <v>1.1388286713340887</v>
      </c>
      <c r="V120" s="91">
        <f>IF(TrRoad_act!V62=0,0,TrRoad_ene!V65/TrRoad_tech!V93)</f>
        <v>1.127026245300621</v>
      </c>
      <c r="W120" s="91">
        <f>IF(TrRoad_act!W62=0,0,TrRoad_ene!W65/TrRoad_tech!W93)</f>
        <v>1.127132451010564</v>
      </c>
      <c r="X120" s="91">
        <f>IF(TrRoad_act!X62=0,0,TrRoad_ene!X65/TrRoad_tech!X93)</f>
        <v>1.1348481919347964</v>
      </c>
      <c r="Y120" s="91">
        <f>IF(TrRoad_act!Y62=0,0,TrRoad_ene!Y65/TrRoad_tech!Y93)</f>
        <v>1.1544820770679691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1.02777777778159</v>
      </c>
      <c r="C121" s="91">
        <f>IF(TrRoad_act!C63=0,0,TrRoad_ene!C66/TrRoad_tech!C94)</f>
        <v>1.1644091086409016</v>
      </c>
      <c r="D121" s="91">
        <f>IF(TrRoad_act!D63=0,0,TrRoad_ene!D66/TrRoad_tech!D94)</f>
        <v>1.3907180402445298</v>
      </c>
      <c r="E121" s="91">
        <f>IF(TrRoad_act!E63=0,0,TrRoad_ene!E66/TrRoad_tech!E94)</f>
        <v>1.3107453088553496</v>
      </c>
      <c r="F121" s="91">
        <f>IF(TrRoad_act!F63=0,0,TrRoad_ene!F66/TrRoad_tech!F94)</f>
        <v>1.2967812495516147</v>
      </c>
      <c r="G121" s="91">
        <f>IF(TrRoad_act!G63=0,0,TrRoad_ene!G66/TrRoad_tech!G94)</f>
        <v>1.3442157767085257</v>
      </c>
      <c r="H121" s="91">
        <f>IF(TrRoad_act!H63=0,0,TrRoad_ene!H66/TrRoad_tech!H94)</f>
        <v>1.3484918946625899</v>
      </c>
      <c r="I121" s="91">
        <f>IF(TrRoad_act!I63=0,0,TrRoad_ene!I66/TrRoad_tech!I94)</f>
        <v>1.2703871398455941</v>
      </c>
      <c r="J121" s="91">
        <f>IF(TrRoad_act!J63=0,0,TrRoad_ene!J66/TrRoad_tech!J94)</f>
        <v>1.272537364076505</v>
      </c>
      <c r="K121" s="91">
        <f>IF(TrRoad_act!K63=0,0,TrRoad_ene!K66/TrRoad_tech!K94)</f>
        <v>1.3503073865339656</v>
      </c>
      <c r="L121" s="91">
        <f>IF(TrRoad_act!L63=0,0,TrRoad_ene!L66/TrRoad_tech!L94)</f>
        <v>0</v>
      </c>
      <c r="M121" s="91">
        <f>IF(TrRoad_act!M63=0,0,TrRoad_ene!M66/TrRoad_tech!M94)</f>
        <v>0</v>
      </c>
      <c r="N121" s="91">
        <f>IF(TrRoad_act!N63=0,0,TrRoad_ene!N66/TrRoad_tech!N94)</f>
        <v>0</v>
      </c>
      <c r="O121" s="91">
        <f>IF(TrRoad_act!O63=0,0,TrRoad_ene!O66/TrRoad_tech!O94)</f>
        <v>0</v>
      </c>
      <c r="P121" s="91">
        <f>IF(TrRoad_act!P63=0,0,TrRoad_ene!P66/TrRoad_tech!P94)</f>
        <v>0</v>
      </c>
      <c r="Q121" s="91">
        <f>IF(TrRoad_act!Q63=0,0,TrRoad_ene!Q66/TrRoad_tech!Q94)</f>
        <v>0</v>
      </c>
      <c r="R121" s="91">
        <f>IF(TrRoad_act!R63=0,0,TrRoad_ene!R66/TrRoad_tech!R94)</f>
        <v>0</v>
      </c>
      <c r="S121" s="91">
        <f>IF(TrRoad_act!S63=0,0,TrRoad_ene!S66/TrRoad_tech!S94)</f>
        <v>0</v>
      </c>
      <c r="T121" s="91">
        <f>IF(TrRoad_act!T63=0,0,TrRoad_ene!T66/TrRoad_tech!T94)</f>
        <v>0</v>
      </c>
      <c r="U121" s="91">
        <f>IF(TrRoad_act!U63=0,0,TrRoad_ene!U66/TrRoad_tech!U94)</f>
        <v>0</v>
      </c>
      <c r="V121" s="91">
        <f>IF(TrRoad_act!V63=0,0,TrRoad_ene!V66/TrRoad_tech!V94)</f>
        <v>0</v>
      </c>
      <c r="W121" s="91">
        <f>IF(TrRoad_act!W63=0,0,TrRoad_ene!W66/TrRoad_tech!W94)</f>
        <v>0</v>
      </c>
      <c r="X121" s="91">
        <f>IF(TrRoad_act!X63=0,0,TrRoad_ene!X66/TrRoad_tech!X94)</f>
        <v>0</v>
      </c>
      <c r="Y121" s="91">
        <f>IF(TrRoad_act!Y63=0,0,TrRoad_ene!Y66/TrRoad_tech!Y94)</f>
        <v>0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1.0833333333391701</v>
      </c>
      <c r="R122" s="91">
        <f>IF(TrRoad_act!R64=0,0,TrRoad_ene!R67/TrRoad_tech!R95)</f>
        <v>1.0883796989241799</v>
      </c>
      <c r="S122" s="91">
        <f>IF(TrRoad_act!S64=0,0,TrRoad_ene!S67/TrRoad_tech!S95)</f>
        <v>1.0918531148981501</v>
      </c>
      <c r="T122" s="91">
        <f>IF(TrRoad_act!T64=0,0,TrRoad_ene!T67/TrRoad_tech!T95)</f>
        <v>1.0931668010784445</v>
      </c>
      <c r="U122" s="91">
        <f>IF(TrRoad_act!U64=0,0,TrRoad_ene!U67/TrRoad_tech!U95)</f>
        <v>1.0943280562026287</v>
      </c>
      <c r="V122" s="91">
        <f>IF(TrRoad_act!V64=0,0,TrRoad_ene!V67/TrRoad_tech!V95)</f>
        <v>1.0952691398902425</v>
      </c>
      <c r="W122" s="91">
        <f>IF(TrRoad_act!W64=0,0,TrRoad_ene!W67/TrRoad_tech!W95)</f>
        <v>1.0960533252489721</v>
      </c>
      <c r="X122" s="91">
        <f>IF(TrRoad_act!X64=0,0,TrRoad_ene!X67/TrRoad_tech!X95)</f>
        <v>1.0967051438356521</v>
      </c>
      <c r="Y122" s="91">
        <f>IF(TrRoad_act!Y64=0,0,TrRoad_ene!Y67/TrRoad_tech!Y95)</f>
        <v>1.0972236457012838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1.0657236962413821</v>
      </c>
      <c r="O123" s="91">
        <f>IF(TrRoad_act!O65=0,0,TrRoad_ene!O68/TrRoad_tech!O96)</f>
        <v>1.0675994097081445</v>
      </c>
      <c r="P123" s="91">
        <f>IF(TrRoad_act!P65=0,0,TrRoad_ene!P68/TrRoad_tech!P96)</f>
        <v>1.0729832680632383</v>
      </c>
      <c r="Q123" s="91">
        <f>IF(TrRoad_act!Q65=0,0,TrRoad_ene!Q68/TrRoad_tech!Q96)</f>
        <v>1.1229987005691828</v>
      </c>
      <c r="R123" s="91">
        <f>IF(TrRoad_act!R65=0,0,TrRoad_ene!R68/TrRoad_tech!R96)</f>
        <v>1.0864747222463429</v>
      </c>
      <c r="S123" s="91">
        <f>IF(TrRoad_act!S65=0,0,TrRoad_ene!S68/TrRoad_tech!S96)</f>
        <v>1.0896925241369058</v>
      </c>
      <c r="T123" s="91">
        <f>IF(TrRoad_act!T65=0,0,TrRoad_ene!T68/TrRoad_tech!T96)</f>
        <v>1.0927984740368242</v>
      </c>
      <c r="U123" s="91">
        <f>IF(TrRoad_act!U65=0,0,TrRoad_ene!U68/TrRoad_tech!U96)</f>
        <v>1.0940266890942443</v>
      </c>
      <c r="V123" s="91">
        <f>IF(TrRoad_act!V65=0,0,TrRoad_ene!V68/TrRoad_tech!V96)</f>
        <v>1.0924057818860857</v>
      </c>
      <c r="W123" s="91">
        <f>IF(TrRoad_act!W65=0,0,TrRoad_ene!W68/TrRoad_tech!W96)</f>
        <v>1.0769667446952222</v>
      </c>
      <c r="X123" s="91">
        <f>IF(TrRoad_act!X65=0,0,TrRoad_ene!X68/TrRoad_tech!X96)</f>
        <v>1.0924815750853694</v>
      </c>
      <c r="Y123" s="91">
        <f>IF(TrRoad_act!Y65=0,0,TrRoad_ene!Y68/TrRoad_tech!Y96)</f>
        <v>1.0914195615227855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1.0528781051464429</v>
      </c>
      <c r="M124" s="91">
        <f>IF(TrRoad_act!M66=0,0,TrRoad_ene!M69/TrRoad_tech!M97)</f>
        <v>1.0595865571848333</v>
      </c>
      <c r="N124" s="91">
        <f>IF(TrRoad_act!N66=0,0,TrRoad_ene!N69/TrRoad_tech!N97)</f>
        <v>1.0626554756483519</v>
      </c>
      <c r="O124" s="91">
        <f>IF(TrRoad_act!O66=0,0,TrRoad_ene!O69/TrRoad_tech!O97)</f>
        <v>1.0661907238204769</v>
      </c>
      <c r="P124" s="91">
        <f>IF(TrRoad_act!P66=0,0,TrRoad_ene!P69/TrRoad_tech!P97)</f>
        <v>1.0721279152977703</v>
      </c>
      <c r="Q124" s="91">
        <f>IF(TrRoad_act!Q66=0,0,TrRoad_ene!Q69/TrRoad_tech!Q97)</f>
        <v>1.0795036321532978</v>
      </c>
      <c r="R124" s="91">
        <f>IF(TrRoad_act!R66=0,0,TrRoad_ene!R69/TrRoad_tech!R97)</f>
        <v>1.0808682711619431</v>
      </c>
      <c r="S124" s="91">
        <f>IF(TrRoad_act!S66=0,0,TrRoad_ene!S69/TrRoad_tech!S97)</f>
        <v>1.0817602220853579</v>
      </c>
      <c r="T124" s="91">
        <f>IF(TrRoad_act!T66=0,0,TrRoad_ene!T69/TrRoad_tech!T97)</f>
        <v>1.0836691526045787</v>
      </c>
      <c r="U124" s="91">
        <f>IF(TrRoad_act!U66=0,0,TrRoad_ene!U69/TrRoad_tech!U97)</f>
        <v>1.0885973812693428</v>
      </c>
      <c r="V124" s="91">
        <f>IF(TrRoad_act!V66=0,0,TrRoad_ene!V69/TrRoad_tech!V97)</f>
        <v>1.0933964176787625</v>
      </c>
      <c r="W124" s="91">
        <f>IF(TrRoad_act!W66=0,0,TrRoad_ene!W69/TrRoad_tech!W97)</f>
        <v>1.0965379440290333</v>
      </c>
      <c r="X124" s="91">
        <f>IF(TrRoad_act!X66=0,0,TrRoad_ene!X69/TrRoad_tech!X97)</f>
        <v>1.0981100758966622</v>
      </c>
      <c r="Y124" s="91">
        <f>IF(TrRoad_act!Y66=0,0,TrRoad_ene!Y69/TrRoad_tech!Y97)</f>
        <v>1.0991949170308646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1.1003663847355398</v>
      </c>
      <c r="C125" s="151">
        <f>IF(TrRoad_act!C67=0,0,TrRoad_ene!C70/TrRoad_tech!C98)</f>
        <v>1.0943800783850619</v>
      </c>
      <c r="D125" s="151">
        <f>IF(TrRoad_act!D67=0,0,TrRoad_ene!D70/TrRoad_tech!D98)</f>
        <v>1.0923338356785255</v>
      </c>
      <c r="E125" s="151">
        <f>IF(TrRoad_act!E67=0,0,TrRoad_ene!E70/TrRoad_tech!E98)</f>
        <v>1.0926814662907429</v>
      </c>
      <c r="F125" s="151">
        <f>IF(TrRoad_act!F67=0,0,TrRoad_ene!F70/TrRoad_tech!F98)</f>
        <v>1.095310080982917</v>
      </c>
      <c r="G125" s="151">
        <f>IF(TrRoad_act!G67=0,0,TrRoad_ene!G70/TrRoad_tech!G98)</f>
        <v>1.1010947161637337</v>
      </c>
      <c r="H125" s="151">
        <f>IF(TrRoad_act!H67=0,0,TrRoad_ene!H70/TrRoad_tech!H98)</f>
        <v>1.1133083702610838</v>
      </c>
      <c r="I125" s="151">
        <f>IF(TrRoad_act!I67=0,0,TrRoad_ene!I70/TrRoad_tech!I98)</f>
        <v>1.1307502065591932</v>
      </c>
      <c r="J125" s="151">
        <f>IF(TrRoad_act!J67=0,0,TrRoad_ene!J70/TrRoad_tech!J98)</f>
        <v>1.1346624073035287</v>
      </c>
      <c r="K125" s="151">
        <f>IF(TrRoad_act!K67=0,0,TrRoad_ene!K70/TrRoad_tech!K98)</f>
        <v>1.1405954789603727</v>
      </c>
      <c r="L125" s="151">
        <f>IF(TrRoad_act!L67=0,0,TrRoad_ene!L70/TrRoad_tech!L98)</f>
        <v>1.1468255323092069</v>
      </c>
      <c r="M125" s="151">
        <f>IF(TrRoad_act!M67=0,0,TrRoad_ene!M70/TrRoad_tech!M98)</f>
        <v>1.1530967804238315</v>
      </c>
      <c r="N125" s="151">
        <f>IF(TrRoad_act!N67=0,0,TrRoad_ene!N70/TrRoad_tech!N98)</f>
        <v>1.1588323044995257</v>
      </c>
      <c r="O125" s="151">
        <f>IF(TrRoad_act!O67=0,0,TrRoad_ene!O70/TrRoad_tech!O98)</f>
        <v>1.1629442763440483</v>
      </c>
      <c r="P125" s="151">
        <f>IF(TrRoad_act!P67=0,0,TrRoad_ene!P70/TrRoad_tech!P98)</f>
        <v>1.1713900255717995</v>
      </c>
      <c r="Q125" s="151">
        <f>IF(TrRoad_act!Q67=0,0,TrRoad_ene!Q70/TrRoad_tech!Q98)</f>
        <v>1.1826574847518274</v>
      </c>
      <c r="R125" s="151">
        <f>IF(TrRoad_act!R67=0,0,TrRoad_ene!R70/TrRoad_tech!R98)</f>
        <v>1.1971852733151938</v>
      </c>
      <c r="S125" s="151">
        <f>IF(TrRoad_act!S67=0,0,TrRoad_ene!S70/TrRoad_tech!S98)</f>
        <v>1.2173721254311316</v>
      </c>
      <c r="T125" s="151">
        <f>IF(TrRoad_act!T67=0,0,TrRoad_ene!T70/TrRoad_tech!T98)</f>
        <v>1.2335599690868435</v>
      </c>
      <c r="U125" s="151">
        <f>IF(TrRoad_act!U67=0,0,TrRoad_ene!U70/TrRoad_tech!U98)</f>
        <v>1.2468346300745416</v>
      </c>
      <c r="V125" s="151">
        <f>IF(TrRoad_act!V67=0,0,TrRoad_ene!V70/TrRoad_tech!V98)</f>
        <v>1.2542826355540304</v>
      </c>
      <c r="W125" s="151">
        <f>IF(TrRoad_act!W67=0,0,TrRoad_ene!W70/TrRoad_tech!W98)</f>
        <v>1.2726402836811748</v>
      </c>
      <c r="X125" s="151">
        <f>IF(TrRoad_act!X67=0,0,TrRoad_ene!X70/TrRoad_tech!X98)</f>
        <v>1.2983960012459157</v>
      </c>
      <c r="Y125" s="151">
        <f>IF(TrRoad_act!Y67=0,0,TrRoad_ene!Y70/TrRoad_tech!Y98)</f>
        <v>1.3109219224911386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1.10000000000673</v>
      </c>
      <c r="D126" s="93">
        <f>IF(TrRoad_act!D68=0,0,TrRoad_ene!D71/TrRoad_tech!D99)</f>
        <v>1.1000000000067305</v>
      </c>
      <c r="E126" s="93">
        <f>IF(TrRoad_act!E68=0,0,TrRoad_ene!E71/TrRoad_tech!E99)</f>
        <v>1.1000000000067303</v>
      </c>
      <c r="F126" s="93">
        <f>IF(TrRoad_act!F68=0,0,TrRoad_ene!F71/TrRoad_tech!F99)</f>
        <v>1.1000000000067307</v>
      </c>
      <c r="G126" s="93">
        <f>IF(TrRoad_act!G68=0,0,TrRoad_ene!G71/TrRoad_tech!G99)</f>
        <v>1.1049923044867289</v>
      </c>
      <c r="H126" s="93">
        <f>IF(TrRoad_act!H68=0,0,TrRoad_ene!H71/TrRoad_tech!H99)</f>
        <v>1.1133211164637675</v>
      </c>
      <c r="I126" s="93">
        <f>IF(TrRoad_act!I68=0,0,TrRoad_ene!I71/TrRoad_tech!I99)</f>
        <v>1.1216646027441011</v>
      </c>
      <c r="J126" s="93">
        <f>IF(TrRoad_act!J68=0,0,TrRoad_ene!J71/TrRoad_tech!J99)</f>
        <v>1.131002847289917</v>
      </c>
      <c r="K126" s="93">
        <f>IF(TrRoad_act!K68=0,0,TrRoad_ene!K71/TrRoad_tech!K99)</f>
        <v>1.1403405648814735</v>
      </c>
      <c r="L126" s="93">
        <f>IF(TrRoad_act!L68=0,0,TrRoad_ene!L71/TrRoad_tech!L99)</f>
        <v>1.1491740861526161</v>
      </c>
      <c r="M126" s="93">
        <f>IF(TrRoad_act!M68=0,0,TrRoad_ene!M71/TrRoad_tech!M99)</f>
        <v>1.1581274486731095</v>
      </c>
      <c r="N126" s="93">
        <f>IF(TrRoad_act!N68=0,0,TrRoad_ene!N71/TrRoad_tech!N99)</f>
        <v>1.1665430279213307</v>
      </c>
      <c r="O126" s="93">
        <f>IF(TrRoad_act!O68=0,0,TrRoad_ene!O71/TrRoad_tech!O99)</f>
        <v>1.1716109980778853</v>
      </c>
      <c r="P126" s="93">
        <f>IF(TrRoad_act!P68=0,0,TrRoad_ene!P71/TrRoad_tech!P99)</f>
        <v>1.1738755481173553</v>
      </c>
      <c r="Q126" s="93">
        <f>IF(TrRoad_act!Q68=0,0,TrRoad_ene!Q71/TrRoad_tech!Q99)</f>
        <v>1.179487925721008</v>
      </c>
      <c r="R126" s="93">
        <f>IF(TrRoad_act!R68=0,0,TrRoad_ene!R71/TrRoad_tech!R99)</f>
        <v>1.180515812807249</v>
      </c>
      <c r="S126" s="93">
        <f>IF(TrRoad_act!S68=0,0,TrRoad_ene!S71/TrRoad_tech!S99)</f>
        <v>1.181618116621975</v>
      </c>
      <c r="T126" s="93">
        <f>IF(TrRoad_act!T68=0,0,TrRoad_ene!T71/TrRoad_tech!T99)</f>
        <v>1.1847206922968341</v>
      </c>
      <c r="U126" s="93">
        <f>IF(TrRoad_act!U68=0,0,TrRoad_ene!U71/TrRoad_tech!U99)</f>
        <v>1.1848913574443274</v>
      </c>
      <c r="V126" s="93">
        <f>IF(TrRoad_act!V68=0,0,TrRoad_ene!V71/TrRoad_tech!V99)</f>
        <v>1.1853829714192774</v>
      </c>
      <c r="W126" s="93">
        <f>IF(TrRoad_act!W68=0,0,TrRoad_ene!W71/TrRoad_tech!W99)</f>
        <v>1.1860862956976472</v>
      </c>
      <c r="X126" s="93">
        <f>IF(TrRoad_act!X68=0,0,TrRoad_ene!X71/TrRoad_tech!X99)</f>
        <v>1.186168594954472</v>
      </c>
      <c r="Y126" s="93">
        <f>IF(TrRoad_act!Y68=0,0,TrRoad_ene!Y71/TrRoad_tech!Y99)</f>
        <v>1.1870241954827021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1.1004063394273775</v>
      </c>
      <c r="D127" s="93">
        <f>IF(TrRoad_act!D69=0,0,TrRoad_ene!D72/TrRoad_tech!D100)</f>
        <v>1.1015072381257633</v>
      </c>
      <c r="E127" s="93">
        <f>IF(TrRoad_act!E69=0,0,TrRoad_ene!E72/TrRoad_tech!E100)</f>
        <v>1.1031638039261498</v>
      </c>
      <c r="F127" s="93">
        <f>IF(TrRoad_act!F69=0,0,TrRoad_ene!F72/TrRoad_tech!F100)</f>
        <v>1.1066081926912248</v>
      </c>
      <c r="G127" s="93">
        <f>IF(TrRoad_act!G69=0,0,TrRoad_ene!G72/TrRoad_tech!G100)</f>
        <v>1.1126564505575034</v>
      </c>
      <c r="H127" s="93">
        <f>IF(TrRoad_act!H69=0,0,TrRoad_ene!H72/TrRoad_tech!H100)</f>
        <v>1.1223434525789813</v>
      </c>
      <c r="I127" s="93">
        <f>IF(TrRoad_act!I69=0,0,TrRoad_ene!I72/TrRoad_tech!I100)</f>
        <v>1.1372716647250651</v>
      </c>
      <c r="J127" s="93">
        <f>IF(TrRoad_act!J69=0,0,TrRoad_ene!J72/TrRoad_tech!J100)</f>
        <v>1.1420631536392492</v>
      </c>
      <c r="K127" s="93">
        <f>IF(TrRoad_act!K69=0,0,TrRoad_ene!K72/TrRoad_tech!K100)</f>
        <v>1.1472304421399129</v>
      </c>
      <c r="L127" s="93">
        <f>IF(TrRoad_act!L69=0,0,TrRoad_ene!L72/TrRoad_tech!L100)</f>
        <v>1.152842174645883</v>
      </c>
      <c r="M127" s="93">
        <f>IF(TrRoad_act!M69=0,0,TrRoad_ene!M72/TrRoad_tech!M100)</f>
        <v>1.1590466512040853</v>
      </c>
      <c r="N127" s="93">
        <f>IF(TrRoad_act!N69=0,0,TrRoad_ene!N72/TrRoad_tech!N100)</f>
        <v>1.1663558701410859</v>
      </c>
      <c r="O127" s="93">
        <f>IF(TrRoad_act!O69=0,0,TrRoad_ene!O72/TrRoad_tech!O100)</f>
        <v>1.1727177519011234</v>
      </c>
      <c r="P127" s="93">
        <f>IF(TrRoad_act!P69=0,0,TrRoad_ene!P72/TrRoad_tech!P100)</f>
        <v>1.1807687052266049</v>
      </c>
      <c r="Q127" s="93">
        <f>IF(TrRoad_act!Q69=0,0,TrRoad_ene!Q72/TrRoad_tech!Q100)</f>
        <v>1.1905951999370634</v>
      </c>
      <c r="R127" s="93">
        <f>IF(TrRoad_act!R69=0,0,TrRoad_ene!R72/TrRoad_tech!R100)</f>
        <v>1.2055180292713996</v>
      </c>
      <c r="S127" s="93">
        <f>IF(TrRoad_act!S69=0,0,TrRoad_ene!S72/TrRoad_tech!S100)</f>
        <v>1.2239064715006724</v>
      </c>
      <c r="T127" s="93">
        <f>IF(TrRoad_act!T69=0,0,TrRoad_ene!T72/TrRoad_tech!T100)</f>
        <v>1.2373147760661662</v>
      </c>
      <c r="U127" s="93">
        <f>IF(TrRoad_act!U69=0,0,TrRoad_ene!U72/TrRoad_tech!U100)</f>
        <v>1.2480768629140244</v>
      </c>
      <c r="V127" s="93">
        <f>IF(TrRoad_act!V69=0,0,TrRoad_ene!V72/TrRoad_tech!V100)</f>
        <v>1.2598671971784627</v>
      </c>
      <c r="W127" s="93">
        <f>IF(TrRoad_act!W69=0,0,TrRoad_ene!W72/TrRoad_tech!W100)</f>
        <v>1.2729998913580074</v>
      </c>
      <c r="X127" s="93">
        <f>IF(TrRoad_act!X69=0,0,TrRoad_ene!X72/TrRoad_tech!X100)</f>
        <v>1.2866341421391003</v>
      </c>
      <c r="Y127" s="93">
        <f>IF(TrRoad_act!Y69=0,0,TrRoad_ene!Y72/TrRoad_tech!Y100)</f>
        <v>1.2896463911422589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X128" s="93">
        <f>IF(TrRoad_act!X70=0,0,TrRoad_ene!X73/TrRoad_tech!X101)</f>
        <v>0</v>
      </c>
      <c r="Y128" s="93">
        <f>IF(TrRoad_act!Y70=0,0,TrRoad_ene!Y73/TrRoad_tech!Y101)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1.7196675012432179</v>
      </c>
      <c r="R129" s="93">
        <f>IF(TrRoad_act!R71=0,0,TrRoad_ene!R74/TrRoad_tech!R102)</f>
        <v>1.4943482598595057</v>
      </c>
      <c r="S129" s="93">
        <f>IF(TrRoad_act!S71=0,0,TrRoad_ene!S74/TrRoad_tech!S102)</f>
        <v>1.6089788672731333</v>
      </c>
      <c r="T129" s="93">
        <f>IF(TrRoad_act!T71=0,0,TrRoad_ene!T74/TrRoad_tech!T102)</f>
        <v>1.8461038354232333</v>
      </c>
      <c r="U129" s="93">
        <f>IF(TrRoad_act!U71=0,0,TrRoad_ene!U74/TrRoad_tech!U102)</f>
        <v>2.0849806691542692</v>
      </c>
      <c r="V129" s="93">
        <f>IF(TrRoad_act!V71=0,0,TrRoad_ene!V74/TrRoad_tech!V102)</f>
        <v>1.7584402071601208</v>
      </c>
      <c r="W129" s="93">
        <f>IF(TrRoad_act!W71=0,0,TrRoad_ene!W74/TrRoad_tech!W102)</f>
        <v>1.9588511321270625</v>
      </c>
      <c r="X129" s="93">
        <f>IF(TrRoad_act!X71=0,0,TrRoad_ene!X74/TrRoad_tech!X102)</f>
        <v>2.261917159693315</v>
      </c>
      <c r="Y129" s="93">
        <f>IF(TrRoad_act!Y71=0,0,TrRoad_ene!Y74/TrRoad_tech!Y102)</f>
        <v>2.0096944826534346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0</v>
      </c>
      <c r="Q130" s="93">
        <f>IF(TrRoad_act!Q72=0,0,TrRoad_ene!Q75/TrRoad_tech!Q103)</f>
        <v>0</v>
      </c>
      <c r="R130" s="93">
        <f>IF(TrRoad_act!R72=0,0,TrRoad_ene!R75/TrRoad_tech!R103)</f>
        <v>1.3172635731932032</v>
      </c>
      <c r="S130" s="93">
        <f>IF(TrRoad_act!S72=0,0,TrRoad_ene!S75/TrRoad_tech!S103)</f>
        <v>1.3206328229189435</v>
      </c>
      <c r="T130" s="93">
        <f>IF(TrRoad_act!T72=0,0,TrRoad_ene!T75/TrRoad_tech!T103)</f>
        <v>1.3247574421998785</v>
      </c>
      <c r="U130" s="93">
        <f>IF(TrRoad_act!U72=0,0,TrRoad_ene!U75/TrRoad_tech!U103)</f>
        <v>1.3477504606298738</v>
      </c>
      <c r="V130" s="93">
        <f>IF(TrRoad_act!V72=0,0,TrRoad_ene!V75/TrRoad_tech!V103)</f>
        <v>1.3479386508353088</v>
      </c>
      <c r="W130" s="93">
        <f>IF(TrRoad_act!W72=0,0,TrRoad_ene!W75/TrRoad_tech!W103)</f>
        <v>1.3550689953140889</v>
      </c>
      <c r="X130" s="93">
        <f>IF(TrRoad_act!X72=0,0,TrRoad_ene!X75/TrRoad_tech!X103)</f>
        <v>1.3582572087566225</v>
      </c>
      <c r="Y130" s="93">
        <f>IF(TrRoad_act!Y72=0,0,TrRoad_ene!Y75/TrRoad_tech!Y103)</f>
        <v>1.360563142996843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1.0963904480033688</v>
      </c>
      <c r="C132" s="150">
        <f>IF(TrRoad_act!C74=0,0,TrRoad_ene!C77/TrRoad_tech!C105)</f>
        <v>1.0864080805287932</v>
      </c>
      <c r="D132" s="150">
        <f>IF(TrRoad_act!D74=0,0,TrRoad_ene!D77/TrRoad_tech!D105)</f>
        <v>1.0783237913996186</v>
      </c>
      <c r="E132" s="150">
        <f>IF(TrRoad_act!E74=0,0,TrRoad_ene!E77/TrRoad_tech!E105)</f>
        <v>1.0716132408008785</v>
      </c>
      <c r="F132" s="150">
        <f>IF(TrRoad_act!F74=0,0,TrRoad_ene!F77/TrRoad_tech!F105)</f>
        <v>1.0676215037940384</v>
      </c>
      <c r="G132" s="150">
        <f>IF(TrRoad_act!G74=0,0,TrRoad_ene!G77/TrRoad_tech!G105)</f>
        <v>1.0686498395509283</v>
      </c>
      <c r="H132" s="150">
        <f>IF(TrRoad_act!H74=0,0,TrRoad_ene!H77/TrRoad_tech!H105)</f>
        <v>1.0720578850697731</v>
      </c>
      <c r="I132" s="150">
        <f>IF(TrRoad_act!I74=0,0,TrRoad_ene!I77/TrRoad_tech!I105)</f>
        <v>1.0804441253214832</v>
      </c>
      <c r="J132" s="150">
        <f>IF(TrRoad_act!J74=0,0,TrRoad_ene!J77/TrRoad_tech!J105)</f>
        <v>1.087459838092621</v>
      </c>
      <c r="K132" s="150">
        <f>IF(TrRoad_act!K74=0,0,TrRoad_ene!K77/TrRoad_tech!K105)</f>
        <v>1.0961637524417804</v>
      </c>
      <c r="L132" s="150">
        <f>IF(TrRoad_act!L74=0,0,TrRoad_ene!L77/TrRoad_tech!L105)</f>
        <v>1.1035278339331078</v>
      </c>
      <c r="M132" s="150">
        <f>IF(TrRoad_act!M74=0,0,TrRoad_ene!M77/TrRoad_tech!M105)</f>
        <v>1.1094674080200189</v>
      </c>
      <c r="N132" s="150">
        <f>IF(TrRoad_act!N74=0,0,TrRoad_ene!N77/TrRoad_tech!N105)</f>
        <v>1.1192894813408765</v>
      </c>
      <c r="O132" s="150">
        <f>IF(TrRoad_act!O74=0,0,TrRoad_ene!O77/TrRoad_tech!O105)</f>
        <v>1.1308099313811324</v>
      </c>
      <c r="P132" s="150">
        <f>IF(TrRoad_act!P74=0,0,TrRoad_ene!P77/TrRoad_tech!P105)</f>
        <v>1.1453011576501717</v>
      </c>
      <c r="Q132" s="150">
        <f>IF(TrRoad_act!Q74=0,0,TrRoad_ene!Q77/TrRoad_tech!Q105)</f>
        <v>1.1630858226442837</v>
      </c>
      <c r="R132" s="150">
        <f>IF(TrRoad_act!R74=0,0,TrRoad_ene!R77/TrRoad_tech!R105)</f>
        <v>1.1837163930205259</v>
      </c>
      <c r="S132" s="150">
        <f>IF(TrRoad_act!S74=0,0,TrRoad_ene!S77/TrRoad_tech!S105)</f>
        <v>1.2058874761756884</v>
      </c>
      <c r="T132" s="150">
        <f>IF(TrRoad_act!T74=0,0,TrRoad_ene!T77/TrRoad_tech!T105)</f>
        <v>1.2318163674067191</v>
      </c>
      <c r="U132" s="150">
        <f>IF(TrRoad_act!U74=0,0,TrRoad_ene!U77/TrRoad_tech!U105)</f>
        <v>1.2591941666669346</v>
      </c>
      <c r="V132" s="150">
        <f>IF(TrRoad_act!V74=0,0,TrRoad_ene!V77/TrRoad_tech!V105)</f>
        <v>1.2817301974107933</v>
      </c>
      <c r="W132" s="150">
        <f>IF(TrRoad_act!W74=0,0,TrRoad_ene!W77/TrRoad_tech!W105)</f>
        <v>1.3014437562726531</v>
      </c>
      <c r="X132" s="150">
        <f>IF(TrRoad_act!X74=0,0,TrRoad_ene!X77/TrRoad_tech!X105)</f>
        <v>1.3189234045864522</v>
      </c>
      <c r="Y132" s="150">
        <f>IF(TrRoad_act!Y74=0,0,TrRoad_ene!Y77/TrRoad_tech!Y105)</f>
        <v>1.3351678678068188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1.1000000000067305</v>
      </c>
      <c r="C133" s="91">
        <f>IF(TrRoad_act!C75=0,0,TrRoad_ene!C78/TrRoad_tech!C106)</f>
        <v>1.1001148557950526</v>
      </c>
      <c r="D133" s="91">
        <f>IF(TrRoad_act!D75=0,0,TrRoad_ene!D78/TrRoad_tech!D106)</f>
        <v>1.100374868309673</v>
      </c>
      <c r="E133" s="91">
        <f>IF(TrRoad_act!E75=0,0,TrRoad_ene!E78/TrRoad_tech!E106)</f>
        <v>1.1007720080204424</v>
      </c>
      <c r="F133" s="91">
        <f>IF(TrRoad_act!F75=0,0,TrRoad_ene!F78/TrRoad_tech!F106)</f>
        <v>1.1013159079940775</v>
      </c>
      <c r="G133" s="91">
        <f>IF(TrRoad_act!G75=0,0,TrRoad_ene!G78/TrRoad_tech!G106)</f>
        <v>1.102008510134602</v>
      </c>
      <c r="H133" s="91">
        <f>IF(TrRoad_act!H75=0,0,TrRoad_ene!H78/TrRoad_tech!H106)</f>
        <v>1.1034015536222275</v>
      </c>
      <c r="I133" s="91">
        <f>IF(TrRoad_act!I75=0,0,TrRoad_ene!I78/TrRoad_tech!I106)</f>
        <v>1.1037508328356065</v>
      </c>
      <c r="J133" s="91">
        <f>IF(TrRoad_act!J75=0,0,TrRoad_ene!J78/TrRoad_tech!J106)</f>
        <v>1.1055638869807773</v>
      </c>
      <c r="K133" s="91">
        <f>IF(TrRoad_act!K75=0,0,TrRoad_ene!K78/TrRoad_tech!K106)</f>
        <v>1.1087277332843253</v>
      </c>
      <c r="L133" s="91">
        <f>IF(TrRoad_act!L75=0,0,TrRoad_ene!L78/TrRoad_tech!L106)</f>
        <v>1.1120867790352118</v>
      </c>
      <c r="M133" s="91">
        <f>IF(TrRoad_act!M75=0,0,TrRoad_ene!M78/TrRoad_tech!M106)</f>
        <v>1.1184185082248841</v>
      </c>
      <c r="N133" s="91">
        <f>IF(TrRoad_act!N75=0,0,TrRoad_ene!N78/TrRoad_tech!N106)</f>
        <v>1.1255867079295845</v>
      </c>
      <c r="O133" s="91">
        <f>IF(TrRoad_act!O75=0,0,TrRoad_ene!O78/TrRoad_tech!O106)</f>
        <v>1.1335592929195137</v>
      </c>
      <c r="P133" s="91">
        <f>IF(TrRoad_act!P75=0,0,TrRoad_ene!P78/TrRoad_tech!P106)</f>
        <v>1.141779702128795</v>
      </c>
      <c r="Q133" s="91">
        <f>IF(TrRoad_act!Q75=0,0,TrRoad_ene!Q78/TrRoad_tech!Q106)</f>
        <v>1.1548059965675679</v>
      </c>
      <c r="R133" s="91">
        <f>IF(TrRoad_act!R75=0,0,TrRoad_ene!R78/TrRoad_tech!R106)</f>
        <v>1.1693629020155274</v>
      </c>
      <c r="S133" s="91">
        <f>IF(TrRoad_act!S75=0,0,TrRoad_ene!S78/TrRoad_tech!S106)</f>
        <v>1.1849065904141125</v>
      </c>
      <c r="T133" s="91">
        <f>IF(TrRoad_act!T75=0,0,TrRoad_ene!T78/TrRoad_tech!T106)</f>
        <v>1.2024509629119771</v>
      </c>
      <c r="U133" s="91">
        <f>IF(TrRoad_act!U75=0,0,TrRoad_ene!U78/TrRoad_tech!U106)</f>
        <v>1.2246455097405839</v>
      </c>
      <c r="V133" s="91">
        <f>IF(TrRoad_act!V75=0,0,TrRoad_ene!V78/TrRoad_tech!V106)</f>
        <v>1.2462756226594014</v>
      </c>
      <c r="W133" s="91">
        <f>IF(TrRoad_act!W75=0,0,TrRoad_ene!W78/TrRoad_tech!W106)</f>
        <v>1.2688945905123499</v>
      </c>
      <c r="X133" s="91">
        <f>IF(TrRoad_act!X75=0,0,TrRoad_ene!X78/TrRoad_tech!X106)</f>
        <v>1.2948256328382906</v>
      </c>
      <c r="Y133" s="91">
        <f>IF(TrRoad_act!Y75=0,0,TrRoad_ene!Y78/TrRoad_tech!Y106)</f>
        <v>1.3217563053439734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1.1001736958070094</v>
      </c>
      <c r="D134" s="91">
        <f>IF(TrRoad_act!D76=0,0,TrRoad_ene!D79/TrRoad_tech!D107)</f>
        <v>1.1005738248125458</v>
      </c>
      <c r="E134" s="91">
        <f>IF(TrRoad_act!E76=0,0,TrRoad_ene!E79/TrRoad_tech!E107)</f>
        <v>1.1012310825066096</v>
      </c>
      <c r="F134" s="91">
        <f>IF(TrRoad_act!F76=0,0,TrRoad_ene!F79/TrRoad_tech!F107)</f>
        <v>1.1023512681358003</v>
      </c>
      <c r="G134" s="91">
        <f>IF(TrRoad_act!G76=0,0,TrRoad_ene!G79/TrRoad_tech!G107)</f>
        <v>1.1038780517487032</v>
      </c>
      <c r="H134" s="91">
        <f>IF(TrRoad_act!H76=0,0,TrRoad_ene!H79/TrRoad_tech!H107)</f>
        <v>1.1064447066035259</v>
      </c>
      <c r="I134" s="91">
        <f>IF(TrRoad_act!I76=0,0,TrRoad_ene!I79/TrRoad_tech!I107)</f>
        <v>1.1095280725958636</v>
      </c>
      <c r="J134" s="91">
        <f>IF(TrRoad_act!J76=0,0,TrRoad_ene!J79/TrRoad_tech!J107)</f>
        <v>1.1123061040699229</v>
      </c>
      <c r="K134" s="91">
        <f>IF(TrRoad_act!K76=0,0,TrRoad_ene!K79/TrRoad_tech!K107)</f>
        <v>1.1154915072481946</v>
      </c>
      <c r="L134" s="91">
        <f>IF(TrRoad_act!L76=0,0,TrRoad_ene!L79/TrRoad_tech!L107)</f>
        <v>1.1184850343017854</v>
      </c>
      <c r="M134" s="91">
        <f>IF(TrRoad_act!M76=0,0,TrRoad_ene!M79/TrRoad_tech!M107)</f>
        <v>1.123064564093138</v>
      </c>
      <c r="N134" s="91">
        <f>IF(TrRoad_act!N76=0,0,TrRoad_ene!N79/TrRoad_tech!N107)</f>
        <v>1.1323301924598983</v>
      </c>
      <c r="O134" s="91">
        <f>IF(TrRoad_act!O76=0,0,TrRoad_ene!O79/TrRoad_tech!O107)</f>
        <v>1.1438805822807276</v>
      </c>
      <c r="P134" s="91">
        <f>IF(TrRoad_act!P76=0,0,TrRoad_ene!P79/TrRoad_tech!P107)</f>
        <v>1.1590564761147713</v>
      </c>
      <c r="Q134" s="91">
        <f>IF(TrRoad_act!Q76=0,0,TrRoad_ene!Q79/TrRoad_tech!Q107)</f>
        <v>1.1766138258919705</v>
      </c>
      <c r="R134" s="91">
        <f>IF(TrRoad_act!R76=0,0,TrRoad_ene!R79/TrRoad_tech!R107)</f>
        <v>1.1981791107998576</v>
      </c>
      <c r="S134" s="91">
        <f>IF(TrRoad_act!S76=0,0,TrRoad_ene!S79/TrRoad_tech!S107)</f>
        <v>1.220477342746987</v>
      </c>
      <c r="T134" s="91">
        <f>IF(TrRoad_act!T76=0,0,TrRoad_ene!T79/TrRoad_tech!T107)</f>
        <v>1.2452100773621446</v>
      </c>
      <c r="U134" s="91">
        <f>IF(TrRoad_act!U76=0,0,TrRoad_ene!U79/TrRoad_tech!U107)</f>
        <v>1.2690673101921881</v>
      </c>
      <c r="V134" s="91">
        <f>IF(TrRoad_act!V76=0,0,TrRoad_ene!V79/TrRoad_tech!V107)</f>
        <v>1.2877197691588782</v>
      </c>
      <c r="W134" s="91">
        <f>IF(TrRoad_act!W76=0,0,TrRoad_ene!W79/TrRoad_tech!W107)</f>
        <v>1.3035231570113026</v>
      </c>
      <c r="X134" s="91">
        <f>IF(TrRoad_act!X76=0,0,TrRoad_ene!X79/TrRoad_tech!X107)</f>
        <v>1.316228748363653</v>
      </c>
      <c r="Y134" s="91">
        <f>IF(TrRoad_act!Y76=0,0,TrRoad_ene!Y79/TrRoad_tech!Y107)</f>
        <v>1.327114208991703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1.1004979092351224</v>
      </c>
      <c r="D135" s="91">
        <f>IF(TrRoad_act!D77=0,0,TrRoad_ene!D80/TrRoad_tech!D108)</f>
        <v>1.1009659264378238</v>
      </c>
      <c r="E135" s="91">
        <f>IF(TrRoad_act!E77=0,0,TrRoad_ene!E80/TrRoad_tech!E108)</f>
        <v>1.1010649269461523</v>
      </c>
      <c r="F135" s="91">
        <f>IF(TrRoad_act!F77=0,0,TrRoad_ene!F80/TrRoad_tech!F108)</f>
        <v>1.1011680697349338</v>
      </c>
      <c r="G135" s="91">
        <f>IF(TrRoad_act!G77=0,0,TrRoad_ene!G80/TrRoad_tech!G108)</f>
        <v>1.1012927298010602</v>
      </c>
      <c r="H135" s="91">
        <f>IF(TrRoad_act!H77=0,0,TrRoad_ene!H80/TrRoad_tech!H108)</f>
        <v>1.1013537066702526</v>
      </c>
      <c r="I135" s="91">
        <f>IF(TrRoad_act!I77=0,0,TrRoad_ene!I80/TrRoad_tech!I108)</f>
        <v>1.1015907690360458</v>
      </c>
      <c r="J135" s="91">
        <f>IF(TrRoad_act!J77=0,0,TrRoad_ene!J80/TrRoad_tech!J108)</f>
        <v>1.1019441735698128</v>
      </c>
      <c r="K135" s="91">
        <f>IF(TrRoad_act!K77=0,0,TrRoad_ene!K80/TrRoad_tech!K108)</f>
        <v>1.1024529020973621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X135" s="91">
        <f>IF(TrRoad_act!X77=0,0,TrRoad_ene!X80/TrRoad_tech!X108)</f>
        <v>0</v>
      </c>
      <c r="Y135" s="91">
        <f>IF(TrRoad_act!Y77=0,0,TrRoad_ene!Y80/TrRoad_tech!Y108)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1.3000000000070029</v>
      </c>
      <c r="R136" s="91">
        <f>IF(TrRoad_act!R78=0,0,TrRoad_ene!R81/TrRoad_tech!R109)</f>
        <v>1.3007272529526779</v>
      </c>
      <c r="S136" s="91">
        <f>IF(TrRoad_act!S78=0,0,TrRoad_ene!S81/TrRoad_tech!S109)</f>
        <v>1.3032182608095746</v>
      </c>
      <c r="T136" s="91">
        <f>IF(TrRoad_act!T78=0,0,TrRoad_ene!T81/TrRoad_tech!T109)</f>
        <v>1.3037565591946381</v>
      </c>
      <c r="U136" s="91">
        <f>IF(TrRoad_act!U78=0,0,TrRoad_ene!U81/TrRoad_tech!U109)</f>
        <v>1.3038871997230523</v>
      </c>
      <c r="V136" s="91">
        <f>IF(TrRoad_act!V78=0,0,TrRoad_ene!V81/TrRoad_tech!V109)</f>
        <v>1.304398861838836</v>
      </c>
      <c r="W136" s="91">
        <f>IF(TrRoad_act!W78=0,0,TrRoad_ene!W81/TrRoad_tech!W109)</f>
        <v>1.3045709523859896</v>
      </c>
      <c r="X136" s="91">
        <f>IF(TrRoad_act!X78=0,0,TrRoad_ene!X81/TrRoad_tech!X109)</f>
        <v>1.3048148352062658</v>
      </c>
      <c r="Y136" s="91">
        <f>IF(TrRoad_act!Y78=0,0,TrRoad_ene!Y81/TrRoad_tech!Y109)</f>
        <v>1.3051568743946915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1.2360000000066975</v>
      </c>
      <c r="O137" s="91">
        <f>IF(TrRoad_act!O79=0,0,TrRoad_ene!O82/TrRoad_tech!O110)</f>
        <v>1.2560000000062246</v>
      </c>
      <c r="P137" s="91">
        <f>IF(TrRoad_act!P79=0,0,TrRoad_ene!P82/TrRoad_tech!P110)</f>
        <v>1.2773333333398111</v>
      </c>
      <c r="Q137" s="91">
        <f>IF(TrRoad_act!Q79=0,0,TrRoad_ene!Q82/TrRoad_tech!Q110)</f>
        <v>1.3000000000070033</v>
      </c>
      <c r="R137" s="91">
        <f>IF(TrRoad_act!R79=0,0,TrRoad_ene!R82/TrRoad_tech!R110)</f>
        <v>1.3021221937591618</v>
      </c>
      <c r="S137" s="91">
        <f>IF(TrRoad_act!S79=0,0,TrRoad_ene!S82/TrRoad_tech!S110)</f>
        <v>1.3072031348308715</v>
      </c>
      <c r="T137" s="91">
        <f>IF(TrRoad_act!T79=0,0,TrRoad_ene!T82/TrRoad_tech!T110)</f>
        <v>1.316925698666225</v>
      </c>
      <c r="U137" s="91">
        <f>IF(TrRoad_act!U79=0,0,TrRoad_ene!U82/TrRoad_tech!U110)</f>
        <v>1.3264894246265335</v>
      </c>
      <c r="V137" s="91">
        <f>IF(TrRoad_act!V79=0,0,TrRoad_ene!V82/TrRoad_tech!V110)</f>
        <v>1.3397428794828135</v>
      </c>
      <c r="W137" s="91">
        <f>IF(TrRoad_act!W79=0,0,TrRoad_ene!W82/TrRoad_tech!W110)</f>
        <v>1.3511409493093034</v>
      </c>
      <c r="X137" s="91">
        <f>IF(TrRoad_act!X79=0,0,TrRoad_ene!X82/TrRoad_tech!X110)</f>
        <v>1.3556696048714987</v>
      </c>
      <c r="Y137" s="91">
        <f>IF(TrRoad_act!Y79=0,0,TrRoad_ene!Y82/TrRoad_tech!Y110)</f>
        <v>1.3605838297554325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1.3688075253287508</v>
      </c>
      <c r="C138" s="151">
        <f>IF(TrRoad_act!C80=0,0,TrRoad_ene!C83/TrRoad_tech!C111)</f>
        <v>1.3955531863694264</v>
      </c>
      <c r="D138" s="151">
        <f>IF(TrRoad_act!D80=0,0,TrRoad_ene!D83/TrRoad_tech!D111)</f>
        <v>1.4220800194167174</v>
      </c>
      <c r="E138" s="151">
        <f>IF(TrRoad_act!E80=0,0,TrRoad_ene!E83/TrRoad_tech!E111)</f>
        <v>1.4986360126708758</v>
      </c>
      <c r="F138" s="151">
        <f>IF(TrRoad_act!F80=0,0,TrRoad_ene!F83/TrRoad_tech!F111)</f>
        <v>1.6248521490229821</v>
      </c>
      <c r="G138" s="151">
        <f>IF(TrRoad_act!G80=0,0,TrRoad_ene!G83/TrRoad_tech!G111)</f>
        <v>1.6332837294084988</v>
      </c>
      <c r="H138" s="151">
        <f>IF(TrRoad_act!H80=0,0,TrRoad_ene!H83/TrRoad_tech!H111)</f>
        <v>1.6000781137933515</v>
      </c>
      <c r="I138" s="151">
        <f>IF(TrRoad_act!I80=0,0,TrRoad_ene!I83/TrRoad_tech!I111)</f>
        <v>1.5991438667936342</v>
      </c>
      <c r="J138" s="151">
        <f>IF(TrRoad_act!J80=0,0,TrRoad_ene!J83/TrRoad_tech!J111)</f>
        <v>1.4351429068764976</v>
      </c>
      <c r="K138" s="151">
        <f>IF(TrRoad_act!K80=0,0,TrRoad_ene!K83/TrRoad_tech!K111)</f>
        <v>1.4239320260141513</v>
      </c>
      <c r="L138" s="151">
        <f>IF(TrRoad_act!L80=0,0,TrRoad_ene!L83/TrRoad_tech!L111)</f>
        <v>1.4618512308400755</v>
      </c>
      <c r="M138" s="151">
        <f>IF(TrRoad_act!M80=0,0,TrRoad_ene!M83/TrRoad_tech!M111)</f>
        <v>1.426828796881457</v>
      </c>
      <c r="N138" s="151">
        <f>IF(TrRoad_act!N80=0,0,TrRoad_ene!N83/TrRoad_tech!N111)</f>
        <v>1.29772656720718</v>
      </c>
      <c r="O138" s="151">
        <f>IF(TrRoad_act!O80=0,0,TrRoad_ene!O83/TrRoad_tech!O111)</f>
        <v>1.2547574231010006</v>
      </c>
      <c r="P138" s="151">
        <f>IF(TrRoad_act!P80=0,0,TrRoad_ene!P83/TrRoad_tech!P111)</f>
        <v>1.3635764869507121</v>
      </c>
      <c r="Q138" s="151">
        <f>IF(TrRoad_act!Q80=0,0,TrRoad_ene!Q83/TrRoad_tech!Q111)</f>
        <v>1.3052416478417896</v>
      </c>
      <c r="R138" s="151">
        <f>IF(TrRoad_act!R80=0,0,TrRoad_ene!R83/TrRoad_tech!R111)</f>
        <v>1.4399297125438253</v>
      </c>
      <c r="S138" s="151">
        <f>IF(TrRoad_act!S80=0,0,TrRoad_ene!S83/TrRoad_tech!S111)</f>
        <v>1.5339127546123748</v>
      </c>
      <c r="T138" s="151">
        <f>IF(TrRoad_act!T80=0,0,TrRoad_ene!T83/TrRoad_tech!T111)</f>
        <v>1.7038550416254783</v>
      </c>
      <c r="U138" s="151">
        <f>IF(TrRoad_act!U80=0,0,TrRoad_ene!U83/TrRoad_tech!U111)</f>
        <v>1.6808881548502734</v>
      </c>
      <c r="V138" s="151">
        <f>IF(TrRoad_act!V80=0,0,TrRoad_ene!V83/TrRoad_tech!V111)</f>
        <v>1.6034859183476773</v>
      </c>
      <c r="W138" s="151">
        <f>IF(TrRoad_act!W80=0,0,TrRoad_ene!W83/TrRoad_tech!W111)</f>
        <v>1.642636708272146</v>
      </c>
      <c r="X138" s="151">
        <f>IF(TrRoad_act!X80=0,0,TrRoad_ene!X83/TrRoad_tech!X111)</f>
        <v>1.6688801180322947</v>
      </c>
      <c r="Y138" s="151">
        <f>IF(TrRoad_act!Y80=0,0,TrRoad_ene!Y83/TrRoad_tech!Y111)</f>
        <v>1.7863230717400027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1.1499900366999876</v>
      </c>
      <c r="C139" s="93">
        <f>IF(TrRoad_act!C81=0,0,TrRoad_ene!C84/TrRoad_tech!C112)</f>
        <v>1.1554342515917317</v>
      </c>
      <c r="D139" s="93">
        <f>IF(TrRoad_act!D81=0,0,TrRoad_ene!D84/TrRoad_tech!D112)</f>
        <v>1.1609058517451216</v>
      </c>
      <c r="E139" s="93">
        <f>IF(TrRoad_act!E81=0,0,TrRoad_ene!E84/TrRoad_tech!E112)</f>
        <v>1.1770975983219538</v>
      </c>
      <c r="F139" s="93">
        <f>IF(TrRoad_act!F81=0,0,TrRoad_ene!F84/TrRoad_tech!F112)</f>
        <v>1.2028192344412783</v>
      </c>
      <c r="G139" s="93">
        <f>IF(TrRoad_act!G81=0,0,TrRoad_ene!G84/TrRoad_tech!G112)</f>
        <v>1.2071080401798362</v>
      </c>
      <c r="H139" s="93">
        <f>IF(TrRoad_act!H81=0,0,TrRoad_ene!H84/TrRoad_tech!H112)</f>
        <v>1.20236555745983</v>
      </c>
      <c r="I139" s="93">
        <f>IF(TrRoad_act!I81=0,0,TrRoad_ene!I84/TrRoad_tech!I112)</f>
        <v>1.206990093472059</v>
      </c>
      <c r="J139" s="93">
        <f>IF(TrRoad_act!J81=0,0,TrRoad_ene!J84/TrRoad_tech!J112)</f>
        <v>1.1757281889037745</v>
      </c>
      <c r="K139" s="93">
        <f>IF(TrRoad_act!K81=0,0,TrRoad_ene!K84/TrRoad_tech!K112)</f>
        <v>1.1753480145824702</v>
      </c>
      <c r="L139" s="93">
        <f>IF(TrRoad_act!L81=0,0,TrRoad_ene!L84/TrRoad_tech!L112)</f>
        <v>1.1839914052257778</v>
      </c>
      <c r="M139" s="93">
        <f>IF(TrRoad_act!M81=0,0,TrRoad_ene!M84/TrRoad_tech!M112)</f>
        <v>1.1810891388185247</v>
      </c>
      <c r="N139" s="93">
        <f>IF(TrRoad_act!N81=0,0,TrRoad_ene!N84/TrRoad_tech!N112)</f>
        <v>1.1615021961708407</v>
      </c>
      <c r="O139" s="93">
        <f>IF(TrRoad_act!O81=0,0,TrRoad_ene!O84/TrRoad_tech!O112)</f>
        <v>1.1584036325626015</v>
      </c>
      <c r="P139" s="93">
        <f>IF(TrRoad_act!P81=0,0,TrRoad_ene!P84/TrRoad_tech!P112)</f>
        <v>1.1888250200037751</v>
      </c>
      <c r="Q139" s="93">
        <f>IF(TrRoad_act!Q81=0,0,TrRoad_ene!Q84/TrRoad_tech!Q112)</f>
        <v>1.1859612197152625</v>
      </c>
      <c r="R139" s="93">
        <f>IF(TrRoad_act!R81=0,0,TrRoad_ene!R84/TrRoad_tech!R112)</f>
        <v>1.2144968558990199</v>
      </c>
      <c r="S139" s="93">
        <f>IF(TrRoad_act!S81=0,0,TrRoad_ene!S84/TrRoad_tech!S112)</f>
        <v>1.2445344503883053</v>
      </c>
      <c r="T139" s="93">
        <f>IF(TrRoad_act!T81=0,0,TrRoad_ene!T84/TrRoad_tech!T112)</f>
        <v>1.2928986304946539</v>
      </c>
      <c r="U139" s="93">
        <f>IF(TrRoad_act!U81=0,0,TrRoad_ene!U84/TrRoad_tech!U112)</f>
        <v>1.3033908550137965</v>
      </c>
      <c r="V139" s="93">
        <f>IF(TrRoad_act!V81=0,0,TrRoad_ene!V84/TrRoad_tech!V112)</f>
        <v>1.2947230533095766</v>
      </c>
      <c r="W139" s="93">
        <f>IF(TrRoad_act!W81=0,0,TrRoad_ene!W84/TrRoad_tech!W112)</f>
        <v>1.3148897761875606</v>
      </c>
      <c r="X139" s="93">
        <f>IF(TrRoad_act!X81=0,0,TrRoad_ene!X84/TrRoad_tech!X112)</f>
        <v>1.3382991398934565</v>
      </c>
      <c r="Y139" s="93">
        <f>IF(TrRoad_act!Y81=0,0,TrRoad_ene!Y84/TrRoad_tech!Y112)</f>
        <v>1.3798585680898048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2.1765311554822735</v>
      </c>
      <c r="C140" s="94">
        <f>IF(TrRoad_act!C82=0,0,TrRoad_ene!C85/TrRoad_tech!C113)</f>
        <v>2.259274638174571</v>
      </c>
      <c r="D140" s="94">
        <f>IF(TrRoad_act!D82=0,0,TrRoad_ene!D85/TrRoad_tech!D113)</f>
        <v>2.3087168439355295</v>
      </c>
      <c r="E140" s="94">
        <f>IF(TrRoad_act!E82=0,0,TrRoad_ene!E85/TrRoad_tech!E113)</f>
        <v>2.6745982959590626</v>
      </c>
      <c r="F140" s="94">
        <f>IF(TrRoad_act!F82=0,0,TrRoad_ene!F85/TrRoad_tech!F113)</f>
        <v>2.890417741704205</v>
      </c>
      <c r="G140" s="94">
        <f>IF(TrRoad_act!G82=0,0,TrRoad_ene!G85/TrRoad_tech!G113)</f>
        <v>2.8402868532904528</v>
      </c>
      <c r="H140" s="94">
        <f>IF(TrRoad_act!H82=0,0,TrRoad_ene!H85/TrRoad_tech!H113)</f>
        <v>2.7089232416210458</v>
      </c>
      <c r="I140" s="94">
        <f>IF(TrRoad_act!I82=0,0,TrRoad_ene!I85/TrRoad_tech!I113)</f>
        <v>2.649722103933406</v>
      </c>
      <c r="J140" s="94">
        <f>IF(TrRoad_act!J82=0,0,TrRoad_ene!J85/TrRoad_tech!J113)</f>
        <v>1.9496852365065689</v>
      </c>
      <c r="K140" s="94">
        <f>IF(TrRoad_act!K82=0,0,TrRoad_ene!K85/TrRoad_tech!K113)</f>
        <v>1.9253816331860796</v>
      </c>
      <c r="L140" s="94">
        <f>IF(TrRoad_act!L82=0,0,TrRoad_ene!L85/TrRoad_tech!L113)</f>
        <v>2.0902658576009956</v>
      </c>
      <c r="M140" s="94">
        <f>IF(TrRoad_act!M82=0,0,TrRoad_ene!M85/TrRoad_tech!M113)</f>
        <v>2.0334758497987271</v>
      </c>
      <c r="N140" s="94">
        <f>IF(TrRoad_act!N82=0,0,TrRoad_ene!N85/TrRoad_tech!N113)</f>
        <v>1.6259830178375114</v>
      </c>
      <c r="O140" s="94">
        <f>IF(TrRoad_act!O82=0,0,TrRoad_ene!O85/TrRoad_tech!O113)</f>
        <v>1.4495736067001848</v>
      </c>
      <c r="P140" s="94">
        <f>IF(TrRoad_act!P82=0,0,TrRoad_ene!P85/TrRoad_tech!P113)</f>
        <v>1.7863479993213249</v>
      </c>
      <c r="Q140" s="94">
        <f>IF(TrRoad_act!Q82=0,0,TrRoad_ene!Q85/TrRoad_tech!Q113)</f>
        <v>1.5642239382163265</v>
      </c>
      <c r="R140" s="94">
        <f>IF(TrRoad_act!R82=0,0,TrRoad_ene!R85/TrRoad_tech!R113)</f>
        <v>1.9211319653431935</v>
      </c>
      <c r="S140" s="94">
        <f>IF(TrRoad_act!S82=0,0,TrRoad_ene!S85/TrRoad_tech!S113)</f>
        <v>2.1006172742193914</v>
      </c>
      <c r="T140" s="94">
        <f>IF(TrRoad_act!T82=0,0,TrRoad_ene!T85/TrRoad_tech!T113)</f>
        <v>2.5320218541955524</v>
      </c>
      <c r="U140" s="94">
        <f>IF(TrRoad_act!U82=0,0,TrRoad_ene!U85/TrRoad_tech!U113)</f>
        <v>2.4129457840257249</v>
      </c>
      <c r="V140" s="94">
        <f>IF(TrRoad_act!V82=0,0,TrRoad_ene!V85/TrRoad_tech!V113)</f>
        <v>2.1624749601921374</v>
      </c>
      <c r="W140" s="94">
        <f>IF(TrRoad_act!W82=0,0,TrRoad_ene!W85/TrRoad_tech!W113)</f>
        <v>2.2375330628846322</v>
      </c>
      <c r="X140" s="94">
        <f>IF(TrRoad_act!X82=0,0,TrRoad_ene!X85/TrRoad_tech!X113)</f>
        <v>2.2210975640973909</v>
      </c>
      <c r="Y140" s="94">
        <f>IF(TrRoad_act!Y82=0,0,TrRoad_ene!Y85/TrRoad_tech!Y113)</f>
        <v>2.4801122035284213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3.4418709757252346</v>
      </c>
      <c r="C144" s="141">
        <v>3.4287360215612344</v>
      </c>
      <c r="D144" s="141">
        <v>3.4142004094128846</v>
      </c>
      <c r="E144" s="141">
        <v>3.3739445973253872</v>
      </c>
      <c r="F144" s="141">
        <v>3.2930848147755825</v>
      </c>
      <c r="G144" s="141">
        <v>3.3008841389038985</v>
      </c>
      <c r="H144" s="141">
        <v>3.2657271062155058</v>
      </c>
      <c r="I144" s="141">
        <v>3.2058003459511988</v>
      </c>
      <c r="J144" s="141">
        <v>2.9988931584532046</v>
      </c>
      <c r="K144" s="141">
        <v>2.8173503258878045</v>
      </c>
      <c r="L144" s="141">
        <v>2.7075281185334261</v>
      </c>
      <c r="M144" s="141">
        <v>2.652497897619726</v>
      </c>
      <c r="N144" s="141">
        <v>2.4642666821796122</v>
      </c>
      <c r="O144" s="141">
        <v>2.3833633217284262</v>
      </c>
      <c r="P144" s="141">
        <v>2.3581830505056081</v>
      </c>
      <c r="Q144" s="141">
        <v>2.3221407442754676</v>
      </c>
      <c r="R144" s="141">
        <v>2.2716219164642708</v>
      </c>
      <c r="S144" s="141">
        <v>2.2312068542153134</v>
      </c>
      <c r="T144" s="141">
        <v>2.1988748044161475</v>
      </c>
      <c r="U144" s="141">
        <v>2.1730091645768148</v>
      </c>
      <c r="V144" s="141">
        <v>2.1523166527053488</v>
      </c>
      <c r="W144" s="141">
        <v>2.1357626432081758</v>
      </c>
      <c r="X144" s="141">
        <v>2.1225194356104375</v>
      </c>
      <c r="Y144" s="141">
        <v>2.1119248695322468</v>
      </c>
      <c r="DA144" s="174" t="s">
        <v>887</v>
      </c>
    </row>
    <row r="145" spans="1:105" ht="11.45" customHeight="1" x14ac:dyDescent="0.25">
      <c r="A145" s="109" t="s">
        <v>20</v>
      </c>
      <c r="B145" s="130">
        <v>6.7963099373629028</v>
      </c>
      <c r="C145" s="130">
        <v>6.8087513785080898</v>
      </c>
      <c r="D145" s="130">
        <v>6.8266691268327602</v>
      </c>
      <c r="E145" s="130">
        <v>6.8282013784149145</v>
      </c>
      <c r="F145" s="130">
        <v>6.6536956402692686</v>
      </c>
      <c r="G145" s="130">
        <v>6.5304586381752987</v>
      </c>
      <c r="H145" s="130">
        <v>6.5765862438228915</v>
      </c>
      <c r="I145" s="130">
        <v>6.4249616908567244</v>
      </c>
      <c r="J145" s="130">
        <v>6.009337388008646</v>
      </c>
      <c r="K145" s="130">
        <v>5.7306267857518627</v>
      </c>
      <c r="L145" s="130">
        <v>5.4545046485034749</v>
      </c>
      <c r="M145" s="130">
        <v>5.3765574517681696</v>
      </c>
      <c r="N145" s="130">
        <v>5.0763916549215944</v>
      </c>
      <c r="O145" s="130">
        <v>4.9119107319324486</v>
      </c>
      <c r="P145" s="130">
        <v>4.8018366046575789</v>
      </c>
      <c r="Q145" s="130">
        <v>4.6490328501291867</v>
      </c>
      <c r="R145" s="130">
        <v>4.5296291065243812</v>
      </c>
      <c r="S145" s="130">
        <v>4.5705314054018826</v>
      </c>
      <c r="T145" s="130">
        <v>4.6830215459939426</v>
      </c>
      <c r="U145" s="130">
        <v>4.65074981826805</v>
      </c>
      <c r="V145" s="130">
        <v>4.1815378665931107</v>
      </c>
      <c r="W145" s="130">
        <v>3.7087159340866855</v>
      </c>
      <c r="X145" s="130">
        <v>3.4265193697043257</v>
      </c>
      <c r="Y145" s="130">
        <v>3.165725593889289</v>
      </c>
      <c r="DA145" s="176" t="s">
        <v>888</v>
      </c>
    </row>
    <row r="146" spans="1:105" ht="11.45" customHeight="1" x14ac:dyDescent="0.25">
      <c r="A146" s="111" t="s">
        <v>110</v>
      </c>
      <c r="B146" s="96">
        <v>7.1937355540131929</v>
      </c>
      <c r="C146" s="96">
        <v>7.1963422575039599</v>
      </c>
      <c r="D146" s="96">
        <v>7.1634804501428517</v>
      </c>
      <c r="E146" s="96">
        <v>7.0724709537086383</v>
      </c>
      <c r="F146" s="96">
        <v>6.8896648516818644</v>
      </c>
      <c r="G146" s="96">
        <v>6.7609725042916482</v>
      </c>
      <c r="H146" s="96">
        <v>6.6830486976150061</v>
      </c>
      <c r="I146" s="96">
        <v>6.5502240271434502</v>
      </c>
      <c r="J146" s="96">
        <v>6.0270916027751191</v>
      </c>
      <c r="K146" s="96">
        <v>5.6286175913604595</v>
      </c>
      <c r="L146" s="96">
        <v>5.3874780546352712</v>
      </c>
      <c r="M146" s="96">
        <v>5.2667379809283874</v>
      </c>
      <c r="N146" s="96">
        <v>4.8016147049054521</v>
      </c>
      <c r="O146" s="96">
        <v>4.6257448760274995</v>
      </c>
      <c r="P146" s="96">
        <v>4.5734164053438091</v>
      </c>
      <c r="Q146" s="96">
        <v>4.5178493000976836</v>
      </c>
      <c r="R146" s="96">
        <v>4.50985830582096</v>
      </c>
      <c r="S146" s="96">
        <v>4.5438176193913931</v>
      </c>
      <c r="T146" s="96">
        <v>4.6813446454335006</v>
      </c>
      <c r="U146" s="96">
        <v>4.7957493211135462</v>
      </c>
      <c r="V146" s="96">
        <v>4.605088193965277</v>
      </c>
      <c r="W146" s="96">
        <v>4.4121783532109395</v>
      </c>
      <c r="X146" s="96">
        <v>4.4129774859125925</v>
      </c>
      <c r="Y146" s="96">
        <v>4.4219029124531462</v>
      </c>
      <c r="DA146" s="171" t="s">
        <v>889</v>
      </c>
    </row>
    <row r="147" spans="1:105" ht="11.45" customHeight="1" x14ac:dyDescent="0.25">
      <c r="A147" s="111" t="s">
        <v>111</v>
      </c>
      <c r="B147" s="96">
        <v>5.8802538721772848</v>
      </c>
      <c r="C147" s="96">
        <v>5.9127506058778119</v>
      </c>
      <c r="D147" s="96">
        <v>5.830191704074319</v>
      </c>
      <c r="E147" s="96">
        <v>5.951081524572289</v>
      </c>
      <c r="F147" s="96">
        <v>6.0365889585830494</v>
      </c>
      <c r="G147" s="96">
        <v>6.13389052142288</v>
      </c>
      <c r="H147" s="96">
        <v>6.3865207609415648</v>
      </c>
      <c r="I147" s="96">
        <v>6.2705844745518027</v>
      </c>
      <c r="J147" s="96">
        <v>5.9894124432667653</v>
      </c>
      <c r="K147" s="96">
        <v>5.830191704074319</v>
      </c>
      <c r="L147" s="96">
        <v>5.5176472901040006</v>
      </c>
      <c r="M147" s="96">
        <v>5.5276496550858649</v>
      </c>
      <c r="N147" s="96">
        <v>5.3627065311121491</v>
      </c>
      <c r="O147" s="96">
        <v>5.1993536120736072</v>
      </c>
      <c r="P147" s="96">
        <v>5.0384210597079067</v>
      </c>
      <c r="Q147" s="96">
        <v>4.8323473768926233</v>
      </c>
      <c r="R147" s="96">
        <v>4.6300186327609723</v>
      </c>
      <c r="S147" s="96">
        <v>4.6697255519221068</v>
      </c>
      <c r="T147" s="96">
        <v>4.8661643195959092</v>
      </c>
      <c r="U147" s="96">
        <v>4.7095822785551968</v>
      </c>
      <c r="V147" s="96">
        <v>4.5159661856800275</v>
      </c>
      <c r="W147" s="96">
        <v>4.568613679468787</v>
      </c>
      <c r="X147" s="96">
        <v>4.6136307879725065</v>
      </c>
      <c r="Y147" s="96">
        <v>5.0254798477353342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6.8954539248699191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0</v>
      </c>
      <c r="Q148" s="96">
        <v>0</v>
      </c>
      <c r="R148" s="96">
        <v>0</v>
      </c>
      <c r="S148" s="96">
        <v>0</v>
      </c>
      <c r="T148" s="96">
        <v>0</v>
      </c>
      <c r="U148" s="96">
        <v>0</v>
      </c>
      <c r="V148" s="96">
        <v>0</v>
      </c>
      <c r="W148" s="96">
        <v>0</v>
      </c>
      <c r="X148" s="96">
        <v>0</v>
      </c>
      <c r="Y148" s="96">
        <v>0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5.9026811755590884</v>
      </c>
      <c r="R149" s="96">
        <v>7.1937356965111601</v>
      </c>
      <c r="S149" s="96">
        <v>4.2005499357079623</v>
      </c>
      <c r="T149" s="96">
        <v>4.8800282059333497</v>
      </c>
      <c r="U149" s="96">
        <v>4.8393613042172383</v>
      </c>
      <c r="V149" s="96">
        <v>4.7050367477319375</v>
      </c>
      <c r="W149" s="96">
        <v>4.5019870081317617</v>
      </c>
      <c r="X149" s="96">
        <v>4.4943454407025971</v>
      </c>
      <c r="Y149" s="96">
        <v>4.5519143540345626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2.6790006484015438</v>
      </c>
      <c r="O150" s="96">
        <v>3.8994923119091691</v>
      </c>
      <c r="P150" s="96">
        <v>1.6046733914848967</v>
      </c>
      <c r="Q150" s="96">
        <v>5.101821500015177</v>
      </c>
      <c r="R150" s="96">
        <v>2.7432937132639532</v>
      </c>
      <c r="S150" s="96">
        <v>2.606110313592465</v>
      </c>
      <c r="T150" s="96">
        <v>2.3510242360966194</v>
      </c>
      <c r="U150" s="96">
        <v>2.3492121946167641</v>
      </c>
      <c r="V150" s="96">
        <v>2.2411270957706684</v>
      </c>
      <c r="W150" s="96">
        <v>2.5319805984688326</v>
      </c>
      <c r="X150" s="96">
        <v>2.4732747141714082</v>
      </c>
      <c r="Y150" s="96">
        <v>2.4059703965395416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1.2208913782356174</v>
      </c>
      <c r="L151" s="96">
        <v>1.2037833190025795</v>
      </c>
      <c r="M151" s="96">
        <v>1.2037833190025795</v>
      </c>
      <c r="N151" s="96">
        <v>1.2037833190025795</v>
      </c>
      <c r="O151" s="96">
        <v>1.2871445851611116</v>
      </c>
      <c r="P151" s="96">
        <v>1.2041456381633422</v>
      </c>
      <c r="Q151" s="96">
        <v>1.4326327949656097</v>
      </c>
      <c r="R151" s="96">
        <v>1.2309408782529794</v>
      </c>
      <c r="S151" s="96">
        <v>1.2151295947157645</v>
      </c>
      <c r="T151" s="96">
        <v>1.2499714653132348</v>
      </c>
      <c r="U151" s="96">
        <v>1.4104945687253938</v>
      </c>
      <c r="V151" s="96">
        <v>1.4379046790975907</v>
      </c>
      <c r="W151" s="96">
        <v>1.4757951813571513</v>
      </c>
      <c r="X151" s="96">
        <v>1.5022991329401771</v>
      </c>
      <c r="Y151" s="96">
        <v>1.4588408726048185</v>
      </c>
      <c r="DA151" s="171" t="s">
        <v>894</v>
      </c>
    </row>
    <row r="152" spans="1:105" ht="11.45" customHeight="1" x14ac:dyDescent="0.25">
      <c r="A152" s="109" t="s">
        <v>21</v>
      </c>
      <c r="B152" s="130">
        <v>48.771104312166308</v>
      </c>
      <c r="C152" s="130">
        <v>48.720819182820982</v>
      </c>
      <c r="D152" s="130">
        <v>48.665007621777988</v>
      </c>
      <c r="E152" s="130">
        <v>48.508952708740182</v>
      </c>
      <c r="F152" s="130">
        <v>48.189296468687274</v>
      </c>
      <c r="G152" s="130">
        <v>46.832687657710878</v>
      </c>
      <c r="H152" s="130">
        <v>46.557316155009545</v>
      </c>
      <c r="I152" s="130">
        <v>46.755425991765577</v>
      </c>
      <c r="J152" s="130">
        <v>44.144766985105406</v>
      </c>
      <c r="K152" s="130">
        <v>43.676214559943439</v>
      </c>
      <c r="L152" s="130">
        <v>43.520134105643038</v>
      </c>
      <c r="M152" s="130">
        <v>43.202414649153312</v>
      </c>
      <c r="N152" s="130">
        <v>42.435561403248187</v>
      </c>
      <c r="O152" s="130">
        <v>41.423665743664039</v>
      </c>
      <c r="P152" s="130">
        <v>43.388346598896362</v>
      </c>
      <c r="Q152" s="130">
        <v>42.986586826256087</v>
      </c>
      <c r="R152" s="130">
        <v>42.364774332153189</v>
      </c>
      <c r="S152" s="130">
        <v>41.520661964975808</v>
      </c>
      <c r="T152" s="130">
        <v>40.819873675403315</v>
      </c>
      <c r="U152" s="130">
        <v>37.983958400600493</v>
      </c>
      <c r="V152" s="130">
        <v>38.155307055642666</v>
      </c>
      <c r="W152" s="130">
        <v>32.686655340954303</v>
      </c>
      <c r="X152" s="130">
        <v>28.8092789383659</v>
      </c>
      <c r="Y152" s="130">
        <v>23.510187177375652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17.331845911720656</v>
      </c>
      <c r="H153" s="97">
        <v>15.831572720472639</v>
      </c>
      <c r="I153" s="97">
        <v>14.979127155460818</v>
      </c>
      <c r="J153" s="97">
        <v>14.476949248643463</v>
      </c>
      <c r="K153" s="97">
        <v>13.576488767328897</v>
      </c>
      <c r="L153" s="97">
        <v>13.019556485735787</v>
      </c>
      <c r="M153" s="97">
        <v>13.032528450839388</v>
      </c>
      <c r="N153" s="97">
        <v>12.176708119629357</v>
      </c>
      <c r="O153" s="97">
        <v>11.261799530923994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48.771104312166308</v>
      </c>
      <c r="C154" s="97">
        <v>48.720819182820982</v>
      </c>
      <c r="D154" s="97">
        <v>48.665007621777988</v>
      </c>
      <c r="E154" s="97">
        <v>48.508952708740182</v>
      </c>
      <c r="F154" s="97">
        <v>48.189296468687274</v>
      </c>
      <c r="G154" s="97">
        <v>47.961066645020324</v>
      </c>
      <c r="H154" s="97">
        <v>47.821667452446398</v>
      </c>
      <c r="I154" s="97">
        <v>47.580459714502055</v>
      </c>
      <c r="J154" s="97">
        <v>46.569929197895213</v>
      </c>
      <c r="K154" s="97">
        <v>45.760041730201372</v>
      </c>
      <c r="L154" s="97">
        <v>45.253851149300928</v>
      </c>
      <c r="M154" s="97">
        <v>44.995868914574885</v>
      </c>
      <c r="N154" s="97">
        <v>43.931878323866698</v>
      </c>
      <c r="O154" s="97">
        <v>43.518239786215432</v>
      </c>
      <c r="P154" s="97">
        <v>43.388346598896362</v>
      </c>
      <c r="Q154" s="97">
        <v>43.199999999908329</v>
      </c>
      <c r="R154" s="97">
        <v>42.686937714935816</v>
      </c>
      <c r="S154" s="97">
        <v>41.892550397311034</v>
      </c>
      <c r="T154" s="97">
        <v>40.860727367144179</v>
      </c>
      <c r="U154" s="97">
        <v>39.634202933355823</v>
      </c>
      <c r="V154" s="97">
        <v>38.253346358077032</v>
      </c>
      <c r="W154" s="97">
        <v>36.75534287879826</v>
      </c>
      <c r="X154" s="97">
        <v>35.173702974152228</v>
      </c>
      <c r="Y154" s="97">
        <v>0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37.799999999919791</v>
      </c>
      <c r="R156" s="97">
        <v>36.918810206469161</v>
      </c>
      <c r="S156" s="97">
        <v>36.363587503700003</v>
      </c>
      <c r="T156" s="97">
        <v>0</v>
      </c>
      <c r="U156" s="97">
        <v>35.745325583653944</v>
      </c>
      <c r="V156" s="97">
        <v>35.558720357762702</v>
      </c>
      <c r="W156" s="97">
        <v>35.411777917857194</v>
      </c>
      <c r="X156" s="97">
        <v>35.288580177804</v>
      </c>
      <c r="Y156" s="97">
        <v>35.1796524926053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25.353161986188404</v>
      </c>
      <c r="S157" s="97">
        <v>25.38967608383232</v>
      </c>
      <c r="T157" s="97">
        <v>25.295470813875763</v>
      </c>
      <c r="U157" s="97">
        <v>25.084930037295674</v>
      </c>
      <c r="V157" s="97">
        <v>24.772457334474748</v>
      </c>
      <c r="W157" s="97">
        <v>24.372088436877242</v>
      </c>
      <c r="X157" s="97">
        <v>23.897205415941951</v>
      </c>
      <c r="Y157" s="97">
        <v>23.360338505591002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0</v>
      </c>
      <c r="C159" s="141">
        <v>7.596212372725371</v>
      </c>
      <c r="D159" s="141">
        <v>7.564348512354802</v>
      </c>
      <c r="E159" s="141">
        <v>7.5822734289314067</v>
      </c>
      <c r="F159" s="141">
        <v>7.5227817076761374</v>
      </c>
      <c r="G159" s="141">
        <v>7.5286958417003351</v>
      </c>
      <c r="H159" s="141">
        <v>7.6462608693733856</v>
      </c>
      <c r="I159" s="141">
        <v>7.2329607699330865</v>
      </c>
      <c r="J159" s="141">
        <v>7.4551074059640126</v>
      </c>
      <c r="K159" s="141">
        <v>7.5518079136690757</v>
      </c>
      <c r="L159" s="141">
        <v>7.672252894026018</v>
      </c>
      <c r="M159" s="141">
        <v>7.9827723547336387</v>
      </c>
      <c r="N159" s="141">
        <v>7.5024826970439502</v>
      </c>
      <c r="O159" s="141">
        <v>6.8548561585284036</v>
      </c>
      <c r="P159" s="141">
        <v>6.380701474475222</v>
      </c>
      <c r="Q159" s="141">
        <v>6.0703750528588358</v>
      </c>
      <c r="R159" s="141">
        <v>6.0493476072970083</v>
      </c>
      <c r="S159" s="141">
        <v>5.9044286467273528</v>
      </c>
      <c r="T159" s="141">
        <v>5.7600963807532173</v>
      </c>
      <c r="U159" s="141">
        <v>5.6332436963410428</v>
      </c>
      <c r="V159" s="141">
        <v>5.9872125632111706</v>
      </c>
      <c r="W159" s="141">
        <v>5.8771465968609222</v>
      </c>
      <c r="X159" s="141">
        <v>5.802232973730745</v>
      </c>
      <c r="Y159" s="141">
        <v>5.8545850784833613</v>
      </c>
      <c r="DA159" s="174" t="s">
        <v>901</v>
      </c>
    </row>
    <row r="160" spans="1:105" ht="11.45" customHeight="1" x14ac:dyDescent="0.25">
      <c r="A160" s="111" t="s">
        <v>110</v>
      </c>
      <c r="B160" s="96">
        <v>0</v>
      </c>
      <c r="C160" s="96">
        <v>10.171057092155891</v>
      </c>
      <c r="D160" s="96">
        <v>10.124611369195348</v>
      </c>
      <c r="E160" s="96">
        <v>9.9959817472237802</v>
      </c>
      <c r="F160" s="96">
        <v>9.7376100308744142</v>
      </c>
      <c r="G160" s="96">
        <v>9.5557207924540837</v>
      </c>
      <c r="H160" s="96">
        <v>9.4455860242362721</v>
      </c>
      <c r="I160" s="96">
        <v>9.2578563056831733</v>
      </c>
      <c r="J160" s="96">
        <v>8.5184793326855441</v>
      </c>
      <c r="K160" s="96">
        <v>7.9552901770262601</v>
      </c>
      <c r="L160" s="96">
        <v>7.614595502615086</v>
      </c>
      <c r="M160" s="96">
        <v>7.443878635338236</v>
      </c>
      <c r="N160" s="96">
        <v>6.7864333783184794</v>
      </c>
      <c r="O160" s="96">
        <v>5.2565149847963362</v>
      </c>
      <c r="P160" s="96">
        <v>5.0313137949029914</v>
      </c>
      <c r="Q160" s="96">
        <v>4.8227703149383743</v>
      </c>
      <c r="R160" s="96">
        <v>4.9037235475017127</v>
      </c>
      <c r="S160" s="96">
        <v>4.9250970981013857</v>
      </c>
      <c r="T160" s="96">
        <v>4.9203074061307168</v>
      </c>
      <c r="U160" s="96">
        <v>4.8639302819366081</v>
      </c>
      <c r="V160" s="96">
        <v>4.7643047454232823</v>
      </c>
      <c r="W160" s="96">
        <v>4.6096593204674727</v>
      </c>
      <c r="X160" s="96">
        <v>4.560452164542161</v>
      </c>
      <c r="Y160" s="96">
        <v>5.1785139492153514</v>
      </c>
      <c r="DA160" s="171" t="s">
        <v>902</v>
      </c>
    </row>
    <row r="161" spans="1:105" ht="11.45" customHeight="1" x14ac:dyDescent="0.25">
      <c r="A161" s="111" t="s">
        <v>111</v>
      </c>
      <c r="B161" s="96">
        <v>0</v>
      </c>
      <c r="C161" s="96">
        <v>7.1613792292292811</v>
      </c>
      <c r="D161" s="96">
        <v>7.0613859022697802</v>
      </c>
      <c r="E161" s="96">
        <v>7.2078047024604759</v>
      </c>
      <c r="F161" s="96">
        <v>7.3113692196685252</v>
      </c>
      <c r="G161" s="96">
        <v>7.4292184978707922</v>
      </c>
      <c r="H161" s="96">
        <v>7.7351980783668539</v>
      </c>
      <c r="I161" s="96">
        <v>7.59477887779373</v>
      </c>
      <c r="J161" s="96">
        <v>7.2542301756916672</v>
      </c>
      <c r="K161" s="96">
        <v>7.0613859022697802</v>
      </c>
      <c r="L161" s="96">
        <v>6.6828397359231149</v>
      </c>
      <c r="M161" s="96">
        <v>6.6949543562748328</v>
      </c>
      <c r="N161" s="96">
        <v>6.4951792700645177</v>
      </c>
      <c r="O161" s="96">
        <v>6.0179459122968435</v>
      </c>
      <c r="P161" s="96">
        <v>5.6670858892222808</v>
      </c>
      <c r="Q161" s="96">
        <v>5.7104772789804867</v>
      </c>
      <c r="R161" s="96">
        <v>5.6646963064463653</v>
      </c>
      <c r="S161" s="96">
        <v>5.54313941928228</v>
      </c>
      <c r="T161" s="96">
        <v>5.6254734386654253</v>
      </c>
      <c r="U161" s="96">
        <v>5.6865701467489007</v>
      </c>
      <c r="V161" s="96">
        <v>6.4248778796041588</v>
      </c>
      <c r="W161" s="96">
        <v>6.4407564409834173</v>
      </c>
      <c r="X161" s="96">
        <v>6.5393540764758153</v>
      </c>
      <c r="Y161" s="96">
        <v>6.7411692161292116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10.127504973580267</v>
      </c>
      <c r="D162" s="96">
        <v>9.9860960516823951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X162" s="96">
        <v>0</v>
      </c>
      <c r="Y162" s="96">
        <v>0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7.1415779395813468</v>
      </c>
      <c r="R163" s="96">
        <v>5.8896275729427607</v>
      </c>
      <c r="S163" s="96">
        <v>5.8121419354599038</v>
      </c>
      <c r="T163" s="96">
        <v>5.4462874754190471</v>
      </c>
      <c r="U163" s="96">
        <v>0</v>
      </c>
      <c r="V163" s="96">
        <v>8.9407554887297938</v>
      </c>
      <c r="W163" s="96">
        <v>0</v>
      </c>
      <c r="X163" s="96">
        <v>0</v>
      </c>
      <c r="Y163" s="96">
        <v>0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1.3327601031814273</v>
      </c>
      <c r="O164" s="96">
        <v>1.3327601031814273</v>
      </c>
      <c r="P164" s="96">
        <v>1.4317471635593397</v>
      </c>
      <c r="Q164" s="96">
        <v>1.4202542778941014</v>
      </c>
      <c r="R164" s="96">
        <v>1.4437583053232237</v>
      </c>
      <c r="S164" s="96">
        <v>1.4176917542597438</v>
      </c>
      <c r="T164" s="96">
        <v>1.7170790739148436</v>
      </c>
      <c r="U164" s="96">
        <v>1.6633071620878737</v>
      </c>
      <c r="V164" s="96">
        <v>2.1995984456813122</v>
      </c>
      <c r="W164" s="96">
        <v>2.2664612451870094</v>
      </c>
      <c r="X164" s="96">
        <v>2.1661889213804901</v>
      </c>
      <c r="Y164" s="96">
        <v>1.9003075039713191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30.65262948695921</v>
      </c>
      <c r="D165" s="130">
        <v>30.319140518982685</v>
      </c>
      <c r="E165" s="130">
        <v>30.058860203142199</v>
      </c>
      <c r="F165" s="130">
        <v>30.184668120916907</v>
      </c>
      <c r="G165" s="130">
        <v>29.385256286213639</v>
      </c>
      <c r="H165" s="130">
        <v>29.529956900555085</v>
      </c>
      <c r="I165" s="130">
        <v>28.805965450361409</v>
      </c>
      <c r="J165" s="130">
        <v>29.962977291875731</v>
      </c>
      <c r="K165" s="130">
        <v>27.759798994916785</v>
      </c>
      <c r="L165" s="130">
        <v>27.323999999929974</v>
      </c>
      <c r="M165" s="130">
        <v>27.1771133783149</v>
      </c>
      <c r="N165" s="130">
        <v>26.70366865262827</v>
      </c>
      <c r="O165" s="130">
        <v>26.852575242412001</v>
      </c>
      <c r="P165" s="130">
        <v>25.277624084579486</v>
      </c>
      <c r="Q165" s="130">
        <v>26.367444559529542</v>
      </c>
      <c r="R165" s="130">
        <v>25.221662097544979</v>
      </c>
      <c r="S165" s="130">
        <v>22.867161500927587</v>
      </c>
      <c r="T165" s="130">
        <v>21.259144663296464</v>
      </c>
      <c r="U165" s="130">
        <v>20.753899267465034</v>
      </c>
      <c r="V165" s="130">
        <v>21.252406050719092</v>
      </c>
      <c r="W165" s="130">
        <v>19.945208267593216</v>
      </c>
      <c r="X165" s="130">
        <v>19.927861709502682</v>
      </c>
      <c r="Y165" s="130">
        <v>19.055349104878683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30.00618556695056</v>
      </c>
      <c r="D166" s="97">
        <v>29.852830188602187</v>
      </c>
      <c r="E166" s="97">
        <v>29.661874197639577</v>
      </c>
      <c r="F166" s="97">
        <v>29.433802816832344</v>
      </c>
      <c r="G166" s="97">
        <v>29.169191489291819</v>
      </c>
      <c r="H166" s="97">
        <v>28.868702290023776</v>
      </c>
      <c r="I166" s="97">
        <v>28.533079847840558</v>
      </c>
      <c r="J166" s="97">
        <v>28.163146823674232</v>
      </c>
      <c r="K166" s="97">
        <v>27.759798994916785</v>
      </c>
      <c r="L166" s="97">
        <v>27.323999999929974</v>
      </c>
      <c r="M166" s="97">
        <v>26.856775797709886</v>
      </c>
      <c r="N166" s="97">
        <v>26.359208899822526</v>
      </c>
      <c r="O166" s="97">
        <v>25.832432432393876</v>
      </c>
      <c r="P166" s="97">
        <v>25.277624084579486</v>
      </c>
      <c r="Q166" s="97">
        <v>24.695999999947592</v>
      </c>
      <c r="R166" s="97">
        <v>23.284560436641172</v>
      </c>
      <c r="S166" s="97">
        <v>22.296552742326678</v>
      </c>
      <c r="T166" s="97">
        <v>21.259144663296464</v>
      </c>
      <c r="U166" s="97">
        <v>19.991201455592865</v>
      </c>
      <c r="V166" s="97">
        <v>19.454637492720472</v>
      </c>
      <c r="W166" s="97">
        <v>19.16726215986013</v>
      </c>
      <c r="X166" s="97">
        <v>19.061662540938404</v>
      </c>
      <c r="Y166" s="97">
        <v>18.87104591552902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0</v>
      </c>
      <c r="M167" s="98">
        <v>30.129147390351896</v>
      </c>
      <c r="N167" s="98">
        <v>29.612068313049569</v>
      </c>
      <c r="O167" s="98">
        <v>29.064634207446638</v>
      </c>
      <c r="P167" s="98">
        <v>0</v>
      </c>
      <c r="Q167" s="98">
        <v>27.883636363577196</v>
      </c>
      <c r="R167" s="98">
        <v>27.103246514875242</v>
      </c>
      <c r="S167" s="98">
        <v>26.556973620783872</v>
      </c>
      <c r="T167" s="98">
        <v>0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113.93682307883519</v>
      </c>
      <c r="C171" s="152">
        <v>111.93121004856056</v>
      </c>
      <c r="D171" s="152">
        <v>110.58528075671786</v>
      </c>
      <c r="E171" s="152">
        <v>109.29929965376309</v>
      </c>
      <c r="F171" s="152">
        <v>107.50899272432365</v>
      </c>
      <c r="G171" s="152">
        <v>105.30552032987696</v>
      </c>
      <c r="H171" s="152">
        <v>102.83376841083218</v>
      </c>
      <c r="I171" s="152">
        <v>100.23653636944974</v>
      </c>
      <c r="J171" s="152">
        <v>98.012455320130172</v>
      </c>
      <c r="K171" s="152">
        <v>96.894113364214647</v>
      </c>
      <c r="L171" s="152">
        <v>95.858766811234958</v>
      </c>
      <c r="M171" s="152">
        <v>94.883790433897346</v>
      </c>
      <c r="N171" s="152">
        <v>94.449867077406779</v>
      </c>
      <c r="O171" s="152">
        <v>93.953679852276551</v>
      </c>
      <c r="P171" s="152">
        <v>92.840813577599278</v>
      </c>
      <c r="Q171" s="152">
        <v>91.89096497621793</v>
      </c>
      <c r="R171" s="152">
        <v>90.473625499955034</v>
      </c>
      <c r="S171" s="152">
        <v>89.473841700097594</v>
      </c>
      <c r="T171" s="152">
        <v>88.258529485702866</v>
      </c>
      <c r="U171" s="152">
        <v>86.513736716167458</v>
      </c>
      <c r="V171" s="152">
        <v>85.217681147167767</v>
      </c>
      <c r="W171" s="152">
        <v>83.893404713141436</v>
      </c>
      <c r="X171" s="152">
        <v>82.803404083782738</v>
      </c>
      <c r="Y171" s="152">
        <v>81.868751817937962</v>
      </c>
      <c r="DA171" s="174" t="s">
        <v>910</v>
      </c>
    </row>
    <row r="172" spans="1:105" ht="11.45" customHeight="1" x14ac:dyDescent="0.25">
      <c r="A172" s="109" t="s">
        <v>20</v>
      </c>
      <c r="B172" s="116">
        <v>241.64327739854323</v>
      </c>
      <c r="C172" s="116">
        <v>237.81702568675084</v>
      </c>
      <c r="D172" s="116">
        <v>235.10811918287342</v>
      </c>
      <c r="E172" s="116">
        <v>233.06425485270319</v>
      </c>
      <c r="F172" s="116">
        <v>231.52092662741052</v>
      </c>
      <c r="G172" s="116">
        <v>229.30398944380394</v>
      </c>
      <c r="H172" s="116">
        <v>226.56285946377039</v>
      </c>
      <c r="I172" s="116">
        <v>222.97641072618194</v>
      </c>
      <c r="J172" s="116">
        <v>219.33468182706935</v>
      </c>
      <c r="K172" s="116">
        <v>216.656733280476</v>
      </c>
      <c r="L172" s="116">
        <v>212.07493822824512</v>
      </c>
      <c r="M172" s="116">
        <v>206.33199870077641</v>
      </c>
      <c r="N172" s="116">
        <v>201.81408492372327</v>
      </c>
      <c r="O172" s="116">
        <v>196.28692754231409</v>
      </c>
      <c r="P172" s="116">
        <v>190.07106291642867</v>
      </c>
      <c r="Q172" s="116">
        <v>181.51058490508171</v>
      </c>
      <c r="R172" s="116">
        <v>175.86900585235452</v>
      </c>
      <c r="S172" s="116">
        <v>171.65933282928842</v>
      </c>
      <c r="T172" s="116">
        <v>167.30789359867842</v>
      </c>
      <c r="U172" s="116">
        <v>160.86848009511058</v>
      </c>
      <c r="V172" s="116">
        <v>150.9299464805797</v>
      </c>
      <c r="W172" s="116">
        <v>133.5935545535819</v>
      </c>
      <c r="X172" s="116">
        <v>120.51717281617785</v>
      </c>
      <c r="Y172" s="116">
        <v>107.19609806391722</v>
      </c>
      <c r="DA172" s="176" t="s">
        <v>911</v>
      </c>
    </row>
    <row r="173" spans="1:105" ht="11.45" customHeight="1" x14ac:dyDescent="0.25">
      <c r="A173" s="111" t="s">
        <v>110</v>
      </c>
      <c r="B173" s="87">
        <v>240.39526751803018</v>
      </c>
      <c r="C173" s="87">
        <v>236.81828809799285</v>
      </c>
      <c r="D173" s="87">
        <v>234.8760060914091</v>
      </c>
      <c r="E173" s="87">
        <v>233.10895650653126</v>
      </c>
      <c r="F173" s="87">
        <v>230.58777550467636</v>
      </c>
      <c r="G173" s="87">
        <v>227.37427519160488</v>
      </c>
      <c r="H173" s="87">
        <v>224.60861722134248</v>
      </c>
      <c r="I173" s="87">
        <v>220.44840137439797</v>
      </c>
      <c r="J173" s="87">
        <v>216.57390138871833</v>
      </c>
      <c r="K173" s="87">
        <v>213.18607919000988</v>
      </c>
      <c r="L173" s="87">
        <v>208.68112767779402</v>
      </c>
      <c r="M173" s="87">
        <v>203.22874215507554</v>
      </c>
      <c r="N173" s="87">
        <v>196.97617547847582</v>
      </c>
      <c r="O173" s="87">
        <v>190.20983458395932</v>
      </c>
      <c r="P173" s="87">
        <v>183.04008973906778</v>
      </c>
      <c r="Q173" s="87">
        <v>176.61840156148094</v>
      </c>
      <c r="R173" s="87">
        <v>170.26928583076841</v>
      </c>
      <c r="S173" s="87">
        <v>165.01132756324543</v>
      </c>
      <c r="T173" s="87">
        <v>160.8300815609619</v>
      </c>
      <c r="U173" s="87">
        <v>156.4527922692898</v>
      </c>
      <c r="V173" s="87">
        <v>152.857564366438</v>
      </c>
      <c r="W173" s="87">
        <v>149.36596964606579</v>
      </c>
      <c r="X173" s="87">
        <v>145.62038170406112</v>
      </c>
      <c r="Y173" s="87">
        <v>141.99835179154388</v>
      </c>
      <c r="DA173" s="171" t="s">
        <v>912</v>
      </c>
    </row>
    <row r="174" spans="1:105" ht="11.45" customHeight="1" x14ac:dyDescent="0.25">
      <c r="A174" s="111" t="s">
        <v>111</v>
      </c>
      <c r="B174" s="87">
        <v>208.32692260537658</v>
      </c>
      <c r="C174" s="87">
        <v>193.22802241430753</v>
      </c>
      <c r="D174" s="87">
        <v>189.76971062747506</v>
      </c>
      <c r="E174" s="87">
        <v>187.98097547372711</v>
      </c>
      <c r="F174" s="87">
        <v>186.86338208140091</v>
      </c>
      <c r="G174" s="87">
        <v>186.5552717951237</v>
      </c>
      <c r="H174" s="87">
        <v>187.82670209070696</v>
      </c>
      <c r="I174" s="87">
        <v>188.42173436808193</v>
      </c>
      <c r="J174" s="87">
        <v>187.79003427091558</v>
      </c>
      <c r="K174" s="87">
        <v>187.01613681788223</v>
      </c>
      <c r="L174" s="87">
        <v>184.93819400984228</v>
      </c>
      <c r="M174" s="87">
        <v>182.86306387930728</v>
      </c>
      <c r="N174" s="87">
        <v>181.09483079649462</v>
      </c>
      <c r="O174" s="87">
        <v>179.23300781777243</v>
      </c>
      <c r="P174" s="87">
        <v>177.08606755268949</v>
      </c>
      <c r="Q174" s="87">
        <v>173.9640992041044</v>
      </c>
      <c r="R174" s="87">
        <v>167.88152113071939</v>
      </c>
      <c r="S174" s="87">
        <v>164.4571637133169</v>
      </c>
      <c r="T174" s="87">
        <v>162.83296972147099</v>
      </c>
      <c r="U174" s="87">
        <v>160.53419912013902</v>
      </c>
      <c r="V174" s="87">
        <v>158.94602142369021</v>
      </c>
      <c r="W174" s="87">
        <v>157.86257775641482</v>
      </c>
      <c r="X174" s="87">
        <v>155.76453933245423</v>
      </c>
      <c r="Y174" s="87">
        <v>154.32450503717953</v>
      </c>
      <c r="DA174" s="171" t="s">
        <v>913</v>
      </c>
    </row>
    <row r="175" spans="1:105" ht="11.45" customHeight="1" x14ac:dyDescent="0.25">
      <c r="A175" s="111" t="s">
        <v>112</v>
      </c>
      <c r="B175" s="87">
        <v>202.46145295108033</v>
      </c>
      <c r="C175" s="87">
        <v>200.79303656119225</v>
      </c>
      <c r="D175" s="87">
        <v>200.71398555228819</v>
      </c>
      <c r="E175" s="87">
        <v>200.5172560554459</v>
      </c>
      <c r="F175" s="87">
        <v>200.39431901961888</v>
      </c>
      <c r="G175" s="87">
        <v>200.23434827586797</v>
      </c>
      <c r="H175" s="87">
        <v>200.10858693436768</v>
      </c>
      <c r="I175" s="87">
        <v>199.91537658737028</v>
      </c>
      <c r="J175" s="87">
        <v>199.53768619639484</v>
      </c>
      <c r="K175" s="87">
        <v>198.81272513520724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>
        <v>0</v>
      </c>
      <c r="R175" s="87">
        <v>0</v>
      </c>
      <c r="S175" s="87">
        <v>0</v>
      </c>
      <c r="T175" s="87">
        <v>0</v>
      </c>
      <c r="U175" s="87">
        <v>0</v>
      </c>
      <c r="V175" s="87">
        <v>0</v>
      </c>
      <c r="W175" s="87">
        <v>0</v>
      </c>
      <c r="X175" s="87">
        <v>0</v>
      </c>
      <c r="Y175" s="87">
        <v>0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138.64186851211076</v>
      </c>
      <c r="R176" s="87">
        <v>168.96608996539794</v>
      </c>
      <c r="S176" s="87">
        <v>98.662298461311963</v>
      </c>
      <c r="T176" s="87">
        <v>106.09066364162092</v>
      </c>
      <c r="U176" s="87">
        <v>108.74324346904321</v>
      </c>
      <c r="V176" s="87">
        <v>109.28197930532005</v>
      </c>
      <c r="W176" s="87">
        <v>108.62120212819643</v>
      </c>
      <c r="X176" s="87">
        <v>108.12829159204381</v>
      </c>
      <c r="Y176" s="87">
        <v>107.93859076623441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52.103360059816822</v>
      </c>
      <c r="O177" s="87">
        <v>60.113318939330028</v>
      </c>
      <c r="P177" s="87">
        <v>27.607842180004553</v>
      </c>
      <c r="Q177" s="87">
        <v>119.38399225064319</v>
      </c>
      <c r="R177" s="87">
        <v>65.589497313163463</v>
      </c>
      <c r="S177" s="87">
        <v>49.725344442641791</v>
      </c>
      <c r="T177" s="87">
        <v>42.636649374549677</v>
      </c>
      <c r="U177" s="87">
        <v>38.851378579815837</v>
      </c>
      <c r="V177" s="87">
        <v>34.992161371906576</v>
      </c>
      <c r="W177" s="87">
        <v>33.871007295012156</v>
      </c>
      <c r="X177" s="87">
        <v>32.876233248640681</v>
      </c>
      <c r="Y177" s="87">
        <v>31.785858819352438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1540.6342571330006</v>
      </c>
      <c r="C179" s="116">
        <v>1515.5062717334927</v>
      </c>
      <c r="D179" s="116">
        <v>1502.7971378573288</v>
      </c>
      <c r="E179" s="116">
        <v>1535.189975938913</v>
      </c>
      <c r="F179" s="116">
        <v>1528.4576820556078</v>
      </c>
      <c r="G179" s="116">
        <v>1505.1047263430178</v>
      </c>
      <c r="H179" s="116">
        <v>1470.179690097764</v>
      </c>
      <c r="I179" s="116">
        <v>1441.0084675681521</v>
      </c>
      <c r="J179" s="116">
        <v>1434.7404021139444</v>
      </c>
      <c r="K179" s="116">
        <v>1429.7250112031923</v>
      </c>
      <c r="L179" s="116">
        <v>1424.418121046351</v>
      </c>
      <c r="M179" s="116">
        <v>1417.3930954112534</v>
      </c>
      <c r="N179" s="116">
        <v>1408.6773651976946</v>
      </c>
      <c r="O179" s="116">
        <v>1397.8066070204429</v>
      </c>
      <c r="P179" s="116">
        <v>1397.9166343431202</v>
      </c>
      <c r="Q179" s="116">
        <v>1382.5727129367813</v>
      </c>
      <c r="R179" s="116">
        <v>1369.1882902549614</v>
      </c>
      <c r="S179" s="116">
        <v>1351.2807662549865</v>
      </c>
      <c r="T179" s="116">
        <v>1357.0947858907614</v>
      </c>
      <c r="U179" s="116">
        <v>1244.2897667142436</v>
      </c>
      <c r="V179" s="116">
        <v>1324.8177947267634</v>
      </c>
      <c r="W179" s="116">
        <v>981.72378360158984</v>
      </c>
      <c r="X179" s="116">
        <v>668.47048187838971</v>
      </c>
      <c r="Y179" s="116">
        <v>17.518790848490831</v>
      </c>
      <c r="DA179" s="176" t="s">
        <v>918</v>
      </c>
    </row>
    <row r="180" spans="1:105" ht="11.45" customHeight="1" x14ac:dyDescent="0.25">
      <c r="A180" s="111" t="s">
        <v>110</v>
      </c>
      <c r="B180" s="101">
        <v>539.16088565951509</v>
      </c>
      <c r="C180" s="101">
        <v>539.1608856595152</v>
      </c>
      <c r="D180" s="101">
        <v>539.16088565951497</v>
      </c>
      <c r="E180" s="101">
        <v>539.16088565951509</v>
      </c>
      <c r="F180" s="101">
        <v>539.16088565951509</v>
      </c>
      <c r="G180" s="101">
        <v>533.39658129765178</v>
      </c>
      <c r="H180" s="101">
        <v>516.45426469708514</v>
      </c>
      <c r="I180" s="101">
        <v>499.31796191260139</v>
      </c>
      <c r="J180" s="101">
        <v>482.2512271397207</v>
      </c>
      <c r="K180" s="101">
        <v>465.24666275428461</v>
      </c>
      <c r="L180" s="101">
        <v>450.62371581328159</v>
      </c>
      <c r="M180" s="101">
        <v>438.59505258555436</v>
      </c>
      <c r="N180" s="101">
        <v>427.202415908749</v>
      </c>
      <c r="O180" s="101">
        <v>419.88988791020569</v>
      </c>
      <c r="P180" s="101">
        <v>416.68029373663217</v>
      </c>
      <c r="Q180" s="101">
        <v>408.25265479430732</v>
      </c>
      <c r="R180" s="101">
        <v>407.12873639310948</v>
      </c>
      <c r="S180" s="101">
        <v>405.90132122868442</v>
      </c>
      <c r="T180" s="101">
        <v>401.60890473438832</v>
      </c>
      <c r="U180" s="101">
        <v>401.48104101138756</v>
      </c>
      <c r="V180" s="101">
        <v>401.05026971019333</v>
      </c>
      <c r="W180" s="101">
        <v>400.29104498224831</v>
      </c>
      <c r="X180" s="101">
        <v>400.2575237642306</v>
      </c>
      <c r="Y180" s="101">
        <v>399.35182012388913</v>
      </c>
      <c r="DA180" s="175" t="s">
        <v>919</v>
      </c>
    </row>
    <row r="181" spans="1:105" ht="11.45" customHeight="1" x14ac:dyDescent="0.25">
      <c r="A181" s="111" t="s">
        <v>111</v>
      </c>
      <c r="B181" s="101">
        <v>1664.3923000630843</v>
      </c>
      <c r="C181" s="101">
        <v>1628.9880714710284</v>
      </c>
      <c r="D181" s="101">
        <v>1611.2139989282803</v>
      </c>
      <c r="E181" s="101">
        <v>1597.2174390098735</v>
      </c>
      <c r="F181" s="101">
        <v>1575.5852606298322</v>
      </c>
      <c r="G181" s="101">
        <v>1547.8227503648802</v>
      </c>
      <c r="H181" s="101">
        <v>1515.3128351734872</v>
      </c>
      <c r="I181" s="101">
        <v>1487.9613877619088</v>
      </c>
      <c r="J181" s="101">
        <v>1482.6723935759162</v>
      </c>
      <c r="K181" s="101">
        <v>1475.9380405727516</v>
      </c>
      <c r="L181" s="101">
        <v>1468.8012012009551</v>
      </c>
      <c r="M181" s="101">
        <v>1462.0155332974666</v>
      </c>
      <c r="N181" s="101">
        <v>1452.9798685245448</v>
      </c>
      <c r="O181" s="101">
        <v>1445.410854521152</v>
      </c>
      <c r="P181" s="101">
        <v>1437.0156234402068</v>
      </c>
      <c r="Q181" s="101">
        <v>1428.0921989175238</v>
      </c>
      <c r="R181" s="101">
        <v>1414.4841075701622</v>
      </c>
      <c r="S181" s="101">
        <v>1396.2545744429049</v>
      </c>
      <c r="T181" s="101">
        <v>1381.1279093255837</v>
      </c>
      <c r="U181" s="101">
        <v>1366.3931485863257</v>
      </c>
      <c r="V181" s="101">
        <v>1350.2699691515445</v>
      </c>
      <c r="W181" s="101">
        <v>1329.4304680531193</v>
      </c>
      <c r="X181" s="101">
        <v>1308.2262432722732</v>
      </c>
      <c r="Y181" s="101">
        <v>1303.1620522916351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X182" s="101">
        <v>0</v>
      </c>
      <c r="Y182" s="101">
        <v>0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887.84443439811605</v>
      </c>
      <c r="R183" s="101">
        <v>876.31520891603247</v>
      </c>
      <c r="S183" s="101">
        <v>864.33943119752519</v>
      </c>
      <c r="T183" s="101">
        <v>864.3394311975253</v>
      </c>
      <c r="U183" s="101">
        <v>864.01699149404283</v>
      </c>
      <c r="V183" s="101">
        <v>863.65621485626616</v>
      </c>
      <c r="W183" s="101">
        <v>863.26202215826072</v>
      </c>
      <c r="X183" s="101">
        <v>862.75088636237342</v>
      </c>
      <c r="Y183" s="101">
        <v>860.494855910664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321.18709514547322</v>
      </c>
      <c r="C186" s="152">
        <v>309.90635173668983</v>
      </c>
      <c r="D186" s="152">
        <v>294.78468620209378</v>
      </c>
      <c r="E186" s="152">
        <v>286.08348582188461</v>
      </c>
      <c r="F186" s="152">
        <v>276.98629841465447</v>
      </c>
      <c r="G186" s="152">
        <v>268.87387077679966</v>
      </c>
      <c r="H186" s="152">
        <v>265.33040162516232</v>
      </c>
      <c r="I186" s="152">
        <v>262.41043003293635</v>
      </c>
      <c r="J186" s="152">
        <v>238.44681871447287</v>
      </c>
      <c r="K186" s="152">
        <v>223.14768994092148</v>
      </c>
      <c r="L186" s="152">
        <v>205.12760770966793</v>
      </c>
      <c r="M186" s="152">
        <v>198.22752309493762</v>
      </c>
      <c r="N186" s="152">
        <v>202.8629102327892</v>
      </c>
      <c r="O186" s="152">
        <v>201.15212961864304</v>
      </c>
      <c r="P186" s="152">
        <v>200.87873395670192</v>
      </c>
      <c r="Q186" s="152">
        <v>204.28680027332493</v>
      </c>
      <c r="R186" s="152">
        <v>199.07819360114601</v>
      </c>
      <c r="S186" s="152">
        <v>193.23689995295487</v>
      </c>
      <c r="T186" s="152">
        <v>192.52094655016165</v>
      </c>
      <c r="U186" s="152">
        <v>189.64010494136599</v>
      </c>
      <c r="V186" s="152">
        <v>195.87709279725189</v>
      </c>
      <c r="W186" s="152">
        <v>192.8086391867256</v>
      </c>
      <c r="X186" s="152">
        <v>193.7896706957286</v>
      </c>
      <c r="Y186" s="152">
        <v>192.86339949034544</v>
      </c>
      <c r="DA186" s="174" t="s">
        <v>924</v>
      </c>
    </row>
    <row r="187" spans="1:105" ht="11.45" customHeight="1" x14ac:dyDescent="0.25">
      <c r="A187" s="111" t="s">
        <v>110</v>
      </c>
      <c r="B187" s="87">
        <v>347.39848114846433</v>
      </c>
      <c r="C187" s="87">
        <v>337.95411760569192</v>
      </c>
      <c r="D187" s="87">
        <v>329.40764700544855</v>
      </c>
      <c r="E187" s="87">
        <v>322.16795825352438</v>
      </c>
      <c r="F187" s="87">
        <v>315.66409356234061</v>
      </c>
      <c r="G187" s="87">
        <v>309.86952707227806</v>
      </c>
      <c r="H187" s="87">
        <v>304.8432144238177</v>
      </c>
      <c r="I187" s="87">
        <v>301.65621905190807</v>
      </c>
      <c r="J187" s="87">
        <v>296.35559473253522</v>
      </c>
      <c r="K187" s="87">
        <v>289.89264132501813</v>
      </c>
      <c r="L187" s="87">
        <v>285.2761152351178</v>
      </c>
      <c r="M187" s="87">
        <v>283.04201688324923</v>
      </c>
      <c r="N187" s="87">
        <v>280.07445355804742</v>
      </c>
      <c r="O187" s="87">
        <v>273.61608708359506</v>
      </c>
      <c r="P187" s="87">
        <v>265.20123538016395</v>
      </c>
      <c r="Q187" s="87">
        <v>251.18410833493525</v>
      </c>
      <c r="R187" s="87">
        <v>236.71766377539919</v>
      </c>
      <c r="S187" s="87">
        <v>223.00793868652619</v>
      </c>
      <c r="T187" s="87">
        <v>209.41277730765296</v>
      </c>
      <c r="U187" s="87">
        <v>194.02640876506152</v>
      </c>
      <c r="V187" s="87">
        <v>180.63606873954683</v>
      </c>
      <c r="W187" s="87">
        <v>168.15689996432621</v>
      </c>
      <c r="X187" s="87">
        <v>155.50403097926261</v>
      </c>
      <c r="Y187" s="87">
        <v>146.79688259941238</v>
      </c>
      <c r="DA187" s="171" t="s">
        <v>925</v>
      </c>
    </row>
    <row r="188" spans="1:105" ht="11.45" customHeight="1" x14ac:dyDescent="0.25">
      <c r="A188" s="111" t="s">
        <v>111</v>
      </c>
      <c r="B188" s="87">
        <v>309.76153797901571</v>
      </c>
      <c r="C188" s="87">
        <v>292.84816159990709</v>
      </c>
      <c r="D188" s="87">
        <v>277.99520853121368</v>
      </c>
      <c r="E188" s="87">
        <v>266.13923278815713</v>
      </c>
      <c r="F188" s="87">
        <v>255.17784240120665</v>
      </c>
      <c r="G188" s="87">
        <v>246.36207671926937</v>
      </c>
      <c r="H188" s="87">
        <v>239.88882734661274</v>
      </c>
      <c r="I188" s="87">
        <v>234.33784937183123</v>
      </c>
      <c r="J188" s="87">
        <v>229.59103348750455</v>
      </c>
      <c r="K188" s="87">
        <v>225.48615901631538</v>
      </c>
      <c r="L188" s="87">
        <v>224.30396003608331</v>
      </c>
      <c r="M188" s="87">
        <v>226.51283953819433</v>
      </c>
      <c r="N188" s="87">
        <v>227.3209975859875</v>
      </c>
      <c r="O188" s="87">
        <v>225.45521805650768</v>
      </c>
      <c r="P188" s="87">
        <v>221.21953242341664</v>
      </c>
      <c r="Q188" s="87">
        <v>215.73508280856566</v>
      </c>
      <c r="R188" s="87">
        <v>209.87558237503168</v>
      </c>
      <c r="S188" s="87">
        <v>203.62932580128768</v>
      </c>
      <c r="T188" s="87">
        <v>195.77439615944701</v>
      </c>
      <c r="U188" s="87">
        <v>188.04025890138135</v>
      </c>
      <c r="V188" s="87">
        <v>185.72462526978549</v>
      </c>
      <c r="W188" s="87">
        <v>184.72108983663983</v>
      </c>
      <c r="X188" s="87">
        <v>184.29247744344002</v>
      </c>
      <c r="Y188" s="87">
        <v>184.94001403649489</v>
      </c>
      <c r="DA188" s="171" t="s">
        <v>926</v>
      </c>
    </row>
    <row r="189" spans="1:105" ht="11.45" customHeight="1" x14ac:dyDescent="0.25">
      <c r="A189" s="111" t="s">
        <v>112</v>
      </c>
      <c r="B189" s="87">
        <v>458.95233178112829</v>
      </c>
      <c r="C189" s="87">
        <v>421.42632674543364</v>
      </c>
      <c r="D189" s="87">
        <v>390.34706179874763</v>
      </c>
      <c r="E189" s="87">
        <v>384.45685048732435</v>
      </c>
      <c r="F189" s="87">
        <v>378.50633542353427</v>
      </c>
      <c r="G189" s="87">
        <v>371.55578079704009</v>
      </c>
      <c r="H189" s="87">
        <v>368.22705781539446</v>
      </c>
      <c r="I189" s="87">
        <v>355.90638199046356</v>
      </c>
      <c r="J189" s="87">
        <v>338.99554350171718</v>
      </c>
      <c r="K189" s="87">
        <v>317.29308058805952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X189" s="87">
        <v>0</v>
      </c>
      <c r="Y189" s="87">
        <v>0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167.74101128283388</v>
      </c>
      <c r="R190" s="87">
        <v>166.25226174586558</v>
      </c>
      <c r="S190" s="87">
        <v>163.25580802656305</v>
      </c>
      <c r="T190" s="87">
        <v>162.59302385146751</v>
      </c>
      <c r="U190" s="87">
        <v>162.41967357176534</v>
      </c>
      <c r="V190" s="87">
        <v>162.43704267019996</v>
      </c>
      <c r="W190" s="87">
        <v>162.26462120479519</v>
      </c>
      <c r="X190" s="87">
        <v>162.01346025427213</v>
      </c>
      <c r="Y190" s="87">
        <v>161.65598095253827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992.78904005964102</v>
      </c>
      <c r="C192" s="116">
        <v>990.19533983326573</v>
      </c>
      <c r="D192" s="116">
        <v>986.75544275010452</v>
      </c>
      <c r="E192" s="116">
        <v>983.17445660468877</v>
      </c>
      <c r="F192" s="116">
        <v>978.13986354081464</v>
      </c>
      <c r="G192" s="116">
        <v>968.37736478718682</v>
      </c>
      <c r="H192" s="116">
        <v>964.01277016409313</v>
      </c>
      <c r="I192" s="116">
        <v>953.18661511060247</v>
      </c>
      <c r="J192" s="116">
        <v>949.77300160866616</v>
      </c>
      <c r="K192" s="116">
        <v>944.46096467632731</v>
      </c>
      <c r="L192" s="116">
        <v>942.31128727427392</v>
      </c>
      <c r="M192" s="116">
        <v>936.10910170675606</v>
      </c>
      <c r="N192" s="116">
        <v>927.06979866943129</v>
      </c>
      <c r="O192" s="116">
        <v>917.64178029375864</v>
      </c>
      <c r="P192" s="116">
        <v>905.94856275136863</v>
      </c>
      <c r="Q192" s="116">
        <v>893.04144147076306</v>
      </c>
      <c r="R192" s="116">
        <v>885.89934626792797</v>
      </c>
      <c r="S192" s="116">
        <v>866.24035416892298</v>
      </c>
      <c r="T192" s="116">
        <v>842.54646229906996</v>
      </c>
      <c r="U192" s="116">
        <v>816.90181266769844</v>
      </c>
      <c r="V192" s="116">
        <v>803.06896589380403</v>
      </c>
      <c r="W192" s="116">
        <v>783.60645282930784</v>
      </c>
      <c r="X192" s="116">
        <v>759.33539572671873</v>
      </c>
      <c r="Y192" s="116">
        <v>736.69519883544558</v>
      </c>
      <c r="DA192" s="176" t="s">
        <v>930</v>
      </c>
    </row>
    <row r="193" spans="1:105" ht="11.45" customHeight="1" x14ac:dyDescent="0.25">
      <c r="A193" s="128" t="s">
        <v>27</v>
      </c>
      <c r="B193" s="101">
        <v>915.55945723474019</v>
      </c>
      <c r="C193" s="101">
        <v>913.56636340086015</v>
      </c>
      <c r="D193" s="101">
        <v>910.68377783066171</v>
      </c>
      <c r="E193" s="101">
        <v>907.65205448567178</v>
      </c>
      <c r="F193" s="101">
        <v>902.87788652347865</v>
      </c>
      <c r="G193" s="101">
        <v>894.80063797095249</v>
      </c>
      <c r="H193" s="101">
        <v>891.21611408686022</v>
      </c>
      <c r="I193" s="101">
        <v>881.73392508975758</v>
      </c>
      <c r="J193" s="101">
        <v>878.2041281921089</v>
      </c>
      <c r="K193" s="101">
        <v>874.53536644152109</v>
      </c>
      <c r="L193" s="101">
        <v>873.32061114123951</v>
      </c>
      <c r="M193" s="101">
        <v>867.80990751201114</v>
      </c>
      <c r="N193" s="101">
        <v>859.58440861171266</v>
      </c>
      <c r="O193" s="101">
        <v>851.11174872297295</v>
      </c>
      <c r="P193" s="101">
        <v>839.63728075877077</v>
      </c>
      <c r="Q193" s="101">
        <v>826.09429714894236</v>
      </c>
      <c r="R193" s="101">
        <v>821.21742436156978</v>
      </c>
      <c r="S193" s="101">
        <v>801.83382168961339</v>
      </c>
      <c r="T193" s="101">
        <v>777.65417904575997</v>
      </c>
      <c r="U193" s="101">
        <v>752.40595368982872</v>
      </c>
      <c r="V193" s="101">
        <v>740.08792326042919</v>
      </c>
      <c r="W193" s="101">
        <v>721.3079590754586</v>
      </c>
      <c r="X193" s="101">
        <v>697.08332108931893</v>
      </c>
      <c r="Y193" s="101">
        <v>674.7077842540001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1055.3720834401586</v>
      </c>
      <c r="D194" s="88">
        <v>1046.0985508362267</v>
      </c>
      <c r="E194" s="88">
        <v>1038.6371521720148</v>
      </c>
      <c r="F194" s="88">
        <v>1019.5333094291113</v>
      </c>
      <c r="G194" s="88">
        <v>1010.7534258860302</v>
      </c>
      <c r="H194" s="88">
        <v>998.63514470034295</v>
      </c>
      <c r="I194" s="88">
        <v>987.05595207493127</v>
      </c>
      <c r="J194" s="88">
        <v>964.74722550132265</v>
      </c>
      <c r="K194" s="88">
        <v>955.54643167106201</v>
      </c>
      <c r="L194" s="88">
        <v>951.43290041960893</v>
      </c>
      <c r="M194" s="88">
        <v>943.97776420466585</v>
      </c>
      <c r="N194" s="88">
        <v>933.64931814879844</v>
      </c>
      <c r="O194" s="88">
        <v>913.40024102029042</v>
      </c>
      <c r="P194" s="88">
        <v>911.19063861782217</v>
      </c>
      <c r="Q194" s="88">
        <v>899.52933407231978</v>
      </c>
      <c r="R194" s="88">
        <v>874.10774920311496</v>
      </c>
      <c r="S194" s="88">
        <v>861.39720868794677</v>
      </c>
      <c r="T194" s="88">
        <v>857.69434463857431</v>
      </c>
      <c r="U194" s="88">
        <v>841.77060274052758</v>
      </c>
      <c r="V194" s="88">
        <v>818.94076307759929</v>
      </c>
      <c r="W194" s="88">
        <v>805.88417557170908</v>
      </c>
      <c r="X194" s="88">
        <v>791.55678465234826</v>
      </c>
      <c r="Y194" s="88">
        <v>784.74017118143479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1.0753784474072972</v>
      </c>
      <c r="C198" s="150">
        <f>IF(TrRoad_act!C59=0,0,TrRoad_emi!C56/TrRoad_tech!C171)</f>
        <v>1.0854743632855273</v>
      </c>
      <c r="D198" s="150">
        <f>IF(TrRoad_act!D59=0,0,TrRoad_emi!D56/TrRoad_tech!D171)</f>
        <v>1.0917882869219386</v>
      </c>
      <c r="E198" s="150">
        <f>IF(TrRoad_act!E59=0,0,TrRoad_emi!E56/TrRoad_tech!E171)</f>
        <v>1.098303522071759</v>
      </c>
      <c r="F198" s="150">
        <f>IF(TrRoad_act!F59=0,0,TrRoad_emi!F56/TrRoad_tech!F171)</f>
        <v>1.104025863902321</v>
      </c>
      <c r="G198" s="150">
        <f>IF(TrRoad_act!G59=0,0,TrRoad_emi!G56/TrRoad_tech!G171)</f>
        <v>1.1070148687648658</v>
      </c>
      <c r="H198" s="150">
        <f>IF(TrRoad_act!H59=0,0,TrRoad_emi!H56/TrRoad_tech!H171)</f>
        <v>1.1129305788407238</v>
      </c>
      <c r="I198" s="150">
        <f>IF(TrRoad_act!I59=0,0,TrRoad_emi!I56/TrRoad_tech!I171)</f>
        <v>1.1236867494032521</v>
      </c>
      <c r="J198" s="150">
        <f>IF(TrRoad_act!J59=0,0,TrRoad_emi!J56/TrRoad_tech!J171)</f>
        <v>1.1457545294606</v>
      </c>
      <c r="K198" s="150">
        <f>IF(TrRoad_act!K59=0,0,TrRoad_emi!K56/TrRoad_tech!K171)</f>
        <v>1.1555111666461553</v>
      </c>
      <c r="L198" s="150">
        <f>IF(TrRoad_act!L59=0,0,TrRoad_emi!L56/TrRoad_tech!L171)</f>
        <v>1.1375904693360814</v>
      </c>
      <c r="M198" s="150">
        <f>IF(TrRoad_act!M59=0,0,TrRoad_emi!M56/TrRoad_tech!M171)</f>
        <v>1.1160557772088679</v>
      </c>
      <c r="N198" s="150">
        <f>IF(TrRoad_act!N59=0,0,TrRoad_emi!N56/TrRoad_tech!N171)</f>
        <v>1.1113977252593212</v>
      </c>
      <c r="O198" s="150">
        <f>IF(TrRoad_act!O59=0,0,TrRoad_emi!O56/TrRoad_tech!O171)</f>
        <v>1.1080685009828601</v>
      </c>
      <c r="P198" s="150">
        <f>IF(TrRoad_act!P59=0,0,TrRoad_emi!P56/TrRoad_tech!P171)</f>
        <v>1.1163970428890755</v>
      </c>
      <c r="Q198" s="150">
        <f>IF(TrRoad_act!Q59=0,0,TrRoad_emi!Q56/TrRoad_tech!Q171)</f>
        <v>1.1225599375086301</v>
      </c>
      <c r="R198" s="150">
        <f>IF(TrRoad_act!R59=0,0,TrRoad_emi!R56/TrRoad_tech!R171)</f>
        <v>1.1344699305154986</v>
      </c>
      <c r="S198" s="150">
        <f>IF(TrRoad_act!S59=0,0,TrRoad_emi!S56/TrRoad_tech!S171)</f>
        <v>1.1485499870822589</v>
      </c>
      <c r="T198" s="150">
        <f>IF(TrRoad_act!T59=0,0,TrRoad_emi!T56/TrRoad_tech!T171)</f>
        <v>1.1558004494842304</v>
      </c>
      <c r="U198" s="150">
        <f>IF(TrRoad_act!U59=0,0,TrRoad_emi!U56/TrRoad_tech!U171)</f>
        <v>1.1652725476361783</v>
      </c>
      <c r="V198" s="150">
        <f>IF(TrRoad_act!V59=0,0,TrRoad_emi!V56/TrRoad_tech!V171)</f>
        <v>1.1358026953176321</v>
      </c>
      <c r="W198" s="150">
        <f>IF(TrRoad_act!W59=0,0,TrRoad_emi!W56/TrRoad_tech!W171)</f>
        <v>1.1448231367561561</v>
      </c>
      <c r="X198" s="150">
        <f>IF(TrRoad_act!X59=0,0,TrRoad_emi!X56/TrRoad_tech!X171)</f>
        <v>1.1537135930920874</v>
      </c>
      <c r="Y198" s="150">
        <f>IF(TrRoad_act!Y59=0,0,TrRoad_emi!Y56/TrRoad_tech!Y171)</f>
        <v>1.1575617837704526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1.01970560790363</v>
      </c>
      <c r="C199" s="151">
        <f>IF(TrRoad_act!C60=0,0,TrRoad_emi!C57/TrRoad_tech!C172)</f>
        <v>1.0155833395147371</v>
      </c>
      <c r="D199" s="151">
        <f>IF(TrRoad_act!D60=0,0,TrRoad_emi!D57/TrRoad_tech!D172)</f>
        <v>1.0182788469806683</v>
      </c>
      <c r="E199" s="151">
        <f>IF(TrRoad_act!E60=0,0,TrRoad_emi!E57/TrRoad_tech!E172)</f>
        <v>1.0219113045709434</v>
      </c>
      <c r="F199" s="151">
        <f>IF(TrRoad_act!F60=0,0,TrRoad_emi!F57/TrRoad_tech!F172)</f>
        <v>1.0212251715916594</v>
      </c>
      <c r="G199" s="151">
        <f>IF(TrRoad_act!G60=0,0,TrRoad_emi!G57/TrRoad_tech!G172)</f>
        <v>1.0152320373345178</v>
      </c>
      <c r="H199" s="151">
        <f>IF(TrRoad_act!H60=0,0,TrRoad_emi!H57/TrRoad_tech!H172)</f>
        <v>1.0141472727909646</v>
      </c>
      <c r="I199" s="151">
        <f>IF(TrRoad_act!I60=0,0,TrRoad_emi!I57/TrRoad_tech!I172)</f>
        <v>1.0096592163938265</v>
      </c>
      <c r="J199" s="151">
        <f>IF(TrRoad_act!J60=0,0,TrRoad_emi!J57/TrRoad_tech!J172)</f>
        <v>1.0007644845406309</v>
      </c>
      <c r="K199" s="151">
        <f>IF(TrRoad_act!K60=0,0,TrRoad_emi!K57/TrRoad_tech!K172)</f>
        <v>0.99591559495462678</v>
      </c>
      <c r="L199" s="151">
        <f>IF(TrRoad_act!L60=0,0,TrRoad_emi!L57/TrRoad_tech!L172)</f>
        <v>0.99022553966263449</v>
      </c>
      <c r="M199" s="151">
        <f>IF(TrRoad_act!M60=0,0,TrRoad_emi!M57/TrRoad_tech!M172)</f>
        <v>0.97230042550461671</v>
      </c>
      <c r="N199" s="151">
        <f>IF(TrRoad_act!N60=0,0,TrRoad_emi!N57/TrRoad_tech!N172)</f>
        <v>0.94711423577619025</v>
      </c>
      <c r="O199" s="151">
        <f>IF(TrRoad_act!O60=0,0,TrRoad_emi!O57/TrRoad_tech!O172)</f>
        <v>0.94613555962799234</v>
      </c>
      <c r="P199" s="151">
        <f>IF(TrRoad_act!P60=0,0,TrRoad_emi!P57/TrRoad_tech!P172)</f>
        <v>0.95818015576242077</v>
      </c>
      <c r="Q199" s="151">
        <f>IF(TrRoad_act!Q60=0,0,TrRoad_emi!Q57/TrRoad_tech!Q172)</f>
        <v>0.99177278735080854</v>
      </c>
      <c r="R199" s="151">
        <f>IF(TrRoad_act!R60=0,0,TrRoad_emi!R57/TrRoad_tech!R172)</f>
        <v>0.98095724830712472</v>
      </c>
      <c r="S199" s="151">
        <f>IF(TrRoad_act!S60=0,0,TrRoad_emi!S57/TrRoad_tech!S172)</f>
        <v>0.98624317980994625</v>
      </c>
      <c r="T199" s="151">
        <f>IF(TrRoad_act!T60=0,0,TrRoad_emi!T57/TrRoad_tech!T172)</f>
        <v>1.0053802131093623</v>
      </c>
      <c r="U199" s="151">
        <f>IF(TrRoad_act!U60=0,0,TrRoad_emi!U57/TrRoad_tech!U172)</f>
        <v>1.016390406732264</v>
      </c>
      <c r="V199" s="151">
        <f>IF(TrRoad_act!V60=0,0,TrRoad_emi!V57/TrRoad_tech!V172)</f>
        <v>1.0273511480250654</v>
      </c>
      <c r="W199" s="151">
        <f>IF(TrRoad_act!W60=0,0,TrRoad_emi!W57/TrRoad_tech!W172)</f>
        <v>1.0956189796900277</v>
      </c>
      <c r="X199" s="151">
        <f>IF(TrRoad_act!X60=0,0,TrRoad_emi!X57/TrRoad_tech!X172)</f>
        <v>1.1885007467045232</v>
      </c>
      <c r="Y199" s="151">
        <f>IF(TrRoad_act!Y60=0,0,TrRoad_emi!Y57/TrRoad_tech!Y172)</f>
        <v>1.2707075383936199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1.0278218932158139</v>
      </c>
      <c r="C200" s="91">
        <f>IF(TrRoad_act!C61=0,0,TrRoad_emi!C58/TrRoad_tech!C173)</f>
        <v>1.0278640922748583</v>
      </c>
      <c r="D200" s="91">
        <f>IF(TrRoad_act!D61=0,0,TrRoad_emi!D58/TrRoad_tech!D173)</f>
        <v>1.0279945536776034</v>
      </c>
      <c r="E200" s="91">
        <f>IF(TrRoad_act!E61=0,0,TrRoad_emi!E58/TrRoad_tech!E173)</f>
        <v>1.0282176120817115</v>
      </c>
      <c r="F200" s="91">
        <f>IF(TrRoad_act!F61=0,0,TrRoad_emi!F58/TrRoad_tech!F173)</f>
        <v>1.028628100394595</v>
      </c>
      <c r="G200" s="91">
        <f>IF(TrRoad_act!G61=0,0,TrRoad_emi!G58/TrRoad_tech!G173)</f>
        <v>1.0293306010190251</v>
      </c>
      <c r="H200" s="91">
        <f>IF(TrRoad_act!H61=0,0,TrRoad_emi!H58/TrRoad_tech!H173)</f>
        <v>1.0281782545205782</v>
      </c>
      <c r="I200" s="91">
        <f>IF(TrRoad_act!I61=0,0,TrRoad_emi!I58/TrRoad_tech!I173)</f>
        <v>1.0283678080309486</v>
      </c>
      <c r="J200" s="91">
        <f>IF(TrRoad_act!J61=0,0,TrRoad_emi!J58/TrRoad_tech!J173)</f>
        <v>1.0294964302766632</v>
      </c>
      <c r="K200" s="91">
        <f>IF(TrRoad_act!K61=0,0,TrRoad_emi!K58/TrRoad_tech!K173)</f>
        <v>1.0300189622207392</v>
      </c>
      <c r="L200" s="91">
        <f>IF(TrRoad_act!L61=0,0,TrRoad_emi!L58/TrRoad_tech!L173)</f>
        <v>1.0170751868276808</v>
      </c>
      <c r="M200" s="91">
        <f>IF(TrRoad_act!M61=0,0,TrRoad_emi!M58/TrRoad_tech!M173)</f>
        <v>1.0055795466642312</v>
      </c>
      <c r="N200" s="91">
        <f>IF(TrRoad_act!N61=0,0,TrRoad_emi!N58/TrRoad_tech!N173)</f>
        <v>1.0018625071730267</v>
      </c>
      <c r="O200" s="91">
        <f>IF(TrRoad_act!O61=0,0,TrRoad_emi!O58/TrRoad_tech!O173)</f>
        <v>1.0062629292178009</v>
      </c>
      <c r="P200" s="91">
        <f>IF(TrRoad_act!P61=0,0,TrRoad_emi!P58/TrRoad_tech!P173)</f>
        <v>1.0097913802876068</v>
      </c>
      <c r="Q200" s="91">
        <f>IF(TrRoad_act!Q61=0,0,TrRoad_emi!Q58/TrRoad_tech!Q173)</f>
        <v>1.060766476283207</v>
      </c>
      <c r="R200" s="91">
        <f>IF(TrRoad_act!R61=0,0,TrRoad_emi!R58/TrRoad_tech!R173)</f>
        <v>1.0187586107009479</v>
      </c>
      <c r="S200" s="91">
        <f>IF(TrRoad_act!S61=0,0,TrRoad_emi!S58/TrRoad_tech!S173)</f>
        <v>1.0212218581909254</v>
      </c>
      <c r="T200" s="91">
        <f>IF(TrRoad_act!T61=0,0,TrRoad_emi!T58/TrRoad_tech!T173)</f>
        <v>1.0254072415625064</v>
      </c>
      <c r="U200" s="91">
        <f>IF(TrRoad_act!U61=0,0,TrRoad_emi!U58/TrRoad_tech!U173)</f>
        <v>1.0292204342898568</v>
      </c>
      <c r="V200" s="91">
        <f>IF(TrRoad_act!V61=0,0,TrRoad_emi!V58/TrRoad_tech!V173)</f>
        <v>0.99272421752786588</v>
      </c>
      <c r="W200" s="91">
        <f>IF(TrRoad_act!W61=0,0,TrRoad_emi!W58/TrRoad_tech!W173)</f>
        <v>0.96294281519507696</v>
      </c>
      <c r="X200" s="91">
        <f>IF(TrRoad_act!X61=0,0,TrRoad_emi!X58/TrRoad_tech!X173)</f>
        <v>0.99595120923517466</v>
      </c>
      <c r="Y200" s="91">
        <f>IF(TrRoad_act!Y61=0,0,TrRoad_emi!Y58/TrRoad_tech!Y173)</f>
        <v>0.99391335862259844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1.1596118297423783</v>
      </c>
      <c r="C201" s="91">
        <f>IF(TrRoad_act!C62=0,0,TrRoad_emi!C59/TrRoad_tech!C174)</f>
        <v>1.1648868597078719</v>
      </c>
      <c r="D201" s="91">
        <f>IF(TrRoad_act!D62=0,0,TrRoad_emi!D59/TrRoad_tech!D174)</f>
        <v>1.1678331195038041</v>
      </c>
      <c r="E201" s="91">
        <f>IF(TrRoad_act!E62=0,0,TrRoad_emi!E59/TrRoad_tech!E174)</f>
        <v>1.2033246643189019</v>
      </c>
      <c r="F201" s="91">
        <f>IF(TrRoad_act!F62=0,0,TrRoad_emi!F59/TrRoad_tech!F174)</f>
        <v>1.2365308625557934</v>
      </c>
      <c r="G201" s="91">
        <f>IF(TrRoad_act!G62=0,0,TrRoad_emi!G59/TrRoad_tech!G174)</f>
        <v>1.2112121635484463</v>
      </c>
      <c r="H201" s="91">
        <f>IF(TrRoad_act!H62=0,0,TrRoad_emi!H59/TrRoad_tech!H174)</f>
        <v>1.1943215940253813</v>
      </c>
      <c r="I201" s="91">
        <f>IF(TrRoad_act!I62=0,0,TrRoad_emi!I59/TrRoad_tech!I174)</f>
        <v>1.16731165384907</v>
      </c>
      <c r="J201" s="91">
        <f>IF(TrRoad_act!J62=0,0,TrRoad_emi!J59/TrRoad_tech!J174)</f>
        <v>1.1195446764186543</v>
      </c>
      <c r="K201" s="91">
        <f>IF(TrRoad_act!K62=0,0,TrRoad_emi!K59/TrRoad_tech!K174)</f>
        <v>1.1054383623199104</v>
      </c>
      <c r="L201" s="91">
        <f>IF(TrRoad_act!L62=0,0,TrRoad_emi!L59/TrRoad_tech!L174)</f>
        <v>1.1116676069803422</v>
      </c>
      <c r="M201" s="91">
        <f>IF(TrRoad_act!M62=0,0,TrRoad_emi!M59/TrRoad_tech!M174)</f>
        <v>1.0611745193144644</v>
      </c>
      <c r="N201" s="91">
        <f>IF(TrRoad_act!N62=0,0,TrRoad_emi!N59/TrRoad_tech!N174)</f>
        <v>1.0030674130386237</v>
      </c>
      <c r="O201" s="91">
        <f>IF(TrRoad_act!O62=0,0,TrRoad_emi!O59/TrRoad_tech!O174)</f>
        <v>0.99147567045157892</v>
      </c>
      <c r="P201" s="91">
        <f>IF(TrRoad_act!P62=0,0,TrRoad_emi!P59/TrRoad_tech!P174)</f>
        <v>1.0097268329973208</v>
      </c>
      <c r="Q201" s="91">
        <f>IF(TrRoad_act!Q62=0,0,TrRoad_emi!Q59/TrRoad_tech!Q174)</f>
        <v>0.99005474271119998</v>
      </c>
      <c r="R201" s="91">
        <f>IF(TrRoad_act!R62=0,0,TrRoad_emi!R59/TrRoad_tech!R174)</f>
        <v>1.0282865985262808</v>
      </c>
      <c r="S201" s="91">
        <f>IF(TrRoad_act!S62=0,0,TrRoad_emi!S59/TrRoad_tech!S174)</f>
        <v>1.0450397591265876</v>
      </c>
      <c r="T201" s="91">
        <f>IF(TrRoad_act!T62=0,0,TrRoad_emi!T59/TrRoad_tech!T174)</f>
        <v>1.0720642454528893</v>
      </c>
      <c r="U201" s="91">
        <f>IF(TrRoad_act!U62=0,0,TrRoad_emi!U59/TrRoad_tech!U174)</f>
        <v>1.0587930320748085</v>
      </c>
      <c r="V201" s="91">
        <f>IF(TrRoad_act!V62=0,0,TrRoad_emi!V59/TrRoad_tech!V174)</f>
        <v>1.0473289595030448</v>
      </c>
      <c r="W201" s="91">
        <f>IF(TrRoad_act!W62=0,0,TrRoad_emi!W59/TrRoad_tech!W174)</f>
        <v>1.0466381166294201</v>
      </c>
      <c r="X201" s="91">
        <f>IF(TrRoad_act!X62=0,0,TrRoad_emi!X59/TrRoad_tech!X174)</f>
        <v>1.0624900325955287</v>
      </c>
      <c r="Y201" s="91">
        <f>IF(TrRoad_act!Y62=0,0,TrRoad_emi!Y59/TrRoad_tech!Y174)</f>
        <v>1.0897550583909701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1.02777777778159</v>
      </c>
      <c r="C202" s="91">
        <f>IF(TrRoad_act!C63=0,0,TrRoad_emi!C60/TrRoad_tech!C175)</f>
        <v>1.1644091086409016</v>
      </c>
      <c r="D202" s="91">
        <f>IF(TrRoad_act!D63=0,0,TrRoad_emi!D60/TrRoad_tech!D175)</f>
        <v>1.3907180402445296</v>
      </c>
      <c r="E202" s="91">
        <f>IF(TrRoad_act!E63=0,0,TrRoad_emi!E60/TrRoad_tech!E175)</f>
        <v>1.3107453088553498</v>
      </c>
      <c r="F202" s="91">
        <f>IF(TrRoad_act!F63=0,0,TrRoad_emi!F60/TrRoad_tech!F175)</f>
        <v>1.2967812495516147</v>
      </c>
      <c r="G202" s="91">
        <f>IF(TrRoad_act!G63=0,0,TrRoad_emi!G60/TrRoad_tech!G175)</f>
        <v>1.3442157767085257</v>
      </c>
      <c r="H202" s="91">
        <f>IF(TrRoad_act!H63=0,0,TrRoad_emi!H60/TrRoad_tech!H175)</f>
        <v>1.3484918946625897</v>
      </c>
      <c r="I202" s="91">
        <f>IF(TrRoad_act!I63=0,0,TrRoad_emi!I60/TrRoad_tech!I175)</f>
        <v>1.2703871398455939</v>
      </c>
      <c r="J202" s="91">
        <f>IF(TrRoad_act!J63=0,0,TrRoad_emi!J60/TrRoad_tech!J175)</f>
        <v>1.272537364076505</v>
      </c>
      <c r="K202" s="91">
        <f>IF(TrRoad_act!K63=0,0,TrRoad_emi!K60/TrRoad_tech!K175)</f>
        <v>1.3503073865339659</v>
      </c>
      <c r="L202" s="91">
        <f>IF(TrRoad_act!L63=0,0,TrRoad_emi!L60/TrRoad_tech!L175)</f>
        <v>0</v>
      </c>
      <c r="M202" s="91">
        <f>IF(TrRoad_act!M63=0,0,TrRoad_emi!M60/TrRoad_tech!M175)</f>
        <v>0</v>
      </c>
      <c r="N202" s="91">
        <f>IF(TrRoad_act!N63=0,0,TrRoad_emi!N60/TrRoad_tech!N175)</f>
        <v>0</v>
      </c>
      <c r="O202" s="91">
        <f>IF(TrRoad_act!O63=0,0,TrRoad_emi!O60/TrRoad_tech!O175)</f>
        <v>0</v>
      </c>
      <c r="P202" s="91">
        <f>IF(TrRoad_act!P63=0,0,TrRoad_emi!P60/TrRoad_tech!P175)</f>
        <v>0</v>
      </c>
      <c r="Q202" s="91">
        <f>IF(TrRoad_act!Q63=0,0,TrRoad_emi!Q60/TrRoad_tech!Q175)</f>
        <v>0</v>
      </c>
      <c r="R202" s="91">
        <f>IF(TrRoad_act!R63=0,0,TrRoad_emi!R60/TrRoad_tech!R175)</f>
        <v>0</v>
      </c>
      <c r="S202" s="91">
        <f>IF(TrRoad_act!S63=0,0,TrRoad_emi!S60/TrRoad_tech!S175)</f>
        <v>0</v>
      </c>
      <c r="T202" s="91">
        <f>IF(TrRoad_act!T63=0,0,TrRoad_emi!T60/TrRoad_tech!T175)</f>
        <v>0</v>
      </c>
      <c r="U202" s="91">
        <f>IF(TrRoad_act!U63=0,0,TrRoad_emi!U60/TrRoad_tech!U175)</f>
        <v>0</v>
      </c>
      <c r="V202" s="91">
        <f>IF(TrRoad_act!V63=0,0,TrRoad_emi!V60/TrRoad_tech!V175)</f>
        <v>0</v>
      </c>
      <c r="W202" s="91">
        <f>IF(TrRoad_act!W63=0,0,TrRoad_emi!W60/TrRoad_tech!W175)</f>
        <v>0</v>
      </c>
      <c r="X202" s="91">
        <f>IF(TrRoad_act!X63=0,0,TrRoad_emi!X60/TrRoad_tech!X175)</f>
        <v>0</v>
      </c>
      <c r="Y202" s="91">
        <f>IF(TrRoad_act!Y63=0,0,TrRoad_emi!Y60/TrRoad_tech!Y175)</f>
        <v>0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1.0608819768791833</v>
      </c>
      <c r="R203" s="91">
        <f>IF(TrRoad_act!R64=0,0,TrRoad_emi!R61/TrRoad_tech!R176)</f>
        <v>1.0231941540721772</v>
      </c>
      <c r="S203" s="91">
        <f>IF(TrRoad_act!S64=0,0,TrRoad_emi!S61/TrRoad_tech!S176)</f>
        <v>0.98408098774016317</v>
      </c>
      <c r="T203" s="91">
        <f>IF(TrRoad_act!T64=0,0,TrRoad_emi!T61/TrRoad_tech!T176)</f>
        <v>1.0152312687399569</v>
      </c>
      <c r="U203" s="91">
        <f>IF(TrRoad_act!U64=0,0,TrRoad_emi!U61/TrRoad_tech!U176)</f>
        <v>0.89354417898500849</v>
      </c>
      <c r="V203" s="91">
        <f>IF(TrRoad_act!V64=0,0,TrRoad_emi!V61/TrRoad_tech!V176)</f>
        <v>0.90765511765674778</v>
      </c>
      <c r="W203" s="91">
        <f>IF(TrRoad_act!W64=0,0,TrRoad_emi!W61/TrRoad_tech!W176)</f>
        <v>0.85823920897416295</v>
      </c>
      <c r="X203" s="91">
        <f>IF(TrRoad_act!X64=0,0,TrRoad_emi!X61/TrRoad_tech!X176)</f>
        <v>0.73808257783146691</v>
      </c>
      <c r="Y203" s="91">
        <f>IF(TrRoad_act!Y64=0,0,TrRoad_emi!Y61/TrRoad_tech!Y176)</f>
        <v>0.69580313375323855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1.0283186449071813</v>
      </c>
      <c r="O204" s="91">
        <f>IF(TrRoad_act!O65=0,0,TrRoad_emi!O62/TrRoad_tech!O177)</f>
        <v>1.0322042532220064</v>
      </c>
      <c r="P204" s="91">
        <f>IF(TrRoad_act!P65=0,0,TrRoad_emi!P62/TrRoad_tech!P177)</f>
        <v>1.038056810955559</v>
      </c>
      <c r="Q204" s="91">
        <f>IF(TrRoad_act!Q65=0,0,TrRoad_emi!Q62/TrRoad_tech!Q177)</f>
        <v>1.0977493466658788</v>
      </c>
      <c r="R204" s="91">
        <f>IF(TrRoad_act!R65=0,0,TrRoad_emi!R62/TrRoad_tech!R177)</f>
        <v>1.052955985794038</v>
      </c>
      <c r="S204" s="91">
        <f>IF(TrRoad_act!S65=0,0,TrRoad_emi!S62/TrRoad_tech!S177)</f>
        <v>1.0545797819332956</v>
      </c>
      <c r="T204" s="91">
        <f>IF(TrRoad_act!T65=0,0,TrRoad_emi!T62/TrRoad_tech!T177)</f>
        <v>1.0580096118825442</v>
      </c>
      <c r="U204" s="91">
        <f>IF(TrRoad_act!U65=0,0,TrRoad_emi!U62/TrRoad_tech!U177)</f>
        <v>1.0583390768514298</v>
      </c>
      <c r="V204" s="91">
        <f>IF(TrRoad_act!V65=0,0,TrRoad_emi!V62/TrRoad_tech!V177)</f>
        <v>1.0191993620213584</v>
      </c>
      <c r="W204" s="91">
        <f>IF(TrRoad_act!W65=0,0,TrRoad_emi!W62/TrRoad_tech!W177)</f>
        <v>0.98676261038391644</v>
      </c>
      <c r="X204" s="91">
        <f>IF(TrRoad_act!X65=0,0,TrRoad_emi!X62/TrRoad_tech!X177)</f>
        <v>1.0173441093899491</v>
      </c>
      <c r="Y204" s="91">
        <f>IF(TrRoad_act!Y65=0,0,TrRoad_emi!Y62/TrRoad_tech!Y177)</f>
        <v>1.0118196246848989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1.0973457049751449</v>
      </c>
      <c r="C206" s="151">
        <f>IF(TrRoad_act!C67=0,0,TrRoad_emi!C64/TrRoad_tech!C179)</f>
        <v>1.091244344679611</v>
      </c>
      <c r="D206" s="151">
        <f>IF(TrRoad_act!D67=0,0,TrRoad_emi!D64/TrRoad_tech!D179)</f>
        <v>1.0891414768934657</v>
      </c>
      <c r="E206" s="151">
        <f>IF(TrRoad_act!E67=0,0,TrRoad_emi!E64/TrRoad_tech!E179)</f>
        <v>1.0906762360096818</v>
      </c>
      <c r="F206" s="151">
        <f>IF(TrRoad_act!F67=0,0,TrRoad_emi!F64/TrRoad_tech!F179)</f>
        <v>1.0936283170102783</v>
      </c>
      <c r="G206" s="151">
        <f>IF(TrRoad_act!G67=0,0,TrRoad_emi!G64/TrRoad_tech!G179)</f>
        <v>1.100491534300986</v>
      </c>
      <c r="H206" s="151">
        <f>IF(TrRoad_act!H67=0,0,TrRoad_emi!H64/TrRoad_tech!H179)</f>
        <v>1.1126734669126088</v>
      </c>
      <c r="I206" s="151">
        <f>IF(TrRoad_act!I67=0,0,TrRoad_emi!I64/TrRoad_tech!I179)</f>
        <v>1.1297519577975284</v>
      </c>
      <c r="J206" s="151">
        <f>IF(TrRoad_act!J67=0,0,TrRoad_emi!J64/TrRoad_tech!J179)</f>
        <v>1.1349371788610141</v>
      </c>
      <c r="K206" s="151">
        <f>IF(TrRoad_act!K67=0,0,TrRoad_emi!K64/TrRoad_tech!K179)</f>
        <v>1.1389402043692189</v>
      </c>
      <c r="L206" s="151">
        <f>IF(TrRoad_act!L67=0,0,TrRoad_emi!L64/TrRoad_tech!L179)</f>
        <v>1.1464301090307154</v>
      </c>
      <c r="M206" s="151">
        <f>IF(TrRoad_act!M67=0,0,TrRoad_emi!M64/TrRoad_tech!M179)</f>
        <v>1.1138393786962379</v>
      </c>
      <c r="N206" s="151">
        <f>IF(TrRoad_act!N67=0,0,TrRoad_emi!N64/TrRoad_tech!N179)</f>
        <v>1.0817331594548225</v>
      </c>
      <c r="O206" s="151">
        <f>IF(TrRoad_act!O67=0,0,TrRoad_emi!O64/TrRoad_tech!O179)</f>
        <v>1.082182989281953</v>
      </c>
      <c r="P206" s="151">
        <f>IF(TrRoad_act!P67=0,0,TrRoad_emi!P64/TrRoad_tech!P179)</f>
        <v>1.08839583290623</v>
      </c>
      <c r="Q206" s="151">
        <f>IF(TrRoad_act!Q67=0,0,TrRoad_emi!Q64/TrRoad_tech!Q179)</f>
        <v>1.1089464818019161</v>
      </c>
      <c r="R206" s="151">
        <f>IF(TrRoad_act!R67=0,0,TrRoad_emi!R64/TrRoad_tech!R179)</f>
        <v>1.125785326007078</v>
      </c>
      <c r="S206" s="151">
        <f>IF(TrRoad_act!S67=0,0,TrRoad_emi!S64/TrRoad_tech!S179)</f>
        <v>1.1472824726972313</v>
      </c>
      <c r="T206" s="151">
        <f>IF(TrRoad_act!T67=0,0,TrRoad_emi!T64/TrRoad_tech!T179)</f>
        <v>1.1500239418572595</v>
      </c>
      <c r="U206" s="151">
        <f>IF(TrRoad_act!U67=0,0,TrRoad_emi!U64/TrRoad_tech!U179)</f>
        <v>1.2373753178888112</v>
      </c>
      <c r="V206" s="151">
        <f>IF(TrRoad_act!V67=0,0,TrRoad_emi!V64/TrRoad_tech!V179)</f>
        <v>1.1581203661349793</v>
      </c>
      <c r="W206" s="151">
        <f>IF(TrRoad_act!W67=0,0,TrRoad_emi!W64/TrRoad_tech!W179)</f>
        <v>1.5274018777403182</v>
      </c>
      <c r="X206" s="151">
        <f>IF(TrRoad_act!X67=0,0,TrRoad_emi!X64/TrRoad_tech!X179)</f>
        <v>2.1812390634115637</v>
      </c>
      <c r="Y206" s="151">
        <f>IF(TrRoad_act!Y67=0,0,TrRoad_emi!Y64/TrRoad_tech!Y179)</f>
        <v>79.566050232617144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1.1000000000067298</v>
      </c>
      <c r="D207" s="93">
        <f>IF(TrRoad_act!D68=0,0,TrRoad_emi!D65/TrRoad_tech!D180)</f>
        <v>1.1000000000067307</v>
      </c>
      <c r="E207" s="93">
        <f>IF(TrRoad_act!E68=0,0,TrRoad_emi!E65/TrRoad_tech!E180)</f>
        <v>1.1000000000067305</v>
      </c>
      <c r="F207" s="93">
        <f>IF(TrRoad_act!F68=0,0,TrRoad_emi!F65/TrRoad_tech!F180)</f>
        <v>1.1000000000067303</v>
      </c>
      <c r="G207" s="93">
        <f>IF(TrRoad_act!G68=0,0,TrRoad_emi!G65/TrRoad_tech!G180)</f>
        <v>1.1049923044867287</v>
      </c>
      <c r="H207" s="93">
        <f>IF(TrRoad_act!H68=0,0,TrRoad_emi!H65/TrRoad_tech!H180)</f>
        <v>1.1110684718272477</v>
      </c>
      <c r="I207" s="93">
        <f>IF(TrRoad_act!I68=0,0,TrRoad_emi!I65/TrRoad_tech!I180)</f>
        <v>1.1182334139795915</v>
      </c>
      <c r="J207" s="93">
        <f>IF(TrRoad_act!J68=0,0,TrRoad_emi!J65/TrRoad_tech!J180)</f>
        <v>1.1277714806053571</v>
      </c>
      <c r="K207" s="93">
        <f>IF(TrRoad_act!K68=0,0,TrRoad_emi!K65/TrRoad_tech!K180)</f>
        <v>1.1369138833552082</v>
      </c>
      <c r="L207" s="93">
        <f>IF(TrRoad_act!L68=0,0,TrRoad_emi!L65/TrRoad_tech!L180)</f>
        <v>1.1299515898178907</v>
      </c>
      <c r="M207" s="93">
        <f>IF(TrRoad_act!M68=0,0,TrRoad_emi!M65/TrRoad_tech!M180)</f>
        <v>1.1237145032195754</v>
      </c>
      <c r="N207" s="93">
        <f>IF(TrRoad_act!N68=0,0,TrRoad_emi!N65/TrRoad_tech!N180)</f>
        <v>1.1255120551341491</v>
      </c>
      <c r="O207" s="93">
        <f>IF(TrRoad_act!O68=0,0,TrRoad_emi!O65/TrRoad_tech!O180)</f>
        <v>1.1326808273161337</v>
      </c>
      <c r="P207" s="93">
        <f>IF(TrRoad_act!P68=0,0,TrRoad_emi!P65/TrRoad_tech!P180)</f>
        <v>1.1355115658754109</v>
      </c>
      <c r="Q207" s="93">
        <f>IF(TrRoad_act!Q68=0,0,TrRoad_emi!Q65/TrRoad_tech!Q180)</f>
        <v>1.1432799838756322</v>
      </c>
      <c r="R207" s="93">
        <f>IF(TrRoad_act!R68=0,0,TrRoad_emi!R65/TrRoad_tech!R180)</f>
        <v>1.1440615237909515</v>
      </c>
      <c r="S207" s="93">
        <f>IF(TrRoad_act!S68=0,0,TrRoad_emi!S65/TrRoad_tech!S180)</f>
        <v>1.1436218406320384</v>
      </c>
      <c r="T207" s="93">
        <f>IF(TrRoad_act!T68=0,0,TrRoad_emi!T65/TrRoad_tech!T180)</f>
        <v>1.1473030073018395</v>
      </c>
      <c r="U207" s="93">
        <f>IF(TrRoad_act!U68=0,0,TrRoad_emi!U65/TrRoad_tech!U180)</f>
        <v>1.1468570221167376</v>
      </c>
      <c r="V207" s="93">
        <f>IF(TrRoad_act!V68=0,0,TrRoad_emi!V65/TrRoad_tech!V180)</f>
        <v>1.1100688712879272</v>
      </c>
      <c r="W207" s="93">
        <f>IF(TrRoad_act!W68=0,0,TrRoad_emi!W65/TrRoad_tech!W180)</f>
        <v>1.1107203559861505</v>
      </c>
      <c r="X207" s="93">
        <f>IF(TrRoad_act!X68=0,0,TrRoad_emi!X65/TrRoad_tech!X180)</f>
        <v>1.1120223582931337</v>
      </c>
      <c r="Y207" s="93">
        <f>IF(TrRoad_act!Y68=0,0,TrRoad_emi!Y65/TrRoad_tech!Y180)</f>
        <v>1.1100975733104661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1.1004063394273775</v>
      </c>
      <c r="D208" s="93">
        <f>IF(TrRoad_act!D69=0,0,TrRoad_emi!D66/TrRoad_tech!D181)</f>
        <v>1.1015072381257633</v>
      </c>
      <c r="E208" s="93">
        <f>IF(TrRoad_act!E69=0,0,TrRoad_emi!E66/TrRoad_tech!E181)</f>
        <v>1.1031638039261498</v>
      </c>
      <c r="F208" s="93">
        <f>IF(TrRoad_act!F69=0,0,TrRoad_emi!F66/TrRoad_tech!F181)</f>
        <v>1.1066081926912248</v>
      </c>
      <c r="G208" s="93">
        <f>IF(TrRoad_act!G69=0,0,TrRoad_emi!G66/TrRoad_tech!G181)</f>
        <v>1.1126564505575032</v>
      </c>
      <c r="H208" s="93">
        <f>IF(TrRoad_act!H69=0,0,TrRoad_emi!H66/TrRoad_tech!H181)</f>
        <v>1.1223434525789813</v>
      </c>
      <c r="I208" s="93">
        <f>IF(TrRoad_act!I69=0,0,TrRoad_emi!I66/TrRoad_tech!I181)</f>
        <v>1.1372716647250651</v>
      </c>
      <c r="J208" s="93">
        <f>IF(TrRoad_act!J69=0,0,TrRoad_emi!J66/TrRoad_tech!J181)</f>
        <v>1.1420631536392494</v>
      </c>
      <c r="K208" s="93">
        <f>IF(TrRoad_act!K69=0,0,TrRoad_emi!K66/TrRoad_tech!K181)</f>
        <v>1.1454839228697788</v>
      </c>
      <c r="L208" s="93">
        <f>IF(TrRoad_act!L69=0,0,TrRoad_emi!L66/TrRoad_tech!L181)</f>
        <v>1.152842174645883</v>
      </c>
      <c r="M208" s="93">
        <f>IF(TrRoad_act!M69=0,0,TrRoad_emi!M66/TrRoad_tech!M181)</f>
        <v>1.1194988659087752</v>
      </c>
      <c r="N208" s="93">
        <f>IF(TrRoad_act!N69=0,0,TrRoad_emi!N66/TrRoad_tech!N181)</f>
        <v>1.0884170940230145</v>
      </c>
      <c r="O208" s="93">
        <f>IF(TrRoad_act!O69=0,0,TrRoad_emi!O66/TrRoad_tech!O181)</f>
        <v>1.0905960851864396</v>
      </c>
      <c r="P208" s="93">
        <f>IF(TrRoad_act!P69=0,0,TrRoad_emi!P66/TrRoad_tech!P181)</f>
        <v>1.0975841146604404</v>
      </c>
      <c r="Q208" s="93">
        <f>IF(TrRoad_act!Q69=0,0,TrRoad_emi!Q66/TrRoad_tech!Q181)</f>
        <v>1.1083083272889016</v>
      </c>
      <c r="R208" s="93">
        <f>IF(TrRoad_act!R69=0,0,TrRoad_emi!R66/TrRoad_tech!R181)</f>
        <v>1.1232373409014387</v>
      </c>
      <c r="S208" s="93">
        <f>IF(TrRoad_act!S69=0,0,TrRoad_emi!S66/TrRoad_tech!S181)</f>
        <v>1.1431277151184724</v>
      </c>
      <c r="T208" s="93">
        <f>IF(TrRoad_act!T69=0,0,TrRoad_emi!T66/TrRoad_tech!T181)</f>
        <v>1.1584097338585515</v>
      </c>
      <c r="U208" s="93">
        <f>IF(TrRoad_act!U69=0,0,TrRoad_emi!U66/TrRoad_tech!U181)</f>
        <v>1.1603633796812711</v>
      </c>
      <c r="V208" s="93">
        <f>IF(TrRoad_act!V69=0,0,TrRoad_emi!V66/TrRoad_tech!V181)</f>
        <v>1.1707761076859187</v>
      </c>
      <c r="W208" s="93">
        <f>IF(TrRoad_act!W69=0,0,TrRoad_emi!W66/TrRoad_tech!W181)</f>
        <v>1.1820884116732027</v>
      </c>
      <c r="X208" s="93">
        <f>IF(TrRoad_act!X69=0,0,TrRoad_emi!X66/TrRoad_tech!X181)</f>
        <v>1.204598078699179</v>
      </c>
      <c r="Y208" s="93">
        <f>IF(TrRoad_act!Y69=0,0,TrRoad_emi!Y66/TrRoad_tech!Y181)</f>
        <v>1.2173412703402189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X209" s="93">
        <f>IF(TrRoad_act!X70=0,0,TrRoad_emi!X67/TrRoad_tech!X182)</f>
        <v>0</v>
      </c>
      <c r="Y209" s="93">
        <f>IF(TrRoad_act!Y70=0,0,TrRoad_emi!Y67/TrRoad_tech!Y182)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1.684028546108272</v>
      </c>
      <c r="R210" s="93">
        <f>IF(TrRoad_act!R71=0,0,TrRoad_emi!R68/TrRoad_tech!R183)</f>
        <v>1.404848331099469</v>
      </c>
      <c r="S210" s="93">
        <f>IF(TrRoad_act!S71=0,0,TrRoad_emi!S68/TrRoad_tech!S183)</f>
        <v>1.4501634801920158</v>
      </c>
      <c r="T210" s="93">
        <f>IF(TrRoad_act!T71=0,0,TrRoad_emi!T68/TrRoad_tech!T183)</f>
        <v>1.7144888933815483</v>
      </c>
      <c r="U210" s="93">
        <f>IF(TrRoad_act!U71=0,0,TrRoad_emi!U68/TrRoad_tech!U183)</f>
        <v>1.7024349596626811</v>
      </c>
      <c r="V210" s="93">
        <f>IF(TrRoad_act!V71=0,0,TrRoad_emi!V68/TrRoad_tech!V183)</f>
        <v>1.457228360585616</v>
      </c>
      <c r="W210" s="93">
        <f>IF(TrRoad_act!W71=0,0,TrRoad_emi!W68/TrRoad_tech!W183)</f>
        <v>1.5338330785621104</v>
      </c>
      <c r="X210" s="93">
        <f>IF(TrRoad_act!X71=0,0,TrRoad_emi!X68/TrRoad_tech!X183)</f>
        <v>1.5222702815350815</v>
      </c>
      <c r="Y210" s="93">
        <f>IF(TrRoad_act!Y71=0,0,TrRoad_emi!Y68/TrRoad_tech!Y183)</f>
        <v>1.274445482828706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1.0858136373414562</v>
      </c>
      <c r="C213" s="150">
        <f>IF(TrRoad_act!C74=0,0,TrRoad_emi!C71/TrRoad_tech!C186)</f>
        <v>1.0715032574764973</v>
      </c>
      <c r="D213" s="150">
        <f>IF(TrRoad_act!D74=0,0,TrRoad_emi!D71/TrRoad_tech!D186)</f>
        <v>1.0741580385404006</v>
      </c>
      <c r="E213" s="150">
        <f>IF(TrRoad_act!E74=0,0,TrRoad_emi!E71/TrRoad_tech!E186)</f>
        <v>1.060308039638026</v>
      </c>
      <c r="F213" s="150">
        <f>IF(TrRoad_act!F74=0,0,TrRoad_emi!F71/TrRoad_tech!F186)</f>
        <v>1.0513417447992033</v>
      </c>
      <c r="G213" s="150">
        <f>IF(TrRoad_act!G74=0,0,TrRoad_emi!G71/TrRoad_tech!G186)</f>
        <v>1.0464133363726402</v>
      </c>
      <c r="H213" s="150">
        <f>IF(TrRoad_act!H74=0,0,TrRoad_emi!H71/TrRoad_tech!H186)</f>
        <v>1.0318821583700004</v>
      </c>
      <c r="I213" s="150">
        <f>IF(TrRoad_act!I74=0,0,TrRoad_emi!I71/TrRoad_tech!I186)</f>
        <v>1.0190480207773776</v>
      </c>
      <c r="J213" s="150">
        <f>IF(TrRoad_act!J74=0,0,TrRoad_emi!J71/TrRoad_tech!J186)</f>
        <v>1.0982706600542493</v>
      </c>
      <c r="K213" s="150">
        <f>IF(TrRoad_act!K74=0,0,TrRoad_emi!K71/TrRoad_tech!K186)</f>
        <v>1.1524398327328385</v>
      </c>
      <c r="L213" s="150">
        <f>IF(TrRoad_act!L74=0,0,TrRoad_emi!L71/TrRoad_tech!L186)</f>
        <v>1.2468457656863308</v>
      </c>
      <c r="M213" s="150">
        <f>IF(TrRoad_act!M74=0,0,TrRoad_emi!M71/TrRoad_tech!M186)</f>
        <v>1.2628935523160503</v>
      </c>
      <c r="N213" s="150">
        <f>IF(TrRoad_act!N74=0,0,TrRoad_emi!N71/TrRoad_tech!N186)</f>
        <v>1.2057395255880221</v>
      </c>
      <c r="O213" s="150">
        <f>IF(TrRoad_act!O74=0,0,TrRoad_emi!O71/TrRoad_tech!O186)</f>
        <v>1.2121544377455662</v>
      </c>
      <c r="P213" s="150">
        <f>IF(TrRoad_act!P74=0,0,TrRoad_emi!P71/TrRoad_tech!P186)</f>
        <v>1.2040814170129015</v>
      </c>
      <c r="Q213" s="150">
        <f>IF(TrRoad_act!Q74=0,0,TrRoad_emi!Q71/TrRoad_tech!Q186)</f>
        <v>1.1690343732002599</v>
      </c>
      <c r="R213" s="150">
        <f>IF(TrRoad_act!R74=0,0,TrRoad_emi!R71/TrRoad_tech!R186)</f>
        <v>1.185916636352953</v>
      </c>
      <c r="S213" s="150">
        <f>IF(TrRoad_act!S74=0,0,TrRoad_emi!S71/TrRoad_tech!S186)</f>
        <v>1.2067380954271087</v>
      </c>
      <c r="T213" s="150">
        <f>IF(TrRoad_act!T74=0,0,TrRoad_emi!T71/TrRoad_tech!T186)</f>
        <v>1.1883084014002048</v>
      </c>
      <c r="U213" s="150">
        <f>IF(TrRoad_act!U74=0,0,TrRoad_emi!U71/TrRoad_tech!U186)</f>
        <v>1.1701382022825482</v>
      </c>
      <c r="V213" s="150">
        <f>IF(TrRoad_act!V74=0,0,TrRoad_emi!V71/TrRoad_tech!V186)</f>
        <v>1.1284587443788783</v>
      </c>
      <c r="W213" s="150">
        <f>IF(TrRoad_act!W74=0,0,TrRoad_emi!W71/TrRoad_tech!W186)</f>
        <v>1.1459019775290793</v>
      </c>
      <c r="X213" s="150">
        <f>IF(TrRoad_act!X74=0,0,TrRoad_emi!X71/TrRoad_tech!X186)</f>
        <v>1.1505434343508978</v>
      </c>
      <c r="Y213" s="150">
        <f>IF(TrRoad_act!Y74=0,0,TrRoad_emi!Y71/TrRoad_tech!Y186)</f>
        <v>1.1715945739025595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1.1000000000067305</v>
      </c>
      <c r="C214" s="91">
        <f>IF(TrRoad_act!C75=0,0,TrRoad_emi!C72/TrRoad_tech!C187)</f>
        <v>1.1001148557950526</v>
      </c>
      <c r="D214" s="91">
        <f>IF(TrRoad_act!D75=0,0,TrRoad_emi!D72/TrRoad_tech!D187)</f>
        <v>1.1003748683096728</v>
      </c>
      <c r="E214" s="91">
        <f>IF(TrRoad_act!E75=0,0,TrRoad_emi!E72/TrRoad_tech!E187)</f>
        <v>1.1007720080204424</v>
      </c>
      <c r="F214" s="91">
        <f>IF(TrRoad_act!F75=0,0,TrRoad_emi!F72/TrRoad_tech!F187)</f>
        <v>1.1013159079940775</v>
      </c>
      <c r="G214" s="91">
        <f>IF(TrRoad_act!G75=0,0,TrRoad_emi!G72/TrRoad_tech!G187)</f>
        <v>1.1020085101346022</v>
      </c>
      <c r="H214" s="91">
        <f>IF(TrRoad_act!H75=0,0,TrRoad_emi!H72/TrRoad_tech!H187)</f>
        <v>1.1011689797898099</v>
      </c>
      <c r="I214" s="91">
        <f>IF(TrRoad_act!I75=0,0,TrRoad_emi!I72/TrRoad_tech!I187)</f>
        <v>1.1003744425606716</v>
      </c>
      <c r="J214" s="91">
        <f>IF(TrRoad_act!J75=0,0,TrRoad_emi!J72/TrRoad_tech!J187)</f>
        <v>1.1024052014649961</v>
      </c>
      <c r="K214" s="91">
        <f>IF(TrRoad_act!K75=0,0,TrRoad_emi!K72/TrRoad_tech!K187)</f>
        <v>1.1053960471562445</v>
      </c>
      <c r="L214" s="91">
        <f>IF(TrRoad_act!L75=0,0,TrRoad_emi!L72/TrRoad_tech!L187)</f>
        <v>1.0934846505226634</v>
      </c>
      <c r="M214" s="91">
        <f>IF(TrRoad_act!M75=0,0,TrRoad_emi!M72/TrRoad_tech!M187)</f>
        <v>1.0851854861064099</v>
      </c>
      <c r="N214" s="91">
        <f>IF(TrRoad_act!N75=0,0,TrRoad_emi!N72/TrRoad_tech!N187)</f>
        <v>1.0859962972226882</v>
      </c>
      <c r="O214" s="91">
        <f>IF(TrRoad_act!O75=0,0,TrRoad_emi!O72/TrRoad_tech!O187)</f>
        <v>1.0958935003362036</v>
      </c>
      <c r="P214" s="91">
        <f>IF(TrRoad_act!P75=0,0,TrRoad_emi!P72/TrRoad_tech!P187)</f>
        <v>1.1044646594167011</v>
      </c>
      <c r="Q214" s="91">
        <f>IF(TrRoad_act!Q75=0,0,TrRoad_emi!Q72/TrRoad_tech!Q187)</f>
        <v>1.1193557410332862</v>
      </c>
      <c r="R214" s="91">
        <f>IF(TrRoad_act!R75=0,0,TrRoad_emi!R72/TrRoad_tech!R187)</f>
        <v>1.133253014513351</v>
      </c>
      <c r="S214" s="91">
        <f>IF(TrRoad_act!S75=0,0,TrRoad_emi!S72/TrRoad_tech!S187)</f>
        <v>1.1468045698049674</v>
      </c>
      <c r="T214" s="91">
        <f>IF(TrRoad_act!T75=0,0,TrRoad_emi!T72/TrRoad_tech!T187)</f>
        <v>1.1644732930318806</v>
      </c>
      <c r="U214" s="91">
        <f>IF(TrRoad_act!U75=0,0,TrRoad_emi!U72/TrRoad_tech!U187)</f>
        <v>1.1853350888464984</v>
      </c>
      <c r="V214" s="91">
        <f>IF(TrRoad_act!V75=0,0,TrRoad_emi!V72/TrRoad_tech!V187)</f>
        <v>1.1670926671932467</v>
      </c>
      <c r="W214" s="91">
        <f>IF(TrRoad_act!W75=0,0,TrRoad_emi!W72/TrRoad_tech!W187)</f>
        <v>1.1882668709647193</v>
      </c>
      <c r="X214" s="91">
        <f>IF(TrRoad_act!X75=0,0,TrRoad_emi!X72/TrRoad_tech!X187)</f>
        <v>1.2138873512011177</v>
      </c>
      <c r="Y214" s="91">
        <f>IF(TrRoad_act!Y75=0,0,TrRoad_emi!Y72/TrRoad_tech!Y187)</f>
        <v>1.2360981963585713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</v>
      </c>
      <c r="C215" s="91">
        <f>IF(TrRoad_act!C76=0,0,TrRoad_emi!C73/TrRoad_tech!C188)</f>
        <v>1.1001736958070094</v>
      </c>
      <c r="D215" s="91">
        <f>IF(TrRoad_act!D76=0,0,TrRoad_emi!D73/TrRoad_tech!D188)</f>
        <v>1.1005738248125458</v>
      </c>
      <c r="E215" s="91">
        <f>IF(TrRoad_act!E76=0,0,TrRoad_emi!E73/TrRoad_tech!E188)</f>
        <v>1.1012310825066098</v>
      </c>
      <c r="F215" s="91">
        <f>IF(TrRoad_act!F76=0,0,TrRoad_emi!F73/TrRoad_tech!F188)</f>
        <v>1.1023512681358001</v>
      </c>
      <c r="G215" s="91">
        <f>IF(TrRoad_act!G76=0,0,TrRoad_emi!G73/TrRoad_tech!G188)</f>
        <v>1.1038780517487032</v>
      </c>
      <c r="H215" s="91">
        <f>IF(TrRoad_act!H76=0,0,TrRoad_emi!H73/TrRoad_tech!H188)</f>
        <v>1.1064447066035259</v>
      </c>
      <c r="I215" s="91">
        <f>IF(TrRoad_act!I76=0,0,TrRoad_emi!I73/TrRoad_tech!I188)</f>
        <v>1.1095280725958636</v>
      </c>
      <c r="J215" s="91">
        <f>IF(TrRoad_act!J76=0,0,TrRoad_emi!J73/TrRoad_tech!J188)</f>
        <v>1.1123061040699229</v>
      </c>
      <c r="K215" s="91">
        <f>IF(TrRoad_act!K76=0,0,TrRoad_emi!K73/TrRoad_tech!K188)</f>
        <v>1.1137933066587422</v>
      </c>
      <c r="L215" s="91">
        <f>IF(TrRoad_act!L76=0,0,TrRoad_emi!L73/TrRoad_tech!L188)</f>
        <v>1.1184850343017854</v>
      </c>
      <c r="M215" s="91">
        <f>IF(TrRoad_act!M76=0,0,TrRoad_emi!M73/TrRoad_tech!M188)</f>
        <v>1.0847445221799106</v>
      </c>
      <c r="N215" s="91">
        <f>IF(TrRoad_act!N76=0,0,TrRoad_emi!N73/TrRoad_tech!N188)</f>
        <v>1.0566650960505242</v>
      </c>
      <c r="O215" s="91">
        <f>IF(TrRoad_act!O76=0,0,TrRoad_emi!O73/TrRoad_tech!O188)</f>
        <v>1.0637782901587127</v>
      </c>
      <c r="P215" s="91">
        <f>IF(TrRoad_act!P76=0,0,TrRoad_emi!P73/TrRoad_tech!P188)</f>
        <v>1.0774015017053964</v>
      </c>
      <c r="Q215" s="91">
        <f>IF(TrRoad_act!Q76=0,0,TrRoad_emi!Q73/TrRoad_tech!Q188)</f>
        <v>1.0952932628220398</v>
      </c>
      <c r="R215" s="91">
        <f>IF(TrRoad_act!R76=0,0,TrRoad_emi!R73/TrRoad_tech!R188)</f>
        <v>1.1163993284711733</v>
      </c>
      <c r="S215" s="91">
        <f>IF(TrRoad_act!S76=0,0,TrRoad_emi!S73/TrRoad_tech!S188)</f>
        <v>1.1399249114661303</v>
      </c>
      <c r="T215" s="91">
        <f>IF(TrRoad_act!T76=0,0,TrRoad_emi!T73/TrRoad_tech!T188)</f>
        <v>1.165801542353788</v>
      </c>
      <c r="U215" s="91">
        <f>IF(TrRoad_act!U76=0,0,TrRoad_emi!U73/TrRoad_tech!U188)</f>
        <v>1.179878641175538</v>
      </c>
      <c r="V215" s="91">
        <f>IF(TrRoad_act!V76=0,0,TrRoad_emi!V73/TrRoad_tech!V188)</f>
        <v>1.19665909430967</v>
      </c>
      <c r="W215" s="91">
        <f>IF(TrRoad_act!W76=0,0,TrRoad_emi!W73/TrRoad_tech!W188)</f>
        <v>1.2104318536955674</v>
      </c>
      <c r="X215" s="91">
        <f>IF(TrRoad_act!X76=0,0,TrRoad_emi!X73/TrRoad_tech!X188)</f>
        <v>1.2323057266080752</v>
      </c>
      <c r="Y215" s="91">
        <f>IF(TrRoad_act!Y76=0,0,TrRoad_emi!Y73/TrRoad_tech!Y188)</f>
        <v>1.2527084231434924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1.1000000000067303</v>
      </c>
      <c r="C216" s="91">
        <f>IF(TrRoad_act!C77=0,0,TrRoad_emi!C74/TrRoad_tech!C189)</f>
        <v>1.1004979092351224</v>
      </c>
      <c r="D216" s="91">
        <f>IF(TrRoad_act!D77=0,0,TrRoad_emi!D74/TrRoad_tech!D189)</f>
        <v>1.1009659264378238</v>
      </c>
      <c r="E216" s="91">
        <f>IF(TrRoad_act!E77=0,0,TrRoad_emi!E74/TrRoad_tech!E189)</f>
        <v>1.1010649269461521</v>
      </c>
      <c r="F216" s="91">
        <f>IF(TrRoad_act!F77=0,0,TrRoad_emi!F74/TrRoad_tech!F189)</f>
        <v>1.101168069734934</v>
      </c>
      <c r="G216" s="91">
        <f>IF(TrRoad_act!G77=0,0,TrRoad_emi!G74/TrRoad_tech!G189)</f>
        <v>1.1012927298010602</v>
      </c>
      <c r="H216" s="91">
        <f>IF(TrRoad_act!H77=0,0,TrRoad_emi!H74/TrRoad_tech!H189)</f>
        <v>1.1013537066702523</v>
      </c>
      <c r="I216" s="91">
        <f>IF(TrRoad_act!I77=0,0,TrRoad_emi!I74/TrRoad_tech!I189)</f>
        <v>1.1015907690360456</v>
      </c>
      <c r="J216" s="91">
        <f>IF(TrRoad_act!J77=0,0,TrRoad_emi!J74/TrRoad_tech!J189)</f>
        <v>1.1019441735698128</v>
      </c>
      <c r="K216" s="91">
        <f>IF(TrRoad_act!K77=0,0,TrRoad_emi!K74/TrRoad_tech!K189)</f>
        <v>1.1024529020973621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X216" s="91">
        <f>IF(TrRoad_act!X77=0,0,TrRoad_emi!X74/TrRoad_tech!X189)</f>
        <v>0</v>
      </c>
      <c r="Y216" s="91">
        <f>IF(TrRoad_act!Y77=0,0,TrRoad_emi!Y74/TrRoad_tech!Y189)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1.2730583722550188</v>
      </c>
      <c r="R217" s="91">
        <f>IF(TrRoad_act!R78=0,0,TrRoad_emi!R75/TrRoad_tech!R190)</f>
        <v>1.2228237283174987</v>
      </c>
      <c r="S217" s="91">
        <f>IF(TrRoad_act!S78=0,0,TrRoad_emi!S75/TrRoad_tech!S190)</f>
        <v>1.1745831887452509</v>
      </c>
      <c r="T217" s="91">
        <f>IF(TrRoad_act!T78=0,0,TrRoad_emi!T75/TrRoad_tech!T190)</f>
        <v>1.2108073757942748</v>
      </c>
      <c r="U217" s="91">
        <f>IF(TrRoad_act!U78=0,0,TrRoad_emi!U75/TrRoad_tech!U190)</f>
        <v>1.0646540685509627</v>
      </c>
      <c r="V217" s="91">
        <f>IF(TrRoad_act!V78=0,0,TrRoad_emi!V75/TrRoad_tech!V190)</f>
        <v>1.0809619839488038</v>
      </c>
      <c r="W217" s="91">
        <f>IF(TrRoad_act!W78=0,0,TrRoad_emi!W75/TrRoad_tech!W190)</f>
        <v>1.0215141147189084</v>
      </c>
      <c r="X217" s="91">
        <f>IF(TrRoad_act!X78=0,0,TrRoad_emi!X75/TrRoad_tech!X190)</f>
        <v>0.87814040316574016</v>
      </c>
      <c r="Y217" s="91">
        <f>IF(TrRoad_act!Y78=0,0,TrRoad_emi!Y75/TrRoad_tech!Y190)</f>
        <v>0.82766375551720495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1.3688075253287508</v>
      </c>
      <c r="C219" s="151">
        <f>IF(TrRoad_act!C80=0,0,TrRoad_emi!C77/TrRoad_tech!C192)</f>
        <v>1.3955531863694262</v>
      </c>
      <c r="D219" s="151">
        <f>IF(TrRoad_act!D80=0,0,TrRoad_emi!D77/TrRoad_tech!D192)</f>
        <v>1.4220800194167176</v>
      </c>
      <c r="E219" s="151">
        <f>IF(TrRoad_act!E80=0,0,TrRoad_emi!E77/TrRoad_tech!E192)</f>
        <v>1.4986360126708758</v>
      </c>
      <c r="F219" s="151">
        <f>IF(TrRoad_act!F80=0,0,TrRoad_emi!F77/TrRoad_tech!F192)</f>
        <v>1.6248521490229821</v>
      </c>
      <c r="G219" s="151">
        <f>IF(TrRoad_act!G80=0,0,TrRoad_emi!G77/TrRoad_tech!G192)</f>
        <v>1.633283729408499</v>
      </c>
      <c r="H219" s="151">
        <f>IF(TrRoad_act!H80=0,0,TrRoad_emi!H77/TrRoad_tech!H192)</f>
        <v>1.6000781137933517</v>
      </c>
      <c r="I219" s="151">
        <f>IF(TrRoad_act!I80=0,0,TrRoad_emi!I77/TrRoad_tech!I192)</f>
        <v>1.599143866793634</v>
      </c>
      <c r="J219" s="151">
        <f>IF(TrRoad_act!J80=0,0,TrRoad_emi!J77/TrRoad_tech!J192)</f>
        <v>1.4351429068764978</v>
      </c>
      <c r="K219" s="151">
        <f>IF(TrRoad_act!K80=0,0,TrRoad_emi!K77/TrRoad_tech!K192)</f>
        <v>1.4217642621269277</v>
      </c>
      <c r="L219" s="151">
        <f>IF(TrRoad_act!L80=0,0,TrRoad_emi!L77/TrRoad_tech!L192)</f>
        <v>1.4618512308400755</v>
      </c>
      <c r="M219" s="151">
        <f>IF(TrRoad_act!M80=0,0,TrRoad_emi!M77/TrRoad_tech!M192)</f>
        <v>1.3781440275034398</v>
      </c>
      <c r="N219" s="151">
        <f>IF(TrRoad_act!N80=0,0,TrRoad_emi!N77/TrRoad_tech!N192)</f>
        <v>1.21100927707874</v>
      </c>
      <c r="O219" s="151">
        <f>IF(TrRoad_act!O80=0,0,TrRoad_emi!O77/TrRoad_tech!O192)</f>
        <v>1.1668907810717224</v>
      </c>
      <c r="P219" s="151">
        <f>IF(TrRoad_act!P80=0,0,TrRoad_emi!P77/TrRoad_tech!P192)</f>
        <v>1.2675131755921376</v>
      </c>
      <c r="Q219" s="151">
        <f>IF(TrRoad_act!Q80=0,0,TrRoad_emi!Q77/TrRoad_tech!Q192)</f>
        <v>1.2150310932748709</v>
      </c>
      <c r="R219" s="151">
        <f>IF(TrRoad_act!R80=0,0,TrRoad_emi!R77/TrRoad_tech!R192)</f>
        <v>1.3416496328804191</v>
      </c>
      <c r="S219" s="151">
        <f>IF(TrRoad_act!S80=0,0,TrRoad_emi!S77/TrRoad_tech!S192)</f>
        <v>1.4326733481694505</v>
      </c>
      <c r="T219" s="151">
        <f>IF(TrRoad_act!T80=0,0,TrRoad_emi!T77/TrRoad_tech!T192)</f>
        <v>1.5951981690367958</v>
      </c>
      <c r="U219" s="151">
        <f>IF(TrRoad_act!U80=0,0,TrRoad_emi!U77/TrRoad_tech!U192)</f>
        <v>1.5627571651912258</v>
      </c>
      <c r="V219" s="151">
        <f>IF(TrRoad_act!V80=0,0,TrRoad_emi!V77/TrRoad_tech!V192)</f>
        <v>1.4900959453636353</v>
      </c>
      <c r="W219" s="151">
        <f>IF(TrRoad_act!W80=0,0,TrRoad_emi!W77/TrRoad_tech!W192)</f>
        <v>1.5253275594282358</v>
      </c>
      <c r="X219" s="151">
        <f>IF(TrRoad_act!X80=0,0,TrRoad_emi!X77/TrRoad_tech!X192)</f>
        <v>1.5624719707955812</v>
      </c>
      <c r="Y219" s="151">
        <f>IF(TrRoad_act!Y80=0,0,TrRoad_emi!Y77/TrRoad_tech!Y192)</f>
        <v>1.686171350787073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1.2296430262549651</v>
      </c>
      <c r="C220" s="93">
        <f>IF(TrRoad_act!C81=0,0,TrRoad_emi!C78/TrRoad_tech!C193)</f>
        <v>1.2354643296240595</v>
      </c>
      <c r="D220" s="93">
        <f>IF(TrRoad_act!D81=0,0,TrRoad_emi!D78/TrRoad_tech!D193)</f>
        <v>1.2413149150694589</v>
      </c>
      <c r="E220" s="93">
        <f>IF(TrRoad_act!E81=0,0,TrRoad_emi!E78/TrRoad_tech!E193)</f>
        <v>1.2586281679026954</v>
      </c>
      <c r="F220" s="93">
        <f>IF(TrRoad_act!F81=0,0,TrRoad_emi!F78/TrRoad_tech!F193)</f>
        <v>1.2861313892077737</v>
      </c>
      <c r="G220" s="93">
        <f>IF(TrRoad_act!G81=0,0,TrRoad_emi!G78/TrRoad_tech!G193)</f>
        <v>1.2907172550840673</v>
      </c>
      <c r="H220" s="93">
        <f>IF(TrRoad_act!H81=0,0,TrRoad_emi!H78/TrRoad_tech!H193)</f>
        <v>1.2856462887124591</v>
      </c>
      <c r="I220" s="93">
        <f>IF(TrRoad_act!I81=0,0,TrRoad_emi!I78/TrRoad_tech!I193)</f>
        <v>1.2905911389073532</v>
      </c>
      <c r="J220" s="93">
        <f>IF(TrRoad_act!J81=0,0,TrRoad_emi!J78/TrRoad_tech!J193)</f>
        <v>1.2571639076157248</v>
      </c>
      <c r="K220" s="93">
        <f>IF(TrRoad_act!K81=0,0,TrRoad_emi!K78/TrRoad_tech!K193)</f>
        <v>1.2548441400869745</v>
      </c>
      <c r="L220" s="93">
        <f>IF(TrRoad_act!L81=0,0,TrRoad_emi!L78/TrRoad_tech!L193)</f>
        <v>1.2659994679253987</v>
      </c>
      <c r="M220" s="93">
        <f>IF(TrRoad_act!M81=0,0,TrRoad_emi!M78/TrRoad_tech!M193)</f>
        <v>1.219804947788341</v>
      </c>
      <c r="N220" s="93">
        <f>IF(TrRoad_act!N81=0,0,TrRoad_emi!N78/TrRoad_tech!N193)</f>
        <v>1.1589622310227921</v>
      </c>
      <c r="O220" s="93">
        <f>IF(TrRoad_act!O81=0,0,TrRoad_emi!O78/TrRoad_tech!O193)</f>
        <v>1.1519014347498264</v>
      </c>
      <c r="P220" s="93">
        <f>IF(TrRoad_act!P81=0,0,TrRoad_emi!P78/TrRoad_tech!P193)</f>
        <v>1.1816147094411409</v>
      </c>
      <c r="Q220" s="93">
        <f>IF(TrRoad_act!Q81=0,0,TrRoad_emi!Q78/TrRoad_tech!Q193)</f>
        <v>1.1804617801176296</v>
      </c>
      <c r="R220" s="93">
        <f>IF(TrRoad_act!R81=0,0,TrRoad_emi!R78/TrRoad_tech!R193)</f>
        <v>1.209982783783152</v>
      </c>
      <c r="S220" s="93">
        <f>IF(TrRoad_act!S81=0,0,TrRoad_emi!S78/TrRoad_tech!S193)</f>
        <v>1.242906386316746</v>
      </c>
      <c r="T220" s="93">
        <f>IF(TrRoad_act!T81=0,0,TrRoad_emi!T78/TrRoad_tech!T193)</f>
        <v>1.294289558634665</v>
      </c>
      <c r="U220" s="93">
        <f>IF(TrRoad_act!U81=0,0,TrRoad_emi!U78/TrRoad_tech!U193)</f>
        <v>1.295723468676518</v>
      </c>
      <c r="V220" s="93">
        <f>IF(TrRoad_act!V81=0,0,TrRoad_emi!V78/TrRoad_tech!V193)</f>
        <v>1.2865033959200352</v>
      </c>
      <c r="W220" s="93">
        <f>IF(TrRoad_act!W81=0,0,TrRoad_emi!W78/TrRoad_tech!W193)</f>
        <v>1.3055572330697887</v>
      </c>
      <c r="X220" s="93">
        <f>IF(TrRoad_act!X81=0,0,TrRoad_emi!X78/TrRoad_tech!X193)</f>
        <v>1.3397546303779839</v>
      </c>
      <c r="Y220" s="93">
        <f>IF(TrRoad_act!Y81=0,0,TrRoad_emi!Y78/TrRoad_tech!Y193)</f>
        <v>1.3927117721102398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2.3272865601910016</v>
      </c>
      <c r="C221" s="94">
        <f>IF(TrRoad_act!C82=0,0,TrRoad_emi!C79/TrRoad_tech!C194)</f>
        <v>2.4157611931996485</v>
      </c>
      <c r="D221" s="94">
        <f>IF(TrRoad_act!D82=0,0,TrRoad_emi!D79/TrRoad_tech!D194)</f>
        <v>2.4686279673250038</v>
      </c>
      <c r="E221" s="94">
        <f>IF(TrRoad_act!E82=0,0,TrRoad_emi!E79/TrRoad_tech!E194)</f>
        <v>2.8598518575839322</v>
      </c>
      <c r="F221" s="94">
        <f>IF(TrRoad_act!F82=0,0,TrRoad_emi!F79/TrRoad_tech!F194)</f>
        <v>3.0906198363676998</v>
      </c>
      <c r="G221" s="94">
        <f>IF(TrRoad_act!G82=0,0,TrRoad_emi!G79/TrRoad_tech!G194)</f>
        <v>3.0370166786265882</v>
      </c>
      <c r="H221" s="94">
        <f>IF(TrRoad_act!H82=0,0,TrRoad_emi!H79/TrRoad_tech!H194)</f>
        <v>2.8965542886597326</v>
      </c>
      <c r="I221" s="94">
        <f>IF(TrRoad_act!I82=0,0,TrRoad_emi!I79/TrRoad_tech!I194)</f>
        <v>2.8332526392707851</v>
      </c>
      <c r="J221" s="94">
        <f>IF(TrRoad_act!J82=0,0,TrRoad_emi!J79/TrRoad_tech!J194)</f>
        <v>2.084728369771093</v>
      </c>
      <c r="K221" s="94">
        <f>IF(TrRoad_act!K82=0,0,TrRoad_emi!K79/TrRoad_tech!K194)</f>
        <v>2.0556072157852907</v>
      </c>
      <c r="L221" s="94">
        <f>IF(TrRoad_act!L82=0,0,TrRoad_emi!L79/TrRoad_tech!L194)</f>
        <v>2.2350461767421899</v>
      </c>
      <c r="M221" s="94">
        <f>IF(TrRoad_act!M82=0,0,TrRoad_emi!M79/TrRoad_tech!M194)</f>
        <v>2.1001326836972227</v>
      </c>
      <c r="N221" s="94">
        <f>IF(TrRoad_act!N82=0,0,TrRoad_emi!N79/TrRoad_tech!N194)</f>
        <v>1.6224273291696452</v>
      </c>
      <c r="O221" s="94">
        <f>IF(TrRoad_act!O82=0,0,TrRoad_emi!O79/TrRoad_tech!O194)</f>
        <v>1.4414370521608217</v>
      </c>
      <c r="P221" s="94">
        <f>IF(TrRoad_act!P82=0,0,TrRoad_emi!P79/TrRoad_tech!P194)</f>
        <v>1.7755136682538259</v>
      </c>
      <c r="Q221" s="94">
        <f>IF(TrRoad_act!Q82=0,0,TrRoad_emi!Q79/TrRoad_tech!Q194)</f>
        <v>1.5569704505622717</v>
      </c>
      <c r="R221" s="94">
        <f>IF(TrRoad_act!R82=0,0,TrRoad_emi!R79/TrRoad_tech!R194)</f>
        <v>1.9139914542800844</v>
      </c>
      <c r="S221" s="94">
        <f>IF(TrRoad_act!S82=0,0,TrRoad_emi!S79/TrRoad_tech!S194)</f>
        <v>2.0978693072899208</v>
      </c>
      <c r="T221" s="94">
        <f>IF(TrRoad_act!T82=0,0,TrRoad_emi!T79/TrRoad_tech!T194)</f>
        <v>2.5347458577369411</v>
      </c>
      <c r="U221" s="94">
        <f>IF(TrRoad_act!U82=0,0,TrRoad_emi!U79/TrRoad_tech!U194)</f>
        <v>2.3987512793874077</v>
      </c>
      <c r="V221" s="94">
        <f>IF(TrRoad_act!V82=0,0,TrRoad_emi!V79/TrRoad_tech!V194)</f>
        <v>2.1487463073803985</v>
      </c>
      <c r="W221" s="94">
        <f>IF(TrRoad_act!W82=0,0,TrRoad_emi!W79/TrRoad_tech!W194)</f>
        <v>2.2216519797969259</v>
      </c>
      <c r="X221" s="94">
        <f>IF(TrRoad_act!X82=0,0,TrRoad_emi!X79/TrRoad_tech!X194)</f>
        <v>2.223513157348096</v>
      </c>
      <c r="Y221" s="94">
        <f>IF(TrRoad_act!Y82=0,0,TrRoad_emi!Y79/TrRoad_tech!Y194)</f>
        <v>2.5032141278000153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99.864248030083246</v>
      </c>
      <c r="C225" s="152">
        <v>99.483143587252968</v>
      </c>
      <c r="D225" s="152">
        <v>99.061399719719972</v>
      </c>
      <c r="E225" s="152">
        <v>97.893396493767781</v>
      </c>
      <c r="F225" s="152">
        <v>95.547288392341699</v>
      </c>
      <c r="G225" s="152">
        <v>95.773582069446505</v>
      </c>
      <c r="H225" s="152">
        <v>94.753517500740344</v>
      </c>
      <c r="I225" s="152">
        <v>93.014771076809367</v>
      </c>
      <c r="J225" s="152">
        <v>87.011457519376307</v>
      </c>
      <c r="K225" s="152">
        <v>81.74407864687953</v>
      </c>
      <c r="L225" s="152">
        <v>78.557639575862936</v>
      </c>
      <c r="M225" s="152">
        <v>76.960963910437087</v>
      </c>
      <c r="N225" s="152">
        <v>71.499524792500722</v>
      </c>
      <c r="O225" s="152">
        <v>69.152152299009146</v>
      </c>
      <c r="P225" s="152">
        <v>68.421558715288185</v>
      </c>
      <c r="Q225" s="152">
        <v>67.375808356158416</v>
      </c>
      <c r="R225" s="152">
        <v>65.910028614178572</v>
      </c>
      <c r="S225" s="152">
        <v>64.737404820594719</v>
      </c>
      <c r="T225" s="152">
        <v>63.799305785727626</v>
      </c>
      <c r="U225" s="152">
        <v>63.048826557833948</v>
      </c>
      <c r="V225" s="152">
        <v>62.44844317551901</v>
      </c>
      <c r="W225" s="152">
        <v>61.968136469667058</v>
      </c>
      <c r="X225" s="152">
        <v>61.583891104985497</v>
      </c>
      <c r="Y225" s="152">
        <v>61.276494813240248</v>
      </c>
      <c r="DA225" s="174" t="s">
        <v>933</v>
      </c>
    </row>
    <row r="226" spans="1:105" ht="11.45" customHeight="1" x14ac:dyDescent="0.25">
      <c r="A226" s="109" t="s">
        <v>20</v>
      </c>
      <c r="B226" s="116">
        <v>200.66663602893118</v>
      </c>
      <c r="C226" s="116">
        <v>201.04505185822944</v>
      </c>
      <c r="D226" s="116">
        <v>201.03239878692364</v>
      </c>
      <c r="E226" s="116">
        <v>200.72215999825781</v>
      </c>
      <c r="F226" s="116">
        <v>196.40950876541186</v>
      </c>
      <c r="G226" s="116">
        <v>194.00954684991405</v>
      </c>
      <c r="H226" s="116">
        <v>195.42458484222968</v>
      </c>
      <c r="I226" s="116">
        <v>192.06206789920216</v>
      </c>
      <c r="J226" s="116">
        <v>180.02969445377826</v>
      </c>
      <c r="K226" s="116">
        <v>172.25679960853341</v>
      </c>
      <c r="L226" s="116">
        <v>164.00795834530999</v>
      </c>
      <c r="M226" s="116">
        <v>161.02362610946463</v>
      </c>
      <c r="N226" s="116">
        <v>152.66094032130886</v>
      </c>
      <c r="O226" s="116">
        <v>147.79441553586639</v>
      </c>
      <c r="P226" s="116">
        <v>144.59740439290005</v>
      </c>
      <c r="Q226" s="116">
        <v>138.42348875516061</v>
      </c>
      <c r="R226" s="116">
        <v>134.26475231048764</v>
      </c>
      <c r="S226" s="116">
        <v>135.66095021328417</v>
      </c>
      <c r="T226" s="116">
        <v>138.38409093990765</v>
      </c>
      <c r="U226" s="116">
        <v>135.86754627963558</v>
      </c>
      <c r="V226" s="116">
        <v>117.85336876016626</v>
      </c>
      <c r="W226" s="116">
        <v>95.793433749738</v>
      </c>
      <c r="X226" s="116">
        <v>83.55607133743473</v>
      </c>
      <c r="Y226" s="116">
        <v>72.587056312052198</v>
      </c>
      <c r="DA226" s="176" t="s">
        <v>934</v>
      </c>
    </row>
    <row r="227" spans="1:105" ht="11.45" customHeight="1" x14ac:dyDescent="0.25">
      <c r="A227" s="111" t="s">
        <v>110</v>
      </c>
      <c r="B227" s="87">
        <v>208.7228128815691</v>
      </c>
      <c r="C227" s="87">
        <v>208.79844514256283</v>
      </c>
      <c r="D227" s="87">
        <v>207.84497544420057</v>
      </c>
      <c r="E227" s="87">
        <v>205.20437822568218</v>
      </c>
      <c r="F227" s="87">
        <v>199.9003461910799</v>
      </c>
      <c r="G227" s="87">
        <v>196.16639898911012</v>
      </c>
      <c r="H227" s="87">
        <v>193.90547683011931</v>
      </c>
      <c r="I227" s="87">
        <v>190.0516322409303</v>
      </c>
      <c r="J227" s="87">
        <v>174.87319395891717</v>
      </c>
      <c r="K227" s="87">
        <v>163.31166019135026</v>
      </c>
      <c r="L227" s="87">
        <v>156.3151113156884</v>
      </c>
      <c r="M227" s="87">
        <v>152.81189554935824</v>
      </c>
      <c r="N227" s="87">
        <v>139.31656509423215</v>
      </c>
      <c r="O227" s="87">
        <v>134.2137857233769</v>
      </c>
      <c r="P227" s="87">
        <v>132.69550005484169</v>
      </c>
      <c r="Q227" s="87">
        <v>131.08324694606745</v>
      </c>
      <c r="R227" s="87">
        <v>130.85139205084158</v>
      </c>
      <c r="S227" s="87">
        <v>131.83670536945445</v>
      </c>
      <c r="T227" s="87">
        <v>135.8269865672018</v>
      </c>
      <c r="U227" s="87">
        <v>139.1463837754327</v>
      </c>
      <c r="V227" s="87">
        <v>133.61444192592219</v>
      </c>
      <c r="W227" s="87">
        <v>128.01725472151929</v>
      </c>
      <c r="X227" s="87">
        <v>128.04044117647061</v>
      </c>
      <c r="Y227" s="87">
        <v>128.29940817904171</v>
      </c>
      <c r="DA227" s="171" t="s">
        <v>935</v>
      </c>
    </row>
    <row r="228" spans="1:105" ht="11.45" customHeight="1" x14ac:dyDescent="0.25">
      <c r="A228" s="111" t="s">
        <v>111</v>
      </c>
      <c r="B228" s="87">
        <v>182.43010161815604</v>
      </c>
      <c r="C228" s="87">
        <v>183.43828639386714</v>
      </c>
      <c r="D228" s="87">
        <v>180.87696350324205</v>
      </c>
      <c r="E228" s="87">
        <v>184.62747202165733</v>
      </c>
      <c r="F228" s="87">
        <v>187.28027072980476</v>
      </c>
      <c r="G228" s="87">
        <v>190.29897270804145</v>
      </c>
      <c r="H228" s="87">
        <v>198.13662075335418</v>
      </c>
      <c r="I228" s="87">
        <v>194.53979160837636</v>
      </c>
      <c r="J228" s="87">
        <v>185.81665764944748</v>
      </c>
      <c r="K228" s="87">
        <v>180.87696350324205</v>
      </c>
      <c r="L228" s="87">
        <v>171.18052684587707</v>
      </c>
      <c r="M228" s="87">
        <v>171.49084209751902</v>
      </c>
      <c r="N228" s="87">
        <v>166.37361561005116</v>
      </c>
      <c r="O228" s="87">
        <v>161.30572393945067</v>
      </c>
      <c r="P228" s="87">
        <v>156.31292217953731</v>
      </c>
      <c r="Q228" s="87">
        <v>149.91965350202361</v>
      </c>
      <c r="R228" s="87">
        <v>143.64256850627939</v>
      </c>
      <c r="S228" s="87">
        <v>144.87444343123522</v>
      </c>
      <c r="T228" s="87">
        <v>150.96879669003559</v>
      </c>
      <c r="U228" s="87">
        <v>146.11096601136481</v>
      </c>
      <c r="V228" s="87">
        <v>140.10418394618009</v>
      </c>
      <c r="W228" s="87">
        <v>141.73752969121139</v>
      </c>
      <c r="X228" s="87">
        <v>143.13414892864719</v>
      </c>
      <c r="Y228" s="87">
        <v>155.91143158635239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182.16898376859237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0</v>
      </c>
      <c r="S229" s="87">
        <v>0</v>
      </c>
      <c r="T229" s="87">
        <v>0</v>
      </c>
      <c r="U229" s="87">
        <v>0</v>
      </c>
      <c r="V229" s="87">
        <v>0</v>
      </c>
      <c r="W229" s="87">
        <v>0</v>
      </c>
      <c r="X229" s="87">
        <v>0</v>
      </c>
      <c r="Y229" s="87">
        <v>0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138.64186851211076</v>
      </c>
      <c r="R230" s="87">
        <v>168.96608996539794</v>
      </c>
      <c r="S230" s="87">
        <v>98.662298461311963</v>
      </c>
      <c r="T230" s="87">
        <v>114.62184873949582</v>
      </c>
      <c r="U230" s="87">
        <v>113.66666666666669</v>
      </c>
      <c r="V230" s="87">
        <v>110.51165846881689</v>
      </c>
      <c r="W230" s="87">
        <v>105.7424367436744</v>
      </c>
      <c r="X230" s="87">
        <v>105.5629520052597</v>
      </c>
      <c r="Y230" s="87">
        <v>106.9151276480174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52.103360059816836</v>
      </c>
      <c r="O231" s="87">
        <v>85.798160502345027</v>
      </c>
      <c r="P231" s="87">
        <v>17.554354629399924</v>
      </c>
      <c r="Q231" s="87">
        <v>119.38399225064319</v>
      </c>
      <c r="R231" s="87">
        <v>49.992653197439722</v>
      </c>
      <c r="S231" s="87">
        <v>46.299374582013115</v>
      </c>
      <c r="T231" s="87">
        <v>40.649122807017548</v>
      </c>
      <c r="U231" s="87">
        <v>34.884918401800789</v>
      </c>
      <c r="V231" s="87">
        <v>33.373946629213478</v>
      </c>
      <c r="W231" s="87">
        <v>32.880863980053661</v>
      </c>
      <c r="X231" s="87">
        <v>30.390106825689649</v>
      </c>
      <c r="Y231" s="87">
        <v>27.853105025508711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1513.0839091482583</v>
      </c>
      <c r="C233" s="116">
        <v>1511.5238538418448</v>
      </c>
      <c r="D233" s="116">
        <v>1509.7923454794732</v>
      </c>
      <c r="E233" s="116">
        <v>1504.9508685190647</v>
      </c>
      <c r="F233" s="116">
        <v>1495.0337932322902</v>
      </c>
      <c r="G233" s="116">
        <v>1451.6629272279467</v>
      </c>
      <c r="H233" s="116">
        <v>1443.1454530512246</v>
      </c>
      <c r="I233" s="116">
        <v>1449.7873166207848</v>
      </c>
      <c r="J233" s="116">
        <v>1367.3570259504036</v>
      </c>
      <c r="K233" s="116">
        <v>1353.2524900065341</v>
      </c>
      <c r="L233" s="116">
        <v>1348.7695449538523</v>
      </c>
      <c r="M233" s="116">
        <v>1338.8502641211219</v>
      </c>
      <c r="N233" s="116">
        <v>1315.3757467577232</v>
      </c>
      <c r="O233" s="116">
        <v>1283.6659551680921</v>
      </c>
      <c r="P233" s="116">
        <v>1346.0882218933211</v>
      </c>
      <c r="Q233" s="116">
        <v>1322.3656209054575</v>
      </c>
      <c r="R233" s="116">
        <v>1299.0790871230306</v>
      </c>
      <c r="S233" s="116">
        <v>1269.7588901986448</v>
      </c>
      <c r="T233" s="116">
        <v>1264.3436674774539</v>
      </c>
      <c r="U233" s="116">
        <v>1090.0805796432467</v>
      </c>
      <c r="V233" s="116">
        <v>1177.8882939024186</v>
      </c>
      <c r="W233" s="116">
        <v>765.3942141239562</v>
      </c>
      <c r="X233" s="116">
        <v>474.57913859080384</v>
      </c>
      <c r="Y233" s="116">
        <v>10.476042452036561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502.87525916992092</v>
      </c>
      <c r="H234" s="101">
        <v>459.34554665589872</v>
      </c>
      <c r="I234" s="101">
        <v>434.61224435116969</v>
      </c>
      <c r="J234" s="101">
        <v>420.04179142154771</v>
      </c>
      <c r="K234" s="101">
        <v>393.91535917539471</v>
      </c>
      <c r="L234" s="101">
        <v>377.75623412473669</v>
      </c>
      <c r="M234" s="101">
        <v>378.13260951756229</v>
      </c>
      <c r="N234" s="101">
        <v>353.30138997798088</v>
      </c>
      <c r="O234" s="101">
        <v>326.75575277318302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1513.0839091482583</v>
      </c>
      <c r="C235" s="101">
        <v>1511.5238538418448</v>
      </c>
      <c r="D235" s="101">
        <v>1509.7923454794732</v>
      </c>
      <c r="E235" s="101">
        <v>1504.9508685190647</v>
      </c>
      <c r="F235" s="101">
        <v>1495.0337932322902</v>
      </c>
      <c r="G235" s="101">
        <v>1487.9531482756402</v>
      </c>
      <c r="H235" s="101">
        <v>1483.628401518178</v>
      </c>
      <c r="I235" s="101">
        <v>1476.1451273091382</v>
      </c>
      <c r="J235" s="101">
        <v>1444.7942385821902</v>
      </c>
      <c r="K235" s="101">
        <v>1419.6681375256128</v>
      </c>
      <c r="L235" s="101">
        <v>1403.9639857799282</v>
      </c>
      <c r="M235" s="101">
        <v>1395.9602964291273</v>
      </c>
      <c r="N235" s="101">
        <v>1362.9508523127654</v>
      </c>
      <c r="O235" s="101">
        <v>1350.1180525566274</v>
      </c>
      <c r="P235" s="101">
        <v>1346.0882218933211</v>
      </c>
      <c r="Q235" s="101">
        <v>1340.2449215971562</v>
      </c>
      <c r="R235" s="101">
        <v>1324.3275808124592</v>
      </c>
      <c r="S235" s="101">
        <v>1299.6823593256522</v>
      </c>
      <c r="T235" s="101">
        <v>1267.670887655026</v>
      </c>
      <c r="U235" s="101">
        <v>1229.6189630345825</v>
      </c>
      <c r="V235" s="101">
        <v>1186.7790090420974</v>
      </c>
      <c r="W235" s="101">
        <v>1140.3046674762984</v>
      </c>
      <c r="X235" s="101">
        <v>1091.2355737262581</v>
      </c>
      <c r="Y235" s="101">
        <v>0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887.84443439811616</v>
      </c>
      <c r="R237" s="101">
        <v>867.14709435141697</v>
      </c>
      <c r="S237" s="101">
        <v>854.10605238035555</v>
      </c>
      <c r="T237" s="101">
        <v>0</v>
      </c>
      <c r="U237" s="101">
        <v>839.58434855193366</v>
      </c>
      <c r="V237" s="101">
        <v>835.20137470967177</v>
      </c>
      <c r="W237" s="101">
        <v>831.74999832217816</v>
      </c>
      <c r="X237" s="101">
        <v>828.85633621009129</v>
      </c>
      <c r="Y237" s="101">
        <v>826.29784840438379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0</v>
      </c>
      <c r="C240" s="152">
        <v>235.30718773821775</v>
      </c>
      <c r="D240" s="152">
        <v>232.10080565538212</v>
      </c>
      <c r="E240" s="152">
        <v>234.57122423071803</v>
      </c>
      <c r="F240" s="152">
        <v>234.10482804442961</v>
      </c>
      <c r="G240" s="152">
        <v>235.84981808447949</v>
      </c>
      <c r="H240" s="152">
        <v>243.90794054343766</v>
      </c>
      <c r="I240" s="152">
        <v>235.72837293531569</v>
      </c>
      <c r="J240" s="152">
        <v>227.14078820145519</v>
      </c>
      <c r="K240" s="152">
        <v>220.81314148563328</v>
      </c>
      <c r="L240" s="152">
        <v>208.88447622628192</v>
      </c>
      <c r="M240" s="152">
        <v>208.90331819118836</v>
      </c>
      <c r="N240" s="152">
        <v>201.04191180221193</v>
      </c>
      <c r="O240" s="152">
        <v>184.0655590064479</v>
      </c>
      <c r="P240" s="152">
        <v>174.64546987395207</v>
      </c>
      <c r="Q240" s="152">
        <v>174.01787298961281</v>
      </c>
      <c r="R240" s="152">
        <v>174.13624355870238</v>
      </c>
      <c r="S240" s="152">
        <v>170.54152261755044</v>
      </c>
      <c r="T240" s="152">
        <v>173.01755078924009</v>
      </c>
      <c r="U240" s="152">
        <v>174.47083677731879</v>
      </c>
      <c r="V240" s="152">
        <v>195.24883708899247</v>
      </c>
      <c r="W240" s="152">
        <v>191.25688890475192</v>
      </c>
      <c r="X240" s="152">
        <v>191.89830396508157</v>
      </c>
      <c r="Y240" s="152">
        <v>193.75467103799875</v>
      </c>
      <c r="DA240" s="174" t="s">
        <v>947</v>
      </c>
    </row>
    <row r="241" spans="1:105" ht="11.45" customHeight="1" x14ac:dyDescent="0.25">
      <c r="A241" s="111" t="s">
        <v>110</v>
      </c>
      <c r="B241" s="87">
        <v>0</v>
      </c>
      <c r="C241" s="87">
        <v>295.10838010572735</v>
      </c>
      <c r="D241" s="87">
        <v>293.76077956219132</v>
      </c>
      <c r="E241" s="87">
        <v>290.02865230838637</v>
      </c>
      <c r="F241" s="87">
        <v>282.53211994344645</v>
      </c>
      <c r="G241" s="87">
        <v>277.25469026995802</v>
      </c>
      <c r="H241" s="87">
        <v>274.05918239426791</v>
      </c>
      <c r="I241" s="87">
        <v>268.61229396979581</v>
      </c>
      <c r="J241" s="87">
        <v>247.15962304170867</v>
      </c>
      <c r="K241" s="87">
        <v>230.81895776829265</v>
      </c>
      <c r="L241" s="87">
        <v>220.93386396091748</v>
      </c>
      <c r="M241" s="87">
        <v>215.9805953181085</v>
      </c>
      <c r="N241" s="87">
        <v>196.90513412962258</v>
      </c>
      <c r="O241" s="87">
        <v>152.51528018273291</v>
      </c>
      <c r="P241" s="87">
        <v>145.98117485374394</v>
      </c>
      <c r="Q241" s="87">
        <v>139.93038504926702</v>
      </c>
      <c r="R241" s="87">
        <v>142.2792045583536</v>
      </c>
      <c r="S241" s="87">
        <v>142.89934795519304</v>
      </c>
      <c r="T241" s="87">
        <v>142.76037732255745</v>
      </c>
      <c r="U241" s="87">
        <v>141.12462189957651</v>
      </c>
      <c r="V241" s="87">
        <v>138.23403437939771</v>
      </c>
      <c r="W241" s="87">
        <v>133.74707098552719</v>
      </c>
      <c r="X241" s="87">
        <v>132.31934877896049</v>
      </c>
      <c r="Y241" s="87">
        <v>150.25211726384359</v>
      </c>
      <c r="DA241" s="171" t="s">
        <v>948</v>
      </c>
    </row>
    <row r="242" spans="1:105" ht="11.45" customHeight="1" x14ac:dyDescent="0.25">
      <c r="A242" s="111" t="s">
        <v>111</v>
      </c>
      <c r="B242" s="87">
        <v>0</v>
      </c>
      <c r="C242" s="87">
        <v>222.17597554690431</v>
      </c>
      <c r="D242" s="87">
        <v>219.0737637725673</v>
      </c>
      <c r="E242" s="87">
        <v>223.61628815641785</v>
      </c>
      <c r="F242" s="87">
        <v>226.82929320840964</v>
      </c>
      <c r="G242" s="87">
        <v>230.48547137102105</v>
      </c>
      <c r="H242" s="87">
        <v>239.97823940049201</v>
      </c>
      <c r="I242" s="87">
        <v>235.62184772310175</v>
      </c>
      <c r="J242" s="87">
        <v>225.05660076593134</v>
      </c>
      <c r="K242" s="87">
        <v>219.07376377256733</v>
      </c>
      <c r="L242" s="87">
        <v>207.32967634114908</v>
      </c>
      <c r="M242" s="87">
        <v>207.70552260048942</v>
      </c>
      <c r="N242" s="87">
        <v>201.50766276818436</v>
      </c>
      <c r="O242" s="87">
        <v>186.70188535692881</v>
      </c>
      <c r="P242" s="87">
        <v>175.8167380393792</v>
      </c>
      <c r="Q242" s="87">
        <v>177.16292067281907</v>
      </c>
      <c r="R242" s="87">
        <v>175.74260317409764</v>
      </c>
      <c r="S242" s="87">
        <v>171.97139945402429</v>
      </c>
      <c r="T242" s="87">
        <v>174.52574555016264</v>
      </c>
      <c r="U242" s="87">
        <v>176.42122130792549</v>
      </c>
      <c r="V242" s="87">
        <v>199.3266192138808</v>
      </c>
      <c r="W242" s="87">
        <v>199.81923868728049</v>
      </c>
      <c r="X242" s="87">
        <v>202.87815026715211</v>
      </c>
      <c r="Y242" s="87">
        <v>209.13930110100529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267.55559666556485</v>
      </c>
      <c r="D243" s="87">
        <v>263.8197556493501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X243" s="87">
        <v>0</v>
      </c>
      <c r="Y243" s="87">
        <v>0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167.74101128283385</v>
      </c>
      <c r="R244" s="87">
        <v>138.33526617264579</v>
      </c>
      <c r="S244" s="87">
        <v>136.51528754870159</v>
      </c>
      <c r="T244" s="87">
        <v>127.92211701569386</v>
      </c>
      <c r="U244" s="87">
        <v>0</v>
      </c>
      <c r="V244" s="87">
        <v>210</v>
      </c>
      <c r="W244" s="87">
        <v>0</v>
      </c>
      <c r="X244" s="87">
        <v>0</v>
      </c>
      <c r="Y244" s="87">
        <v>0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950.9729398977662</v>
      </c>
      <c r="D246" s="116">
        <v>940.62671545933642</v>
      </c>
      <c r="E246" s="116">
        <v>932.55173000800187</v>
      </c>
      <c r="F246" s="116">
        <v>936.4548185009329</v>
      </c>
      <c r="G246" s="116">
        <v>911.65371545167375</v>
      </c>
      <c r="H246" s="116">
        <v>916.14293451471826</v>
      </c>
      <c r="I246" s="116">
        <v>893.68168765351709</v>
      </c>
      <c r="J246" s="116">
        <v>929.57704054288354</v>
      </c>
      <c r="K246" s="116">
        <v>861.22522286050935</v>
      </c>
      <c r="L246" s="116">
        <v>847.70491290982761</v>
      </c>
      <c r="M246" s="116">
        <v>843.14787474615662</v>
      </c>
      <c r="N246" s="116">
        <v>828.45963656884624</v>
      </c>
      <c r="O246" s="116">
        <v>833.07934260473564</v>
      </c>
      <c r="P246" s="116">
        <v>784.21776179332176</v>
      </c>
      <c r="Q246" s="116">
        <v>818.02855709442167</v>
      </c>
      <c r="R246" s="116">
        <v>782.4815865867098</v>
      </c>
      <c r="S246" s="116">
        <v>709.4351174311397</v>
      </c>
      <c r="T246" s="116">
        <v>659.54770075330623</v>
      </c>
      <c r="U246" s="116">
        <v>643.87287260689743</v>
      </c>
      <c r="V246" s="116">
        <v>659.33864076984662</v>
      </c>
      <c r="W246" s="116">
        <v>618.78389099296623</v>
      </c>
      <c r="X246" s="116">
        <v>618.2457281136127</v>
      </c>
      <c r="Y246" s="116">
        <v>591.176733035388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870.61519128074076</v>
      </c>
      <c r="D247" s="101">
        <v>866.16565797512283</v>
      </c>
      <c r="E247" s="101">
        <v>860.62516079239424</v>
      </c>
      <c r="F247" s="101">
        <v>854.00777824024976</v>
      </c>
      <c r="G247" s="101">
        <v>846.33020652665323</v>
      </c>
      <c r="H247" s="101">
        <v>837.61165544274979</v>
      </c>
      <c r="I247" s="101">
        <v>827.87373003908624</v>
      </c>
      <c r="J247" s="101">
        <v>817.14029943101968</v>
      </c>
      <c r="K247" s="101">
        <v>805.43735417318896</v>
      </c>
      <c r="L247" s="101">
        <v>792.79285377396832</v>
      </c>
      <c r="M247" s="101">
        <v>779.23656594527267</v>
      </c>
      <c r="N247" s="101">
        <v>764.79989924491429</v>
      </c>
      <c r="O247" s="101">
        <v>749.51573078807053</v>
      </c>
      <c r="P247" s="101">
        <v>733.41823066500956</v>
      </c>
      <c r="Q247" s="101">
        <v>716.54268470247939</v>
      </c>
      <c r="R247" s="101">
        <v>675.59043761837586</v>
      </c>
      <c r="S247" s="101">
        <v>646.92386465950324</v>
      </c>
      <c r="T247" s="101">
        <v>616.82396305268719</v>
      </c>
      <c r="U247" s="101">
        <v>580.03519442213417</v>
      </c>
      <c r="V247" s="101">
        <v>564.46704644383806</v>
      </c>
      <c r="W247" s="101">
        <v>556.12898795155365</v>
      </c>
      <c r="X247" s="101">
        <v>553.06506527395834</v>
      </c>
      <c r="Y247" s="101">
        <v>547.53441462121873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0</v>
      </c>
      <c r="M248" s="88">
        <v>874.1828700569024</v>
      </c>
      <c r="N248" s="88">
        <v>859.18006675861636</v>
      </c>
      <c r="O248" s="88">
        <v>843.29652676318142</v>
      </c>
      <c r="P248" s="88">
        <v>0</v>
      </c>
      <c r="Q248" s="88">
        <v>809.03043647828326</v>
      </c>
      <c r="R248" s="88">
        <v>786.38779648376408</v>
      </c>
      <c r="S248" s="88">
        <v>770.5379484876006</v>
      </c>
      <c r="T248" s="88">
        <v>0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5537</v>
      </c>
      <c r="C4" s="28">
        <f t="shared" ref="C4:V4" si="1">SUM(C5,C6,C9)</f>
        <v>5721</v>
      </c>
      <c r="D4" s="28">
        <f t="shared" si="1"/>
        <v>5754</v>
      </c>
      <c r="E4" s="28">
        <f t="shared" si="1"/>
        <v>5893</v>
      </c>
      <c r="F4" s="28">
        <f t="shared" si="1"/>
        <v>6074</v>
      </c>
      <c r="G4" s="28">
        <f t="shared" si="1"/>
        <v>6136</v>
      </c>
      <c r="H4" s="28">
        <f t="shared" si="1"/>
        <v>6274</v>
      </c>
      <c r="I4" s="28">
        <f t="shared" si="1"/>
        <v>6353</v>
      </c>
      <c r="J4" s="28">
        <f t="shared" si="1"/>
        <v>6475</v>
      </c>
      <c r="K4" s="28">
        <f t="shared" si="1"/>
        <v>6367</v>
      </c>
      <c r="L4" s="28">
        <f t="shared" si="1"/>
        <v>6577</v>
      </c>
      <c r="M4" s="28">
        <f t="shared" si="1"/>
        <v>6643</v>
      </c>
      <c r="N4" s="28">
        <f t="shared" si="1"/>
        <v>6791</v>
      </c>
      <c r="O4" s="28">
        <f t="shared" si="1"/>
        <v>6835</v>
      </c>
      <c r="P4" s="28">
        <f t="shared" si="1"/>
        <v>6808</v>
      </c>
      <c r="Q4" s="28">
        <f t="shared" si="1"/>
        <v>6809</v>
      </c>
      <c r="R4" s="28">
        <f t="shared" si="1"/>
        <v>6653</v>
      </c>
      <c r="S4" s="28">
        <f t="shared" si="1"/>
        <v>6621</v>
      </c>
      <c r="T4" s="28">
        <f t="shared" si="1"/>
        <v>6534</v>
      </c>
      <c r="U4" s="28">
        <f t="shared" si="1"/>
        <v>6574</v>
      </c>
      <c r="V4" s="28">
        <f t="shared" si="1"/>
        <v>4229</v>
      </c>
      <c r="W4" s="28">
        <f t="shared" ref="W4:Y4" si="2">SUM(W5,W6,W9)</f>
        <v>4512</v>
      </c>
      <c r="X4" s="28">
        <f t="shared" si="2"/>
        <v>6304</v>
      </c>
      <c r="Y4" s="28">
        <f t="shared" si="2"/>
        <v>6570</v>
      </c>
      <c r="DA4" s="173" t="s">
        <v>376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9</v>
      </c>
      <c r="E5" s="108">
        <v>67</v>
      </c>
      <c r="F5" s="108">
        <v>128</v>
      </c>
      <c r="G5" s="108">
        <v>162</v>
      </c>
      <c r="H5" s="108">
        <v>164</v>
      </c>
      <c r="I5" s="108">
        <v>177</v>
      </c>
      <c r="J5" s="108">
        <v>195</v>
      </c>
      <c r="K5" s="108">
        <v>215</v>
      </c>
      <c r="L5" s="108">
        <v>239</v>
      </c>
      <c r="M5" s="108">
        <v>278</v>
      </c>
      <c r="N5" s="108">
        <v>274</v>
      </c>
      <c r="O5" s="108">
        <v>284</v>
      </c>
      <c r="P5" s="108">
        <v>295</v>
      </c>
      <c r="Q5" s="108">
        <v>302</v>
      </c>
      <c r="R5" s="108">
        <v>321</v>
      </c>
      <c r="S5" s="108">
        <v>341</v>
      </c>
      <c r="T5" s="108">
        <v>352</v>
      </c>
      <c r="U5" s="108">
        <v>400</v>
      </c>
      <c r="V5" s="108">
        <v>289</v>
      </c>
      <c r="W5" s="108">
        <v>331</v>
      </c>
      <c r="X5" s="108">
        <v>482</v>
      </c>
      <c r="Y5" s="108">
        <v>539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5537</v>
      </c>
      <c r="C6" s="110">
        <f t="shared" ref="C6:V6" si="4">SUM(C7:C8)</f>
        <v>5721</v>
      </c>
      <c r="D6" s="110">
        <f t="shared" si="4"/>
        <v>5745</v>
      </c>
      <c r="E6" s="110">
        <f t="shared" si="4"/>
        <v>5826</v>
      </c>
      <c r="F6" s="110">
        <f t="shared" si="4"/>
        <v>5946</v>
      </c>
      <c r="G6" s="110">
        <f t="shared" si="4"/>
        <v>5974</v>
      </c>
      <c r="H6" s="110">
        <f t="shared" si="4"/>
        <v>6110</v>
      </c>
      <c r="I6" s="110">
        <f t="shared" si="4"/>
        <v>6176</v>
      </c>
      <c r="J6" s="110">
        <f t="shared" si="4"/>
        <v>6280</v>
      </c>
      <c r="K6" s="110">
        <f t="shared" si="4"/>
        <v>6152</v>
      </c>
      <c r="L6" s="110">
        <f t="shared" si="4"/>
        <v>6338</v>
      </c>
      <c r="M6" s="110">
        <f t="shared" si="4"/>
        <v>6365</v>
      </c>
      <c r="N6" s="110">
        <f t="shared" si="4"/>
        <v>6517</v>
      </c>
      <c r="O6" s="110">
        <f t="shared" si="4"/>
        <v>6551</v>
      </c>
      <c r="P6" s="110">
        <f t="shared" si="4"/>
        <v>6513</v>
      </c>
      <c r="Q6" s="110">
        <f t="shared" si="4"/>
        <v>6507</v>
      </c>
      <c r="R6" s="110">
        <f t="shared" si="4"/>
        <v>6332</v>
      </c>
      <c r="S6" s="110">
        <f t="shared" si="4"/>
        <v>6280</v>
      </c>
      <c r="T6" s="110">
        <f t="shared" si="4"/>
        <v>6182</v>
      </c>
      <c r="U6" s="110">
        <f t="shared" si="4"/>
        <v>6174</v>
      </c>
      <c r="V6" s="110">
        <f t="shared" si="4"/>
        <v>3940</v>
      </c>
      <c r="W6" s="110">
        <f t="shared" ref="W6:Y6" si="5">SUM(W7:W8)</f>
        <v>4181</v>
      </c>
      <c r="X6" s="110">
        <f t="shared" si="5"/>
        <v>5822</v>
      </c>
      <c r="Y6" s="110">
        <f t="shared" si="5"/>
        <v>6031</v>
      </c>
      <c r="DA6" s="176" t="s">
        <v>378</v>
      </c>
    </row>
    <row r="7" spans="1:105" ht="11.45" customHeight="1" x14ac:dyDescent="0.25">
      <c r="A7" s="111" t="s">
        <v>90</v>
      </c>
      <c r="B7" s="84">
        <v>2742.5890375844979</v>
      </c>
      <c r="C7" s="84">
        <v>2771.6385414223446</v>
      </c>
      <c r="D7" s="84">
        <v>2749.1419191673053</v>
      </c>
      <c r="E7" s="84">
        <v>2877.171417804303</v>
      </c>
      <c r="F7" s="84">
        <v>2910.6965348766025</v>
      </c>
      <c r="G7" s="84">
        <v>3296.2075414999422</v>
      </c>
      <c r="H7" s="84">
        <v>3444.7318668962148</v>
      </c>
      <c r="I7" s="84">
        <v>3458.8108576939867</v>
      </c>
      <c r="J7" s="84">
        <v>3567.5428980362967</v>
      </c>
      <c r="K7" s="84">
        <v>3427.8735391486184</v>
      </c>
      <c r="L7" s="84">
        <v>3515.5049732508933</v>
      </c>
      <c r="M7" s="84">
        <v>3600.5094862421361</v>
      </c>
      <c r="N7" s="84">
        <v>3720.4217363246385</v>
      </c>
      <c r="O7" s="84">
        <v>3793.9574371950271</v>
      </c>
      <c r="P7" s="84">
        <v>3812.121050574689</v>
      </c>
      <c r="Q7" s="84">
        <v>3757.6586177752747</v>
      </c>
      <c r="R7" s="84">
        <v>3637.6464687144748</v>
      </c>
      <c r="S7" s="84">
        <v>3606.8400003035495</v>
      </c>
      <c r="T7" s="84">
        <v>3098.5051988369482</v>
      </c>
      <c r="U7" s="84">
        <v>3092.1005438033367</v>
      </c>
      <c r="V7" s="84">
        <v>1958.2929991429862</v>
      </c>
      <c r="W7" s="84">
        <v>1890.5834659246591</v>
      </c>
      <c r="X7" s="84">
        <v>2512.1331136622466</v>
      </c>
      <c r="Y7" s="84">
        <v>2596.4717571255019</v>
      </c>
      <c r="DA7" s="171" t="s">
        <v>1031</v>
      </c>
    </row>
    <row r="8" spans="1:105" ht="11.45" customHeight="1" x14ac:dyDescent="0.25">
      <c r="A8" s="111" t="s">
        <v>93</v>
      </c>
      <c r="B8" s="84">
        <v>2794.4109624155021</v>
      </c>
      <c r="C8" s="84">
        <v>2949.3614585776554</v>
      </c>
      <c r="D8" s="84">
        <v>2995.8580808326947</v>
      </c>
      <c r="E8" s="84">
        <v>2948.828582195697</v>
      </c>
      <c r="F8" s="84">
        <v>3035.3034651233975</v>
      </c>
      <c r="G8" s="84">
        <v>2677.7924585000578</v>
      </c>
      <c r="H8" s="84">
        <v>2665.2681331037852</v>
      </c>
      <c r="I8" s="84">
        <v>2717.1891423060133</v>
      </c>
      <c r="J8" s="84">
        <v>2712.4571019637033</v>
      </c>
      <c r="K8" s="84">
        <v>2724.1264608513816</v>
      </c>
      <c r="L8" s="84">
        <v>2822.4950267491067</v>
      </c>
      <c r="M8" s="84">
        <v>2764.4905137578639</v>
      </c>
      <c r="N8" s="84">
        <v>2796.5782636753615</v>
      </c>
      <c r="O8" s="84">
        <v>2757.0425628049729</v>
      </c>
      <c r="P8" s="84">
        <v>2700.878949425311</v>
      </c>
      <c r="Q8" s="84">
        <v>2749.3413822247253</v>
      </c>
      <c r="R8" s="84">
        <v>2694.3535312855252</v>
      </c>
      <c r="S8" s="84">
        <v>2673.1599996964505</v>
      </c>
      <c r="T8" s="84">
        <v>3083.4948011630518</v>
      </c>
      <c r="U8" s="84">
        <v>3081.8994561966633</v>
      </c>
      <c r="V8" s="84">
        <v>1981.7070008570138</v>
      </c>
      <c r="W8" s="84">
        <v>2290.4165340753407</v>
      </c>
      <c r="X8" s="84">
        <v>3309.8668863377534</v>
      </c>
      <c r="Y8" s="84">
        <v>3434.5282428744981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2025</v>
      </c>
      <c r="C10" s="28">
        <f t="shared" ref="C10:V10" si="7">SUM(C11:C12)</f>
        <v>2091</v>
      </c>
      <c r="D10" s="28">
        <f t="shared" si="7"/>
        <v>1877</v>
      </c>
      <c r="E10" s="28">
        <f t="shared" si="7"/>
        <v>1985</v>
      </c>
      <c r="F10" s="28">
        <f t="shared" si="7"/>
        <v>2321</v>
      </c>
      <c r="G10" s="28">
        <f t="shared" si="7"/>
        <v>1976</v>
      </c>
      <c r="H10" s="28">
        <f t="shared" si="7"/>
        <v>1892</v>
      </c>
      <c r="I10" s="28">
        <f t="shared" si="7"/>
        <v>1779</v>
      </c>
      <c r="J10" s="28">
        <f t="shared" si="7"/>
        <v>1866</v>
      </c>
      <c r="K10" s="28">
        <f t="shared" si="7"/>
        <v>1700</v>
      </c>
      <c r="L10" s="28">
        <f t="shared" si="7"/>
        <v>2239</v>
      </c>
      <c r="M10" s="28">
        <f t="shared" si="7"/>
        <v>2614</v>
      </c>
      <c r="N10" s="28">
        <f t="shared" si="7"/>
        <v>2278</v>
      </c>
      <c r="O10" s="28">
        <f t="shared" si="7"/>
        <v>2449</v>
      </c>
      <c r="P10" s="28">
        <f t="shared" si="7"/>
        <v>2453</v>
      </c>
      <c r="Q10" s="28">
        <f t="shared" si="7"/>
        <v>2603</v>
      </c>
      <c r="R10" s="28">
        <f t="shared" si="7"/>
        <v>2616</v>
      </c>
      <c r="S10" s="28">
        <f t="shared" si="7"/>
        <v>2653</v>
      </c>
      <c r="T10" s="28">
        <f t="shared" si="7"/>
        <v>2594</v>
      </c>
      <c r="U10" s="28">
        <f t="shared" si="7"/>
        <v>2525</v>
      </c>
      <c r="V10" s="28">
        <f t="shared" si="7"/>
        <v>2450</v>
      </c>
      <c r="W10" s="28">
        <f t="shared" ref="W10:Y10" si="8">SUM(W11:W12)</f>
        <v>1986</v>
      </c>
      <c r="X10" s="28">
        <f t="shared" si="8"/>
        <v>2211</v>
      </c>
      <c r="Y10" s="28">
        <f t="shared" si="8"/>
        <v>1906</v>
      </c>
      <c r="DA10" s="173" t="s">
        <v>384</v>
      </c>
    </row>
    <row r="11" spans="1:105" ht="11.45" customHeight="1" x14ac:dyDescent="0.25">
      <c r="A11" s="83" t="s">
        <v>90</v>
      </c>
      <c r="B11" s="84">
        <v>1139.1645886932861</v>
      </c>
      <c r="C11" s="84">
        <v>1152.6621812793846</v>
      </c>
      <c r="D11" s="84">
        <v>1021.113714246211</v>
      </c>
      <c r="E11" s="84">
        <v>1099.00977187791</v>
      </c>
      <c r="F11" s="84">
        <v>1262.0776347750236</v>
      </c>
      <c r="G11" s="84">
        <v>1092.7403352167657</v>
      </c>
      <c r="H11" s="84">
        <v>1041.3286813556754</v>
      </c>
      <c r="I11" s="84">
        <v>994.49673932311327</v>
      </c>
      <c r="J11" s="84">
        <v>1037.5318271705498</v>
      </c>
      <c r="K11" s="84">
        <v>925.93679424963727</v>
      </c>
      <c r="L11" s="84">
        <v>1230.6337742366541</v>
      </c>
      <c r="M11" s="84">
        <v>1454.6343342639493</v>
      </c>
      <c r="N11" s="84">
        <v>1278.5769852061273</v>
      </c>
      <c r="O11" s="84">
        <v>1368.7099742568523</v>
      </c>
      <c r="P11" s="84">
        <v>1381.5721302041468</v>
      </c>
      <c r="Q11" s="84">
        <v>1590.9790728575654</v>
      </c>
      <c r="R11" s="84">
        <v>1730.0920822393725</v>
      </c>
      <c r="S11" s="84">
        <v>1892.9459331628855</v>
      </c>
      <c r="T11" s="84">
        <v>1948.6737124959895</v>
      </c>
      <c r="U11" s="84">
        <v>2017.6286706773924</v>
      </c>
      <c r="V11" s="84">
        <v>2006.254621357441</v>
      </c>
      <c r="W11" s="84">
        <v>1580.8984232815794</v>
      </c>
      <c r="X11" s="84">
        <v>1711.7675223787912</v>
      </c>
      <c r="Y11" s="84">
        <v>1655.9854070938179</v>
      </c>
      <c r="DA11" s="171" t="s">
        <v>1033</v>
      </c>
    </row>
    <row r="12" spans="1:105" ht="11.45" customHeight="1" x14ac:dyDescent="0.25">
      <c r="A12" s="85" t="s">
        <v>93</v>
      </c>
      <c r="B12" s="86">
        <v>885.83541130671392</v>
      </c>
      <c r="C12" s="86">
        <v>938.33781872061536</v>
      </c>
      <c r="D12" s="86">
        <v>855.88628575378902</v>
      </c>
      <c r="E12" s="86">
        <v>885.99022812209</v>
      </c>
      <c r="F12" s="86">
        <v>1058.9223652249764</v>
      </c>
      <c r="G12" s="86">
        <v>883.25966478323426</v>
      </c>
      <c r="H12" s="86">
        <v>850.67131864432463</v>
      </c>
      <c r="I12" s="86">
        <v>784.50326067688673</v>
      </c>
      <c r="J12" s="86">
        <v>828.46817282945017</v>
      </c>
      <c r="K12" s="86">
        <v>774.06320575036273</v>
      </c>
      <c r="L12" s="86">
        <v>1008.3662257633459</v>
      </c>
      <c r="M12" s="86">
        <v>1159.3656657360507</v>
      </c>
      <c r="N12" s="86">
        <v>999.42301479387265</v>
      </c>
      <c r="O12" s="86">
        <v>1080.2900257431477</v>
      </c>
      <c r="P12" s="86">
        <v>1071.4278697958532</v>
      </c>
      <c r="Q12" s="86">
        <v>1012.0209271424346</v>
      </c>
      <c r="R12" s="86">
        <v>885.90791776062747</v>
      </c>
      <c r="S12" s="86">
        <v>760.05406683711453</v>
      </c>
      <c r="T12" s="86">
        <v>645.32628750401045</v>
      </c>
      <c r="U12" s="86">
        <v>507.37132932260761</v>
      </c>
      <c r="V12" s="86">
        <v>443.74537864255899</v>
      </c>
      <c r="W12" s="86">
        <v>405.10157671842057</v>
      </c>
      <c r="X12" s="86">
        <v>499.23247762120877</v>
      </c>
      <c r="Y12" s="86">
        <v>250.01459290618209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46.18577916199925</v>
      </c>
      <c r="C14" s="62">
        <f t="shared" ref="C14:V14" si="10">C15+C21</f>
        <v>45.373328588182915</v>
      </c>
      <c r="D14" s="62">
        <f t="shared" si="10"/>
        <v>47.796082899242428</v>
      </c>
      <c r="E14" s="62">
        <f t="shared" si="10"/>
        <v>49.759768005353507</v>
      </c>
      <c r="F14" s="62">
        <f t="shared" si="10"/>
        <v>51.645900966136452</v>
      </c>
      <c r="G14" s="62">
        <f t="shared" si="10"/>
        <v>56.232144382164286</v>
      </c>
      <c r="H14" s="62">
        <f t="shared" si="10"/>
        <v>56.782214797928688</v>
      </c>
      <c r="I14" s="62">
        <f t="shared" si="10"/>
        <v>55.615660344449346</v>
      </c>
      <c r="J14" s="62">
        <f t="shared" si="10"/>
        <v>59.624857391717143</v>
      </c>
      <c r="K14" s="62">
        <f t="shared" si="10"/>
        <v>61.961576902030323</v>
      </c>
      <c r="L14" s="62">
        <f t="shared" si="10"/>
        <v>64.586080495015523</v>
      </c>
      <c r="M14" s="62">
        <f t="shared" si="10"/>
        <v>66.10018605624451</v>
      </c>
      <c r="N14" s="62">
        <f t="shared" si="10"/>
        <v>65.86384447864323</v>
      </c>
      <c r="O14" s="62">
        <f t="shared" si="10"/>
        <v>67.349767637434383</v>
      </c>
      <c r="P14" s="62">
        <f t="shared" si="10"/>
        <v>69.557947607743813</v>
      </c>
      <c r="Q14" s="62">
        <f t="shared" si="10"/>
        <v>70.778553342392229</v>
      </c>
      <c r="R14" s="62">
        <f t="shared" si="10"/>
        <v>73.762654004523611</v>
      </c>
      <c r="S14" s="62">
        <f t="shared" si="10"/>
        <v>72.739388026722665</v>
      </c>
      <c r="T14" s="62">
        <f t="shared" si="10"/>
        <v>70.041441923203791</v>
      </c>
      <c r="U14" s="62">
        <f t="shared" si="10"/>
        <v>72.536678969006203</v>
      </c>
      <c r="V14" s="62">
        <f t="shared" si="10"/>
        <v>69.434939560745704</v>
      </c>
      <c r="W14" s="62">
        <f t="shared" ref="W14:Y14" si="11">W15+W21</f>
        <v>70.505288696701768</v>
      </c>
      <c r="X14" s="62">
        <f t="shared" si="11"/>
        <v>73.914591374293749</v>
      </c>
      <c r="Y14" s="62">
        <f t="shared" si="11"/>
        <v>72.955800872394533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42.549986100717717</v>
      </c>
      <c r="C15" s="29">
        <f t="shared" ref="C15:V15" si="13">SUM(C16,C17,C20)</f>
        <v>41.745054480679819</v>
      </c>
      <c r="D15" s="29">
        <f t="shared" si="13"/>
        <v>44.4809111597027</v>
      </c>
      <c r="E15" s="29">
        <f t="shared" si="13"/>
        <v>46.335795547941181</v>
      </c>
      <c r="F15" s="29">
        <f t="shared" si="13"/>
        <v>47.611716929199417</v>
      </c>
      <c r="G15" s="29">
        <f t="shared" si="13"/>
        <v>52.427594295334593</v>
      </c>
      <c r="H15" s="29">
        <f t="shared" si="13"/>
        <v>53.344439174338333</v>
      </c>
      <c r="I15" s="29">
        <f t="shared" si="13"/>
        <v>52.462542555483829</v>
      </c>
      <c r="J15" s="29">
        <f t="shared" si="13"/>
        <v>55.91018494916203</v>
      </c>
      <c r="K15" s="29">
        <f t="shared" si="13"/>
        <v>58.762557092552115</v>
      </c>
      <c r="L15" s="29">
        <f t="shared" si="13"/>
        <v>60.484232661618265</v>
      </c>
      <c r="M15" s="29">
        <f t="shared" si="13"/>
        <v>61.458080743808978</v>
      </c>
      <c r="N15" s="29">
        <f t="shared" si="13"/>
        <v>61.893334095953279</v>
      </c>
      <c r="O15" s="29">
        <f t="shared" si="13"/>
        <v>63.215855863424622</v>
      </c>
      <c r="P15" s="29">
        <f t="shared" si="13"/>
        <v>65.276119295560051</v>
      </c>
      <c r="Q15" s="29">
        <f t="shared" si="13"/>
        <v>65.986705912956396</v>
      </c>
      <c r="R15" s="29">
        <f t="shared" si="13"/>
        <v>68.63543583603311</v>
      </c>
      <c r="S15" s="29">
        <f t="shared" si="13"/>
        <v>68.299514790883265</v>
      </c>
      <c r="T15" s="29">
        <f t="shared" si="13"/>
        <v>65.769885577049166</v>
      </c>
      <c r="U15" s="29">
        <f t="shared" si="13"/>
        <v>68.750260604299456</v>
      </c>
      <c r="V15" s="29">
        <f t="shared" si="13"/>
        <v>66.533782268182946</v>
      </c>
      <c r="W15" s="29">
        <f t="shared" ref="W15:Y15" si="14">SUM(W16,W17,W20)</f>
        <v>67.946036722765001</v>
      </c>
      <c r="X15" s="29">
        <f t="shared" si="14"/>
        <v>71.249067740459822</v>
      </c>
      <c r="Y15" s="29">
        <f t="shared" si="14"/>
        <v>70.657778512866102</v>
      </c>
      <c r="DA15" s="173" t="s">
        <v>1036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0.10908413559359734</v>
      </c>
      <c r="E16" s="115">
        <v>0.83780320579399981</v>
      </c>
      <c r="F16" s="115">
        <v>1.600579258830328</v>
      </c>
      <c r="G16" s="115">
        <v>2.0490644496682515</v>
      </c>
      <c r="H16" s="115">
        <v>2.0736759447282331</v>
      </c>
      <c r="I16" s="115">
        <v>2.2226043872962733</v>
      </c>
      <c r="J16" s="115">
        <v>2.4597349286155095</v>
      </c>
      <c r="K16" s="115">
        <v>2.7275202060646624</v>
      </c>
      <c r="L16" s="115">
        <v>3.0176847117873717</v>
      </c>
      <c r="M16" s="115">
        <v>3.5186271166982253</v>
      </c>
      <c r="N16" s="115">
        <v>3.4404009999056515</v>
      </c>
      <c r="O16" s="115">
        <v>3.5761700618923729</v>
      </c>
      <c r="P16" s="115">
        <v>3.7199073631106692</v>
      </c>
      <c r="Q16" s="115">
        <v>3.7960060940310467</v>
      </c>
      <c r="R16" s="115">
        <v>4.0527779980175804</v>
      </c>
      <c r="S16" s="115">
        <v>4.292317483827282</v>
      </c>
      <c r="T16" s="115">
        <v>4.4465141954294101</v>
      </c>
      <c r="U16" s="115">
        <v>5.0817519990452329</v>
      </c>
      <c r="V16" s="115">
        <v>4.7199510712943313</v>
      </c>
      <c r="W16" s="115">
        <v>5.2316390605686109</v>
      </c>
      <c r="X16" s="115">
        <v>6.3796991513033516</v>
      </c>
      <c r="Y16" s="115">
        <v>6.482078151771403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42.549986100717717</v>
      </c>
      <c r="C17" s="116">
        <f t="shared" ref="C17:V17" si="16">SUM(C18:C19)</f>
        <v>41.745054480679819</v>
      </c>
      <c r="D17" s="116">
        <f t="shared" si="16"/>
        <v>44.371827024109102</v>
      </c>
      <c r="E17" s="116">
        <f t="shared" si="16"/>
        <v>45.497992342147178</v>
      </c>
      <c r="F17" s="116">
        <f t="shared" si="16"/>
        <v>46.011137670369088</v>
      </c>
      <c r="G17" s="116">
        <f t="shared" si="16"/>
        <v>50.378529845666343</v>
      </c>
      <c r="H17" s="116">
        <f t="shared" si="16"/>
        <v>51.270763229610104</v>
      </c>
      <c r="I17" s="116">
        <f t="shared" si="16"/>
        <v>50.239938168187557</v>
      </c>
      <c r="J17" s="116">
        <f t="shared" si="16"/>
        <v>53.450450020546519</v>
      </c>
      <c r="K17" s="116">
        <f t="shared" si="16"/>
        <v>56.035036886487454</v>
      </c>
      <c r="L17" s="116">
        <f t="shared" si="16"/>
        <v>57.46654794983089</v>
      </c>
      <c r="M17" s="116">
        <f t="shared" si="16"/>
        <v>57.939453627110751</v>
      </c>
      <c r="N17" s="116">
        <f t="shared" si="16"/>
        <v>58.45293309604763</v>
      </c>
      <c r="O17" s="116">
        <f t="shared" si="16"/>
        <v>59.639685801532252</v>
      </c>
      <c r="P17" s="116">
        <f t="shared" si="16"/>
        <v>61.556211932449379</v>
      </c>
      <c r="Q17" s="116">
        <f t="shared" si="16"/>
        <v>62.190699818925346</v>
      </c>
      <c r="R17" s="116">
        <f t="shared" si="16"/>
        <v>64.582657838015535</v>
      </c>
      <c r="S17" s="116">
        <f t="shared" si="16"/>
        <v>64.007197307055989</v>
      </c>
      <c r="T17" s="116">
        <f t="shared" si="16"/>
        <v>61.323371381619758</v>
      </c>
      <c r="U17" s="116">
        <f t="shared" si="16"/>
        <v>63.668508605254218</v>
      </c>
      <c r="V17" s="116">
        <f t="shared" si="16"/>
        <v>61.813831196888621</v>
      </c>
      <c r="W17" s="116">
        <f t="shared" ref="W17:Y17" si="17">SUM(W18:W19)</f>
        <v>62.714397662196383</v>
      </c>
      <c r="X17" s="116">
        <f t="shared" si="17"/>
        <v>64.869368589156466</v>
      </c>
      <c r="Y17" s="116">
        <f t="shared" si="17"/>
        <v>64.175700361094698</v>
      </c>
      <c r="DA17" s="176" t="s">
        <v>1038</v>
      </c>
    </row>
    <row r="18" spans="1:105" ht="11.45" customHeight="1" x14ac:dyDescent="0.25">
      <c r="A18" s="111" t="s">
        <v>92</v>
      </c>
      <c r="B18" s="87">
        <v>23.649889405758394</v>
      </c>
      <c r="C18" s="87">
        <v>22.571872495505719</v>
      </c>
      <c r="D18" s="87">
        <v>23.67172925688029</v>
      </c>
      <c r="E18" s="87">
        <v>25.768467724150863</v>
      </c>
      <c r="F18" s="87">
        <v>25.774636640729856</v>
      </c>
      <c r="G18" s="87">
        <v>29.551714430961997</v>
      </c>
      <c r="H18" s="87">
        <v>29.562464570075182</v>
      </c>
      <c r="I18" s="87">
        <v>29.74313590473918</v>
      </c>
      <c r="J18" s="87">
        <v>31.774361957499227</v>
      </c>
      <c r="K18" s="87">
        <v>32.234408236048154</v>
      </c>
      <c r="L18" s="87">
        <v>33.631589423077685</v>
      </c>
      <c r="M18" s="87">
        <v>34.295906028543655</v>
      </c>
      <c r="N18" s="87">
        <v>35.69301233998597</v>
      </c>
      <c r="O18" s="87">
        <v>35.982870024192401</v>
      </c>
      <c r="P18" s="87">
        <v>38.318947708332132</v>
      </c>
      <c r="Q18" s="87">
        <v>38.111427849957579</v>
      </c>
      <c r="R18" s="87">
        <v>39.012431850223464</v>
      </c>
      <c r="S18" s="87">
        <v>37.968910272395981</v>
      </c>
      <c r="T18" s="87">
        <v>35.24303340674134</v>
      </c>
      <c r="U18" s="87">
        <v>36.135881081120047</v>
      </c>
      <c r="V18" s="87">
        <v>32.777348171360579</v>
      </c>
      <c r="W18" s="87">
        <v>31.650941322601998</v>
      </c>
      <c r="X18" s="87">
        <v>30.988772054543045</v>
      </c>
      <c r="Y18" s="87">
        <v>30.287666317219809</v>
      </c>
      <c r="DA18" s="171" t="s">
        <v>1039</v>
      </c>
    </row>
    <row r="19" spans="1:105" ht="11.45" customHeight="1" x14ac:dyDescent="0.25">
      <c r="A19" s="111" t="s">
        <v>93</v>
      </c>
      <c r="B19" s="87">
        <v>18.900096694959323</v>
      </c>
      <c r="C19" s="87">
        <v>19.1731819851741</v>
      </c>
      <c r="D19" s="87">
        <v>20.700097767228812</v>
      </c>
      <c r="E19" s="87">
        <v>19.729524617996315</v>
      </c>
      <c r="F19" s="87">
        <v>20.236501029639232</v>
      </c>
      <c r="G19" s="87">
        <v>20.826815414704345</v>
      </c>
      <c r="H19" s="87">
        <v>21.708298659534922</v>
      </c>
      <c r="I19" s="87">
        <v>20.496802263448377</v>
      </c>
      <c r="J19" s="87">
        <v>21.676088063047292</v>
      </c>
      <c r="K19" s="87">
        <v>23.8006286504393</v>
      </c>
      <c r="L19" s="87">
        <v>23.834958526753205</v>
      </c>
      <c r="M19" s="87">
        <v>23.643547598567096</v>
      </c>
      <c r="N19" s="87">
        <v>22.759920756061661</v>
      </c>
      <c r="O19" s="87">
        <v>23.656815777339851</v>
      </c>
      <c r="P19" s="87">
        <v>23.237264224117247</v>
      </c>
      <c r="Q19" s="87">
        <v>24.079271968967767</v>
      </c>
      <c r="R19" s="87">
        <v>25.570225987792071</v>
      </c>
      <c r="S19" s="87">
        <v>26.038287034660009</v>
      </c>
      <c r="T19" s="87">
        <v>26.080337974878418</v>
      </c>
      <c r="U19" s="87">
        <v>27.53262752413417</v>
      </c>
      <c r="V19" s="87">
        <v>29.036483025528042</v>
      </c>
      <c r="W19" s="87">
        <v>31.063456339594385</v>
      </c>
      <c r="X19" s="87">
        <v>33.880596534613417</v>
      </c>
      <c r="Y19" s="87">
        <v>33.888034043874889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3.6357930612815341</v>
      </c>
      <c r="C21" s="29">
        <f t="shared" ref="C21:V21" si="19">SUM(C22:C23)</f>
        <v>3.6282741075030964</v>
      </c>
      <c r="D21" s="29">
        <f t="shared" si="19"/>
        <v>3.3151717395397311</v>
      </c>
      <c r="E21" s="29">
        <f t="shared" si="19"/>
        <v>3.4239724574123236</v>
      </c>
      <c r="F21" s="29">
        <f t="shared" si="19"/>
        <v>4.0341840369370328</v>
      </c>
      <c r="G21" s="29">
        <f t="shared" si="19"/>
        <v>3.804550086829694</v>
      </c>
      <c r="H21" s="29">
        <f t="shared" si="19"/>
        <v>3.437775623590352</v>
      </c>
      <c r="I21" s="29">
        <f t="shared" si="19"/>
        <v>3.1531177889655182</v>
      </c>
      <c r="J21" s="29">
        <f t="shared" si="19"/>
        <v>3.7146724425551119</v>
      </c>
      <c r="K21" s="29">
        <f t="shared" si="19"/>
        <v>3.1990198094782105</v>
      </c>
      <c r="L21" s="29">
        <f t="shared" si="19"/>
        <v>4.1018478333972617</v>
      </c>
      <c r="M21" s="29">
        <f t="shared" si="19"/>
        <v>4.6421053124355316</v>
      </c>
      <c r="N21" s="29">
        <f t="shared" si="19"/>
        <v>3.970510382689957</v>
      </c>
      <c r="O21" s="29">
        <f t="shared" si="19"/>
        <v>4.1339117740097597</v>
      </c>
      <c r="P21" s="29">
        <f t="shared" si="19"/>
        <v>4.2818283121837606</v>
      </c>
      <c r="Q21" s="29">
        <f t="shared" si="19"/>
        <v>4.7918474294358306</v>
      </c>
      <c r="R21" s="29">
        <f t="shared" si="19"/>
        <v>5.1272181684904945</v>
      </c>
      <c r="S21" s="29">
        <f t="shared" si="19"/>
        <v>4.4398732358393991</v>
      </c>
      <c r="T21" s="29">
        <f t="shared" si="19"/>
        <v>4.2715563461546227</v>
      </c>
      <c r="U21" s="29">
        <f t="shared" si="19"/>
        <v>3.7864183647067424</v>
      </c>
      <c r="V21" s="29">
        <f t="shared" si="19"/>
        <v>2.901157292562762</v>
      </c>
      <c r="W21" s="29">
        <f t="shared" ref="W21:Y21" si="20">SUM(W22:W23)</f>
        <v>2.5592519739367714</v>
      </c>
      <c r="X21" s="29">
        <f t="shared" si="20"/>
        <v>2.6655236338339248</v>
      </c>
      <c r="Y21" s="29">
        <f t="shared" si="20"/>
        <v>2.2980223595284253</v>
      </c>
      <c r="DA21" s="173" t="s">
        <v>1042</v>
      </c>
    </row>
    <row r="22" spans="1:105" ht="11.45" customHeight="1" x14ac:dyDescent="0.25">
      <c r="A22" s="83" t="s">
        <v>92</v>
      </c>
      <c r="B22" s="87">
        <v>1.9554616332882206</v>
      </c>
      <c r="C22" s="87">
        <v>1.8503789737171386</v>
      </c>
      <c r="D22" s="87">
        <v>1.6673535326137632</v>
      </c>
      <c r="E22" s="87">
        <v>1.587806917355385</v>
      </c>
      <c r="F22" s="87">
        <v>1.7950823387479853</v>
      </c>
      <c r="G22" s="87">
        <v>1.6409690824887564</v>
      </c>
      <c r="H22" s="87">
        <v>1.6599946664318317</v>
      </c>
      <c r="I22" s="87">
        <v>1.4971999408526939</v>
      </c>
      <c r="J22" s="87">
        <v>1.5172899873879517</v>
      </c>
      <c r="K22" s="87">
        <v>1.4781342037698024</v>
      </c>
      <c r="L22" s="87">
        <v>1.93969840269765</v>
      </c>
      <c r="M22" s="87">
        <v>2.2814063580431583</v>
      </c>
      <c r="N22" s="87">
        <v>1.8653046602973156</v>
      </c>
      <c r="O22" s="87">
        <v>1.9948597402970536</v>
      </c>
      <c r="P22" s="87">
        <v>2.2566437973099149</v>
      </c>
      <c r="Q22" s="87">
        <v>2.5991610082516492</v>
      </c>
      <c r="R22" s="87">
        <v>2.8358816374000551</v>
      </c>
      <c r="S22" s="87">
        <v>2.8815110667905368</v>
      </c>
      <c r="T22" s="87">
        <v>2.8006638052815807</v>
      </c>
      <c r="U22" s="87">
        <v>2.7939973331684422</v>
      </c>
      <c r="V22" s="87">
        <v>2.2678000678762094</v>
      </c>
      <c r="W22" s="87">
        <v>1.9461110397186741</v>
      </c>
      <c r="X22" s="87">
        <v>2.0002964401810437</v>
      </c>
      <c r="Y22" s="87">
        <v>1.9555096053125489</v>
      </c>
      <c r="DA22" s="171" t="s">
        <v>1043</v>
      </c>
    </row>
    <row r="23" spans="1:105" ht="11.45" customHeight="1" x14ac:dyDescent="0.25">
      <c r="A23" s="85" t="s">
        <v>93</v>
      </c>
      <c r="B23" s="88">
        <v>1.6803314279933135</v>
      </c>
      <c r="C23" s="88">
        <v>1.7778951337859576</v>
      </c>
      <c r="D23" s="88">
        <v>1.6478182069259679</v>
      </c>
      <c r="E23" s="88">
        <v>1.8361655400569385</v>
      </c>
      <c r="F23" s="88">
        <v>2.2391016981890477</v>
      </c>
      <c r="G23" s="88">
        <v>2.1635810043409376</v>
      </c>
      <c r="H23" s="88">
        <v>1.7777809571585204</v>
      </c>
      <c r="I23" s="88">
        <v>1.6559178481128243</v>
      </c>
      <c r="J23" s="88">
        <v>2.1973824551671601</v>
      </c>
      <c r="K23" s="88">
        <v>1.7208856057084081</v>
      </c>
      <c r="L23" s="88">
        <v>2.1621494306996114</v>
      </c>
      <c r="M23" s="88">
        <v>2.3606989543923733</v>
      </c>
      <c r="N23" s="88">
        <v>2.1052057223926415</v>
      </c>
      <c r="O23" s="88">
        <v>2.1390520337127059</v>
      </c>
      <c r="P23" s="88">
        <v>2.0251845148738457</v>
      </c>
      <c r="Q23" s="88">
        <v>2.1926864211841814</v>
      </c>
      <c r="R23" s="88">
        <v>2.2913365310904394</v>
      </c>
      <c r="S23" s="88">
        <v>1.5583621690488623</v>
      </c>
      <c r="T23" s="88">
        <v>1.470892540873042</v>
      </c>
      <c r="U23" s="88">
        <v>0.99242103153830019</v>
      </c>
      <c r="V23" s="88">
        <v>0.63335722468655264</v>
      </c>
      <c r="W23" s="88">
        <v>0.61314093421809734</v>
      </c>
      <c r="X23" s="88">
        <v>0.66522719365288108</v>
      </c>
      <c r="Y23" s="88">
        <v>0.34251275421587635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301.84554199999997</v>
      </c>
      <c r="C25" s="62">
        <f t="shared" ref="C25:V25" si="22">C26+C32</f>
        <v>296.44173499999999</v>
      </c>
      <c r="D25" s="62">
        <f t="shared" si="22"/>
        <v>313.37971499999998</v>
      </c>
      <c r="E25" s="62">
        <f t="shared" si="22"/>
        <v>328.05620600000003</v>
      </c>
      <c r="F25" s="62">
        <f t="shared" si="22"/>
        <v>341.46256</v>
      </c>
      <c r="G25" s="62">
        <f t="shared" si="22"/>
        <v>373.50747799999999</v>
      </c>
      <c r="H25" s="62">
        <f t="shared" si="22"/>
        <v>378.93440500000003</v>
      </c>
      <c r="I25" s="62">
        <f t="shared" si="22"/>
        <v>371.76199300000002</v>
      </c>
      <c r="J25" s="62">
        <f t="shared" si="22"/>
        <v>397.27092399999992</v>
      </c>
      <c r="K25" s="62">
        <f t="shared" si="22"/>
        <v>415.89997199999999</v>
      </c>
      <c r="L25" s="62">
        <f t="shared" si="22"/>
        <v>431.05305999999996</v>
      </c>
      <c r="M25" s="62">
        <f t="shared" si="22"/>
        <v>441.461072</v>
      </c>
      <c r="N25" s="62">
        <f t="shared" si="22"/>
        <v>443.06637400000005</v>
      </c>
      <c r="O25" s="62">
        <f t="shared" si="22"/>
        <v>450.77810399999993</v>
      </c>
      <c r="P25" s="62">
        <f t="shared" si="22"/>
        <v>465.60122899999999</v>
      </c>
      <c r="Q25" s="62">
        <f t="shared" si="22"/>
        <v>473.07305199999996</v>
      </c>
      <c r="R25" s="62">
        <f t="shared" si="22"/>
        <v>493.03058300000004</v>
      </c>
      <c r="S25" s="62">
        <f t="shared" si="22"/>
        <v>490.759793</v>
      </c>
      <c r="T25" s="62">
        <f t="shared" si="22"/>
        <v>475.430926</v>
      </c>
      <c r="U25" s="62">
        <f t="shared" si="22"/>
        <v>493.56064600000002</v>
      </c>
      <c r="V25" s="62">
        <f t="shared" si="22"/>
        <v>486.00186099999996</v>
      </c>
      <c r="W25" s="62">
        <f t="shared" ref="W25:Y25" si="23">W26+W32</f>
        <v>484.92672599999997</v>
      </c>
      <c r="X25" s="62">
        <f t="shared" si="23"/>
        <v>507.91221399999995</v>
      </c>
      <c r="Y25" s="62">
        <f t="shared" si="23"/>
        <v>502.40058199999999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283.66657499999997</v>
      </c>
      <c r="C26" s="29">
        <f t="shared" ref="C26:V26" si="25">SUM(C27,C28,C31)</f>
        <v>278.300364</v>
      </c>
      <c r="D26" s="29">
        <f t="shared" si="25"/>
        <v>296.803855</v>
      </c>
      <c r="E26" s="29">
        <f t="shared" si="25"/>
        <v>310.93634300000002</v>
      </c>
      <c r="F26" s="29">
        <f t="shared" si="25"/>
        <v>321.29163899999998</v>
      </c>
      <c r="G26" s="29">
        <f t="shared" si="25"/>
        <v>354.48472599999997</v>
      </c>
      <c r="H26" s="29">
        <f t="shared" si="25"/>
        <v>360.65669000000003</v>
      </c>
      <c r="I26" s="29">
        <f t="shared" si="25"/>
        <v>355.138417</v>
      </c>
      <c r="J26" s="29">
        <f t="shared" si="25"/>
        <v>378.69756099999995</v>
      </c>
      <c r="K26" s="29">
        <f t="shared" si="25"/>
        <v>398.36255199999999</v>
      </c>
      <c r="L26" s="29">
        <f t="shared" si="25"/>
        <v>410.54381899999998</v>
      </c>
      <c r="M26" s="29">
        <f t="shared" si="25"/>
        <v>418.25054499999999</v>
      </c>
      <c r="N26" s="29">
        <f t="shared" si="25"/>
        <v>421.67374200000006</v>
      </c>
      <c r="O26" s="29">
        <f t="shared" si="25"/>
        <v>430.10854399999994</v>
      </c>
      <c r="P26" s="29">
        <f t="shared" si="25"/>
        <v>444.19208700000001</v>
      </c>
      <c r="Q26" s="29">
        <f t="shared" si="25"/>
        <v>449.11381299999999</v>
      </c>
      <c r="R26" s="29">
        <f t="shared" si="25"/>
        <v>467.39449100000002</v>
      </c>
      <c r="S26" s="29">
        <f t="shared" si="25"/>
        <v>465.73571900000002</v>
      </c>
      <c r="T26" s="29">
        <f t="shared" si="25"/>
        <v>451.651253</v>
      </c>
      <c r="U26" s="29">
        <f t="shared" si="25"/>
        <v>470.654471</v>
      </c>
      <c r="V26" s="29">
        <f t="shared" si="25"/>
        <v>464.91358099999997</v>
      </c>
      <c r="W26" s="29">
        <f t="shared" ref="W26:Y26" si="26">SUM(W27,W28,W31)</f>
        <v>465.656341</v>
      </c>
      <c r="X26" s="29">
        <f t="shared" si="26"/>
        <v>490.45972399999994</v>
      </c>
      <c r="Y26" s="29">
        <f t="shared" si="26"/>
        <v>486.765987</v>
      </c>
      <c r="DA26" s="173" t="s">
        <v>1046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0.99167400000000006</v>
      </c>
      <c r="E27" s="115">
        <v>7.6163930000000004</v>
      </c>
      <c r="F27" s="115">
        <v>14.550720999999999</v>
      </c>
      <c r="G27" s="115">
        <v>18.627859000000001</v>
      </c>
      <c r="H27" s="115">
        <v>18.851600000000001</v>
      </c>
      <c r="I27" s="115">
        <v>20.205495000000003</v>
      </c>
      <c r="J27" s="115">
        <v>22.361227</v>
      </c>
      <c r="K27" s="115">
        <v>24.795639000000001</v>
      </c>
      <c r="L27" s="115">
        <v>27.433498</v>
      </c>
      <c r="M27" s="115">
        <v>31.98752</v>
      </c>
      <c r="N27" s="115">
        <v>31.98752</v>
      </c>
      <c r="O27" s="115">
        <v>32.510636999999996</v>
      </c>
      <c r="P27" s="115">
        <v>33.817339999999994</v>
      </c>
      <c r="Q27" s="115">
        <v>34.509146999999999</v>
      </c>
      <c r="R27" s="115">
        <v>36.843436999999994</v>
      </c>
      <c r="S27" s="115">
        <v>39.021068999999997</v>
      </c>
      <c r="T27" s="115">
        <v>40.422857</v>
      </c>
      <c r="U27" s="115">
        <v>46.197745999999995</v>
      </c>
      <c r="V27" s="115">
        <v>46.197746000000002</v>
      </c>
      <c r="W27" s="115">
        <v>47.560355999999999</v>
      </c>
      <c r="X27" s="115">
        <v>57.997265999999996</v>
      </c>
      <c r="Y27" s="115">
        <v>58.927983999999995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283.66657499999997</v>
      </c>
      <c r="C28" s="116">
        <f t="shared" ref="C28:V28" si="28">SUM(C29:C30)</f>
        <v>278.300364</v>
      </c>
      <c r="D28" s="116">
        <f t="shared" si="28"/>
        <v>295.81218100000001</v>
      </c>
      <c r="E28" s="116">
        <f t="shared" si="28"/>
        <v>303.31995000000001</v>
      </c>
      <c r="F28" s="116">
        <f t="shared" si="28"/>
        <v>306.74091799999997</v>
      </c>
      <c r="G28" s="116">
        <f t="shared" si="28"/>
        <v>335.85686699999997</v>
      </c>
      <c r="H28" s="116">
        <f t="shared" si="28"/>
        <v>341.80509000000001</v>
      </c>
      <c r="I28" s="116">
        <f t="shared" si="28"/>
        <v>334.93292200000002</v>
      </c>
      <c r="J28" s="116">
        <f t="shared" si="28"/>
        <v>356.33633399999997</v>
      </c>
      <c r="K28" s="116">
        <f t="shared" si="28"/>
        <v>373.566913</v>
      </c>
      <c r="L28" s="116">
        <f t="shared" si="28"/>
        <v>383.110321</v>
      </c>
      <c r="M28" s="116">
        <f t="shared" si="28"/>
        <v>386.26302499999997</v>
      </c>
      <c r="N28" s="116">
        <f t="shared" si="28"/>
        <v>389.68622200000004</v>
      </c>
      <c r="O28" s="116">
        <f t="shared" si="28"/>
        <v>397.59790699999996</v>
      </c>
      <c r="P28" s="116">
        <f t="shared" si="28"/>
        <v>410.37474700000001</v>
      </c>
      <c r="Q28" s="116">
        <f t="shared" si="28"/>
        <v>414.60466600000001</v>
      </c>
      <c r="R28" s="116">
        <f t="shared" si="28"/>
        <v>430.55105400000002</v>
      </c>
      <c r="S28" s="116">
        <f t="shared" si="28"/>
        <v>426.71465000000001</v>
      </c>
      <c r="T28" s="116">
        <f t="shared" si="28"/>
        <v>411.22839599999998</v>
      </c>
      <c r="U28" s="116">
        <f t="shared" si="28"/>
        <v>424.45672500000001</v>
      </c>
      <c r="V28" s="116">
        <f t="shared" si="28"/>
        <v>418.71583499999997</v>
      </c>
      <c r="W28" s="116">
        <f t="shared" ref="W28:Y28" si="29">SUM(W29:W30)</f>
        <v>418.09598499999998</v>
      </c>
      <c r="X28" s="116">
        <f t="shared" si="29"/>
        <v>432.46245799999997</v>
      </c>
      <c r="Y28" s="116">
        <f t="shared" si="29"/>
        <v>427.83800300000001</v>
      </c>
      <c r="DA28" s="176" t="s">
        <v>1048</v>
      </c>
    </row>
    <row r="29" spans="1:105" ht="11.45" customHeight="1" x14ac:dyDescent="0.25">
      <c r="A29" s="111" t="s">
        <v>92</v>
      </c>
      <c r="B29" s="87">
        <v>157.66593</v>
      </c>
      <c r="C29" s="87">
        <v>150.47915</v>
      </c>
      <c r="D29" s="87">
        <v>157.81152900000001</v>
      </c>
      <c r="E29" s="87">
        <v>171.78978499999999</v>
      </c>
      <c r="F29" s="87">
        <v>171.83091099999999</v>
      </c>
      <c r="G29" s="87">
        <v>197.01142999999999</v>
      </c>
      <c r="H29" s="87">
        <v>197.08309800000001</v>
      </c>
      <c r="I29" s="87">
        <v>198.28757300000001</v>
      </c>
      <c r="J29" s="87">
        <v>211.82908</v>
      </c>
      <c r="K29" s="87">
        <v>214.89605499999999</v>
      </c>
      <c r="L29" s="87">
        <v>224.21059700000001</v>
      </c>
      <c r="M29" s="87">
        <v>228.639374</v>
      </c>
      <c r="N29" s="87">
        <v>237.953416</v>
      </c>
      <c r="O29" s="87">
        <v>239.88580099999999</v>
      </c>
      <c r="P29" s="87">
        <v>255.45965200000001</v>
      </c>
      <c r="Q29" s="87">
        <v>254.07618600000001</v>
      </c>
      <c r="R29" s="87">
        <v>260.08287999999999</v>
      </c>
      <c r="S29" s="87">
        <v>253.126069</v>
      </c>
      <c r="T29" s="87">
        <v>237.359476</v>
      </c>
      <c r="U29" s="87">
        <v>240.90587400000001</v>
      </c>
      <c r="V29" s="87">
        <v>225.13928100000001</v>
      </c>
      <c r="W29" s="87">
        <v>211.00627599999999</v>
      </c>
      <c r="X29" s="87">
        <v>206.591814</v>
      </c>
      <c r="Y29" s="87">
        <v>201.917776</v>
      </c>
      <c r="DA29" s="171" t="s">
        <v>1049</v>
      </c>
    </row>
    <row r="30" spans="1:105" ht="11.45" customHeight="1" x14ac:dyDescent="0.25">
      <c r="A30" s="111" t="s">
        <v>93</v>
      </c>
      <c r="B30" s="87">
        <v>126.00064499999999</v>
      </c>
      <c r="C30" s="87">
        <v>127.821214</v>
      </c>
      <c r="D30" s="87">
        <v>138.000652</v>
      </c>
      <c r="E30" s="87">
        <v>131.53016500000001</v>
      </c>
      <c r="F30" s="87">
        <v>134.91000700000001</v>
      </c>
      <c r="G30" s="87">
        <v>138.845437</v>
      </c>
      <c r="H30" s="87">
        <v>144.721992</v>
      </c>
      <c r="I30" s="87">
        <v>136.64534900000001</v>
      </c>
      <c r="J30" s="87">
        <v>144.50725399999999</v>
      </c>
      <c r="K30" s="87">
        <v>158.67085800000001</v>
      </c>
      <c r="L30" s="87">
        <v>158.89972399999999</v>
      </c>
      <c r="M30" s="87">
        <v>157.623651</v>
      </c>
      <c r="N30" s="87">
        <v>151.73280600000001</v>
      </c>
      <c r="O30" s="87">
        <v>157.71210600000001</v>
      </c>
      <c r="P30" s="87">
        <v>154.91509500000001</v>
      </c>
      <c r="Q30" s="87">
        <v>160.52848</v>
      </c>
      <c r="R30" s="87">
        <v>170.468174</v>
      </c>
      <c r="S30" s="87">
        <v>173.588581</v>
      </c>
      <c r="T30" s="87">
        <v>173.86892</v>
      </c>
      <c r="U30" s="87">
        <v>183.55085099999999</v>
      </c>
      <c r="V30" s="87">
        <v>193.57655399999999</v>
      </c>
      <c r="W30" s="87">
        <v>207.089709</v>
      </c>
      <c r="X30" s="87">
        <v>225.870644</v>
      </c>
      <c r="Y30" s="87">
        <v>225.92022700000001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18.178967</v>
      </c>
      <c r="C32" s="29">
        <f t="shared" ref="C32:V32" si="31">SUM(C33:C34)</f>
        <v>18.141370999999999</v>
      </c>
      <c r="D32" s="29">
        <f t="shared" si="31"/>
        <v>16.575859999999999</v>
      </c>
      <c r="E32" s="29">
        <f t="shared" si="31"/>
        <v>17.119863000000002</v>
      </c>
      <c r="F32" s="29">
        <f t="shared" si="31"/>
        <v>20.170921</v>
      </c>
      <c r="G32" s="29">
        <f t="shared" si="31"/>
        <v>19.022751999999997</v>
      </c>
      <c r="H32" s="29">
        <f t="shared" si="31"/>
        <v>18.277715000000001</v>
      </c>
      <c r="I32" s="29">
        <f t="shared" si="31"/>
        <v>16.623576</v>
      </c>
      <c r="J32" s="29">
        <f t="shared" si="31"/>
        <v>18.573363000000001</v>
      </c>
      <c r="K32" s="29">
        <f t="shared" si="31"/>
        <v>17.537419999999997</v>
      </c>
      <c r="L32" s="29">
        <f t="shared" si="31"/>
        <v>20.509240999999996</v>
      </c>
      <c r="M32" s="29">
        <f t="shared" si="31"/>
        <v>23.210526999999999</v>
      </c>
      <c r="N32" s="29">
        <f t="shared" si="31"/>
        <v>21.392631999999999</v>
      </c>
      <c r="O32" s="29">
        <f t="shared" si="31"/>
        <v>20.669559999999997</v>
      </c>
      <c r="P32" s="29">
        <f t="shared" si="31"/>
        <v>21.409141999999996</v>
      </c>
      <c r="Q32" s="29">
        <f t="shared" si="31"/>
        <v>23.959238999999997</v>
      </c>
      <c r="R32" s="29">
        <f t="shared" si="31"/>
        <v>25.636091999999998</v>
      </c>
      <c r="S32" s="29">
        <f t="shared" si="31"/>
        <v>25.024073999999999</v>
      </c>
      <c r="T32" s="29">
        <f t="shared" si="31"/>
        <v>23.779672999999995</v>
      </c>
      <c r="U32" s="29">
        <f t="shared" si="31"/>
        <v>22.906174999999998</v>
      </c>
      <c r="V32" s="29">
        <f t="shared" si="31"/>
        <v>21.088279999999997</v>
      </c>
      <c r="W32" s="29">
        <f t="shared" ref="W32:Y32" si="32">SUM(W33:W34)</f>
        <v>19.270384999999997</v>
      </c>
      <c r="X32" s="29">
        <f t="shared" si="32"/>
        <v>17.452490000000001</v>
      </c>
      <c r="Y32" s="29">
        <f t="shared" si="32"/>
        <v>15.634594999999999</v>
      </c>
      <c r="DA32" s="173" t="s">
        <v>1052</v>
      </c>
    </row>
    <row r="33" spans="1:105" ht="11.45" customHeight="1" x14ac:dyDescent="0.25">
      <c r="A33" s="83" t="s">
        <v>92</v>
      </c>
      <c r="B33" s="87">
        <v>9.7773089999999989</v>
      </c>
      <c r="C33" s="87">
        <v>9.2518949999999993</v>
      </c>
      <c r="D33" s="87">
        <v>8.3367679999999993</v>
      </c>
      <c r="E33" s="87">
        <v>7.9390350000000005</v>
      </c>
      <c r="F33" s="87">
        <v>8.9754119999999986</v>
      </c>
      <c r="G33" s="87">
        <v>8.2048459999999999</v>
      </c>
      <c r="H33" s="87">
        <v>8.2999739999999989</v>
      </c>
      <c r="I33" s="87">
        <v>7.4859999999999998</v>
      </c>
      <c r="J33" s="87">
        <v>7.5864500000000001</v>
      </c>
      <c r="K33" s="87">
        <v>7.3906720000000004</v>
      </c>
      <c r="L33" s="87">
        <v>9.6984929999999991</v>
      </c>
      <c r="M33" s="87">
        <v>11.407031999999999</v>
      </c>
      <c r="N33" s="87">
        <v>10.429302</v>
      </c>
      <c r="O33" s="87">
        <v>9.9742989999999985</v>
      </c>
      <c r="P33" s="87">
        <v>11.283218999999999</v>
      </c>
      <c r="Q33" s="87">
        <v>12.995806</v>
      </c>
      <c r="R33" s="87">
        <v>14.179409</v>
      </c>
      <c r="S33" s="87">
        <v>14.407556</v>
      </c>
      <c r="T33" s="87">
        <v>14.003319999999999</v>
      </c>
      <c r="U33" s="87">
        <v>13.969987</v>
      </c>
      <c r="V33" s="87">
        <v>12.992256999999999</v>
      </c>
      <c r="W33" s="87">
        <v>12.014526999999999</v>
      </c>
      <c r="X33" s="87">
        <v>11.036797</v>
      </c>
      <c r="Y33" s="87">
        <v>10.059066999999999</v>
      </c>
      <c r="DA33" s="171" t="s">
        <v>1053</v>
      </c>
    </row>
    <row r="34" spans="1:105" ht="11.45" customHeight="1" x14ac:dyDescent="0.25">
      <c r="A34" s="85" t="s">
        <v>93</v>
      </c>
      <c r="B34" s="88">
        <v>8.4016579999999994</v>
      </c>
      <c r="C34" s="88">
        <v>8.8894759999999984</v>
      </c>
      <c r="D34" s="88">
        <v>8.2390919999999994</v>
      </c>
      <c r="E34" s="88">
        <v>9.180828</v>
      </c>
      <c r="F34" s="88">
        <v>11.195508999999999</v>
      </c>
      <c r="G34" s="88">
        <v>10.817905999999999</v>
      </c>
      <c r="H34" s="88">
        <v>9.977741</v>
      </c>
      <c r="I34" s="88">
        <v>9.1375759999999993</v>
      </c>
      <c r="J34" s="88">
        <v>10.986912999999999</v>
      </c>
      <c r="K34" s="88">
        <v>10.146747999999999</v>
      </c>
      <c r="L34" s="88">
        <v>10.810747999999998</v>
      </c>
      <c r="M34" s="88">
        <v>11.803495</v>
      </c>
      <c r="N34" s="88">
        <v>10.963329999999999</v>
      </c>
      <c r="O34" s="88">
        <v>10.695260999999999</v>
      </c>
      <c r="P34" s="88">
        <v>10.125922999999998</v>
      </c>
      <c r="Q34" s="88">
        <v>10.963432999999998</v>
      </c>
      <c r="R34" s="88">
        <v>11.456683</v>
      </c>
      <c r="S34" s="88">
        <v>10.616517999999999</v>
      </c>
      <c r="T34" s="88">
        <v>9.7763529999999985</v>
      </c>
      <c r="U34" s="88">
        <v>8.9361879999999996</v>
      </c>
      <c r="V34" s="88">
        <v>8.0960229999999989</v>
      </c>
      <c r="W34" s="88">
        <v>7.2558579999999999</v>
      </c>
      <c r="X34" s="88">
        <v>6.4156930000000001</v>
      </c>
      <c r="Y34" s="88">
        <v>5.5755280000000003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6.2567380000000163</v>
      </c>
      <c r="D36" s="54">
        <f t="shared" ref="D36:V36" si="34">D37+D43</f>
        <v>27.171498000000025</v>
      </c>
      <c r="E36" s="54">
        <f t="shared" si="34"/>
        <v>26.856998999999991</v>
      </c>
      <c r="F36" s="54">
        <f t="shared" si="34"/>
        <v>22.740753000000002</v>
      </c>
      <c r="G36" s="54">
        <f t="shared" si="34"/>
        <v>41.861094000000023</v>
      </c>
      <c r="H36" s="54">
        <f t="shared" si="34"/>
        <v>15.305175000000029</v>
      </c>
      <c r="I36" s="54">
        <f t="shared" si="34"/>
        <v>7.5743420000000086</v>
      </c>
      <c r="J36" s="54">
        <f t="shared" si="34"/>
        <v>34.843329999999995</v>
      </c>
      <c r="K36" s="54">
        <f t="shared" si="34"/>
        <v>28.507296000000025</v>
      </c>
      <c r="L36" s="54">
        <f t="shared" si="34"/>
        <v>24.487487000000012</v>
      </c>
      <c r="M36" s="54">
        <f t="shared" si="34"/>
        <v>19.742411000000018</v>
      </c>
      <c r="N36" s="54">
        <f t="shared" si="34"/>
        <v>14.330014000000006</v>
      </c>
      <c r="O36" s="54">
        <f t="shared" si="34"/>
        <v>17.131055999999987</v>
      </c>
      <c r="P36" s="54">
        <f t="shared" si="34"/>
        <v>24.430546000000007</v>
      </c>
      <c r="Q36" s="54">
        <f t="shared" si="34"/>
        <v>16.806221999999988</v>
      </c>
      <c r="R36" s="54">
        <f t="shared" si="34"/>
        <v>29.291929999999969</v>
      </c>
      <c r="S36" s="54">
        <f t="shared" si="34"/>
        <v>9.548297000000014</v>
      </c>
      <c r="T36" s="54">
        <f t="shared" si="34"/>
        <v>5.3341620000000134</v>
      </c>
      <c r="U36" s="54">
        <f t="shared" si="34"/>
        <v>28.007968000000012</v>
      </c>
      <c r="V36" s="54">
        <f t="shared" si="34"/>
        <v>13.677738000000012</v>
      </c>
      <c r="W36" s="54">
        <f t="shared" ref="W36:Y36" si="35">W37+W43</f>
        <v>18.52780000000002</v>
      </c>
      <c r="X36" s="54">
        <f t="shared" si="35"/>
        <v>33.471390000000028</v>
      </c>
      <c r="Y36" s="54">
        <f t="shared" si="35"/>
        <v>4.9742700000000326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5.4726040000000182</v>
      </c>
      <c r="D37" s="28">
        <f t="shared" ref="D37:V37" si="37">SUM(D38,D39,D42)</f>
        <v>27.171498000000025</v>
      </c>
      <c r="E37" s="28">
        <f t="shared" si="37"/>
        <v>25.618946999999991</v>
      </c>
      <c r="F37" s="28">
        <f t="shared" si="37"/>
        <v>19.023303000000006</v>
      </c>
      <c r="G37" s="28">
        <f t="shared" si="37"/>
        <v>41.861094000000023</v>
      </c>
      <c r="H37" s="28">
        <f t="shared" si="37"/>
        <v>14.83997100000003</v>
      </c>
      <c r="I37" s="28">
        <f t="shared" si="37"/>
        <v>7.5743420000000086</v>
      </c>
      <c r="J37" s="28">
        <f t="shared" si="37"/>
        <v>32.227150999999992</v>
      </c>
      <c r="K37" s="28">
        <f t="shared" si="37"/>
        <v>28.332998000000025</v>
      </c>
      <c r="L37" s="28">
        <f t="shared" si="37"/>
        <v>20.849274000000015</v>
      </c>
      <c r="M37" s="28">
        <f t="shared" si="37"/>
        <v>16.374733000000017</v>
      </c>
      <c r="N37" s="28">
        <f t="shared" si="37"/>
        <v>14.330014000000006</v>
      </c>
      <c r="O37" s="28">
        <f t="shared" si="37"/>
        <v>17.10280899999999</v>
      </c>
      <c r="P37" s="28">
        <f t="shared" si="37"/>
        <v>22.751550000000009</v>
      </c>
      <c r="Q37" s="28">
        <f t="shared" si="37"/>
        <v>13.589732999999988</v>
      </c>
      <c r="R37" s="28">
        <f t="shared" si="37"/>
        <v>26.948684999999969</v>
      </c>
      <c r="S37" s="28">
        <f t="shared" si="37"/>
        <v>8.950074000000015</v>
      </c>
      <c r="T37" s="28">
        <f t="shared" si="37"/>
        <v>5.3341620000000134</v>
      </c>
      <c r="U37" s="28">
        <f t="shared" si="37"/>
        <v>27.671225000000014</v>
      </c>
      <c r="V37" s="28">
        <f t="shared" si="37"/>
        <v>13.677738000000012</v>
      </c>
      <c r="W37" s="28">
        <f t="shared" ref="W37:Y37" si="38">SUM(W38,W39,W42)</f>
        <v>18.52780000000002</v>
      </c>
      <c r="X37" s="28">
        <f t="shared" si="38"/>
        <v>33.471390000000028</v>
      </c>
      <c r="Y37" s="28">
        <f t="shared" si="38"/>
        <v>4.9742700000000326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0.99167400000000006</v>
      </c>
      <c r="E38" s="108">
        <v>6.6247190000000007</v>
      </c>
      <c r="F38" s="108">
        <v>6.9343279999999989</v>
      </c>
      <c r="G38" s="108">
        <v>4.0771380000000015</v>
      </c>
      <c r="H38" s="108">
        <v>0.22374100000000041</v>
      </c>
      <c r="I38" s="108">
        <v>1.3538950000000014</v>
      </c>
      <c r="J38" s="108">
        <v>2.1557319999999969</v>
      </c>
      <c r="K38" s="108">
        <v>2.4344120000000018</v>
      </c>
      <c r="L38" s="108">
        <v>2.6378589999999988</v>
      </c>
      <c r="M38" s="108">
        <v>4.5540219999999998</v>
      </c>
      <c r="N38" s="108">
        <v>0</v>
      </c>
      <c r="O38" s="108">
        <v>0.52311699999999561</v>
      </c>
      <c r="P38" s="108">
        <v>1.3067029999999988</v>
      </c>
      <c r="Q38" s="108">
        <v>0.69180700000000428</v>
      </c>
      <c r="R38" s="108">
        <v>2.3342899999999958</v>
      </c>
      <c r="S38" s="108">
        <v>2.1776320000000027</v>
      </c>
      <c r="T38" s="108">
        <v>1.4017880000000034</v>
      </c>
      <c r="U38" s="108">
        <v>5.7748889999999946</v>
      </c>
      <c r="V38" s="108">
        <v>7.1054273576010019E-15</v>
      </c>
      <c r="W38" s="108">
        <v>1.3626099999999965</v>
      </c>
      <c r="X38" s="108">
        <v>10.436909999999997</v>
      </c>
      <c r="Y38" s="108">
        <v>0.93071799999999882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5.4726040000000182</v>
      </c>
      <c r="D39" s="110">
        <f t="shared" ref="D39:V39" si="40">SUM(D40:D41)</f>
        <v>26.179824000000025</v>
      </c>
      <c r="E39" s="110">
        <f t="shared" si="40"/>
        <v>18.994227999999993</v>
      </c>
      <c r="F39" s="110">
        <f t="shared" si="40"/>
        <v>12.088975000000005</v>
      </c>
      <c r="G39" s="110">
        <f t="shared" si="40"/>
        <v>37.783956000000018</v>
      </c>
      <c r="H39" s="110">
        <f t="shared" si="40"/>
        <v>14.61623000000003</v>
      </c>
      <c r="I39" s="110">
        <f t="shared" si="40"/>
        <v>6.2204470000000072</v>
      </c>
      <c r="J39" s="110">
        <f t="shared" si="40"/>
        <v>30.071418999999992</v>
      </c>
      <c r="K39" s="110">
        <f t="shared" si="40"/>
        <v>25.898586000000023</v>
      </c>
      <c r="L39" s="110">
        <f t="shared" si="40"/>
        <v>18.211415000000017</v>
      </c>
      <c r="M39" s="110">
        <f t="shared" si="40"/>
        <v>11.820711000000017</v>
      </c>
      <c r="N39" s="110">
        <f t="shared" si="40"/>
        <v>14.330014000000006</v>
      </c>
      <c r="O39" s="110">
        <f t="shared" si="40"/>
        <v>16.579691999999994</v>
      </c>
      <c r="P39" s="110">
        <f t="shared" si="40"/>
        <v>21.44484700000001</v>
      </c>
      <c r="Q39" s="110">
        <f t="shared" si="40"/>
        <v>12.897925999999984</v>
      </c>
      <c r="R39" s="110">
        <f t="shared" si="40"/>
        <v>24.614394999999973</v>
      </c>
      <c r="S39" s="110">
        <f t="shared" si="40"/>
        <v>6.7724420000000123</v>
      </c>
      <c r="T39" s="110">
        <f t="shared" si="40"/>
        <v>3.93237400000001</v>
      </c>
      <c r="U39" s="110">
        <f t="shared" si="40"/>
        <v>21.896336000000019</v>
      </c>
      <c r="V39" s="110">
        <f t="shared" si="40"/>
        <v>13.677738000000005</v>
      </c>
      <c r="W39" s="110">
        <f t="shared" ref="W39:Y39" si="41">SUM(W40:W41)</f>
        <v>17.165190000000024</v>
      </c>
      <c r="X39" s="110">
        <f t="shared" si="41"/>
        <v>23.03448000000003</v>
      </c>
      <c r="Y39" s="110">
        <f t="shared" si="41"/>
        <v>4.0435520000000338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12.348351000000008</v>
      </c>
      <c r="E40" s="84">
        <v>18.994227999999993</v>
      </c>
      <c r="F40" s="84">
        <v>5.0570979999999963</v>
      </c>
      <c r="G40" s="84">
        <v>30.196491000000009</v>
      </c>
      <c r="H40" s="84">
        <v>5.0876400000000217</v>
      </c>
      <c r="I40" s="84">
        <v>6.2204470000000072</v>
      </c>
      <c r="J40" s="84">
        <v>18.557479000000001</v>
      </c>
      <c r="K40" s="84">
        <v>8.0829469999999901</v>
      </c>
      <c r="L40" s="84">
        <v>14.330514000000022</v>
      </c>
      <c r="M40" s="84">
        <v>9.4447490000000016</v>
      </c>
      <c r="N40" s="84">
        <v>14.330014000000006</v>
      </c>
      <c r="O40" s="84">
        <v>6.9483569999999872</v>
      </c>
      <c r="P40" s="84">
        <v>20.589822999999996</v>
      </c>
      <c r="Q40" s="84">
        <v>3.632505999999978</v>
      </c>
      <c r="R40" s="84">
        <v>11.022665999999958</v>
      </c>
      <c r="S40" s="84">
        <v>0</v>
      </c>
      <c r="T40" s="84">
        <v>0</v>
      </c>
      <c r="U40" s="84">
        <v>8.5623700000000156</v>
      </c>
      <c r="V40" s="84">
        <v>0</v>
      </c>
      <c r="W40" s="84">
        <v>0</v>
      </c>
      <c r="X40" s="84">
        <v>0.60151000000001886</v>
      </c>
      <c r="Y40" s="84">
        <v>0.34193400000000906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5.4726040000000182</v>
      </c>
      <c r="D41" s="84">
        <v>13.831473000000017</v>
      </c>
      <c r="E41" s="84">
        <v>0</v>
      </c>
      <c r="F41" s="84">
        <v>7.0318770000000086</v>
      </c>
      <c r="G41" s="84">
        <v>7.5874650000000088</v>
      </c>
      <c r="H41" s="84">
        <v>9.5285900000000083</v>
      </c>
      <c r="I41" s="84">
        <v>0</v>
      </c>
      <c r="J41" s="84">
        <v>11.513939999999991</v>
      </c>
      <c r="K41" s="84">
        <v>17.815639000000033</v>
      </c>
      <c r="L41" s="84">
        <v>3.8809009999999944</v>
      </c>
      <c r="M41" s="84">
        <v>2.3759620000000155</v>
      </c>
      <c r="N41" s="84">
        <v>0</v>
      </c>
      <c r="O41" s="84">
        <v>9.6313350000000071</v>
      </c>
      <c r="P41" s="84">
        <v>0.85502400000001444</v>
      </c>
      <c r="Q41" s="84">
        <v>9.265420000000006</v>
      </c>
      <c r="R41" s="84">
        <v>13.591729000000015</v>
      </c>
      <c r="S41" s="84">
        <v>6.7724420000000123</v>
      </c>
      <c r="T41" s="84">
        <v>3.93237400000001</v>
      </c>
      <c r="U41" s="84">
        <v>13.333966000000004</v>
      </c>
      <c r="V41" s="84">
        <v>13.677738000000005</v>
      </c>
      <c r="W41" s="84">
        <v>17.165190000000024</v>
      </c>
      <c r="X41" s="84">
        <v>22.432970000000012</v>
      </c>
      <c r="Y41" s="84">
        <v>3.7016180000000247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0.78413399999999811</v>
      </c>
      <c r="D43" s="28">
        <f t="shared" ref="D43:V43" si="43">SUM(D44:D45)</f>
        <v>0</v>
      </c>
      <c r="E43" s="28">
        <f t="shared" si="43"/>
        <v>1.2380519999999997</v>
      </c>
      <c r="F43" s="28">
        <f t="shared" si="43"/>
        <v>3.7174499999999959</v>
      </c>
      <c r="G43" s="28">
        <f t="shared" si="43"/>
        <v>0</v>
      </c>
      <c r="H43" s="28">
        <f t="shared" si="43"/>
        <v>0.46520399999999817</v>
      </c>
      <c r="I43" s="28">
        <f t="shared" si="43"/>
        <v>0</v>
      </c>
      <c r="J43" s="28">
        <f t="shared" si="43"/>
        <v>2.6161789999999998</v>
      </c>
      <c r="K43" s="28">
        <f t="shared" si="43"/>
        <v>0.17429800000000029</v>
      </c>
      <c r="L43" s="28">
        <f t="shared" si="43"/>
        <v>3.6382129999999968</v>
      </c>
      <c r="M43" s="28">
        <f t="shared" si="43"/>
        <v>3.3676779999999997</v>
      </c>
      <c r="N43" s="28">
        <f t="shared" si="43"/>
        <v>0</v>
      </c>
      <c r="O43" s="28">
        <f t="shared" si="43"/>
        <v>2.8246999999998579E-2</v>
      </c>
      <c r="P43" s="28">
        <f t="shared" si="43"/>
        <v>1.6789959999999997</v>
      </c>
      <c r="Q43" s="28">
        <f t="shared" si="43"/>
        <v>3.2164889999999993</v>
      </c>
      <c r="R43" s="28">
        <f t="shared" si="43"/>
        <v>2.3432449999999996</v>
      </c>
      <c r="S43" s="28">
        <f t="shared" si="43"/>
        <v>0.59822299999999906</v>
      </c>
      <c r="T43" s="28">
        <f t="shared" si="43"/>
        <v>0</v>
      </c>
      <c r="U43" s="28">
        <f t="shared" si="43"/>
        <v>0.33674300000000024</v>
      </c>
      <c r="V43" s="28">
        <f t="shared" si="43"/>
        <v>0</v>
      </c>
      <c r="W43" s="28">
        <f t="shared" ref="W43:Y43" si="44">SUM(W44:W45)</f>
        <v>0</v>
      </c>
      <c r="X43" s="28">
        <f t="shared" si="44"/>
        <v>0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1.4064529999999973</v>
      </c>
      <c r="G44" s="84">
        <v>0</v>
      </c>
      <c r="H44" s="84">
        <v>0.46520399999999817</v>
      </c>
      <c r="I44" s="84">
        <v>0</v>
      </c>
      <c r="J44" s="84">
        <v>0.47052600000000044</v>
      </c>
      <c r="K44" s="84">
        <v>0.17429800000000029</v>
      </c>
      <c r="L44" s="84">
        <v>2.677896999999998</v>
      </c>
      <c r="M44" s="84">
        <v>2.0786149999999992</v>
      </c>
      <c r="N44" s="84">
        <v>0</v>
      </c>
      <c r="O44" s="84">
        <v>0</v>
      </c>
      <c r="P44" s="84">
        <v>1.6789959999999997</v>
      </c>
      <c r="Q44" s="84">
        <v>2.0826630000000002</v>
      </c>
      <c r="R44" s="84">
        <v>1.5536789999999989</v>
      </c>
      <c r="S44" s="84">
        <v>0.59822299999999906</v>
      </c>
      <c r="T44" s="84">
        <v>0</v>
      </c>
      <c r="U44" s="84">
        <v>0.33674300000000024</v>
      </c>
      <c r="V44" s="84">
        <v>0</v>
      </c>
      <c r="W44" s="84">
        <v>0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0.78413399999999811</v>
      </c>
      <c r="D45" s="86">
        <v>0</v>
      </c>
      <c r="E45" s="86">
        <v>1.2380519999999997</v>
      </c>
      <c r="F45" s="86">
        <v>2.3109969999999986</v>
      </c>
      <c r="G45" s="86">
        <v>0</v>
      </c>
      <c r="H45" s="86">
        <v>0</v>
      </c>
      <c r="I45" s="86">
        <v>0</v>
      </c>
      <c r="J45" s="86">
        <v>2.1456529999999994</v>
      </c>
      <c r="K45" s="86">
        <v>0</v>
      </c>
      <c r="L45" s="86">
        <v>0.96031599999999884</v>
      </c>
      <c r="M45" s="86">
        <v>1.2890630000000005</v>
      </c>
      <c r="N45" s="86">
        <v>0</v>
      </c>
      <c r="O45" s="86">
        <v>2.8246999999998579E-2</v>
      </c>
      <c r="P45" s="86">
        <v>0</v>
      </c>
      <c r="Q45" s="86">
        <v>1.1338259999999991</v>
      </c>
      <c r="R45" s="86">
        <v>0.78956600000000066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130.12930220220693</v>
      </c>
      <c r="C50" s="29">
        <f t="shared" si="45"/>
        <v>137.0461740000305</v>
      </c>
      <c r="D50" s="29">
        <f t="shared" si="45"/>
        <v>129.35886091319131</v>
      </c>
      <c r="E50" s="29">
        <f t="shared" si="45"/>
        <v>127.18029183081202</v>
      </c>
      <c r="F50" s="29">
        <f t="shared" si="45"/>
        <v>127.57363925842641</v>
      </c>
      <c r="G50" s="29">
        <f t="shared" si="45"/>
        <v>117.03760362214499</v>
      </c>
      <c r="H50" s="29">
        <f t="shared" si="45"/>
        <v>117.61300891167951</v>
      </c>
      <c r="I50" s="29">
        <f t="shared" si="45"/>
        <v>121.09592273918358</v>
      </c>
      <c r="J50" s="29">
        <f t="shared" si="45"/>
        <v>115.81074192273881</v>
      </c>
      <c r="K50" s="29">
        <f t="shared" ref="K50:V50" si="46">IF(K4=0,0,K4/K15)</f>
        <v>108.35130932052289</v>
      </c>
      <c r="L50" s="29">
        <f t="shared" si="46"/>
        <v>108.73908307302698</v>
      </c>
      <c r="M50" s="29">
        <f t="shared" si="46"/>
        <v>108.08993576762788</v>
      </c>
      <c r="N50" s="29">
        <f t="shared" si="46"/>
        <v>109.72102406814776</v>
      </c>
      <c r="O50" s="29">
        <f t="shared" si="46"/>
        <v>108.12160820485843</v>
      </c>
      <c r="P50" s="29">
        <f t="shared" si="46"/>
        <v>104.29541574269209</v>
      </c>
      <c r="Q50" s="29">
        <f t="shared" si="46"/>
        <v>103.18745125695179</v>
      </c>
      <c r="R50" s="29">
        <f t="shared" si="46"/>
        <v>96.932436123720549</v>
      </c>
      <c r="S50" s="29">
        <f t="shared" si="46"/>
        <v>96.940659392265289</v>
      </c>
      <c r="T50" s="29">
        <f t="shared" si="46"/>
        <v>99.346379314366359</v>
      </c>
      <c r="U50" s="29">
        <f t="shared" si="46"/>
        <v>95.621455718363919</v>
      </c>
      <c r="V50" s="29">
        <f t="shared" si="46"/>
        <v>63.561695364827408</v>
      </c>
      <c r="W50" s="29">
        <f t="shared" ref="W50:Y50" si="47">IF(W4=0,0,W4/W15)</f>
        <v>66.405639204681904</v>
      </c>
      <c r="X50" s="29">
        <f t="shared" si="47"/>
        <v>88.478350663670255</v>
      </c>
      <c r="Y50" s="29">
        <f t="shared" si="47"/>
        <v>92.983393170274468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82.505122775417149</v>
      </c>
      <c r="E51" s="115">
        <f t="shared" si="48"/>
        <v>79.971047540338546</v>
      </c>
      <c r="F51" s="115">
        <f t="shared" si="48"/>
        <v>79.971047540338546</v>
      </c>
      <c r="G51" s="115">
        <f t="shared" si="48"/>
        <v>79.060470755923845</v>
      </c>
      <c r="H51" s="115">
        <f t="shared" si="48"/>
        <v>79.086609659009724</v>
      </c>
      <c r="I51" s="115">
        <f t="shared" si="48"/>
        <v>79.636304603589309</v>
      </c>
      <c r="J51" s="115">
        <f t="shared" si="48"/>
        <v>79.276834967643453</v>
      </c>
      <c r="K51" s="115">
        <f t="shared" ref="K51:V51" si="49">IF(K5=0,0,K5/K16)</f>
        <v>78.826180470430913</v>
      </c>
      <c r="L51" s="115">
        <f t="shared" si="49"/>
        <v>79.199791504540755</v>
      </c>
      <c r="M51" s="115">
        <f t="shared" si="49"/>
        <v>79.008087751243991</v>
      </c>
      <c r="N51" s="115">
        <f t="shared" si="49"/>
        <v>79.641878957573283</v>
      </c>
      <c r="O51" s="115">
        <f t="shared" si="49"/>
        <v>79.414567843487291</v>
      </c>
      <c r="P51" s="115">
        <f t="shared" si="49"/>
        <v>79.303050104267768</v>
      </c>
      <c r="Q51" s="115">
        <f t="shared" si="49"/>
        <v>79.557301152617697</v>
      </c>
      <c r="R51" s="115">
        <f t="shared" si="49"/>
        <v>79.204930582681158</v>
      </c>
      <c r="S51" s="115">
        <f t="shared" si="49"/>
        <v>79.444263217907263</v>
      </c>
      <c r="T51" s="115">
        <f t="shared" si="49"/>
        <v>79.163134205626108</v>
      </c>
      <c r="U51" s="115">
        <f t="shared" si="49"/>
        <v>78.713010803193981</v>
      </c>
      <c r="V51" s="115">
        <f t="shared" si="49"/>
        <v>61.22944827916379</v>
      </c>
      <c r="W51" s="115">
        <f t="shared" ref="W51:Y51" si="50">IF(W5=0,0,W5/W16)</f>
        <v>63.268890718165217</v>
      </c>
      <c r="X51" s="115">
        <f t="shared" si="50"/>
        <v>75.552152001012303</v>
      </c>
      <c r="Y51" s="115">
        <f t="shared" si="50"/>
        <v>83.152345186196754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130.12930220220693</v>
      </c>
      <c r="C52" s="116">
        <f t="shared" si="51"/>
        <v>137.0461740000305</v>
      </c>
      <c r="D52" s="116">
        <f t="shared" si="51"/>
        <v>129.47404660345623</v>
      </c>
      <c r="E52" s="116">
        <f t="shared" si="51"/>
        <v>128.04960614939202</v>
      </c>
      <c r="F52" s="116">
        <f t="shared" si="51"/>
        <v>129.22958007685148</v>
      </c>
      <c r="G52" s="116">
        <f t="shared" si="51"/>
        <v>118.58226149713448</v>
      </c>
      <c r="H52" s="116">
        <f t="shared" si="51"/>
        <v>119.1712316166834</v>
      </c>
      <c r="I52" s="116">
        <f t="shared" si="51"/>
        <v>122.93008759932565</v>
      </c>
      <c r="J52" s="116">
        <f t="shared" si="51"/>
        <v>117.4919948772358</v>
      </c>
      <c r="K52" s="116">
        <f t="shared" ref="K52:V52" si="52">IF(K6=0,0,K6/K17)</f>
        <v>109.78845275791228</v>
      </c>
      <c r="L52" s="116">
        <f t="shared" si="52"/>
        <v>110.29025104367089</v>
      </c>
      <c r="M52" s="116">
        <f t="shared" si="52"/>
        <v>109.85605837714907</v>
      </c>
      <c r="N52" s="116">
        <f t="shared" si="52"/>
        <v>111.49141120585881</v>
      </c>
      <c r="O52" s="116">
        <f t="shared" si="52"/>
        <v>109.842966339566</v>
      </c>
      <c r="P52" s="116">
        <f t="shared" si="52"/>
        <v>105.80573098206958</v>
      </c>
      <c r="Q52" s="116">
        <f t="shared" si="52"/>
        <v>104.62979221886557</v>
      </c>
      <c r="R52" s="116">
        <f t="shared" si="52"/>
        <v>98.044896446995878</v>
      </c>
      <c r="S52" s="116">
        <f t="shared" si="52"/>
        <v>98.113966307156346</v>
      </c>
      <c r="T52" s="116">
        <f t="shared" si="52"/>
        <v>100.80985211215751</v>
      </c>
      <c r="U52" s="116">
        <f t="shared" si="52"/>
        <v>96.971016523708755</v>
      </c>
      <c r="V52" s="116">
        <f t="shared" si="52"/>
        <v>63.739779976593951</v>
      </c>
      <c r="W52" s="116">
        <f t="shared" ref="W52:Y52" si="53">IF(W6=0,0,W6/W17)</f>
        <v>66.667306963872278</v>
      </c>
      <c r="X52" s="116">
        <f t="shared" si="53"/>
        <v>89.749601801630646</v>
      </c>
      <c r="Y52" s="116">
        <f t="shared" si="53"/>
        <v>93.976379939223534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115.96625212618197</v>
      </c>
      <c r="C53" s="87">
        <f t="shared" si="54"/>
        <v>122.79169758619737</v>
      </c>
      <c r="D53" s="87">
        <f t="shared" si="54"/>
        <v>116.13608322967175</v>
      </c>
      <c r="E53" s="87">
        <f t="shared" si="54"/>
        <v>111.65473432895449</v>
      </c>
      <c r="F53" s="87">
        <f t="shared" si="54"/>
        <v>112.92871265067738</v>
      </c>
      <c r="G53" s="87">
        <f t="shared" si="54"/>
        <v>111.54031517191541</v>
      </c>
      <c r="H53" s="87">
        <f t="shared" si="54"/>
        <v>116.52383916539792</v>
      </c>
      <c r="I53" s="87">
        <f t="shared" si="54"/>
        <v>116.2893808094684</v>
      </c>
      <c r="J53" s="87">
        <f t="shared" si="54"/>
        <v>112.27740474563024</v>
      </c>
      <c r="K53" s="87">
        <f t="shared" ref="K53:V53" si="55">IF(K7=0,0,K7/K18)</f>
        <v>106.34206510157625</v>
      </c>
      <c r="L53" s="87">
        <f t="shared" si="55"/>
        <v>104.52984927434284</v>
      </c>
      <c r="M53" s="87">
        <f t="shared" si="55"/>
        <v>104.98365266237664</v>
      </c>
      <c r="N53" s="87">
        <f t="shared" si="55"/>
        <v>104.23389600425361</v>
      </c>
      <c r="O53" s="87">
        <f t="shared" si="55"/>
        <v>105.43787737454605</v>
      </c>
      <c r="P53" s="87">
        <f t="shared" si="55"/>
        <v>99.483970165124745</v>
      </c>
      <c r="Q53" s="87">
        <f t="shared" si="55"/>
        <v>98.59663701315398</v>
      </c>
      <c r="R53" s="87">
        <f t="shared" si="55"/>
        <v>93.24326365195914</v>
      </c>
      <c r="S53" s="87">
        <f t="shared" si="55"/>
        <v>94.99456198314391</v>
      </c>
      <c r="T53" s="87">
        <f t="shared" si="55"/>
        <v>87.918232323448677</v>
      </c>
      <c r="U53" s="87">
        <f t="shared" si="55"/>
        <v>85.568704879839501</v>
      </c>
      <c r="V53" s="87">
        <f t="shared" si="55"/>
        <v>59.74531523737047</v>
      </c>
      <c r="W53" s="87">
        <f t="shared" ref="W53:Y53" si="56">IF(W7=0,0,W7/W18)</f>
        <v>59.73229821681764</v>
      </c>
      <c r="X53" s="87">
        <f t="shared" si="56"/>
        <v>81.065913461839173</v>
      </c>
      <c r="Y53" s="87">
        <f t="shared" si="56"/>
        <v>85.727032579241623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147.85167544464335</v>
      </c>
      <c r="C54" s="87">
        <f t="shared" si="57"/>
        <v>153.82743776480532</v>
      </c>
      <c r="D54" s="87">
        <f t="shared" si="57"/>
        <v>144.72675996610812</v>
      </c>
      <c r="E54" s="87">
        <f t="shared" si="57"/>
        <v>149.46272853963845</v>
      </c>
      <c r="F54" s="87">
        <f t="shared" si="57"/>
        <v>149.99151585927646</v>
      </c>
      <c r="G54" s="87">
        <f t="shared" si="57"/>
        <v>128.57426376427466</v>
      </c>
      <c r="H54" s="87">
        <f t="shared" si="57"/>
        <v>122.7764632735565</v>
      </c>
      <c r="I54" s="87">
        <f t="shared" si="57"/>
        <v>132.56649048869119</v>
      </c>
      <c r="J54" s="87">
        <f t="shared" si="57"/>
        <v>125.13591447286166</v>
      </c>
      <c r="K54" s="87">
        <f t="shared" ref="K54:V54" si="58">IF(K8=0,0,K8/K19)</f>
        <v>114.45607176435237</v>
      </c>
      <c r="L54" s="87">
        <f t="shared" si="58"/>
        <v>118.41828982337175</v>
      </c>
      <c r="M54" s="87">
        <f t="shared" si="58"/>
        <v>116.92367662818097</v>
      </c>
      <c r="N54" s="87">
        <f t="shared" si="58"/>
        <v>122.87293500046776</v>
      </c>
      <c r="O54" s="87">
        <f t="shared" si="58"/>
        <v>116.54326553305035</v>
      </c>
      <c r="P54" s="87">
        <f t="shared" si="58"/>
        <v>116.23050473481088</v>
      </c>
      <c r="Q54" s="87">
        <f t="shared" si="58"/>
        <v>114.17875863389671</v>
      </c>
      <c r="R54" s="87">
        <f t="shared" si="58"/>
        <v>105.37073597127704</v>
      </c>
      <c r="S54" s="87">
        <f t="shared" si="58"/>
        <v>102.66266733054142</v>
      </c>
      <c r="T54" s="87">
        <f t="shared" si="58"/>
        <v>118.23063045169093</v>
      </c>
      <c r="U54" s="87">
        <f t="shared" si="58"/>
        <v>111.93626374726402</v>
      </c>
      <c r="V54" s="87">
        <f t="shared" si="58"/>
        <v>68.248864682225943</v>
      </c>
      <c r="W54" s="87">
        <f t="shared" ref="W54:Y54" si="59">IF(W8=0,0,W8/W19)</f>
        <v>73.733473475580666</v>
      </c>
      <c r="X54" s="87">
        <f t="shared" si="59"/>
        <v>97.692107721783927</v>
      </c>
      <c r="Y54" s="87">
        <f t="shared" si="59"/>
        <v>101.34929156491667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556.96239193718952</v>
      </c>
      <c r="C56" s="29">
        <f t="shared" si="63"/>
        <v>576.30706447341242</v>
      </c>
      <c r="D56" s="29">
        <f t="shared" si="63"/>
        <v>566.18484575420439</v>
      </c>
      <c r="E56" s="29">
        <f t="shared" si="63"/>
        <v>579.73597179580383</v>
      </c>
      <c r="F56" s="29">
        <f t="shared" si="63"/>
        <v>575.3331971840895</v>
      </c>
      <c r="G56" s="29">
        <f t="shared" si="63"/>
        <v>519.37810119529468</v>
      </c>
      <c r="H56" s="29">
        <f t="shared" si="63"/>
        <v>550.3558716912504</v>
      </c>
      <c r="I56" s="29">
        <f t="shared" si="63"/>
        <v>564.20347068089018</v>
      </c>
      <c r="J56" s="29">
        <f t="shared" si="63"/>
        <v>502.33231297144596</v>
      </c>
      <c r="K56" s="29">
        <f t="shared" ref="K56:V56" si="64">IF(K10=0,0,K10/K21)</f>
        <v>531.41277680218104</v>
      </c>
      <c r="L56" s="29">
        <f t="shared" si="64"/>
        <v>545.8515505548628</v>
      </c>
      <c r="M56" s="29">
        <f t="shared" si="64"/>
        <v>563.10656998613763</v>
      </c>
      <c r="N56" s="29">
        <f t="shared" si="64"/>
        <v>573.72976782312094</v>
      </c>
      <c r="O56" s="29">
        <f t="shared" si="64"/>
        <v>592.41709399727938</v>
      </c>
      <c r="P56" s="29">
        <f t="shared" si="64"/>
        <v>572.8861180678573</v>
      </c>
      <c r="Q56" s="29">
        <f t="shared" si="64"/>
        <v>543.21429017335493</v>
      </c>
      <c r="R56" s="29">
        <f t="shared" si="64"/>
        <v>510.21819513683329</v>
      </c>
      <c r="S56" s="29">
        <f t="shared" si="64"/>
        <v>597.53958256838064</v>
      </c>
      <c r="T56" s="29">
        <f t="shared" si="64"/>
        <v>607.27280405306908</v>
      </c>
      <c r="U56" s="29">
        <f t="shared" si="64"/>
        <v>666.85710790322582</v>
      </c>
      <c r="V56" s="29">
        <f t="shared" si="64"/>
        <v>844.49057839113982</v>
      </c>
      <c r="W56" s="29">
        <f t="shared" ref="W56:Y56" si="65">IF(W10=0,0,W10/W21)</f>
        <v>776.0079977373365</v>
      </c>
      <c r="X56" s="29">
        <f t="shared" si="65"/>
        <v>829.48054631195816</v>
      </c>
      <c r="Y56" s="29">
        <f t="shared" si="65"/>
        <v>829.40881410358782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582.55532570982518</v>
      </c>
      <c r="C57" s="87">
        <f t="shared" si="66"/>
        <v>622.93303028830701</v>
      </c>
      <c r="D57" s="87">
        <f t="shared" si="66"/>
        <v>612.41583999615307</v>
      </c>
      <c r="E57" s="87">
        <f t="shared" si="66"/>
        <v>692.15580299171108</v>
      </c>
      <c r="F57" s="87">
        <f t="shared" si="66"/>
        <v>703.07506654835902</v>
      </c>
      <c r="G57" s="87">
        <f t="shared" si="66"/>
        <v>665.91159265442957</v>
      </c>
      <c r="H57" s="87">
        <f t="shared" si="66"/>
        <v>627.30845008919061</v>
      </c>
      <c r="I57" s="87">
        <f t="shared" si="66"/>
        <v>664.23776289806813</v>
      </c>
      <c r="J57" s="87">
        <f t="shared" si="66"/>
        <v>683.80588799421514</v>
      </c>
      <c r="K57" s="87">
        <f t="shared" ref="K57:V57" si="67">IF(K11=0,0,K11/K22)</f>
        <v>626.42268333155914</v>
      </c>
      <c r="L57" s="87">
        <f t="shared" si="67"/>
        <v>634.44593887644646</v>
      </c>
      <c r="M57" s="87">
        <f t="shared" si="67"/>
        <v>637.60422562845838</v>
      </c>
      <c r="N57" s="87">
        <f t="shared" si="67"/>
        <v>685.45209392353729</v>
      </c>
      <c r="O57" s="87">
        <f t="shared" si="67"/>
        <v>686.1184005112251</v>
      </c>
      <c r="P57" s="87">
        <f t="shared" si="67"/>
        <v>612.22428273841103</v>
      </c>
      <c r="Q57" s="87">
        <f t="shared" si="67"/>
        <v>612.11255009082834</v>
      </c>
      <c r="R57" s="87">
        <f t="shared" si="67"/>
        <v>610.0720352438708</v>
      </c>
      <c r="S57" s="87">
        <f t="shared" si="67"/>
        <v>656.9282190095048</v>
      </c>
      <c r="T57" s="87">
        <f t="shared" si="67"/>
        <v>695.78994409151107</v>
      </c>
      <c r="U57" s="87">
        <f t="shared" si="67"/>
        <v>722.12977683459917</v>
      </c>
      <c r="V57" s="87">
        <f t="shared" si="67"/>
        <v>884.66997147429083</v>
      </c>
      <c r="W57" s="87">
        <f t="shared" ref="W57:Y57" si="68">IF(W11=0,0,W11/W22)</f>
        <v>812.33721561443429</v>
      </c>
      <c r="X57" s="87">
        <f t="shared" si="68"/>
        <v>855.75692082112676</v>
      </c>
      <c r="Y57" s="87">
        <f t="shared" si="68"/>
        <v>846.83061775559111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527.17898180634336</v>
      </c>
      <c r="C58" s="88">
        <f t="shared" si="69"/>
        <v>527.78018280665515</v>
      </c>
      <c r="D58" s="88">
        <f t="shared" si="69"/>
        <v>519.40577070723054</v>
      </c>
      <c r="E58" s="88">
        <f t="shared" si="69"/>
        <v>482.52197789019385</v>
      </c>
      <c r="F58" s="88">
        <f t="shared" si="69"/>
        <v>472.92285387547031</v>
      </c>
      <c r="G58" s="88">
        <f t="shared" si="69"/>
        <v>408.23970214708447</v>
      </c>
      <c r="H58" s="88">
        <f t="shared" si="69"/>
        <v>478.50176098408525</v>
      </c>
      <c r="I58" s="88">
        <f t="shared" si="69"/>
        <v>473.75735551793832</v>
      </c>
      <c r="J58" s="88">
        <f t="shared" si="69"/>
        <v>377.02502396945124</v>
      </c>
      <c r="K58" s="88">
        <f t="shared" ref="K58:V58" si="70">IF(K12=0,0,K12/K23)</f>
        <v>449.80514868779852</v>
      </c>
      <c r="L58" s="88">
        <f t="shared" si="70"/>
        <v>466.37212555520119</v>
      </c>
      <c r="M58" s="88">
        <f t="shared" si="70"/>
        <v>491.11118704013785</v>
      </c>
      <c r="N58" s="88">
        <f t="shared" si="70"/>
        <v>474.73888378851296</v>
      </c>
      <c r="O58" s="88">
        <f t="shared" si="70"/>
        <v>505.03213980639447</v>
      </c>
      <c r="P58" s="88">
        <f t="shared" si="70"/>
        <v>529.05197621590321</v>
      </c>
      <c r="Q58" s="88">
        <f t="shared" si="70"/>
        <v>461.54384747632218</v>
      </c>
      <c r="R58" s="88">
        <f t="shared" si="70"/>
        <v>386.63369860342027</v>
      </c>
      <c r="S58" s="88">
        <f t="shared" si="70"/>
        <v>487.72620507144967</v>
      </c>
      <c r="T58" s="88">
        <f t="shared" si="70"/>
        <v>438.73108984629141</v>
      </c>
      <c r="U58" s="88">
        <f t="shared" si="70"/>
        <v>511.24604698890522</v>
      </c>
      <c r="V58" s="88">
        <f t="shared" si="70"/>
        <v>700.62416807855595</v>
      </c>
      <c r="W58" s="88">
        <f t="shared" ref="W58:Y58" si="71">IF(W12=0,0,W12/W23)</f>
        <v>660.69895860895804</v>
      </c>
      <c r="X58" s="88">
        <f t="shared" si="71"/>
        <v>750.46913653639785</v>
      </c>
      <c r="Y58" s="88">
        <f t="shared" si="71"/>
        <v>729.9424323002138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320.00000000000006</v>
      </c>
      <c r="C61" s="29">
        <f t="shared" ref="C61" si="73">IF(C26=0,0,(C62*C27+C64*C29+C65*C30+C66*C31)/(C27+C29+C30+C31))</f>
        <v>320</v>
      </c>
      <c r="D61" s="29">
        <f t="shared" ref="D61" si="74">IF(D26=0,0,(D62*D27+D64*D29+D65*D30+D66*D31)/(D27+D29+D30+D31))</f>
        <v>320.26729410236271</v>
      </c>
      <c r="E61" s="29">
        <f t="shared" ref="E61" si="75">IF(E26=0,0,(E62*E27+E64*E29+E65*E30+E66*E31)/(E27+E29+E30+E31))</f>
        <v>321.959601872593</v>
      </c>
      <c r="F61" s="29">
        <f t="shared" ref="F61" si="76">IF(F26=0,0,(F62*F27+F64*F29+F65*F30+F66*F31)/(F27+F29+F30+F31))</f>
        <v>323.62305624766037</v>
      </c>
      <c r="G61" s="29">
        <f t="shared" ref="G61" si="77">IF(G26=0,0,(G62*G27+G64*G29+G65*G30+G66*G31)/(G27+G29+G30+G31))</f>
        <v>324.20392928297844</v>
      </c>
      <c r="H61" s="29">
        <f t="shared" ref="H61" si="78">IF(H26=0,0,(H62*H27+H64*H29+H65*H30+H66*H31)/(H27+H29+H30+H31))</f>
        <v>324.18161659499509</v>
      </c>
      <c r="I61" s="29">
        <f t="shared" ref="I61" si="79">IF(I26=0,0,(I62*I27+I64*I29+I65*I30+I66*I31)/(I27+I29+I30+I31))</f>
        <v>324.55157629426503</v>
      </c>
      <c r="J61" s="29">
        <f t="shared" ref="J61" si="80">IF(J26=0,0,(J62*J27+J64*J29+J65*J30+J66*J31)/(J27+J29+J30+J31))</f>
        <v>324.72381748452824</v>
      </c>
      <c r="K61" s="29">
        <f t="shared" ref="K61" si="81">IF(K26=0,0,(K62*K27+K64*K29+K65*K30+K66*K31)/(K27+K29+K30+K31))</f>
        <v>324.9795120300364</v>
      </c>
      <c r="L61" s="29">
        <f t="shared" ref="L61" si="82">IF(L26=0,0,(L62*L27+L64*L29+L65*L30+L66*L31)/(L27+L29+L30+L31))</f>
        <v>325.34578707175712</v>
      </c>
      <c r="M61" s="29">
        <f t="shared" ref="M61" si="83">IF(M26=0,0,(M62*M27+M64*M29+M65*M30+M66*M31)/(M27+M29+M30+M31))</f>
        <v>326.11834612193991</v>
      </c>
      <c r="N61" s="29">
        <f t="shared" ref="N61" si="84">IF(N26=0,0,(N62*N27+N64*N29+N65*N30+N66*N31)/(N27+N29+N30+N31))</f>
        <v>326.06867666898734</v>
      </c>
      <c r="O61" s="29">
        <f t="shared" ref="O61" si="85">IF(O26=0,0,(O62*O27+O64*O29+O65*O30+O66*O31)/(O27+O29+O30+O31))</f>
        <v>326.04696418213905</v>
      </c>
      <c r="P61" s="29">
        <f t="shared" ref="P61" si="86">IF(P26=0,0,(P62*P27+P64*P29+P65*P30+P66*P31)/(P27+P29+P30+P31))</f>
        <v>326.09057945690057</v>
      </c>
      <c r="Q61" s="29">
        <f t="shared" ref="Q61" si="87">IF(Q26=0,0,(Q62*Q27+Q64*Q29+Q65*Q30+Q66*Q31)/(Q27+Q29+Q30+Q31))</f>
        <v>326.14706490891211</v>
      </c>
      <c r="R61" s="29">
        <f t="shared" ref="R61" si="88">IF(R26=0,0,(R62*R27+R64*R29+R65*R30+R66*R31)/(R27+R29+R30+R31))</f>
        <v>326.30618250055494</v>
      </c>
      <c r="S61" s="29">
        <f t="shared" ref="S61" si="89">IF(S26=0,0,(S62*S27+S64*S29+S65*S30+S66*S31)/(S27+S29+S30+S31))</f>
        <v>326.70269724362709</v>
      </c>
      <c r="T61" s="29">
        <f t="shared" ref="T61" si="90">IF(T26=0,0,(T62*T27+T64*T29+T65*T30+T66*T31)/(T27+T29+T30+T31))</f>
        <v>327.16001237352924</v>
      </c>
      <c r="U61" s="29">
        <f t="shared" ref="U61" si="91">IF(U26=0,0,(U62*U27+U64*U29+U65*U30+U66*U31)/(U27+U29+U30+U31))</f>
        <v>327.85251157212531</v>
      </c>
      <c r="V61" s="29">
        <f t="shared" ref="V61" si="92">IF(V26=0,0,(V62*V27+V64*V29+V65*V30+V66*V31)/(V27+V29+V30+V31))</f>
        <v>327.9494767007032</v>
      </c>
      <c r="W61" s="29">
        <f t="shared" ref="W61:Y61" si="93">IF(W26=0,0,(W62*W27+W64*W29+W65*W30+W66*W31)/(W27+W29+W30+W31))</f>
        <v>328.1708937364175</v>
      </c>
      <c r="X61" s="29">
        <f t="shared" si="93"/>
        <v>329.46006583814824</v>
      </c>
      <c r="Y61" s="29">
        <f t="shared" si="93"/>
        <v>329.6848153854267</v>
      </c>
      <c r="DA61" s="173" t="s">
        <v>1074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319.99999999999994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320.00000000000006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319.99999999999994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319.99999999999994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319.99999999999994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2099.9999999999995</v>
      </c>
      <c r="C67" s="29">
        <f t="shared" ref="C67" si="117">IF(C32=0,0,(C68*C33+C69*C34)/(C33+C34))</f>
        <v>2099.9999999999995</v>
      </c>
      <c r="D67" s="29">
        <f t="shared" ref="D67" si="118">IF(D32=0,0,(D68*D33+D69*D34)/(D33+D34))</f>
        <v>2100</v>
      </c>
      <c r="E67" s="29">
        <f t="shared" ref="E67" si="119">IF(E32=0,0,(E68*E33+E69*E34)/(E33+E34))</f>
        <v>2099.9999999999995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2100.0000000000005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2100.0000000000005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0.40665406938189658</v>
      </c>
      <c r="C72" s="30">
        <f t="shared" ref="C72:J72" si="138">IF(C50=0,0,C50/C61)</f>
        <v>0.42826929375009531</v>
      </c>
      <c r="D72" s="30">
        <f t="shared" si="138"/>
        <v>0.40390905751320982</v>
      </c>
      <c r="E72" s="30">
        <f t="shared" si="138"/>
        <v>0.39501940955045739</v>
      </c>
      <c r="F72" s="30">
        <f t="shared" si="138"/>
        <v>0.39420442022152341</v>
      </c>
      <c r="G72" s="30">
        <f t="shared" si="138"/>
        <v>0.36099995419854947</v>
      </c>
      <c r="H72" s="30">
        <f t="shared" si="138"/>
        <v>0.36279974832322215</v>
      </c>
      <c r="I72" s="30">
        <f t="shared" si="138"/>
        <v>0.37311765397000601</v>
      </c>
      <c r="J72" s="30">
        <f t="shared" si="138"/>
        <v>0.35664381756739083</v>
      </c>
      <c r="K72" s="30">
        <f t="shared" ref="K72:V72" si="139">IF(K50=0,0,K50/K61)</f>
        <v>0.33340966217743739</v>
      </c>
      <c r="L72" s="30">
        <f t="shared" si="139"/>
        <v>0.33422619069920173</v>
      </c>
      <c r="M72" s="30">
        <f t="shared" si="139"/>
        <v>0.33144389775364441</v>
      </c>
      <c r="N72" s="30">
        <f t="shared" si="139"/>
        <v>0.3364966705450595</v>
      </c>
      <c r="O72" s="30">
        <f t="shared" si="139"/>
        <v>0.33161360197317663</v>
      </c>
      <c r="P72" s="30">
        <f t="shared" si="139"/>
        <v>0.3198357214624068</v>
      </c>
      <c r="Q72" s="30">
        <f t="shared" si="139"/>
        <v>0.31638319751787575</v>
      </c>
      <c r="R72" s="30">
        <f t="shared" si="139"/>
        <v>0.29705975958195552</v>
      </c>
      <c r="S72" s="30">
        <f t="shared" si="139"/>
        <v>0.29672439257510991</v>
      </c>
      <c r="T72" s="30">
        <f t="shared" si="139"/>
        <v>0.30366296477865201</v>
      </c>
      <c r="U72" s="30">
        <f t="shared" si="139"/>
        <v>0.29165997618818867</v>
      </c>
      <c r="V72" s="30">
        <f t="shared" si="139"/>
        <v>0.19381551086552204</v>
      </c>
      <c r="W72" s="30">
        <f t="shared" ref="W72:Y72" si="140">IF(W50=0,0,W50/W61)</f>
        <v>0.20235078878755783</v>
      </c>
      <c r="X72" s="30">
        <f t="shared" si="140"/>
        <v>0.26855561519597476</v>
      </c>
      <c r="Y72" s="30">
        <f t="shared" si="140"/>
        <v>0.2820372332331102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0.20626280693854288</v>
      </c>
      <c r="E73" s="118">
        <f t="shared" si="141"/>
        <v>0.19992761885084637</v>
      </c>
      <c r="F73" s="118">
        <f t="shared" si="141"/>
        <v>0.19992761885084637</v>
      </c>
      <c r="G73" s="118">
        <f t="shared" si="141"/>
        <v>0.1976511768898096</v>
      </c>
      <c r="H73" s="118">
        <f t="shared" si="141"/>
        <v>0.1977165241475243</v>
      </c>
      <c r="I73" s="118">
        <f t="shared" si="141"/>
        <v>0.19909076150897329</v>
      </c>
      <c r="J73" s="118">
        <f t="shared" si="141"/>
        <v>0.19819208741910863</v>
      </c>
      <c r="K73" s="118">
        <f t="shared" ref="K73:V73" si="142">IF(K51=0,0,K51/K62)</f>
        <v>0.19706545117607729</v>
      </c>
      <c r="L73" s="118">
        <f t="shared" si="142"/>
        <v>0.19799947876135188</v>
      </c>
      <c r="M73" s="118">
        <f t="shared" si="142"/>
        <v>0.19752021937810998</v>
      </c>
      <c r="N73" s="118">
        <f t="shared" si="142"/>
        <v>0.19910469739393322</v>
      </c>
      <c r="O73" s="118">
        <f t="shared" si="142"/>
        <v>0.19853641960871823</v>
      </c>
      <c r="P73" s="118">
        <f t="shared" si="142"/>
        <v>0.19825762526066942</v>
      </c>
      <c r="Q73" s="118">
        <f t="shared" si="142"/>
        <v>0.19889325288154425</v>
      </c>
      <c r="R73" s="118">
        <f t="shared" si="142"/>
        <v>0.19801232645670289</v>
      </c>
      <c r="S73" s="118">
        <f t="shared" si="142"/>
        <v>0.19861065804476816</v>
      </c>
      <c r="T73" s="118">
        <f t="shared" si="142"/>
        <v>0.19790783551406527</v>
      </c>
      <c r="U73" s="118">
        <f t="shared" si="142"/>
        <v>0.19678252700798496</v>
      </c>
      <c r="V73" s="118">
        <f t="shared" si="142"/>
        <v>0.15307362069790947</v>
      </c>
      <c r="W73" s="118">
        <f t="shared" ref="W73:Y73" si="143">IF(W51=0,0,W51/W62)</f>
        <v>0.15817222679541304</v>
      </c>
      <c r="X73" s="118">
        <f t="shared" si="143"/>
        <v>0.18888038000253077</v>
      </c>
      <c r="Y73" s="118">
        <f t="shared" si="143"/>
        <v>0.20788086296549188</v>
      </c>
      <c r="DA73" s="203"/>
    </row>
    <row r="74" spans="1:105" ht="11.45" customHeight="1" x14ac:dyDescent="0.25">
      <c r="A74" s="109" t="s">
        <v>24</v>
      </c>
      <c r="B74" s="119">
        <f t="shared" si="141"/>
        <v>0.40665406938189658</v>
      </c>
      <c r="C74" s="119">
        <f t="shared" si="141"/>
        <v>0.42826929375009531</v>
      </c>
      <c r="D74" s="119">
        <f t="shared" si="141"/>
        <v>0.4046063956358007</v>
      </c>
      <c r="E74" s="119">
        <f t="shared" si="141"/>
        <v>0.40015501921685015</v>
      </c>
      <c r="F74" s="119">
        <f t="shared" si="141"/>
        <v>0.40384243774016088</v>
      </c>
      <c r="G74" s="119">
        <f t="shared" si="141"/>
        <v>0.37056956717854528</v>
      </c>
      <c r="H74" s="119">
        <f t="shared" si="141"/>
        <v>0.3724100988021356</v>
      </c>
      <c r="I74" s="119">
        <f t="shared" si="141"/>
        <v>0.38415652374789255</v>
      </c>
      <c r="J74" s="119">
        <f t="shared" si="141"/>
        <v>0.36716248399136187</v>
      </c>
      <c r="K74" s="119">
        <f t="shared" ref="K74:V74" si="144">IF(K52=0,0,K52/K63)</f>
        <v>0.34308891486847587</v>
      </c>
      <c r="L74" s="119">
        <f t="shared" si="144"/>
        <v>0.34465703451147156</v>
      </c>
      <c r="M74" s="119">
        <f t="shared" si="144"/>
        <v>0.34330018242859078</v>
      </c>
      <c r="N74" s="119">
        <f t="shared" si="144"/>
        <v>0.34841066001830884</v>
      </c>
      <c r="O74" s="119">
        <f t="shared" si="144"/>
        <v>0.34325926981114374</v>
      </c>
      <c r="P74" s="119">
        <f t="shared" si="144"/>
        <v>0.33064290931896745</v>
      </c>
      <c r="Q74" s="119">
        <f t="shared" si="144"/>
        <v>0.32696810068395493</v>
      </c>
      <c r="R74" s="119">
        <f t="shared" si="144"/>
        <v>0.30639030139686219</v>
      </c>
      <c r="S74" s="119">
        <f t="shared" si="144"/>
        <v>0.30660614470986358</v>
      </c>
      <c r="T74" s="119">
        <f t="shared" si="144"/>
        <v>0.31503078785049221</v>
      </c>
      <c r="U74" s="119">
        <f t="shared" si="144"/>
        <v>0.30303442663658986</v>
      </c>
      <c r="V74" s="119">
        <f t="shared" si="144"/>
        <v>0.1991868124268561</v>
      </c>
      <c r="W74" s="119">
        <f t="shared" ref="W74:Y74" si="145">IF(W52=0,0,W52/W63)</f>
        <v>0.20833533426210091</v>
      </c>
      <c r="X74" s="119">
        <f t="shared" si="145"/>
        <v>0.28046750563009576</v>
      </c>
      <c r="Y74" s="119">
        <f t="shared" si="145"/>
        <v>0.29367618731007356</v>
      </c>
      <c r="DA74" s="176"/>
    </row>
    <row r="75" spans="1:105" ht="11.45" customHeight="1" x14ac:dyDescent="0.25">
      <c r="A75" s="111" t="s">
        <v>92</v>
      </c>
      <c r="B75" s="120">
        <f t="shared" si="141"/>
        <v>0.36239453789431864</v>
      </c>
      <c r="C75" s="120">
        <f t="shared" si="141"/>
        <v>0.38372405495686679</v>
      </c>
      <c r="D75" s="120">
        <f t="shared" si="141"/>
        <v>0.36292526009272424</v>
      </c>
      <c r="E75" s="120">
        <f t="shared" si="141"/>
        <v>0.3489210447779828</v>
      </c>
      <c r="F75" s="120">
        <f t="shared" si="141"/>
        <v>0.35290222703336682</v>
      </c>
      <c r="G75" s="120">
        <f t="shared" si="141"/>
        <v>0.34856348491223565</v>
      </c>
      <c r="H75" s="120">
        <f t="shared" si="141"/>
        <v>0.3641369973918685</v>
      </c>
      <c r="I75" s="120">
        <f t="shared" si="141"/>
        <v>0.36340431502958875</v>
      </c>
      <c r="J75" s="120">
        <f t="shared" si="141"/>
        <v>0.35086688983009451</v>
      </c>
      <c r="K75" s="120">
        <f t="shared" ref="K75:V75" si="146">IF(K53=0,0,K53/K64)</f>
        <v>0.33231895344242579</v>
      </c>
      <c r="L75" s="120">
        <f t="shared" si="146"/>
        <v>0.32665577898232134</v>
      </c>
      <c r="M75" s="120">
        <f t="shared" si="146"/>
        <v>0.32807391456992702</v>
      </c>
      <c r="N75" s="120">
        <f t="shared" si="146"/>
        <v>0.32573092501329254</v>
      </c>
      <c r="O75" s="120">
        <f t="shared" si="146"/>
        <v>0.32949336679545638</v>
      </c>
      <c r="P75" s="120">
        <f t="shared" si="146"/>
        <v>0.31088740676601484</v>
      </c>
      <c r="Q75" s="120">
        <f t="shared" si="146"/>
        <v>0.30811449066610619</v>
      </c>
      <c r="R75" s="120">
        <f t="shared" si="146"/>
        <v>0.2913851989123723</v>
      </c>
      <c r="S75" s="120">
        <f t="shared" si="146"/>
        <v>0.29685800619732472</v>
      </c>
      <c r="T75" s="120">
        <f t="shared" si="146"/>
        <v>0.27474447601077712</v>
      </c>
      <c r="U75" s="120">
        <f t="shared" si="146"/>
        <v>0.26740220274949844</v>
      </c>
      <c r="V75" s="120">
        <f t="shared" si="146"/>
        <v>0.18670411011678273</v>
      </c>
      <c r="W75" s="120">
        <f t="shared" ref="W75:Y75" si="147">IF(W53=0,0,W53/W64)</f>
        <v>0.18666343192755513</v>
      </c>
      <c r="X75" s="120">
        <f t="shared" si="147"/>
        <v>0.25333097956824741</v>
      </c>
      <c r="Y75" s="120">
        <f t="shared" si="147"/>
        <v>0.26789697681013008</v>
      </c>
      <c r="DA75" s="171"/>
    </row>
    <row r="76" spans="1:105" ht="11.45" customHeight="1" x14ac:dyDescent="0.25">
      <c r="A76" s="111" t="s">
        <v>93</v>
      </c>
      <c r="B76" s="120">
        <f t="shared" si="141"/>
        <v>0.46203648576451045</v>
      </c>
      <c r="C76" s="120">
        <f t="shared" si="141"/>
        <v>0.48071074301501665</v>
      </c>
      <c r="D76" s="120">
        <f t="shared" si="141"/>
        <v>0.45227112489408788</v>
      </c>
      <c r="E76" s="120">
        <f t="shared" si="141"/>
        <v>0.46707102668637013</v>
      </c>
      <c r="F76" s="120">
        <f t="shared" si="141"/>
        <v>0.46872348706023892</v>
      </c>
      <c r="G76" s="120">
        <f t="shared" si="141"/>
        <v>0.4017945742633583</v>
      </c>
      <c r="H76" s="120">
        <f t="shared" si="141"/>
        <v>0.38367644772986409</v>
      </c>
      <c r="I76" s="120">
        <f t="shared" si="141"/>
        <v>0.41427028277715994</v>
      </c>
      <c r="J76" s="120">
        <f t="shared" si="141"/>
        <v>0.39104973272769267</v>
      </c>
      <c r="K76" s="120">
        <f t="shared" ref="K76:V76" si="148">IF(K54=0,0,K54/K65)</f>
        <v>0.35767522426360115</v>
      </c>
      <c r="L76" s="120">
        <f t="shared" si="148"/>
        <v>0.37005715569803671</v>
      </c>
      <c r="M76" s="120">
        <f t="shared" si="148"/>
        <v>0.36538648946306551</v>
      </c>
      <c r="N76" s="120">
        <f t="shared" si="148"/>
        <v>0.38397792187646174</v>
      </c>
      <c r="O76" s="120">
        <f t="shared" si="148"/>
        <v>0.36419770479078234</v>
      </c>
      <c r="P76" s="120">
        <f t="shared" si="148"/>
        <v>0.36322032729628401</v>
      </c>
      <c r="Q76" s="120">
        <f t="shared" si="148"/>
        <v>0.35680862073092723</v>
      </c>
      <c r="R76" s="120">
        <f t="shared" si="148"/>
        <v>0.32928354991024078</v>
      </c>
      <c r="S76" s="120">
        <f t="shared" si="148"/>
        <v>0.32082083540794193</v>
      </c>
      <c r="T76" s="120">
        <f t="shared" si="148"/>
        <v>0.36947072016153415</v>
      </c>
      <c r="U76" s="120">
        <f t="shared" si="148"/>
        <v>0.34980082421020009</v>
      </c>
      <c r="V76" s="120">
        <f t="shared" si="148"/>
        <v>0.21327770213195607</v>
      </c>
      <c r="W76" s="120">
        <f t="shared" ref="W76:Y76" si="149">IF(W54=0,0,W54/W65)</f>
        <v>0.23041710461118958</v>
      </c>
      <c r="X76" s="120">
        <f t="shared" si="149"/>
        <v>0.30528783663057479</v>
      </c>
      <c r="Y76" s="120">
        <f t="shared" si="149"/>
        <v>0.3167165361403646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0.26522018663675695</v>
      </c>
      <c r="C78" s="30">
        <f t="shared" si="141"/>
        <v>0.27443193546352979</v>
      </c>
      <c r="D78" s="30">
        <f t="shared" si="141"/>
        <v>0.26961183131152588</v>
      </c>
      <c r="E78" s="30">
        <f t="shared" si="141"/>
        <v>0.27606474847419238</v>
      </c>
      <c r="F78" s="30">
        <f t="shared" si="141"/>
        <v>0.2739681891352807</v>
      </c>
      <c r="G78" s="30">
        <f t="shared" si="141"/>
        <v>0.24732290533109269</v>
      </c>
      <c r="H78" s="30">
        <f t="shared" si="141"/>
        <v>0.26207422461488122</v>
      </c>
      <c r="I78" s="30">
        <f t="shared" si="141"/>
        <v>0.26866831937185248</v>
      </c>
      <c r="J78" s="30">
        <f t="shared" si="141"/>
        <v>0.23920586331973617</v>
      </c>
      <c r="K78" s="30">
        <f t="shared" ref="K78:V78" si="152">IF(K56=0,0,K56/K67)</f>
        <v>0.25305370323913384</v>
      </c>
      <c r="L78" s="30">
        <f t="shared" si="152"/>
        <v>0.25992930978802992</v>
      </c>
      <c r="M78" s="30">
        <f t="shared" si="152"/>
        <v>0.26814598570768461</v>
      </c>
      <c r="N78" s="30">
        <f t="shared" si="152"/>
        <v>0.2732046513443433</v>
      </c>
      <c r="O78" s="30">
        <f t="shared" si="152"/>
        <v>0.28210337809394254</v>
      </c>
      <c r="P78" s="30">
        <f t="shared" si="152"/>
        <v>0.27280291336564627</v>
      </c>
      <c r="Q78" s="30">
        <f t="shared" si="152"/>
        <v>0.25867347151112141</v>
      </c>
      <c r="R78" s="30">
        <f t="shared" si="152"/>
        <v>0.24296104530325394</v>
      </c>
      <c r="S78" s="30">
        <f t="shared" si="152"/>
        <v>0.28454265836589554</v>
      </c>
      <c r="T78" s="30">
        <f t="shared" si="152"/>
        <v>0.28917752573955668</v>
      </c>
      <c r="U78" s="30">
        <f t="shared" si="152"/>
        <v>0.31755100376344086</v>
      </c>
      <c r="V78" s="30">
        <f t="shared" si="152"/>
        <v>0.40213837066244751</v>
      </c>
      <c r="W78" s="30">
        <f t="shared" ref="W78:Y78" si="153">IF(W56=0,0,W56/W67)</f>
        <v>0.36952761797016015</v>
      </c>
      <c r="X78" s="30">
        <f t="shared" si="153"/>
        <v>0.3949907363390277</v>
      </c>
      <c r="Y78" s="30">
        <f t="shared" si="153"/>
        <v>0.39495657814456564</v>
      </c>
      <c r="DA78" s="173"/>
    </row>
    <row r="79" spans="1:105" ht="11.45" customHeight="1" x14ac:dyDescent="0.25">
      <c r="A79" s="83" t="s">
        <v>92</v>
      </c>
      <c r="B79" s="120">
        <f t="shared" si="141"/>
        <v>0.2774072979570596</v>
      </c>
      <c r="C79" s="120">
        <f t="shared" si="141"/>
        <v>0.29663477632776525</v>
      </c>
      <c r="D79" s="120">
        <f t="shared" si="141"/>
        <v>0.29162659047435863</v>
      </c>
      <c r="E79" s="120">
        <f t="shared" si="141"/>
        <v>0.32959800142462431</v>
      </c>
      <c r="F79" s="120">
        <f t="shared" si="141"/>
        <v>0.33479765073731382</v>
      </c>
      <c r="G79" s="120">
        <f t="shared" si="141"/>
        <v>0.31710075840687124</v>
      </c>
      <c r="H79" s="120">
        <f t="shared" si="141"/>
        <v>0.29871830956628126</v>
      </c>
      <c r="I79" s="120">
        <f t="shared" si="141"/>
        <v>0.31630369661812768</v>
      </c>
      <c r="J79" s="120">
        <f t="shared" si="141"/>
        <v>0.32562185142581673</v>
      </c>
      <c r="K79" s="120">
        <f t="shared" ref="K79:V79" si="154">IF(K57=0,0,K57/K68)</f>
        <v>0.29829651587217104</v>
      </c>
      <c r="L79" s="120">
        <f t="shared" si="154"/>
        <v>0.30211711375068878</v>
      </c>
      <c r="M79" s="120">
        <f t="shared" si="154"/>
        <v>0.30362105982307541</v>
      </c>
      <c r="N79" s="120">
        <f t="shared" si="154"/>
        <v>0.32640575901120822</v>
      </c>
      <c r="O79" s="120">
        <f t="shared" si="154"/>
        <v>0.32672304786248813</v>
      </c>
      <c r="P79" s="120">
        <f t="shared" si="154"/>
        <v>0.29153537273257668</v>
      </c>
      <c r="Q79" s="120">
        <f t="shared" si="154"/>
        <v>0.29148216670991828</v>
      </c>
      <c r="R79" s="120">
        <f t="shared" si="154"/>
        <v>0.29051049297327181</v>
      </c>
      <c r="S79" s="120">
        <f t="shared" si="154"/>
        <v>0.31282296143309751</v>
      </c>
      <c r="T79" s="120">
        <f t="shared" si="154"/>
        <v>0.33132854480548146</v>
      </c>
      <c r="U79" s="120">
        <f t="shared" si="154"/>
        <v>0.34387132230219009</v>
      </c>
      <c r="V79" s="120">
        <f t="shared" si="154"/>
        <v>0.42127141498775755</v>
      </c>
      <c r="W79" s="120">
        <f t="shared" ref="W79:Y79" si="155">IF(W57=0,0,W57/W68)</f>
        <v>0.38682724553068298</v>
      </c>
      <c r="X79" s="120">
        <f t="shared" si="155"/>
        <v>0.40750329562910798</v>
      </c>
      <c r="Y79" s="120">
        <f t="shared" si="155"/>
        <v>0.40325267512171004</v>
      </c>
      <c r="DA79" s="171"/>
    </row>
    <row r="80" spans="1:105" ht="11.45" customHeight="1" x14ac:dyDescent="0.25">
      <c r="A80" s="85" t="s">
        <v>93</v>
      </c>
      <c r="B80" s="122">
        <f t="shared" si="141"/>
        <v>0.25103761038397304</v>
      </c>
      <c r="C80" s="122">
        <f t="shared" si="141"/>
        <v>0.25132389657459769</v>
      </c>
      <c r="D80" s="122">
        <f t="shared" si="141"/>
        <v>0.24733608128915741</v>
      </c>
      <c r="E80" s="122">
        <f t="shared" si="141"/>
        <v>0.22977237042390183</v>
      </c>
      <c r="F80" s="122">
        <f t="shared" si="141"/>
        <v>0.22520135898831919</v>
      </c>
      <c r="G80" s="122">
        <f t="shared" si="141"/>
        <v>0.19439985816527833</v>
      </c>
      <c r="H80" s="122">
        <f t="shared" si="141"/>
        <v>0.22785798142099298</v>
      </c>
      <c r="I80" s="122">
        <f t="shared" si="141"/>
        <v>0.22559874072282776</v>
      </c>
      <c r="J80" s="122">
        <f t="shared" si="141"/>
        <v>0.17953572569973869</v>
      </c>
      <c r="K80" s="122">
        <f t="shared" ref="K80:V80" si="156">IF(K58=0,0,K58/K69)</f>
        <v>0.21419292794657072</v>
      </c>
      <c r="L80" s="122">
        <f t="shared" si="156"/>
        <v>0.2220819645500958</v>
      </c>
      <c r="M80" s="122">
        <f t="shared" si="156"/>
        <v>0.23386247001911326</v>
      </c>
      <c r="N80" s="122">
        <f t="shared" si="156"/>
        <v>0.22606613513738713</v>
      </c>
      <c r="O80" s="122">
        <f t="shared" si="156"/>
        <v>0.24049149514590212</v>
      </c>
      <c r="P80" s="122">
        <f t="shared" si="156"/>
        <v>0.25192951248376344</v>
      </c>
      <c r="Q80" s="122">
        <f t="shared" si="156"/>
        <v>0.21978278451253438</v>
      </c>
      <c r="R80" s="122">
        <f t="shared" si="156"/>
        <v>0.18411128504924776</v>
      </c>
      <c r="S80" s="122">
        <f t="shared" si="156"/>
        <v>0.23225057384354747</v>
      </c>
      <c r="T80" s="122">
        <f t="shared" si="156"/>
        <v>0.20891956659347211</v>
      </c>
      <c r="U80" s="122">
        <f t="shared" si="156"/>
        <v>0.24345049856614534</v>
      </c>
      <c r="V80" s="122">
        <f t="shared" si="156"/>
        <v>0.33363055622788379</v>
      </c>
      <c r="W80" s="122">
        <f t="shared" ref="W80:Y80" si="157">IF(W58=0,0,W58/W69)</f>
        <v>0.31461855171855146</v>
      </c>
      <c r="X80" s="122">
        <f t="shared" si="157"/>
        <v>0.3573662554935228</v>
      </c>
      <c r="Y80" s="122">
        <f t="shared" si="157"/>
        <v>0.34759163442867325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153011.3012634762</v>
      </c>
      <c r="C82" s="54">
        <f t="shared" si="158"/>
        <v>153059.8536949695</v>
      </c>
      <c r="D82" s="54">
        <f t="shared" si="158"/>
        <v>152518.11336685412</v>
      </c>
      <c r="E82" s="54">
        <f t="shared" si="158"/>
        <v>151680.61781874506</v>
      </c>
      <c r="F82" s="54">
        <f t="shared" si="158"/>
        <v>151249.08852711832</v>
      </c>
      <c r="G82" s="54">
        <f t="shared" si="158"/>
        <v>150551.58917638668</v>
      </c>
      <c r="H82" s="54">
        <f t="shared" si="158"/>
        <v>149847.08183974132</v>
      </c>
      <c r="I82" s="54">
        <f t="shared" si="158"/>
        <v>149600.17804845731</v>
      </c>
      <c r="J82" s="54">
        <f t="shared" si="158"/>
        <v>150086.13464930333</v>
      </c>
      <c r="K82" s="54">
        <f t="shared" ref="K82:V82" si="159">IF(K14=0,0,K14/K25*1000000)</f>
        <v>148981.92131167138</v>
      </c>
      <c r="L82" s="54">
        <f t="shared" si="159"/>
        <v>149833.24905526836</v>
      </c>
      <c r="M82" s="54">
        <f t="shared" si="159"/>
        <v>149730.49776910909</v>
      </c>
      <c r="N82" s="54">
        <f t="shared" si="159"/>
        <v>148654.57715516732</v>
      </c>
      <c r="O82" s="54">
        <f t="shared" si="159"/>
        <v>149407.80627941591</v>
      </c>
      <c r="P82" s="54">
        <f t="shared" si="159"/>
        <v>149393.8230299298</v>
      </c>
      <c r="Q82" s="54">
        <f t="shared" si="159"/>
        <v>149614.42644674724</v>
      </c>
      <c r="R82" s="54">
        <f t="shared" si="159"/>
        <v>149610.70681597778</v>
      </c>
      <c r="S82" s="54">
        <f t="shared" si="159"/>
        <v>148217.90428687923</v>
      </c>
      <c r="T82" s="54">
        <f t="shared" si="159"/>
        <v>147322.01481399589</v>
      </c>
      <c r="U82" s="54">
        <f t="shared" si="159"/>
        <v>146966.09131394606</v>
      </c>
      <c r="V82" s="54">
        <f t="shared" si="159"/>
        <v>142869.69893052676</v>
      </c>
      <c r="W82" s="54">
        <f t="shared" ref="W82:Y82" si="160">IF(W14=0,0,W14/W25*1000000)</f>
        <v>145393.6954110089</v>
      </c>
      <c r="X82" s="54">
        <f t="shared" si="160"/>
        <v>145526.31210064533</v>
      </c>
      <c r="Y82" s="54">
        <f t="shared" si="160"/>
        <v>145214.40357804869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149999.99947374032</v>
      </c>
      <c r="C83" s="28">
        <f t="shared" si="161"/>
        <v>149999.99957125395</v>
      </c>
      <c r="D83" s="28">
        <f t="shared" si="161"/>
        <v>149866.35250981731</v>
      </c>
      <c r="E83" s="28">
        <f t="shared" si="161"/>
        <v>149020.19847818554</v>
      </c>
      <c r="F83" s="28">
        <f t="shared" si="161"/>
        <v>148188.47162468306</v>
      </c>
      <c r="G83" s="28">
        <f t="shared" si="161"/>
        <v>147898.03466831063</v>
      </c>
      <c r="H83" s="28">
        <f t="shared" si="161"/>
        <v>147909.19079953386</v>
      </c>
      <c r="I83" s="28">
        <f t="shared" si="161"/>
        <v>147724.21130514817</v>
      </c>
      <c r="J83" s="28">
        <f t="shared" si="161"/>
        <v>147638.09093864757</v>
      </c>
      <c r="K83" s="28">
        <f t="shared" ref="K83:V83" si="162">IF(K15=0,0,K15/K26*1000000)</f>
        <v>147510.2436148469</v>
      </c>
      <c r="L83" s="28">
        <f t="shared" si="162"/>
        <v>147327.10581039893</v>
      </c>
      <c r="M83" s="28">
        <f t="shared" si="162"/>
        <v>146940.8264460456</v>
      </c>
      <c r="N83" s="28">
        <f t="shared" si="162"/>
        <v>146780.14761458224</v>
      </c>
      <c r="O83" s="28">
        <f t="shared" si="162"/>
        <v>146976.51731239413</v>
      </c>
      <c r="P83" s="28">
        <f t="shared" si="162"/>
        <v>146954.70992386239</v>
      </c>
      <c r="Q83" s="28">
        <f t="shared" si="162"/>
        <v>146926.46719586954</v>
      </c>
      <c r="R83" s="28">
        <f t="shared" si="162"/>
        <v>146846.90803519357</v>
      </c>
      <c r="S83" s="28">
        <f t="shared" si="162"/>
        <v>146648.65073594081</v>
      </c>
      <c r="T83" s="28">
        <f t="shared" si="162"/>
        <v>145620.95231705063</v>
      </c>
      <c r="U83" s="28">
        <f t="shared" si="162"/>
        <v>146073.74377688524</v>
      </c>
      <c r="V83" s="28">
        <f t="shared" si="162"/>
        <v>143109.99933594745</v>
      </c>
      <c r="W83" s="28">
        <f t="shared" ref="W83:Y83" si="163">IF(W15=0,0,W15/W26*1000000)</f>
        <v>145914.55272970287</v>
      </c>
      <c r="X83" s="28">
        <f t="shared" si="163"/>
        <v>145269.96663330469</v>
      </c>
      <c r="Y83" s="28">
        <f t="shared" si="163"/>
        <v>145157.59194338717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109999.9955566016</v>
      </c>
      <c r="E84" s="108">
        <f t="shared" si="161"/>
        <v>109999.99682185514</v>
      </c>
      <c r="F84" s="108">
        <f t="shared" si="161"/>
        <v>109999.99648335832</v>
      </c>
      <c r="G84" s="108">
        <f t="shared" si="161"/>
        <v>109999.99783486934</v>
      </c>
      <c r="H84" s="108">
        <f t="shared" si="161"/>
        <v>109999.99706805963</v>
      </c>
      <c r="I84" s="108">
        <f t="shared" si="161"/>
        <v>109999.99689669929</v>
      </c>
      <c r="J84" s="108">
        <f t="shared" si="161"/>
        <v>109999.9981492746</v>
      </c>
      <c r="K84" s="108">
        <f t="shared" ref="K84:V84" si="164">IF(K16=0,0,K16/K27*1000000)</f>
        <v>109999.99661491532</v>
      </c>
      <c r="L84" s="108">
        <f t="shared" si="164"/>
        <v>109999.99751352787</v>
      </c>
      <c r="M84" s="108">
        <f t="shared" si="164"/>
        <v>109999.9973958039</v>
      </c>
      <c r="N84" s="108">
        <f t="shared" si="164"/>
        <v>107554.47749327398</v>
      </c>
      <c r="O84" s="108">
        <f t="shared" si="164"/>
        <v>109999.99975061617</v>
      </c>
      <c r="P84" s="108">
        <f t="shared" si="164"/>
        <v>109999.99890915932</v>
      </c>
      <c r="Q84" s="108">
        <f t="shared" si="164"/>
        <v>109999.99779858501</v>
      </c>
      <c r="R84" s="108">
        <f t="shared" si="164"/>
        <v>109999.9980462621</v>
      </c>
      <c r="S84" s="108">
        <f t="shared" si="164"/>
        <v>109999.99727909254</v>
      </c>
      <c r="T84" s="108">
        <f t="shared" si="164"/>
        <v>109999.99815523702</v>
      </c>
      <c r="U84" s="108">
        <f t="shared" si="164"/>
        <v>109999.99868056839</v>
      </c>
      <c r="V84" s="108">
        <f t="shared" si="164"/>
        <v>102168.42768247462</v>
      </c>
      <c r="W84" s="108">
        <f t="shared" ref="W84:Y84" si="165">IF(W16=0,0,W16/W27*1000000)</f>
        <v>109999.99790936407</v>
      </c>
      <c r="X84" s="108">
        <f t="shared" si="165"/>
        <v>109999.99812583151</v>
      </c>
      <c r="Y84" s="108">
        <f t="shared" si="165"/>
        <v>109999.99850277253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149999.99947374032</v>
      </c>
      <c r="C85" s="110">
        <f t="shared" si="161"/>
        <v>149999.99957125395</v>
      </c>
      <c r="D85" s="110">
        <f t="shared" si="161"/>
        <v>149999.99957442287</v>
      </c>
      <c r="E85" s="110">
        <f t="shared" si="161"/>
        <v>149999.99947958312</v>
      </c>
      <c r="F85" s="110">
        <f t="shared" si="161"/>
        <v>149999.99990340087</v>
      </c>
      <c r="G85" s="110">
        <f t="shared" si="161"/>
        <v>149999.99939160497</v>
      </c>
      <c r="H85" s="110">
        <f t="shared" si="161"/>
        <v>149999.99920893542</v>
      </c>
      <c r="I85" s="110">
        <f t="shared" si="161"/>
        <v>149999.99960645122</v>
      </c>
      <c r="J85" s="110">
        <f t="shared" si="161"/>
        <v>149999.99977702674</v>
      </c>
      <c r="K85" s="110">
        <f t="shared" ref="K85:V85" si="166">IF(K17=0,0,K17/K28*1000000)</f>
        <v>149999.99982998348</v>
      </c>
      <c r="L85" s="110">
        <f t="shared" si="166"/>
        <v>149999.99947751575</v>
      </c>
      <c r="M85" s="110">
        <f t="shared" si="166"/>
        <v>149999.99968185087</v>
      </c>
      <c r="N85" s="110">
        <f t="shared" si="166"/>
        <v>149999.9994766241</v>
      </c>
      <c r="O85" s="110">
        <f t="shared" si="166"/>
        <v>149999.99937507787</v>
      </c>
      <c r="P85" s="110">
        <f t="shared" si="166"/>
        <v>149999.999713553</v>
      </c>
      <c r="Q85" s="110">
        <f t="shared" si="166"/>
        <v>149999.99980445311</v>
      </c>
      <c r="R85" s="110">
        <f t="shared" si="166"/>
        <v>149999.99939151359</v>
      </c>
      <c r="S85" s="110">
        <f t="shared" si="166"/>
        <v>149999.99954783832</v>
      </c>
      <c r="T85" s="110">
        <f t="shared" si="166"/>
        <v>149122.41464380725</v>
      </c>
      <c r="U85" s="110">
        <f t="shared" si="166"/>
        <v>149999.99965898579</v>
      </c>
      <c r="V85" s="110">
        <f t="shared" si="166"/>
        <v>147627.16389001295</v>
      </c>
      <c r="W85" s="110">
        <f t="shared" ref="W85:Y85" si="167">IF(W17=0,0,W17/W28*1000000)</f>
        <v>149999.99978999174</v>
      </c>
      <c r="X85" s="110">
        <f t="shared" si="167"/>
        <v>149999.99974369214</v>
      </c>
      <c r="Y85" s="110">
        <f t="shared" si="167"/>
        <v>149999.99979219865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149999.99940227033</v>
      </c>
      <c r="C86" s="84">
        <f t="shared" si="161"/>
        <v>149999.99997013353</v>
      </c>
      <c r="D86" s="84">
        <f t="shared" si="161"/>
        <v>149999.99940993087</v>
      </c>
      <c r="E86" s="84">
        <f t="shared" si="161"/>
        <v>149999.9998495304</v>
      </c>
      <c r="F86" s="84">
        <f t="shared" si="161"/>
        <v>149999.99994605078</v>
      </c>
      <c r="G86" s="84">
        <f t="shared" si="161"/>
        <v>149999.99964957361</v>
      </c>
      <c r="H86" s="84">
        <f t="shared" si="161"/>
        <v>149999.99934076122</v>
      </c>
      <c r="I86" s="84">
        <f t="shared" si="161"/>
        <v>149999.99977174154</v>
      </c>
      <c r="J86" s="84">
        <f t="shared" si="161"/>
        <v>149999.99979936291</v>
      </c>
      <c r="K86" s="84">
        <f t="shared" ref="K86:V86" si="168">IF(K18=0,0,K18/K29*1000000)</f>
        <v>149999.99993507631</v>
      </c>
      <c r="L86" s="84">
        <f t="shared" si="168"/>
        <v>149999.99943391472</v>
      </c>
      <c r="M86" s="84">
        <f t="shared" si="168"/>
        <v>149999.99968747137</v>
      </c>
      <c r="N86" s="84">
        <f t="shared" si="168"/>
        <v>149999.99974779086</v>
      </c>
      <c r="O86" s="84">
        <f t="shared" si="168"/>
        <v>149999.99947555212</v>
      </c>
      <c r="P86" s="84">
        <f t="shared" si="168"/>
        <v>149999.99964116496</v>
      </c>
      <c r="Q86" s="84">
        <f t="shared" si="168"/>
        <v>149999.99980304166</v>
      </c>
      <c r="R86" s="84">
        <f t="shared" si="168"/>
        <v>149999.99942411997</v>
      </c>
      <c r="S86" s="84">
        <f t="shared" si="168"/>
        <v>149999.99969341751</v>
      </c>
      <c r="T86" s="84">
        <f t="shared" si="168"/>
        <v>148479.57200049321</v>
      </c>
      <c r="U86" s="84">
        <f t="shared" si="168"/>
        <v>149999.99992162932</v>
      </c>
      <c r="V86" s="84">
        <f t="shared" si="168"/>
        <v>145586.98076041459</v>
      </c>
      <c r="W86" s="84">
        <f t="shared" ref="W86:Y86" si="169">IF(W18=0,0,W18/W29*1000000)</f>
        <v>149999.99963319575</v>
      </c>
      <c r="X86" s="84">
        <f t="shared" si="169"/>
        <v>149999.9997799673</v>
      </c>
      <c r="Y86" s="84">
        <f t="shared" si="169"/>
        <v>149999.99959003017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149999.99956317147</v>
      </c>
      <c r="C87" s="84">
        <f t="shared" si="161"/>
        <v>149999.9991016679</v>
      </c>
      <c r="D87" s="84">
        <f t="shared" si="161"/>
        <v>149999.99976252872</v>
      </c>
      <c r="E87" s="84">
        <f t="shared" si="161"/>
        <v>149999.9989963999</v>
      </c>
      <c r="F87" s="84">
        <f t="shared" si="161"/>
        <v>149999.99984907889</v>
      </c>
      <c r="G87" s="84">
        <f t="shared" si="161"/>
        <v>149999.99902556645</v>
      </c>
      <c r="H87" s="84">
        <f t="shared" si="161"/>
        <v>149999.99902941441</v>
      </c>
      <c r="I87" s="84">
        <f t="shared" si="161"/>
        <v>149999.99936659663</v>
      </c>
      <c r="J87" s="84">
        <f t="shared" si="161"/>
        <v>149999.99974428478</v>
      </c>
      <c r="K87" s="84">
        <f t="shared" ref="K87:V87" si="170">IF(K19=0,0,K19/K30*1000000)</f>
        <v>149999.99968765091</v>
      </c>
      <c r="L87" s="84">
        <f t="shared" si="170"/>
        <v>149999.99953903761</v>
      </c>
      <c r="M87" s="84">
        <f t="shared" si="170"/>
        <v>149999.99967369807</v>
      </c>
      <c r="N87" s="84">
        <f t="shared" si="170"/>
        <v>149999.99905136967</v>
      </c>
      <c r="O87" s="84">
        <f t="shared" si="170"/>
        <v>149999.99922225281</v>
      </c>
      <c r="P87" s="84">
        <f t="shared" si="170"/>
        <v>149999.99983292297</v>
      </c>
      <c r="Q87" s="84">
        <f t="shared" si="170"/>
        <v>149999.99980668703</v>
      </c>
      <c r="R87" s="84">
        <f t="shared" si="170"/>
        <v>149999.99934176612</v>
      </c>
      <c r="S87" s="84">
        <f t="shared" si="170"/>
        <v>149999.99933555542</v>
      </c>
      <c r="T87" s="84">
        <f t="shared" si="170"/>
        <v>149999.99985551424</v>
      </c>
      <c r="U87" s="84">
        <f t="shared" si="170"/>
        <v>149999.99931427272</v>
      </c>
      <c r="V87" s="84">
        <f t="shared" si="170"/>
        <v>149999.99961528421</v>
      </c>
      <c r="W87" s="84">
        <f t="shared" ref="W87:Y87" si="171">IF(W19=0,0,W19/W30*1000000)</f>
        <v>149999.99994975311</v>
      </c>
      <c r="X87" s="84">
        <f t="shared" si="171"/>
        <v>149999.99971051313</v>
      </c>
      <c r="Y87" s="84">
        <f t="shared" si="171"/>
        <v>149999.99997288815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199999.98136756252</v>
      </c>
      <c r="C89" s="28">
        <f t="shared" si="161"/>
        <v>199999.99490132782</v>
      </c>
      <c r="D89" s="28">
        <f t="shared" si="161"/>
        <v>199999.98428677194</v>
      </c>
      <c r="E89" s="28">
        <f t="shared" si="161"/>
        <v>199999.99167121391</v>
      </c>
      <c r="F89" s="28">
        <f t="shared" si="161"/>
        <v>199999.99191593842</v>
      </c>
      <c r="G89" s="28">
        <f t="shared" si="161"/>
        <v>199999.98353706626</v>
      </c>
      <c r="H89" s="28">
        <f t="shared" si="161"/>
        <v>188085.63453311051</v>
      </c>
      <c r="I89" s="28">
        <f t="shared" si="161"/>
        <v>189677.46704833655</v>
      </c>
      <c r="J89" s="28">
        <f t="shared" si="161"/>
        <v>199999.99152308129</v>
      </c>
      <c r="K89" s="28">
        <f t="shared" ref="K89:V89" si="174">IF(K21=0,0,K21/K32*1000000)</f>
        <v>182411.08495310092</v>
      </c>
      <c r="L89" s="28">
        <f t="shared" si="174"/>
        <v>199999.98212499733</v>
      </c>
      <c r="M89" s="28">
        <f t="shared" si="174"/>
        <v>199999.99622738129</v>
      </c>
      <c r="N89" s="28">
        <f t="shared" si="174"/>
        <v>185601.77086624765</v>
      </c>
      <c r="O89" s="28">
        <f t="shared" si="174"/>
        <v>199999.98906651908</v>
      </c>
      <c r="P89" s="28">
        <f t="shared" si="174"/>
        <v>199999.99589818972</v>
      </c>
      <c r="Q89" s="28">
        <f t="shared" si="174"/>
        <v>199999.98453355848</v>
      </c>
      <c r="R89" s="28">
        <f t="shared" si="174"/>
        <v>199999.99096939169</v>
      </c>
      <c r="S89" s="28">
        <f t="shared" si="174"/>
        <v>177424.07714424917</v>
      </c>
      <c r="T89" s="28">
        <f t="shared" si="174"/>
        <v>179630.57549843614</v>
      </c>
      <c r="U89" s="28">
        <f t="shared" si="174"/>
        <v>165301.20653957909</v>
      </c>
      <c r="V89" s="28">
        <f t="shared" si="174"/>
        <v>137572.02069408991</v>
      </c>
      <c r="W89" s="28">
        <f t="shared" ref="W89:Y89" si="175">IF(W21=0,0,W21/W32*1000000)</f>
        <v>132807.5165045624</v>
      </c>
      <c r="X89" s="28">
        <f t="shared" si="175"/>
        <v>152730.27710280451</v>
      </c>
      <c r="Y89" s="28">
        <f t="shared" si="175"/>
        <v>146983.17158381306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199999.9829491142</v>
      </c>
      <c r="C90" s="84">
        <f t="shared" si="161"/>
        <v>199999.99715919155</v>
      </c>
      <c r="D90" s="84">
        <f t="shared" si="161"/>
        <v>199999.9919169831</v>
      </c>
      <c r="E90" s="84">
        <f t="shared" si="161"/>
        <v>199999.98959009314</v>
      </c>
      <c r="F90" s="84">
        <f t="shared" si="161"/>
        <v>199999.9931755763</v>
      </c>
      <c r="G90" s="84">
        <f t="shared" si="161"/>
        <v>199999.98567782459</v>
      </c>
      <c r="H90" s="84">
        <f t="shared" si="161"/>
        <v>199999.98390739923</v>
      </c>
      <c r="I90" s="84">
        <f t="shared" si="161"/>
        <v>199999.99209894388</v>
      </c>
      <c r="J90" s="84">
        <f t="shared" si="161"/>
        <v>199999.998337556</v>
      </c>
      <c r="K90" s="84">
        <f t="shared" ref="K90:V90" si="176">IF(K22=0,0,K22/K33*1000000)</f>
        <v>199999.97344893703</v>
      </c>
      <c r="L90" s="84">
        <f t="shared" si="176"/>
        <v>199999.97965639096</v>
      </c>
      <c r="M90" s="84">
        <f t="shared" si="176"/>
        <v>199999.99632184414</v>
      </c>
      <c r="N90" s="84">
        <f t="shared" si="176"/>
        <v>178852.30097827406</v>
      </c>
      <c r="O90" s="84">
        <f t="shared" si="176"/>
        <v>199999.99401432159</v>
      </c>
      <c r="P90" s="84">
        <f t="shared" si="176"/>
        <v>199999.99976158532</v>
      </c>
      <c r="Q90" s="84">
        <f t="shared" si="176"/>
        <v>199999.98524536681</v>
      </c>
      <c r="R90" s="84">
        <f t="shared" si="176"/>
        <v>199999.98853267124</v>
      </c>
      <c r="S90" s="84">
        <f t="shared" si="176"/>
        <v>199999.9907541943</v>
      </c>
      <c r="T90" s="84">
        <f t="shared" si="176"/>
        <v>199999.98609483903</v>
      </c>
      <c r="U90" s="84">
        <f t="shared" si="176"/>
        <v>199999.99521606156</v>
      </c>
      <c r="V90" s="84">
        <f t="shared" si="176"/>
        <v>174550.12380652642</v>
      </c>
      <c r="W90" s="84">
        <f t="shared" ref="W90:Y90" si="177">IF(W22=0,0,W22/W33*1000000)</f>
        <v>161979.82989415017</v>
      </c>
      <c r="X90" s="84">
        <f t="shared" si="177"/>
        <v>181238.85400637917</v>
      </c>
      <c r="Y90" s="84">
        <f t="shared" si="177"/>
        <v>194402.6822082554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199999.9795270545</v>
      </c>
      <c r="C91" s="86">
        <f t="shared" si="161"/>
        <v>199999.99255141226</v>
      </c>
      <c r="D91" s="86">
        <f t="shared" si="161"/>
        <v>199999.97656610317</v>
      </c>
      <c r="E91" s="86">
        <f t="shared" si="161"/>
        <v>199999.99347084365</v>
      </c>
      <c r="F91" s="86">
        <f t="shared" si="161"/>
        <v>199999.99090608992</v>
      </c>
      <c r="G91" s="86">
        <f t="shared" si="161"/>
        <v>199999.98191340707</v>
      </c>
      <c r="H91" s="86">
        <f t="shared" si="161"/>
        <v>178174.69476893821</v>
      </c>
      <c r="I91" s="86">
        <f t="shared" si="161"/>
        <v>181220.69223969511</v>
      </c>
      <c r="J91" s="86">
        <f t="shared" si="161"/>
        <v>199999.98681769485</v>
      </c>
      <c r="K91" s="86">
        <f t="shared" ref="K91:V91" si="178">IF(K23=0,0,K23/K34*1000000)</f>
        <v>169599.71862003554</v>
      </c>
      <c r="L91" s="86">
        <f t="shared" si="178"/>
        <v>199999.9843396231</v>
      </c>
      <c r="M91" s="86">
        <f t="shared" si="178"/>
        <v>199999.99613609133</v>
      </c>
      <c r="N91" s="86">
        <f t="shared" si="178"/>
        <v>192022.47149293523</v>
      </c>
      <c r="O91" s="86">
        <f t="shared" si="178"/>
        <v>199999.98445224538</v>
      </c>
      <c r="P91" s="86">
        <f t="shared" si="178"/>
        <v>199999.99159324498</v>
      </c>
      <c r="Q91" s="86">
        <f t="shared" si="178"/>
        <v>199999.98368979697</v>
      </c>
      <c r="R91" s="86">
        <f t="shared" si="178"/>
        <v>199999.99398520839</v>
      </c>
      <c r="S91" s="86">
        <f t="shared" si="178"/>
        <v>146786.56119161315</v>
      </c>
      <c r="T91" s="86">
        <f t="shared" si="178"/>
        <v>150454.11523837593</v>
      </c>
      <c r="U91" s="86">
        <f t="shared" si="178"/>
        <v>111056.4181884155</v>
      </c>
      <c r="V91" s="86">
        <f t="shared" si="178"/>
        <v>78230.66024967478</v>
      </c>
      <c r="W91" s="86">
        <f t="shared" ref="W91:Y91" si="179">IF(W23=0,0,W23/W34*1000000)</f>
        <v>84502.885009339661</v>
      </c>
      <c r="X91" s="86">
        <f t="shared" si="179"/>
        <v>103687.50400820006</v>
      </c>
      <c r="Y91" s="86">
        <f t="shared" si="179"/>
        <v>61431.447248740624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19519395.261849232</v>
      </c>
      <c r="C94" s="28">
        <f t="shared" si="180"/>
        <v>20556926.041246574</v>
      </c>
      <c r="D94" s="28">
        <f t="shared" si="180"/>
        <v>19386540.649884753</v>
      </c>
      <c r="E94" s="28">
        <f t="shared" si="180"/>
        <v>18952432.331141166</v>
      </c>
      <c r="F94" s="28">
        <f t="shared" si="180"/>
        <v>18904942.621304877</v>
      </c>
      <c r="G94" s="28">
        <f t="shared" si="180"/>
        <v>17309631.558003999</v>
      </c>
      <c r="H94" s="28">
        <f t="shared" si="180"/>
        <v>17396044.975624878</v>
      </c>
      <c r="I94" s="28">
        <f t="shared" si="180"/>
        <v>17888799.678915054</v>
      </c>
      <c r="J94" s="28">
        <f t="shared" si="180"/>
        <v>17098076.847661559</v>
      </c>
      <c r="K94" s="28">
        <f t="shared" ref="K94:V94" si="181">IF(K4=0,0,K4/K26*1000000)</f>
        <v>15982928.03385796</v>
      </c>
      <c r="L94" s="28">
        <f t="shared" si="181"/>
        <v>16020214.397625605</v>
      </c>
      <c r="M94" s="28">
        <f t="shared" si="181"/>
        <v>15882824.492195223</v>
      </c>
      <c r="N94" s="28">
        <f t="shared" si="181"/>
        <v>16104868.109145857</v>
      </c>
      <c r="O94" s="28">
        <f t="shared" si="181"/>
        <v>15891337.420165272</v>
      </c>
      <c r="P94" s="28">
        <f t="shared" si="181"/>
        <v>15326702.566855947</v>
      </c>
      <c r="Q94" s="28">
        <f t="shared" si="181"/>
        <v>15160967.672129916</v>
      </c>
      <c r="R94" s="28">
        <f t="shared" si="181"/>
        <v>14234228.533087267</v>
      </c>
      <c r="S94" s="28">
        <f t="shared" si="181"/>
        <v>14216216.901328109</v>
      </c>
      <c r="T94" s="28">
        <f t="shared" si="181"/>
        <v>14466914.365008969</v>
      </c>
      <c r="U94" s="28">
        <f t="shared" si="181"/>
        <v>13967784.022177067</v>
      </c>
      <c r="V94" s="28">
        <f t="shared" si="181"/>
        <v>9096314.1814521458</v>
      </c>
      <c r="W94" s="28">
        <f t="shared" ref="W94:Y94" si="182">IF(W4=0,0,W4/W26*1000000)</f>
        <v>9689549.1432811823</v>
      </c>
      <c r="X94" s="28">
        <f t="shared" si="182"/>
        <v>12853247.048681211</v>
      </c>
      <c r="Y94" s="28">
        <f t="shared" si="182"/>
        <v>13497245.443322236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9075563.1386927553</v>
      </c>
      <c r="E95" s="108">
        <f t="shared" si="180"/>
        <v>8796814.9752776679</v>
      </c>
      <c r="F95" s="108">
        <f t="shared" si="180"/>
        <v>8796814.9482077211</v>
      </c>
      <c r="G95" s="108">
        <f t="shared" si="180"/>
        <v>8696651.6119753737</v>
      </c>
      <c r="H95" s="108">
        <f t="shared" si="180"/>
        <v>8699526.830613846</v>
      </c>
      <c r="I95" s="108">
        <f t="shared" si="180"/>
        <v>8759993.2592594232</v>
      </c>
      <c r="J95" s="108">
        <f t="shared" si="180"/>
        <v>8720451.6997211296</v>
      </c>
      <c r="K95" s="108">
        <f t="shared" ref="K95:V95" si="183">IF(K5=0,0,K5/K27*1000000)</f>
        <v>8670879.5849141032</v>
      </c>
      <c r="L95" s="108">
        <f t="shared" si="183"/>
        <v>8711976.8685714081</v>
      </c>
      <c r="M95" s="108">
        <f t="shared" si="183"/>
        <v>8690889.4468842838</v>
      </c>
      <c r="N95" s="108">
        <f t="shared" si="183"/>
        <v>8565840.6778643671</v>
      </c>
      <c r="O95" s="108">
        <f t="shared" si="183"/>
        <v>8735602.4429788943</v>
      </c>
      <c r="P95" s="108">
        <f t="shared" si="183"/>
        <v>8723335.4249624629</v>
      </c>
      <c r="Q95" s="108">
        <f t="shared" si="183"/>
        <v>8751302.9516493138</v>
      </c>
      <c r="R95" s="108">
        <f t="shared" si="183"/>
        <v>8712542.2093492541</v>
      </c>
      <c r="S95" s="108">
        <f t="shared" si="183"/>
        <v>8738868.7378093097</v>
      </c>
      <c r="T95" s="108">
        <f t="shared" si="183"/>
        <v>8707944.6165816523</v>
      </c>
      <c r="U95" s="108">
        <f t="shared" si="183"/>
        <v>8658431.0844949018</v>
      </c>
      <c r="V95" s="108">
        <f t="shared" si="183"/>
        <v>6255716.4585475661</v>
      </c>
      <c r="W95" s="108">
        <f t="shared" ref="W95:Y95" si="184">IF(W5=0,0,W5/W27*1000000)</f>
        <v>6959577.8467259584</v>
      </c>
      <c r="X95" s="108">
        <f t="shared" si="184"/>
        <v>8310736.5785138914</v>
      </c>
      <c r="Y95" s="108">
        <f t="shared" si="184"/>
        <v>9146757.8459836673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19519395.261849232</v>
      </c>
      <c r="C96" s="110">
        <f t="shared" si="180"/>
        <v>20556926.041246574</v>
      </c>
      <c r="D96" s="110">
        <f t="shared" si="180"/>
        <v>19421106.935417239</v>
      </c>
      <c r="E96" s="110">
        <f t="shared" si="180"/>
        <v>19207440.855769627</v>
      </c>
      <c r="F96" s="110">
        <f t="shared" si="180"/>
        <v>19384436.999044258</v>
      </c>
      <c r="G96" s="110">
        <f t="shared" si="180"/>
        <v>17787339.152425312</v>
      </c>
      <c r="H96" s="110">
        <f t="shared" si="180"/>
        <v>17875684.64823037</v>
      </c>
      <c r="I96" s="110">
        <f t="shared" si="180"/>
        <v>18439513.091519859</v>
      </c>
      <c r="J96" s="110">
        <f t="shared" si="180"/>
        <v>17623799.205387797</v>
      </c>
      <c r="K96" s="110">
        <f t="shared" ref="K96:V96" si="185">IF(K6=0,0,K6/K28*1000000)</f>
        <v>16468267.895020993</v>
      </c>
      <c r="L96" s="110">
        <f t="shared" si="185"/>
        <v>16543537.598925717</v>
      </c>
      <c r="M96" s="110">
        <f t="shared" si="185"/>
        <v>16478408.72162175</v>
      </c>
      <c r="N96" s="110">
        <f t="shared" si="185"/>
        <v>16723711.622526903</v>
      </c>
      <c r="O96" s="110">
        <f t="shared" si="185"/>
        <v>16476444.882291598</v>
      </c>
      <c r="P96" s="110">
        <f t="shared" si="185"/>
        <v>15870859.6170027</v>
      </c>
      <c r="Q96" s="110">
        <f t="shared" si="185"/>
        <v>15694468.812369805</v>
      </c>
      <c r="R96" s="110">
        <f t="shared" si="185"/>
        <v>14706734.407390395</v>
      </c>
      <c r="S96" s="110">
        <f t="shared" si="185"/>
        <v>14717094.901710076</v>
      </c>
      <c r="T96" s="110">
        <f t="shared" si="185"/>
        <v>15033008.56685004</v>
      </c>
      <c r="U96" s="110">
        <f t="shared" si="185"/>
        <v>14545652.445487818</v>
      </c>
      <c r="V96" s="110">
        <f t="shared" si="185"/>
        <v>9409722.9449180011</v>
      </c>
      <c r="W96" s="110">
        <f t="shared" ref="W96:Y96" si="186">IF(W6=0,0,W6/W28*1000000)</f>
        <v>10000096.030580154</v>
      </c>
      <c r="X96" s="110">
        <f t="shared" si="186"/>
        <v>13462440.247241069</v>
      </c>
      <c r="Y96" s="110">
        <f t="shared" si="186"/>
        <v>14096456.971355114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17394937.749610826</v>
      </c>
      <c r="C97" s="84">
        <f t="shared" si="180"/>
        <v>18418754.634262253</v>
      </c>
      <c r="D97" s="84">
        <f t="shared" si="180"/>
        <v>17420412.415922444</v>
      </c>
      <c r="E97" s="84">
        <f t="shared" si="180"/>
        <v>16748210.132542532</v>
      </c>
      <c r="F97" s="84">
        <f t="shared" si="180"/>
        <v>16939306.891509194</v>
      </c>
      <c r="G97" s="84">
        <f t="shared" si="180"/>
        <v>16731047.236700643</v>
      </c>
      <c r="H97" s="84">
        <f t="shared" si="180"/>
        <v>17478575.797992654</v>
      </c>
      <c r="I97" s="84">
        <f t="shared" si="180"/>
        <v>17443407.094876222</v>
      </c>
      <c r="J97" s="84">
        <f t="shared" si="180"/>
        <v>16841610.689317524</v>
      </c>
      <c r="K97" s="84">
        <f t="shared" ref="K97:V97" si="187">IF(K7=0,0,K7/K29*1000000)</f>
        <v>15951309.758332318</v>
      </c>
      <c r="L97" s="84">
        <f t="shared" si="187"/>
        <v>15679477.331978617</v>
      </c>
      <c r="M97" s="84">
        <f t="shared" si="187"/>
        <v>15747547.866546102</v>
      </c>
      <c r="N97" s="84">
        <f t="shared" si="187"/>
        <v>15635084.3743493</v>
      </c>
      <c r="O97" s="84">
        <f t="shared" si="187"/>
        <v>15815681.550885238</v>
      </c>
      <c r="P97" s="84">
        <f t="shared" si="187"/>
        <v>14922595.48907038</v>
      </c>
      <c r="Q97" s="84">
        <f t="shared" si="187"/>
        <v>14789495.532553667</v>
      </c>
      <c r="R97" s="84">
        <f t="shared" si="187"/>
        <v>13986489.49409694</v>
      </c>
      <c r="S97" s="84">
        <f t="shared" si="187"/>
        <v>14249184.268347917</v>
      </c>
      <c r="T97" s="84">
        <f t="shared" si="187"/>
        <v>13054061.506425589</v>
      </c>
      <c r="U97" s="84">
        <f t="shared" si="187"/>
        <v>12835305.725269848</v>
      </c>
      <c r="V97" s="84">
        <f t="shared" si="187"/>
        <v>8698140.0599879604</v>
      </c>
      <c r="W97" s="84">
        <f t="shared" ref="W97:Y97" si="188">IF(W7=0,0,W7/W29*1000000)</f>
        <v>8959844.7106125839</v>
      </c>
      <c r="X97" s="84">
        <f t="shared" si="188"/>
        <v>12159887.001438724</v>
      </c>
      <c r="Y97" s="84">
        <f t="shared" si="188"/>
        <v>12859054.85174075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22177751.252110671</v>
      </c>
      <c r="C98" s="84">
        <f t="shared" si="180"/>
        <v>23074115.526532672</v>
      </c>
      <c r="D98" s="84">
        <f t="shared" si="180"/>
        <v>21709013.960547771</v>
      </c>
      <c r="E98" s="84">
        <f t="shared" si="180"/>
        <v>22419409.130944956</v>
      </c>
      <c r="F98" s="84">
        <f t="shared" si="180"/>
        <v>22498727.356254585</v>
      </c>
      <c r="G98" s="84">
        <f t="shared" si="180"/>
        <v>19286139.439354118</v>
      </c>
      <c r="H98" s="84">
        <f t="shared" si="180"/>
        <v>18416469.371868413</v>
      </c>
      <c r="I98" s="84">
        <f t="shared" si="180"/>
        <v>19884973.489335619</v>
      </c>
      <c r="J98" s="84">
        <f t="shared" si="180"/>
        <v>18770387.138930086</v>
      </c>
      <c r="K98" s="84">
        <f t="shared" ref="K98:V98" si="189">IF(K8=0,0,K8/K30*1000000)</f>
        <v>17168410.728902604</v>
      </c>
      <c r="L98" s="84">
        <f t="shared" si="189"/>
        <v>17762743.418919384</v>
      </c>
      <c r="M98" s="84">
        <f t="shared" si="189"/>
        <v>17538551.456074726</v>
      </c>
      <c r="N98" s="84">
        <f t="shared" si="189"/>
        <v>18430940.13350917</v>
      </c>
      <c r="O98" s="84">
        <f t="shared" si="189"/>
        <v>17481489.739316352</v>
      </c>
      <c r="P98" s="84">
        <f t="shared" si="189"/>
        <v>17434575.690802183</v>
      </c>
      <c r="Q98" s="84">
        <f t="shared" si="189"/>
        <v>17126813.773012273</v>
      </c>
      <c r="R98" s="84">
        <f t="shared" si="189"/>
        <v>15805610.326332968</v>
      </c>
      <c r="S98" s="84">
        <f t="shared" si="189"/>
        <v>15399400.031367561</v>
      </c>
      <c r="T98" s="84">
        <f t="shared" si="189"/>
        <v>17734594.550670996</v>
      </c>
      <c r="U98" s="84">
        <f t="shared" si="189"/>
        <v>16790439.485331852</v>
      </c>
      <c r="V98" s="84">
        <f t="shared" si="189"/>
        <v>10237329.676077476</v>
      </c>
      <c r="W98" s="84">
        <f t="shared" ref="W98:Y98" si="190">IF(W8=0,0,W8/W30*1000000)</f>
        <v>11060021.017632222</v>
      </c>
      <c r="X98" s="84">
        <f t="shared" si="190"/>
        <v>14653816.129987009</v>
      </c>
      <c r="Y98" s="84">
        <f t="shared" si="190"/>
        <v>15202393.731989734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111392468.00987096</v>
      </c>
      <c r="C100" s="28">
        <f t="shared" si="180"/>
        <v>115261409.95628169</v>
      </c>
      <c r="D100" s="28">
        <f t="shared" si="180"/>
        <v>113236960.25424926</v>
      </c>
      <c r="E100" s="28">
        <f t="shared" si="180"/>
        <v>115947189.53066386</v>
      </c>
      <c r="F100" s="28">
        <f t="shared" si="180"/>
        <v>115066634.78578891</v>
      </c>
      <c r="G100" s="28">
        <f t="shared" si="180"/>
        <v>103875611.68857168</v>
      </c>
      <c r="H100" s="28">
        <f t="shared" si="180"/>
        <v>103514033.34607197</v>
      </c>
      <c r="I100" s="28">
        <f t="shared" si="180"/>
        <v>107016685.21863167</v>
      </c>
      <c r="J100" s="28">
        <f t="shared" si="180"/>
        <v>100466458.336059</v>
      </c>
      <c r="K100" s="28">
        <f t="shared" ref="K100:V100" si="193">IF(K10=0,0,K10/K32*1000000)</f>
        <v>96935581.1744259</v>
      </c>
      <c r="L100" s="28">
        <f t="shared" si="193"/>
        <v>109170300.35387465</v>
      </c>
      <c r="M100" s="28">
        <f t="shared" si="193"/>
        <v>112621311.87284115</v>
      </c>
      <c r="N100" s="28">
        <f t="shared" si="193"/>
        <v>106485260.90665236</v>
      </c>
      <c r="O100" s="28">
        <f t="shared" si="193"/>
        <v>118483412.32227491</v>
      </c>
      <c r="P100" s="28">
        <f t="shared" si="193"/>
        <v>114577221.26370129</v>
      </c>
      <c r="Q100" s="28">
        <f t="shared" si="193"/>
        <v>108642849.63307892</v>
      </c>
      <c r="R100" s="28">
        <f t="shared" si="193"/>
        <v>102043634.41978599</v>
      </c>
      <c r="S100" s="28">
        <f t="shared" si="193"/>
        <v>106017908.9943548</v>
      </c>
      <c r="T100" s="28">
        <f t="shared" si="193"/>
        <v>109084763.27660185</v>
      </c>
      <c r="U100" s="28">
        <f t="shared" si="193"/>
        <v>110232284.5258975</v>
      </c>
      <c r="V100" s="28">
        <f t="shared" si="193"/>
        <v>116178275.32638983</v>
      </c>
      <c r="W100" s="28">
        <f t="shared" ref="W100:Y100" si="194">IF(W10=0,0,W10/W32*1000000)</f>
        <v>103059694.96717374</v>
      </c>
      <c r="X100" s="28">
        <f t="shared" si="194"/>
        <v>126686793.68961105</v>
      </c>
      <c r="Y100" s="28">
        <f t="shared" si="194"/>
        <v>121909138.03651455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116511055.20888071</v>
      </c>
      <c r="C101" s="84">
        <f t="shared" si="180"/>
        <v>124586604.28802799</v>
      </c>
      <c r="D101" s="84">
        <f t="shared" si="180"/>
        <v>122483163.04906303</v>
      </c>
      <c r="E101" s="84">
        <f t="shared" si="180"/>
        <v>138431153.39306477</v>
      </c>
      <c r="F101" s="84">
        <f t="shared" si="180"/>
        <v>140615008.51158965</v>
      </c>
      <c r="G101" s="84">
        <f t="shared" si="180"/>
        <v>133182308.99358326</v>
      </c>
      <c r="H101" s="84">
        <f t="shared" si="180"/>
        <v>125461679.92281367</v>
      </c>
      <c r="I101" s="84">
        <f t="shared" si="180"/>
        <v>132847547.33143379</v>
      </c>
      <c r="J101" s="84">
        <f t="shared" si="180"/>
        <v>136761176.46205404</v>
      </c>
      <c r="K101" s="84">
        <f t="shared" ref="K101:V101" si="195">IF(K11=0,0,K11/K33*1000000)</f>
        <v>125284520.03412372</v>
      </c>
      <c r="L101" s="84">
        <f t="shared" si="195"/>
        <v>126889174.86836915</v>
      </c>
      <c r="M101" s="84">
        <f t="shared" si="195"/>
        <v>127520842.78048395</v>
      </c>
      <c r="N101" s="84">
        <f t="shared" si="195"/>
        <v>122594684.20860067</v>
      </c>
      <c r="O101" s="84">
        <f t="shared" si="195"/>
        <v>137223675.99536094</v>
      </c>
      <c r="P101" s="84">
        <f t="shared" si="195"/>
        <v>122444856.40171894</v>
      </c>
      <c r="Q101" s="84">
        <f t="shared" si="195"/>
        <v>122422500.9866695</v>
      </c>
      <c r="R101" s="84">
        <f t="shared" si="195"/>
        <v>122014400.05287756</v>
      </c>
      <c r="S101" s="84">
        <f t="shared" si="195"/>
        <v>131385637.72807029</v>
      </c>
      <c r="T101" s="84">
        <f t="shared" si="195"/>
        <v>139157979.143231</v>
      </c>
      <c r="U101" s="84">
        <f t="shared" si="195"/>
        <v>144425951.91229543</v>
      </c>
      <c r="V101" s="84">
        <f t="shared" si="195"/>
        <v>154419253.04875365</v>
      </c>
      <c r="W101" s="84">
        <f t="shared" ref="W101:Y101" si="196">IF(W11=0,0,W11/W33*1000000)</f>
        <v>131582244.00191364</v>
      </c>
      <c r="X101" s="84">
        <f t="shared" si="196"/>
        <v>155096403.63764879</v>
      </c>
      <c r="Y101" s="84">
        <f t="shared" si="196"/>
        <v>164626143.46776077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105435785.5683621</v>
      </c>
      <c r="C102" s="86">
        <f t="shared" si="180"/>
        <v>105556032.63011403</v>
      </c>
      <c r="D102" s="86">
        <f t="shared" si="180"/>
        <v>103881141.96974486</v>
      </c>
      <c r="E102" s="86">
        <f t="shared" si="180"/>
        <v>96504392.427577347</v>
      </c>
      <c r="F102" s="86">
        <f t="shared" si="180"/>
        <v>94584566.474376142</v>
      </c>
      <c r="G102" s="86">
        <f t="shared" si="180"/>
        <v>81647933.045751587</v>
      </c>
      <c r="H102" s="86">
        <f t="shared" si="180"/>
        <v>85256905.209738821</v>
      </c>
      <c r="I102" s="86">
        <f t="shared" si="180"/>
        <v>85854635.920608133</v>
      </c>
      <c r="J102" s="86">
        <f t="shared" si="180"/>
        <v>75404999.823831335</v>
      </c>
      <c r="K102" s="86">
        <f t="shared" ref="K102:V102" si="197">IF(K12=0,0,K12/K34*1000000)</f>
        <v>76286826.651293874</v>
      </c>
      <c r="L102" s="86">
        <f t="shared" si="197"/>
        <v>93274417.807476982</v>
      </c>
      <c r="M102" s="86">
        <f t="shared" si="197"/>
        <v>98222235.510418802</v>
      </c>
      <c r="N102" s="86">
        <f t="shared" si="197"/>
        <v>91160533.778867617</v>
      </c>
      <c r="O102" s="86">
        <f t="shared" si="197"/>
        <v>101006420.10916311</v>
      </c>
      <c r="P102" s="86">
        <f t="shared" si="197"/>
        <v>105810390.79557027</v>
      </c>
      <c r="Q102" s="86">
        <f t="shared" si="197"/>
        <v>92308761.967390582</v>
      </c>
      <c r="R102" s="86">
        <f t="shared" si="197"/>
        <v>77326737.39516294</v>
      </c>
      <c r="S102" s="86">
        <f t="shared" si="197"/>
        <v>71591652.445473611</v>
      </c>
      <c r="T102" s="86">
        <f t="shared" si="197"/>
        <v>66008897.950392194</v>
      </c>
      <c r="U102" s="86">
        <f t="shared" si="197"/>
        <v>56777154.791574173</v>
      </c>
      <c r="V102" s="86">
        <f t="shared" si="197"/>
        <v>54810291.255664542</v>
      </c>
      <c r="W102" s="86">
        <f t="shared" ref="W102:Y102" si="198">IF(W12=0,0,W12/W34*1000000)</f>
        <v>55830968.125123255</v>
      </c>
      <c r="X102" s="86">
        <f t="shared" si="198"/>
        <v>77814271.602648184</v>
      </c>
      <c r="Y102" s="86">
        <f t="shared" si="198"/>
        <v>44841420.024468005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1.5641293013555788E-3</v>
      </c>
      <c r="E106" s="123">
        <f t="shared" si="199"/>
        <v>1.1369421347361276E-2</v>
      </c>
      <c r="F106" s="123">
        <f t="shared" si="199"/>
        <v>2.1073427724728349E-2</v>
      </c>
      <c r="G106" s="123">
        <f t="shared" si="199"/>
        <v>2.6401564537157758E-2</v>
      </c>
      <c r="H106" s="123">
        <f t="shared" si="199"/>
        <v>2.6139623844437361E-2</v>
      </c>
      <c r="I106" s="123">
        <f t="shared" si="199"/>
        <v>2.7860853140248703E-2</v>
      </c>
      <c r="J106" s="123">
        <f t="shared" si="199"/>
        <v>3.0115830115830116E-2</v>
      </c>
      <c r="K106" s="123">
        <f t="shared" ref="K106:V106" si="202">IF(K5=0,0,K5/K$4)</f>
        <v>3.3767865556777132E-2</v>
      </c>
      <c r="L106" s="123">
        <f t="shared" si="202"/>
        <v>3.6338756271856468E-2</v>
      </c>
      <c r="M106" s="123">
        <f t="shared" si="202"/>
        <v>4.1848562396507603E-2</v>
      </c>
      <c r="N106" s="123">
        <f t="shared" si="202"/>
        <v>4.0347518774849066E-2</v>
      </c>
      <c r="O106" s="123">
        <f t="shared" si="202"/>
        <v>4.15508412582297E-2</v>
      </c>
      <c r="P106" s="123">
        <f t="shared" si="202"/>
        <v>4.3331374853113981E-2</v>
      </c>
      <c r="Q106" s="123">
        <f t="shared" si="202"/>
        <v>4.4353062123659859E-2</v>
      </c>
      <c r="R106" s="123">
        <f t="shared" si="202"/>
        <v>4.8248910266045393E-2</v>
      </c>
      <c r="S106" s="123">
        <f t="shared" si="202"/>
        <v>5.1502794139858026E-2</v>
      </c>
      <c r="T106" s="123">
        <f t="shared" si="202"/>
        <v>5.387205387205387E-2</v>
      </c>
      <c r="U106" s="123">
        <f t="shared" si="202"/>
        <v>6.0845756008518409E-2</v>
      </c>
      <c r="V106" s="123">
        <f t="shared" si="202"/>
        <v>6.833766847954599E-2</v>
      </c>
      <c r="W106" s="123">
        <f t="shared" ref="W106:Y106" si="203">IF(W5=0,0,W5/W$4)</f>
        <v>7.3359929078014183E-2</v>
      </c>
      <c r="X106" s="123">
        <f t="shared" si="203"/>
        <v>7.6459390862944163E-2</v>
      </c>
      <c r="Y106" s="123">
        <f t="shared" si="203"/>
        <v>8.2039573820395742E-2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0.99843587069864437</v>
      </c>
      <c r="E107" s="124">
        <f t="shared" si="199"/>
        <v>0.9886305786526387</v>
      </c>
      <c r="F107" s="124">
        <f t="shared" si="199"/>
        <v>0.97892657227527169</v>
      </c>
      <c r="G107" s="124">
        <f t="shared" si="199"/>
        <v>0.97359843546284219</v>
      </c>
      <c r="H107" s="124">
        <f t="shared" si="199"/>
        <v>0.97386037615556265</v>
      </c>
      <c r="I107" s="124">
        <f t="shared" si="199"/>
        <v>0.97213914685975134</v>
      </c>
      <c r="J107" s="124">
        <f t="shared" si="199"/>
        <v>0.96988416988416992</v>
      </c>
      <c r="K107" s="124">
        <f t="shared" ref="K107:V107" si="204">IF(K6=0,0,K6/K$4)</f>
        <v>0.96623213444322287</v>
      </c>
      <c r="L107" s="124">
        <f t="shared" si="204"/>
        <v>0.96366124372814355</v>
      </c>
      <c r="M107" s="124">
        <f t="shared" si="204"/>
        <v>0.95815143760349242</v>
      </c>
      <c r="N107" s="124">
        <f t="shared" si="204"/>
        <v>0.9596524812251509</v>
      </c>
      <c r="O107" s="124">
        <f t="shared" si="204"/>
        <v>0.95844915874177028</v>
      </c>
      <c r="P107" s="124">
        <f t="shared" si="204"/>
        <v>0.956668625146886</v>
      </c>
      <c r="Q107" s="124">
        <f t="shared" si="204"/>
        <v>0.95564693787634014</v>
      </c>
      <c r="R107" s="124">
        <f t="shared" si="204"/>
        <v>0.95175108973395461</v>
      </c>
      <c r="S107" s="124">
        <f t="shared" si="204"/>
        <v>0.94849720586014197</v>
      </c>
      <c r="T107" s="124">
        <f t="shared" si="204"/>
        <v>0.94612794612794615</v>
      </c>
      <c r="U107" s="124">
        <f t="shared" si="204"/>
        <v>0.93915424399148162</v>
      </c>
      <c r="V107" s="124">
        <f t="shared" si="204"/>
        <v>0.93166233152045397</v>
      </c>
      <c r="W107" s="124">
        <f t="shared" ref="W107:Y107" si="205">IF(W6=0,0,W6/W$4)</f>
        <v>0.92664007092198586</v>
      </c>
      <c r="X107" s="124">
        <f t="shared" si="205"/>
        <v>0.92354060913705582</v>
      </c>
      <c r="Y107" s="124">
        <f t="shared" si="205"/>
        <v>0.91796042617960427</v>
      </c>
      <c r="DA107" s="176"/>
    </row>
    <row r="108" spans="1:105" ht="11.45" customHeight="1" x14ac:dyDescent="0.25">
      <c r="A108" s="111" t="s">
        <v>92</v>
      </c>
      <c r="B108" s="125">
        <f t="shared" si="199"/>
        <v>0.49532039689082497</v>
      </c>
      <c r="C108" s="125">
        <f t="shared" si="199"/>
        <v>0.4844674954417662</v>
      </c>
      <c r="D108" s="125">
        <f t="shared" si="199"/>
        <v>0.47777926992827691</v>
      </c>
      <c r="E108" s="125">
        <f t="shared" si="199"/>
        <v>0.48823543488958138</v>
      </c>
      <c r="F108" s="125">
        <f t="shared" si="199"/>
        <v>0.47920588325265107</v>
      </c>
      <c r="G108" s="125">
        <f t="shared" si="199"/>
        <v>0.53719158107886933</v>
      </c>
      <c r="H108" s="125">
        <f t="shared" si="199"/>
        <v>0.54904875149764343</v>
      </c>
      <c r="I108" s="125">
        <f t="shared" si="199"/>
        <v>0.54443740873508373</v>
      </c>
      <c r="J108" s="125">
        <f t="shared" si="199"/>
        <v>0.55097187614460186</v>
      </c>
      <c r="K108" s="125">
        <f t="shared" ref="K108:V108" si="206">IF(K7=0,0,K7/K$4)</f>
        <v>0.53838126890978777</v>
      </c>
      <c r="L108" s="125">
        <f t="shared" si="206"/>
        <v>0.53451497236595613</v>
      </c>
      <c r="M108" s="125">
        <f t="shared" si="206"/>
        <v>0.54200052479935812</v>
      </c>
      <c r="N108" s="125">
        <f t="shared" si="206"/>
        <v>0.547845933783631</v>
      </c>
      <c r="O108" s="125">
        <f t="shared" si="206"/>
        <v>0.55507789863862866</v>
      </c>
      <c r="P108" s="125">
        <f t="shared" si="206"/>
        <v>0.55994727534880862</v>
      </c>
      <c r="Q108" s="125">
        <f t="shared" si="206"/>
        <v>0.5518664440850749</v>
      </c>
      <c r="R108" s="125">
        <f t="shared" si="206"/>
        <v>0.54676784438816695</v>
      </c>
      <c r="S108" s="125">
        <f t="shared" si="206"/>
        <v>0.54475758953383924</v>
      </c>
      <c r="T108" s="125">
        <f t="shared" si="206"/>
        <v>0.47421261078006555</v>
      </c>
      <c r="U108" s="125">
        <f t="shared" si="206"/>
        <v>0.47035298810516224</v>
      </c>
      <c r="V108" s="125">
        <f t="shared" si="206"/>
        <v>0.46306289882785201</v>
      </c>
      <c r="W108" s="125">
        <f t="shared" ref="W108:Y108" si="207">IF(W7=0,0,W7/W$4)</f>
        <v>0.41901229297975601</v>
      </c>
      <c r="X108" s="125">
        <f t="shared" si="207"/>
        <v>0.39849827310632085</v>
      </c>
      <c r="Y108" s="125">
        <f t="shared" si="207"/>
        <v>0.39520118068881305</v>
      </c>
      <c r="DA108" s="171"/>
    </row>
    <row r="109" spans="1:105" ht="11.45" customHeight="1" x14ac:dyDescent="0.25">
      <c r="A109" s="111" t="s">
        <v>93</v>
      </c>
      <c r="B109" s="125">
        <f t="shared" si="199"/>
        <v>0.50467960310917503</v>
      </c>
      <c r="C109" s="125">
        <f t="shared" si="199"/>
        <v>0.51553250455823374</v>
      </c>
      <c r="D109" s="125">
        <f t="shared" si="199"/>
        <v>0.52065660077036746</v>
      </c>
      <c r="E109" s="125">
        <f t="shared" si="199"/>
        <v>0.50039514376305738</v>
      </c>
      <c r="F109" s="125">
        <f t="shared" si="199"/>
        <v>0.49972068902262057</v>
      </c>
      <c r="G109" s="125">
        <f t="shared" si="199"/>
        <v>0.43640685438397292</v>
      </c>
      <c r="H109" s="125">
        <f t="shared" si="199"/>
        <v>0.42481162465791922</v>
      </c>
      <c r="I109" s="125">
        <f t="shared" si="199"/>
        <v>0.42770173812466761</v>
      </c>
      <c r="J109" s="125">
        <f t="shared" si="199"/>
        <v>0.41891229373956806</v>
      </c>
      <c r="K109" s="125">
        <f t="shared" ref="K109:V109" si="208">IF(K8=0,0,K8/K$4)</f>
        <v>0.42785086553343515</v>
      </c>
      <c r="L109" s="125">
        <f t="shared" si="208"/>
        <v>0.42914627136218741</v>
      </c>
      <c r="M109" s="125">
        <f t="shared" si="208"/>
        <v>0.41615091280413424</v>
      </c>
      <c r="N109" s="125">
        <f t="shared" si="208"/>
        <v>0.4118065474415199</v>
      </c>
      <c r="O109" s="125">
        <f t="shared" si="208"/>
        <v>0.40337126010314162</v>
      </c>
      <c r="P109" s="125">
        <f t="shared" si="208"/>
        <v>0.39672134979807744</v>
      </c>
      <c r="Q109" s="125">
        <f t="shared" si="208"/>
        <v>0.40378049379126529</v>
      </c>
      <c r="R109" s="125">
        <f t="shared" si="208"/>
        <v>0.40498324534578761</v>
      </c>
      <c r="S109" s="125">
        <f t="shared" si="208"/>
        <v>0.40373961632630273</v>
      </c>
      <c r="T109" s="125">
        <f t="shared" si="208"/>
        <v>0.4719153353478806</v>
      </c>
      <c r="U109" s="125">
        <f t="shared" si="208"/>
        <v>0.46880125588631932</v>
      </c>
      <c r="V109" s="125">
        <f t="shared" si="208"/>
        <v>0.46859943269260196</v>
      </c>
      <c r="W109" s="125">
        <f t="shared" ref="W109:Y109" si="209">IF(W8=0,0,W8/W$4)</f>
        <v>0.5076277779422298</v>
      </c>
      <c r="X109" s="125">
        <f t="shared" si="209"/>
        <v>0.52504233603073502</v>
      </c>
      <c r="Y109" s="125">
        <f t="shared" si="209"/>
        <v>0.52275924549079122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0.562550414169524</v>
      </c>
      <c r="C112" s="125">
        <f t="shared" si="212"/>
        <v>0.55124924977493284</v>
      </c>
      <c r="D112" s="125">
        <f t="shared" si="212"/>
        <v>0.544013699651684</v>
      </c>
      <c r="E112" s="125">
        <f t="shared" si="212"/>
        <v>0.55365731580751132</v>
      </c>
      <c r="F112" s="125">
        <f t="shared" si="212"/>
        <v>0.54376459921371112</v>
      </c>
      <c r="G112" s="125">
        <f t="shared" si="212"/>
        <v>0.55300624251860619</v>
      </c>
      <c r="H112" s="125">
        <f t="shared" si="212"/>
        <v>0.5503851381372491</v>
      </c>
      <c r="I112" s="125">
        <f t="shared" si="212"/>
        <v>0.55902008955768034</v>
      </c>
      <c r="J112" s="125">
        <f t="shared" si="212"/>
        <v>0.55601919998421745</v>
      </c>
      <c r="K112" s="125">
        <f t="shared" ref="K112:V112" si="215">IF(K11=0,0,K11/K$10)</f>
        <v>0.54466870249978661</v>
      </c>
      <c r="L112" s="125">
        <f t="shared" si="215"/>
        <v>0.54963545075330689</v>
      </c>
      <c r="M112" s="125">
        <f t="shared" si="215"/>
        <v>0.55647832221268145</v>
      </c>
      <c r="N112" s="125">
        <f t="shared" si="215"/>
        <v>0.56127172309312001</v>
      </c>
      <c r="O112" s="125">
        <f t="shared" si="215"/>
        <v>0.55888524877780821</v>
      </c>
      <c r="P112" s="125">
        <f t="shared" si="215"/>
        <v>0.56321733803674956</v>
      </c>
      <c r="Q112" s="125">
        <f t="shared" si="215"/>
        <v>0.61120978596141584</v>
      </c>
      <c r="R112" s="125">
        <f t="shared" si="215"/>
        <v>0.66135018434226778</v>
      </c>
      <c r="S112" s="125">
        <f t="shared" si="215"/>
        <v>0.71351147122611591</v>
      </c>
      <c r="T112" s="125">
        <f t="shared" si="215"/>
        <v>0.75122348207247092</v>
      </c>
      <c r="U112" s="125">
        <f t="shared" si="215"/>
        <v>0.79906085967421481</v>
      </c>
      <c r="V112" s="125">
        <f t="shared" si="215"/>
        <v>0.81887943728875145</v>
      </c>
      <c r="W112" s="125">
        <f t="shared" ref="W112:Y112" si="216">IF(W11=0,0,W11/W$10)</f>
        <v>0.79602136116897249</v>
      </c>
      <c r="X112" s="125">
        <f t="shared" si="216"/>
        <v>0.77420512093115845</v>
      </c>
      <c r="Y112" s="125">
        <f t="shared" si="216"/>
        <v>0.86882760078374499</v>
      </c>
      <c r="DA112" s="171"/>
    </row>
    <row r="113" spans="1:105" ht="11.45" customHeight="1" x14ac:dyDescent="0.25">
      <c r="A113" s="85" t="s">
        <v>93</v>
      </c>
      <c r="B113" s="127">
        <f t="shared" si="212"/>
        <v>0.437449585830476</v>
      </c>
      <c r="C113" s="127">
        <f t="shared" si="212"/>
        <v>0.44875075022506711</v>
      </c>
      <c r="D113" s="127">
        <f t="shared" si="212"/>
        <v>0.45598630034831594</v>
      </c>
      <c r="E113" s="127">
        <f t="shared" si="212"/>
        <v>0.44634268419248868</v>
      </c>
      <c r="F113" s="127">
        <f t="shared" si="212"/>
        <v>0.45623540078628882</v>
      </c>
      <c r="G113" s="127">
        <f t="shared" si="212"/>
        <v>0.44699375748139386</v>
      </c>
      <c r="H113" s="127">
        <f t="shared" si="212"/>
        <v>0.44961486186275085</v>
      </c>
      <c r="I113" s="127">
        <f t="shared" si="212"/>
        <v>0.44097991044231971</v>
      </c>
      <c r="J113" s="127">
        <f t="shared" si="212"/>
        <v>0.4439808000157825</v>
      </c>
      <c r="K113" s="127">
        <f t="shared" ref="K113:V113" si="217">IF(K12=0,0,K12/K$10)</f>
        <v>0.45533129750021339</v>
      </c>
      <c r="L113" s="127">
        <f t="shared" si="217"/>
        <v>0.45036454924669311</v>
      </c>
      <c r="M113" s="127">
        <f t="shared" si="217"/>
        <v>0.44352167778731855</v>
      </c>
      <c r="N113" s="127">
        <f t="shared" si="217"/>
        <v>0.43872827690687999</v>
      </c>
      <c r="O113" s="127">
        <f t="shared" si="217"/>
        <v>0.44111475122219179</v>
      </c>
      <c r="P113" s="127">
        <f t="shared" si="217"/>
        <v>0.43678266196325038</v>
      </c>
      <c r="Q113" s="127">
        <f t="shared" si="217"/>
        <v>0.38879021403858416</v>
      </c>
      <c r="R113" s="127">
        <f t="shared" si="217"/>
        <v>0.33864981565773222</v>
      </c>
      <c r="S113" s="127">
        <f t="shared" si="217"/>
        <v>0.28648852877388409</v>
      </c>
      <c r="T113" s="127">
        <f t="shared" si="217"/>
        <v>0.24877651792752908</v>
      </c>
      <c r="U113" s="127">
        <f t="shared" si="217"/>
        <v>0.20093914032578519</v>
      </c>
      <c r="V113" s="127">
        <f t="shared" si="217"/>
        <v>0.18112056271124857</v>
      </c>
      <c r="W113" s="127">
        <f t="shared" ref="W113:Y113" si="218">IF(W12=0,0,W12/W$10)</f>
        <v>0.20397863883102749</v>
      </c>
      <c r="X113" s="127">
        <f t="shared" si="218"/>
        <v>0.2257948790688416</v>
      </c>
      <c r="Y113" s="127">
        <f t="shared" si="218"/>
        <v>0.13117239921625504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2.4523808696711607E-3</v>
      </c>
      <c r="E117" s="123">
        <f t="shared" si="219"/>
        <v>1.8081122723514469E-2</v>
      </c>
      <c r="F117" s="123">
        <f t="shared" si="219"/>
        <v>3.3617339639535691E-2</v>
      </c>
      <c r="G117" s="123">
        <f t="shared" si="219"/>
        <v>3.9083701573745355E-2</v>
      </c>
      <c r="H117" s="123">
        <f t="shared" si="219"/>
        <v>3.8873329194653666E-2</v>
      </c>
      <c r="I117" s="123">
        <f t="shared" si="219"/>
        <v>4.2365548428112694E-2</v>
      </c>
      <c r="J117" s="123">
        <f t="shared" si="219"/>
        <v>4.3994397994785661E-2</v>
      </c>
      <c r="K117" s="123">
        <f t="shared" ref="K117:V117" si="222">IF(K16=0,0,K16/K$15)</f>
        <v>4.6415955006327711E-2</v>
      </c>
      <c r="L117" s="123">
        <f t="shared" si="222"/>
        <v>4.9892088879922532E-2</v>
      </c>
      <c r="M117" s="123">
        <f t="shared" si="222"/>
        <v>5.7252473134750091E-2</v>
      </c>
      <c r="N117" s="123">
        <f t="shared" si="222"/>
        <v>5.5585969800431102E-2</v>
      </c>
      <c r="O117" s="123">
        <f t="shared" si="222"/>
        <v>5.6570776635826117E-2</v>
      </c>
      <c r="P117" s="123">
        <f t="shared" si="222"/>
        <v>5.6987262773197517E-2</v>
      </c>
      <c r="Q117" s="123">
        <f t="shared" si="222"/>
        <v>5.7526831223222288E-2</v>
      </c>
      <c r="R117" s="123">
        <f t="shared" si="222"/>
        <v>5.9047894846905029E-2</v>
      </c>
      <c r="S117" s="123">
        <f t="shared" si="222"/>
        <v>6.2845504788274539E-2</v>
      </c>
      <c r="T117" s="123">
        <f t="shared" si="222"/>
        <v>6.7607145069765034E-2</v>
      </c>
      <c r="U117" s="123">
        <f t="shared" si="222"/>
        <v>7.3916112526378322E-2</v>
      </c>
      <c r="V117" s="123">
        <f t="shared" si="222"/>
        <v>7.0940669692717201E-2</v>
      </c>
      <c r="W117" s="123">
        <f t="shared" ref="W117:Y117" si="223">IF(W16=0,0,W16/W$15)</f>
        <v>7.699697161020394E-2</v>
      </c>
      <c r="X117" s="123">
        <f t="shared" si="223"/>
        <v>8.9540808794057333E-2</v>
      </c>
      <c r="Y117" s="123">
        <f t="shared" si="223"/>
        <v>9.1739059565693518E-2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0.99754761913032886</v>
      </c>
      <c r="E118" s="124">
        <f t="shared" si="219"/>
        <v>0.98191887727648541</v>
      </c>
      <c r="F118" s="124">
        <f t="shared" si="219"/>
        <v>0.96638266036046427</v>
      </c>
      <c r="G118" s="124">
        <f t="shared" si="219"/>
        <v>0.9609162984262547</v>
      </c>
      <c r="H118" s="124">
        <f t="shared" si="219"/>
        <v>0.96112667080534642</v>
      </c>
      <c r="I118" s="124">
        <f t="shared" si="219"/>
        <v>0.95763445157188731</v>
      </c>
      <c r="J118" s="124">
        <f t="shared" si="219"/>
        <v>0.95600560200521434</v>
      </c>
      <c r="K118" s="124">
        <f t="shared" ref="K118:V118" si="224">IF(K17=0,0,K17/K$15)</f>
        <v>0.95358404499367233</v>
      </c>
      <c r="L118" s="124">
        <f t="shared" si="224"/>
        <v>0.95010791112007742</v>
      </c>
      <c r="M118" s="124">
        <f t="shared" si="224"/>
        <v>0.94274752686524987</v>
      </c>
      <c r="N118" s="124">
        <f t="shared" si="224"/>
        <v>0.94441403019956893</v>
      </c>
      <c r="O118" s="124">
        <f t="shared" si="224"/>
        <v>0.9434292233641739</v>
      </c>
      <c r="P118" s="124">
        <f t="shared" si="224"/>
        <v>0.94301273722680246</v>
      </c>
      <c r="Q118" s="124">
        <f t="shared" si="224"/>
        <v>0.94247316877677767</v>
      </c>
      <c r="R118" s="124">
        <f t="shared" si="224"/>
        <v>0.94095210515309502</v>
      </c>
      <c r="S118" s="124">
        <f t="shared" si="224"/>
        <v>0.93715449521172556</v>
      </c>
      <c r="T118" s="124">
        <f t="shared" si="224"/>
        <v>0.93239285493023494</v>
      </c>
      <c r="U118" s="124">
        <f t="shared" si="224"/>
        <v>0.92608388747362158</v>
      </c>
      <c r="V118" s="124">
        <f t="shared" si="224"/>
        <v>0.92905933030728294</v>
      </c>
      <c r="W118" s="124">
        <f t="shared" ref="W118:Y118" si="225">IF(W17=0,0,W17/W$15)</f>
        <v>0.92300302838979598</v>
      </c>
      <c r="X118" s="124">
        <f t="shared" si="225"/>
        <v>0.91045919120594265</v>
      </c>
      <c r="Y118" s="124">
        <f t="shared" si="225"/>
        <v>0.9082609404343065</v>
      </c>
      <c r="DA118" s="176"/>
    </row>
    <row r="119" spans="1:105" ht="11.45" customHeight="1" x14ac:dyDescent="0.25">
      <c r="A119" s="111" t="s">
        <v>92</v>
      </c>
      <c r="B119" s="125">
        <f t="shared" si="219"/>
        <v>0.55581426865282746</v>
      </c>
      <c r="C119" s="125">
        <f t="shared" si="219"/>
        <v>0.5407077024166369</v>
      </c>
      <c r="D119" s="125">
        <f t="shared" si="219"/>
        <v>0.53217725625921075</v>
      </c>
      <c r="E119" s="125">
        <f t="shared" si="219"/>
        <v>0.55612442647045091</v>
      </c>
      <c r="F119" s="125">
        <f t="shared" si="219"/>
        <v>0.54135070741216496</v>
      </c>
      <c r="G119" s="125">
        <f t="shared" si="219"/>
        <v>0.56366718382101566</v>
      </c>
      <c r="H119" s="125">
        <f t="shared" si="219"/>
        <v>0.5541808111143548</v>
      </c>
      <c r="I119" s="125">
        <f t="shared" si="219"/>
        <v>0.56694041988687749</v>
      </c>
      <c r="J119" s="125">
        <f t="shared" si="219"/>
        <v>0.56831080037368853</v>
      </c>
      <c r="K119" s="125">
        <f t="shared" ref="K119:V119" si="226">IF(K18=0,0,K18/K$15)</f>
        <v>0.54855353189069644</v>
      </c>
      <c r="L119" s="125">
        <f t="shared" si="226"/>
        <v>0.55603895334559517</v>
      </c>
      <c r="M119" s="125">
        <f t="shared" si="226"/>
        <v>0.55803737463764647</v>
      </c>
      <c r="N119" s="125">
        <f t="shared" si="226"/>
        <v>0.57668588809016275</v>
      </c>
      <c r="O119" s="125">
        <f t="shared" si="226"/>
        <v>0.56920640451237392</v>
      </c>
      <c r="P119" s="125">
        <f t="shared" si="226"/>
        <v>0.58702858138410363</v>
      </c>
      <c r="Q119" s="125">
        <f t="shared" si="226"/>
        <v>0.57756221230728921</v>
      </c>
      <c r="R119" s="125">
        <f t="shared" si="226"/>
        <v>0.56840073024993043</v>
      </c>
      <c r="S119" s="125">
        <f t="shared" si="226"/>
        <v>0.55591771608696894</v>
      </c>
      <c r="T119" s="125">
        <f t="shared" si="226"/>
        <v>0.53585365243572247</v>
      </c>
      <c r="U119" s="125">
        <f t="shared" si="226"/>
        <v>0.52561082334079479</v>
      </c>
      <c r="V119" s="125">
        <f t="shared" si="226"/>
        <v>0.49264218948567129</v>
      </c>
      <c r="W119" s="125">
        <f t="shared" ref="W119:Y119" si="227">IF(W18=0,0,W18/W$15)</f>
        <v>0.46582468749052874</v>
      </c>
      <c r="X119" s="125">
        <f t="shared" si="227"/>
        <v>0.43493582494898553</v>
      </c>
      <c r="Y119" s="125">
        <f t="shared" si="227"/>
        <v>0.42865296581189172</v>
      </c>
      <c r="DA119" s="171"/>
    </row>
    <row r="120" spans="1:105" ht="11.45" customHeight="1" x14ac:dyDescent="0.25">
      <c r="A120" s="111" t="s">
        <v>93</v>
      </c>
      <c r="B120" s="125">
        <f t="shared" si="219"/>
        <v>0.44418573134717249</v>
      </c>
      <c r="C120" s="125">
        <f t="shared" si="219"/>
        <v>0.4592922975833631</v>
      </c>
      <c r="D120" s="125">
        <f t="shared" si="219"/>
        <v>0.4653703628711181</v>
      </c>
      <c r="E120" s="125">
        <f t="shared" si="219"/>
        <v>0.42579445080603451</v>
      </c>
      <c r="F120" s="125">
        <f t="shared" si="219"/>
        <v>0.42503195294829932</v>
      </c>
      <c r="G120" s="125">
        <f t="shared" si="219"/>
        <v>0.39724911460523898</v>
      </c>
      <c r="H120" s="125">
        <f t="shared" si="219"/>
        <v>0.40694585969099156</v>
      </c>
      <c r="I120" s="125">
        <f t="shared" si="219"/>
        <v>0.39069403168500982</v>
      </c>
      <c r="J120" s="125">
        <f t="shared" si="219"/>
        <v>0.38769480163152581</v>
      </c>
      <c r="K120" s="125">
        <f t="shared" ref="K120:V120" si="228">IF(K19=0,0,K19/K$15)</f>
        <v>0.40503051310297594</v>
      </c>
      <c r="L120" s="125">
        <f t="shared" si="228"/>
        <v>0.3940689577744822</v>
      </c>
      <c r="M120" s="125">
        <f t="shared" si="228"/>
        <v>0.38471015222760346</v>
      </c>
      <c r="N120" s="125">
        <f t="shared" si="228"/>
        <v>0.36772814210940613</v>
      </c>
      <c r="O120" s="125">
        <f t="shared" si="228"/>
        <v>0.37422281885179998</v>
      </c>
      <c r="P120" s="125">
        <f t="shared" si="228"/>
        <v>0.35598415584269882</v>
      </c>
      <c r="Q120" s="125">
        <f t="shared" si="228"/>
        <v>0.36491095646948846</v>
      </c>
      <c r="R120" s="125">
        <f t="shared" si="228"/>
        <v>0.37255137490316459</v>
      </c>
      <c r="S120" s="125">
        <f t="shared" si="228"/>
        <v>0.38123677912475656</v>
      </c>
      <c r="T120" s="125">
        <f t="shared" si="228"/>
        <v>0.39653920249451252</v>
      </c>
      <c r="U120" s="125">
        <f t="shared" si="228"/>
        <v>0.40047306413282679</v>
      </c>
      <c r="V120" s="125">
        <f t="shared" si="228"/>
        <v>0.43641714082161159</v>
      </c>
      <c r="W120" s="125">
        <f t="shared" ref="W120:Y120" si="229">IF(W19=0,0,W19/W$15)</f>
        <v>0.45717834089926718</v>
      </c>
      <c r="X120" s="125">
        <f t="shared" si="229"/>
        <v>0.47552336625695701</v>
      </c>
      <c r="Y120" s="125">
        <f t="shared" si="229"/>
        <v>0.47960797462241478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0.53783634005807934</v>
      </c>
      <c r="C123" s="125">
        <f t="shared" si="232"/>
        <v>0.50998874916606873</v>
      </c>
      <c r="D123" s="125">
        <f t="shared" si="232"/>
        <v>0.50294635198756066</v>
      </c>
      <c r="E123" s="125">
        <f t="shared" si="232"/>
        <v>0.4637323860237399</v>
      </c>
      <c r="F123" s="125">
        <f t="shared" si="232"/>
        <v>0.44496788503255974</v>
      </c>
      <c r="G123" s="125">
        <f t="shared" si="232"/>
        <v>0.43131751325060486</v>
      </c>
      <c r="H123" s="125">
        <f t="shared" si="232"/>
        <v>0.48286882222352911</v>
      </c>
      <c r="I123" s="125">
        <f t="shared" si="232"/>
        <v>0.47483159242963091</v>
      </c>
      <c r="J123" s="125">
        <f t="shared" si="232"/>
        <v>0.40845862208628392</v>
      </c>
      <c r="K123" s="125">
        <f t="shared" ref="K123:V123" si="235">IF(K22=0,0,K22/K$21)</f>
        <v>0.46205847159505387</v>
      </c>
      <c r="L123" s="125">
        <f t="shared" si="235"/>
        <v>0.47288404677146184</v>
      </c>
      <c r="M123" s="125">
        <f t="shared" si="235"/>
        <v>0.49145941431608609</v>
      </c>
      <c r="N123" s="125">
        <f t="shared" si="235"/>
        <v>0.46978964428084474</v>
      </c>
      <c r="O123" s="125">
        <f t="shared" si="235"/>
        <v>0.48255982453203267</v>
      </c>
      <c r="P123" s="125">
        <f t="shared" si="235"/>
        <v>0.52702809005413198</v>
      </c>
      <c r="Q123" s="125">
        <f t="shared" si="235"/>
        <v>0.54241313950967385</v>
      </c>
      <c r="R123" s="125">
        <f t="shared" si="235"/>
        <v>0.55310336798774595</v>
      </c>
      <c r="S123" s="125">
        <f t="shared" si="235"/>
        <v>0.64900750848706623</v>
      </c>
      <c r="T123" s="125">
        <f t="shared" si="235"/>
        <v>0.65565418744922288</v>
      </c>
      <c r="U123" s="125">
        <f t="shared" si="235"/>
        <v>0.73789979448951803</v>
      </c>
      <c r="V123" s="125">
        <f t="shared" si="235"/>
        <v>0.78168807795765149</v>
      </c>
      <c r="W123" s="125">
        <f t="shared" ref="W123:Y123" si="236">IF(W22=0,0,W22/W$21)</f>
        <v>0.76042181838198109</v>
      </c>
      <c r="X123" s="125">
        <f t="shared" si="236"/>
        <v>0.75043282857857863</v>
      </c>
      <c r="Y123" s="125">
        <f t="shared" si="236"/>
        <v>0.85095325430768953</v>
      </c>
      <c r="DA123" s="171"/>
    </row>
    <row r="124" spans="1:105" ht="11.45" customHeight="1" x14ac:dyDescent="0.25">
      <c r="A124" s="85" t="s">
        <v>93</v>
      </c>
      <c r="B124" s="127">
        <f t="shared" si="232"/>
        <v>0.4621636599419206</v>
      </c>
      <c r="C124" s="127">
        <f t="shared" si="232"/>
        <v>0.49001125083393121</v>
      </c>
      <c r="D124" s="127">
        <f t="shared" si="232"/>
        <v>0.4970536480124394</v>
      </c>
      <c r="E124" s="127">
        <f t="shared" si="232"/>
        <v>0.5362676139762601</v>
      </c>
      <c r="F124" s="127">
        <f t="shared" si="232"/>
        <v>0.55503211496744032</v>
      </c>
      <c r="G124" s="127">
        <f t="shared" si="232"/>
        <v>0.56868248674939514</v>
      </c>
      <c r="H124" s="127">
        <f t="shared" si="232"/>
        <v>0.51713117777647089</v>
      </c>
      <c r="I124" s="127">
        <f t="shared" si="232"/>
        <v>0.52516840757036909</v>
      </c>
      <c r="J124" s="127">
        <f t="shared" si="232"/>
        <v>0.59154137791371608</v>
      </c>
      <c r="K124" s="127">
        <f t="shared" ref="K124:V124" si="237">IF(K23=0,0,K23/K$21)</f>
        <v>0.53794152840494613</v>
      </c>
      <c r="L124" s="127">
        <f t="shared" si="237"/>
        <v>0.5271159532285381</v>
      </c>
      <c r="M124" s="127">
        <f t="shared" si="237"/>
        <v>0.50854058568391391</v>
      </c>
      <c r="N124" s="127">
        <f t="shared" si="237"/>
        <v>0.53021035571915531</v>
      </c>
      <c r="O124" s="127">
        <f t="shared" si="237"/>
        <v>0.51744017546796728</v>
      </c>
      <c r="P124" s="127">
        <f t="shared" si="237"/>
        <v>0.47297190994586802</v>
      </c>
      <c r="Q124" s="127">
        <f t="shared" si="237"/>
        <v>0.45758686049032615</v>
      </c>
      <c r="R124" s="127">
        <f t="shared" si="237"/>
        <v>0.44689663201225399</v>
      </c>
      <c r="S124" s="127">
        <f t="shared" si="237"/>
        <v>0.35099249151293382</v>
      </c>
      <c r="T124" s="127">
        <f t="shared" si="237"/>
        <v>0.34434581255077712</v>
      </c>
      <c r="U124" s="127">
        <f t="shared" si="237"/>
        <v>0.26210020551048197</v>
      </c>
      <c r="V124" s="127">
        <f t="shared" si="237"/>
        <v>0.21831192204234853</v>
      </c>
      <c r="W124" s="127">
        <f t="shared" ref="W124:Y124" si="238">IF(W23=0,0,W23/W$21)</f>
        <v>0.23957818161801897</v>
      </c>
      <c r="X124" s="127">
        <f t="shared" si="238"/>
        <v>0.24956717142142135</v>
      </c>
      <c r="Y124" s="127">
        <f t="shared" si="238"/>
        <v>0.14904674569231041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103.35339638865003</v>
      </c>
      <c r="C4" s="146">
        <f t="shared" ref="C4:V4" si="0">SUM(C5,C8)</f>
        <v>98.253998280309531</v>
      </c>
      <c r="D4" s="146">
        <f t="shared" si="0"/>
        <v>99.629750644883913</v>
      </c>
      <c r="E4" s="146">
        <f t="shared" si="0"/>
        <v>100.7237317282889</v>
      </c>
      <c r="F4" s="146">
        <f t="shared" si="0"/>
        <v>101.16560619088564</v>
      </c>
      <c r="G4" s="146">
        <f t="shared" si="0"/>
        <v>106.69484092863283</v>
      </c>
      <c r="H4" s="146">
        <f t="shared" si="0"/>
        <v>105.76096302665519</v>
      </c>
      <c r="I4" s="146">
        <f t="shared" si="0"/>
        <v>104.04127257093722</v>
      </c>
      <c r="J4" s="146">
        <f t="shared" si="0"/>
        <v>108.99251934651762</v>
      </c>
      <c r="K4" s="146">
        <f t="shared" si="0"/>
        <v>108.41453138435081</v>
      </c>
      <c r="L4" s="146">
        <f t="shared" si="0"/>
        <v>113.26792777300086</v>
      </c>
      <c r="M4" s="146">
        <f t="shared" si="0"/>
        <v>114.70576096302663</v>
      </c>
      <c r="N4" s="146">
        <f t="shared" si="0"/>
        <v>113.67394668959585</v>
      </c>
      <c r="O4" s="146">
        <f t="shared" si="0"/>
        <v>112.74006878761823</v>
      </c>
      <c r="P4" s="146">
        <f t="shared" si="0"/>
        <v>114.6938091143594</v>
      </c>
      <c r="Q4" s="146">
        <f t="shared" si="0"/>
        <v>114.28048151332759</v>
      </c>
      <c r="R4" s="146">
        <f t="shared" si="0"/>
        <v>117.67171109200343</v>
      </c>
      <c r="S4" s="146">
        <f t="shared" si="0"/>
        <v>113.74239036973344</v>
      </c>
      <c r="T4" s="146">
        <f t="shared" si="0"/>
        <v>106.973086844368</v>
      </c>
      <c r="U4" s="146">
        <f t="shared" si="0"/>
        <v>107.59475494411005</v>
      </c>
      <c r="V4" s="146">
        <f t="shared" si="0"/>
        <v>99.847033533963881</v>
      </c>
      <c r="W4" s="146">
        <f t="shared" ref="W4:Y4" si="1">SUM(W5,W8)</f>
        <v>98.490541702493545</v>
      </c>
      <c r="X4" s="146">
        <f t="shared" si="1"/>
        <v>100.75141874462597</v>
      </c>
      <c r="Y4" s="146">
        <f t="shared" si="1"/>
        <v>98.546431642304384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73.430782459157342</v>
      </c>
      <c r="C5" s="101">
        <f t="shared" ref="C5:V5" si="2">SUM(C6:C7)</f>
        <v>68.331384350816847</v>
      </c>
      <c r="D5" s="101">
        <f t="shared" si="2"/>
        <v>68.331384350816847</v>
      </c>
      <c r="E5" s="101">
        <f t="shared" si="2"/>
        <v>70.371195184866721</v>
      </c>
      <c r="F5" s="101">
        <f t="shared" si="2"/>
        <v>69.351332760103176</v>
      </c>
      <c r="G5" s="101">
        <f t="shared" si="2"/>
        <v>74.450644883920887</v>
      </c>
      <c r="H5" s="101">
        <f t="shared" si="2"/>
        <v>73.430782459157342</v>
      </c>
      <c r="I5" s="101">
        <f t="shared" si="2"/>
        <v>73.430782459157342</v>
      </c>
      <c r="J5" s="101">
        <f t="shared" si="2"/>
        <v>76.490369733447977</v>
      </c>
      <c r="K5" s="101">
        <f t="shared" si="2"/>
        <v>74.450644883920887</v>
      </c>
      <c r="L5" s="101">
        <f t="shared" si="2"/>
        <v>78.530180567497851</v>
      </c>
      <c r="M5" s="101">
        <f t="shared" si="2"/>
        <v>80.569905417024927</v>
      </c>
      <c r="N5" s="101">
        <f t="shared" si="2"/>
        <v>80.569905417024927</v>
      </c>
      <c r="O5" s="101">
        <f t="shared" si="2"/>
        <v>79.550042992261396</v>
      </c>
      <c r="P5" s="101">
        <f t="shared" si="2"/>
        <v>81.589767841788472</v>
      </c>
      <c r="Q5" s="101">
        <f t="shared" si="2"/>
        <v>80.144625967325879</v>
      </c>
      <c r="R5" s="101">
        <f t="shared" si="2"/>
        <v>81.816165090283747</v>
      </c>
      <c r="S5" s="101">
        <f t="shared" si="2"/>
        <v>78.741272570937227</v>
      </c>
      <c r="T5" s="101">
        <f t="shared" si="2"/>
        <v>72.315047291487531</v>
      </c>
      <c r="U5" s="101">
        <f t="shared" si="2"/>
        <v>72.182459157351673</v>
      </c>
      <c r="V5" s="101">
        <f t="shared" si="2"/>
        <v>63.396302665520203</v>
      </c>
      <c r="W5" s="101">
        <f t="shared" ref="W5:Y5" si="3">SUM(W6:W7)</f>
        <v>59.553396388650043</v>
      </c>
      <c r="X5" s="101">
        <f t="shared" si="3"/>
        <v>58.073516766981939</v>
      </c>
      <c r="Y5" s="101">
        <f t="shared" si="3"/>
        <v>56.34488392089424</v>
      </c>
      <c r="DA5" s="175"/>
    </row>
    <row r="6" spans="1:105" ht="11.45" customHeight="1" x14ac:dyDescent="0.25">
      <c r="A6" s="164" t="s">
        <v>175</v>
      </c>
      <c r="B6" s="165">
        <v>73.430782459157342</v>
      </c>
      <c r="C6" s="165">
        <v>68.331384350816847</v>
      </c>
      <c r="D6" s="165">
        <v>68.331384350816847</v>
      </c>
      <c r="E6" s="165">
        <v>70.371195184866721</v>
      </c>
      <c r="F6" s="165">
        <v>69.351332760103176</v>
      </c>
      <c r="G6" s="165">
        <v>74.450644883920887</v>
      </c>
      <c r="H6" s="165">
        <v>73.430782459157342</v>
      </c>
      <c r="I6" s="165">
        <v>73.430782459157342</v>
      </c>
      <c r="J6" s="165">
        <v>76.490369733447977</v>
      </c>
      <c r="K6" s="165">
        <v>74.450644883920887</v>
      </c>
      <c r="L6" s="165">
        <v>78.530180567497851</v>
      </c>
      <c r="M6" s="165">
        <v>80.569905417024927</v>
      </c>
      <c r="N6" s="165">
        <v>80.569905417024927</v>
      </c>
      <c r="O6" s="165">
        <v>79.550042992261396</v>
      </c>
      <c r="P6" s="165">
        <v>81.589767841788472</v>
      </c>
      <c r="Q6" s="165">
        <v>80.144625967325879</v>
      </c>
      <c r="R6" s="165">
        <v>81.816165090283747</v>
      </c>
      <c r="S6" s="165">
        <v>78.741272570937227</v>
      </c>
      <c r="T6" s="165">
        <v>72.315047291487531</v>
      </c>
      <c r="U6" s="165">
        <v>72.182459157351673</v>
      </c>
      <c r="V6" s="165">
        <v>63.396302665520203</v>
      </c>
      <c r="W6" s="165">
        <v>59.553396388650043</v>
      </c>
      <c r="X6" s="165">
        <v>58.073516766981939</v>
      </c>
      <c r="Y6" s="165">
        <v>56.34488392089424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29.922613929492691</v>
      </c>
      <c r="C8" s="88">
        <v>29.922613929492691</v>
      </c>
      <c r="D8" s="88">
        <v>31.298366294067069</v>
      </c>
      <c r="E8" s="88">
        <v>30.352536543422179</v>
      </c>
      <c r="F8" s="88">
        <v>31.81427343078246</v>
      </c>
      <c r="G8" s="88">
        <v>32.244196044711948</v>
      </c>
      <c r="H8" s="88">
        <v>32.330180567497848</v>
      </c>
      <c r="I8" s="88">
        <v>30.610490111779882</v>
      </c>
      <c r="J8" s="88">
        <v>32.502149613069648</v>
      </c>
      <c r="K8" s="88">
        <v>33.963886500429922</v>
      </c>
      <c r="L8" s="88">
        <v>34.737747205503013</v>
      </c>
      <c r="M8" s="88">
        <v>34.135855546001707</v>
      </c>
      <c r="N8" s="88">
        <v>33.104041272570932</v>
      </c>
      <c r="O8" s="88">
        <v>33.190025795356831</v>
      </c>
      <c r="P8" s="88">
        <v>33.104041272570932</v>
      </c>
      <c r="Q8" s="88">
        <v>34.135855546001707</v>
      </c>
      <c r="R8" s="88">
        <v>35.855546001719688</v>
      </c>
      <c r="S8" s="88">
        <v>35.001117798796223</v>
      </c>
      <c r="T8" s="88">
        <v>34.658039552880467</v>
      </c>
      <c r="U8" s="88">
        <v>35.412295786758378</v>
      </c>
      <c r="V8" s="88">
        <v>36.450730868443678</v>
      </c>
      <c r="W8" s="88">
        <v>38.937145313843509</v>
      </c>
      <c r="X8" s="88">
        <v>42.677901977644019</v>
      </c>
      <c r="Y8" s="88">
        <v>42.201547721410137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103.35339638865003</v>
      </c>
      <c r="C10" s="62">
        <f t="shared" ref="C10:V10" si="5">SUM(C11,C17)</f>
        <v>98.253998280309531</v>
      </c>
      <c r="D10" s="62">
        <f t="shared" si="5"/>
        <v>99.629750644883941</v>
      </c>
      <c r="E10" s="62">
        <f t="shared" si="5"/>
        <v>100.7237317282889</v>
      </c>
      <c r="F10" s="62">
        <f t="shared" si="5"/>
        <v>101.16560619088563</v>
      </c>
      <c r="G10" s="62">
        <f t="shared" si="5"/>
        <v>106.69484092863283</v>
      </c>
      <c r="H10" s="62">
        <f t="shared" si="5"/>
        <v>105.7609630266552</v>
      </c>
      <c r="I10" s="62">
        <f t="shared" si="5"/>
        <v>104.04127257093721</v>
      </c>
      <c r="J10" s="62">
        <f t="shared" si="5"/>
        <v>108.99251934651761</v>
      </c>
      <c r="K10" s="62">
        <f t="shared" si="5"/>
        <v>108.41453138435082</v>
      </c>
      <c r="L10" s="62">
        <f t="shared" si="5"/>
        <v>113.26792777300088</v>
      </c>
      <c r="M10" s="62">
        <f t="shared" si="5"/>
        <v>114.70576096302665</v>
      </c>
      <c r="N10" s="62">
        <f t="shared" si="5"/>
        <v>113.67394668959585</v>
      </c>
      <c r="O10" s="62">
        <f t="shared" si="5"/>
        <v>112.74006878761823</v>
      </c>
      <c r="P10" s="62">
        <f t="shared" si="5"/>
        <v>114.6938091143594</v>
      </c>
      <c r="Q10" s="62">
        <f t="shared" si="5"/>
        <v>114.28048151332759</v>
      </c>
      <c r="R10" s="62">
        <f t="shared" si="5"/>
        <v>117.67171109200345</v>
      </c>
      <c r="S10" s="62">
        <f t="shared" si="5"/>
        <v>113.74239036973346</v>
      </c>
      <c r="T10" s="62">
        <f t="shared" si="5"/>
        <v>106.973086844368</v>
      </c>
      <c r="U10" s="62">
        <f t="shared" si="5"/>
        <v>107.59475494411006</v>
      </c>
      <c r="V10" s="62">
        <f t="shared" si="5"/>
        <v>99.847033533963881</v>
      </c>
      <c r="W10" s="62">
        <f t="shared" ref="W10:Y10" si="6">SUM(W11,W17)</f>
        <v>98.490541702493559</v>
      </c>
      <c r="X10" s="62">
        <f t="shared" si="6"/>
        <v>100.75141874462595</v>
      </c>
      <c r="Y10" s="62">
        <f t="shared" si="6"/>
        <v>98.54643164230437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89.871730930969861</v>
      </c>
      <c r="C11" s="29">
        <f t="shared" ref="C11:V11" si="8">SUM(C12,C13,C16)</f>
        <v>85.365321944193013</v>
      </c>
      <c r="D11" s="29">
        <f t="shared" si="8"/>
        <v>88.050167592038036</v>
      </c>
      <c r="E11" s="29">
        <f t="shared" si="8"/>
        <v>89.420555670870797</v>
      </c>
      <c r="F11" s="29">
        <f t="shared" si="8"/>
        <v>88.190394146718518</v>
      </c>
      <c r="G11" s="29">
        <f t="shared" si="8"/>
        <v>94.5972550970246</v>
      </c>
      <c r="H11" s="29">
        <f t="shared" si="8"/>
        <v>94.65594155864747</v>
      </c>
      <c r="I11" s="29">
        <f t="shared" si="8"/>
        <v>93.943689166180022</v>
      </c>
      <c r="J11" s="29">
        <f t="shared" si="8"/>
        <v>98.109124545659938</v>
      </c>
      <c r="K11" s="29">
        <f t="shared" si="8"/>
        <v>98.844950225850894</v>
      </c>
      <c r="L11" s="29">
        <f t="shared" si="8"/>
        <v>101.08013896893517</v>
      </c>
      <c r="M11" s="29">
        <f t="shared" si="8"/>
        <v>100.90098312181274</v>
      </c>
      <c r="N11" s="29">
        <f t="shared" si="8"/>
        <v>102.21614707348188</v>
      </c>
      <c r="O11" s="29">
        <f t="shared" si="8"/>
        <v>100.91060630818114</v>
      </c>
      <c r="P11" s="29">
        <f t="shared" si="8"/>
        <v>102.38360121407389</v>
      </c>
      <c r="Q11" s="29">
        <f t="shared" si="8"/>
        <v>100.59797474554281</v>
      </c>
      <c r="R11" s="29">
        <f t="shared" si="8"/>
        <v>103.21608697405691</v>
      </c>
      <c r="S11" s="29">
        <f t="shared" si="8"/>
        <v>100.5221578477498</v>
      </c>
      <c r="T11" s="29">
        <f t="shared" si="8"/>
        <v>94.363330504356867</v>
      </c>
      <c r="U11" s="29">
        <f t="shared" si="8"/>
        <v>95.912465561548828</v>
      </c>
      <c r="V11" s="29">
        <f t="shared" si="8"/>
        <v>90.696959939348332</v>
      </c>
      <c r="W11" s="29">
        <f t="shared" ref="W11:Y11" si="9">SUM(W12,W13,W16)</f>
        <v>90.56722815623246</v>
      </c>
      <c r="X11" s="29">
        <f t="shared" si="9"/>
        <v>92.581975864870216</v>
      </c>
      <c r="Y11" s="29">
        <f t="shared" si="9"/>
        <v>91.066365267909603</v>
      </c>
      <c r="DA11" s="173" t="s">
        <v>395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4.0961842729609579E-2</v>
      </c>
      <c r="E12" s="115">
        <v>0.31247756389811865</v>
      </c>
      <c r="F12" s="115">
        <v>0.59371176122776559</v>
      </c>
      <c r="G12" s="115">
        <v>0.7559241690259646</v>
      </c>
      <c r="H12" s="115">
        <v>0.76062061087539967</v>
      </c>
      <c r="I12" s="115">
        <v>0.81070194974420628</v>
      </c>
      <c r="J12" s="115">
        <v>0.89186032652531066</v>
      </c>
      <c r="K12" s="115">
        <v>0.98315725228874529</v>
      </c>
      <c r="L12" s="115">
        <v>1.0817347674089561</v>
      </c>
      <c r="M12" s="115">
        <v>1.2529292518905575</v>
      </c>
      <c r="N12" s="115">
        <v>1.2188387591037084</v>
      </c>
      <c r="O12" s="115">
        <v>1.2596129788790358</v>
      </c>
      <c r="P12" s="115">
        <v>1.3032468791469833</v>
      </c>
      <c r="Q12" s="115">
        <v>1.3214695063167108</v>
      </c>
      <c r="R12" s="115">
        <v>1.40413807788826</v>
      </c>
      <c r="S12" s="115">
        <v>1.481814729056306</v>
      </c>
      <c r="T12" s="115">
        <v>1.530930777042586</v>
      </c>
      <c r="U12" s="115">
        <v>1.7461224181244805</v>
      </c>
      <c r="V12" s="115">
        <v>1.6193574779111823</v>
      </c>
      <c r="W12" s="115">
        <v>1.7928791550505871</v>
      </c>
      <c r="X12" s="115">
        <v>2.1844617805093542</v>
      </c>
      <c r="Y12" s="115">
        <v>2.2181033099144423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89.871730930969861</v>
      </c>
      <c r="C13" s="116">
        <f t="shared" ref="C13:V13" si="11">SUM(C14:C15)</f>
        <v>85.365321944193013</v>
      </c>
      <c r="D13" s="116">
        <f t="shared" si="11"/>
        <v>88.009205749308421</v>
      </c>
      <c r="E13" s="116">
        <f t="shared" si="11"/>
        <v>89.108078106972684</v>
      </c>
      <c r="F13" s="116">
        <f t="shared" si="11"/>
        <v>87.596682385490752</v>
      </c>
      <c r="G13" s="116">
        <f t="shared" si="11"/>
        <v>93.841330927998641</v>
      </c>
      <c r="H13" s="116">
        <f t="shared" si="11"/>
        <v>93.895320947772063</v>
      </c>
      <c r="I13" s="116">
        <f t="shared" si="11"/>
        <v>93.132987216435822</v>
      </c>
      <c r="J13" s="116">
        <f t="shared" si="11"/>
        <v>97.217264219134634</v>
      </c>
      <c r="K13" s="116">
        <f t="shared" si="11"/>
        <v>97.861792973562146</v>
      </c>
      <c r="L13" s="116">
        <f t="shared" si="11"/>
        <v>99.998404201526213</v>
      </c>
      <c r="M13" s="116">
        <f t="shared" si="11"/>
        <v>99.64805386992218</v>
      </c>
      <c r="N13" s="116">
        <f t="shared" si="11"/>
        <v>100.99730831437817</v>
      </c>
      <c r="O13" s="116">
        <f t="shared" si="11"/>
        <v>99.650993329302111</v>
      </c>
      <c r="P13" s="116">
        <f t="shared" si="11"/>
        <v>101.08035433492691</v>
      </c>
      <c r="Q13" s="116">
        <f t="shared" si="11"/>
        <v>99.276505239226097</v>
      </c>
      <c r="R13" s="116">
        <f t="shared" si="11"/>
        <v>101.81194889616864</v>
      </c>
      <c r="S13" s="116">
        <f t="shared" si="11"/>
        <v>99.040343118693485</v>
      </c>
      <c r="T13" s="116">
        <f t="shared" si="11"/>
        <v>92.832399727314282</v>
      </c>
      <c r="U13" s="116">
        <f t="shared" si="11"/>
        <v>94.166343143424342</v>
      </c>
      <c r="V13" s="116">
        <f t="shared" si="11"/>
        <v>89.077602461437152</v>
      </c>
      <c r="W13" s="116">
        <f t="shared" ref="W13:Y13" si="12">SUM(W14:W15)</f>
        <v>88.774349001181875</v>
      </c>
      <c r="X13" s="116">
        <f t="shared" si="12"/>
        <v>90.397514084360864</v>
      </c>
      <c r="Y13" s="116">
        <f t="shared" si="12"/>
        <v>88.848261957995163</v>
      </c>
      <c r="DA13" s="176" t="s">
        <v>397</v>
      </c>
    </row>
    <row r="14" spans="1:105" ht="11.45" customHeight="1" x14ac:dyDescent="0.25">
      <c r="A14" s="111" t="s">
        <v>95</v>
      </c>
      <c r="B14" s="87">
        <v>63.680268060263856</v>
      </c>
      <c r="C14" s="87">
        <v>59.18666630352493</v>
      </c>
      <c r="D14" s="87">
        <v>60.216276319704633</v>
      </c>
      <c r="E14" s="87">
        <v>62.819437646847241</v>
      </c>
      <c r="F14" s="87">
        <v>60.833320199199996</v>
      </c>
      <c r="G14" s="87">
        <v>66.749860839880355</v>
      </c>
      <c r="H14" s="87">
        <v>65.849212119502283</v>
      </c>
      <c r="I14" s="87">
        <v>66.614868892370083</v>
      </c>
      <c r="J14" s="87">
        <v>69.817077952719146</v>
      </c>
      <c r="K14" s="87">
        <v>68.111420140355051</v>
      </c>
      <c r="L14" s="87">
        <v>70.29174513222155</v>
      </c>
      <c r="M14" s="87">
        <v>71.088943841831025</v>
      </c>
      <c r="N14" s="87">
        <v>72.902010370761033</v>
      </c>
      <c r="O14" s="87">
        <v>71.539798332878249</v>
      </c>
      <c r="P14" s="87">
        <v>72.798886983665213</v>
      </c>
      <c r="Q14" s="87">
        <v>70.124785023379602</v>
      </c>
      <c r="R14" s="87">
        <v>71.131874965128645</v>
      </c>
      <c r="S14" s="87">
        <v>68.070390763415929</v>
      </c>
      <c r="T14" s="87">
        <v>62.076629893367482</v>
      </c>
      <c r="U14" s="87">
        <v>62.066857590228963</v>
      </c>
      <c r="V14" s="87">
        <v>55.245208721594189</v>
      </c>
      <c r="W14" s="87">
        <v>52.596543720748173</v>
      </c>
      <c r="X14" s="87">
        <v>50.952121475472559</v>
      </c>
      <c r="Y14" s="87">
        <v>49.404238779537295</v>
      </c>
      <c r="DA14" s="171" t="s">
        <v>1108</v>
      </c>
    </row>
    <row r="15" spans="1:105" ht="11.45" customHeight="1" x14ac:dyDescent="0.25">
      <c r="A15" s="111" t="s">
        <v>93</v>
      </c>
      <c r="B15" s="87">
        <v>26.191462870706001</v>
      </c>
      <c r="C15" s="87">
        <v>26.178655640668083</v>
      </c>
      <c r="D15" s="87">
        <v>27.792929429603788</v>
      </c>
      <c r="E15" s="87">
        <v>26.288640460125439</v>
      </c>
      <c r="F15" s="87">
        <v>26.76336218629076</v>
      </c>
      <c r="G15" s="87">
        <v>27.091470088118289</v>
      </c>
      <c r="H15" s="87">
        <v>28.046108828269777</v>
      </c>
      <c r="I15" s="87">
        <v>26.518118324065743</v>
      </c>
      <c r="J15" s="87">
        <v>27.400186266415492</v>
      </c>
      <c r="K15" s="87">
        <v>29.750372833207098</v>
      </c>
      <c r="L15" s="87">
        <v>29.70665906930466</v>
      </c>
      <c r="M15" s="87">
        <v>28.559110028091155</v>
      </c>
      <c r="N15" s="87">
        <v>28.095297943617144</v>
      </c>
      <c r="O15" s="87">
        <v>28.111194996423858</v>
      </c>
      <c r="P15" s="87">
        <v>28.2814673512617</v>
      </c>
      <c r="Q15" s="87">
        <v>29.151720215846499</v>
      </c>
      <c r="R15" s="87">
        <v>30.680073931039995</v>
      </c>
      <c r="S15" s="87">
        <v>30.969952355277556</v>
      </c>
      <c r="T15" s="87">
        <v>30.755769833946797</v>
      </c>
      <c r="U15" s="87">
        <v>32.099485553195379</v>
      </c>
      <c r="V15" s="87">
        <v>33.832393739842963</v>
      </c>
      <c r="W15" s="87">
        <v>36.177805280433702</v>
      </c>
      <c r="X15" s="87">
        <v>39.445392608888312</v>
      </c>
      <c r="Y15" s="87">
        <v>39.444023178457876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13.481665457680165</v>
      </c>
      <c r="C17" s="29">
        <f t="shared" si="13"/>
        <v>12.888676336116518</v>
      </c>
      <c r="D17" s="29">
        <f t="shared" si="13"/>
        <v>11.5795830528459</v>
      </c>
      <c r="E17" s="29">
        <f t="shared" si="13"/>
        <v>11.303176057418106</v>
      </c>
      <c r="F17" s="29">
        <f t="shared" si="13"/>
        <v>12.975212044167115</v>
      </c>
      <c r="G17" s="29">
        <f t="shared" si="13"/>
        <v>12.097585831608232</v>
      </c>
      <c r="H17" s="29">
        <f t="shared" si="13"/>
        <v>11.105021468007729</v>
      </c>
      <c r="I17" s="29">
        <f t="shared" si="13"/>
        <v>10.097583404757184</v>
      </c>
      <c r="J17" s="29">
        <f t="shared" si="13"/>
        <v>10.88339480085768</v>
      </c>
      <c r="K17" s="29">
        <f t="shared" si="13"/>
        <v>9.569581158499922</v>
      </c>
      <c r="L17" s="29">
        <f t="shared" si="13"/>
        <v>12.187788804065701</v>
      </c>
      <c r="M17" s="29">
        <f t="shared" si="13"/>
        <v>13.804777841213902</v>
      </c>
      <c r="N17" s="29">
        <f t="shared" si="13"/>
        <v>11.457799616113981</v>
      </c>
      <c r="O17" s="29">
        <f t="shared" si="13"/>
        <v>11.829462479437083</v>
      </c>
      <c r="P17" s="29">
        <f t="shared" si="13"/>
        <v>12.31020790028551</v>
      </c>
      <c r="Q17" s="29">
        <f t="shared" si="13"/>
        <v>13.682506767784769</v>
      </c>
      <c r="R17" s="29">
        <f t="shared" si="13"/>
        <v>14.455624117946536</v>
      </c>
      <c r="S17" s="29">
        <f t="shared" si="13"/>
        <v>13.220232521983663</v>
      </c>
      <c r="T17" s="29">
        <f t="shared" si="13"/>
        <v>12.609756340011128</v>
      </c>
      <c r="U17" s="29">
        <f t="shared" si="13"/>
        <v>11.682289382561239</v>
      </c>
      <c r="V17" s="29">
        <f t="shared" si="13"/>
        <v>9.1500735946155487</v>
      </c>
      <c r="W17" s="29">
        <f t="shared" si="13"/>
        <v>7.9233135462610935</v>
      </c>
      <c r="X17" s="29">
        <f t="shared" ref="X17:Y17" si="14">SUM(X18:X19)</f>
        <v>8.1694428797557403</v>
      </c>
      <c r="Y17" s="29">
        <f t="shared" si="14"/>
        <v>7.4800663743947657</v>
      </c>
      <c r="DA17" s="173" t="s">
        <v>402</v>
      </c>
    </row>
    <row r="18" spans="1:105" ht="11.45" customHeight="1" x14ac:dyDescent="0.25">
      <c r="A18" s="83" t="s">
        <v>95</v>
      </c>
      <c r="B18" s="87">
        <v>9.7505143988934737</v>
      </c>
      <c r="C18" s="87">
        <v>9.1447180472919118</v>
      </c>
      <c r="D18" s="87">
        <v>8.1151080311122286</v>
      </c>
      <c r="E18" s="87">
        <v>7.5517575380194817</v>
      </c>
      <c r="F18" s="87">
        <v>8.5180125609031769</v>
      </c>
      <c r="G18" s="87">
        <v>7.7007840440405344</v>
      </c>
      <c r="H18" s="87">
        <v>7.5815703396550598</v>
      </c>
      <c r="I18" s="87">
        <v>6.8159135667872519</v>
      </c>
      <c r="J18" s="87">
        <v>6.6732917807288334</v>
      </c>
      <c r="K18" s="87">
        <v>6.3392247435658398</v>
      </c>
      <c r="L18" s="87">
        <v>8.238435435276303</v>
      </c>
      <c r="M18" s="87">
        <v>9.4809615751939056</v>
      </c>
      <c r="N18" s="87">
        <v>7.6678950462638999</v>
      </c>
      <c r="O18" s="87">
        <v>8.0102446593831473</v>
      </c>
      <c r="P18" s="87">
        <v>8.7908808581232609</v>
      </c>
      <c r="Q18" s="87">
        <v>10.019840943946274</v>
      </c>
      <c r="R18" s="87">
        <v>10.684290125155103</v>
      </c>
      <c r="S18" s="87">
        <v>10.670881807521303</v>
      </c>
      <c r="T18" s="87">
        <v>10.238417398120045</v>
      </c>
      <c r="U18" s="87">
        <v>10.115601567122717</v>
      </c>
      <c r="V18" s="87">
        <v>8.1510939439260159</v>
      </c>
      <c r="W18" s="87">
        <v>6.9568526679018694</v>
      </c>
      <c r="X18" s="87">
        <v>7.1213952915093817</v>
      </c>
      <c r="Y18" s="87">
        <v>6.9406451413569439</v>
      </c>
      <c r="DA18" s="171" t="s">
        <v>1110</v>
      </c>
    </row>
    <row r="19" spans="1:105" ht="11.45" customHeight="1" x14ac:dyDescent="0.25">
      <c r="A19" s="85" t="s">
        <v>93</v>
      </c>
      <c r="B19" s="88">
        <v>3.7311510587866912</v>
      </c>
      <c r="C19" s="88">
        <v>3.7439582888246052</v>
      </c>
      <c r="D19" s="88">
        <v>3.4644750217336715</v>
      </c>
      <c r="E19" s="88">
        <v>3.7514185193986256</v>
      </c>
      <c r="F19" s="88">
        <v>4.4571994832639374</v>
      </c>
      <c r="G19" s="88">
        <v>4.3968017875676972</v>
      </c>
      <c r="H19" s="88">
        <v>3.5234511283526695</v>
      </c>
      <c r="I19" s="88">
        <v>3.2816698379699321</v>
      </c>
      <c r="J19" s="88">
        <v>4.2101030201288463</v>
      </c>
      <c r="K19" s="88">
        <v>3.2303564149340822</v>
      </c>
      <c r="L19" s="88">
        <v>3.949353368789398</v>
      </c>
      <c r="M19" s="88">
        <v>4.3238162660199952</v>
      </c>
      <c r="N19" s="88">
        <v>3.7899045698500817</v>
      </c>
      <c r="O19" s="88">
        <v>3.8192178200539355</v>
      </c>
      <c r="P19" s="88">
        <v>3.5193270421622493</v>
      </c>
      <c r="Q19" s="88">
        <v>3.6626658238384957</v>
      </c>
      <c r="R19" s="88">
        <v>3.7713339927914329</v>
      </c>
      <c r="S19" s="88">
        <v>2.5493507144623604</v>
      </c>
      <c r="T19" s="88">
        <v>2.3713389418910813</v>
      </c>
      <c r="U19" s="88">
        <v>1.5666878154385213</v>
      </c>
      <c r="V19" s="88">
        <v>0.99897965068953321</v>
      </c>
      <c r="W19" s="88">
        <v>0.96646087835922456</v>
      </c>
      <c r="X19" s="88">
        <v>1.048047588246358</v>
      </c>
      <c r="Y19" s="88">
        <v>0.53942123303782152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223.7775312312738</v>
      </c>
      <c r="C23" s="62">
        <f>IF(C10=0,0,C10/TrRail_act!C14*100)</f>
        <v>216.54571383131659</v>
      </c>
      <c r="D23" s="62">
        <f>IF(D10=0,0,D10/TrRail_act!D14*100)</f>
        <v>208.44752247775324</v>
      </c>
      <c r="E23" s="62">
        <f>IF(E10=0,0,E10/TrRail_act!E14*100)</f>
        <v>202.42001875380998</v>
      </c>
      <c r="F23" s="62">
        <f>IF(F10=0,0,F10/TrRail_act!F14*100)</f>
        <v>195.88312779598638</v>
      </c>
      <c r="G23" s="62">
        <f>IF(G10=0,0,G10/TrRail_act!G14*100)</f>
        <v>189.73994696612405</v>
      </c>
      <c r="H23" s="62">
        <f>IF(H10=0,0,H10/TrRail_act!H14*100)</f>
        <v>186.25719937664914</v>
      </c>
      <c r="I23" s="62">
        <f>IF(I10=0,0,I10/TrRail_act!I14*100)</f>
        <v>187.07190012052232</v>
      </c>
      <c r="J23" s="62">
        <f>IF(J10=0,0,J10/TrRail_act!J14*100)</f>
        <v>182.79711535487618</v>
      </c>
      <c r="K23" s="62">
        <f>IF(K10=0,0,K10/TrRail_act!K14*100)</f>
        <v>174.97058145529274</v>
      </c>
      <c r="L23" s="62">
        <f>IF(L10=0,0,L10/TrRail_act!L14*100)</f>
        <v>175.37513796295846</v>
      </c>
      <c r="M23" s="62">
        <f>IF(M10=0,0,M10/TrRail_act!M14*100)</f>
        <v>173.53318924915544</v>
      </c>
      <c r="N23" s="62">
        <f>IF(N10=0,0,N10/TrRail_act!N14*100)</f>
        <v>172.58929779972888</v>
      </c>
      <c r="O23" s="62">
        <f>IF(O10=0,0,O10/TrRail_act!O14*100)</f>
        <v>167.39488901362591</v>
      </c>
      <c r="P23" s="62">
        <f>IF(P10=0,0,P10/TrRail_act!P14*100)</f>
        <v>164.88958208075516</v>
      </c>
      <c r="Q23" s="62">
        <f>IF(Q10=0,0,Q10/TrRail_act!Q14*100)</f>
        <v>161.4620193782348</v>
      </c>
      <c r="R23" s="62">
        <f>IF(R10=0,0,R10/TrRail_act!R14*100)</f>
        <v>159.5274908150499</v>
      </c>
      <c r="S23" s="62">
        <f>IF(S10=0,0,S10/TrRail_act!S14*100)</f>
        <v>156.36973784814811</v>
      </c>
      <c r="T23" s="62">
        <f>IF(T10=0,0,T10/TrRail_act!T14*100)</f>
        <v>152.72827615636115</v>
      </c>
      <c r="U23" s="62">
        <f>IF(U10=0,0,U10/TrRail_act!U14*100)</f>
        <v>148.33151513606467</v>
      </c>
      <c r="V23" s="62">
        <f>IF(V10=0,0,V10/TrRail_act!V14*100)</f>
        <v>143.79941016094918</v>
      </c>
      <c r="W23" s="62">
        <f>IF(W10=0,0,W10/TrRail_act!W14*100)</f>
        <v>139.69241672944307</v>
      </c>
      <c r="X23" s="62">
        <f>IF(X10=0,0,X10/TrRail_act!X14*100)</f>
        <v>136.30788843089726</v>
      </c>
      <c r="Y23" s="62">
        <f>IF(Y10=0,0,Y10/TrRail_act!Y14*100)</f>
        <v>135.07689650980581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211.21447776325817</v>
      </c>
      <c r="C24" s="29">
        <f>IF(C11=0,0,C11/TrRail_act!C15*100)</f>
        <v>204.49206021206953</v>
      </c>
      <c r="D24" s="29">
        <f>IF(D11=0,0,D11/TrRail_act!D15*100)</f>
        <v>197.95045851445312</v>
      </c>
      <c r="E24" s="29">
        <f>IF(E11=0,0,E11/TrRail_act!E15*100)</f>
        <v>192.98374963337386</v>
      </c>
      <c r="F24" s="29">
        <f>IF(F11=0,0,F11/TrRail_act!F15*100)</f>
        <v>185.22834259025203</v>
      </c>
      <c r="G24" s="29">
        <f>IF(G11=0,0,G11/TrRail_act!G15*100)</f>
        <v>180.43409461845664</v>
      </c>
      <c r="H24" s="29">
        <f>IF(H11=0,0,H11/TrRail_act!H15*100)</f>
        <v>177.44294067708989</v>
      </c>
      <c r="I24" s="29">
        <f>IF(I11=0,0,I11/TrRail_act!I15*100)</f>
        <v>179.06812096807198</v>
      </c>
      <c r="J24" s="29">
        <f>IF(J11=0,0,J11/TrRail_act!J15*100)</f>
        <v>175.4763012049925</v>
      </c>
      <c r="K24" s="29">
        <f>IF(K11=0,0,K11/TrRail_act!K15*100)</f>
        <v>168.21077079775182</v>
      </c>
      <c r="L24" s="29">
        <f>IF(L11=0,0,L11/TrRail_act!L15*100)</f>
        <v>167.11816372778094</v>
      </c>
      <c r="M24" s="29">
        <f>IF(M11=0,0,M11/TrRail_act!M15*100)</f>
        <v>164.17854560480572</v>
      </c>
      <c r="N24" s="29">
        <f>IF(N11=0,0,N11/TrRail_act!N15*100)</f>
        <v>165.14887841559175</v>
      </c>
      <c r="O24" s="29">
        <f>IF(O11=0,0,O11/TrRail_act!O15*100)</f>
        <v>159.62863261108819</v>
      </c>
      <c r="P24" s="29">
        <f>IF(P11=0,0,P11/TrRail_act!P15*100)</f>
        <v>156.84694849964498</v>
      </c>
      <c r="Q24" s="29">
        <f>IF(Q11=0,0,Q11/TrRail_act!Q15*100)</f>
        <v>152.45188156269299</v>
      </c>
      <c r="R24" s="29">
        <f>IF(R11=0,0,R11/TrRail_act!R15*100)</f>
        <v>150.38308669101392</v>
      </c>
      <c r="S24" s="29">
        <f>IF(S11=0,0,S11/TrRail_act!S15*100)</f>
        <v>147.17843626784835</v>
      </c>
      <c r="T24" s="29">
        <f>IF(T11=0,0,T11/TrRail_act!T15*100)</f>
        <v>143.47498049667519</v>
      </c>
      <c r="U24" s="29">
        <f>IF(U11=0,0,U11/TrRail_act!U15*100)</f>
        <v>139.50851199471776</v>
      </c>
      <c r="V24" s="29">
        <f>IF(V11=0,0,V11/TrRail_act!V15*100)</f>
        <v>136.31715625870925</v>
      </c>
      <c r="W24" s="29">
        <f>IF(W11=0,0,W11/TrRail_act!W15*100)</f>
        <v>133.29287847320214</v>
      </c>
      <c r="X24" s="29">
        <f>IF(X11=0,0,X11/TrRail_act!X15*100)</f>
        <v>129.94131544586679</v>
      </c>
      <c r="Y24" s="29">
        <f>IF(Y11=0,0,Y11/TrRail_act!Y15*100)</f>
        <v>128.88370846718215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37.550687372375187</v>
      </c>
      <c r="E25" s="115">
        <f>IF(E12=0,0,E12/TrRail_act!E16*100)</f>
        <v>37.297250922068095</v>
      </c>
      <c r="F25" s="115">
        <f>IF(F12=0,0,F12/TrRail_act!F16*100)</f>
        <v>37.093555845627947</v>
      </c>
      <c r="G25" s="115">
        <f>IF(G12=0,0,G12/TrRail_act!G16*100)</f>
        <v>36.891185591958838</v>
      </c>
      <c r="H25" s="115">
        <f>IF(H12=0,0,H12/TrRail_act!H16*100)</f>
        <v>36.679820335914791</v>
      </c>
      <c r="I25" s="115">
        <f>IF(I12=0,0,I12/TrRail_act!I16*100)</f>
        <v>36.475314922346527</v>
      </c>
      <c r="J25" s="115">
        <f>IF(J12=0,0,J12/TrRail_act!J16*100)</f>
        <v>36.258391753915717</v>
      </c>
      <c r="K25" s="115">
        <f>IF(K12=0,0,K12/TrRail_act!K16*100)</f>
        <v>36.045828371965406</v>
      </c>
      <c r="L25" s="115">
        <f>IF(L12=0,0,L12/TrRail_act!L16*100)</f>
        <v>35.846513825105532</v>
      </c>
      <c r="M25" s="115">
        <f>IF(M12=0,0,M12/TrRail_act!M16*100)</f>
        <v>35.608469165276851</v>
      </c>
      <c r="N25" s="115">
        <f>IF(N12=0,0,N12/TrRail_act!N16*100)</f>
        <v>35.42722953333444</v>
      </c>
      <c r="O25" s="115">
        <f>IF(O12=0,0,O12/TrRail_act!O16*100)</f>
        <v>35.222401537931802</v>
      </c>
      <c r="P25" s="115">
        <f>IF(P12=0,0,P12/TrRail_act!P16*100)</f>
        <v>35.034390696686039</v>
      </c>
      <c r="Q25" s="115">
        <f>IF(Q12=0,0,Q12/TrRail_act!Q16*100)</f>
        <v>34.8121018139204</v>
      </c>
      <c r="R25" s="115">
        <f>IF(R12=0,0,R12/TrRail_act!R16*100)</f>
        <v>34.646311211102486</v>
      </c>
      <c r="S25" s="115">
        <f>IF(S12=0,0,S12/TrRail_act!S16*100)</f>
        <v>34.52248662032877</v>
      </c>
      <c r="T25" s="115">
        <f>IF(T12=0,0,T12/TrRail_act!T16*100)</f>
        <v>34.429908682541395</v>
      </c>
      <c r="U25" s="115">
        <f>IF(U12=0,0,U12/TrRail_act!U16*100)</f>
        <v>34.360638190382858</v>
      </c>
      <c r="V25" s="115">
        <f>IF(V12=0,0,V12/TrRail_act!V16*100)</f>
        <v>34.308776795584727</v>
      </c>
      <c r="W25" s="115">
        <f>IF(W12=0,0,W12/TrRail_act!W16*100)</f>
        <v>34.269932124402416</v>
      </c>
      <c r="X25" s="115">
        <f>IF(X12=0,0,X12/TrRail_act!X16*100)</f>
        <v>34.240827485776911</v>
      </c>
      <c r="Y25" s="115">
        <f>IF(Y12=0,0,Y12/TrRail_act!Y16*100)</f>
        <v>34.219015229063316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211.21447776325817</v>
      </c>
      <c r="C26" s="116">
        <f>IF(C13=0,0,C13/TrRail_act!C17*100)</f>
        <v>204.49206021206953</v>
      </c>
      <c r="D26" s="116">
        <f>IF(D13=0,0,D13/TrRail_act!D17*100)</f>
        <v>198.34478688806138</v>
      </c>
      <c r="E26" s="116">
        <f>IF(E13=0,0,E13/TrRail_act!E17*100)</f>
        <v>195.85057168429648</v>
      </c>
      <c r="F26" s="116">
        <f>IF(F13=0,0,F13/TrRail_act!F17*100)</f>
        <v>190.38147461826949</v>
      </c>
      <c r="G26" s="116">
        <f>IF(G13=0,0,G13/TrRail_act!G17*100)</f>
        <v>186.27246808408216</v>
      </c>
      <c r="H26" s="116">
        <f>IF(H13=0,0,H13/TrRail_act!H17*100)</f>
        <v>183.13618724042175</v>
      </c>
      <c r="I26" s="116">
        <f>IF(I13=0,0,I13/TrRail_act!I17*100)</f>
        <v>185.37639697058501</v>
      </c>
      <c r="J26" s="116">
        <f>IF(J13=0,0,J13/TrRail_act!J17*100)</f>
        <v>181.88296671358989</v>
      </c>
      <c r="K26" s="116">
        <f>IF(K13=0,0,K13/TrRail_act!K17*100)</f>
        <v>174.64393424386409</v>
      </c>
      <c r="L26" s="116">
        <f>IF(L13=0,0,L13/TrRail_act!L17*100)</f>
        <v>174.01150368180501</v>
      </c>
      <c r="M26" s="116">
        <f>IF(M13=0,0,M13/TrRail_act!M17*100)</f>
        <v>171.98652667876615</v>
      </c>
      <c r="N26" s="116">
        <f>IF(N13=0,0,N13/TrRail_act!N17*100)</f>
        <v>172.7839869873138</v>
      </c>
      <c r="O26" s="116">
        <f>IF(O13=0,0,O13/TrRail_act!O17*100)</f>
        <v>167.08839422950464</v>
      </c>
      <c r="P26" s="116">
        <f>IF(P13=0,0,P13/TrRail_act!P17*100)</f>
        <v>164.20821093710342</v>
      </c>
      <c r="Q26" s="116">
        <f>IF(Q13=0,0,Q13/TrRail_act!Q17*100)</f>
        <v>159.63239765476175</v>
      </c>
      <c r="R26" s="116">
        <f>IF(R13=0,0,R13/TrRail_act!R17*100)</f>
        <v>157.64595683183339</v>
      </c>
      <c r="S26" s="116">
        <f>IF(S13=0,0,S13/TrRail_act!S17*100)</f>
        <v>154.73313515599835</v>
      </c>
      <c r="T26" s="116">
        <f>IF(T13=0,0,T13/TrRail_act!T17*100)</f>
        <v>151.38176136731227</v>
      </c>
      <c r="U26" s="116">
        <f>IF(U13=0,0,U13/TrRail_act!U17*100)</f>
        <v>147.90097209164611</v>
      </c>
      <c r="V26" s="116">
        <f>IF(V13=0,0,V13/TrRail_act!V17*100)</f>
        <v>144.10626349579968</v>
      </c>
      <c r="W26" s="116">
        <f>IF(W13=0,0,W13/TrRail_act!W17*100)</f>
        <v>141.5533789854035</v>
      </c>
      <c r="X26" s="116">
        <f>IF(X13=0,0,X13/TrRail_act!X17*100)</f>
        <v>139.35315858688915</v>
      </c>
      <c r="Y26" s="116">
        <f>IF(Y13=0,0,Y13/TrRail_act!Y17*100)</f>
        <v>138.44533282547195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269.26243487954184</v>
      </c>
      <c r="C27" s="87">
        <f>IF(C14=0,0,C14/TrRail_act!C18*100)</f>
        <v>262.21425056919657</v>
      </c>
      <c r="D27" s="87">
        <f>IF(D14=0,0,D14/TrRail_act!D18*100)</f>
        <v>254.38055524482866</v>
      </c>
      <c r="E27" s="87">
        <f>IF(E14=0,0,E14/TrRail_act!E18*100)</f>
        <v>243.78414083182474</v>
      </c>
      <c r="F27" s="87">
        <f>IF(F14=0,0,F14/TrRail_act!F18*100)</f>
        <v>236.02008845808265</v>
      </c>
      <c r="G27" s="87">
        <f>IF(G14=0,0,G14/TrRail_act!G18*100)</f>
        <v>225.87474914803934</v>
      </c>
      <c r="H27" s="87">
        <f>IF(H14=0,0,H14/TrRail_act!H18*100)</f>
        <v>222.74601619703463</v>
      </c>
      <c r="I27" s="87">
        <f>IF(I14=0,0,I14/TrRail_act!I18*100)</f>
        <v>223.96720072060683</v>
      </c>
      <c r="J27" s="87">
        <f>IF(J14=0,0,J14/TrRail_act!J18*100)</f>
        <v>219.72771017748562</v>
      </c>
      <c r="K27" s="87">
        <f>IF(K14=0,0,K14/TrRail_act!K18*100)</f>
        <v>211.30035842936672</v>
      </c>
      <c r="L27" s="87">
        <f>IF(L14=0,0,L14/TrRail_act!L18*100)</f>
        <v>209.00512386722943</v>
      </c>
      <c r="M27" s="87">
        <f>IF(M14=0,0,M14/TrRail_act!M18*100)</f>
        <v>207.28113665422748</v>
      </c>
      <c r="N27" s="87">
        <f>IF(N14=0,0,N14/TrRail_act!N18*100)</f>
        <v>204.24728985143901</v>
      </c>
      <c r="O27" s="87">
        <f>IF(O14=0,0,O14/TrRail_act!O18*100)</f>
        <v>198.81626530840876</v>
      </c>
      <c r="P27" s="87">
        <f>IF(P14=0,0,P14/TrRail_act!P18*100)</f>
        <v>189.98143565366152</v>
      </c>
      <c r="Q27" s="87">
        <f>IF(Q14=0,0,Q14/TrRail_act!Q18*100)</f>
        <v>183.99936444117682</v>
      </c>
      <c r="R27" s="87">
        <f>IF(R14=0,0,R14/TrRail_act!R18*100)</f>
        <v>182.33130207883005</v>
      </c>
      <c r="S27" s="87">
        <f>IF(S14=0,0,S14/TrRail_act!S18*100)</f>
        <v>179.27928474919707</v>
      </c>
      <c r="T27" s="87">
        <f>IF(T14=0,0,T14/TrRail_act!T18*100)</f>
        <v>176.13872556581174</v>
      </c>
      <c r="U27" s="87">
        <f>IF(U14=0,0,U14/TrRail_act!U18*100)</f>
        <v>171.75963539092203</v>
      </c>
      <c r="V27" s="87">
        <f>IF(V14=0,0,V14/TrRail_act!V18*100)</f>
        <v>168.5469136574784</v>
      </c>
      <c r="W27" s="87">
        <f>IF(W14=0,0,W14/TrRail_act!W18*100)</f>
        <v>166.17687033272807</v>
      </c>
      <c r="X27" s="87">
        <f>IF(X14=0,0,X14/TrRail_act!X18*100)</f>
        <v>164.42123419989733</v>
      </c>
      <c r="Y27" s="87">
        <f>IF(Y14=0,0,Y14/TrRail_act!Y18*100)</f>
        <v>163.11669001533113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138.57845964190909</v>
      </c>
      <c r="C28" s="87">
        <f>IF(C15=0,0,C15/TrRail_act!C19*100)</f>
        <v>136.53787702485195</v>
      </c>
      <c r="D28" s="87">
        <f>IF(D15=0,0,D15/TrRail_act!D19*100)</f>
        <v>134.26472542368344</v>
      </c>
      <c r="E28" s="87">
        <f>IF(E15=0,0,E15/TrRail_act!E19*100)</f>
        <v>133.24517933973036</v>
      </c>
      <c r="F28" s="87">
        <f>IF(F15=0,0,F15/TrRail_act!F19*100)</f>
        <v>132.25291342160392</v>
      </c>
      <c r="G28" s="87">
        <f>IF(G15=0,0,G15/TrRail_act!G19*100)</f>
        <v>130.07975318680221</v>
      </c>
      <c r="H28" s="87">
        <f>IF(H15=0,0,H15/TrRail_act!H19*100)</f>
        <v>129.19533339823064</v>
      </c>
      <c r="I28" s="87">
        <f>IF(I15=0,0,I15/TrRail_act!I19*100)</f>
        <v>129.37685587841713</v>
      </c>
      <c r="J28" s="87">
        <f>IF(J15=0,0,J15/TrRail_act!J19*100)</f>
        <v>126.40743194398836</v>
      </c>
      <c r="K28" s="87">
        <f>IF(K15=0,0,K15/TrRail_act!K19*100)</f>
        <v>124.99826483641212</v>
      </c>
      <c r="L28" s="87">
        <f>IF(L15=0,0,L15/TrRail_act!L19*100)</f>
        <v>124.63482592579655</v>
      </c>
      <c r="M28" s="87">
        <f>IF(M15=0,0,M15/TrRail_act!M19*100)</f>
        <v>120.79029134283539</v>
      </c>
      <c r="N28" s="87">
        <f>IF(N15=0,0,N15/TrRail_act!N19*100)</f>
        <v>123.44198490293297</v>
      </c>
      <c r="O28" s="87">
        <f>IF(O15=0,0,O15/TrRail_act!O19*100)</f>
        <v>118.82915799408103</v>
      </c>
      <c r="P28" s="87">
        <f>IF(P15=0,0,P15/TrRail_act!P19*100)</f>
        <v>121.70738809222313</v>
      </c>
      <c r="Q28" s="87">
        <f>IF(Q15=0,0,Q15/TrRail_act!Q19*100)</f>
        <v>121.06562130871674</v>
      </c>
      <c r="R28" s="87">
        <f>IF(R15=0,0,R15/TrRail_act!R19*100)</f>
        <v>119.98358538437441</v>
      </c>
      <c r="S28" s="87">
        <f>IF(S15=0,0,S15/TrRail_act!S19*100)</f>
        <v>118.94005283086757</v>
      </c>
      <c r="T28" s="87">
        <f>IF(T15=0,0,T15/TrRail_act!T19*100)</f>
        <v>117.92703707893637</v>
      </c>
      <c r="U28" s="87">
        <f>IF(U15=0,0,U15/TrRail_act!U19*100)</f>
        <v>116.58707664227852</v>
      </c>
      <c r="V28" s="87">
        <f>IF(V15=0,0,V15/TrRail_act!V19*100)</f>
        <v>116.51684437849616</v>
      </c>
      <c r="W28" s="87">
        <f>IF(W15=0,0,W15/TrRail_act!W19*100)</f>
        <v>116.46419794670568</v>
      </c>
      <c r="X28" s="87">
        <f>IF(X15=0,0,X15/TrRail_act!X19*100)</f>
        <v>116.42472873401073</v>
      </c>
      <c r="Y28" s="87">
        <f>IF(Y15=0,0,Y15/TrRail_act!Y19*100)</f>
        <v>116.39513560270164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370.80398225217431</v>
      </c>
      <c r="C30" s="29">
        <f>IF(C17=0,0,C17/TrRail_act!C21*100)</f>
        <v>355.22884859948579</v>
      </c>
      <c r="D30" s="29">
        <f>IF(D17=0,0,D17/TrRail_act!D21*100)</f>
        <v>349.29059374925703</v>
      </c>
      <c r="E30" s="29">
        <f>IF(E17=0,0,E17/TrRail_act!E21*100)</f>
        <v>330.11877864112591</v>
      </c>
      <c r="F30" s="29">
        <f>IF(F17=0,0,F17/TrRail_act!F21*100)</f>
        <v>321.63163418837451</v>
      </c>
      <c r="G30" s="29">
        <f>IF(G17=0,0,G17/TrRail_act!G21*100)</f>
        <v>317.97677926456396</v>
      </c>
      <c r="H30" s="29">
        <f>IF(H17=0,0,H17/TrRail_act!H21*100)</f>
        <v>323.029269036757</v>
      </c>
      <c r="I30" s="29">
        <f>IF(I17=0,0,I17/TrRail_act!I21*100)</f>
        <v>320.24123678773265</v>
      </c>
      <c r="J30" s="29">
        <f>IF(J17=0,0,J17/TrRail_act!J21*100)</f>
        <v>292.98397016592969</v>
      </c>
      <c r="K30" s="29">
        <f>IF(K17=0,0,K17/TrRail_act!K21*100)</f>
        <v>299.14104095719273</v>
      </c>
      <c r="L30" s="29">
        <f>IF(L17=0,0,L17/TrRail_act!L21*100)</f>
        <v>297.12922807210629</v>
      </c>
      <c r="M30" s="29">
        <f>IF(M17=0,0,M17/TrRail_act!M21*100)</f>
        <v>297.38183242488901</v>
      </c>
      <c r="N30" s="29">
        <f>IF(N17=0,0,N17/TrRail_act!N21*100)</f>
        <v>288.57246327993494</v>
      </c>
      <c r="O30" s="29">
        <f>IF(O17=0,0,O17/TrRail_act!O21*100)</f>
        <v>286.15662660751201</v>
      </c>
      <c r="P30" s="29">
        <f>IF(P17=0,0,P17/TrRail_act!P21*100)</f>
        <v>287.49886737068221</v>
      </c>
      <c r="Q30" s="29">
        <f>IF(Q17=0,0,Q17/TrRail_act!Q21*100)</f>
        <v>285.5371956071582</v>
      </c>
      <c r="R30" s="29">
        <f>IF(R17=0,0,R17/TrRail_act!R21*100)</f>
        <v>281.93893146158865</v>
      </c>
      <c r="S30" s="29">
        <f>IF(S17=0,0,S17/TrRail_act!S21*100)</f>
        <v>297.76148596468335</v>
      </c>
      <c r="T30" s="29">
        <f>IF(T17=0,0,T17/TrRail_act!T21*100)</f>
        <v>295.2028562461266</v>
      </c>
      <c r="U30" s="29">
        <f>IF(U17=0,0,U17/TrRail_act!U21*100)</f>
        <v>308.53139450864751</v>
      </c>
      <c r="V30" s="29">
        <f>IF(V17=0,0,V17/TrRail_act!V21*100)</f>
        <v>315.39391600972976</v>
      </c>
      <c r="W30" s="29">
        <f>IF(W17=0,0,W17/TrRail_act!W21*100)</f>
        <v>309.59489831214432</v>
      </c>
      <c r="X30" s="29">
        <f>IF(X17=0,0,X17/TrRail_act!X21*100)</f>
        <v>306.48547910285521</v>
      </c>
      <c r="Y30" s="29">
        <f>IF(Y17=0,0,Y17/TrRail_act!Y21*100)</f>
        <v>325.50015640099093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498.62979835085923</v>
      </c>
      <c r="C31" s="87">
        <f>IF(C18=0,0,C18/TrRail_act!C22*100)</f>
        <v>494.20784483524056</v>
      </c>
      <c r="D31" s="87">
        <f>IF(D18=0,0,D18/TrRail_act!D22*100)</f>
        <v>486.70590084101059</v>
      </c>
      <c r="E31" s="87">
        <f>IF(E18=0,0,E18/TrRail_act!E22*100)</f>
        <v>475.60931089766984</v>
      </c>
      <c r="F31" s="87">
        <f>IF(F18=0,0,F18/TrRail_act!F22*100)</f>
        <v>474.51932298794873</v>
      </c>
      <c r="G31" s="87">
        <f>IF(G18=0,0,G18/TrRail_act!G22*100)</f>
        <v>469.28270168023101</v>
      </c>
      <c r="H31" s="87">
        <f>IF(H18=0,0,H18/TrRail_act!H22*100)</f>
        <v>456.72257224486697</v>
      </c>
      <c r="I31" s="87">
        <f>IF(I18=0,0,I18/TrRail_act!I22*100)</f>
        <v>455.24404462008016</v>
      </c>
      <c r="J31" s="87">
        <f>IF(J18=0,0,J18/TrRail_act!J22*100)</f>
        <v>439.81650417512162</v>
      </c>
      <c r="K31" s="87">
        <f>IF(K18=0,0,K18/TrRail_act!K22*100)</f>
        <v>428.8666568568953</v>
      </c>
      <c r="L31" s="87">
        <f>IF(L18=0,0,L18/TrRail_act!L22*100)</f>
        <v>424.72764960875554</v>
      </c>
      <c r="M31" s="87">
        <f>IF(M18=0,0,M18/TrRail_act!M22*100)</f>
        <v>415.57531133235102</v>
      </c>
      <c r="N31" s="87">
        <f>IF(N18=0,0,N18/TrRail_act!N22*100)</f>
        <v>411.08003477789498</v>
      </c>
      <c r="O31" s="87">
        <f>IF(O18=0,0,O18/TrRail_act!O22*100)</f>
        <v>401.5442538426459</v>
      </c>
      <c r="P31" s="87">
        <f>IF(P18=0,0,P18/TrRail_act!P22*100)</f>
        <v>389.55553679329614</v>
      </c>
      <c r="Q31" s="87">
        <f>IF(Q18=0,0,Q18/TrRail_act!Q22*100)</f>
        <v>385.50289543956404</v>
      </c>
      <c r="R31" s="87">
        <f>IF(R18=0,0,R18/TrRail_act!R22*100)</f>
        <v>376.75373979819881</v>
      </c>
      <c r="S31" s="87">
        <f>IF(S18=0,0,S18/TrRail_act!S22*100)</f>
        <v>370.32243014796626</v>
      </c>
      <c r="T31" s="87">
        <f>IF(T18=0,0,T18/TrRail_act!T22*100)</f>
        <v>365.57109706677801</v>
      </c>
      <c r="U31" s="87">
        <f>IF(U18=0,0,U18/TrRail_act!U22*100)</f>
        <v>362.0476457524548</v>
      </c>
      <c r="V31" s="87">
        <f>IF(V18=0,0,V18/TrRail_act!V22*100)</f>
        <v>359.42736131759182</v>
      </c>
      <c r="W31" s="87">
        <f>IF(W18=0,0,W18/TrRail_act!W22*100)</f>
        <v>357.47460067373845</v>
      </c>
      <c r="X31" s="87">
        <f>IF(X18=0,0,X18/TrRail_act!X22*100)</f>
        <v>356.01699570413848</v>
      </c>
      <c r="Y31" s="87">
        <f>IF(Y18=0,0,Y18/TrRail_act!Y22*100)</f>
        <v>354.92769365597781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222.04851951394548</v>
      </c>
      <c r="C32" s="88">
        <f>IF(C19=0,0,C19/TrRail_act!C23*100)</f>
        <v>210.58375253280511</v>
      </c>
      <c r="D32" s="88">
        <f>IF(D19=0,0,D19/TrRail_act!D23*100)</f>
        <v>210.24619142888986</v>
      </c>
      <c r="E32" s="88">
        <f>IF(E19=0,0,E19/TrRail_act!E23*100)</f>
        <v>204.30720637978516</v>
      </c>
      <c r="F32" s="88">
        <f>IF(F19=0,0,F19/TrRail_act!F23*100)</f>
        <v>199.0619491231173</v>
      </c>
      <c r="G32" s="88">
        <f>IF(G19=0,0,G19/TrRail_act!G23*100)</f>
        <v>203.21872759772336</v>
      </c>
      <c r="H32" s="88">
        <f>IF(H19=0,0,H19/TrRail_act!H23*100)</f>
        <v>198.19377151976613</v>
      </c>
      <c r="I32" s="88">
        <f>IF(I19=0,0,I19/TrRail_act!I23*100)</f>
        <v>198.17829982990429</v>
      </c>
      <c r="J32" s="88">
        <f>IF(J19=0,0,J19/TrRail_act!J23*100)</f>
        <v>191.59627902865793</v>
      </c>
      <c r="K32" s="88">
        <f>IF(K19=0,0,K19/TrRail_act!K23*100)</f>
        <v>187.71476757191513</v>
      </c>
      <c r="L32" s="88">
        <f>IF(L19=0,0,L19/TrRail_act!L23*100)</f>
        <v>182.65866885581065</v>
      </c>
      <c r="M32" s="88">
        <f>IF(M19=0,0,M19/TrRail_act!M23*100)</f>
        <v>183.15830817711841</v>
      </c>
      <c r="N32" s="88">
        <f>IF(N19=0,0,N19/TrRail_act!N23*100)</f>
        <v>180.02537849568071</v>
      </c>
      <c r="O32" s="88">
        <f>IF(O19=0,0,O19/TrRail_act!O23*100)</f>
        <v>178.54721436696434</v>
      </c>
      <c r="P32" s="88">
        <f>IF(P19=0,0,P19/TrRail_act!P23*100)</f>
        <v>173.77809361639711</v>
      </c>
      <c r="Q32" s="88">
        <f>IF(Q19=0,0,Q19/TrRail_act!Q23*100)</f>
        <v>167.04011063563013</v>
      </c>
      <c r="R32" s="88">
        <f>IF(R19=0,0,R19/TrRail_act!R23*100)</f>
        <v>164.59101234669652</v>
      </c>
      <c r="S32" s="88">
        <f>IF(S19=0,0,S19/TrRail_act!S23*100)</f>
        <v>163.59167112086291</v>
      </c>
      <c r="T32" s="88">
        <f>IF(T19=0,0,T19/TrRail_act!T23*100)</f>
        <v>161.21768762819229</v>
      </c>
      <c r="U32" s="88">
        <f>IF(U19=0,0,U19/TrRail_act!U23*100)</f>
        <v>157.86523719777281</v>
      </c>
      <c r="V32" s="88">
        <f>IF(V19=0,0,V19/TrRail_act!V23*100)</f>
        <v>157.72767906514787</v>
      </c>
      <c r="W32" s="88">
        <f>IF(W19=0,0,W19/TrRail_act!W23*100)</f>
        <v>157.62458913164807</v>
      </c>
      <c r="X32" s="88">
        <f>IF(X19=0,0,X19/TrRail_act!X23*100)</f>
        <v>157.54731590140534</v>
      </c>
      <c r="Y32" s="88">
        <f>IF(Y19=0,0,Y19/TrRail_act!Y23*100)</f>
        <v>157.48938583987422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16.231123520131817</v>
      </c>
      <c r="C35" s="29">
        <f>IF(C11=0,0,C11/TrRail_act!C4*1000)</f>
        <v>14.921398696765079</v>
      </c>
      <c r="D35" s="29">
        <f>IF(D11=0,0,D11/TrRail_act!D4*1000)</f>
        <v>15.302427457775119</v>
      </c>
      <c r="E35" s="29">
        <f>IF(E11=0,0,E11/TrRail_act!E4*1000)</f>
        <v>15.174029470706058</v>
      </c>
      <c r="F35" s="29">
        <f>IF(F11=0,0,F11/TrRail_act!F4*1000)</f>
        <v>14.519327320829523</v>
      </c>
      <c r="G35" s="29">
        <f>IF(G11=0,0,G11/TrRail_act!G4*1000)</f>
        <v>15.41676256470414</v>
      </c>
      <c r="H35" s="29">
        <f>IF(H11=0,0,H11/TrRail_act!H4*1000)</f>
        <v>15.087016506000554</v>
      </c>
      <c r="I35" s="29">
        <f>IF(I11=0,0,I11/TrRail_act!I4*1000)</f>
        <v>14.787295634531722</v>
      </c>
      <c r="J35" s="29">
        <f>IF(J11=0,0,J11/TrRail_act!J4*1000)</f>
        <v>15.151988346820067</v>
      </c>
      <c r="K35" s="29">
        <f>IF(K11=0,0,K11/TrRail_act!K4*1000)</f>
        <v>15.524572047408654</v>
      </c>
      <c r="L35" s="29">
        <f>IF(L11=0,0,L11/TrRail_act!L4*1000)</f>
        <v>15.368730267437307</v>
      </c>
      <c r="M35" s="29">
        <f>IF(M11=0,0,M11/TrRail_act!M4*1000)</f>
        <v>15.189068662022089</v>
      </c>
      <c r="N35" s="29">
        <f>IF(N11=0,0,N11/TrRail_act!N4*1000)</f>
        <v>15.051707712189939</v>
      </c>
      <c r="O35" s="29">
        <f>IF(O11=0,0,O11/TrRail_act!O4*1000)</f>
        <v>14.763804873179392</v>
      </c>
      <c r="P35" s="29">
        <f>IF(P11=0,0,P11/TrRail_act!P4*1000)</f>
        <v>15.038719332267023</v>
      </c>
      <c r="Q35" s="29">
        <f>IF(Q11=0,0,Q11/TrRail_act!Q4*1000)</f>
        <v>14.774265640408696</v>
      </c>
      <c r="R35" s="29">
        <f>IF(R11=0,0,R11/TrRail_act!R4*1000)</f>
        <v>15.514217191350806</v>
      </c>
      <c r="S35" s="29">
        <f>IF(S11=0,0,S11/TrRail_act!S4*1000)</f>
        <v>15.182322586882615</v>
      </c>
      <c r="T35" s="29">
        <f>IF(T11=0,0,T11/TrRail_act!T4*1000)</f>
        <v>14.441893251355506</v>
      </c>
      <c r="U35" s="29">
        <f>IF(U11=0,0,U11/TrRail_act!U4*1000)</f>
        <v>14.58966619433356</v>
      </c>
      <c r="V35" s="29">
        <f>IF(V11=0,0,V11/TrRail_act!V4*1000)</f>
        <v>21.446431766220936</v>
      </c>
      <c r="W35" s="29">
        <f>IF(W11=0,0,W11/TrRail_act!W4*1000)</f>
        <v>20.072523970796201</v>
      </c>
      <c r="X35" s="29">
        <f>IF(X11=0,0,X11/TrRail_act!X4*1000)</f>
        <v>14.686227135924844</v>
      </c>
      <c r="Y35" s="29">
        <f>IF(Y11=0,0,Y11/TrRail_act!Y4*1000)</f>
        <v>13.8609383969421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4.5513158588455092</v>
      </c>
      <c r="E36" s="115">
        <f>IF(E12=0,0,E12/TrRail_act!E5*1000)</f>
        <v>4.6638442372853532</v>
      </c>
      <c r="F36" s="115">
        <f>IF(F12=0,0,F12/TrRail_act!F5*1000)</f>
        <v>4.6383731345919186</v>
      </c>
      <c r="G36" s="115">
        <f>IF(G12=0,0,G12/TrRail_act!G5*1000)</f>
        <v>4.6661985742343495</v>
      </c>
      <c r="H36" s="115">
        <f>IF(H12=0,0,H12/TrRail_act!H5*1000)</f>
        <v>4.6379305541182907</v>
      </c>
      <c r="I36" s="115">
        <f>IF(I12=0,0,I12/TrRail_act!I5*1000)</f>
        <v>4.5802370042045553</v>
      </c>
      <c r="J36" s="115">
        <f>IF(J12=0,0,J12/TrRail_act!J5*1000)</f>
        <v>4.5736427001297981</v>
      </c>
      <c r="K36" s="115">
        <f>IF(K12=0,0,K12/TrRail_act!K5*1000)</f>
        <v>4.5728244292499785</v>
      </c>
      <c r="L36" s="115">
        <f>IF(L12=0,0,L12/TrRail_act!L5*1000)</f>
        <v>4.5260868929245026</v>
      </c>
      <c r="M36" s="115">
        <f>IF(M12=0,0,M12/TrRail_act!M5*1000)</f>
        <v>4.5069397550020049</v>
      </c>
      <c r="N36" s="115">
        <f>IF(N12=0,0,N12/TrRail_act!N5*1000)</f>
        <v>4.4483166390646289</v>
      </c>
      <c r="O36" s="115">
        <f>IF(O12=0,0,O12/TrRail_act!O5*1000)</f>
        <v>4.4352569678839284</v>
      </c>
      <c r="P36" s="115">
        <f>IF(P12=0,0,P12/TrRail_act!P5*1000)</f>
        <v>4.417786031006723</v>
      </c>
      <c r="Q36" s="115">
        <f>IF(Q12=0,0,Q12/TrRail_act!Q5*1000)</f>
        <v>4.375726842108314</v>
      </c>
      <c r="R36" s="115">
        <f>IF(R12=0,0,R12/TrRail_act!R5*1000)</f>
        <v>4.3742619248855448</v>
      </c>
      <c r="S36" s="115">
        <f>IF(S12=0,0,S12/TrRail_act!S5*1000)</f>
        <v>4.3454977391680529</v>
      </c>
      <c r="T36" s="115">
        <f>IF(T12=0,0,T12/TrRail_act!T5*1000)</f>
        <v>4.3492351620528007</v>
      </c>
      <c r="U36" s="115">
        <f>IF(U12=0,0,U12/TrRail_act!U5*1000)</f>
        <v>4.3653060453112014</v>
      </c>
      <c r="V36" s="115">
        <f>IF(V12=0,0,V12/TrRail_act!V5*1000)</f>
        <v>5.6033130723570324</v>
      </c>
      <c r="W36" s="115">
        <f>IF(W12=0,0,W12/TrRail_act!W5*1000)</f>
        <v>5.4165533385214113</v>
      </c>
      <c r="X36" s="115">
        <f>IF(X12=0,0,X12/TrRail_act!X5*1000)</f>
        <v>4.5320783827994902</v>
      </c>
      <c r="Y36" s="115">
        <f>IF(Y12=0,0,Y12/TrRail_act!Y5*1000)</f>
        <v>4.1152194989136222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16.231123520131817</v>
      </c>
      <c r="C37" s="116">
        <f>IF(C13=0,0,C13/TrRail_act!C6*1000)</f>
        <v>14.921398696765079</v>
      </c>
      <c r="D37" s="116">
        <f>IF(D13=0,0,D13/TrRail_act!D6*1000)</f>
        <v>15.31926993025386</v>
      </c>
      <c r="E37" s="116">
        <f>IF(E13=0,0,E13/TrRail_act!E6*1000)</f>
        <v>15.294898404904341</v>
      </c>
      <c r="F37" s="116">
        <f>IF(F13=0,0,F13/TrRail_act!F6*1000)</f>
        <v>14.732035382692693</v>
      </c>
      <c r="G37" s="116">
        <f>IF(G13=0,0,G13/TrRail_act!G6*1000)</f>
        <v>15.708291082691437</v>
      </c>
      <c r="H37" s="116">
        <f>IF(H13=0,0,H13/TrRail_act!H6*1000)</f>
        <v>15.367482970175461</v>
      </c>
      <c r="I37" s="116">
        <f>IF(I13=0,0,I13/TrRail_act!I6*1000)</f>
        <v>15.079823059656059</v>
      </c>
      <c r="J37" s="116">
        <f>IF(J13=0,0,J13/TrRail_act!J6*1000)</f>
        <v>15.480456085849465</v>
      </c>
      <c r="K37" s="116">
        <f>IF(K13=0,0,K13/TrRail_act!K6*1000)</f>
        <v>15.907313552269528</v>
      </c>
      <c r="L37" s="116">
        <f>IF(L13=0,0,L13/TrRail_act!L6*1000)</f>
        <v>15.777596118890218</v>
      </c>
      <c r="M37" s="116">
        <f>IF(M13=0,0,M13/TrRail_act!M6*1000)</f>
        <v>15.655625117034122</v>
      </c>
      <c r="N37" s="116">
        <f>IF(N13=0,0,N13/TrRail_act!N6*1000)</f>
        <v>15.497515469445784</v>
      </c>
      <c r="O37" s="116">
        <f>IF(O13=0,0,O13/TrRail_act!O6*1000)</f>
        <v>15.211569734285163</v>
      </c>
      <c r="P37" s="116">
        <f>IF(P13=0,0,P13/TrRail_act!P6*1000)</f>
        <v>15.519784175483942</v>
      </c>
      <c r="Q37" s="116">
        <f>IF(Q13=0,0,Q13/TrRail_act!Q6*1000)</f>
        <v>15.256878014327048</v>
      </c>
      <c r="R37" s="116">
        <f>IF(R13=0,0,R13/TrRail_act!R6*1000)</f>
        <v>16.078955921694352</v>
      </c>
      <c r="S37" s="116">
        <f>IF(S13=0,0,S13/TrRail_act!S6*1000)</f>
        <v>15.770755273677308</v>
      </c>
      <c r="T37" s="116">
        <f>IF(T13=0,0,T13/TrRail_act!T6*1000)</f>
        <v>15.016564174589822</v>
      </c>
      <c r="U37" s="116">
        <f>IF(U13=0,0,U13/TrRail_act!U6*1000)</f>
        <v>15.25208019815749</v>
      </c>
      <c r="V37" s="116">
        <f>IF(V13=0,0,V13/TrRail_act!V6*1000)</f>
        <v>22.608528543511966</v>
      </c>
      <c r="W37" s="116">
        <f>IF(W13=0,0,W13/TrRail_act!W6*1000)</f>
        <v>21.232802918244889</v>
      </c>
      <c r="X37" s="116">
        <f>IF(X13=0,0,X13/TrRail_act!X6*1000)</f>
        <v>15.526883216138932</v>
      </c>
      <c r="Y37" s="116">
        <f>IF(Y13=0,0,Y13/TrRail_act!Y6*1000)</f>
        <v>14.731928694743022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23.219033981244774</v>
      </c>
      <c r="C38" s="87">
        <f>IF(C14=0,0,C14/TrRail_act!C7*1000)</f>
        <v>21.354395755065383</v>
      </c>
      <c r="D38" s="87">
        <f>IF(D14=0,0,D14/TrRail_act!D7*1000)</f>
        <v>21.903662339099501</v>
      </c>
      <c r="E38" s="87">
        <f>IF(E14=0,0,E14/TrRail_act!E7*1000)</f>
        <v>21.833748680427089</v>
      </c>
      <c r="F38" s="87">
        <f>IF(F14=0,0,F14/TrRail_act!F7*1000)</f>
        <v>20.899918445733469</v>
      </c>
      <c r="G38" s="87">
        <f>IF(G14=0,0,G14/TrRail_act!G7*1000)</f>
        <v>20.25050304008035</v>
      </c>
      <c r="H38" s="87">
        <f>IF(H14=0,0,H14/TrRail_act!H7*1000)</f>
        <v>19.115918063844539</v>
      </c>
      <c r="I38" s="87">
        <f>IF(I14=0,0,I14/TrRail_act!I7*1000)</f>
        <v>19.259471429086087</v>
      </c>
      <c r="J38" s="87">
        <f>IF(J14=0,0,J14/TrRail_act!J7*1000)</f>
        <v>19.57007384302203</v>
      </c>
      <c r="K38" s="87">
        <f>IF(K14=0,0,K14/TrRail_act!K7*1000)</f>
        <v>19.869875408902015</v>
      </c>
      <c r="L38" s="87">
        <f>IF(L14=0,0,L14/TrRail_act!L7*1000)</f>
        <v>19.994779033755897</v>
      </c>
      <c r="M38" s="87">
        <f>IF(M14=0,0,M14/TrRail_act!M7*1000)</f>
        <v>19.744134576917002</v>
      </c>
      <c r="N38" s="87">
        <f>IF(N14=0,0,N14/TrRail_act!N7*1000)</f>
        <v>19.595093120485874</v>
      </c>
      <c r="O38" s="87">
        <f>IF(O14=0,0,O14/TrRail_act!O7*1000)</f>
        <v>18.856246944554421</v>
      </c>
      <c r="P38" s="87">
        <f>IF(P14=0,0,P14/TrRail_act!P7*1000)</f>
        <v>19.09668817381614</v>
      </c>
      <c r="Q38" s="87">
        <f>IF(Q14=0,0,Q14/TrRail_act!Q7*1000)</f>
        <v>18.66182965415231</v>
      </c>
      <c r="R38" s="87">
        <f>IF(R14=0,0,R14/TrRail_act!R7*1000)</f>
        <v>19.554367247311493</v>
      </c>
      <c r="S38" s="87">
        <f>IF(S14=0,0,S14/TrRail_act!S7*1000)</f>
        <v>18.872583967596888</v>
      </c>
      <c r="T38" s="87">
        <f>IF(T14=0,0,T14/TrRail_act!T7*1000)</f>
        <v>20.034379776631809</v>
      </c>
      <c r="U38" s="87">
        <f>IF(U14=0,0,U14/TrRail_act!U7*1000)</f>
        <v>20.072716495138824</v>
      </c>
      <c r="V38" s="87">
        <f>IF(V14=0,0,V14/TrRail_act!V7*1000)</f>
        <v>28.210900384044329</v>
      </c>
      <c r="W38" s="87">
        <f>IF(W14=0,0,W14/TrRail_act!W7*1000)</f>
        <v>27.820270656510743</v>
      </c>
      <c r="X38" s="87">
        <f>IF(X14=0,0,X14/TrRail_act!X7*1000)</f>
        <v>20.282413060983604</v>
      </c>
      <c r="Y38" s="87">
        <f>IF(Y14=0,0,Y14/TrRail_act!Y7*1000)</f>
        <v>19.027450864411353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9.3728027920653361</v>
      </c>
      <c r="C39" s="87">
        <f>IF(C15=0,0,C15/TrRail_act!C8*1000)</f>
        <v>8.8760418172999636</v>
      </c>
      <c r="D39" s="87">
        <f>IF(D15=0,0,D15/TrRail_act!D8*1000)</f>
        <v>9.2771181677200083</v>
      </c>
      <c r="E39" s="87">
        <f>IF(E15=0,0,E15/TrRail_act!E8*1000)</f>
        <v>8.9149435877181187</v>
      </c>
      <c r="F39" s="87">
        <f>IF(F15=0,0,F15/TrRail_act!F8*1000)</f>
        <v>8.8173596129053671</v>
      </c>
      <c r="G39" s="87">
        <f>IF(G15=0,0,G15/TrRail_act!G8*1000)</f>
        <v>10.117091039719091</v>
      </c>
      <c r="H39" s="87">
        <f>IF(H15=0,0,H15/TrRail_act!H8*1000)</f>
        <v>10.5228094989487</v>
      </c>
      <c r="I39" s="87">
        <f>IF(I15=0,0,I15/TrRail_act!I8*1000)</f>
        <v>9.7593935995049836</v>
      </c>
      <c r="J39" s="87">
        <f>IF(J15=0,0,J15/TrRail_act!J8*1000)</f>
        <v>10.101610914539046</v>
      </c>
      <c r="K39" s="87">
        <f>IF(K15=0,0,K15/TrRail_act!K8*1000)</f>
        <v>10.921068922736099</v>
      </c>
      <c r="L39" s="87">
        <f>IF(L15=0,0,L15/TrRail_act!L8*1000)</f>
        <v>10.524964185152239</v>
      </c>
      <c r="M39" s="87">
        <f>IF(M15=0,0,M15/TrRail_act!M8*1000)</f>
        <v>10.330695614965164</v>
      </c>
      <c r="N39" s="87">
        <f>IF(N15=0,0,N15/TrRail_act!N8*1000)</f>
        <v>10.046312062331957</v>
      </c>
      <c r="O39" s="87">
        <f>IF(O15=0,0,O15/TrRail_act!O8*1000)</f>
        <v>10.196141102669072</v>
      </c>
      <c r="P39" s="87">
        <f>IF(P15=0,0,P15/TrRail_act!P8*1000)</f>
        <v>10.4712087734548</v>
      </c>
      <c r="Q39" s="87">
        <f>IF(Q15=0,0,Q15/TrRail_act!Q8*1000)</f>
        <v>10.603164963187428</v>
      </c>
      <c r="R39" s="87">
        <f>IF(R15=0,0,R15/TrRail_act!R8*1000)</f>
        <v>11.386803392649803</v>
      </c>
      <c r="S39" s="87">
        <f>IF(S15=0,0,S15/TrRail_act!S8*1000)</f>
        <v>11.585521389963315</v>
      </c>
      <c r="T39" s="87">
        <f>IF(T15=0,0,T15/TrRail_act!T8*1000)</f>
        <v>9.9743219357289465</v>
      </c>
      <c r="U39" s="87">
        <f>IF(U15=0,0,U15/TrRail_act!U8*1000)</f>
        <v>10.415487594397055</v>
      </c>
      <c r="V39" s="87">
        <f>IF(V15=0,0,V15/TrRail_act!V8*1000)</f>
        <v>17.072349103682694</v>
      </c>
      <c r="W39" s="87">
        <f>IF(W15=0,0,W15/TrRail_act!W8*1000)</f>
        <v>15.795295197272477</v>
      </c>
      <c r="X39" s="87">
        <f>IF(X15=0,0,X15/TrRail_act!X8*1000)</f>
        <v>11.917516312123716</v>
      </c>
      <c r="Y39" s="87">
        <f>IF(Y15=0,0,Y15/TrRail_act!Y8*1000)</f>
        <v>11.484553449310274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6.6576125716939085</v>
      </c>
      <c r="C41" s="29">
        <f>IF(C17=0,0,C17/TrRail_act!C10*1000)</f>
        <v>6.1638815572054124</v>
      </c>
      <c r="D41" s="29">
        <f>IF(D17=0,0,D17/TrRail_act!D10*1000)</f>
        <v>6.1691971512231749</v>
      </c>
      <c r="E41" s="29">
        <f>IF(E17=0,0,E17/TrRail_act!E10*1000)</f>
        <v>5.6942952430317924</v>
      </c>
      <c r="F41" s="29">
        <f>IF(F17=0,0,F17/TrRail_act!F10*1000)</f>
        <v>5.5903541767199973</v>
      </c>
      <c r="G41" s="29">
        <f>IF(G17=0,0,G17/TrRail_act!G10*1000)</f>
        <v>6.1222600362389832</v>
      </c>
      <c r="H41" s="29">
        <f>IF(H17=0,0,H17/TrRail_act!H10*1000)</f>
        <v>5.8694616638518653</v>
      </c>
      <c r="I41" s="29">
        <f>IF(I17=0,0,I17/TrRail_act!I10*1000)</f>
        <v>5.6759884231350108</v>
      </c>
      <c r="J41" s="29">
        <f>IF(J17=0,0,J17/TrRail_act!J10*1000)</f>
        <v>5.8324730979944697</v>
      </c>
      <c r="K41" s="29">
        <f>IF(K17=0,0,K17/TrRail_act!K10*1000)</f>
        <v>5.629165387352896</v>
      </c>
      <c r="L41" s="29">
        <f>IF(L17=0,0,L17/TrRail_act!L10*1000)</f>
        <v>5.44340723718879</v>
      </c>
      <c r="M41" s="29">
        <f>IF(M17=0,0,M17/TrRail_act!M10*1000)</f>
        <v>5.2810932827903221</v>
      </c>
      <c r="N41" s="29">
        <f>IF(N17=0,0,N17/TrRail_act!N10*1000)</f>
        <v>5.029762781437217</v>
      </c>
      <c r="O41" s="29">
        <f>IF(O17=0,0,O17/TrRail_act!O10*1000)</f>
        <v>4.8303235930735333</v>
      </c>
      <c r="P41" s="29">
        <f>IF(P17=0,0,P17/TrRail_act!P10*1000)</f>
        <v>5.0184296372953563</v>
      </c>
      <c r="Q41" s="29">
        <f>IF(Q17=0,0,Q17/TrRail_act!Q10*1000)</f>
        <v>5.2564374828216556</v>
      </c>
      <c r="R41" s="29">
        <f>IF(R17=0,0,R17/TrRail_act!R10*1000)</f>
        <v>5.5258501979917956</v>
      </c>
      <c r="S41" s="29">
        <f>IF(S17=0,0,S17/TrRail_act!S10*1000)</f>
        <v>4.9831257150334203</v>
      </c>
      <c r="T41" s="29">
        <f>IF(T17=0,0,T17/TrRail_act!T10*1000)</f>
        <v>4.8611242636897174</v>
      </c>
      <c r="U41" s="29">
        <f>IF(U17=0,0,U17/TrRail_act!U10*1000)</f>
        <v>4.626649260420292</v>
      </c>
      <c r="V41" s="29">
        <f>IF(V17=0,0,V17/TrRail_act!V10*1000)</f>
        <v>3.7347239161696115</v>
      </c>
      <c r="W41" s="29">
        <f>IF(W17=0,0,W17/TrRail_act!W10*1000)</f>
        <v>3.9895838601516074</v>
      </c>
      <c r="X41" s="29">
        <f>IF(X17=0,0,X17/TrRail_act!X10*1000)</f>
        <v>3.6949085842404976</v>
      </c>
      <c r="Y41" s="29">
        <f>IF(Y17=0,0,Y17/TrRail_act!Y10*1000)</f>
        <v>3.9244839320014511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8.5593552465303571</v>
      </c>
      <c r="C42" s="87">
        <f>IF(C18=0,0,C18/TrRail_act!C11*1000)</f>
        <v>7.9335630124880412</v>
      </c>
      <c r="D42" s="87">
        <f>IF(D18=0,0,D18/TrRail_act!D11*1000)</f>
        <v>7.9473107822303852</v>
      </c>
      <c r="E42" s="87">
        <f>IF(E18=0,0,E18/TrRail_act!E11*1000)</f>
        <v>6.8714198283383539</v>
      </c>
      <c r="F42" s="87">
        <f>IF(F18=0,0,F18/TrRail_act!F11*1000)</f>
        <v>6.7491985644936863</v>
      </c>
      <c r="G42" s="87">
        <f>IF(G18=0,0,G18/TrRail_act!G11*1000)</f>
        <v>7.0472222868143124</v>
      </c>
      <c r="H42" s="87">
        <f>IF(H18=0,0,H18/TrRail_act!H11*1000)</f>
        <v>7.2806698551554678</v>
      </c>
      <c r="I42" s="87">
        <f>IF(I18=0,0,I18/TrRail_act!I11*1000)</f>
        <v>6.8536308841257574</v>
      </c>
      <c r="J42" s="87">
        <f>IF(J18=0,0,J18/TrRail_act!J11*1000)</f>
        <v>6.4318911535731385</v>
      </c>
      <c r="K42" s="87">
        <f>IF(K18=0,0,K18/TrRail_act!K11*1000)</f>
        <v>6.8462823628291334</v>
      </c>
      <c r="L42" s="87">
        <f>IF(L18=0,0,L18/TrRail_act!L11*1000)</f>
        <v>6.69446557355091</v>
      </c>
      <c r="M42" s="87">
        <f>IF(M18=0,0,M18/TrRail_act!M11*1000)</f>
        <v>6.5177628163103334</v>
      </c>
      <c r="N42" s="87">
        <f>IF(N18=0,0,N18/TrRail_act!N11*1000)</f>
        <v>5.9972102853296017</v>
      </c>
      <c r="O42" s="87">
        <f>IF(O18=0,0,O18/TrRail_act!O11*1000)</f>
        <v>5.8524046803504506</v>
      </c>
      <c r="P42" s="87">
        <f>IF(P18=0,0,P18/TrRail_act!P11*1000)</f>
        <v>6.3629546846926361</v>
      </c>
      <c r="Q42" s="87">
        <f>IF(Q18=0,0,Q18/TrRail_act!Q11*1000)</f>
        <v>6.2979086996723277</v>
      </c>
      <c r="R42" s="87">
        <f>IF(R18=0,0,R18/TrRail_act!R11*1000)</f>
        <v>6.1755615408202553</v>
      </c>
      <c r="S42" s="87">
        <f>IF(S18=0,0,S18/TrRail_act!S11*1000)</f>
        <v>5.6371825632079942</v>
      </c>
      <c r="T42" s="87">
        <f>IF(T18=0,0,T18/TrRail_act!T11*1000)</f>
        <v>5.2540439851297664</v>
      </c>
      <c r="U42" s="87">
        <f>IF(U18=0,0,U18/TrRail_act!U11*1000)</f>
        <v>5.0136091512451282</v>
      </c>
      <c r="V42" s="87">
        <f>IF(V18=0,0,V18/TrRail_act!V11*1000)</f>
        <v>4.0628412052758032</v>
      </c>
      <c r="W42" s="87">
        <f>IF(W18=0,0,W18/TrRail_act!W11*1000)</f>
        <v>4.4005690469733354</v>
      </c>
      <c r="X42" s="87">
        <f>IF(X18=0,0,X18/TrRail_act!X11*1000)</f>
        <v>4.1602584453833984</v>
      </c>
      <c r="Y42" s="87">
        <f>IF(Y18=0,0,Y18/TrRail_act!Y11*1000)</f>
        <v>4.1912477680207783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4.212013892380746</v>
      </c>
      <c r="C43" s="88">
        <f>IF(C19=0,0,C19/TrRail_act!C12*1000)</f>
        <v>3.9899897607551797</v>
      </c>
      <c r="D43" s="88">
        <f>IF(D19=0,0,D19/TrRail_act!D12*1000)</f>
        <v>4.0478216316814422</v>
      </c>
      <c r="E43" s="88">
        <f>IF(E19=0,0,E19/TrRail_act!E12*1000)</f>
        <v>4.2341533803933533</v>
      </c>
      <c r="F43" s="88">
        <f>IF(F19=0,0,F19/TrRail_act!F12*1000)</f>
        <v>4.2091843837078375</v>
      </c>
      <c r="G43" s="88">
        <f>IF(G19=0,0,G19/TrRail_act!G12*1000)</f>
        <v>4.9779266085322043</v>
      </c>
      <c r="H43" s="88">
        <f>IF(H19=0,0,H19/TrRail_act!H12*1000)</f>
        <v>4.1419653526908959</v>
      </c>
      <c r="I43" s="88">
        <f>IF(I19=0,0,I19/TrRail_act!I12*1000)</f>
        <v>4.1831181621073634</v>
      </c>
      <c r="J43" s="88">
        <f>IF(J19=0,0,J19/TrRail_act!J12*1000)</f>
        <v>5.0817921052418571</v>
      </c>
      <c r="K43" s="88">
        <f>IF(K19=0,0,K19/TrRail_act!K12*1000)</f>
        <v>4.1732463071961075</v>
      </c>
      <c r="L43" s="88">
        <f>IF(L19=0,0,L19/TrRail_act!L12*1000)</f>
        <v>3.9165863233863147</v>
      </c>
      <c r="M43" s="88">
        <f>IF(M19=0,0,M19/TrRail_act!M12*1000)</f>
        <v>3.7294672369609279</v>
      </c>
      <c r="N43" s="88">
        <f>IF(N19=0,0,N19/TrRail_act!N12*1000)</f>
        <v>3.7920925511523622</v>
      </c>
      <c r="O43" s="88">
        <f>IF(O19=0,0,O19/TrRail_act!O12*1000)</f>
        <v>3.5353634015334339</v>
      </c>
      <c r="P43" s="88">
        <f>IF(P19=0,0,P19/TrRail_act!P12*1000)</f>
        <v>3.2847073903657291</v>
      </c>
      <c r="Q43" s="88">
        <f>IF(Q19=0,0,Q19/TrRail_act!Q12*1000)</f>
        <v>3.6191601631998682</v>
      </c>
      <c r="R43" s="88">
        <f>IF(R19=0,0,R19/TrRail_act!R12*1000)</f>
        <v>4.2570270760470255</v>
      </c>
      <c r="S43" s="88">
        <f>IF(S19=0,0,S19/TrRail_act!S12*1000)</f>
        <v>3.3541702172204886</v>
      </c>
      <c r="T43" s="88">
        <f>IF(T19=0,0,T19/TrRail_act!T12*1000)</f>
        <v>3.6746355879332504</v>
      </c>
      <c r="U43" s="88">
        <f>IF(U19=0,0,U19/TrRail_act!U12*1000)</f>
        <v>3.087852475878385</v>
      </c>
      <c r="V43" s="88">
        <f>IF(V19=0,0,V19/TrRail_act!V12*1000)</f>
        <v>2.251245193235512</v>
      </c>
      <c r="W43" s="88">
        <f>IF(W19=0,0,W19/TrRail_act!W12*1000)</f>
        <v>2.3857248006491854</v>
      </c>
      <c r="X43" s="88">
        <f>IF(X19=0,0,X19/TrRail_act!X12*1000)</f>
        <v>2.0993177231581499</v>
      </c>
      <c r="Y43" s="88">
        <f>IF(Y19=0,0,Y19/TrRail_act!Y12*1000)</f>
        <v>2.15755899192748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342404.9124722539</v>
      </c>
      <c r="C45" s="54">
        <f>IF(C10=0,0,1000000*C10/TrRail_act!C25)</f>
        <v>331444.55277294049</v>
      </c>
      <c r="D45" s="54">
        <f>IF(D10=0,0,1000000*D10/TrRail_act!D25)</f>
        <v>317920.22864301846</v>
      </c>
      <c r="E45" s="54">
        <f>IF(E10=0,0,1000000*E10/TrRail_act!E25)</f>
        <v>307031.93503459857</v>
      </c>
      <c r="F45" s="54">
        <f>IF(F10=0,0,1000000*F10/TrRail_act!F25)</f>
        <v>296271.44536983978</v>
      </c>
      <c r="G45" s="54">
        <f>IF(G10=0,0,1000000*G10/TrRail_act!G25)</f>
        <v>285656.50545993308</v>
      </c>
      <c r="H45" s="54">
        <f>IF(H10=0,0,1000000*H10/TrRail_act!H25)</f>
        <v>279100.97798233759</v>
      </c>
      <c r="I45" s="54">
        <f>IF(I10=0,0,1000000*I10/TrRail_act!I25)</f>
        <v>279859.89565893362</v>
      </c>
      <c r="J45" s="54">
        <f>IF(J10=0,0,1000000*J10/TrRail_act!J25)</f>
        <v>274353.12468656182</v>
      </c>
      <c r="K45" s="54">
        <f>IF(K10=0,0,1000000*K10/TrRail_act!K25)</f>
        <v>260674.53398229807</v>
      </c>
      <c r="L45" s="54">
        <f>IF(L10=0,0,1000000*L10/TrRail_act!L25)</f>
        <v>262770.26724506001</v>
      </c>
      <c r="M45" s="54">
        <f>IF(M10=0,0,1000000*M10/TrRail_act!M25)</f>
        <v>259832.10805737055</v>
      </c>
      <c r="N45" s="54">
        <f>IF(N10=0,0,1000000*N10/TrRail_act!N25)</f>
        <v>256561.89085925947</v>
      </c>
      <c r="O45" s="54">
        <f>IF(O10=0,0,1000000*O10/TrRail_act!O25)</f>
        <v>250101.03149912145</v>
      </c>
      <c r="P45" s="54">
        <f>IF(P10=0,0,1000000*P10/TrRail_act!P25)</f>
        <v>246334.85044851416</v>
      </c>
      <c r="Q45" s="54">
        <f>IF(Q10=0,0,1000000*Q10/TrRail_act!Q25)</f>
        <v>241570.47422208186</v>
      </c>
      <c r="R45" s="54">
        <f>IF(R10=0,0,1000000*R10/TrRail_act!R25)</f>
        <v>238670.20657419023</v>
      </c>
      <c r="S45" s="54">
        <f>IF(S10=0,0,1000000*S10/TrRail_act!S25)</f>
        <v>231767.9483774121</v>
      </c>
      <c r="T45" s="54">
        <f>IF(T10=0,0,1000000*T10/TrRail_act!T25)</f>
        <v>225002.37362423496</v>
      </c>
      <c r="U45" s="54">
        <f>IF(U10=0,0,1000000*U10/TrRail_act!U25)</f>
        <v>217997.0299822285</v>
      </c>
      <c r="V45" s="54">
        <f>IF(V10=0,0,1000000*V10/TrRail_act!V25)</f>
        <v>205445.78436082136</v>
      </c>
      <c r="W45" s="54">
        <f>IF(W10=0,0,1000000*W10/TrRail_act!W25)</f>
        <v>203103.96689188373</v>
      </c>
      <c r="X45" s="54">
        <f>IF(X10=0,0,1000000*X10/TrRail_act!X25)</f>
        <v>198363.84313574701</v>
      </c>
      <c r="Y45" s="54">
        <f>IF(Y10=0,0,1000000*Y10/TrRail_act!Y25)</f>
        <v>196151.10963845256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316821.71553335065</v>
      </c>
      <c r="C46" s="28">
        <f>IF(C11=0,0,1000000*C11/TrRail_act!C26)</f>
        <v>306738.0894413527</v>
      </c>
      <c r="D46" s="28">
        <f>IF(D11=0,0,1000000*D11/TrRail_act!D26)</f>
        <v>296661.13195206993</v>
      </c>
      <c r="E46" s="28">
        <f>IF(E11=0,0,1000000*E11/TrRail_act!E26)</f>
        <v>287584.76673429838</v>
      </c>
      <c r="F46" s="28">
        <f>IF(F11=0,0,1000000*F11/TrRail_act!F26)</f>
        <v>274487.04990022641</v>
      </c>
      <c r="G46" s="28">
        <f>IF(G11=0,0,1000000*G11/TrRail_act!G26)</f>
        <v>266858.47981225746</v>
      </c>
      <c r="H46" s="28">
        <f>IF(H11=0,0,1000000*H11/TrRail_act!H26)</f>
        <v>262454.41768638056</v>
      </c>
      <c r="I46" s="28">
        <f>IF(I11=0,0,1000000*I11/TrRail_act!I26)</f>
        <v>264526.969399033</v>
      </c>
      <c r="J46" s="28">
        <f>IF(J11=0,0,1000000*J11/TrRail_act!J26)</f>
        <v>259069.86114880195</v>
      </c>
      <c r="K46" s="28">
        <f>IF(K11=0,0,1000000*K11/TrRail_act!K26)</f>
        <v>248128.11779017546</v>
      </c>
      <c r="L46" s="28">
        <f>IF(L11=0,0,1000000*L11/TrRail_act!L26)</f>
        <v>246210.35390362359</v>
      </c>
      <c r="M46" s="28">
        <f>IF(M11=0,0,1000000*M11/TrRail_act!M26)</f>
        <v>241245.31175879939</v>
      </c>
      <c r="N46" s="28">
        <f>IF(N11=0,0,1000000*N11/TrRail_act!N26)</f>
        <v>242405.76752223252</v>
      </c>
      <c r="O46" s="28">
        <f>IF(O11=0,0,1000000*O11/TrRail_act!O26)</f>
        <v>234616.60484517404</v>
      </c>
      <c r="P46" s="28">
        <f>IF(P11=0,0,1000000*P11/TrRail_act!P26)</f>
        <v>230493.97819208313</v>
      </c>
      <c r="Q46" s="28">
        <f>IF(Q11=0,0,1000000*Q11/TrRail_act!Q26)</f>
        <v>223992.16375369602</v>
      </c>
      <c r="R46" s="28">
        <f>IF(R11=0,0,1000000*R11/TrRail_act!R26)</f>
        <v>220832.91301363861</v>
      </c>
      <c r="S46" s="28">
        <f>IF(S11=0,0,1000000*S11/TrRail_act!S26)</f>
        <v>215835.19096105616</v>
      </c>
      <c r="T46" s="28">
        <f>IF(T11=0,0,1000000*T11/TrRail_act!T26)</f>
        <v>208929.63293596101</v>
      </c>
      <c r="U46" s="28">
        <f>IF(U11=0,0,1000000*U11/TrRail_act!U26)</f>
        <v>203785.30635810923</v>
      </c>
      <c r="V46" s="28">
        <f>IF(V11=0,0,1000000*V11/TrRail_act!V26)</f>
        <v>195083.48141662125</v>
      </c>
      <c r="W46" s="28">
        <f>IF(W11=0,0,1000000*W11/TrRail_act!W26)</f>
        <v>194493.70744471933</v>
      </c>
      <c r="X46" s="28">
        <f>IF(X11=0,0,1000000*X11/TrRail_act!X26)</f>
        <v>188765.7055910879</v>
      </c>
      <c r="Y46" s="28">
        <f>IF(Y11=0,0,1000000*Y11/TrRail_act!Y26)</f>
        <v>187084.48761829696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41305.754441086057</v>
      </c>
      <c r="E47" s="108">
        <f>IF(E12=0,0,1000000*E12/TrRail_act!E27)</f>
        <v>41026.974828914237</v>
      </c>
      <c r="F47" s="108">
        <f>IF(F12=0,0,1000000*F12/TrRail_act!F27)</f>
        <v>40802.910125743292</v>
      </c>
      <c r="G47" s="108">
        <f>IF(G12=0,0,1000000*G12/TrRail_act!G27)</f>
        <v>40580.303352412346</v>
      </c>
      <c r="H47" s="108">
        <f>IF(H12=0,0,1000000*H12/TrRail_act!H27)</f>
        <v>40347.801294075813</v>
      </c>
      <c r="I47" s="108">
        <f>IF(I12=0,0,1000000*I12/TrRail_act!I27)</f>
        <v>40122.845282642476</v>
      </c>
      <c r="J47" s="108">
        <f>IF(J12=0,0,1000000*J12/TrRail_act!J27)</f>
        <v>39884.230258264033</v>
      </c>
      <c r="K47" s="108">
        <f>IF(K12=0,0,1000000*K12/TrRail_act!K27)</f>
        <v>39650.409988980129</v>
      </c>
      <c r="L47" s="108">
        <f>IF(L12=0,0,1000000*L12/TrRail_act!L27)</f>
        <v>39431.1643163025</v>
      </c>
      <c r="M47" s="108">
        <f>IF(M12=0,0,1000000*M12/TrRail_act!M27)</f>
        <v>39169.315154490178</v>
      </c>
      <c r="N47" s="108">
        <f>IF(N12=0,0,1000000*N12/TrRail_act!N27)</f>
        <v>38103.571614920707</v>
      </c>
      <c r="O47" s="108">
        <f>IF(O12=0,0,1000000*O12/TrRail_act!O27)</f>
        <v>38744.641603886012</v>
      </c>
      <c r="P47" s="108">
        <f>IF(P12=0,0,1000000*P12/TrRail_act!P27)</f>
        <v>38537.829384185265</v>
      </c>
      <c r="Q47" s="108">
        <f>IF(Q12=0,0,1000000*Q12/TrRail_act!Q27)</f>
        <v>38293.311228953607</v>
      </c>
      <c r="R47" s="108">
        <f>IF(R12=0,0,1000000*R12/TrRail_act!R27)</f>
        <v>38110.941655314622</v>
      </c>
      <c r="S47" s="108">
        <f>IF(S12=0,0,1000000*S12/TrRail_act!S27)</f>
        <v>37974.734343036733</v>
      </c>
      <c r="T47" s="108">
        <f>IF(T12=0,0,1000000*T12/TrRail_act!T27)</f>
        <v>37872.898915645324</v>
      </c>
      <c r="U47" s="108">
        <f>IF(U12=0,0,1000000*U12/TrRail_act!U27)</f>
        <v>37796.701556056018</v>
      </c>
      <c r="V47" s="108">
        <f>IF(V12=0,0,1000000*V12/TrRail_act!V27)</f>
        <v>35052.73780913862</v>
      </c>
      <c r="W47" s="108">
        <f>IF(W12=0,0,1000000*W12/TrRail_act!W27)</f>
        <v>37696.924620383143</v>
      </c>
      <c r="X47" s="108">
        <f>IF(X12=0,0,1000000*X12/TrRail_act!X27)</f>
        <v>37664.909592623801</v>
      </c>
      <c r="Y47" s="108">
        <f>IF(Y12=0,0,1000000*Y12/TrRail_act!Y27)</f>
        <v>37640.916239633152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316821.71553335065</v>
      </c>
      <c r="C48" s="110">
        <f>IF(C13=0,0,1000000*C13/TrRail_act!C28)</f>
        <v>306738.0894413527</v>
      </c>
      <c r="D48" s="110">
        <f>IF(D13=0,0,1000000*D13/TrRail_act!D28)</f>
        <v>297517.17948798201</v>
      </c>
      <c r="E48" s="110">
        <f>IF(E13=0,0,1000000*E13/TrRail_act!E28)</f>
        <v>293775.85650720529</v>
      </c>
      <c r="F48" s="110">
        <f>IF(F13=0,0,1000000*F13/TrRail_act!F28)</f>
        <v>285572.21174349735</v>
      </c>
      <c r="G48" s="110">
        <f>IF(G13=0,0,1000000*G13/TrRail_act!G28)</f>
        <v>279408.70099285082</v>
      </c>
      <c r="H48" s="110">
        <f>IF(H13=0,0,1000000*H13/TrRail_act!H28)</f>
        <v>274704.27941190713</v>
      </c>
      <c r="I48" s="110">
        <f>IF(I13=0,0,1000000*I13/TrRail_act!I28)</f>
        <v>278064.59472633095</v>
      </c>
      <c r="J48" s="110">
        <f>IF(J13=0,0,1000000*J13/TrRail_act!J28)</f>
        <v>272824.44966483448</v>
      </c>
      <c r="K48" s="110">
        <f>IF(K13=0,0,1000000*K13/TrRail_act!K28)</f>
        <v>261965.90106887263</v>
      </c>
      <c r="L48" s="110">
        <f>IF(L13=0,0,1000000*L13/TrRail_act!L28)</f>
        <v>261017.25461352477</v>
      </c>
      <c r="M48" s="110">
        <f>IF(M13=0,0,1000000*M13/TrRail_act!M28)</f>
        <v>257979.78947097561</v>
      </c>
      <c r="N48" s="110">
        <f>IF(N13=0,0,1000000*N13/TrRail_act!N28)</f>
        <v>259175.97957666093</v>
      </c>
      <c r="O48" s="110">
        <f>IF(O13=0,0,1000000*O13/TrRail_act!O28)</f>
        <v>250632.59030008456</v>
      </c>
      <c r="P48" s="110">
        <f>IF(P13=0,0,1000000*P13/TrRail_act!P28)</f>
        <v>246312.31593528562</v>
      </c>
      <c r="Q48" s="110">
        <f>IF(Q13=0,0,1000000*Q13/TrRail_act!Q28)</f>
        <v>239448.59616998641</v>
      </c>
      <c r="R48" s="110">
        <f>IF(R13=0,0,1000000*R13/TrRail_act!R28)</f>
        <v>236468.93428849589</v>
      </c>
      <c r="S48" s="110">
        <f>IF(S13=0,0,1000000*S13/TrRail_act!S28)</f>
        <v>232099.7020343536</v>
      </c>
      <c r="T48" s="110">
        <f>IF(T13=0,0,1000000*T13/TrRail_act!T28)</f>
        <v>225744.13788126217</v>
      </c>
      <c r="U48" s="110">
        <f>IF(U13=0,0,1000000*U13/TrRail_act!U28)</f>
        <v>221851.45763310581</v>
      </c>
      <c r="V48" s="110">
        <f>IF(V13=0,0,1000000*V13/TrRail_act!V28)</f>
        <v>212739.98978671813</v>
      </c>
      <c r="W48" s="110">
        <f>IF(W13=0,0,1000000*W13/TrRail_act!W28)</f>
        <v>212330.06818083144</v>
      </c>
      <c r="X48" s="110">
        <f>IF(X13=0,0,1000000*X13/TrRail_act!X28)</f>
        <v>209029.73752316061</v>
      </c>
      <c r="Y48" s="110">
        <f>IF(Y13=0,0,1000000*Y13/TrRail_act!Y28)</f>
        <v>207667.99895051669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403893.65070985124</v>
      </c>
      <c r="C49" s="84">
        <f>IF(C14=0,0,1000000*C14/TrRail_act!C29)</f>
        <v>393321.37577548076</v>
      </c>
      <c r="D49" s="84">
        <f>IF(D14=0,0,1000000*D14/TrRail_act!D29)</f>
        <v>381570.83136622183</v>
      </c>
      <c r="E49" s="84">
        <f>IF(E14=0,0,1000000*E14/TrRail_act!E29)</f>
        <v>365676.21088091616</v>
      </c>
      <c r="F49" s="84">
        <f>IF(F14=0,0,1000000*F14/TrRail_act!F29)</f>
        <v>354030.13255979307</v>
      </c>
      <c r="G49" s="84">
        <f>IF(G14=0,0,1000000*G14/TrRail_act!G29)</f>
        <v>338812.1229305343</v>
      </c>
      <c r="H49" s="84">
        <f>IF(H14=0,0,1000000*H14/TrRail_act!H29)</f>
        <v>334119.02282712382</v>
      </c>
      <c r="I49" s="84">
        <f>IF(I14=0,0,1000000*I14/TrRail_act!I29)</f>
        <v>335950.80056968611</v>
      </c>
      <c r="J49" s="84">
        <f>IF(J14=0,0,1000000*J14/TrRail_act!J29)</f>
        <v>329591.56482537312</v>
      </c>
      <c r="K49" s="84">
        <f>IF(K14=0,0,1000000*K14/TrRail_act!K29)</f>
        <v>316950.53750686609</v>
      </c>
      <c r="L49" s="84">
        <f>IF(L14=0,0,1000000*L14/TrRail_act!L29)</f>
        <v>313507.68461769691</v>
      </c>
      <c r="M49" s="84">
        <f>IF(M14=0,0,1000000*M14/TrRail_act!M29)</f>
        <v>310921.70433352841</v>
      </c>
      <c r="N49" s="84">
        <f>IF(N14=0,0,1000000*N14/TrRail_act!N29)</f>
        <v>306370.93426202814</v>
      </c>
      <c r="O49" s="84">
        <f>IF(O14=0,0,1000000*O14/TrRail_act!O29)</f>
        <v>298224.39691992546</v>
      </c>
      <c r="P49" s="84">
        <f>IF(P14=0,0,1000000*P14/TrRail_act!P29)</f>
        <v>284972.15279877238</v>
      </c>
      <c r="Q49" s="84">
        <f>IF(Q14=0,0,1000000*Q14/TrRail_act!Q29)</f>
        <v>275999.04629936308</v>
      </c>
      <c r="R49" s="84">
        <f>IF(R14=0,0,1000000*R14/TrRail_act!R29)</f>
        <v>273496.95206823549</v>
      </c>
      <c r="S49" s="84">
        <f>IF(S14=0,0,1000000*S14/TrRail_act!S29)</f>
        <v>268918.92657415674</v>
      </c>
      <c r="T49" s="84">
        <f>IF(T14=0,0,1000000*T14/TrRail_act!T29)</f>
        <v>261530.02584724058</v>
      </c>
      <c r="U49" s="84">
        <f>IF(U14=0,0,1000000*U14/TrRail_act!U29)</f>
        <v>257639.45295177383</v>
      </c>
      <c r="V49" s="84">
        <f>IF(V14=0,0,1000000*V14/TrRail_act!V29)</f>
        <v>245382.36275878569</v>
      </c>
      <c r="W49" s="84">
        <f>IF(W14=0,0,1000000*W14/TrRail_act!W29)</f>
        <v>249265.30488954828</v>
      </c>
      <c r="X49" s="84">
        <f>IF(X14=0,0,1000000*X14/TrRail_act!X29)</f>
        <v>246631.85093806553</v>
      </c>
      <c r="Y49" s="84">
        <f>IF(Y14=0,0,1000000*Y14/TrRail_act!Y29)</f>
        <v>244675.03435426753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207867.68885751339</v>
      </c>
      <c r="C50" s="84">
        <f>IF(C15=0,0,1000000*C15/TrRail_act!C30)</f>
        <v>204806.81431071437</v>
      </c>
      <c r="D50" s="84">
        <f>IF(D15=0,0,1000000*D15/TrRail_act!D30)</f>
        <v>201397.087816685</v>
      </c>
      <c r="E50" s="84">
        <f>IF(E15=0,0,1000000*E15/TrRail_act!E30)</f>
        <v>199867.76767234676</v>
      </c>
      <c r="F50" s="84">
        <f>IF(F15=0,0,1000000*F15/TrRail_act!F30)</f>
        <v>198379.3699328083</v>
      </c>
      <c r="G50" s="84">
        <f>IF(G15=0,0,1000000*G15/TrRail_act!G30)</f>
        <v>195119.62851266252</v>
      </c>
      <c r="H50" s="84">
        <f>IF(H15=0,0,1000000*H15/TrRail_act!H30)</f>
        <v>193792.99884339469</v>
      </c>
      <c r="I50" s="84">
        <f>IF(I15=0,0,1000000*I15/TrRail_act!I30)</f>
        <v>194065.28299814829</v>
      </c>
      <c r="J50" s="84">
        <f>IF(J15=0,0,1000000*J15/TrRail_act!J30)</f>
        <v>189611.14759273949</v>
      </c>
      <c r="K50" s="84">
        <f>IF(K15=0,0,1000000*K15/TrRail_act!K30)</f>
        <v>187497.39686418721</v>
      </c>
      <c r="L50" s="84">
        <f>IF(L15=0,0,1000000*L15/TrRail_act!L30)</f>
        <v>186952.23831417519</v>
      </c>
      <c r="M50" s="84">
        <f>IF(M15=0,0,1000000*M15/TrRail_act!M30)</f>
        <v>181185.43662011201</v>
      </c>
      <c r="N50" s="84">
        <f>IF(N15=0,0,1000000*N15/TrRail_act!N30)</f>
        <v>185162.97618339135</v>
      </c>
      <c r="O50" s="84">
        <f>IF(O15=0,0,1000000*O15/TrRail_act!O30)</f>
        <v>178243.73606693107</v>
      </c>
      <c r="P50" s="84">
        <f>IF(P15=0,0,1000000*P15/TrRail_act!P30)</f>
        <v>182561.0819349896</v>
      </c>
      <c r="Q50" s="84">
        <f>IF(Q15=0,0,1000000*Q15/TrRail_act!Q30)</f>
        <v>181598.43172903958</v>
      </c>
      <c r="R50" s="84">
        <f>IF(R15=0,0,1000000*R15/TrRail_act!R30)</f>
        <v>179975.37728678901</v>
      </c>
      <c r="S50" s="84">
        <f>IF(S15=0,0,1000000*S15/TrRail_act!S30)</f>
        <v>178410.07845601064</v>
      </c>
      <c r="T50" s="84">
        <f>IF(T15=0,0,1000000*T15/TrRail_act!T30)</f>
        <v>176890.55544801679</v>
      </c>
      <c r="U50" s="84">
        <f>IF(U15=0,0,1000000*U15/TrRail_act!U30)</f>
        <v>174880.6141639484</v>
      </c>
      <c r="V50" s="84">
        <f>IF(V15=0,0,1000000*V15/TrRail_act!V30)</f>
        <v>174775.26611948558</v>
      </c>
      <c r="W50" s="84">
        <f>IF(W15=0,0,1000000*W15/TrRail_act!W30)</f>
        <v>174696.29686153887</v>
      </c>
      <c r="X50" s="84">
        <f>IF(X15=0,0,1000000*X15/TrRail_act!X30)</f>
        <v>174637.09276398181</v>
      </c>
      <c r="Y50" s="84">
        <f>IF(Y15=0,0,1000000*Y15/TrRail_act!Y30)</f>
        <v>174592.70337249563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741607.89541452855</v>
      </c>
      <c r="C52" s="28">
        <f>IF(C17=0,0,1000000*C17/TrRail_act!C32)</f>
        <v>710457.6790870172</v>
      </c>
      <c r="D52" s="28">
        <f>IF(D17=0,0,1000000*D17/TrRail_act!D32)</f>
        <v>698581.13261368638</v>
      </c>
      <c r="E52" s="28">
        <f>IF(E17=0,0,1000000*E17/TrRail_act!E32)</f>
        <v>660237.52978736477</v>
      </c>
      <c r="F52" s="28">
        <f>IF(F17=0,0,1000000*F17/TrRail_act!F32)</f>
        <v>643263.24237584963</v>
      </c>
      <c r="G52" s="28">
        <f>IF(G17=0,0,1000000*G17/TrRail_act!G32)</f>
        <v>635953.50618082145</v>
      </c>
      <c r="H52" s="28">
        <f>IF(H17=0,0,1000000*H17/TrRail_act!H32)</f>
        <v>607571.65039545309</v>
      </c>
      <c r="I52" s="28">
        <f>IF(I17=0,0,1000000*I17/TrRail_act!I32)</f>
        <v>607425.46638323693</v>
      </c>
      <c r="J52" s="28">
        <f>IF(J17=0,0,1000000*J17/TrRail_act!J32)</f>
        <v>585967.91549584642</v>
      </c>
      <c r="K52" s="28">
        <f>IF(K17=0,0,1000000*K17/TrRail_act!K32)</f>
        <v>545666.41835001518</v>
      </c>
      <c r="L52" s="28">
        <f>IF(L17=0,0,1000000*L17/TrRail_act!L32)</f>
        <v>594258.40303235513</v>
      </c>
      <c r="M52" s="28">
        <f>IF(M17=0,0,1000000*M17/TrRail_act!M32)</f>
        <v>594763.65363069542</v>
      </c>
      <c r="N52" s="28">
        <f>IF(N17=0,0,1000000*N17/TrRail_act!N32)</f>
        <v>535595.60207991151</v>
      </c>
      <c r="O52" s="28">
        <f>IF(O17=0,0,1000000*O17/TrRail_act!O32)</f>
        <v>572313.22192814387</v>
      </c>
      <c r="P52" s="28">
        <f>IF(P17=0,0,1000000*P17/TrRail_act!P32)</f>
        <v>574997.72294870636</v>
      </c>
      <c r="Q52" s="28">
        <f>IF(Q17=0,0,1000000*Q17/TrRail_act!Q32)</f>
        <v>571074.34705187299</v>
      </c>
      <c r="R52" s="28">
        <f>IF(R17=0,0,1000000*R17/TrRail_act!R32)</f>
        <v>563877.8374623768</v>
      </c>
      <c r="S52" s="28">
        <f>IF(S17=0,0,1000000*S17/TrRail_act!S32)</f>
        <v>528300.56856384233</v>
      </c>
      <c r="T52" s="28">
        <f>IF(T17=0,0,1000000*T17/TrRail_act!T32)</f>
        <v>530274.58956273831</v>
      </c>
      <c r="U52" s="28">
        <f>IF(U17=0,0,1000000*U17/TrRail_act!U32)</f>
        <v>510006.11767618294</v>
      </c>
      <c r="V52" s="28">
        <f>IF(V17=0,0,1000000*V17/TrRail_act!V32)</f>
        <v>433893.78340080602</v>
      </c>
      <c r="W52" s="28">
        <f>IF(W17=0,0,1000000*W17/TrRail_act!W32)</f>
        <v>411165.29567318427</v>
      </c>
      <c r="X52" s="28">
        <f>IF(X17=0,0,1000000*X17/TrRail_act!X32)</f>
        <v>468096.12151364877</v>
      </c>
      <c r="Y52" s="28">
        <f>IF(Y17=0,0,1000000*Y17/TrRail_act!Y32)</f>
        <v>478430.45338844828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997259.51168092107</v>
      </c>
      <c r="C53" s="84">
        <f>IF(C18=0,0,1000000*C18/TrRail_act!C33)</f>
        <v>988415.67563098297</v>
      </c>
      <c r="D53" s="84">
        <f>IF(D18=0,0,1000000*D18/TrRail_act!D33)</f>
        <v>973411.76234150084</v>
      </c>
      <c r="E53" s="84">
        <f>IF(E18=0,0,1000000*E18/TrRail_act!E33)</f>
        <v>951218.57228485344</v>
      </c>
      <c r="F53" s="84">
        <f>IF(F18=0,0,1000000*F18/TrRail_act!F33)</f>
        <v>949038.61359268834</v>
      </c>
      <c r="G53" s="84">
        <f>IF(G18=0,0,1000000*G18/TrRail_act!G33)</f>
        <v>938565.33614897029</v>
      </c>
      <c r="H53" s="84">
        <f>IF(H18=0,0,1000000*H18/TrRail_act!H33)</f>
        <v>913445.07099119353</v>
      </c>
      <c r="I53" s="84">
        <f>IF(I18=0,0,1000000*I18/TrRail_act!I33)</f>
        <v>910488.05327107303</v>
      </c>
      <c r="J53" s="84">
        <f>IF(J18=0,0,1000000*J18/TrRail_act!J33)</f>
        <v>879633.00103854027</v>
      </c>
      <c r="K53" s="84">
        <f>IF(K18=0,0,1000000*K18/TrRail_act!K33)</f>
        <v>857733.1998451344</v>
      </c>
      <c r="L53" s="84">
        <f>IF(L18=0,0,1000000*L18/TrRail_act!L33)</f>
        <v>849455.21281257854</v>
      </c>
      <c r="M53" s="84">
        <f>IF(M18=0,0,1000000*M18/TrRail_act!M33)</f>
        <v>831150.60737919447</v>
      </c>
      <c r="N53" s="84">
        <f>IF(N18=0,0,1000000*N18/TrRail_act!N33)</f>
        <v>735226.10106255428</v>
      </c>
      <c r="O53" s="84">
        <f>IF(O18=0,0,1000000*O18/TrRail_act!O33)</f>
        <v>803088.48365014407</v>
      </c>
      <c r="P53" s="84">
        <f>IF(P18=0,0,1000000*P18/TrRail_act!P33)</f>
        <v>779111.07265783485</v>
      </c>
      <c r="Q53" s="84">
        <f>IF(Q18=0,0,1000000*Q18/TrRail_act!Q33)</f>
        <v>771005.73399958992</v>
      </c>
      <c r="R53" s="84">
        <f>IF(R18=0,0,1000000*R18/TrRail_act!R33)</f>
        <v>753507.43639280752</v>
      </c>
      <c r="S53" s="84">
        <f>IF(S18=0,0,1000000*S18/TrRail_act!S33)</f>
        <v>740644.82605664013</v>
      </c>
      <c r="T53" s="84">
        <f>IF(T18=0,0,1000000*T18/TrRail_act!T33)</f>
        <v>731142.1433003064</v>
      </c>
      <c r="U53" s="84">
        <f>IF(U18=0,0,1000000*U18/TrRail_act!U33)</f>
        <v>724095.27418477321</v>
      </c>
      <c r="V53" s="84">
        <f>IF(V18=0,0,1000000*V18/TrRail_act!V33)</f>
        <v>627380.90417438757</v>
      </c>
      <c r="W53" s="84">
        <f>IF(W18=0,0,1000000*W18/TrRail_act!W33)</f>
        <v>579036.75008611416</v>
      </c>
      <c r="X53" s="84">
        <f>IF(X18=0,0,1000000*X18/TrRail_act!X33)</f>
        <v>645241.12308212079</v>
      </c>
      <c r="Y53" s="84">
        <f>IF(Y18=0,0,1000000*Y18/TrRail_act!Y33)</f>
        <v>689988.95636712085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444096.99356801854</v>
      </c>
      <c r="C54" s="86">
        <f>IF(C19=0,0,1000000*C19/TrRail_act!C34)</f>
        <v>421167.48938009463</v>
      </c>
      <c r="D54" s="86">
        <f>IF(D19=0,0,1000000*D19/TrRail_act!D34)</f>
        <v>420492.33358890418</v>
      </c>
      <c r="E54" s="86">
        <f>IF(E19=0,0,1000000*E19/TrRail_act!E34)</f>
        <v>408614.39942003333</v>
      </c>
      <c r="F54" s="86">
        <f>IF(F19=0,0,1000000*F19/TrRail_act!F34)</f>
        <v>398123.88014371996</v>
      </c>
      <c r="G54" s="86">
        <f>IF(G19=0,0,1000000*G19/TrRail_act!G34)</f>
        <v>406437.41844010272</v>
      </c>
      <c r="H54" s="86">
        <f>IF(H19=0,0,1000000*H19/TrRail_act!H34)</f>
        <v>353131.14745639014</v>
      </c>
      <c r="I54" s="86">
        <f>IF(I19=0,0,1000000*I19/TrRail_act!I34)</f>
        <v>359140.08682061115</v>
      </c>
      <c r="J54" s="86">
        <f>IF(J19=0,0,1000000*J19/TrRail_act!J34)</f>
        <v>383192.53280050971</v>
      </c>
      <c r="K54" s="86">
        <f>IF(K19=0,0,1000000*K19/TrRail_act!K34)</f>
        <v>318363.71761022182</v>
      </c>
      <c r="L54" s="86">
        <f>IF(L19=0,0,1000000*L19/TrRail_act!L34)</f>
        <v>365317.30910658528</v>
      </c>
      <c r="M54" s="86">
        <f>IF(M19=0,0,1000000*M19/TrRail_act!M34)</f>
        <v>366316.60927716707</v>
      </c>
      <c r="N54" s="86">
        <f>IF(N19=0,0,1000000*N19/TrRail_act!N34)</f>
        <v>345689.18110191717</v>
      </c>
      <c r="O54" s="86">
        <f>IF(O19=0,0,1000000*O19/TrRail_act!O34)</f>
        <v>357094.40097384591</v>
      </c>
      <c r="P54" s="86">
        <f>IF(P19=0,0,1000000*P19/TrRail_act!P34)</f>
        <v>347556.17262369563</v>
      </c>
      <c r="Q54" s="86">
        <f>IF(Q19=0,0,1000000*Q19/TrRail_act!Q34)</f>
        <v>334080.19402667909</v>
      </c>
      <c r="R54" s="86">
        <f>IF(R19=0,0,1000000*R19/TrRail_act!R34)</f>
        <v>329182.01479358668</v>
      </c>
      <c r="S54" s="86">
        <f>IF(S19=0,0,1000000*S19/TrRail_act!S34)</f>
        <v>240130.58843420795</v>
      </c>
      <c r="T54" s="86">
        <f>IF(T19=0,0,1000000*T19/TrRail_act!T34)</f>
        <v>242558.64552876534</v>
      </c>
      <c r="U54" s="86">
        <f>IF(U19=0,0,1000000*U19/TrRail_act!U34)</f>
        <v>175319.47799649261</v>
      </c>
      <c r="V54" s="86">
        <f>IF(V19=0,0,1000000*V19/TrRail_act!V34)</f>
        <v>123391.40472915323</v>
      </c>
      <c r="W54" s="86">
        <f>IF(W19=0,0,1000000*W19/TrRail_act!W34)</f>
        <v>133197.32530036068</v>
      </c>
      <c r="X54" s="86">
        <f>IF(X19=0,0,1000000*X19/TrRail_act!X34)</f>
        <v>163356.87949008128</v>
      </c>
      <c r="Y54" s="86">
        <f>IF(Y19=0,0,1000000*Y19/TrRail_act!Y34)</f>
        <v>96748.008984587912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0.86955759627885165</v>
      </c>
      <c r="C57" s="31">
        <f t="shared" ref="C57:V57" si="18">IF(C11=0,0,C11/C$10)</f>
        <v>0.86882288190098567</v>
      </c>
      <c r="D57" s="31">
        <f t="shared" si="18"/>
        <v>0.88377384287430694</v>
      </c>
      <c r="E57" s="31">
        <f t="shared" si="18"/>
        <v>0.88778040821690951</v>
      </c>
      <c r="F57" s="31">
        <f t="shared" si="18"/>
        <v>0.87174285280627228</v>
      </c>
      <c r="G57" s="31">
        <f t="shared" si="18"/>
        <v>0.8866150816073648</v>
      </c>
      <c r="H57" s="31">
        <f t="shared" si="18"/>
        <v>0.8949988620545285</v>
      </c>
      <c r="I57" s="31">
        <f t="shared" si="18"/>
        <v>0.90294636777080484</v>
      </c>
      <c r="J57" s="31">
        <f t="shared" si="18"/>
        <v>0.90014548827652729</v>
      </c>
      <c r="K57" s="31">
        <f t="shared" si="18"/>
        <v>0.91173156369072073</v>
      </c>
      <c r="L57" s="31">
        <f t="shared" si="18"/>
        <v>0.89239858940042471</v>
      </c>
      <c r="M57" s="31">
        <f t="shared" si="18"/>
        <v>0.87965052735525961</v>
      </c>
      <c r="N57" s="31">
        <f t="shared" si="18"/>
        <v>0.89920469949546789</v>
      </c>
      <c r="O57" s="31">
        <f t="shared" si="18"/>
        <v>0.89507313055022486</v>
      </c>
      <c r="P57" s="31">
        <f t="shared" si="18"/>
        <v>0.89266894180826106</v>
      </c>
      <c r="Q57" s="31">
        <f t="shared" si="18"/>
        <v>0.88027258385160811</v>
      </c>
      <c r="R57" s="31">
        <f t="shared" si="18"/>
        <v>0.87715293689709173</v>
      </c>
      <c r="S57" s="31">
        <f t="shared" si="18"/>
        <v>0.88377040012074926</v>
      </c>
      <c r="T57" s="31">
        <f t="shared" si="18"/>
        <v>0.88212216070424621</v>
      </c>
      <c r="U57" s="31">
        <f t="shared" si="18"/>
        <v>0.89142324466811063</v>
      </c>
      <c r="V57" s="31">
        <f t="shared" si="18"/>
        <v>0.90835908418347688</v>
      </c>
      <c r="W57" s="31">
        <f t="shared" ref="W57:Y57" si="19">IF(W11=0,0,W11/W$10)</f>
        <v>0.91955254373364359</v>
      </c>
      <c r="X57" s="31">
        <f t="shared" si="19"/>
        <v>0.91891486014243851</v>
      </c>
      <c r="Y57" s="31">
        <f t="shared" si="19"/>
        <v>0.92409602002084368</v>
      </c>
      <c r="DA57" s="173"/>
    </row>
    <row r="58" spans="1:105" ht="11.45" customHeight="1" x14ac:dyDescent="0.25">
      <c r="A58" s="107" t="s">
        <v>23</v>
      </c>
      <c r="B58" s="123">
        <f t="shared" si="15"/>
        <v>0</v>
      </c>
      <c r="C58" s="123">
        <f t="shared" ref="C58:V58" si="20">IF(C12=0,0,C12/C$10)</f>
        <v>0</v>
      </c>
      <c r="D58" s="123">
        <f t="shared" si="20"/>
        <v>4.1114067298644793E-4</v>
      </c>
      <c r="E58" s="123">
        <f t="shared" si="20"/>
        <v>3.1023231420878477E-3</v>
      </c>
      <c r="F58" s="123">
        <f t="shared" si="20"/>
        <v>5.8687115471587536E-3</v>
      </c>
      <c r="G58" s="123">
        <f t="shared" si="20"/>
        <v>7.0849177190450583E-3</v>
      </c>
      <c r="H58" s="123">
        <f t="shared" si="20"/>
        <v>7.1918843125860958E-3</v>
      </c>
      <c r="I58" s="123">
        <f t="shared" si="20"/>
        <v>7.7921187401034054E-3</v>
      </c>
      <c r="J58" s="123">
        <f t="shared" si="20"/>
        <v>8.1827664125263318E-3</v>
      </c>
      <c r="K58" s="123">
        <f t="shared" si="20"/>
        <v>9.06850068652937E-3</v>
      </c>
      <c r="L58" s="123">
        <f t="shared" si="20"/>
        <v>9.5502300490289717E-3</v>
      </c>
      <c r="M58" s="123">
        <f t="shared" si="20"/>
        <v>1.092298452467803E-2</v>
      </c>
      <c r="N58" s="123">
        <f t="shared" si="20"/>
        <v>1.0722234906050501E-2</v>
      </c>
      <c r="O58" s="123">
        <f t="shared" si="20"/>
        <v>1.1172717849338175E-2</v>
      </c>
      <c r="P58" s="123">
        <f t="shared" si="20"/>
        <v>1.1362835441689241E-2</v>
      </c>
      <c r="Q58" s="123">
        <f t="shared" si="20"/>
        <v>1.1563387630306744E-2</v>
      </c>
      <c r="R58" s="123">
        <f t="shared" si="20"/>
        <v>1.1932673238603735E-2</v>
      </c>
      <c r="S58" s="123">
        <f t="shared" si="20"/>
        <v>1.3027814205763455E-2</v>
      </c>
      <c r="T58" s="123">
        <f t="shared" si="20"/>
        <v>1.4311363934649209E-2</v>
      </c>
      <c r="U58" s="123">
        <f t="shared" si="20"/>
        <v>1.6228694596047002E-2</v>
      </c>
      <c r="V58" s="123">
        <f t="shared" si="20"/>
        <v>1.6218383467149707E-2</v>
      </c>
      <c r="W58" s="123">
        <f t="shared" ref="W58:Y58" si="21">IF(W12=0,0,W12/W$10)</f>
        <v>1.8203566800010763E-2</v>
      </c>
      <c r="X58" s="123">
        <f t="shared" si="21"/>
        <v>2.1681697466179581E-2</v>
      </c>
      <c r="Y58" s="123">
        <f t="shared" si="21"/>
        <v>2.2508205248522126E-2</v>
      </c>
      <c r="DA58" s="203"/>
    </row>
    <row r="59" spans="1:105" ht="11.45" customHeight="1" x14ac:dyDescent="0.25">
      <c r="A59" s="109" t="s">
        <v>24</v>
      </c>
      <c r="B59" s="124">
        <f t="shared" si="15"/>
        <v>0.86955759627885165</v>
      </c>
      <c r="C59" s="124">
        <f t="shared" ref="C59:V59" si="22">IF(C13=0,0,C13/C$10)</f>
        <v>0.86882288190098567</v>
      </c>
      <c r="D59" s="124">
        <f t="shared" si="22"/>
        <v>0.8833627022013204</v>
      </c>
      <c r="E59" s="124">
        <f t="shared" si="22"/>
        <v>0.88467808507482171</v>
      </c>
      <c r="F59" s="124">
        <f t="shared" si="22"/>
        <v>0.86587414125911355</v>
      </c>
      <c r="G59" s="124">
        <f t="shared" si="22"/>
        <v>0.87953016388831973</v>
      </c>
      <c r="H59" s="124">
        <f t="shared" si="22"/>
        <v>0.88780697774194228</v>
      </c>
      <c r="I59" s="124">
        <f t="shared" si="22"/>
        <v>0.89515424903070151</v>
      </c>
      <c r="J59" s="124">
        <f t="shared" si="22"/>
        <v>0.89196272186400094</v>
      </c>
      <c r="K59" s="124">
        <f t="shared" si="22"/>
        <v>0.9026630630041913</v>
      </c>
      <c r="L59" s="124">
        <f t="shared" si="22"/>
        <v>0.88284835935139572</v>
      </c>
      <c r="M59" s="124">
        <f t="shared" si="22"/>
        <v>0.86872754283058151</v>
      </c>
      <c r="N59" s="124">
        <f t="shared" si="22"/>
        <v>0.88848246458941749</v>
      </c>
      <c r="O59" s="124">
        <f t="shared" si="22"/>
        <v>0.88390041270088671</v>
      </c>
      <c r="P59" s="124">
        <f t="shared" si="22"/>
        <v>0.88130610636657181</v>
      </c>
      <c r="Q59" s="124">
        <f t="shared" si="22"/>
        <v>0.86870919622130138</v>
      </c>
      <c r="R59" s="124">
        <f t="shared" si="22"/>
        <v>0.86522026365848792</v>
      </c>
      <c r="S59" s="124">
        <f t="shared" si="22"/>
        <v>0.87074258591498577</v>
      </c>
      <c r="T59" s="124">
        <f t="shared" si="22"/>
        <v>0.86781079676959694</v>
      </c>
      <c r="U59" s="124">
        <f t="shared" si="22"/>
        <v>0.87519455007206359</v>
      </c>
      <c r="V59" s="124">
        <f t="shared" si="22"/>
        <v>0.89214070071632712</v>
      </c>
      <c r="W59" s="124">
        <f t="shared" ref="W59:Y59" si="23">IF(W13=0,0,W13/W$10)</f>
        <v>0.90134897693363292</v>
      </c>
      <c r="X59" s="124">
        <f t="shared" si="23"/>
        <v>0.89723316267625897</v>
      </c>
      <c r="Y59" s="124">
        <f t="shared" si="23"/>
        <v>0.90158781477232164</v>
      </c>
      <c r="DA59" s="176"/>
    </row>
    <row r="60" spans="1:105" ht="11.45" customHeight="1" x14ac:dyDescent="0.25">
      <c r="A60" s="111" t="s">
        <v>92</v>
      </c>
      <c r="B60" s="125">
        <f t="shared" si="15"/>
        <v>0.61614102956811045</v>
      </c>
      <c r="C60" s="125">
        <f t="shared" ref="C60:V60" si="24">IF(C14=0,0,C14/C$10)</f>
        <v>0.60238430333054604</v>
      </c>
      <c r="D60" s="125">
        <f t="shared" si="24"/>
        <v>0.60440055234441947</v>
      </c>
      <c r="E60" s="125">
        <f t="shared" si="24"/>
        <v>0.62368060206812215</v>
      </c>
      <c r="F60" s="125">
        <f t="shared" si="24"/>
        <v>0.60132413069730306</v>
      </c>
      <c r="G60" s="125">
        <f t="shared" si="24"/>
        <v>0.62561469944482795</v>
      </c>
      <c r="H60" s="125">
        <f t="shared" si="24"/>
        <v>0.62262303817057851</v>
      </c>
      <c r="I60" s="125">
        <f t="shared" si="24"/>
        <v>0.64027349191592087</v>
      </c>
      <c r="J60" s="125">
        <f t="shared" si="24"/>
        <v>0.64056761300058751</v>
      </c>
      <c r="K60" s="125">
        <f t="shared" si="24"/>
        <v>0.62824991512333972</v>
      </c>
      <c r="L60" s="125">
        <f t="shared" si="24"/>
        <v>0.62057942185622517</v>
      </c>
      <c r="M60" s="125">
        <f t="shared" si="24"/>
        <v>0.61975042269014957</v>
      </c>
      <c r="N60" s="125">
        <f t="shared" si="24"/>
        <v>0.64132558509498361</v>
      </c>
      <c r="O60" s="125">
        <f t="shared" si="24"/>
        <v>0.6345552127313866</v>
      </c>
      <c r="P60" s="125">
        <f t="shared" si="24"/>
        <v>0.63472377058362917</v>
      </c>
      <c r="Q60" s="125">
        <f t="shared" si="24"/>
        <v>0.61361996462363111</v>
      </c>
      <c r="R60" s="125">
        <f t="shared" si="24"/>
        <v>0.60449426888602897</v>
      </c>
      <c r="S60" s="125">
        <f t="shared" si="24"/>
        <v>0.59846105345724543</v>
      </c>
      <c r="T60" s="125">
        <f t="shared" si="24"/>
        <v>0.58030137976368712</v>
      </c>
      <c r="U60" s="125">
        <f t="shared" si="24"/>
        <v>0.57685765093725527</v>
      </c>
      <c r="V60" s="125">
        <f t="shared" si="24"/>
        <v>0.55329844829893748</v>
      </c>
      <c r="W60" s="125">
        <f t="shared" ref="W60:Y60" si="25">IF(W14=0,0,W14/W$10)</f>
        <v>0.53402634213978084</v>
      </c>
      <c r="X60" s="125">
        <f t="shared" si="25"/>
        <v>0.50572113137801677</v>
      </c>
      <c r="Y60" s="125">
        <f t="shared" si="25"/>
        <v>0.5013295555831051</v>
      </c>
      <c r="DA60" s="171"/>
    </row>
    <row r="61" spans="1:105" ht="11.45" customHeight="1" x14ac:dyDescent="0.25">
      <c r="A61" s="111" t="s">
        <v>93</v>
      </c>
      <c r="B61" s="125">
        <f t="shared" si="15"/>
        <v>0.25341656671074114</v>
      </c>
      <c r="C61" s="125">
        <f t="shared" ref="C61:V61" si="26">IF(C15=0,0,C15/C$10)</f>
        <v>0.26643857857043957</v>
      </c>
      <c r="D61" s="125">
        <f t="shared" si="26"/>
        <v>0.27896214985690093</v>
      </c>
      <c r="E61" s="125">
        <f t="shared" si="26"/>
        <v>0.2609974830066995</v>
      </c>
      <c r="F61" s="125">
        <f t="shared" si="26"/>
        <v>0.26455001056181054</v>
      </c>
      <c r="G61" s="125">
        <f t="shared" si="26"/>
        <v>0.25391546444349183</v>
      </c>
      <c r="H61" s="125">
        <f t="shared" si="26"/>
        <v>0.26518393957136382</v>
      </c>
      <c r="I61" s="125">
        <f t="shared" si="26"/>
        <v>0.2548807571147807</v>
      </c>
      <c r="J61" s="125">
        <f t="shared" si="26"/>
        <v>0.25139510886341343</v>
      </c>
      <c r="K61" s="125">
        <f t="shared" si="26"/>
        <v>0.27441314788085169</v>
      </c>
      <c r="L61" s="125">
        <f t="shared" si="26"/>
        <v>0.26226893749517055</v>
      </c>
      <c r="M61" s="125">
        <f t="shared" si="26"/>
        <v>0.24897712014043194</v>
      </c>
      <c r="N61" s="125">
        <f t="shared" si="26"/>
        <v>0.24715687949443388</v>
      </c>
      <c r="O61" s="125">
        <f t="shared" si="26"/>
        <v>0.24934519996950005</v>
      </c>
      <c r="P61" s="125">
        <f t="shared" si="26"/>
        <v>0.24658233578294267</v>
      </c>
      <c r="Q61" s="125">
        <f t="shared" si="26"/>
        <v>0.25508923159767027</v>
      </c>
      <c r="R61" s="125">
        <f t="shared" si="26"/>
        <v>0.260725994772459</v>
      </c>
      <c r="S61" s="125">
        <f t="shared" si="26"/>
        <v>0.27228153245774039</v>
      </c>
      <c r="T61" s="125">
        <f t="shared" si="26"/>
        <v>0.28750941700590976</v>
      </c>
      <c r="U61" s="125">
        <f t="shared" si="26"/>
        <v>0.29833689913480826</v>
      </c>
      <c r="V61" s="125">
        <f t="shared" si="26"/>
        <v>0.33884225241738969</v>
      </c>
      <c r="W61" s="125">
        <f t="shared" ref="W61:Y61" si="27">IF(W15=0,0,W15/W$10)</f>
        <v>0.36732263479385213</v>
      </c>
      <c r="X61" s="125">
        <f t="shared" si="27"/>
        <v>0.3915120312982423</v>
      </c>
      <c r="Y61" s="125">
        <f t="shared" si="27"/>
        <v>0.40025825918921659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0.13044240372114838</v>
      </c>
      <c r="C63" s="31">
        <f t="shared" ref="C63:V63" si="30">IF(C17=0,0,C17/C$10)</f>
        <v>0.13117711809901436</v>
      </c>
      <c r="D63" s="31">
        <f t="shared" si="30"/>
        <v>0.11622615712569305</v>
      </c>
      <c r="E63" s="31">
        <f t="shared" si="30"/>
        <v>0.11221959178309056</v>
      </c>
      <c r="F63" s="31">
        <f t="shared" si="30"/>
        <v>0.12825714719372777</v>
      </c>
      <c r="G63" s="31">
        <f t="shared" si="30"/>
        <v>0.11338491839263524</v>
      </c>
      <c r="H63" s="31">
        <f t="shared" si="30"/>
        <v>0.10500113794547146</v>
      </c>
      <c r="I63" s="31">
        <f t="shared" si="30"/>
        <v>9.7053632229195108E-2</v>
      </c>
      <c r="J63" s="31">
        <f t="shared" si="30"/>
        <v>9.9854511723472802E-2</v>
      </c>
      <c r="K63" s="31">
        <f t="shared" si="30"/>
        <v>8.8268436309279205E-2</v>
      </c>
      <c r="L63" s="31">
        <f t="shared" si="30"/>
        <v>0.10760141059957525</v>
      </c>
      <c r="M63" s="31">
        <f t="shared" si="30"/>
        <v>0.12034947264474036</v>
      </c>
      <c r="N63" s="31">
        <f t="shared" si="30"/>
        <v>0.10079530050453214</v>
      </c>
      <c r="O63" s="31">
        <f t="shared" si="30"/>
        <v>0.10492686944977511</v>
      </c>
      <c r="P63" s="31">
        <f t="shared" si="30"/>
        <v>0.10733105819173898</v>
      </c>
      <c r="Q63" s="31">
        <f t="shared" si="30"/>
        <v>0.11972741614839182</v>
      </c>
      <c r="R63" s="31">
        <f t="shared" si="30"/>
        <v>0.12284706310290824</v>
      </c>
      <c r="S63" s="31">
        <f t="shared" si="30"/>
        <v>0.11622959987925074</v>
      </c>
      <c r="T63" s="31">
        <f t="shared" si="30"/>
        <v>0.11787783929575382</v>
      </c>
      <c r="U63" s="31">
        <f t="shared" si="30"/>
        <v>0.10857675533188943</v>
      </c>
      <c r="V63" s="31">
        <f t="shared" si="30"/>
        <v>9.1640915816523158E-2</v>
      </c>
      <c r="W63" s="31">
        <f t="shared" ref="W63:Y63" si="31">IF(W17=0,0,W17/W$10)</f>
        <v>8.0447456266356313E-2</v>
      </c>
      <c r="X63" s="31">
        <f t="shared" si="31"/>
        <v>8.1085139857561522E-2</v>
      </c>
      <c r="Y63" s="31">
        <f t="shared" si="31"/>
        <v>7.5903979979156294E-2</v>
      </c>
      <c r="DA63" s="173"/>
    </row>
    <row r="64" spans="1:105" ht="11.45" customHeight="1" x14ac:dyDescent="0.25">
      <c r="A64" s="83" t="s">
        <v>92</v>
      </c>
      <c r="B64" s="125">
        <f t="shared" si="15"/>
        <v>9.4341499550025895E-2</v>
      </c>
      <c r="C64" s="125">
        <f t="shared" ref="C64:V64" si="32">IF(C18=0,0,C18/C$10)</f>
        <v>9.3072223088600234E-2</v>
      </c>
      <c r="D64" s="125">
        <f t="shared" si="32"/>
        <v>8.1452658253029012E-2</v>
      </c>
      <c r="E64" s="125">
        <f t="shared" si="32"/>
        <v>7.4974957822164595E-2</v>
      </c>
      <c r="F64" s="125">
        <f t="shared" si="32"/>
        <v>8.4198700345163302E-2</v>
      </c>
      <c r="G64" s="125">
        <f t="shared" si="32"/>
        <v>7.2175786354951463E-2</v>
      </c>
      <c r="H64" s="125">
        <f t="shared" si="32"/>
        <v>7.1685904918852308E-2</v>
      </c>
      <c r="I64" s="125">
        <f t="shared" si="32"/>
        <v>6.5511632051021285E-2</v>
      </c>
      <c r="J64" s="125">
        <f t="shared" si="32"/>
        <v>6.1227062377671795E-2</v>
      </c>
      <c r="K64" s="125">
        <f t="shared" si="32"/>
        <v>5.8472094677899239E-2</v>
      </c>
      <c r="L64" s="125">
        <f t="shared" si="32"/>
        <v>7.273405276546481E-2</v>
      </c>
      <c r="M64" s="125">
        <f t="shared" si="32"/>
        <v>8.2654624280378772E-2</v>
      </c>
      <c r="N64" s="125">
        <f t="shared" si="32"/>
        <v>6.745516690119209E-2</v>
      </c>
      <c r="O64" s="125">
        <f t="shared" si="32"/>
        <v>7.1050556785387367E-2</v>
      </c>
      <c r="P64" s="125">
        <f t="shared" si="32"/>
        <v>7.6646515849499872E-2</v>
      </c>
      <c r="Q64" s="125">
        <f t="shared" si="32"/>
        <v>8.7677622733657659E-2</v>
      </c>
      <c r="R64" s="125">
        <f t="shared" si="32"/>
        <v>9.079743997944778E-2</v>
      </c>
      <c r="S64" s="125">
        <f t="shared" si="32"/>
        <v>9.3816226059908761E-2</v>
      </c>
      <c r="T64" s="125">
        <f t="shared" si="32"/>
        <v>9.5710217402771761E-2</v>
      </c>
      <c r="U64" s="125">
        <f t="shared" si="32"/>
        <v>9.4015749860457895E-2</v>
      </c>
      <c r="V64" s="125">
        <f t="shared" si="32"/>
        <v>8.1635814860271702E-2</v>
      </c>
      <c r="W64" s="125">
        <f t="shared" ref="W64:Y64" si="33">IF(W18=0,0,W18/W$10)</f>
        <v>7.063472844850581E-2</v>
      </c>
      <c r="X64" s="125">
        <f t="shared" si="33"/>
        <v>7.0682828889585589E-2</v>
      </c>
      <c r="Y64" s="125">
        <f t="shared" si="33"/>
        <v>7.0430202552128118E-2</v>
      </c>
      <c r="DA64" s="171"/>
    </row>
    <row r="65" spans="1:105" ht="11.45" customHeight="1" x14ac:dyDescent="0.25">
      <c r="A65" s="85" t="s">
        <v>93</v>
      </c>
      <c r="B65" s="127">
        <f t="shared" si="15"/>
        <v>3.610090417112248E-2</v>
      </c>
      <c r="C65" s="127">
        <f t="shared" ref="C65:V65" si="34">IF(C19=0,0,C19/C$10)</f>
        <v>3.8104895010414128E-2</v>
      </c>
      <c r="D65" s="127">
        <f t="shared" si="34"/>
        <v>3.4773498872664045E-2</v>
      </c>
      <c r="E65" s="127">
        <f t="shared" si="34"/>
        <v>3.724463396092597E-2</v>
      </c>
      <c r="F65" s="127">
        <f t="shared" si="34"/>
        <v>4.4058446848564456E-2</v>
      </c>
      <c r="G65" s="127">
        <f t="shared" si="34"/>
        <v>4.1209132037683775E-2</v>
      </c>
      <c r="H65" s="127">
        <f t="shared" si="34"/>
        <v>3.3315233026619144E-2</v>
      </c>
      <c r="I65" s="127">
        <f t="shared" si="34"/>
        <v>3.1542000178173817E-2</v>
      </c>
      <c r="J65" s="127">
        <f t="shared" si="34"/>
        <v>3.8627449345801014E-2</v>
      </c>
      <c r="K65" s="127">
        <f t="shared" si="34"/>
        <v>2.9796341631379966E-2</v>
      </c>
      <c r="L65" s="127">
        <f t="shared" si="34"/>
        <v>3.4867357834110442E-2</v>
      </c>
      <c r="M65" s="127">
        <f t="shared" si="34"/>
        <v>3.7694848364361579E-2</v>
      </c>
      <c r="N65" s="127">
        <f t="shared" si="34"/>
        <v>3.3340133603340066E-2</v>
      </c>
      <c r="O65" s="127">
        <f t="shared" si="34"/>
        <v>3.3876312664387731E-2</v>
      </c>
      <c r="P65" s="127">
        <f t="shared" si="34"/>
        <v>3.0684542342239097E-2</v>
      </c>
      <c r="Q65" s="127">
        <f t="shared" si="34"/>
        <v>3.2049793414734164E-2</v>
      </c>
      <c r="R65" s="127">
        <f t="shared" si="34"/>
        <v>3.2049623123460463E-2</v>
      </c>
      <c r="S65" s="127">
        <f t="shared" si="34"/>
        <v>2.241337381934199E-2</v>
      </c>
      <c r="T65" s="127">
        <f t="shared" si="34"/>
        <v>2.2167621892982041E-2</v>
      </c>
      <c r="U65" s="127">
        <f t="shared" si="34"/>
        <v>1.4561005471431529E-2</v>
      </c>
      <c r="V65" s="127">
        <f t="shared" si="34"/>
        <v>1.0005100956251456E-2</v>
      </c>
      <c r="W65" s="127">
        <f t="shared" ref="W65:Y65" si="35">IF(W19=0,0,W19/W$10)</f>
        <v>9.8127278178505133E-3</v>
      </c>
      <c r="X65" s="127">
        <f t="shared" si="35"/>
        <v>1.0402310967975928E-2</v>
      </c>
      <c r="Y65" s="127">
        <f t="shared" si="35"/>
        <v>5.4737774270281828E-3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227.81303999999997</v>
      </c>
      <c r="C4" s="26">
        <f t="shared" ref="C4:W4" si="0">SUM(C5:C6)</f>
        <v>211.99257144000001</v>
      </c>
      <c r="D4" s="26">
        <f t="shared" si="0"/>
        <v>211.99257144000001</v>
      </c>
      <c r="E4" s="26">
        <f t="shared" si="0"/>
        <v>218.32091892</v>
      </c>
      <c r="F4" s="26">
        <f t="shared" si="0"/>
        <v>215.15687856</v>
      </c>
      <c r="G4" s="26">
        <f t="shared" si="0"/>
        <v>230.97708036</v>
      </c>
      <c r="H4" s="26">
        <f t="shared" si="0"/>
        <v>227.81303999999997</v>
      </c>
      <c r="I4" s="26">
        <f t="shared" si="0"/>
        <v>227.81303999999997</v>
      </c>
      <c r="J4" s="26">
        <f t="shared" si="0"/>
        <v>237.30516108</v>
      </c>
      <c r="K4" s="26">
        <f t="shared" si="0"/>
        <v>230.97708036</v>
      </c>
      <c r="L4" s="26">
        <f t="shared" si="0"/>
        <v>243.63350856000002</v>
      </c>
      <c r="M4" s="26">
        <f t="shared" si="0"/>
        <v>249.96158928</v>
      </c>
      <c r="N4" s="26">
        <f t="shared" si="0"/>
        <v>249.96158928</v>
      </c>
      <c r="O4" s="26">
        <f t="shared" si="0"/>
        <v>246.79754892000003</v>
      </c>
      <c r="P4" s="26">
        <f t="shared" si="0"/>
        <v>253.12562964</v>
      </c>
      <c r="Q4" s="26">
        <f t="shared" si="0"/>
        <v>248.64219432000002</v>
      </c>
      <c r="R4" s="26">
        <f t="shared" si="0"/>
        <v>253.82800872000001</v>
      </c>
      <c r="S4" s="26">
        <f t="shared" si="0"/>
        <v>244.28798963999998</v>
      </c>
      <c r="T4" s="26">
        <f t="shared" si="0"/>
        <v>224.35114751999998</v>
      </c>
      <c r="U4" s="26">
        <f t="shared" si="0"/>
        <v>223.93980359999998</v>
      </c>
      <c r="V4" s="26">
        <f t="shared" si="0"/>
        <v>196.68146651999999</v>
      </c>
      <c r="W4" s="26">
        <f t="shared" si="0"/>
        <v>184.75957656</v>
      </c>
      <c r="X4" s="26">
        <f t="shared" ref="X4:Y4" si="1">SUM(X5:X6)</f>
        <v>180.1683702</v>
      </c>
      <c r="Y4" s="26">
        <f t="shared" si="1"/>
        <v>174.80542716000002</v>
      </c>
      <c r="DA4" s="202" t="s">
        <v>1137</v>
      </c>
    </row>
    <row r="5" spans="1:105" ht="11.45" customHeight="1" x14ac:dyDescent="0.25">
      <c r="A5" s="107" t="s">
        <v>92</v>
      </c>
      <c r="B5" s="129">
        <v>227.81303999999997</v>
      </c>
      <c r="C5" s="129">
        <v>211.99257144000001</v>
      </c>
      <c r="D5" s="129">
        <v>211.99257144000001</v>
      </c>
      <c r="E5" s="129">
        <v>218.32091892</v>
      </c>
      <c r="F5" s="129">
        <v>215.15687856</v>
      </c>
      <c r="G5" s="129">
        <v>230.97708036</v>
      </c>
      <c r="H5" s="129">
        <v>227.81303999999997</v>
      </c>
      <c r="I5" s="129">
        <v>227.81303999999997</v>
      </c>
      <c r="J5" s="129">
        <v>237.30516108</v>
      </c>
      <c r="K5" s="129">
        <v>230.97708036</v>
      </c>
      <c r="L5" s="129">
        <v>243.63350856000002</v>
      </c>
      <c r="M5" s="129">
        <v>249.96158928</v>
      </c>
      <c r="N5" s="129">
        <v>249.96158928</v>
      </c>
      <c r="O5" s="129">
        <v>246.79754892000003</v>
      </c>
      <c r="P5" s="129">
        <v>253.12562964</v>
      </c>
      <c r="Q5" s="129">
        <v>248.64219432000002</v>
      </c>
      <c r="R5" s="129">
        <v>253.82800872000001</v>
      </c>
      <c r="S5" s="129">
        <v>244.28798963999998</v>
      </c>
      <c r="T5" s="129">
        <v>224.35114751999998</v>
      </c>
      <c r="U5" s="129">
        <v>223.93980359999998</v>
      </c>
      <c r="V5" s="129">
        <v>196.68146651999999</v>
      </c>
      <c r="W5" s="129">
        <v>184.75957656</v>
      </c>
      <c r="X5" s="129">
        <v>180.1683702</v>
      </c>
      <c r="Y5" s="129">
        <v>174.80542716000002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227.81303999999994</v>
      </c>
      <c r="C8" s="79">
        <f t="shared" si="2"/>
        <v>211.99257143999998</v>
      </c>
      <c r="D8" s="79">
        <f t="shared" si="2"/>
        <v>211.99257144000003</v>
      </c>
      <c r="E8" s="79">
        <f t="shared" si="2"/>
        <v>218.32091892000003</v>
      </c>
      <c r="F8" s="79">
        <f t="shared" si="2"/>
        <v>215.15687856</v>
      </c>
      <c r="G8" s="79">
        <f t="shared" si="2"/>
        <v>230.97708036</v>
      </c>
      <c r="H8" s="79">
        <f t="shared" si="2"/>
        <v>227.81304</v>
      </c>
      <c r="I8" s="79">
        <f t="shared" si="2"/>
        <v>227.81303999999997</v>
      </c>
      <c r="J8" s="79">
        <f t="shared" si="2"/>
        <v>237.30516108</v>
      </c>
      <c r="K8" s="79">
        <f t="shared" si="2"/>
        <v>230.97708036</v>
      </c>
      <c r="L8" s="79">
        <f t="shared" si="2"/>
        <v>243.63350856000002</v>
      </c>
      <c r="M8" s="79">
        <f t="shared" si="2"/>
        <v>249.96158928</v>
      </c>
      <c r="N8" s="79">
        <f t="shared" si="2"/>
        <v>249.96158928</v>
      </c>
      <c r="O8" s="79">
        <f t="shared" si="2"/>
        <v>246.79754892000003</v>
      </c>
      <c r="P8" s="79">
        <f t="shared" si="2"/>
        <v>253.12562964</v>
      </c>
      <c r="Q8" s="79">
        <f t="shared" si="2"/>
        <v>248.64219431999999</v>
      </c>
      <c r="R8" s="79">
        <f t="shared" si="2"/>
        <v>253.82800872000001</v>
      </c>
      <c r="S8" s="79">
        <f t="shared" si="2"/>
        <v>244.28798963999998</v>
      </c>
      <c r="T8" s="79">
        <f t="shared" si="2"/>
        <v>224.35114751999998</v>
      </c>
      <c r="U8" s="79">
        <f t="shared" si="2"/>
        <v>223.93980359999998</v>
      </c>
      <c r="V8" s="79">
        <f t="shared" si="2"/>
        <v>196.68146651999999</v>
      </c>
      <c r="W8" s="79">
        <f t="shared" si="2"/>
        <v>184.75957656000003</v>
      </c>
      <c r="X8" s="79">
        <f t="shared" ref="X8:Y8" si="3">SUM(X9,X15)</f>
        <v>180.1683702</v>
      </c>
      <c r="Y8" s="79">
        <f t="shared" si="3"/>
        <v>174.80542715999999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197.56286081920211</v>
      </c>
      <c r="C9" s="32">
        <f t="shared" si="4"/>
        <v>183.62182624938225</v>
      </c>
      <c r="D9" s="32">
        <f t="shared" si="4"/>
        <v>186.81610772024646</v>
      </c>
      <c r="E9" s="32">
        <f t="shared" si="4"/>
        <v>194.89220436100666</v>
      </c>
      <c r="F9" s="32">
        <f t="shared" si="4"/>
        <v>188.73043625241783</v>
      </c>
      <c r="G9" s="32">
        <f t="shared" si="4"/>
        <v>207.08602316702863</v>
      </c>
      <c r="H9" s="32">
        <f t="shared" si="4"/>
        <v>204.29183364473175</v>
      </c>
      <c r="I9" s="32">
        <f t="shared" si="4"/>
        <v>206.66722161122414</v>
      </c>
      <c r="J9" s="32">
        <f t="shared" si="4"/>
        <v>216.60181520158139</v>
      </c>
      <c r="K9" s="32">
        <f t="shared" si="4"/>
        <v>211.31015033813617</v>
      </c>
      <c r="L9" s="32">
        <f t="shared" si="4"/>
        <v>218.07443158301263</v>
      </c>
      <c r="M9" s="32">
        <f t="shared" si="4"/>
        <v>220.54767584704081</v>
      </c>
      <c r="N9" s="32">
        <f t="shared" si="4"/>
        <v>226.17256753204401</v>
      </c>
      <c r="O9" s="32">
        <f t="shared" si="4"/>
        <v>221.94641529613014</v>
      </c>
      <c r="P9" s="32">
        <f t="shared" si="4"/>
        <v>225.85263559719826</v>
      </c>
      <c r="Q9" s="32">
        <f t="shared" si="4"/>
        <v>217.55645140249132</v>
      </c>
      <c r="R9" s="32">
        <f t="shared" si="4"/>
        <v>220.68086617106445</v>
      </c>
      <c r="S9" s="32">
        <f t="shared" si="4"/>
        <v>211.18250150990892</v>
      </c>
      <c r="T9" s="32">
        <f t="shared" si="4"/>
        <v>192.58734761818684</v>
      </c>
      <c r="U9" s="32">
        <f t="shared" si="4"/>
        <v>192.55702924343254</v>
      </c>
      <c r="V9" s="32">
        <f t="shared" si="4"/>
        <v>171.39341274986134</v>
      </c>
      <c r="W9" s="32">
        <f t="shared" si="4"/>
        <v>163.1765060542711</v>
      </c>
      <c r="X9" s="32">
        <f t="shared" ref="X9:Y9" si="5">SUM(X10,X11,X14)</f>
        <v>158.07481956538982</v>
      </c>
      <c r="Y9" s="32">
        <f t="shared" si="5"/>
        <v>153.27263918932556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197.56286081920211</v>
      </c>
      <c r="C11" s="130">
        <f t="shared" si="6"/>
        <v>183.62182624938225</v>
      </c>
      <c r="D11" s="130">
        <f t="shared" si="6"/>
        <v>186.81610772024646</v>
      </c>
      <c r="E11" s="130">
        <f t="shared" si="6"/>
        <v>194.89220436100666</v>
      </c>
      <c r="F11" s="130">
        <f t="shared" si="6"/>
        <v>188.73043625241783</v>
      </c>
      <c r="G11" s="130">
        <f t="shared" si="6"/>
        <v>207.08602316702863</v>
      </c>
      <c r="H11" s="130">
        <f t="shared" si="6"/>
        <v>204.29183364473175</v>
      </c>
      <c r="I11" s="130">
        <f t="shared" si="6"/>
        <v>206.66722161122414</v>
      </c>
      <c r="J11" s="130">
        <f t="shared" si="6"/>
        <v>216.60181520158139</v>
      </c>
      <c r="K11" s="130">
        <f t="shared" si="6"/>
        <v>211.31015033813617</v>
      </c>
      <c r="L11" s="130">
        <f t="shared" si="6"/>
        <v>218.07443158301263</v>
      </c>
      <c r="M11" s="130">
        <f t="shared" si="6"/>
        <v>220.54767584704081</v>
      </c>
      <c r="N11" s="130">
        <f t="shared" si="6"/>
        <v>226.17256753204401</v>
      </c>
      <c r="O11" s="130">
        <f t="shared" si="6"/>
        <v>221.94641529613014</v>
      </c>
      <c r="P11" s="130">
        <f t="shared" si="6"/>
        <v>225.85263559719826</v>
      </c>
      <c r="Q11" s="130">
        <f t="shared" si="6"/>
        <v>217.55645140249132</v>
      </c>
      <c r="R11" s="130">
        <f t="shared" si="6"/>
        <v>220.68086617106445</v>
      </c>
      <c r="S11" s="130">
        <f t="shared" si="6"/>
        <v>211.18250150990892</v>
      </c>
      <c r="T11" s="130">
        <f t="shared" si="6"/>
        <v>192.58734761818684</v>
      </c>
      <c r="U11" s="130">
        <f t="shared" si="6"/>
        <v>192.55702924343254</v>
      </c>
      <c r="V11" s="130">
        <f t="shared" si="6"/>
        <v>171.39341274986134</v>
      </c>
      <c r="W11" s="130">
        <f t="shared" si="6"/>
        <v>163.1765060542711</v>
      </c>
      <c r="X11" s="130">
        <f t="shared" ref="X11:Y11" si="7">SUM(X12:X13)</f>
        <v>158.07481956538982</v>
      </c>
      <c r="Y11" s="130">
        <f t="shared" si="7"/>
        <v>153.27263918932556</v>
      </c>
      <c r="DA11" s="176" t="s">
        <v>409</v>
      </c>
    </row>
    <row r="12" spans="1:105" ht="11.45" customHeight="1" x14ac:dyDescent="0.25">
      <c r="A12" s="111" t="s">
        <v>92</v>
      </c>
      <c r="B12" s="96">
        <v>197.56286081920211</v>
      </c>
      <c r="C12" s="96">
        <v>183.62182624938225</v>
      </c>
      <c r="D12" s="96">
        <v>186.81610772024646</v>
      </c>
      <c r="E12" s="96">
        <v>194.89220436100666</v>
      </c>
      <c r="F12" s="96">
        <v>188.73043625241783</v>
      </c>
      <c r="G12" s="96">
        <v>207.08602316702863</v>
      </c>
      <c r="H12" s="96">
        <v>204.29183364473175</v>
      </c>
      <c r="I12" s="96">
        <v>206.66722161122414</v>
      </c>
      <c r="J12" s="96">
        <v>216.60181520158139</v>
      </c>
      <c r="K12" s="96">
        <v>211.31015033813617</v>
      </c>
      <c r="L12" s="96">
        <v>218.07443158301263</v>
      </c>
      <c r="M12" s="96">
        <v>220.54767584704081</v>
      </c>
      <c r="N12" s="96">
        <v>226.17256753204401</v>
      </c>
      <c r="O12" s="96">
        <v>221.94641529613014</v>
      </c>
      <c r="P12" s="96">
        <v>225.85263559719826</v>
      </c>
      <c r="Q12" s="96">
        <v>217.55645140249132</v>
      </c>
      <c r="R12" s="96">
        <v>220.68086617106445</v>
      </c>
      <c r="S12" s="96">
        <v>211.18250150990892</v>
      </c>
      <c r="T12" s="96">
        <v>192.58734761818684</v>
      </c>
      <c r="U12" s="96">
        <v>192.55702924343254</v>
      </c>
      <c r="V12" s="96">
        <v>171.39341274986134</v>
      </c>
      <c r="W12" s="96">
        <v>163.1765060542711</v>
      </c>
      <c r="X12" s="96">
        <v>158.07481956538982</v>
      </c>
      <c r="Y12" s="96">
        <v>153.27263918932556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30.250179180797815</v>
      </c>
      <c r="C15" s="32">
        <f t="shared" si="8"/>
        <v>28.370745190617718</v>
      </c>
      <c r="D15" s="32">
        <f t="shared" si="8"/>
        <v>25.176463719753563</v>
      </c>
      <c r="E15" s="32">
        <f t="shared" si="8"/>
        <v>23.428714558993356</v>
      </c>
      <c r="F15" s="32">
        <f t="shared" si="8"/>
        <v>26.426442307582164</v>
      </c>
      <c r="G15" s="32">
        <f t="shared" si="8"/>
        <v>23.891057192971385</v>
      </c>
      <c r="H15" s="32">
        <f t="shared" si="8"/>
        <v>23.521206355268244</v>
      </c>
      <c r="I15" s="32">
        <f t="shared" si="8"/>
        <v>21.145818388775826</v>
      </c>
      <c r="J15" s="32">
        <f t="shared" si="8"/>
        <v>20.703345878418613</v>
      </c>
      <c r="K15" s="32">
        <f t="shared" si="8"/>
        <v>19.666930021863841</v>
      </c>
      <c r="L15" s="32">
        <f t="shared" si="8"/>
        <v>25.559076976987388</v>
      </c>
      <c r="M15" s="32">
        <f t="shared" si="8"/>
        <v>29.413913432959188</v>
      </c>
      <c r="N15" s="32">
        <f t="shared" si="8"/>
        <v>23.789021747955996</v>
      </c>
      <c r="O15" s="32">
        <f t="shared" si="8"/>
        <v>24.851133623869874</v>
      </c>
      <c r="P15" s="32">
        <f t="shared" si="8"/>
        <v>27.272994042801738</v>
      </c>
      <c r="Q15" s="32">
        <f t="shared" si="8"/>
        <v>31.085742917508668</v>
      </c>
      <c r="R15" s="32">
        <f t="shared" si="8"/>
        <v>33.147142548935548</v>
      </c>
      <c r="S15" s="32">
        <f t="shared" si="8"/>
        <v>33.105488130091075</v>
      </c>
      <c r="T15" s="32">
        <f t="shared" si="8"/>
        <v>31.763799901813151</v>
      </c>
      <c r="U15" s="32">
        <f t="shared" si="8"/>
        <v>31.382774356567445</v>
      </c>
      <c r="V15" s="32">
        <f t="shared" si="8"/>
        <v>25.288053770138653</v>
      </c>
      <c r="W15" s="32">
        <f t="shared" si="8"/>
        <v>21.583070505728916</v>
      </c>
      <c r="X15" s="32">
        <f t="shared" ref="X15:Y15" si="9">SUM(X16:X17)</f>
        <v>22.093550634610185</v>
      </c>
      <c r="Y15" s="32">
        <f t="shared" si="9"/>
        <v>21.532787970674441</v>
      </c>
      <c r="DA15" s="173" t="s">
        <v>414</v>
      </c>
    </row>
    <row r="16" spans="1:105" ht="11.45" customHeight="1" x14ac:dyDescent="0.25">
      <c r="A16" s="83" t="s">
        <v>92</v>
      </c>
      <c r="B16" s="96">
        <v>30.250179180797815</v>
      </c>
      <c r="C16" s="96">
        <v>28.370745190617718</v>
      </c>
      <c r="D16" s="96">
        <v>25.176463719753563</v>
      </c>
      <c r="E16" s="96">
        <v>23.428714558993356</v>
      </c>
      <c r="F16" s="96">
        <v>26.426442307582164</v>
      </c>
      <c r="G16" s="96">
        <v>23.891057192971385</v>
      </c>
      <c r="H16" s="96">
        <v>23.521206355268244</v>
      </c>
      <c r="I16" s="96">
        <v>21.145818388775826</v>
      </c>
      <c r="J16" s="96">
        <v>20.703345878418613</v>
      </c>
      <c r="K16" s="96">
        <v>19.666930021863841</v>
      </c>
      <c r="L16" s="96">
        <v>25.559076976987388</v>
      </c>
      <c r="M16" s="96">
        <v>29.413913432959188</v>
      </c>
      <c r="N16" s="96">
        <v>23.789021747955996</v>
      </c>
      <c r="O16" s="96">
        <v>24.851133623869874</v>
      </c>
      <c r="P16" s="96">
        <v>27.272994042801738</v>
      </c>
      <c r="Q16" s="96">
        <v>31.085742917508668</v>
      </c>
      <c r="R16" s="96">
        <v>33.147142548935548</v>
      </c>
      <c r="S16" s="96">
        <v>33.105488130091075</v>
      </c>
      <c r="T16" s="96">
        <v>31.763799901813151</v>
      </c>
      <c r="U16" s="96">
        <v>31.382774356567445</v>
      </c>
      <c r="V16" s="96">
        <v>25.288053770138653</v>
      </c>
      <c r="W16" s="96">
        <v>21.583070505728916</v>
      </c>
      <c r="X16" s="96">
        <v>22.093550634610185</v>
      </c>
      <c r="Y16" s="96">
        <v>21.532787970674441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2.2042143554076539</v>
      </c>
      <c r="C22" s="134">
        <f>IF(C4=0,0,C4/TrRail_ene!C4)</f>
        <v>2.1575974021454565</v>
      </c>
      <c r="D22" s="134">
        <f>IF(D4=0,0,D4/TrRail_ene!D4)</f>
        <v>2.1278038945978839</v>
      </c>
      <c r="E22" s="134">
        <f>IF(E4=0,0,E4/TrRail_ene!E4)</f>
        <v>2.1675221437281516</v>
      </c>
      <c r="F22" s="134">
        <f>IF(F4=0,0,F4/TrRail_ene!F4)</f>
        <v>2.1267789188553712</v>
      </c>
      <c r="G22" s="134">
        <f>IF(G4=0,0,G4/TrRail_ene!G4)</f>
        <v>2.1648383216063687</v>
      </c>
      <c r="H22" s="134">
        <f>IF(H4=0,0,H4/TrRail_ene!H4)</f>
        <v>2.1540371180487803</v>
      </c>
      <c r="I22" s="134">
        <f>IF(I4=0,0,I4/TrRail_ene!I4)</f>
        <v>2.1896410373553716</v>
      </c>
      <c r="J22" s="134">
        <f>IF(J4=0,0,J4/TrRail_ene!J4)</f>
        <v>2.1772609946334085</v>
      </c>
      <c r="K22" s="134">
        <f>IF(K4=0,0,K4/TrRail_ene!K4)</f>
        <v>2.1304992735811483</v>
      </c>
      <c r="L22" s="134">
        <f>IF(L4=0,0,L4/TrRail_ene!L4)</f>
        <v>2.1509487579596542</v>
      </c>
      <c r="M22" s="134">
        <f>IF(M4=0,0,M4/TrRail_ene!M4)</f>
        <v>2.1791546229362506</v>
      </c>
      <c r="N22" s="134">
        <f>IF(N4=0,0,N4/TrRail_ene!N4)</f>
        <v>2.1989347300710729</v>
      </c>
      <c r="O22" s="134">
        <f>IF(O4=0,0,O4/TrRail_ene!O4)</f>
        <v>2.1890846047373067</v>
      </c>
      <c r="P22" s="134">
        <f>IF(P4=0,0,P4/TrRail_ene!P4)</f>
        <v>2.2069685503915246</v>
      </c>
      <c r="Q22" s="134">
        <f>IF(Q4=0,0,Q4/TrRail_ene!Q4)</f>
        <v>2.175718819411895</v>
      </c>
      <c r="R22" s="134">
        <f>IF(R4=0,0,R4/TrRail_ene!R4)</f>
        <v>2.1570860690683822</v>
      </c>
      <c r="S22" s="134">
        <f>IF(S4=0,0,S4/TrRail_ene!S4)</f>
        <v>2.1477304006528457</v>
      </c>
      <c r="T22" s="134">
        <f>IF(T4=0,0,T4/TrRail_ene!T4)</f>
        <v>2.0972672112042714</v>
      </c>
      <c r="U22" s="134">
        <f>IF(U4=0,0,U4/TrRail_ene!U4)</f>
        <v>2.0813263965917783</v>
      </c>
      <c r="V22" s="134">
        <f>IF(V4=0,0,V4/TrRail_ene!V4)</f>
        <v>1.9698278412357337</v>
      </c>
      <c r="W22" s="134">
        <f>IF(W4=0,0,W4/TrRail_ene!W4)</f>
        <v>1.8759118730212276</v>
      </c>
      <c r="X22" s="134">
        <f>IF(X4=0,0,X4/TrRail_ene!X4)</f>
        <v>1.7882464827286624</v>
      </c>
      <c r="Y22" s="134">
        <f>IF(Y4=0,0,Y4/TrRail_ene!Y4)</f>
        <v>1.7738382227222005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1.5512067665652938</v>
      </c>
      <c r="T23" s="129">
        <f>IF(T5=0,0,T5/SUM(TrRail_ene!T5:T7))</f>
        <v>1.5512065325469901</v>
      </c>
      <c r="U23" s="129">
        <f>IF(U5=0,0,U5/SUM(TrRail_ene!U5:U7))</f>
        <v>1.5512065272799178</v>
      </c>
      <c r="V23" s="129">
        <f>IF(V5=0,0,V5/SUM(TrRail_ene!V5:V7))</f>
        <v>1.5512061291467911</v>
      </c>
      <c r="W23" s="129">
        <f>IF(W5=0,0,W5/SUM(TrRail_ene!W5:W7))</f>
        <v>1.5512094000000001</v>
      </c>
      <c r="X23" s="129">
        <f>IF(X5=0,0,X5/SUM(TrRail_ene!X5:X7))</f>
        <v>1.5512094000000001</v>
      </c>
      <c r="Y23" s="129">
        <f>IF(Y5=0,0,Y5/SUM(TrRail_ene!Y5:Y7))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4932.5364675765832</v>
      </c>
      <c r="C26" s="54">
        <f>IF(C8=0,0,C8/TrRail_act!C14*1000)</f>
        <v>4672.1846960818202</v>
      </c>
      <c r="D26" s="54">
        <f>IF(D8=0,0,D8/TrRail_act!D14*1000)</f>
        <v>4435.3545014744323</v>
      </c>
      <c r="E26" s="54">
        <f>IF(E8=0,0,E8/TrRail_act!E14*1000)</f>
        <v>4387.4987298275082</v>
      </c>
      <c r="F26" s="54">
        <f>IF(F8=0,0,F8/TrRail_act!F14*1000)</f>
        <v>4166.0010675595649</v>
      </c>
      <c r="G26" s="54">
        <f>IF(G8=0,0,G8/TrRail_act!G14*1000)</f>
        <v>4107.563083318254</v>
      </c>
      <c r="H26" s="54">
        <f>IF(H8=0,0,H8/TrRail_act!H14*1000)</f>
        <v>4012.0492096111439</v>
      </c>
      <c r="I26" s="54">
        <f>IF(I8=0,0,I8/TrRail_act!I14*1000)</f>
        <v>4096.2030943994105</v>
      </c>
      <c r="J26" s="54">
        <f>IF(J8=0,0,J8/TrRail_act!J14*1000)</f>
        <v>3979.9702919367573</v>
      </c>
      <c r="K26" s="54">
        <f>IF(K8=0,0,K8/TrRail_act!K14*1000)</f>
        <v>3727.7469668857229</v>
      </c>
      <c r="L26" s="54">
        <f>IF(L8=0,0,L8/TrRail_act!L14*1000)</f>
        <v>3772.2293517842845</v>
      </c>
      <c r="M26" s="54">
        <f>IF(M8=0,0,M8/TrRail_act!M14*1000)</f>
        <v>3781.5565158516833</v>
      </c>
      <c r="N26" s="54">
        <f>IF(N8=0,0,N8/TrRail_act!N14*1000)</f>
        <v>3795.1260097040285</v>
      </c>
      <c r="O26" s="54">
        <f>IF(O8=0,0,O8/TrRail_act!O14*1000)</f>
        <v>3664.415744514386</v>
      </c>
      <c r="P26" s="54">
        <f>IF(P8=0,0,P8/TrRail_act!P14*1000)</f>
        <v>3639.0612193942852</v>
      </c>
      <c r="Q26" s="54">
        <f>IF(Q8=0,0,Q8/TrRail_act!Q14*1000)</f>
        <v>3512.9595418147351</v>
      </c>
      <c r="R26" s="54">
        <f>IF(R8=0,0,R8/TrRail_act!R14*1000)</f>
        <v>3441.145280705784</v>
      </c>
      <c r="S26" s="54">
        <f>IF(S8=0,0,S8/TrRail_act!S14*1000)</f>
        <v>3358.4003971858351</v>
      </c>
      <c r="T26" s="54">
        <f>IF(T8=0,0,T8/TrRail_act!T14*1000)</f>
        <v>3203.1200580648733</v>
      </c>
      <c r="U26" s="54">
        <f>IF(U8=0,0,U8/TrRail_act!U14*1000)</f>
        <v>3087.2629789914422</v>
      </c>
      <c r="V26" s="54">
        <f>IF(V8=0,0,V8/TrRail_act!V14*1000)</f>
        <v>2832.6008168831436</v>
      </c>
      <c r="W26" s="54">
        <f>IF(W8=0,0,W8/TrRail_act!W14*1000)</f>
        <v>2620.5066311379146</v>
      </c>
      <c r="X26" s="54">
        <f>IF(X8=0,0,X8/TrRail_act!X14*1000)</f>
        <v>2437.5210205472304</v>
      </c>
      <c r="Y26" s="54">
        <f>IF(Y8=0,0,Y8/TrRail_act!Y14*1000)</f>
        <v>2396.0456203578456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4643.0769766072772</v>
      </c>
      <c r="C27" s="28">
        <f>IF(C9=0,0,C9/TrRail_act!C15*1000)</f>
        <v>4398.6486191882905</v>
      </c>
      <c r="D27" s="28">
        <f>IF(D9=0,0,D9/TrRail_act!D15*1000)</f>
        <v>4199.9163877176088</v>
      </c>
      <c r="E27" s="28">
        <f>IF(E9=0,0,E9/TrRail_act!E15*1000)</f>
        <v>4206.0830521267744</v>
      </c>
      <c r="F27" s="28">
        <f>IF(F9=0,0,F9/TrRail_act!F15*1000)</f>
        <v>3963.9493894552838</v>
      </c>
      <c r="G27" s="28">
        <f>IF(G9=0,0,G9/TrRail_act!G15*1000)</f>
        <v>3949.9432684336753</v>
      </c>
      <c r="H27" s="28">
        <f>IF(H9=0,0,H9/TrRail_act!H15*1000)</f>
        <v>3829.6744104305362</v>
      </c>
      <c r="I27" s="28">
        <f>IF(I9=0,0,I9/TrRail_act!I15*1000)</f>
        <v>3939.3291202509881</v>
      </c>
      <c r="J27" s="28">
        <f>IF(J9=0,0,J9/TrRail_act!J15*1000)</f>
        <v>3874.1029992752287</v>
      </c>
      <c r="K27" s="28">
        <f>IF(K9=0,0,K9/TrRail_act!K15*1000)</f>
        <v>3595.9999154788106</v>
      </c>
      <c r="L27" s="28">
        <f>IF(L9=0,0,L9/TrRail_act!L15*1000)</f>
        <v>3605.4757080748591</v>
      </c>
      <c r="M27" s="28">
        <f>IF(M9=0,0,M9/TrRail_act!M15*1000)</f>
        <v>3588.5871016116594</v>
      </c>
      <c r="N27" s="28">
        <f>IF(N9=0,0,N9/TrRail_act!N15*1000)</f>
        <v>3654.2314424588685</v>
      </c>
      <c r="O27" s="28">
        <f>IF(O9=0,0,O9/TrRail_act!O15*1000)</f>
        <v>3510.929532863348</v>
      </c>
      <c r="P27" s="28">
        <f>IF(P9=0,0,P9/TrRail_act!P15*1000)</f>
        <v>3459.9580678896195</v>
      </c>
      <c r="Q27" s="28">
        <f>IF(Q9=0,0,Q9/TrRail_act!Q15*1000)</f>
        <v>3296.9739645660115</v>
      </c>
      <c r="R27" s="28">
        <f>IF(R9=0,0,R9/TrRail_act!R15*1000)</f>
        <v>3215.2613804079406</v>
      </c>
      <c r="S27" s="28">
        <f>IF(S9=0,0,S9/TrRail_act!S15*1000)</f>
        <v>3092.0058825673814</v>
      </c>
      <c r="T27" s="28">
        <f>IF(T9=0,0,T9/TrRail_act!T15*1000)</f>
        <v>2928.1995236645425</v>
      </c>
      <c r="U27" s="28">
        <f>IF(U9=0,0,U9/TrRail_act!U15*1000)</f>
        <v>2800.8188994616048</v>
      </c>
      <c r="V27" s="28">
        <f>IF(V9=0,0,V9/TrRail_act!V15*1000)</f>
        <v>2576.0359159954628</v>
      </c>
      <c r="W27" s="28">
        <f>IF(W9=0,0,W9/TrRail_act!W15*1000)</f>
        <v>2401.5603252926685</v>
      </c>
      <c r="X27" s="28">
        <f>IF(X9=0,0,X9/TrRail_act!X15*1000)</f>
        <v>2218.6229880398105</v>
      </c>
      <c r="Y27" s="28">
        <f>IF(Y9=0,0,Y9/TrRail_act!Y15*1000)</f>
        <v>2169.225277319129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4643.0769766072772</v>
      </c>
      <c r="C29" s="110">
        <f>IF(C11=0,0,C11/TrRail_act!C17*1000)</f>
        <v>4398.6486191882905</v>
      </c>
      <c r="D29" s="110">
        <f>IF(D11=0,0,D11/TrRail_act!D17*1000)</f>
        <v>4210.2415034373344</v>
      </c>
      <c r="E29" s="110">
        <f>IF(E11=0,0,E11/TrRail_act!E17*1000)</f>
        <v>4283.5341589450263</v>
      </c>
      <c r="F29" s="110">
        <f>IF(F11=0,0,F11/TrRail_act!F17*1000)</f>
        <v>4101.8424192097118</v>
      </c>
      <c r="G29" s="110">
        <f>IF(G11=0,0,G11/TrRail_act!G17*1000)</f>
        <v>4110.6007619006086</v>
      </c>
      <c r="H29" s="110">
        <f>IF(H11=0,0,H11/TrRail_act!H17*1000)</f>
        <v>3984.5678272787691</v>
      </c>
      <c r="I29" s="110">
        <f>IF(I11=0,0,I11/TrRail_act!I17*1000)</f>
        <v>4113.6042190053477</v>
      </c>
      <c r="J29" s="110">
        <f>IF(J11=0,0,J11/TrRail_act!J17*1000)</f>
        <v>4052.3852487363338</v>
      </c>
      <c r="K29" s="110">
        <f>IF(K11=0,0,K11/TrRail_act!K17*1000)</f>
        <v>3771.0361602187586</v>
      </c>
      <c r="L29" s="110">
        <f>IF(L11=0,0,L11/TrRail_act!L17*1000)</f>
        <v>3794.8065328962284</v>
      </c>
      <c r="M29" s="110">
        <f>IF(M11=0,0,M11/TrRail_act!M17*1000)</f>
        <v>3806.519772631118</v>
      </c>
      <c r="N29" s="110">
        <f>IF(N11=0,0,N11/TrRail_act!N17*1000)</f>
        <v>3869.310837839495</v>
      </c>
      <c r="O29" s="110">
        <f>IF(O11=0,0,O11/TrRail_act!O17*1000)</f>
        <v>3721.455140369434</v>
      </c>
      <c r="P29" s="110">
        <f>IF(P11=0,0,P11/TrRail_act!P17*1000)</f>
        <v>3669.0470142159602</v>
      </c>
      <c r="Q29" s="110">
        <f>IF(Q11=0,0,Q11/TrRail_act!Q17*1000)</f>
        <v>3498.2151999564148</v>
      </c>
      <c r="R29" s="110">
        <f>IF(R11=0,0,R11/TrRail_act!R17*1000)</f>
        <v>3417.0297965216946</v>
      </c>
      <c r="S29" s="110">
        <f>IF(S11=0,0,S11/TrRail_act!S17*1000)</f>
        <v>3299.3555474210507</v>
      </c>
      <c r="T29" s="110">
        <f>IF(T11=0,0,T11/TrRail_act!T17*1000)</f>
        <v>3140.5211957395804</v>
      </c>
      <c r="U29" s="110">
        <f>IF(U11=0,0,U11/TrRail_act!U17*1000)</f>
        <v>3024.3684587821781</v>
      </c>
      <c r="V29" s="110">
        <f>IF(V11=0,0,V11/TrRail_act!V17*1000)</f>
        <v>2772.7356391151557</v>
      </c>
      <c r="W29" s="110">
        <f>IF(W11=0,0,W11/TrRail_act!W17*1000)</f>
        <v>2601.898641093579</v>
      </c>
      <c r="X29" s="110">
        <f>IF(X11=0,0,X11/TrRail_act!X17*1000)</f>
        <v>2436.8176074988578</v>
      </c>
      <c r="Y29" s="110">
        <f>IF(Y11=0,0,Y11/TrRail_act!Y17*1000)</f>
        <v>2388.3282664141238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8353.6484010406639</v>
      </c>
      <c r="C30" s="84">
        <f>IF(C12=0,0,C12/TrRail_act!C18*1000)</f>
        <v>8134.9842059378616</v>
      </c>
      <c r="D30" s="84">
        <f>IF(D12=0,0,D12/TrRail_act!D18*1000)</f>
        <v>7891.9501694599494</v>
      </c>
      <c r="E30" s="84">
        <f>IF(E12=0,0,E12/TrRail_act!E18*1000)</f>
        <v>7563.2050165850078</v>
      </c>
      <c r="F30" s="84">
        <f>IF(F12=0,0,F12/TrRail_act!F18*1000)</f>
        <v>7322.3315961001881</v>
      </c>
      <c r="G30" s="84">
        <f>IF(G12=0,0,G12/TrRail_act!G18*1000)</f>
        <v>7007.580682021613</v>
      </c>
      <c r="H30" s="84">
        <f>IF(H12=0,0,H12/TrRail_act!H18*1000)</f>
        <v>6910.5142827478476</v>
      </c>
      <c r="I30" s="84">
        <f>IF(I12=0,0,I12/TrRail_act!I18*1000)</f>
        <v>6948.4005409898427</v>
      </c>
      <c r="J30" s="84">
        <f>IF(J12=0,0,J12/TrRail_act!J18*1000)</f>
        <v>6816.8737893558273</v>
      </c>
      <c r="K30" s="84">
        <f>IF(K12=0,0,K12/TrRail_act!K18*1000)</f>
        <v>6555.4220443800577</v>
      </c>
      <c r="L30" s="84">
        <f>IF(L12=0,0,L12/TrRail_act!L18*1000)</f>
        <v>6484.214255820214</v>
      </c>
      <c r="M30" s="84">
        <f>IF(M12=0,0,M12/TrRail_act!M18*1000)</f>
        <v>6430.7289524144453</v>
      </c>
      <c r="N30" s="84">
        <f>IF(N12=0,0,N12/TrRail_act!N18*1000)</f>
        <v>6336.6063188415364</v>
      </c>
      <c r="O30" s="84">
        <f>IF(O12=0,0,O12/TrRail_act!O18*1000)</f>
        <v>6168.1131923859512</v>
      </c>
      <c r="P30" s="84">
        <f>IF(P12=0,0,P12/TrRail_act!P18*1000)</f>
        <v>5894.0197762290982</v>
      </c>
      <c r="Q30" s="84">
        <f>IF(Q12=0,0,Q12/TrRail_act!Q18*1000)</f>
        <v>5708.4308743035845</v>
      </c>
      <c r="R30" s="84">
        <f>IF(R12=0,0,R12/TrRail_act!R18*1000)</f>
        <v>5656.6805939784135</v>
      </c>
      <c r="S30" s="84">
        <f>IF(S12=0,0,S12/TrRail_act!S18*1000)</f>
        <v>5561.9847921588116</v>
      </c>
      <c r="T30" s="84">
        <f>IF(T12=0,0,T12/TrRail_act!T18*1000)</f>
        <v>5464.5508346437755</v>
      </c>
      <c r="U30" s="84">
        <f>IF(U12=0,0,U12/TrRail_act!U18*1000)</f>
        <v>5328.6933508323391</v>
      </c>
      <c r="V30" s="84">
        <f>IF(V12=0,0,V12/TrRail_act!V18*1000)</f>
        <v>5229.0201102851106</v>
      </c>
      <c r="W30" s="84">
        <f>IF(W12=0,0,W12/TrRail_act!W18*1000)</f>
        <v>5155.5024664541797</v>
      </c>
      <c r="X30" s="84">
        <f>IF(X12=0,0,X12/TrRail_act!X18*1000)</f>
        <v>5101.0352810096456</v>
      </c>
      <c r="Y30" s="84">
        <f>IF(Y12=0,0,Y12/TrRail_act!Y18*1000)</f>
        <v>5060.5628569733562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8320.1047669460368</v>
      </c>
      <c r="C33" s="28">
        <f>IF(C15=0,0,C15/TrRail_act!C21*1000)</f>
        <v>7819.3500132606796</v>
      </c>
      <c r="D33" s="28">
        <f>IF(D15=0,0,D15/TrRail_act!D21*1000)</f>
        <v>7594.3165838066034</v>
      </c>
      <c r="E33" s="28">
        <f>IF(E15=0,0,E15/TrRail_act!E21*1000)</f>
        <v>6842.5534522843882</v>
      </c>
      <c r="F33" s="28">
        <f>IF(F15=0,0,F15/TrRail_act!F21*1000)</f>
        <v>6550.6288423188853</v>
      </c>
      <c r="G33" s="28">
        <f>IF(G15=0,0,G15/TrRail_act!G21*1000)</f>
        <v>6279.6011743085355</v>
      </c>
      <c r="H33" s="28">
        <f>IF(H15=0,0,H15/TrRail_act!H21*1000)</f>
        <v>6841.9841579722161</v>
      </c>
      <c r="I33" s="28">
        <f>IF(I15=0,0,I15/TrRail_act!I21*1000)</f>
        <v>6706.3204751743169</v>
      </c>
      <c r="J33" s="28">
        <f>IF(J15=0,0,J15/TrRail_act!J21*1000)</f>
        <v>5573.3974390963958</v>
      </c>
      <c r="K33" s="28">
        <f>IF(K15=0,0,K15/TrRail_act!K21*1000)</f>
        <v>6147.7987612310844</v>
      </c>
      <c r="L33" s="28">
        <f>IF(L15=0,0,L15/TrRail_act!L21*1000)</f>
        <v>6231.1129069404478</v>
      </c>
      <c r="M33" s="28">
        <f>IF(M15=0,0,M15/TrRail_act!M21*1000)</f>
        <v>6336.3304908580058</v>
      </c>
      <c r="N33" s="28">
        <f>IF(N15=0,0,N15/TrRail_act!N21*1000)</f>
        <v>5991.4266568015655</v>
      </c>
      <c r="O33" s="28">
        <f>IF(O15=0,0,O15/TrRail_act!O21*1000)</f>
        <v>6011.5297525484157</v>
      </c>
      <c r="P33" s="28">
        <f>IF(P15=0,0,P15/TrRail_act!P21*1000)</f>
        <v>6369.4739850258802</v>
      </c>
      <c r="Q33" s="28">
        <f>IF(Q15=0,0,Q15/TrRail_act!Q21*1000)</f>
        <v>6487.2146651732101</v>
      </c>
      <c r="R33" s="28">
        <f>IF(R15=0,0,R15/TrRail_act!R21*1000)</f>
        <v>6464.9370203597964</v>
      </c>
      <c r="S33" s="28">
        <f>IF(S15=0,0,S15/TrRail_act!S21*1000)</f>
        <v>7456.4039042506984</v>
      </c>
      <c r="T33" s="28">
        <f>IF(T15=0,0,T15/TrRail_act!T21*1000)</f>
        <v>7436.1186714551559</v>
      </c>
      <c r="U33" s="28">
        <f>IF(U15=0,0,U15/TrRail_act!U21*1000)</f>
        <v>8288.2479783762701</v>
      </c>
      <c r="V33" s="28">
        <f>IF(V15=0,0,V15/TrRail_act!V21*1000)</f>
        <v>8716.5400631553603</v>
      </c>
      <c r="W33" s="28">
        <f>IF(W15=0,0,W15/TrRail_act!W21*1000)</f>
        <v>8433.3511219408156</v>
      </c>
      <c r="X33" s="28">
        <f>IF(X15=0,0,X15/TrRail_act!X21*1000)</f>
        <v>8288.6343059101619</v>
      </c>
      <c r="Y33" s="28">
        <f>IF(Y15=0,0,Y15/TrRail_act!Y21*1000)</f>
        <v>9370.1385808505202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15469.584606439148</v>
      </c>
      <c r="C34" s="84">
        <f>IF(C16=0,0,C16/TrRail_act!C22*1000)</f>
        <v>15332.397089243332</v>
      </c>
      <c r="D34" s="84">
        <f>IF(D16=0,0,D16/TrRail_act!D22*1000)</f>
        <v>15099.655368400869</v>
      </c>
      <c r="E34" s="84">
        <f>IF(E16=0,0,E16/TrRail_act!E22*1000)</f>
        <v>14755.392675839759</v>
      </c>
      <c r="F34" s="84">
        <f>IF(F16=0,0,F16/TrRail_act!F22*1000)</f>
        <v>14721.576686010845</v>
      </c>
      <c r="G34" s="84">
        <f>IF(G16=0,0,G16/TrRail_act!G22*1000)</f>
        <v>14559.114762075405</v>
      </c>
      <c r="H34" s="84">
        <f>IF(H16=0,0,H16/TrRail_act!H22*1000)</f>
        <v>14169.446945168334</v>
      </c>
      <c r="I34" s="84">
        <f>IF(I16=0,0,I16/TrRail_act!I22*1000)</f>
        <v>14123.576826173756</v>
      </c>
      <c r="J34" s="84">
        <f>IF(J16=0,0,J16/TrRail_act!J22*1000)</f>
        <v>13644.949911031761</v>
      </c>
      <c r="K34" s="84">
        <f>IF(K16=0,0,K16/TrRail_act!K22*1000)</f>
        <v>13305.239789259807</v>
      </c>
      <c r="L34" s="84">
        <f>IF(L16=0,0,L16/TrRail_act!L22*1000)</f>
        <v>13176.830450260159</v>
      </c>
      <c r="M34" s="84">
        <f>IF(M16=0,0,M16/TrRail_act!M22*1000)</f>
        <v>12892.886586933388</v>
      </c>
      <c r="N34" s="84">
        <f>IF(N16=0,0,N16/TrRail_act!N22*1000)</f>
        <v>12753.424281995953</v>
      </c>
      <c r="O34" s="84">
        <f>IF(O16=0,0,O16/TrRail_act!O22*1000)</f>
        <v>12457.584421533969</v>
      </c>
      <c r="P34" s="84">
        <f>IF(P16=0,0,P16/TrRail_act!P22*1000)</f>
        <v>12085.644209916136</v>
      </c>
      <c r="Q34" s="84">
        <f>IF(Q16=0,0,Q16/TrRail_act!Q22*1000)</f>
        <v>11959.914302661378</v>
      </c>
      <c r="R34" s="84">
        <f>IF(R16=0,0,R16/TrRail_act!R22*1000)</f>
        <v>11688.478853202403</v>
      </c>
      <c r="S34" s="84">
        <f>IF(S16=0,0,S16/TrRail_act!S22*1000)</f>
        <v>11488.933189128571</v>
      </c>
      <c r="T34" s="84">
        <f>IF(T16=0,0,T16/TrRail_act!T22*1000)</f>
        <v>11341.52547760712</v>
      </c>
      <c r="U34" s="84">
        <f>IF(U16=0,0,U16/TrRail_act!U22*1000)</f>
        <v>11232.213425550706</v>
      </c>
      <c r="V34" s="84">
        <f>IF(V16=0,0,V16/TrRail_act!V22*1000)</f>
        <v>11150.918517178134</v>
      </c>
      <c r="W34" s="84">
        <f>IF(W16=0,0,W16/TrRail_act!W22*1000)</f>
        <v>11090.359216526987</v>
      </c>
      <c r="X34" s="84">
        <f>IF(X16=0,0,X16/TrRail_act!X22*1000)</f>
        <v>11045.138205920384</v>
      </c>
      <c r="Y34" s="84">
        <f>IF(Y16=0,0,Y16/TrRail_act!Y22*1000)</f>
        <v>11011.343494389463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35.680487776630329</v>
      </c>
      <c r="C38" s="29">
        <f>IF(C9=0,0,C9/TrRail_act!C4*1000)</f>
        <v>32.096106668306632</v>
      </c>
      <c r="D38" s="29">
        <f>IF(D9=0,0,D9/TrRail_act!D4*1000)</f>
        <v>32.467172005604176</v>
      </c>
      <c r="E38" s="29">
        <f>IF(E9=0,0,E9/TrRail_act!E4*1000)</f>
        <v>33.071814756661581</v>
      </c>
      <c r="F38" s="29">
        <f>IF(F9=0,0,F9/TrRail_act!F4*1000)</f>
        <v>31.071853186107642</v>
      </c>
      <c r="G38" s="29">
        <f>IF(G9=0,0,G9/TrRail_act!G4*1000)</f>
        <v>33.749351885108972</v>
      </c>
      <c r="H38" s="29">
        <f>IF(H9=0,0,H9/TrRail_act!H4*1000)</f>
        <v>32.561656621729639</v>
      </c>
      <c r="I38" s="29">
        <f>IF(I9=0,0,I9/TrRail_act!I4*1000)</f>
        <v>32.530650340189538</v>
      </c>
      <c r="J38" s="29">
        <f>IF(J9=0,0,J9/TrRail_act!J4*1000)</f>
        <v>33.452017791750023</v>
      </c>
      <c r="K38" s="29">
        <f>IF(K9=0,0,K9/TrRail_act!K4*1000)</f>
        <v>33.18833836000254</v>
      </c>
      <c r="L38" s="29">
        <f>IF(L9=0,0,L9/TrRail_act!L4*1000)</f>
        <v>33.157128110538643</v>
      </c>
      <c r="M38" s="29">
        <f>IF(M9=0,0,M9/TrRail_act!M4*1000)</f>
        <v>33.200011417588563</v>
      </c>
      <c r="N38" s="29">
        <f>IF(N9=0,0,N9/TrRail_act!N4*1000)</f>
        <v>33.30475151406921</v>
      </c>
      <c r="O38" s="29">
        <f>IF(O9=0,0,O9/TrRail_act!O4*1000)</f>
        <v>32.472043203530376</v>
      </c>
      <c r="P38" s="29">
        <f>IF(P9=0,0,P9/TrRail_act!P4*1000)</f>
        <v>33.174593947884588</v>
      </c>
      <c r="Q38" s="29">
        <f>IF(Q9=0,0,Q9/TrRail_act!Q4*1000)</f>
        <v>31.951307299528761</v>
      </c>
      <c r="R38" s="29">
        <f>IF(R9=0,0,R9/TrRail_act!R4*1000)</f>
        <v>33.170128689473088</v>
      </c>
      <c r="S38" s="29">
        <f>IF(S9=0,0,S9/TrRail_act!S4*1000)</f>
        <v>31.895861880366855</v>
      </c>
      <c r="T38" s="29">
        <f>IF(T9=0,0,T9/TrRail_act!T4*1000)</f>
        <v>29.474647630576499</v>
      </c>
      <c r="U38" s="29">
        <f>IF(U9=0,0,U9/TrRail_act!U4*1000)</f>
        <v>29.290695047677598</v>
      </c>
      <c r="V38" s="29">
        <f>IF(V9=0,0,V9/TrRail_act!V4*1000)</f>
        <v>40.52811840857445</v>
      </c>
      <c r="W38" s="29">
        <f>IF(W9=0,0,W9/TrRail_act!W4*1000)</f>
        <v>36.165005774439521</v>
      </c>
      <c r="X38" s="29">
        <f>IF(X9=0,0,X9/TrRail_act!X4*1000)</f>
        <v>25.07532036253011</v>
      </c>
      <c r="Y38" s="29">
        <f>IF(Y9=0,0,Y9/TrRail_act!Y4*1000)</f>
        <v>23.329168826381363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35.680487776630329</v>
      </c>
      <c r="C40" s="116">
        <f>IF(C11=0,0,C11/TrRail_act!C6*1000)</f>
        <v>32.096106668306632</v>
      </c>
      <c r="D40" s="116">
        <f>IF(D11=0,0,D11/TrRail_act!D6*1000)</f>
        <v>32.518034416056828</v>
      </c>
      <c r="E40" s="116">
        <f>IF(E11=0,0,E11/TrRail_act!E6*1000)</f>
        <v>33.45214630295343</v>
      </c>
      <c r="F40" s="116">
        <f>IF(F11=0,0,F11/TrRail_act!F6*1000)</f>
        <v>31.740739363003332</v>
      </c>
      <c r="G40" s="116">
        <f>IF(G11=0,0,G11/TrRail_act!G6*1000)</f>
        <v>34.664550245568904</v>
      </c>
      <c r="H40" s="116">
        <f>IF(H11=0,0,H11/TrRail_act!H6*1000)</f>
        <v>33.435651987681133</v>
      </c>
      <c r="I40" s="116">
        <f>IF(I11=0,0,I11/TrRail_act!I6*1000)</f>
        <v>33.462956867102349</v>
      </c>
      <c r="J40" s="116">
        <f>IF(J11=0,0,J11/TrRail_act!J6*1000)</f>
        <v>34.490734904710415</v>
      </c>
      <c r="K40" s="116">
        <f>IF(K11=0,0,K11/TrRail_act!K6*1000)</f>
        <v>34.348203891114458</v>
      </c>
      <c r="L40" s="116">
        <f>IF(L11=0,0,L11/TrRail_act!L6*1000)</f>
        <v>34.407452127329222</v>
      </c>
      <c r="M40" s="116">
        <f>IF(M11=0,0,M11/TrRail_act!M6*1000)</f>
        <v>34.650066904484021</v>
      </c>
      <c r="N40" s="116">
        <f>IF(N11=0,0,N11/TrRail_act!N6*1000)</f>
        <v>34.705012664116005</v>
      </c>
      <c r="O40" s="116">
        <f>IF(O11=0,0,O11/TrRail_act!O6*1000)</f>
        <v>33.879776415223652</v>
      </c>
      <c r="P40" s="116">
        <f>IF(P11=0,0,P11/TrRail_act!P6*1000)</f>
        <v>34.677204912820244</v>
      </c>
      <c r="Q40" s="116">
        <f>IF(Q11=0,0,Q11/TrRail_act!Q6*1000)</f>
        <v>33.434217212615849</v>
      </c>
      <c r="R40" s="116">
        <f>IF(R11=0,0,R11/TrRail_act!R6*1000)</f>
        <v>34.851684486902158</v>
      </c>
      <c r="S40" s="116">
        <f>IF(S11=0,0,S11/TrRail_act!S6*1000)</f>
        <v>33.627786864635176</v>
      </c>
      <c r="T40" s="116">
        <f>IF(T11=0,0,T11/TrRail_act!T6*1000)</f>
        <v>31.1529193817837</v>
      </c>
      <c r="U40" s="116">
        <f>IF(U11=0,0,U11/TrRail_act!U6*1000)</f>
        <v>31.18837532287537</v>
      </c>
      <c r="V40" s="116">
        <f>IF(V11=0,0,V11/TrRail_act!V6*1000)</f>
        <v>43.500866180167854</v>
      </c>
      <c r="W40" s="116">
        <f>IF(W11=0,0,W11/TrRail_act!W6*1000)</f>
        <v>39.0281047726073</v>
      </c>
      <c r="X40" s="116">
        <f>IF(X11=0,0,X11/TrRail_act!X6*1000)</f>
        <v>27.151291577703507</v>
      </c>
      <c r="Y40" s="116">
        <f>IF(Y11=0,0,Y11/TrRail_act!Y6*1000)</f>
        <v>25.414133508427387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72.035167541252633</v>
      </c>
      <c r="C41" s="87">
        <f>IF(C12=0,0,C12/TrRail_act!C7*1000)</f>
        <v>66.250278853155038</v>
      </c>
      <c r="D41" s="87">
        <f>IF(D12=0,0,D12/TrRail_act!D7*1000)</f>
        <v>67.954333829674269</v>
      </c>
      <c r="E41" s="87">
        <f>IF(E12=0,0,E12/TrRail_act!E7*1000)</f>
        <v>67.7374323806322</v>
      </c>
      <c r="F41" s="87">
        <f>IF(F12=0,0,F12/TrRail_act!F7*1000)</f>
        <v>64.840299904510303</v>
      </c>
      <c r="G41" s="87">
        <f>IF(G12=0,0,G12/TrRail_act!G7*1000)</f>
        <v>62.825541341002435</v>
      </c>
      <c r="H41" s="87">
        <f>IF(H12=0,0,H12/TrRail_act!H7*1000)</f>
        <v>59.305583580530907</v>
      </c>
      <c r="I41" s="87">
        <f>IF(I12=0,0,I12/TrRail_act!I7*1000)</f>
        <v>59.750946239659548</v>
      </c>
      <c r="J41" s="87">
        <f>IF(J12=0,0,J12/TrRail_act!J7*1000)</f>
        <v>60.7145650079798</v>
      </c>
      <c r="K41" s="87">
        <f>IF(K12=0,0,K12/TrRail_act!K7*1000)</f>
        <v>61.644675022235305</v>
      </c>
      <c r="L41" s="87">
        <f>IF(L12=0,0,L12/TrRail_act!L7*1000)</f>
        <v>62.032178376170137</v>
      </c>
      <c r="M41" s="87">
        <f>IF(M12=0,0,M12/TrRail_act!M7*1000)</f>
        <v>61.254574301157355</v>
      </c>
      <c r="N41" s="87">
        <f>IF(N12=0,0,N12/TrRail_act!N7*1000)</f>
        <v>60.792185284746047</v>
      </c>
      <c r="O41" s="87">
        <f>IF(O12=0,0,O12/TrRail_act!O7*1000)</f>
        <v>58.499975018228191</v>
      </c>
      <c r="P41" s="87">
        <f>IF(P12=0,0,P12/TrRail_act!P7*1000)</f>
        <v>59.245924408184855</v>
      </c>
      <c r="Q41" s="87">
        <f>IF(Q12=0,0,Q12/TrRail_act!Q7*1000)</f>
        <v>57.896811161439622</v>
      </c>
      <c r="R41" s="87">
        <f>IF(R12=0,0,R12/TrRail_act!R7*1000)</f>
        <v>60.665836570163428</v>
      </c>
      <c r="S41" s="87">
        <f>IF(S12=0,0,S12/TrRail_act!S7*1000)</f>
        <v>58.550559906215945</v>
      </c>
      <c r="T41" s="87">
        <f>IF(T12=0,0,T12/TrRail_act!T7*1000)</f>
        <v>62.154921570077157</v>
      </c>
      <c r="U41" s="87">
        <f>IF(U12=0,0,U12/TrRail_act!U7*1000)</f>
        <v>62.273857694997226</v>
      </c>
      <c r="V41" s="87">
        <f>IF(V12=0,0,V12/TrRail_act!V7*1000)</f>
        <v>87.521843168958256</v>
      </c>
      <c r="W41" s="87">
        <f>IF(W12=0,0,W12/TrRail_act!W7*1000)</f>
        <v>86.310130705847286</v>
      </c>
      <c r="X41" s="87">
        <f>IF(X12=0,0,X12/TrRail_act!X7*1000)</f>
        <v>62.924539589761089</v>
      </c>
      <c r="Y41" s="87">
        <f>IF(Y12=0,0,Y12/TrRail_act!Y7*1000)</f>
        <v>59.031121277826031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14.938360089282872</v>
      </c>
      <c r="C44" s="29">
        <f>IF(C15=0,0,C15/TrRail_act!C10*1000)</f>
        <v>13.568027350845394</v>
      </c>
      <c r="D44" s="29">
        <f>IF(D15=0,0,D15/TrRail_act!D10*1000)</f>
        <v>13.413139967902804</v>
      </c>
      <c r="E44" s="29">
        <f>IF(E15=0,0,E15/TrRail_act!E10*1000)</f>
        <v>11.802878871029399</v>
      </c>
      <c r="F44" s="29">
        <f>IF(F15=0,0,F15/TrRail_act!F10*1000)</f>
        <v>11.385800218691152</v>
      </c>
      <c r="G44" s="29">
        <f>IF(G15=0,0,G15/TrRail_act!G10*1000)</f>
        <v>12.090615988345842</v>
      </c>
      <c r="H44" s="29">
        <f>IF(H15=0,0,H15/TrRail_act!H10*1000)</f>
        <v>12.431927249084696</v>
      </c>
      <c r="I44" s="29">
        <f>IF(I15=0,0,I15/TrRail_act!I10*1000)</f>
        <v>11.886350977389448</v>
      </c>
      <c r="J44" s="29">
        <f>IF(J15=0,0,J15/TrRail_act!J10*1000)</f>
        <v>11.095040663675571</v>
      </c>
      <c r="K44" s="29">
        <f>IF(K15=0,0,K15/TrRail_act!K10*1000)</f>
        <v>11.56878236580226</v>
      </c>
      <c r="L44" s="29">
        <f>IF(L15=0,0,L15/TrRail_act!L10*1000)</f>
        <v>11.415398381861271</v>
      </c>
      <c r="M44" s="29">
        <f>IF(M15=0,0,M15/TrRail_act!M10*1000)</f>
        <v>11.2524534938635</v>
      </c>
      <c r="N44" s="29">
        <f>IF(N15=0,0,N15/TrRail_act!N10*1000)</f>
        <v>10.442941943791043</v>
      </c>
      <c r="O44" s="29">
        <f>IF(O15=0,0,O15/TrRail_act!O10*1000)</f>
        <v>10.147461667566303</v>
      </c>
      <c r="P44" s="29">
        <f>IF(P15=0,0,P15/TrRail_act!P10*1000)</f>
        <v>11.11822015605452</v>
      </c>
      <c r="Q44" s="29">
        <f>IF(Q15=0,0,Q15/TrRail_act!Q10*1000)</f>
        <v>11.942275419711359</v>
      </c>
      <c r="R44" s="29">
        <f>IF(R15=0,0,R15/TrRail_act!R10*1000)</f>
        <v>12.670926050816341</v>
      </c>
      <c r="S44" s="29">
        <f>IF(S15=0,0,S15/TrRail_act!S10*1000)</f>
        <v>12.478510414659283</v>
      </c>
      <c r="T44" s="29">
        <f>IF(T15=0,0,T15/TrRail_act!T10*1000)</f>
        <v>12.245104048501601</v>
      </c>
      <c r="U44" s="29">
        <f>IF(U15=0,0,U15/TrRail_act!U10*1000)</f>
        <v>12.428821527353444</v>
      </c>
      <c r="V44" s="29">
        <f>IF(V15=0,0,V15/TrRail_act!V10*1000)</f>
        <v>10.321654600056592</v>
      </c>
      <c r="W44" s="29">
        <f>IF(W15=0,0,W15/TrRail_act!W10*1000)</f>
        <v>10.867608512451618</v>
      </c>
      <c r="X44" s="29">
        <f>IF(X15=0,0,X15/TrRail_act!X10*1000)</f>
        <v>9.9925602146586101</v>
      </c>
      <c r="Y44" s="29">
        <f>IF(Y15=0,0,Y15/TrRail_act!Y10*1000)</f>
        <v>11.29737039384808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26.554704632714415</v>
      </c>
      <c r="C45" s="87">
        <f>IF(C16=0,0,C16/TrRail_act!C11*1000)</f>
        <v>24.613235040927535</v>
      </c>
      <c r="D45" s="87">
        <f>IF(D16=0,0,D16/TrRail_act!D11*1000)</f>
        <v>24.655886380234254</v>
      </c>
      <c r="E45" s="87">
        <f>IF(E16=0,0,E16/TrRail_act!E11*1000)</f>
        <v>21.318022058129685</v>
      </c>
      <c r="F45" s="87">
        <f>IF(F16=0,0,F16/TrRail_act!F11*1000)</f>
        <v>20.938840511418228</v>
      </c>
      <c r="G45" s="87">
        <f>IF(G16=0,0,G16/TrRail_act!G11*1000)</f>
        <v>21.863434910391717</v>
      </c>
      <c r="H45" s="87">
        <f>IF(H16=0,0,H16/TrRail_act!H11*1000)</f>
        <v>22.587687035227603</v>
      </c>
      <c r="I45" s="87">
        <f>IF(I16=0,0,I16/TrRail_act!I11*1000)</f>
        <v>21.262833303172371</v>
      </c>
      <c r="J45" s="87">
        <f>IF(J16=0,0,J16/TrRail_act!J11*1000)</f>
        <v>19.954420034398993</v>
      </c>
      <c r="K45" s="87">
        <f>IF(K16=0,0,K16/TrRail_act!K11*1000)</f>
        <v>21.240035112549528</v>
      </c>
      <c r="L45" s="87">
        <f>IF(L16=0,0,L16/TrRail_act!L11*1000)</f>
        <v>20.769035851337126</v>
      </c>
      <c r="M45" s="87">
        <f>IF(M16=0,0,M16/TrRail_act!M11*1000)</f>
        <v>20.220829895262128</v>
      </c>
      <c r="N45" s="87">
        <f>IF(N16=0,0,N16/TrRail_act!N11*1000)</f>
        <v>18.605857936759918</v>
      </c>
      <c r="O45" s="87">
        <f>IF(O16=0,0,O16/TrRail_act!O11*1000)</f>
        <v>18.156610305527227</v>
      </c>
      <c r="P45" s="87">
        <f>IF(P16=0,0,P16/TrRail_act!P11*1000)</f>
        <v>19.74055023733851</v>
      </c>
      <c r="Q45" s="87">
        <f>IF(Q16=0,0,Q16/TrRail_act!Q11*1000)</f>
        <v>19.53875035054698</v>
      </c>
      <c r="R45" s="87">
        <f>IF(R16=0,0,R16/TrRail_act!R11*1000)</f>
        <v>19.159178224797728</v>
      </c>
      <c r="S45" s="87">
        <f>IF(S16=0,0,S16/TrRail_act!S11*1000)</f>
        <v>17.488871472824254</v>
      </c>
      <c r="T45" s="87">
        <f>IF(T16=0,0,T16/TrRail_act!T11*1000)</f>
        <v>16.300214704045032</v>
      </c>
      <c r="U45" s="87">
        <f>IF(U16=0,0,U16/TrRail_act!U11*1000)</f>
        <v>15.55428648128354</v>
      </c>
      <c r="V45" s="87">
        <f>IF(V16=0,0,V16/TrRail_act!V11*1000)</f>
        <v>12.604608358747923</v>
      </c>
      <c r="W45" s="87">
        <f>IF(W16=0,0,W16/TrRail_act!W11*1000)</f>
        <v>13.652408142028159</v>
      </c>
      <c r="X45" s="87">
        <f>IF(X16=0,0,X16/TrRail_act!X11*1000)</f>
        <v>12.906864013816229</v>
      </c>
      <c r="Y45" s="87">
        <f>IF(Y16=0,0,Y16/TrRail_act!Y11*1000)</f>
        <v>13.003005870965701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754.73382343344315</v>
      </c>
      <c r="C48" s="62">
        <f>IF(C8=0,0,1000000*C8/TrRail_act!C25/1000)</f>
        <v>715.12390601815889</v>
      </c>
      <c r="D48" s="62">
        <f>IF(D8=0,0,1000000*D8/TrRail_act!D25/1000)</f>
        <v>676.47190067806412</v>
      </c>
      <c r="E48" s="62">
        <f>IF(E8=0,0,1000000*E8/TrRail_act!E25/1000)</f>
        <v>665.49851801919579</v>
      </c>
      <c r="F48" s="62">
        <f>IF(F8=0,0,1000000*F8/TrRail_act!F25/1000)</f>
        <v>630.1038642713861</v>
      </c>
      <c r="G48" s="62">
        <f>IF(G8=0,0,1000000*G8/TrRail_act!G25/1000)</f>
        <v>618.40014983582205</v>
      </c>
      <c r="H48" s="62">
        <f>IF(H8=0,0,1000000*H8/TrRail_act!H25/1000)</f>
        <v>601.19386625767061</v>
      </c>
      <c r="I48" s="62">
        <f>IF(I8=0,0,1000000*I8/TrRail_act!I25/1000)</f>
        <v>612.79271224479351</v>
      </c>
      <c r="J48" s="62">
        <f>IF(J8=0,0,1000000*J8/TrRail_act!J25/1000)</f>
        <v>597.33835713584733</v>
      </c>
      <c r="K48" s="62">
        <f>IF(K8=0,0,1000000*K8/TrRail_act!K25/1000)</f>
        <v>555.36690529039038</v>
      </c>
      <c r="L48" s="62">
        <f>IF(L8=0,0,1000000*L8/TrRail_act!L25/1000)</f>
        <v>565.20537995948814</v>
      </c>
      <c r="M48" s="62">
        <f>IF(M8=0,0,1000000*M8/TrRail_act!M25/1000)</f>
        <v>566.21433946049035</v>
      </c>
      <c r="N48" s="62">
        <f>IF(N8=0,0,1000000*N8/TrRail_act!N25/1000)</f>
        <v>564.16285222312979</v>
      </c>
      <c r="O48" s="62">
        <f>IF(O8=0,0,1000000*O8/TrRail_act!O25/1000)</f>
        <v>547.49231768364689</v>
      </c>
      <c r="P48" s="62">
        <f>IF(P8=0,0,1000000*P8/TrRail_act!P25/1000)</f>
        <v>543.65326780527027</v>
      </c>
      <c r="Q48" s="62">
        <f>IF(Q8=0,0,1000000*Q8/TrRail_act!Q25/1000)</f>
        <v>525.58942697923953</v>
      </c>
      <c r="R48" s="62">
        <f>IF(R8=0,0,1000000*R8/TrRail_act!R25/1000)</f>
        <v>514.83217770285864</v>
      </c>
      <c r="S48" s="62">
        <f>IF(S8=0,0,1000000*S8/TrRail_act!S25/1000)</f>
        <v>497.77506862710732</v>
      </c>
      <c r="T48" s="62">
        <f>IF(T8=0,0,1000000*T8/TrRail_act!T25/1000)</f>
        <v>471.89010064524069</v>
      </c>
      <c r="U48" s="62">
        <f>IF(U8=0,0,1000000*U8/TrRail_act!U25/1000)</f>
        <v>453.72297288062134</v>
      </c>
      <c r="V48" s="62">
        <f>IF(V8=0,0,1000000*V8/TrRail_act!V25/1000)</f>
        <v>404.69282589845881</v>
      </c>
      <c r="W48" s="62">
        <f>IF(W8=0,0,1000000*W8/TrRail_act!W25/1000)</f>
        <v>381.00514295019502</v>
      </c>
      <c r="X48" s="62">
        <f>IF(X8=0,0,1000000*X8/TrRail_act!X25/1000)</f>
        <v>354.72344478803973</v>
      </c>
      <c r="Y48" s="62">
        <f>IF(Y8=0,0,1000000*Y8/TrRail_act!Y25/1000)</f>
        <v>347.94033570606018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696.46154404762763</v>
      </c>
      <c r="C49" s="29">
        <f>IF(C9=0,0,1000000*C9/TrRail_act!C26/1000)</f>
        <v>659.79729099234044</v>
      </c>
      <c r="D49" s="29">
        <f>IF(D9=0,0,1000000*D9/TrRail_act!D26/1000)</f>
        <v>629.42614987344575</v>
      </c>
      <c r="E49" s="29">
        <f>IF(E9=0,0,1000000*E9/TrRail_act!E26/1000)</f>
        <v>626.79133124366444</v>
      </c>
      <c r="F49" s="29">
        <f>IF(F9=0,0,1000000*F9/TrRail_act!F26/1000)</f>
        <v>587.41160162097412</v>
      </c>
      <c r="G49" s="29">
        <f>IF(G9=0,0,1000000*G9/TrRail_act!G26/1000)</f>
        <v>584.18884645266405</v>
      </c>
      <c r="H49" s="29">
        <f>IF(H9=0,0,1000000*H9/TrRail_act!H26/1000)</f>
        <v>566.44404307246248</v>
      </c>
      <c r="I49" s="29">
        <f>IF(I9=0,0,1000000*I9/TrRail_act!I26/1000)</f>
        <v>581.93428736048054</v>
      </c>
      <c r="J49" s="29">
        <f>IF(J9=0,0,1000000*J9/TrRail_act!J26/1000)</f>
        <v>571.96517091268356</v>
      </c>
      <c r="K49" s="29">
        <f>IF(K9=0,0,1000000*K9/TrRail_act!K26/1000)</f>
        <v>530.44682357124816</v>
      </c>
      <c r="L49" s="29">
        <f>IF(L9=0,0,1000000*L9/TrRail_act!L26/1000)</f>
        <v>531.18430114036778</v>
      </c>
      <c r="M49" s="29">
        <f>IF(M9=0,0,1000000*M9/TrRail_act!M26/1000)</f>
        <v>527.30995448443662</v>
      </c>
      <c r="N49" s="29">
        <f>IF(N9=0,0,1000000*N9/TrRail_act!N26/1000)</f>
        <v>536.36863054196056</v>
      </c>
      <c r="O49" s="29">
        <f>IF(O9=0,0,1000000*O9/TrRail_act!O26/1000)</f>
        <v>516.02419526948574</v>
      </c>
      <c r="P49" s="29">
        <f>IF(P9=0,0,1000000*P9/TrRail_act!P26/1000)</f>
        <v>508.45713421544639</v>
      </c>
      <c r="Q49" s="29">
        <f>IF(Q9=0,0,1000000*Q9/TrRail_act!Q26/1000)</f>
        <v>484.41273705044409</v>
      </c>
      <c r="R49" s="29">
        <f>IF(R9=0,0,1000000*R9/TrRail_act!R26/1000)</f>
        <v>472.1511922378744</v>
      </c>
      <c r="S49" s="29">
        <f>IF(S9=0,0,1000000*S9/TrRail_act!S26/1000)</f>
        <v>453.43849074609824</v>
      </c>
      <c r="T49" s="29">
        <f>IF(T9=0,0,1000000*T9/TrRail_act!T26/1000)</f>
        <v>426.40720321036468</v>
      </c>
      <c r="U49" s="29">
        <f>IF(U9=0,0,1000000*U9/TrRail_act!U26/1000)</f>
        <v>409.12610228541212</v>
      </c>
      <c r="V49" s="29">
        <f>IF(V9=0,0,1000000*V9/TrRail_act!V26/1000)</f>
        <v>368.65649822748742</v>
      </c>
      <c r="W49" s="29">
        <f>IF(W9=0,0,1000000*W9/TrRail_act!W26/1000)</f>
        <v>350.42260071847943</v>
      </c>
      <c r="X49" s="29">
        <f>IF(X9=0,0,1000000*X9/TrRail_act!X26/1000)</f>
        <v>322.299287444426</v>
      </c>
      <c r="Y49" s="29">
        <f>IF(Y9=0,0,1000000*Y9/TrRail_act!Y26/1000)</f>
        <v>314.87951763837106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696.46154404762763</v>
      </c>
      <c r="C51" s="116">
        <f>IF(C11=0,0,1000000*C11/TrRail_act!C28/1000)</f>
        <v>659.79729099234044</v>
      </c>
      <c r="D51" s="116">
        <f>IF(D11=0,0,1000000*D11/TrRail_act!D28/1000)</f>
        <v>631.53622372381778</v>
      </c>
      <c r="E51" s="116">
        <f>IF(E11=0,0,1000000*E11/TrRail_act!E28/1000)</f>
        <v>642.53012161253059</v>
      </c>
      <c r="F51" s="116">
        <f>IF(F11=0,0,1000000*F11/TrRail_act!F28/1000)</f>
        <v>615.27636248522231</v>
      </c>
      <c r="G51" s="116">
        <f>IF(G11=0,0,1000000*G11/TrRail_act!G28/1000)</f>
        <v>616.59011178422213</v>
      </c>
      <c r="H51" s="116">
        <f>IF(H11=0,0,1000000*H11/TrRail_act!H28/1000)</f>
        <v>597.68517093976493</v>
      </c>
      <c r="I51" s="116">
        <f>IF(I11=0,0,1000000*I11/TrRail_act!I28/1000)</f>
        <v>617.04063123189826</v>
      </c>
      <c r="J51" s="116">
        <f>IF(J11=0,0,1000000*J11/TrRail_act!J28/1000)</f>
        <v>607.85778640687647</v>
      </c>
      <c r="K51" s="116">
        <f>IF(K11=0,0,1000000*K11/TrRail_act!K28/1000)</f>
        <v>565.6554233916753</v>
      </c>
      <c r="L51" s="116">
        <f>IF(L11=0,0,1000000*L11/TrRail_act!L28/1000)</f>
        <v>569.2209779517076</v>
      </c>
      <c r="M51" s="116">
        <f>IF(M11=0,0,1000000*M11/TrRail_act!M28/1000)</f>
        <v>570.97796468362662</v>
      </c>
      <c r="N51" s="116">
        <f>IF(N11=0,0,1000000*N11/TrRail_act!N28/1000)</f>
        <v>580.39662365082017</v>
      </c>
      <c r="O51" s="116">
        <f>IF(O11=0,0,1000000*O11/TrRail_act!O28/1000)</f>
        <v>558.21826872979534</v>
      </c>
      <c r="P51" s="116">
        <f>IF(P11=0,0,1000000*P11/TrRail_act!P28/1000)</f>
        <v>550.35705108140644</v>
      </c>
      <c r="Q51" s="116">
        <f>IF(Q11=0,0,1000000*Q11/TrRail_act!Q28/1000)</f>
        <v>524.7322793093972</v>
      </c>
      <c r="R51" s="116">
        <f>IF(R11=0,0,1000000*R11/TrRail_act!R28/1000)</f>
        <v>512.554467399038</v>
      </c>
      <c r="S51" s="116">
        <f>IF(S11=0,0,1000000*S11/TrRail_act!S28/1000)</f>
        <v>494.90333062131543</v>
      </c>
      <c r="T51" s="116">
        <f>IF(T11=0,0,1000000*T11/TrRail_act!T28/1000)</f>
        <v>468.32210394874295</v>
      </c>
      <c r="U51" s="116">
        <f>IF(U11=0,0,1000000*U11/TrRail_act!U28/1000)</f>
        <v>453.6552677859741</v>
      </c>
      <c r="V51" s="116">
        <f>IF(V11=0,0,1000000*V11/TrRail_act!V28/1000)</f>
        <v>409.33109861933292</v>
      </c>
      <c r="W51" s="116">
        <f>IF(W11=0,0,1000000*W11/TrRail_act!W28/1000)</f>
        <v>390.28479561761662</v>
      </c>
      <c r="X51" s="116">
        <f>IF(X11=0,0,1000000*X11/TrRail_act!X28/1000)</f>
        <v>365.52264050025315</v>
      </c>
      <c r="Y51" s="116">
        <f>IF(Y11=0,0,1000000*Y11/TrRail_act!Y28/1000)</f>
        <v>358.24923946582084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1253.0472551628759</v>
      </c>
      <c r="C52" s="87">
        <f>IF(C12=0,0,1000000*C12/TrRail_act!C29/1000)</f>
        <v>1220.2476306477158</v>
      </c>
      <c r="D52" s="87">
        <f>IF(D12=0,0,1000000*D12/TrRail_act!D29/1000)</f>
        <v>1183.7925207621963</v>
      </c>
      <c r="E52" s="87">
        <f>IF(E12=0,0,1000000*E12/TrRail_act!E29/1000)</f>
        <v>1134.480751349719</v>
      </c>
      <c r="F52" s="87">
        <f>IF(F12=0,0,1000000*F12/TrRail_act!F29/1000)</f>
        <v>1098.3497390199941</v>
      </c>
      <c r="G52" s="87">
        <f>IF(G12=0,0,1000000*G12/TrRail_act!G29/1000)</f>
        <v>1051.1370998476011</v>
      </c>
      <c r="H52" s="87">
        <f>IF(H12=0,0,1000000*H12/TrRail_act!H29/1000)</f>
        <v>1036.5771378564982</v>
      </c>
      <c r="I52" s="87">
        <f>IF(I12=0,0,1000000*I12/TrRail_act!I29/1000)</f>
        <v>1042.2600795624451</v>
      </c>
      <c r="J52" s="87">
        <f>IF(J12=0,0,1000000*J12/TrRail_act!J29/1000)</f>
        <v>1022.5310670356562</v>
      </c>
      <c r="K52" s="87">
        <f>IF(K12=0,0,1000000*K12/TrRail_act!K29/1000)</f>
        <v>983.3133062314065</v>
      </c>
      <c r="L52" s="87">
        <f>IF(L12=0,0,1000000*L12/TrRail_act!L29/1000)</f>
        <v>972.63213470241374</v>
      </c>
      <c r="M52" s="87">
        <f>IF(M12=0,0,1000000*M12/TrRail_act!M29/1000)</f>
        <v>964.60934085238</v>
      </c>
      <c r="N52" s="87">
        <f>IF(N12=0,0,1000000*N12/TrRail_act!N29/1000)</f>
        <v>950.49094622808036</v>
      </c>
      <c r="O52" s="87">
        <f>IF(O12=0,0,1000000*O12/TrRail_act!O29/1000)</f>
        <v>925.21697562303893</v>
      </c>
      <c r="P52" s="87">
        <f>IF(P12=0,0,1000000*P12/TrRail_act!P29/1000)</f>
        <v>884.102964319384</v>
      </c>
      <c r="Q52" s="87">
        <f>IF(Q12=0,0,1000000*Q12/TrRail_act!Q29/1000)</f>
        <v>856.26463002121477</v>
      </c>
      <c r="R52" s="87">
        <f>IF(R12=0,0,1000000*R12/TrRail_act!R29/1000)</f>
        <v>848.50208583919277</v>
      </c>
      <c r="S52" s="87">
        <f>IF(S12=0,0,1000000*S12/TrRail_act!S29/1000)</f>
        <v>834.29771711861463</v>
      </c>
      <c r="T52" s="87">
        <f>IF(T12=0,0,1000000*T12/TrRail_act!T29/1000)</f>
        <v>811.3741691028456</v>
      </c>
      <c r="U52" s="87">
        <f>IF(U12=0,0,1000000*U12/TrRail_act!U29/1000)</f>
        <v>799.30400220723777</v>
      </c>
      <c r="V52" s="87">
        <f>IF(V12=0,0,1000000*V12/TrRail_act!V29/1000)</f>
        <v>761.27725019189927</v>
      </c>
      <c r="W52" s="87">
        <f>IF(W12=0,0,1000000*W12/TrRail_act!W29/1000)</f>
        <v>773.32536807706663</v>
      </c>
      <c r="X52" s="87">
        <f>IF(X12=0,0,1000000*X12/TrRail_act!X29/1000)</f>
        <v>765.15529102905214</v>
      </c>
      <c r="Y52" s="87">
        <f>IF(Y12=0,0,1000000*Y12/TrRail_act!Y29/1000)</f>
        <v>759.0844264713254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1664.0207983653754</v>
      </c>
      <c r="C55" s="29">
        <f>IF(C15=0,0,1000000*C15/TrRail_act!C32/1000)</f>
        <v>1563.8699627838337</v>
      </c>
      <c r="D55" s="29">
        <f>IF(D15=0,0,1000000*D15/TrRail_act!D32/1000)</f>
        <v>1518.8631974300922</v>
      </c>
      <c r="E55" s="29">
        <f>IF(E15=0,0,1000000*E15/TrRail_act!E32/1000)</f>
        <v>1368.5106334667137</v>
      </c>
      <c r="F55" s="29">
        <f>IF(F15=0,0,1000000*F15/TrRail_act!F32/1000)</f>
        <v>1310.12571550809</v>
      </c>
      <c r="G55" s="29">
        <f>IF(G15=0,0,1000000*G15/TrRail_act!G32/1000)</f>
        <v>1255.9201314810491</v>
      </c>
      <c r="H55" s="29">
        <f>IF(H15=0,0,1000000*H15/TrRail_act!H32/1000)</f>
        <v>1286.8789318176941</v>
      </c>
      <c r="I55" s="29">
        <f>IF(I15=0,0,1000000*I15/TrRail_act!I32/1000)</f>
        <v>1272.0378809454612</v>
      </c>
      <c r="J55" s="29">
        <f>IF(J15=0,0,1000000*J15/TrRail_act!J32/1000)</f>
        <v>1114.679440574042</v>
      </c>
      <c r="K55" s="29">
        <f>IF(K15=0,0,1000000*K15/TrRail_act!K32/1000)</f>
        <v>1121.4266421094919</v>
      </c>
      <c r="L55" s="29">
        <f>IF(L15=0,0,1000000*L15/TrRail_act!L32/1000)</f>
        <v>1246.2224700069296</v>
      </c>
      <c r="M55" s="29">
        <f>IF(M15=0,0,1000000*M15/TrRail_act!M32/1000)</f>
        <v>1267.2660742670423</v>
      </c>
      <c r="N55" s="29">
        <f>IF(N15=0,0,1000000*N15/TrRail_act!N32/1000)</f>
        <v>1112.0193975176123</v>
      </c>
      <c r="O55" s="29">
        <f>IF(O15=0,0,1000000*O15/TrRail_act!O32/1000)</f>
        <v>1202.3058847827374</v>
      </c>
      <c r="P55" s="29">
        <f>IF(P15=0,0,1000000*P15/TrRail_act!P32/1000)</f>
        <v>1273.8947708788023</v>
      </c>
      <c r="Q55" s="29">
        <f>IF(Q15=0,0,1000000*Q15/TrRail_act!Q32/1000)</f>
        <v>1297.442832700516</v>
      </c>
      <c r="R55" s="29">
        <f>IF(R15=0,0,1000000*R15/TrRail_act!R32/1000)</f>
        <v>1292.9873456896453</v>
      </c>
      <c r="S55" s="29">
        <f>IF(S15=0,0,1000000*S15/TrRail_act!S32/1000)</f>
        <v>1322.9455815264564</v>
      </c>
      <c r="T55" s="29">
        <f>IF(T15=0,0,1000000*T15/TrRail_act!T32/1000)</f>
        <v>1335.7542764281559</v>
      </c>
      <c r="U55" s="29">
        <f>IF(U15=0,0,1000000*U15/TrRail_act!U32/1000)</f>
        <v>1370.0573909248249</v>
      </c>
      <c r="V55" s="29">
        <f>IF(V15=0,0,1000000*V15/TrRail_act!V32/1000)</f>
        <v>1199.1520299492729</v>
      </c>
      <c r="W55" s="29">
        <f>IF(W15=0,0,1000000*W15/TrRail_act!W32/1000)</f>
        <v>1120.0124183159244</v>
      </c>
      <c r="X55" s="29">
        <f>IF(X15=0,0,1000000*X15/TrRail_act!X32/1000)</f>
        <v>1265.9254143454707</v>
      </c>
      <c r="Y55" s="29">
        <f>IF(Y15=0,0,1000000*Y15/TrRail_act!Y32/1000)</f>
        <v>1377.2526867932581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3093.9166575177092</v>
      </c>
      <c r="C56" s="87">
        <f>IF(C16=0,0,1000000*C16/TrRail_act!C33/1000)</f>
        <v>3066.4793742922634</v>
      </c>
      <c r="D56" s="87">
        <f>IF(D16=0,0,1000000*D16/TrRail_act!D33/1000)</f>
        <v>3019.9309516294043</v>
      </c>
      <c r="E56" s="87">
        <f>IF(E16=0,0,1000000*E16/TrRail_act!E33/1000)</f>
        <v>2951.0783815656882</v>
      </c>
      <c r="F56" s="87">
        <f>IF(F16=0,0,1000000*F16/TrRail_act!F33/1000)</f>
        <v>2944.3152367358921</v>
      </c>
      <c r="G56" s="87">
        <f>IF(G16=0,0,1000000*G16/TrRail_act!G33/1000)</f>
        <v>2911.8227438968856</v>
      </c>
      <c r="H56" s="87">
        <f>IF(H16=0,0,1000000*H16/TrRail_act!H33/1000)</f>
        <v>2833.8891610104133</v>
      </c>
      <c r="I56" s="87">
        <f>IF(I16=0,0,1000000*I16/TrRail_act!I33/1000)</f>
        <v>2824.7152536435783</v>
      </c>
      <c r="J56" s="87">
        <f>IF(J16=0,0,1000000*J16/TrRail_act!J33/1000)</f>
        <v>2728.9899595223869</v>
      </c>
      <c r="K56" s="87">
        <f>IF(K16=0,0,1000000*K16/TrRail_act!K33/1000)</f>
        <v>2661.0476045837022</v>
      </c>
      <c r="L56" s="87">
        <f>IF(L16=0,0,1000000*L16/TrRail_act!L33/1000)</f>
        <v>2635.3658219877448</v>
      </c>
      <c r="M56" s="87">
        <f>IF(M16=0,0,1000000*M16/TrRail_act!M33/1000)</f>
        <v>2578.5772699646318</v>
      </c>
      <c r="N56" s="87">
        <f>IF(N16=0,0,1000000*N16/TrRail_act!N33/1000)</f>
        <v>2280.9792781871688</v>
      </c>
      <c r="O56" s="87">
        <f>IF(O16=0,0,1000000*O16/TrRail_act!O33/1000)</f>
        <v>2491.5168097396995</v>
      </c>
      <c r="P56" s="87">
        <f>IF(P16=0,0,1000000*P16/TrRail_act!P33/1000)</f>
        <v>2417.1288391018325</v>
      </c>
      <c r="Q56" s="87">
        <f>IF(Q16=0,0,1000000*Q16/TrRail_act!Q33/1000)</f>
        <v>2391.9826840681271</v>
      </c>
      <c r="R56" s="87">
        <f>IF(R16=0,0,1000000*R16/TrRail_act!R33/1000)</f>
        <v>2337.6956366048507</v>
      </c>
      <c r="S56" s="87">
        <f>IF(S16=0,0,1000000*S16/TrRail_act!S33/1000)</f>
        <v>2297.7865316012708</v>
      </c>
      <c r="T56" s="87">
        <f>IF(T16=0,0,1000000*T16/TrRail_act!T33/1000)</f>
        <v>2268.3049378156861</v>
      </c>
      <c r="U56" s="87">
        <f>IF(U16=0,0,1000000*U16/TrRail_act!U33/1000)</f>
        <v>2246.4426313759236</v>
      </c>
      <c r="V56" s="87">
        <f>IF(V16=0,0,1000000*V16/TrRail_act!V33/1000)</f>
        <v>1946.3942077299312</v>
      </c>
      <c r="W56" s="87">
        <f>IF(W16=0,0,1000000*W16/TrRail_act!W33/1000)</f>
        <v>1796.4144993580619</v>
      </c>
      <c r="X56" s="87">
        <f>IF(X16=0,0,1000000*X16/TrRail_act!X33/1000)</f>
        <v>2001.8081907830854</v>
      </c>
      <c r="Y56" s="87">
        <f>IF(Y16=0,0,1000000*Y16/TrRail_act!Y33/1000)</f>
        <v>2140.6347100257353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0.86721489173403843</v>
      </c>
      <c r="C60" s="31">
        <f t="shared" ref="C60:V60" si="13">IF(C9=0,0,C9/C$8)</f>
        <v>0.86617104081570395</v>
      </c>
      <c r="D60" s="31">
        <f t="shared" si="13"/>
        <v>0.8812389342289797</v>
      </c>
      <c r="E60" s="31">
        <f t="shared" si="13"/>
        <v>0.8926868085985914</v>
      </c>
      <c r="F60" s="31">
        <f t="shared" si="13"/>
        <v>0.87717593560359852</v>
      </c>
      <c r="G60" s="31">
        <f t="shared" si="13"/>
        <v>0.89656524727156972</v>
      </c>
      <c r="H60" s="31">
        <f t="shared" si="13"/>
        <v>0.89675215099509564</v>
      </c>
      <c r="I60" s="31">
        <f t="shared" si="13"/>
        <v>0.9071790693422298</v>
      </c>
      <c r="J60" s="31">
        <f t="shared" si="13"/>
        <v>0.91275644497491926</v>
      </c>
      <c r="K60" s="31">
        <f t="shared" si="13"/>
        <v>0.91485332661054064</v>
      </c>
      <c r="L60" s="31">
        <f t="shared" si="13"/>
        <v>0.89509211139282618</v>
      </c>
      <c r="M60" s="31">
        <f t="shared" si="13"/>
        <v>0.88232626653685364</v>
      </c>
      <c r="N60" s="31">
        <f t="shared" si="13"/>
        <v>0.90482929070630858</v>
      </c>
      <c r="O60" s="31">
        <f t="shared" si="13"/>
        <v>0.89930558981391895</v>
      </c>
      <c r="P60" s="31">
        <f t="shared" si="13"/>
        <v>0.8922551063612566</v>
      </c>
      <c r="Q60" s="31">
        <f t="shared" si="13"/>
        <v>0.87497800603584752</v>
      </c>
      <c r="R60" s="31">
        <f t="shared" si="13"/>
        <v>0.86941101292922929</v>
      </c>
      <c r="S60" s="31">
        <f t="shared" si="13"/>
        <v>0.86448172020704883</v>
      </c>
      <c r="T60" s="31">
        <f t="shared" si="13"/>
        <v>0.85841926705999338</v>
      </c>
      <c r="U60" s="31">
        <f t="shared" si="13"/>
        <v>0.85986066857224197</v>
      </c>
      <c r="V60" s="31">
        <f t="shared" si="13"/>
        <v>0.87142635136103597</v>
      </c>
      <c r="W60" s="31">
        <f t="shared" ref="W60:Y60" si="14">IF(W9=0,0,W9/W$8)</f>
        <v>0.88318294018865162</v>
      </c>
      <c r="X60" s="31">
        <f t="shared" si="14"/>
        <v>0.8773727563274023</v>
      </c>
      <c r="Y60" s="31">
        <f t="shared" si="14"/>
        <v>0.87681853864316583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0.86721489173403843</v>
      </c>
      <c r="C62" s="124">
        <f t="shared" ref="C62:V62" si="17">IF(C11=0,0,C11/C$8)</f>
        <v>0.86617104081570395</v>
      </c>
      <c r="D62" s="124">
        <f t="shared" si="17"/>
        <v>0.8812389342289797</v>
      </c>
      <c r="E62" s="124">
        <f t="shared" si="17"/>
        <v>0.8926868085985914</v>
      </c>
      <c r="F62" s="124">
        <f t="shared" si="17"/>
        <v>0.87717593560359852</v>
      </c>
      <c r="G62" s="124">
        <f t="shared" si="17"/>
        <v>0.89656524727156972</v>
      </c>
      <c r="H62" s="124">
        <f t="shared" si="17"/>
        <v>0.89675215099509564</v>
      </c>
      <c r="I62" s="124">
        <f t="shared" si="17"/>
        <v>0.9071790693422298</v>
      </c>
      <c r="J62" s="124">
        <f t="shared" si="17"/>
        <v>0.91275644497491926</v>
      </c>
      <c r="K62" s="124">
        <f t="shared" si="17"/>
        <v>0.91485332661054064</v>
      </c>
      <c r="L62" s="124">
        <f t="shared" si="17"/>
        <v>0.89509211139282618</v>
      </c>
      <c r="M62" s="124">
        <f t="shared" si="17"/>
        <v>0.88232626653685364</v>
      </c>
      <c r="N62" s="124">
        <f t="shared" si="17"/>
        <v>0.90482929070630858</v>
      </c>
      <c r="O62" s="124">
        <f t="shared" si="17"/>
        <v>0.89930558981391895</v>
      </c>
      <c r="P62" s="124">
        <f t="shared" si="17"/>
        <v>0.8922551063612566</v>
      </c>
      <c r="Q62" s="124">
        <f t="shared" si="17"/>
        <v>0.87497800603584752</v>
      </c>
      <c r="R62" s="124">
        <f t="shared" si="17"/>
        <v>0.86941101292922929</v>
      </c>
      <c r="S62" s="124">
        <f t="shared" si="17"/>
        <v>0.86448172020704883</v>
      </c>
      <c r="T62" s="124">
        <f t="shared" si="17"/>
        <v>0.85841926705999338</v>
      </c>
      <c r="U62" s="124">
        <f t="shared" si="17"/>
        <v>0.85986066857224197</v>
      </c>
      <c r="V62" s="124">
        <f t="shared" si="17"/>
        <v>0.87142635136103597</v>
      </c>
      <c r="W62" s="124">
        <f t="shared" ref="W62:Y62" si="18">IF(W11=0,0,W11/W$8)</f>
        <v>0.88318294018865162</v>
      </c>
      <c r="X62" s="124">
        <f t="shared" si="18"/>
        <v>0.8773727563274023</v>
      </c>
      <c r="Y62" s="124">
        <f t="shared" si="18"/>
        <v>0.87681853864316583</v>
      </c>
      <c r="DA62" s="176"/>
    </row>
    <row r="63" spans="1:105" ht="11.45" customHeight="1" x14ac:dyDescent="0.25">
      <c r="A63" s="111" t="s">
        <v>92</v>
      </c>
      <c r="B63" s="125">
        <f t="shared" si="10"/>
        <v>0.86721489173403843</v>
      </c>
      <c r="C63" s="125">
        <f t="shared" ref="C63:V63" si="19">IF(C12=0,0,C12/C$8)</f>
        <v>0.86617104081570395</v>
      </c>
      <c r="D63" s="125">
        <f t="shared" si="19"/>
        <v>0.8812389342289797</v>
      </c>
      <c r="E63" s="125">
        <f t="shared" si="19"/>
        <v>0.8926868085985914</v>
      </c>
      <c r="F63" s="125">
        <f t="shared" si="19"/>
        <v>0.87717593560359852</v>
      </c>
      <c r="G63" s="125">
        <f t="shared" si="19"/>
        <v>0.89656524727156972</v>
      </c>
      <c r="H63" s="125">
        <f t="shared" si="19"/>
        <v>0.89675215099509564</v>
      </c>
      <c r="I63" s="125">
        <f t="shared" si="19"/>
        <v>0.9071790693422298</v>
      </c>
      <c r="J63" s="125">
        <f t="shared" si="19"/>
        <v>0.91275644497491926</v>
      </c>
      <c r="K63" s="125">
        <f t="shared" si="19"/>
        <v>0.91485332661054064</v>
      </c>
      <c r="L63" s="125">
        <f t="shared" si="19"/>
        <v>0.89509211139282618</v>
      </c>
      <c r="M63" s="125">
        <f t="shared" si="19"/>
        <v>0.88232626653685364</v>
      </c>
      <c r="N63" s="125">
        <f t="shared" si="19"/>
        <v>0.90482929070630858</v>
      </c>
      <c r="O63" s="125">
        <f t="shared" si="19"/>
        <v>0.89930558981391895</v>
      </c>
      <c r="P63" s="125">
        <f t="shared" si="19"/>
        <v>0.8922551063612566</v>
      </c>
      <c r="Q63" s="125">
        <f t="shared" si="19"/>
        <v>0.87497800603584752</v>
      </c>
      <c r="R63" s="125">
        <f t="shared" si="19"/>
        <v>0.86941101292922929</v>
      </c>
      <c r="S63" s="125">
        <f t="shared" si="19"/>
        <v>0.86448172020704883</v>
      </c>
      <c r="T63" s="125">
        <f t="shared" si="19"/>
        <v>0.85841926705999338</v>
      </c>
      <c r="U63" s="125">
        <f t="shared" si="19"/>
        <v>0.85986066857224197</v>
      </c>
      <c r="V63" s="125">
        <f t="shared" si="19"/>
        <v>0.87142635136103597</v>
      </c>
      <c r="W63" s="125">
        <f t="shared" ref="W63:Y63" si="20">IF(W12=0,0,W12/W$8)</f>
        <v>0.88318294018865162</v>
      </c>
      <c r="X63" s="125">
        <f t="shared" si="20"/>
        <v>0.8773727563274023</v>
      </c>
      <c r="Y63" s="125">
        <f t="shared" si="20"/>
        <v>0.87681853864316583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0.13278510826596152</v>
      </c>
      <c r="C66" s="31">
        <f t="shared" ref="C66:V66" si="25">IF(C15=0,0,C15/C$8)</f>
        <v>0.13382895918429605</v>
      </c>
      <c r="D66" s="31">
        <f t="shared" si="25"/>
        <v>0.1187610657710203</v>
      </c>
      <c r="E66" s="31">
        <f t="shared" si="25"/>
        <v>0.10731319140140853</v>
      </c>
      <c r="F66" s="31">
        <f t="shared" si="25"/>
        <v>0.12282406439640144</v>
      </c>
      <c r="G66" s="31">
        <f t="shared" si="25"/>
        <v>0.10343475272843035</v>
      </c>
      <c r="H66" s="31">
        <f t="shared" si="25"/>
        <v>0.10324784900490439</v>
      </c>
      <c r="I66" s="31">
        <f t="shared" si="25"/>
        <v>9.2820930657770195E-2</v>
      </c>
      <c r="J66" s="31">
        <f t="shared" si="25"/>
        <v>8.7243555025080674E-2</v>
      </c>
      <c r="K66" s="31">
        <f t="shared" si="25"/>
        <v>8.5146673389459415E-2</v>
      </c>
      <c r="L66" s="31">
        <f t="shared" si="25"/>
        <v>0.10490788860717372</v>
      </c>
      <c r="M66" s="31">
        <f t="shared" si="25"/>
        <v>0.11767373346314638</v>
      </c>
      <c r="N66" s="31">
        <f t="shared" si="25"/>
        <v>9.5170709293691508E-2</v>
      </c>
      <c r="O66" s="31">
        <f t="shared" si="25"/>
        <v>0.100694410186081</v>
      </c>
      <c r="P66" s="31">
        <f t="shared" si="25"/>
        <v>0.10774489363874333</v>
      </c>
      <c r="Q66" s="31">
        <f t="shared" si="25"/>
        <v>0.12502199396415248</v>
      </c>
      <c r="R66" s="31">
        <f t="shared" si="25"/>
        <v>0.13058898707077068</v>
      </c>
      <c r="S66" s="31">
        <f t="shared" si="25"/>
        <v>0.13551827979295117</v>
      </c>
      <c r="T66" s="31">
        <f t="shared" si="25"/>
        <v>0.14158073294000664</v>
      </c>
      <c r="U66" s="31">
        <f t="shared" si="25"/>
        <v>0.14013933142775806</v>
      </c>
      <c r="V66" s="31">
        <f t="shared" si="25"/>
        <v>0.12857364863896406</v>
      </c>
      <c r="W66" s="31">
        <f t="shared" ref="W66:Y66" si="26">IF(W15=0,0,W15/W$8)</f>
        <v>0.11681705981134834</v>
      </c>
      <c r="X66" s="31">
        <f t="shared" si="26"/>
        <v>0.12262724367259767</v>
      </c>
      <c r="Y66" s="31">
        <f t="shared" si="26"/>
        <v>0.12318146135683423</v>
      </c>
      <c r="DA66" s="173"/>
    </row>
    <row r="67" spans="1:105" ht="11.45" customHeight="1" x14ac:dyDescent="0.25">
      <c r="A67" s="83" t="s">
        <v>92</v>
      </c>
      <c r="B67" s="125">
        <f t="shared" si="10"/>
        <v>0.13278510826596152</v>
      </c>
      <c r="C67" s="125">
        <f t="shared" ref="C67:V67" si="27">IF(C16=0,0,C16/C$8)</f>
        <v>0.13382895918429605</v>
      </c>
      <c r="D67" s="125">
        <f t="shared" si="27"/>
        <v>0.1187610657710203</v>
      </c>
      <c r="E67" s="125">
        <f t="shared" si="27"/>
        <v>0.10731319140140853</v>
      </c>
      <c r="F67" s="125">
        <f t="shared" si="27"/>
        <v>0.12282406439640144</v>
      </c>
      <c r="G67" s="125">
        <f t="shared" si="27"/>
        <v>0.10343475272843035</v>
      </c>
      <c r="H67" s="125">
        <f t="shared" si="27"/>
        <v>0.10324784900490439</v>
      </c>
      <c r="I67" s="125">
        <f t="shared" si="27"/>
        <v>9.2820930657770195E-2</v>
      </c>
      <c r="J67" s="125">
        <f t="shared" si="27"/>
        <v>8.7243555025080674E-2</v>
      </c>
      <c r="K67" s="125">
        <f t="shared" si="27"/>
        <v>8.5146673389459415E-2</v>
      </c>
      <c r="L67" s="125">
        <f t="shared" si="27"/>
        <v>0.10490788860717372</v>
      </c>
      <c r="M67" s="125">
        <f t="shared" si="27"/>
        <v>0.11767373346314638</v>
      </c>
      <c r="N67" s="125">
        <f t="shared" si="27"/>
        <v>9.5170709293691508E-2</v>
      </c>
      <c r="O67" s="125">
        <f t="shared" si="27"/>
        <v>0.100694410186081</v>
      </c>
      <c r="P67" s="125">
        <f t="shared" si="27"/>
        <v>0.10774489363874333</v>
      </c>
      <c r="Q67" s="125">
        <f t="shared" si="27"/>
        <v>0.12502199396415248</v>
      </c>
      <c r="R67" s="125">
        <f t="shared" si="27"/>
        <v>0.13058898707077068</v>
      </c>
      <c r="S67" s="125">
        <f t="shared" si="27"/>
        <v>0.13551827979295117</v>
      </c>
      <c r="T67" s="125">
        <f t="shared" si="27"/>
        <v>0.14158073294000664</v>
      </c>
      <c r="U67" s="125">
        <f t="shared" si="27"/>
        <v>0.14013933142775806</v>
      </c>
      <c r="V67" s="125">
        <f t="shared" si="27"/>
        <v>0.12857364863896406</v>
      </c>
      <c r="W67" s="125">
        <f t="shared" ref="W67:Y67" si="28">IF(W16=0,0,W16/W$8)</f>
        <v>0.11681705981134834</v>
      </c>
      <c r="X67" s="125">
        <f t="shared" si="28"/>
        <v>0.12262724367259767</v>
      </c>
      <c r="Y67" s="125">
        <f t="shared" si="28"/>
        <v>0.12318146135683423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16989.454374845489</v>
      </c>
      <c r="C4" s="11">
        <f t="shared" si="0"/>
        <v>17569.700413087317</v>
      </c>
      <c r="D4" s="11">
        <f t="shared" ref="D4:V4" si="1">SUM(D5:D7)</f>
        <v>17585.52564129755</v>
      </c>
      <c r="E4" s="11">
        <f t="shared" si="1"/>
        <v>17105.855369652294</v>
      </c>
      <c r="F4" s="11">
        <f t="shared" si="1"/>
        <v>18826.34593440999</v>
      </c>
      <c r="G4" s="11">
        <f t="shared" si="1"/>
        <v>20198.331312729042</v>
      </c>
      <c r="H4" s="11">
        <f t="shared" si="1"/>
        <v>20401.981200678849</v>
      </c>
      <c r="I4" s="11">
        <f t="shared" si="1"/>
        <v>20289.749988359788</v>
      </c>
      <c r="J4" s="11">
        <f t="shared" si="1"/>
        <v>19689.144074614895</v>
      </c>
      <c r="K4" s="11">
        <f t="shared" si="1"/>
        <v>18525.134377934468</v>
      </c>
      <c r="L4" s="11">
        <f t="shared" si="1"/>
        <v>20472.449183930541</v>
      </c>
      <c r="M4" s="11">
        <f t="shared" si="1"/>
        <v>20919.55024620203</v>
      </c>
      <c r="N4" s="11">
        <f t="shared" si="1"/>
        <v>22188.280306451299</v>
      </c>
      <c r="O4" s="11">
        <f t="shared" si="1"/>
        <v>23255.790355620389</v>
      </c>
      <c r="P4" s="11">
        <f t="shared" si="1"/>
        <v>24726.960558288585</v>
      </c>
      <c r="Q4" s="11">
        <f t="shared" si="1"/>
        <v>25175.737842548289</v>
      </c>
      <c r="R4" s="11">
        <f t="shared" si="1"/>
        <v>27316.278937371972</v>
      </c>
      <c r="S4" s="11">
        <f t="shared" si="1"/>
        <v>28367.424789967852</v>
      </c>
      <c r="T4" s="11">
        <f t="shared" si="1"/>
        <v>30066.696964492268</v>
      </c>
      <c r="U4" s="11">
        <f t="shared" si="1"/>
        <v>29828.691051629088</v>
      </c>
      <c r="V4" s="11">
        <f t="shared" si="1"/>
        <v>7084.9312445014075</v>
      </c>
      <c r="W4" s="11">
        <f t="shared" ref="W4:Y4" si="2">SUM(W5:W7)</f>
        <v>8923.3786824586896</v>
      </c>
      <c r="X4" s="11">
        <f t="shared" si="2"/>
        <v>22446.930581468965</v>
      </c>
      <c r="Y4" s="11">
        <f t="shared" si="2"/>
        <v>27746.665809642349</v>
      </c>
      <c r="DA4" s="189" t="s">
        <v>190</v>
      </c>
    </row>
    <row r="5" spans="1:105" ht="11.45" customHeight="1" x14ac:dyDescent="0.25">
      <c r="A5" s="83" t="s">
        <v>27</v>
      </c>
      <c r="B5" s="84">
        <v>291.40924396035859</v>
      </c>
      <c r="C5" s="84">
        <v>299.46483133744471</v>
      </c>
      <c r="D5" s="84">
        <v>270.63505047752295</v>
      </c>
      <c r="E5" s="84">
        <v>294.26581108181898</v>
      </c>
      <c r="F5" s="84">
        <v>369.96532619028915</v>
      </c>
      <c r="G5" s="84">
        <v>371.63024424271703</v>
      </c>
      <c r="H5" s="84">
        <v>403.57690740271437</v>
      </c>
      <c r="I5" s="84">
        <v>446.8763170177379</v>
      </c>
      <c r="J5" s="84">
        <v>458.44665437170937</v>
      </c>
      <c r="K5" s="84">
        <v>464.32366596496422</v>
      </c>
      <c r="L5" s="84">
        <v>563.06762945161995</v>
      </c>
      <c r="M5" s="84">
        <v>519.51037812927518</v>
      </c>
      <c r="N5" s="84">
        <v>405.46675317223634</v>
      </c>
      <c r="O5" s="84">
        <v>408.17099991910067</v>
      </c>
      <c r="P5" s="84">
        <v>421.85946758049505</v>
      </c>
      <c r="Q5" s="84">
        <v>412.07747383764894</v>
      </c>
      <c r="R5" s="84">
        <v>437.60625055817405</v>
      </c>
      <c r="S5" s="84">
        <v>422.72749352524505</v>
      </c>
      <c r="T5" s="84">
        <v>418.01654063879579</v>
      </c>
      <c r="U5" s="84">
        <v>393.6179448566678</v>
      </c>
      <c r="V5" s="84">
        <v>165.22281994162591</v>
      </c>
      <c r="W5" s="84">
        <v>230.94088502274082</v>
      </c>
      <c r="X5" s="84">
        <v>335.87410720587269</v>
      </c>
      <c r="Y5" s="84">
        <v>333.52998140530303</v>
      </c>
      <c r="DA5" s="171" t="s">
        <v>191</v>
      </c>
    </row>
    <row r="6" spans="1:105" ht="11.45" customHeight="1" x14ac:dyDescent="0.25">
      <c r="A6" s="83" t="s">
        <v>181</v>
      </c>
      <c r="B6" s="84">
        <v>10428.613753939248</v>
      </c>
      <c r="C6" s="84">
        <v>10820.675584581006</v>
      </c>
      <c r="D6" s="84">
        <v>10765.603019713159</v>
      </c>
      <c r="E6" s="84">
        <v>10452.023786919061</v>
      </c>
      <c r="F6" s="84">
        <v>10936.286847210575</v>
      </c>
      <c r="G6" s="84">
        <v>11436.476366398303</v>
      </c>
      <c r="H6" s="84">
        <v>11675.61550403912</v>
      </c>
      <c r="I6" s="84">
        <v>11672.319077795621</v>
      </c>
      <c r="J6" s="84">
        <v>11111.564294853693</v>
      </c>
      <c r="K6" s="84">
        <v>10364.412359702885</v>
      </c>
      <c r="L6" s="84">
        <v>11231.598205833068</v>
      </c>
      <c r="M6" s="84">
        <v>11877.556584309154</v>
      </c>
      <c r="N6" s="84">
        <v>12254.478647297001</v>
      </c>
      <c r="O6" s="84">
        <v>12942.728078146189</v>
      </c>
      <c r="P6" s="84">
        <v>13420.038507311709</v>
      </c>
      <c r="Q6" s="84">
        <v>13708.482523951008</v>
      </c>
      <c r="R6" s="84">
        <v>15453.531350868714</v>
      </c>
      <c r="S6" s="84">
        <v>16126.666717169552</v>
      </c>
      <c r="T6" s="84">
        <v>16653.388016803656</v>
      </c>
      <c r="U6" s="84">
        <v>16075.55594518928</v>
      </c>
      <c r="V6" s="84">
        <v>3936.320687985075</v>
      </c>
      <c r="W6" s="84">
        <v>5897.9890473122359</v>
      </c>
      <c r="X6" s="84">
        <v>13510.739108572947</v>
      </c>
      <c r="Y6" s="84">
        <v>15765.278244468296</v>
      </c>
      <c r="DA6" s="171" t="s">
        <v>192</v>
      </c>
    </row>
    <row r="7" spans="1:105" ht="11.45" customHeight="1" x14ac:dyDescent="0.25">
      <c r="A7" s="83" t="s">
        <v>182</v>
      </c>
      <c r="B7" s="84">
        <v>6269.4313769458813</v>
      </c>
      <c r="C7" s="84">
        <v>6449.5599971688671</v>
      </c>
      <c r="D7" s="84">
        <v>6549.28757110687</v>
      </c>
      <c r="E7" s="84">
        <v>6359.5657716514161</v>
      </c>
      <c r="F7" s="84">
        <v>7520.093761009126</v>
      </c>
      <c r="G7" s="84">
        <v>8390.2247020880222</v>
      </c>
      <c r="H7" s="84">
        <v>8322.7887892370163</v>
      </c>
      <c r="I7" s="84">
        <v>8170.5545935464306</v>
      </c>
      <c r="J7" s="84">
        <v>8119.1331253894905</v>
      </c>
      <c r="K7" s="84">
        <v>7696.3983522666194</v>
      </c>
      <c r="L7" s="84">
        <v>8677.783348645853</v>
      </c>
      <c r="M7" s="84">
        <v>8522.4832837636022</v>
      </c>
      <c r="N7" s="84">
        <v>9528.3349059820594</v>
      </c>
      <c r="O7" s="84">
        <v>9904.891277555098</v>
      </c>
      <c r="P7" s="84">
        <v>10885.062583396382</v>
      </c>
      <c r="Q7" s="84">
        <v>11055.177844759633</v>
      </c>
      <c r="R7" s="84">
        <v>11425.141335945083</v>
      </c>
      <c r="S7" s="84">
        <v>11818.030579273052</v>
      </c>
      <c r="T7" s="84">
        <v>12995.292407049816</v>
      </c>
      <c r="U7" s="84">
        <v>13359.517161583139</v>
      </c>
      <c r="V7" s="84">
        <v>2983.3877365747067</v>
      </c>
      <c r="W7" s="84">
        <v>2794.4487501237131</v>
      </c>
      <c r="X7" s="84">
        <v>8600.3173656901454</v>
      </c>
      <c r="Y7" s="84">
        <v>11647.857583768748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50.55845504197039</v>
      </c>
      <c r="C8" s="13">
        <f t="shared" si="3"/>
        <v>55.840791595269202</v>
      </c>
      <c r="D8" s="13">
        <f t="shared" ref="D8:V8" si="4">SUM(D9:D11)</f>
        <v>51.118954616515595</v>
      </c>
      <c r="E8" s="13">
        <f t="shared" si="4"/>
        <v>39.792770290318067</v>
      </c>
      <c r="F8" s="13">
        <f t="shared" si="4"/>
        <v>39.889073499041665</v>
      </c>
      <c r="G8" s="13">
        <f t="shared" si="4"/>
        <v>41.799001945066863</v>
      </c>
      <c r="H8" s="13">
        <f t="shared" si="4"/>
        <v>41.143342567093782</v>
      </c>
      <c r="I8" s="13">
        <f t="shared" si="4"/>
        <v>38.215966032936294</v>
      </c>
      <c r="J8" s="13">
        <f t="shared" si="4"/>
        <v>460.44732165282937</v>
      </c>
      <c r="K8" s="13">
        <f t="shared" si="4"/>
        <v>379.26599981026385</v>
      </c>
      <c r="L8" s="13">
        <f t="shared" si="4"/>
        <v>428.51559620866652</v>
      </c>
      <c r="M8" s="13">
        <f t="shared" si="4"/>
        <v>429.50190693886162</v>
      </c>
      <c r="N8" s="13">
        <f t="shared" si="4"/>
        <v>523.70346254605022</v>
      </c>
      <c r="O8" s="13">
        <f t="shared" si="4"/>
        <v>454.56797143621651</v>
      </c>
      <c r="P8" s="13">
        <f t="shared" si="4"/>
        <v>593.91975584977729</v>
      </c>
      <c r="Q8" s="13">
        <f t="shared" si="4"/>
        <v>545.41668991946221</v>
      </c>
      <c r="R8" s="13">
        <f t="shared" si="4"/>
        <v>492.01290367999729</v>
      </c>
      <c r="S8" s="13">
        <f t="shared" si="4"/>
        <v>549.53853875301797</v>
      </c>
      <c r="T8" s="13">
        <f t="shared" si="4"/>
        <v>441.54857472802939</v>
      </c>
      <c r="U8" s="13">
        <f t="shared" si="4"/>
        <v>512.00708424991637</v>
      </c>
      <c r="V8" s="13">
        <f t="shared" si="4"/>
        <v>298.44479370289184</v>
      </c>
      <c r="W8" s="13">
        <f t="shared" ref="W8:Y8" si="5">SUM(W9:W11)</f>
        <v>358.88583724508095</v>
      </c>
      <c r="X8" s="13">
        <f t="shared" si="5"/>
        <v>435.15636008854415</v>
      </c>
      <c r="Y8" s="13">
        <f t="shared" si="5"/>
        <v>537.40897750119791</v>
      </c>
      <c r="DA8" s="193" t="s">
        <v>194</v>
      </c>
    </row>
    <row r="9" spans="1:105" ht="11.45" customHeight="1" x14ac:dyDescent="0.25">
      <c r="A9" s="92" t="s">
        <v>27</v>
      </c>
      <c r="B9" s="102">
        <v>0.39172459200602222</v>
      </c>
      <c r="C9" s="102">
        <v>0.41211988850750952</v>
      </c>
      <c r="D9" s="102">
        <v>0.38472118350507145</v>
      </c>
      <c r="E9" s="102">
        <v>0.28773649391945588</v>
      </c>
      <c r="F9" s="102">
        <v>0.30105333526857581</v>
      </c>
      <c r="G9" s="102">
        <v>0.33328177283205751</v>
      </c>
      <c r="H9" s="102">
        <v>0.33346807222946917</v>
      </c>
      <c r="I9" s="102">
        <v>0.26982726842119337</v>
      </c>
      <c r="J9" s="102">
        <v>0.45761920804353151</v>
      </c>
      <c r="K9" s="102">
        <v>0.33392166803352347</v>
      </c>
      <c r="L9" s="102">
        <v>0.12517567415118286</v>
      </c>
      <c r="M9" s="102">
        <v>7.1720003837367763E-2</v>
      </c>
      <c r="N9" s="102">
        <v>5.724000466779311E-2</v>
      </c>
      <c r="O9" s="102">
        <v>7.1354642622729683E-2</v>
      </c>
      <c r="P9" s="102">
        <v>8.6213475064983586E-2</v>
      </c>
      <c r="Q9" s="102">
        <v>8.4132225809155498E-2</v>
      </c>
      <c r="R9" s="102">
        <v>2.4659845305996329E-2</v>
      </c>
      <c r="S9" s="102">
        <v>4.038473683958186E-2</v>
      </c>
      <c r="T9" s="102">
        <v>5.6030796460060678E-2</v>
      </c>
      <c r="U9" s="102">
        <v>6.3298705579239237E-2</v>
      </c>
      <c r="V9" s="102">
        <v>8.3553457984646598E-2</v>
      </c>
      <c r="W9" s="102">
        <v>0.14640060168984037</v>
      </c>
      <c r="X9" s="102">
        <v>0.54803122240040691</v>
      </c>
      <c r="Y9" s="102">
        <v>0.24268534315649595</v>
      </c>
      <c r="DA9" s="175" t="s">
        <v>195</v>
      </c>
    </row>
    <row r="10" spans="1:105" ht="11.45" customHeight="1" x14ac:dyDescent="0.25">
      <c r="A10" s="92" t="s">
        <v>181</v>
      </c>
      <c r="B10" s="102">
        <v>42.918755327610484</v>
      </c>
      <c r="C10" s="102">
        <v>46.939804497144912</v>
      </c>
      <c r="D10" s="102">
        <v>41.453697620581849</v>
      </c>
      <c r="E10" s="102">
        <v>30.305892743922325</v>
      </c>
      <c r="F10" s="102">
        <v>30.659539171116684</v>
      </c>
      <c r="G10" s="102">
        <v>35.820849975490191</v>
      </c>
      <c r="H10" s="102">
        <v>37.827137789618064</v>
      </c>
      <c r="I10" s="102">
        <v>34.562247485022787</v>
      </c>
      <c r="J10" s="102">
        <v>73.76067077587733</v>
      </c>
      <c r="K10" s="102">
        <v>52.194686888090231</v>
      </c>
      <c r="L10" s="102">
        <v>37.718788366418266</v>
      </c>
      <c r="M10" s="102">
        <v>37.881819895866805</v>
      </c>
      <c r="N10" s="102">
        <v>36.532930386129202</v>
      </c>
      <c r="O10" s="102">
        <v>30.775875196586554</v>
      </c>
      <c r="P10" s="102">
        <v>50.507321496125947</v>
      </c>
      <c r="Q10" s="102">
        <v>48.769931344258794</v>
      </c>
      <c r="R10" s="102">
        <v>42.208766559440441</v>
      </c>
      <c r="S10" s="102">
        <v>46.401953575691991</v>
      </c>
      <c r="T10" s="102">
        <v>46.71847150803746</v>
      </c>
      <c r="U10" s="102">
        <v>53.776903923614661</v>
      </c>
      <c r="V10" s="102">
        <v>58.060470632608272</v>
      </c>
      <c r="W10" s="102">
        <v>73.215460265683234</v>
      </c>
      <c r="X10" s="102">
        <v>92.585313476965197</v>
      </c>
      <c r="Y10" s="102">
        <v>88.283134737225566</v>
      </c>
      <c r="DA10" s="175" t="s">
        <v>196</v>
      </c>
    </row>
    <row r="11" spans="1:105" ht="11.45" customHeight="1" x14ac:dyDescent="0.25">
      <c r="A11" s="85" t="s">
        <v>182</v>
      </c>
      <c r="B11" s="86">
        <v>7.2479751223538855</v>
      </c>
      <c r="C11" s="86">
        <v>8.4888672096167763</v>
      </c>
      <c r="D11" s="86">
        <v>9.2805358124286776</v>
      </c>
      <c r="E11" s="86">
        <v>9.1991410524762856</v>
      </c>
      <c r="F11" s="86">
        <v>8.9284809926564037</v>
      </c>
      <c r="G11" s="86">
        <v>5.6448701967446109</v>
      </c>
      <c r="H11" s="86">
        <v>2.9827367052462463</v>
      </c>
      <c r="I11" s="86">
        <v>3.3838912794923117</v>
      </c>
      <c r="J11" s="86">
        <v>386.22903166890853</v>
      </c>
      <c r="K11" s="86">
        <v>326.73739125414011</v>
      </c>
      <c r="L11" s="86">
        <v>390.67163216809706</v>
      </c>
      <c r="M11" s="86">
        <v>391.54836703915743</v>
      </c>
      <c r="N11" s="86">
        <v>487.11329215525319</v>
      </c>
      <c r="O11" s="86">
        <v>423.72074159700725</v>
      </c>
      <c r="P11" s="86">
        <v>543.32622087858635</v>
      </c>
      <c r="Q11" s="86">
        <v>496.56262634939424</v>
      </c>
      <c r="R11" s="86">
        <v>449.77947727525088</v>
      </c>
      <c r="S11" s="86">
        <v>503.09620044048643</v>
      </c>
      <c r="T11" s="86">
        <v>394.77407242353189</v>
      </c>
      <c r="U11" s="86">
        <v>458.16688162072251</v>
      </c>
      <c r="V11" s="86">
        <v>240.30076961229889</v>
      </c>
      <c r="W11" s="86">
        <v>285.52397637770787</v>
      </c>
      <c r="X11" s="86">
        <v>342.02301538917857</v>
      </c>
      <c r="Y11" s="86">
        <v>448.88315742081585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160.42618705447143</v>
      </c>
      <c r="C13" s="54">
        <f t="shared" si="6"/>
        <v>163.22419154198587</v>
      </c>
      <c r="D13" s="54">
        <f t="shared" ref="D13:V13" si="7">SUM(D14,D18)</f>
        <v>149.49473714042844</v>
      </c>
      <c r="E13" s="54">
        <f t="shared" si="7"/>
        <v>148.73839648551936</v>
      </c>
      <c r="F13" s="54">
        <f t="shared" si="7"/>
        <v>164.11954806681854</v>
      </c>
      <c r="G13" s="54">
        <f t="shared" si="7"/>
        <v>165.5373245765465</v>
      </c>
      <c r="H13" s="54">
        <f t="shared" si="7"/>
        <v>161.1934557659205</v>
      </c>
      <c r="I13" s="54">
        <f t="shared" si="7"/>
        <v>162.47054488385959</v>
      </c>
      <c r="J13" s="54">
        <f t="shared" si="7"/>
        <v>174.9765183708044</v>
      </c>
      <c r="K13" s="54">
        <f t="shared" si="7"/>
        <v>158.92889430980557</v>
      </c>
      <c r="L13" s="54">
        <f t="shared" si="7"/>
        <v>170.06736005741325</v>
      </c>
      <c r="M13" s="54">
        <f t="shared" si="7"/>
        <v>174.4494974968064</v>
      </c>
      <c r="N13" s="54">
        <f t="shared" si="7"/>
        <v>172.90103745003682</v>
      </c>
      <c r="O13" s="54">
        <f t="shared" si="7"/>
        <v>176.03447574469089</v>
      </c>
      <c r="P13" s="54">
        <f t="shared" si="7"/>
        <v>180.68405880232152</v>
      </c>
      <c r="Q13" s="54">
        <f t="shared" si="7"/>
        <v>183.63041870324952</v>
      </c>
      <c r="R13" s="54">
        <f t="shared" si="7"/>
        <v>195.39512111420521</v>
      </c>
      <c r="S13" s="54">
        <f t="shared" si="7"/>
        <v>195.71886298828144</v>
      </c>
      <c r="T13" s="54">
        <f t="shared" si="7"/>
        <v>206.05184279815316</v>
      </c>
      <c r="U13" s="54">
        <f t="shared" si="7"/>
        <v>204.79546867103446</v>
      </c>
      <c r="V13" s="54">
        <f t="shared" si="7"/>
        <v>69.587345432440628</v>
      </c>
      <c r="W13" s="54">
        <f t="shared" ref="W13:Y13" si="8">SUM(W14,W18)</f>
        <v>90.265961197166902</v>
      </c>
      <c r="X13" s="54">
        <f t="shared" si="8"/>
        <v>172.28435067086838</v>
      </c>
      <c r="Y13" s="54">
        <f t="shared" si="8"/>
        <v>197.9091869551136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158.6161878354234</v>
      </c>
      <c r="C14" s="11">
        <f t="shared" si="9"/>
        <v>161.33923193802548</v>
      </c>
      <c r="D14" s="11">
        <f t="shared" ref="D14:V14" si="10">SUM(D15:D17)</f>
        <v>147.70390730733808</v>
      </c>
      <c r="E14" s="11">
        <f t="shared" si="10"/>
        <v>147.40997490328058</v>
      </c>
      <c r="F14" s="11">
        <f t="shared" si="10"/>
        <v>162.65315022371931</v>
      </c>
      <c r="G14" s="11">
        <f t="shared" si="10"/>
        <v>163.8684798831849</v>
      </c>
      <c r="H14" s="11">
        <f t="shared" si="10"/>
        <v>159.21845234878634</v>
      </c>
      <c r="I14" s="11">
        <f t="shared" si="10"/>
        <v>160.60939400747927</v>
      </c>
      <c r="J14" s="11">
        <f t="shared" si="10"/>
        <v>164.88643127948646</v>
      </c>
      <c r="K14" s="11">
        <f t="shared" si="10"/>
        <v>151.61647726753887</v>
      </c>
      <c r="L14" s="11">
        <f t="shared" si="10"/>
        <v>162.86212905905671</v>
      </c>
      <c r="M14" s="11">
        <f t="shared" si="10"/>
        <v>167.31957029935688</v>
      </c>
      <c r="N14" s="11">
        <f t="shared" si="10"/>
        <v>165.31904462043559</v>
      </c>
      <c r="O14" s="11">
        <f t="shared" si="10"/>
        <v>169.44381743516428</v>
      </c>
      <c r="P14" s="11">
        <f t="shared" si="10"/>
        <v>172.72055758988364</v>
      </c>
      <c r="Q14" s="11">
        <f t="shared" si="10"/>
        <v>176.10792909063463</v>
      </c>
      <c r="R14" s="11">
        <f t="shared" si="10"/>
        <v>189.11070399191971</v>
      </c>
      <c r="S14" s="11">
        <f t="shared" si="10"/>
        <v>188.55954446579238</v>
      </c>
      <c r="T14" s="11">
        <f t="shared" si="10"/>
        <v>200.12972664476243</v>
      </c>
      <c r="U14" s="11">
        <f t="shared" si="10"/>
        <v>198.15987002639673</v>
      </c>
      <c r="V14" s="11">
        <f t="shared" si="10"/>
        <v>63.562212649134167</v>
      </c>
      <c r="W14" s="11">
        <f t="shared" ref="W14:Y14" si="11">SUM(W15:W17)</f>
        <v>82.270319465458485</v>
      </c>
      <c r="X14" s="11">
        <f t="shared" si="11"/>
        <v>163.31446080641081</v>
      </c>
      <c r="Y14" s="11">
        <f t="shared" si="11"/>
        <v>188.19316767425599</v>
      </c>
      <c r="DA14" s="189" t="s">
        <v>199</v>
      </c>
    </row>
    <row r="15" spans="1:105" ht="11.45" customHeight="1" x14ac:dyDescent="0.25">
      <c r="A15" s="83" t="s">
        <v>27</v>
      </c>
      <c r="B15" s="84">
        <v>5.9466133338331533</v>
      </c>
      <c r="C15" s="84">
        <v>6.0848850495559539</v>
      </c>
      <c r="D15" s="84">
        <v>6.2401211942665924</v>
      </c>
      <c r="E15" s="84">
        <v>7.4332085699318942</v>
      </c>
      <c r="F15" s="84">
        <v>10.056652937654059</v>
      </c>
      <c r="G15" s="84">
        <v>9.4239245395286293</v>
      </c>
      <c r="H15" s="84">
        <v>9.4095659999268584</v>
      </c>
      <c r="I15" s="84">
        <v>9.6217516483631158</v>
      </c>
      <c r="J15" s="84">
        <v>10.275532802376452</v>
      </c>
      <c r="K15" s="84">
        <v>9.680774125076395</v>
      </c>
      <c r="L15" s="84">
        <v>10.501935560439561</v>
      </c>
      <c r="M15" s="84">
        <v>10.019797480486904</v>
      </c>
      <c r="N15" s="84">
        <v>6.9092454535434795</v>
      </c>
      <c r="O15" s="84">
        <v>7.2250506576756264</v>
      </c>
      <c r="P15" s="84">
        <v>7.5554662146019753</v>
      </c>
      <c r="Q15" s="84">
        <v>7.5157701753804549</v>
      </c>
      <c r="R15" s="84">
        <v>7.7101355376539766</v>
      </c>
      <c r="S15" s="84">
        <v>7.4795597695120719</v>
      </c>
      <c r="T15" s="84">
        <v>7.2854037692006406</v>
      </c>
      <c r="U15" s="84">
        <v>7.11536435688671</v>
      </c>
      <c r="V15" s="84">
        <v>4.0517109707245007</v>
      </c>
      <c r="W15" s="84">
        <v>4.6540742048468218</v>
      </c>
      <c r="X15" s="84">
        <v>5.8586405601825184</v>
      </c>
      <c r="Y15" s="84">
        <v>5.5311176203824113</v>
      </c>
      <c r="DA15" s="171" t="s">
        <v>200</v>
      </c>
    </row>
    <row r="16" spans="1:105" ht="11.45" customHeight="1" x14ac:dyDescent="0.25">
      <c r="A16" s="83" t="s">
        <v>181</v>
      </c>
      <c r="B16" s="84">
        <v>116.74008072266362</v>
      </c>
      <c r="C16" s="84">
        <v>118.71440054533785</v>
      </c>
      <c r="D16" s="84">
        <v>110.39175059503373</v>
      </c>
      <c r="E16" s="84">
        <v>109.84221153891157</v>
      </c>
      <c r="F16" s="84">
        <v>116.50130923971155</v>
      </c>
      <c r="G16" s="84">
        <v>115.6779748029698</v>
      </c>
      <c r="H16" s="84">
        <v>111.74142463477341</v>
      </c>
      <c r="I16" s="84">
        <v>113.12417524164827</v>
      </c>
      <c r="J16" s="84">
        <v>115.73942449732104</v>
      </c>
      <c r="K16" s="84">
        <v>105.22192676566057</v>
      </c>
      <c r="L16" s="84">
        <v>110.68940460390291</v>
      </c>
      <c r="M16" s="84">
        <v>111.33104172946042</v>
      </c>
      <c r="N16" s="84">
        <v>110.18534680168978</v>
      </c>
      <c r="O16" s="84">
        <v>113.80572289806641</v>
      </c>
      <c r="P16" s="84">
        <v>112.47518598786482</v>
      </c>
      <c r="Q16" s="84">
        <v>114.06347435461083</v>
      </c>
      <c r="R16" s="84">
        <v>124.35453684660672</v>
      </c>
      <c r="S16" s="84">
        <v>125.08546424035274</v>
      </c>
      <c r="T16" s="84">
        <v>130.1384799637471</v>
      </c>
      <c r="U16" s="84">
        <v>125.98008022974345</v>
      </c>
      <c r="V16" s="84">
        <v>39.748831638920308</v>
      </c>
      <c r="W16" s="84">
        <v>50.615408179074642</v>
      </c>
      <c r="X16" s="84">
        <v>103.41112819060891</v>
      </c>
      <c r="Y16" s="84">
        <v>117.96681839257583</v>
      </c>
      <c r="DA16" s="171" t="s">
        <v>201</v>
      </c>
    </row>
    <row r="17" spans="1:105" ht="11.45" customHeight="1" x14ac:dyDescent="0.25">
      <c r="A17" s="83" t="s">
        <v>182</v>
      </c>
      <c r="B17" s="84">
        <v>35.929493778926627</v>
      </c>
      <c r="C17" s="84">
        <v>36.539946343131689</v>
      </c>
      <c r="D17" s="84">
        <v>31.072035518037758</v>
      </c>
      <c r="E17" s="84">
        <v>30.134554794437125</v>
      </c>
      <c r="F17" s="84">
        <v>36.095188046353712</v>
      </c>
      <c r="G17" s="84">
        <v>38.766580540686469</v>
      </c>
      <c r="H17" s="84">
        <v>38.067461714086086</v>
      </c>
      <c r="I17" s="84">
        <v>37.863467117467884</v>
      </c>
      <c r="J17" s="84">
        <v>38.871473979788981</v>
      </c>
      <c r="K17" s="84">
        <v>36.713776376801903</v>
      </c>
      <c r="L17" s="84">
        <v>41.670788894714228</v>
      </c>
      <c r="M17" s="84">
        <v>45.968731089409552</v>
      </c>
      <c r="N17" s="84">
        <v>48.224452365202353</v>
      </c>
      <c r="O17" s="84">
        <v>48.413043879422247</v>
      </c>
      <c r="P17" s="84">
        <v>52.689905387416857</v>
      </c>
      <c r="Q17" s="84">
        <v>54.528684560643335</v>
      </c>
      <c r="R17" s="84">
        <v>57.046031607659017</v>
      </c>
      <c r="S17" s="84">
        <v>55.994520455927592</v>
      </c>
      <c r="T17" s="84">
        <v>62.705842911814699</v>
      </c>
      <c r="U17" s="84">
        <v>65.064425439766566</v>
      </c>
      <c r="V17" s="84">
        <v>19.76167003948936</v>
      </c>
      <c r="W17" s="84">
        <v>27.000837081537018</v>
      </c>
      <c r="X17" s="84">
        <v>54.044692055619365</v>
      </c>
      <c r="Y17" s="84">
        <v>64.69523166129774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1.8099992190480305</v>
      </c>
      <c r="C18" s="13">
        <f t="shared" si="12"/>
        <v>1.8849596039603873</v>
      </c>
      <c r="D18" s="13">
        <f t="shared" ref="D18:V18" si="13">SUM(D19:D21)</f>
        <v>1.7908298330903623</v>
      </c>
      <c r="E18" s="13">
        <f t="shared" si="13"/>
        <v>1.3284215822387853</v>
      </c>
      <c r="F18" s="13">
        <f t="shared" si="13"/>
        <v>1.4663978430992279</v>
      </c>
      <c r="G18" s="13">
        <f t="shared" si="13"/>
        <v>1.668844693361589</v>
      </c>
      <c r="H18" s="13">
        <f t="shared" si="13"/>
        <v>1.9750034171341611</v>
      </c>
      <c r="I18" s="13">
        <f t="shared" si="13"/>
        <v>1.8611508763803231</v>
      </c>
      <c r="J18" s="13">
        <f t="shared" si="13"/>
        <v>10.090087091317926</v>
      </c>
      <c r="K18" s="13">
        <f t="shared" si="13"/>
        <v>7.3124170422667074</v>
      </c>
      <c r="L18" s="13">
        <f t="shared" si="13"/>
        <v>7.2052309983565284</v>
      </c>
      <c r="M18" s="13">
        <f t="shared" si="13"/>
        <v>7.1299271974495166</v>
      </c>
      <c r="N18" s="13">
        <f t="shared" si="13"/>
        <v>7.5819928296012353</v>
      </c>
      <c r="O18" s="13">
        <f t="shared" si="13"/>
        <v>6.5906583095266065</v>
      </c>
      <c r="P18" s="13">
        <f t="shared" si="13"/>
        <v>7.9635012124378779</v>
      </c>
      <c r="Q18" s="13">
        <f t="shared" si="13"/>
        <v>7.5224896126148941</v>
      </c>
      <c r="R18" s="13">
        <f t="shared" si="13"/>
        <v>6.2844171222854959</v>
      </c>
      <c r="S18" s="13">
        <f t="shared" si="13"/>
        <v>7.1593185224890457</v>
      </c>
      <c r="T18" s="13">
        <f t="shared" si="13"/>
        <v>5.9221161533907223</v>
      </c>
      <c r="U18" s="13">
        <f t="shared" si="13"/>
        <v>6.635598644637712</v>
      </c>
      <c r="V18" s="13">
        <f t="shared" si="13"/>
        <v>6.0251327833064545</v>
      </c>
      <c r="W18" s="13">
        <f t="shared" ref="W18:Y18" si="14">SUM(W19:W21)</f>
        <v>7.9956417317084139</v>
      </c>
      <c r="X18" s="13">
        <f t="shared" si="14"/>
        <v>8.9698898644575671</v>
      </c>
      <c r="Y18" s="13">
        <f t="shared" si="14"/>
        <v>9.7160192808576138</v>
      </c>
      <c r="DA18" s="193" t="s">
        <v>203</v>
      </c>
    </row>
    <row r="19" spans="1:105" ht="11.45" customHeight="1" x14ac:dyDescent="0.25">
      <c r="A19" s="92" t="s">
        <v>27</v>
      </c>
      <c r="B19" s="102">
        <v>3.7345022550293705E-2</v>
      </c>
      <c r="C19" s="102">
        <v>3.959133969617603E-2</v>
      </c>
      <c r="D19" s="102">
        <v>3.5941074334117251E-2</v>
      </c>
      <c r="E19" s="102">
        <v>2.527106789117619E-2</v>
      </c>
      <c r="F19" s="102">
        <v>2.8078964323529101E-2</v>
      </c>
      <c r="G19" s="102">
        <v>3.1763552404438969E-2</v>
      </c>
      <c r="H19" s="102">
        <v>3.3040430556896046E-2</v>
      </c>
      <c r="I19" s="102">
        <v>2.6834456251424933E-2</v>
      </c>
      <c r="J19" s="102">
        <v>4.7303613243305107E-2</v>
      </c>
      <c r="K19" s="102">
        <v>3.4221546796723436E-2</v>
      </c>
      <c r="L19" s="102">
        <v>1.1994148665819567E-2</v>
      </c>
      <c r="M19" s="102">
        <v>6.3340526152321714E-3</v>
      </c>
      <c r="N19" s="102">
        <v>4.8719999999999987E-3</v>
      </c>
      <c r="O19" s="102">
        <v>5.8274661233579522E-3</v>
      </c>
      <c r="P19" s="102">
        <v>6.2854930024096659E-3</v>
      </c>
      <c r="Q19" s="102">
        <v>5.9482365021786849E-3</v>
      </c>
      <c r="R19" s="102">
        <v>1.5089733119056697E-3</v>
      </c>
      <c r="S19" s="102">
        <v>2.6985334426066431E-3</v>
      </c>
      <c r="T19" s="102">
        <v>3.7173750000000002E-3</v>
      </c>
      <c r="U19" s="102">
        <v>3.840000000000001E-3</v>
      </c>
      <c r="V19" s="102">
        <v>5.5199999999999997E-3</v>
      </c>
      <c r="W19" s="102">
        <v>9.6600000000000002E-3</v>
      </c>
      <c r="X19" s="102">
        <v>3.5500666666666666E-2</v>
      </c>
      <c r="Y19" s="102">
        <v>1.5729795918367345E-2</v>
      </c>
      <c r="DA19" s="175" t="s">
        <v>204</v>
      </c>
    </row>
    <row r="20" spans="1:105" ht="11.45" customHeight="1" x14ac:dyDescent="0.25">
      <c r="A20" s="92" t="s">
        <v>181</v>
      </c>
      <c r="B20" s="102">
        <v>1.6860662720743376</v>
      </c>
      <c r="C20" s="102">
        <v>1.7485935252027653</v>
      </c>
      <c r="D20" s="102">
        <v>1.6428337977377285</v>
      </c>
      <c r="E20" s="102">
        <v>1.1809087386910457</v>
      </c>
      <c r="F20" s="102">
        <v>1.3160771031191356</v>
      </c>
      <c r="G20" s="102">
        <v>1.5548999632383171</v>
      </c>
      <c r="H20" s="102">
        <v>1.8970431982826557</v>
      </c>
      <c r="I20" s="102">
        <v>1.7824907167824329</v>
      </c>
      <c r="J20" s="102">
        <v>4.005893338451326</v>
      </c>
      <c r="K20" s="102">
        <v>2.749901987614602</v>
      </c>
      <c r="L20" s="102">
        <v>1.8672074870533446</v>
      </c>
      <c r="M20" s="102">
        <v>1.7664081098249</v>
      </c>
      <c r="N20" s="102">
        <v>1.5553422544033459</v>
      </c>
      <c r="O20" s="102">
        <v>1.2939427669450116</v>
      </c>
      <c r="P20" s="102">
        <v>1.9237800852483871</v>
      </c>
      <c r="Q20" s="102">
        <v>1.8825858598183718</v>
      </c>
      <c r="R20" s="102">
        <v>1.4785949309892181</v>
      </c>
      <c r="S20" s="102">
        <v>1.7592933569002425</v>
      </c>
      <c r="T20" s="102">
        <v>1.7516767962478645</v>
      </c>
      <c r="U20" s="102">
        <v>1.9689922302232972</v>
      </c>
      <c r="V20" s="102">
        <v>2.3907376791397876</v>
      </c>
      <c r="W20" s="102">
        <v>3.119847868354376</v>
      </c>
      <c r="X20" s="102">
        <v>4.0455675203715451</v>
      </c>
      <c r="Y20" s="102">
        <v>3.8867259350552565</v>
      </c>
      <c r="DA20" s="175" t="s">
        <v>205</v>
      </c>
    </row>
    <row r="21" spans="1:105" ht="11.45" customHeight="1" x14ac:dyDescent="0.25">
      <c r="A21" s="85" t="s">
        <v>182</v>
      </c>
      <c r="B21" s="86">
        <v>8.6587924423399035E-2</v>
      </c>
      <c r="C21" s="86">
        <v>9.6774739061445972E-2</v>
      </c>
      <c r="D21" s="86">
        <v>0.11205496101851639</v>
      </c>
      <c r="E21" s="86">
        <v>0.12224177565656333</v>
      </c>
      <c r="F21" s="86">
        <v>0.12224177565656333</v>
      </c>
      <c r="G21" s="86">
        <v>8.218117771883289E-2</v>
      </c>
      <c r="H21" s="86">
        <v>4.4919788294609277E-2</v>
      </c>
      <c r="I21" s="86">
        <v>5.1825703346465399E-2</v>
      </c>
      <c r="J21" s="86">
        <v>6.0368901396232957</v>
      </c>
      <c r="K21" s="86">
        <v>4.5282935078553814</v>
      </c>
      <c r="L21" s="86">
        <v>5.3260293626373638</v>
      </c>
      <c r="M21" s="86">
        <v>5.3571850350093841</v>
      </c>
      <c r="N21" s="86">
        <v>6.0217785751978896</v>
      </c>
      <c r="O21" s="86">
        <v>5.2908880764582369</v>
      </c>
      <c r="P21" s="86">
        <v>6.0334356341870814</v>
      </c>
      <c r="Q21" s="86">
        <v>5.6339555162943435</v>
      </c>
      <c r="R21" s="86">
        <v>4.8043132179843724</v>
      </c>
      <c r="S21" s="86">
        <v>5.3973266321461963</v>
      </c>
      <c r="T21" s="86">
        <v>4.1667219821428576</v>
      </c>
      <c r="U21" s="86">
        <v>4.6627664144144143</v>
      </c>
      <c r="V21" s="86">
        <v>3.6288751041666667</v>
      </c>
      <c r="W21" s="86">
        <v>4.8661338633540376</v>
      </c>
      <c r="X21" s="86">
        <v>4.8888216774193554</v>
      </c>
      <c r="Y21" s="86">
        <v>5.8135635498839902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156124</v>
      </c>
      <c r="C23" s="54">
        <f t="shared" si="15"/>
        <v>158979</v>
      </c>
      <c r="D23" s="54">
        <f t="shared" ref="D23:V23" si="16">SUM(D24,D28)</f>
        <v>150570</v>
      </c>
      <c r="E23" s="54">
        <f t="shared" si="16"/>
        <v>154390</v>
      </c>
      <c r="F23" s="54">
        <f t="shared" si="16"/>
        <v>173923</v>
      </c>
      <c r="G23" s="54">
        <f t="shared" si="16"/>
        <v>171579</v>
      </c>
      <c r="H23" s="54">
        <f t="shared" si="16"/>
        <v>166232</v>
      </c>
      <c r="I23" s="54">
        <f t="shared" si="16"/>
        <v>167020</v>
      </c>
      <c r="J23" s="54">
        <f t="shared" si="16"/>
        <v>178410</v>
      </c>
      <c r="K23" s="54">
        <f t="shared" si="16"/>
        <v>158098</v>
      </c>
      <c r="L23" s="54">
        <f t="shared" si="16"/>
        <v>166146</v>
      </c>
      <c r="M23" s="54">
        <f t="shared" si="16"/>
        <v>171626</v>
      </c>
      <c r="N23" s="54">
        <f t="shared" si="16"/>
        <v>159509</v>
      </c>
      <c r="O23" s="54">
        <f t="shared" si="16"/>
        <v>162281</v>
      </c>
      <c r="P23" s="54">
        <f t="shared" si="16"/>
        <v>165083</v>
      </c>
      <c r="Q23" s="54">
        <f t="shared" si="16"/>
        <v>167400</v>
      </c>
      <c r="R23" s="54">
        <f t="shared" si="16"/>
        <v>172826</v>
      </c>
      <c r="S23" s="54">
        <f t="shared" si="16"/>
        <v>168493</v>
      </c>
      <c r="T23" s="54">
        <f t="shared" si="16"/>
        <v>172287</v>
      </c>
      <c r="U23" s="54">
        <f t="shared" si="16"/>
        <v>170847</v>
      </c>
      <c r="V23" s="54">
        <f t="shared" si="16"/>
        <v>67071</v>
      </c>
      <c r="W23" s="54">
        <f t="shared" ref="W23:Y23" si="17">SUM(W24,W28)</f>
        <v>75582</v>
      </c>
      <c r="X23" s="54">
        <f t="shared" si="17"/>
        <v>134884</v>
      </c>
      <c r="Y23" s="54">
        <f t="shared" si="17"/>
        <v>149009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153738</v>
      </c>
      <c r="C24" s="11">
        <f t="shared" si="18"/>
        <v>156501</v>
      </c>
      <c r="D24" s="11">
        <f t="shared" ref="D24:V24" si="19">SUM(D25:D27)</f>
        <v>148238</v>
      </c>
      <c r="E24" s="11">
        <f t="shared" si="19"/>
        <v>152701</v>
      </c>
      <c r="F24" s="11">
        <f t="shared" si="19"/>
        <v>172050</v>
      </c>
      <c r="G24" s="11">
        <f t="shared" si="19"/>
        <v>169418</v>
      </c>
      <c r="H24" s="11">
        <f t="shared" si="19"/>
        <v>163667</v>
      </c>
      <c r="I24" s="11">
        <f t="shared" si="19"/>
        <v>164628</v>
      </c>
      <c r="J24" s="11">
        <f t="shared" si="19"/>
        <v>171684</v>
      </c>
      <c r="K24" s="11">
        <f t="shared" si="19"/>
        <v>153581</v>
      </c>
      <c r="L24" s="11">
        <f t="shared" si="19"/>
        <v>162794</v>
      </c>
      <c r="M24" s="11">
        <f t="shared" si="19"/>
        <v>168308</v>
      </c>
      <c r="N24" s="11">
        <f t="shared" si="19"/>
        <v>156305</v>
      </c>
      <c r="O24" s="11">
        <f t="shared" si="19"/>
        <v>159414</v>
      </c>
      <c r="P24" s="11">
        <f t="shared" si="19"/>
        <v>160963</v>
      </c>
      <c r="Q24" s="11">
        <f t="shared" si="19"/>
        <v>163179</v>
      </c>
      <c r="R24" s="11">
        <f t="shared" si="19"/>
        <v>169375</v>
      </c>
      <c r="S24" s="11">
        <f t="shared" si="19"/>
        <v>164312</v>
      </c>
      <c r="T24" s="11">
        <f t="shared" si="19"/>
        <v>168097</v>
      </c>
      <c r="U24" s="11">
        <f t="shared" si="19"/>
        <v>166371</v>
      </c>
      <c r="V24" s="11">
        <f t="shared" si="19"/>
        <v>62144</v>
      </c>
      <c r="W24" s="11">
        <f t="shared" ref="W24:Y24" si="20">SUM(W25:W27)</f>
        <v>69158</v>
      </c>
      <c r="X24" s="11">
        <f t="shared" si="20"/>
        <v>128405</v>
      </c>
      <c r="Y24" s="11">
        <f t="shared" si="20"/>
        <v>142879</v>
      </c>
      <c r="DA24" s="189" t="s">
        <v>208</v>
      </c>
    </row>
    <row r="25" spans="1:105" ht="11.45" customHeight="1" x14ac:dyDescent="0.25">
      <c r="A25" s="83" t="s">
        <v>27</v>
      </c>
      <c r="B25" s="84">
        <v>25589</v>
      </c>
      <c r="C25" s="84">
        <v>26184</v>
      </c>
      <c r="D25" s="84">
        <v>26852</v>
      </c>
      <c r="E25" s="84">
        <v>31986</v>
      </c>
      <c r="F25" s="84">
        <v>43275</v>
      </c>
      <c r="G25" s="84">
        <v>42244</v>
      </c>
      <c r="H25" s="84">
        <v>41880</v>
      </c>
      <c r="I25" s="84">
        <v>42098</v>
      </c>
      <c r="J25" s="84">
        <v>43818</v>
      </c>
      <c r="K25" s="84">
        <v>40736</v>
      </c>
      <c r="L25" s="84">
        <v>44859</v>
      </c>
      <c r="M25" s="84">
        <v>45269</v>
      </c>
      <c r="N25" s="84">
        <v>32000</v>
      </c>
      <c r="O25" s="84">
        <v>33581</v>
      </c>
      <c r="P25" s="84">
        <v>35272</v>
      </c>
      <c r="Q25" s="84">
        <v>35027</v>
      </c>
      <c r="R25" s="84">
        <v>35278</v>
      </c>
      <c r="S25" s="84">
        <v>33689</v>
      </c>
      <c r="T25" s="84">
        <v>32459</v>
      </c>
      <c r="U25" s="84">
        <v>31769</v>
      </c>
      <c r="V25" s="84">
        <v>18251</v>
      </c>
      <c r="W25" s="84">
        <v>20264</v>
      </c>
      <c r="X25" s="84">
        <v>25479</v>
      </c>
      <c r="Y25" s="84">
        <v>23708</v>
      </c>
      <c r="DA25" s="171" t="s">
        <v>209</v>
      </c>
    </row>
    <row r="26" spans="1:105" ht="11.45" customHeight="1" x14ac:dyDescent="0.25">
      <c r="A26" s="83" t="s">
        <v>181</v>
      </c>
      <c r="B26" s="84">
        <v>119909</v>
      </c>
      <c r="C26" s="84">
        <v>121937</v>
      </c>
      <c r="D26" s="84">
        <v>114260</v>
      </c>
      <c r="E26" s="84">
        <v>113804</v>
      </c>
      <c r="F26" s="84">
        <v>120497</v>
      </c>
      <c r="G26" s="84">
        <v>118370</v>
      </c>
      <c r="H26" s="84">
        <v>113500</v>
      </c>
      <c r="I26" s="84">
        <v>114019</v>
      </c>
      <c r="J26" s="84">
        <v>118638</v>
      </c>
      <c r="K26" s="84">
        <v>104290</v>
      </c>
      <c r="L26" s="84">
        <v>107896</v>
      </c>
      <c r="M26" s="84">
        <v>111652</v>
      </c>
      <c r="N26" s="84">
        <v>112262</v>
      </c>
      <c r="O26" s="84">
        <v>113993</v>
      </c>
      <c r="P26" s="84">
        <v>113222</v>
      </c>
      <c r="Q26" s="84">
        <v>115518</v>
      </c>
      <c r="R26" s="84">
        <v>121370</v>
      </c>
      <c r="S26" s="84">
        <v>118295</v>
      </c>
      <c r="T26" s="84">
        <v>121168</v>
      </c>
      <c r="U26" s="84">
        <v>119512</v>
      </c>
      <c r="V26" s="84">
        <v>39299</v>
      </c>
      <c r="W26" s="84">
        <v>42581</v>
      </c>
      <c r="X26" s="84">
        <v>89875</v>
      </c>
      <c r="Y26" s="84">
        <v>104462</v>
      </c>
      <c r="DA26" s="171" t="s">
        <v>210</v>
      </c>
    </row>
    <row r="27" spans="1:105" ht="11.45" customHeight="1" x14ac:dyDescent="0.25">
      <c r="A27" s="83" t="s">
        <v>182</v>
      </c>
      <c r="B27" s="84">
        <v>8240</v>
      </c>
      <c r="C27" s="84">
        <v>8380</v>
      </c>
      <c r="D27" s="84">
        <v>7126</v>
      </c>
      <c r="E27" s="84">
        <v>6911</v>
      </c>
      <c r="F27" s="84">
        <v>8278</v>
      </c>
      <c r="G27" s="84">
        <v>8804</v>
      </c>
      <c r="H27" s="84">
        <v>8287</v>
      </c>
      <c r="I27" s="84">
        <v>8511</v>
      </c>
      <c r="J27" s="84">
        <v>9228</v>
      </c>
      <c r="K27" s="84">
        <v>8555</v>
      </c>
      <c r="L27" s="84">
        <v>10039</v>
      </c>
      <c r="M27" s="84">
        <v>11387</v>
      </c>
      <c r="N27" s="84">
        <v>12043</v>
      </c>
      <c r="O27" s="84">
        <v>11840</v>
      </c>
      <c r="P27" s="84">
        <v>12469</v>
      </c>
      <c r="Q27" s="84">
        <v>12634</v>
      </c>
      <c r="R27" s="84">
        <v>12727</v>
      </c>
      <c r="S27" s="84">
        <v>12328</v>
      </c>
      <c r="T27" s="84">
        <v>14470</v>
      </c>
      <c r="U27" s="84">
        <v>15090</v>
      </c>
      <c r="V27" s="84">
        <v>4594</v>
      </c>
      <c r="W27" s="84">
        <v>6313</v>
      </c>
      <c r="X27" s="84">
        <v>13051</v>
      </c>
      <c r="Y27" s="84">
        <v>14709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2386</v>
      </c>
      <c r="C28" s="13">
        <f t="shared" si="21"/>
        <v>2478</v>
      </c>
      <c r="D28" s="13">
        <f t="shared" ref="D28:V28" si="22">SUM(D29:D31)</f>
        <v>2332</v>
      </c>
      <c r="E28" s="13">
        <f t="shared" si="22"/>
        <v>1689</v>
      </c>
      <c r="F28" s="13">
        <f t="shared" si="22"/>
        <v>1873</v>
      </c>
      <c r="G28" s="13">
        <f t="shared" si="22"/>
        <v>2161</v>
      </c>
      <c r="H28" s="13">
        <f t="shared" si="22"/>
        <v>2565</v>
      </c>
      <c r="I28" s="13">
        <f t="shared" si="22"/>
        <v>2392</v>
      </c>
      <c r="J28" s="13">
        <f t="shared" si="22"/>
        <v>6726</v>
      </c>
      <c r="K28" s="13">
        <f t="shared" si="22"/>
        <v>4517</v>
      </c>
      <c r="L28" s="13">
        <f t="shared" si="22"/>
        <v>3352</v>
      </c>
      <c r="M28" s="13">
        <f t="shared" si="22"/>
        <v>3318</v>
      </c>
      <c r="N28" s="13">
        <f t="shared" si="22"/>
        <v>3204</v>
      </c>
      <c r="O28" s="13">
        <f t="shared" si="22"/>
        <v>2867</v>
      </c>
      <c r="P28" s="13">
        <f t="shared" si="22"/>
        <v>4120</v>
      </c>
      <c r="Q28" s="13">
        <f t="shared" si="22"/>
        <v>4221</v>
      </c>
      <c r="R28" s="13">
        <f t="shared" si="22"/>
        <v>3451</v>
      </c>
      <c r="S28" s="13">
        <f t="shared" si="22"/>
        <v>4181</v>
      </c>
      <c r="T28" s="13">
        <f t="shared" si="22"/>
        <v>4190</v>
      </c>
      <c r="U28" s="13">
        <f t="shared" si="22"/>
        <v>4476</v>
      </c>
      <c r="V28" s="13">
        <f t="shared" si="22"/>
        <v>4927</v>
      </c>
      <c r="W28" s="13">
        <f t="shared" ref="W28:Y28" si="23">SUM(W29:W31)</f>
        <v>6424</v>
      </c>
      <c r="X28" s="13">
        <f t="shared" si="23"/>
        <v>6479</v>
      </c>
      <c r="Y28" s="13">
        <f t="shared" si="23"/>
        <v>6130</v>
      </c>
      <c r="DA28" s="193" t="s">
        <v>212</v>
      </c>
    </row>
    <row r="29" spans="1:105" ht="11.45" customHeight="1" x14ac:dyDescent="0.25">
      <c r="A29" s="92" t="s">
        <v>27</v>
      </c>
      <c r="B29" s="102">
        <v>133</v>
      </c>
      <c r="C29" s="102">
        <v>141</v>
      </c>
      <c r="D29" s="102">
        <v>128</v>
      </c>
      <c r="E29" s="102">
        <v>90</v>
      </c>
      <c r="F29" s="102">
        <v>100</v>
      </c>
      <c r="G29" s="102">
        <v>117</v>
      </c>
      <c r="H29" s="102">
        <v>138</v>
      </c>
      <c r="I29" s="102">
        <v>128</v>
      </c>
      <c r="J29" s="102">
        <v>260</v>
      </c>
      <c r="K29" s="102">
        <v>226</v>
      </c>
      <c r="L29" s="102">
        <v>105</v>
      </c>
      <c r="M29" s="102">
        <v>62</v>
      </c>
      <c r="N29" s="102">
        <v>50</v>
      </c>
      <c r="O29" s="102">
        <v>55</v>
      </c>
      <c r="P29" s="102">
        <v>55</v>
      </c>
      <c r="Q29" s="102">
        <v>48</v>
      </c>
      <c r="R29" s="102">
        <v>11</v>
      </c>
      <c r="S29" s="102">
        <v>18</v>
      </c>
      <c r="T29" s="102">
        <v>23</v>
      </c>
      <c r="U29" s="102">
        <v>18</v>
      </c>
      <c r="V29" s="102">
        <v>24</v>
      </c>
      <c r="W29" s="102">
        <v>42</v>
      </c>
      <c r="X29" s="102">
        <v>47</v>
      </c>
      <c r="Y29" s="102">
        <v>72</v>
      </c>
      <c r="DA29" s="175" t="s">
        <v>213</v>
      </c>
    </row>
    <row r="30" spans="1:105" ht="11.45" customHeight="1" x14ac:dyDescent="0.25">
      <c r="A30" s="92" t="s">
        <v>181</v>
      </c>
      <c r="B30" s="102">
        <v>2236</v>
      </c>
      <c r="C30" s="102">
        <v>2318</v>
      </c>
      <c r="D30" s="102">
        <v>2182</v>
      </c>
      <c r="E30" s="102">
        <v>1575</v>
      </c>
      <c r="F30" s="102">
        <v>1749</v>
      </c>
      <c r="G30" s="102">
        <v>2028</v>
      </c>
      <c r="H30" s="102">
        <v>2419</v>
      </c>
      <c r="I30" s="102">
        <v>2255</v>
      </c>
      <c r="J30" s="102">
        <v>5427</v>
      </c>
      <c r="K30" s="102">
        <v>3558</v>
      </c>
      <c r="L30" s="102">
        <v>2405</v>
      </c>
      <c r="M30" s="102">
        <v>2400</v>
      </c>
      <c r="N30" s="102">
        <v>2194</v>
      </c>
      <c r="O30" s="102">
        <v>1894</v>
      </c>
      <c r="P30" s="102">
        <v>2928</v>
      </c>
      <c r="Q30" s="102">
        <v>3000</v>
      </c>
      <c r="R30" s="102">
        <v>2342</v>
      </c>
      <c r="S30" s="102">
        <v>2758</v>
      </c>
      <c r="T30" s="102">
        <v>2796</v>
      </c>
      <c r="U30" s="102">
        <v>3094</v>
      </c>
      <c r="V30" s="102">
        <v>3804</v>
      </c>
      <c r="W30" s="102">
        <v>4654</v>
      </c>
      <c r="X30" s="102">
        <v>5060</v>
      </c>
      <c r="Y30" s="102">
        <v>4752</v>
      </c>
      <c r="DA30" s="175" t="s">
        <v>214</v>
      </c>
    </row>
    <row r="31" spans="1:105" ht="11.45" customHeight="1" x14ac:dyDescent="0.25">
      <c r="A31" s="85" t="s">
        <v>182</v>
      </c>
      <c r="B31" s="86">
        <v>17</v>
      </c>
      <c r="C31" s="86">
        <v>19</v>
      </c>
      <c r="D31" s="86">
        <v>22</v>
      </c>
      <c r="E31" s="86">
        <v>24</v>
      </c>
      <c r="F31" s="86">
        <v>24</v>
      </c>
      <c r="G31" s="86">
        <v>16</v>
      </c>
      <c r="H31" s="86">
        <v>8</v>
      </c>
      <c r="I31" s="86">
        <v>9</v>
      </c>
      <c r="J31" s="86">
        <v>1039</v>
      </c>
      <c r="K31" s="86">
        <v>733</v>
      </c>
      <c r="L31" s="86">
        <v>842</v>
      </c>
      <c r="M31" s="86">
        <v>856</v>
      </c>
      <c r="N31" s="86">
        <v>960</v>
      </c>
      <c r="O31" s="86">
        <v>918</v>
      </c>
      <c r="P31" s="86">
        <v>1137</v>
      </c>
      <c r="Q31" s="86">
        <v>1173</v>
      </c>
      <c r="R31" s="86">
        <v>1098</v>
      </c>
      <c r="S31" s="86">
        <v>1405</v>
      </c>
      <c r="T31" s="86">
        <v>1371</v>
      </c>
      <c r="U31" s="86">
        <v>1364</v>
      </c>
      <c r="V31" s="86">
        <v>1099</v>
      </c>
      <c r="W31" s="86">
        <v>1728</v>
      </c>
      <c r="X31" s="86">
        <v>1372</v>
      </c>
      <c r="Y31" s="86">
        <v>1306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10032376</v>
      </c>
      <c r="C34" s="11">
        <f t="shared" si="24"/>
        <v>10340068</v>
      </c>
      <c r="D34" s="11">
        <f t="shared" ref="D34:V34" si="25">SUM(D35:D37)</f>
        <v>10303186</v>
      </c>
      <c r="E34" s="11">
        <f t="shared" si="25"/>
        <v>10278595</v>
      </c>
      <c r="F34" s="11">
        <f t="shared" si="25"/>
        <v>11355501</v>
      </c>
      <c r="G34" s="11">
        <f t="shared" si="25"/>
        <v>11942433</v>
      </c>
      <c r="H34" s="11">
        <f t="shared" si="25"/>
        <v>12416930</v>
      </c>
      <c r="I34" s="11">
        <f t="shared" si="25"/>
        <v>13004877</v>
      </c>
      <c r="J34" s="11">
        <f t="shared" si="25"/>
        <v>13105057</v>
      </c>
      <c r="K34" s="11">
        <f t="shared" si="25"/>
        <v>12065290</v>
      </c>
      <c r="L34" s="11">
        <f t="shared" si="25"/>
        <v>13325884</v>
      </c>
      <c r="M34" s="11">
        <f t="shared" si="25"/>
        <v>14033806</v>
      </c>
      <c r="N34" s="11">
        <f t="shared" si="25"/>
        <v>14147058</v>
      </c>
      <c r="O34" s="11">
        <f t="shared" si="25"/>
        <v>14603602</v>
      </c>
      <c r="P34" s="11">
        <f t="shared" si="25"/>
        <v>15481418</v>
      </c>
      <c r="Q34" s="11">
        <f t="shared" si="25"/>
        <v>15986099</v>
      </c>
      <c r="R34" s="11">
        <f t="shared" si="25"/>
        <v>17271301</v>
      </c>
      <c r="S34" s="11">
        <f t="shared" si="25"/>
        <v>17452113</v>
      </c>
      <c r="T34" s="11">
        <f t="shared" si="25"/>
        <v>18147600</v>
      </c>
      <c r="U34" s="11">
        <f t="shared" si="25"/>
        <v>18155594</v>
      </c>
      <c r="V34" s="11">
        <f t="shared" si="25"/>
        <v>4581514</v>
      </c>
      <c r="W34" s="11">
        <f t="shared" ref="W34:Y34" si="26">SUM(W35:W37)</f>
        <v>5881658</v>
      </c>
      <c r="X34" s="11">
        <f t="shared" si="26"/>
        <v>13951902</v>
      </c>
      <c r="Y34" s="11">
        <f t="shared" si="26"/>
        <v>16454820</v>
      </c>
      <c r="DA34" s="189" t="s">
        <v>216</v>
      </c>
    </row>
    <row r="35" spans="1:105" ht="11.45" customHeight="1" x14ac:dyDescent="0.25">
      <c r="A35" s="83" t="s">
        <v>27</v>
      </c>
      <c r="B35" s="84">
        <v>1198254</v>
      </c>
      <c r="C35" s="84">
        <v>1231378</v>
      </c>
      <c r="D35" s="84">
        <v>1112832</v>
      </c>
      <c r="E35" s="84">
        <v>1210000</v>
      </c>
      <c r="F35" s="84">
        <v>1521271</v>
      </c>
      <c r="G35" s="84">
        <v>1591865</v>
      </c>
      <c r="H35" s="84">
        <v>1716427</v>
      </c>
      <c r="I35" s="84">
        <v>1868343</v>
      </c>
      <c r="J35" s="84">
        <v>1868095</v>
      </c>
      <c r="K35" s="84">
        <v>1867029</v>
      </c>
      <c r="L35" s="84">
        <v>2298279</v>
      </c>
      <c r="M35" s="84">
        <v>2258511</v>
      </c>
      <c r="N35" s="84">
        <v>1788809</v>
      </c>
      <c r="O35" s="84">
        <v>1777520</v>
      </c>
      <c r="P35" s="84">
        <v>1847487</v>
      </c>
      <c r="Q35" s="84">
        <v>1797761</v>
      </c>
      <c r="R35" s="84">
        <v>1869847</v>
      </c>
      <c r="S35" s="84">
        <v>1785953</v>
      </c>
      <c r="T35" s="84">
        <v>1765424</v>
      </c>
      <c r="U35" s="84">
        <v>1684878</v>
      </c>
      <c r="V35" s="84">
        <v>716176</v>
      </c>
      <c r="W35" s="84">
        <v>977562</v>
      </c>
      <c r="X35" s="84">
        <v>1410168</v>
      </c>
      <c r="Y35" s="84">
        <v>1370579</v>
      </c>
      <c r="DA35" s="171" t="s">
        <v>217</v>
      </c>
    </row>
    <row r="36" spans="1:105" ht="11.45" customHeight="1" x14ac:dyDescent="0.25">
      <c r="A36" s="83" t="s">
        <v>181</v>
      </c>
      <c r="B36" s="84">
        <v>7715932</v>
      </c>
      <c r="C36" s="84">
        <v>7958373</v>
      </c>
      <c r="D36" s="84">
        <v>8022250</v>
      </c>
      <c r="E36" s="84">
        <v>7934329</v>
      </c>
      <c r="F36" s="84">
        <v>8492977</v>
      </c>
      <c r="G36" s="84">
        <v>8868707</v>
      </c>
      <c r="H36" s="84">
        <v>9291462</v>
      </c>
      <c r="I36" s="84">
        <v>9708222</v>
      </c>
      <c r="J36" s="84">
        <v>9737976</v>
      </c>
      <c r="K36" s="84">
        <v>8803532</v>
      </c>
      <c r="L36" s="84">
        <v>9401761</v>
      </c>
      <c r="M36" s="84">
        <v>10057004</v>
      </c>
      <c r="N36" s="84">
        <v>10450169</v>
      </c>
      <c r="O36" s="84">
        <v>10846001</v>
      </c>
      <c r="P36" s="84">
        <v>11482783</v>
      </c>
      <c r="Q36" s="84">
        <v>12007513</v>
      </c>
      <c r="R36" s="84">
        <v>13177766</v>
      </c>
      <c r="S36" s="84">
        <v>13398088</v>
      </c>
      <c r="T36" s="84">
        <v>13763864</v>
      </c>
      <c r="U36" s="84">
        <v>13750623</v>
      </c>
      <c r="V36" s="84">
        <v>3273603</v>
      </c>
      <c r="W36" s="84">
        <v>4252012</v>
      </c>
      <c r="X36" s="84">
        <v>10601693</v>
      </c>
      <c r="Y36" s="84">
        <v>12759341</v>
      </c>
      <c r="DA36" s="171" t="s">
        <v>218</v>
      </c>
    </row>
    <row r="37" spans="1:105" ht="11.45" customHeight="1" x14ac:dyDescent="0.25">
      <c r="A37" s="83" t="s">
        <v>182</v>
      </c>
      <c r="B37" s="84">
        <v>1118190</v>
      </c>
      <c r="C37" s="84">
        <v>1150317</v>
      </c>
      <c r="D37" s="84">
        <v>1168104</v>
      </c>
      <c r="E37" s="84">
        <v>1134266</v>
      </c>
      <c r="F37" s="84">
        <v>1341253</v>
      </c>
      <c r="G37" s="84">
        <v>1481861</v>
      </c>
      <c r="H37" s="84">
        <v>1409041</v>
      </c>
      <c r="I37" s="84">
        <v>1428312</v>
      </c>
      <c r="J37" s="84">
        <v>1498986</v>
      </c>
      <c r="K37" s="84">
        <v>1394729</v>
      </c>
      <c r="L37" s="84">
        <v>1625844</v>
      </c>
      <c r="M37" s="84">
        <v>1718291</v>
      </c>
      <c r="N37" s="84">
        <v>1908080</v>
      </c>
      <c r="O37" s="84">
        <v>1980081</v>
      </c>
      <c r="P37" s="84">
        <v>2151148</v>
      </c>
      <c r="Q37" s="84">
        <v>2180825</v>
      </c>
      <c r="R37" s="84">
        <v>2223688</v>
      </c>
      <c r="S37" s="84">
        <v>2268072</v>
      </c>
      <c r="T37" s="84">
        <v>2618312</v>
      </c>
      <c r="U37" s="84">
        <v>2720093</v>
      </c>
      <c r="V37" s="84">
        <v>591735</v>
      </c>
      <c r="W37" s="84">
        <v>652084</v>
      </c>
      <c r="X37" s="84">
        <v>1940041</v>
      </c>
      <c r="Y37" s="84">
        <v>2324900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38370.666497027145</v>
      </c>
      <c r="C38" s="13">
        <f t="shared" si="27"/>
        <v>40319.56398857334</v>
      </c>
      <c r="D38" s="13">
        <f t="shared" ref="D38:V38" si="28">SUM(D39:D41)</f>
        <v>38181.87742143948</v>
      </c>
      <c r="E38" s="13">
        <f t="shared" si="28"/>
        <v>29272.820723320136</v>
      </c>
      <c r="F38" s="13">
        <f t="shared" si="28"/>
        <v>30277.302157476839</v>
      </c>
      <c r="G38" s="13">
        <f t="shared" si="28"/>
        <v>32711.157001465279</v>
      </c>
      <c r="H38" s="13">
        <f t="shared" si="28"/>
        <v>35601.399775531587</v>
      </c>
      <c r="I38" s="13">
        <f t="shared" si="28"/>
        <v>32725.891361669197</v>
      </c>
      <c r="J38" s="13">
        <f t="shared" si="28"/>
        <v>123450.96824781659</v>
      </c>
      <c r="K38" s="13">
        <f t="shared" si="28"/>
        <v>87424.56354335128</v>
      </c>
      <c r="L38" s="13">
        <f t="shared" si="28"/>
        <v>80159.628699113338</v>
      </c>
      <c r="M38" s="13">
        <f t="shared" si="28"/>
        <v>85237.945441263961</v>
      </c>
      <c r="N38" s="13">
        <f t="shared" si="28"/>
        <v>93848.530084038881</v>
      </c>
      <c r="O38" s="13">
        <f t="shared" si="28"/>
        <v>87140.95024731406</v>
      </c>
      <c r="P38" s="13">
        <f t="shared" si="28"/>
        <v>130294.64629099891</v>
      </c>
      <c r="Q38" s="13">
        <f t="shared" si="28"/>
        <v>133796.52943474613</v>
      </c>
      <c r="R38" s="13">
        <f t="shared" si="28"/>
        <v>129633.36457049905</v>
      </c>
      <c r="S38" s="13">
        <f t="shared" si="28"/>
        <v>156718.82073396229</v>
      </c>
      <c r="T38" s="13">
        <f t="shared" si="28"/>
        <v>154978.65587803972</v>
      </c>
      <c r="U38" s="13">
        <f t="shared" si="28"/>
        <v>164091.97902501083</v>
      </c>
      <c r="V38" s="13">
        <f t="shared" si="28"/>
        <v>122984.5889896763</v>
      </c>
      <c r="W38" s="13">
        <f t="shared" ref="W38:Y38" si="29">SUM(W39:W41)</f>
        <v>175911.29392773635</v>
      </c>
      <c r="X38" s="13">
        <f t="shared" si="29"/>
        <v>174234.54319609766</v>
      </c>
      <c r="Y38" s="13">
        <f t="shared" si="29"/>
        <v>168824.67143682297</v>
      </c>
      <c r="DA38" s="193" t="s">
        <v>220</v>
      </c>
    </row>
    <row r="39" spans="1:105" ht="11.45" customHeight="1" x14ac:dyDescent="0.25">
      <c r="A39" s="92" t="s">
        <v>27</v>
      </c>
      <c r="B39" s="102">
        <v>1333.0968466686779</v>
      </c>
      <c r="C39" s="102">
        <v>1402.5050635839627</v>
      </c>
      <c r="D39" s="102">
        <v>1309.2632095188137</v>
      </c>
      <c r="E39" s="102">
        <v>979.20993612173015</v>
      </c>
      <c r="F39" s="102">
        <v>1024.5291210092234</v>
      </c>
      <c r="G39" s="102">
        <v>1173.0872275361021</v>
      </c>
      <c r="H39" s="102">
        <v>1330.9127835061049</v>
      </c>
      <c r="I39" s="102">
        <v>1229.8862784100133</v>
      </c>
      <c r="J39" s="102">
        <v>2403.50609204803</v>
      </c>
      <c r="K39" s="102">
        <v>2107.2465624605052</v>
      </c>
      <c r="L39" s="102">
        <v>1047.1327912038985</v>
      </c>
      <c r="M39" s="102">
        <v>675.51710759044704</v>
      </c>
      <c r="N39" s="102">
        <v>559.566556477463</v>
      </c>
      <c r="O39" s="102">
        <v>630.99336066675994</v>
      </c>
      <c r="P39" s="102">
        <v>707.69033773718695</v>
      </c>
      <c r="Q39" s="102">
        <v>635.53433379219473</v>
      </c>
      <c r="R39" s="102">
        <v>167.87347724595705</v>
      </c>
      <c r="S39" s="102">
        <v>252.67333109053448</v>
      </c>
      <c r="T39" s="102">
        <v>328.61872597870695</v>
      </c>
      <c r="U39" s="102">
        <v>284.46135810927518</v>
      </c>
      <c r="V39" s="102">
        <v>349.57319001459382</v>
      </c>
      <c r="W39" s="102">
        <v>618.82327185387601</v>
      </c>
      <c r="X39" s="102">
        <v>700.44728521110778</v>
      </c>
      <c r="Y39" s="102">
        <v>1064.9767483959183</v>
      </c>
      <c r="DA39" s="175" t="s">
        <v>221</v>
      </c>
    </row>
    <row r="40" spans="1:105" ht="11.45" customHeight="1" x14ac:dyDescent="0.25">
      <c r="A40" s="92" t="s">
        <v>181</v>
      </c>
      <c r="B40" s="102">
        <v>36151.218163505</v>
      </c>
      <c r="C40" s="102">
        <v>37893.578666608482</v>
      </c>
      <c r="D40" s="102">
        <v>35708.744066336592</v>
      </c>
      <c r="E40" s="102">
        <v>27124.172266761205</v>
      </c>
      <c r="F40" s="102">
        <v>28099.341698831813</v>
      </c>
      <c r="G40" s="102">
        <v>30830.621113119876</v>
      </c>
      <c r="H40" s="102">
        <v>33909.173930441852</v>
      </c>
      <c r="I40" s="102">
        <v>31089.332684001438</v>
      </c>
      <c r="J40" s="102">
        <v>74382.730721439439</v>
      </c>
      <c r="K40" s="102">
        <v>48740.665756811548</v>
      </c>
      <c r="L40" s="102">
        <v>34883.982524775565</v>
      </c>
      <c r="M40" s="102">
        <v>37425.578344722053</v>
      </c>
      <c r="N40" s="102">
        <v>36570.189743670635</v>
      </c>
      <c r="O40" s="102">
        <v>31737.770472086439</v>
      </c>
      <c r="P40" s="102">
        <v>54019.880323129677</v>
      </c>
      <c r="Q40" s="102">
        <v>55432.819675480772</v>
      </c>
      <c r="R40" s="102">
        <v>48825.82724187999</v>
      </c>
      <c r="S40" s="102">
        <v>53443.214460442294</v>
      </c>
      <c r="T40" s="102">
        <v>53754.389504878221</v>
      </c>
      <c r="U40" s="102">
        <v>60959.840122953276</v>
      </c>
      <c r="V40" s="102">
        <v>67104.485259515146</v>
      </c>
      <c r="W40" s="102">
        <v>82694.113845956439</v>
      </c>
      <c r="X40" s="102">
        <v>90525.799098513584</v>
      </c>
      <c r="Y40" s="102">
        <v>85393.616980364503</v>
      </c>
      <c r="DA40" s="175" t="s">
        <v>222</v>
      </c>
    </row>
    <row r="41" spans="1:105" ht="11.45" customHeight="1" x14ac:dyDescent="0.25">
      <c r="A41" s="85" t="s">
        <v>182</v>
      </c>
      <c r="B41" s="86">
        <v>886.35148685346815</v>
      </c>
      <c r="C41" s="86">
        <v>1023.4802583808912</v>
      </c>
      <c r="D41" s="86">
        <v>1163.8701455840701</v>
      </c>
      <c r="E41" s="86">
        <v>1169.438520437202</v>
      </c>
      <c r="F41" s="86">
        <v>1153.4313376358048</v>
      </c>
      <c r="G41" s="86">
        <v>707.44866080930001</v>
      </c>
      <c r="H41" s="86">
        <v>361.31306158362997</v>
      </c>
      <c r="I41" s="86">
        <v>406.67239925774805</v>
      </c>
      <c r="J41" s="86">
        <v>46664.731434329122</v>
      </c>
      <c r="K41" s="86">
        <v>36576.651224079229</v>
      </c>
      <c r="L41" s="86">
        <v>44228.513383133875</v>
      </c>
      <c r="M41" s="86">
        <v>47136.849988951471</v>
      </c>
      <c r="N41" s="86">
        <v>56718.773783890785</v>
      </c>
      <c r="O41" s="86">
        <v>54772.186414560856</v>
      </c>
      <c r="P41" s="86">
        <v>75567.075630132036</v>
      </c>
      <c r="Q41" s="86">
        <v>77728.175425473179</v>
      </c>
      <c r="R41" s="86">
        <v>80639.663851373101</v>
      </c>
      <c r="S41" s="86">
        <v>103022.93294242947</v>
      </c>
      <c r="T41" s="86">
        <v>100895.64764718281</v>
      </c>
      <c r="U41" s="86">
        <v>102847.67754394829</v>
      </c>
      <c r="V41" s="86">
        <v>55530.530540146567</v>
      </c>
      <c r="W41" s="86">
        <v>92598.356809926016</v>
      </c>
      <c r="X41" s="86">
        <v>83008.296812372952</v>
      </c>
      <c r="Y41" s="86">
        <v>82366.077708062541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116.25842021796331</v>
      </c>
      <c r="C43" s="54">
        <f t="shared" si="30"/>
        <v>118.33534493145706</v>
      </c>
      <c r="D43" s="54">
        <f t="shared" ref="D43:V43" si="31">SUM(D44,D48)</f>
        <v>111.23569044955534</v>
      </c>
      <c r="E43" s="54">
        <f t="shared" si="31"/>
        <v>110.65961326012697</v>
      </c>
      <c r="F43" s="54">
        <f t="shared" si="31"/>
        <v>122.90915649820373</v>
      </c>
      <c r="G43" s="54">
        <f t="shared" si="31"/>
        <v>123.03843807549676</v>
      </c>
      <c r="H43" s="54">
        <f t="shared" si="31"/>
        <v>119.95976002744796</v>
      </c>
      <c r="I43" s="54">
        <f t="shared" si="31"/>
        <v>120.21591449242884</v>
      </c>
      <c r="J43" s="54">
        <f t="shared" si="31"/>
        <v>130.33279349977798</v>
      </c>
      <c r="K43" s="54">
        <f t="shared" si="31"/>
        <v>120.75509913007984</v>
      </c>
      <c r="L43" s="54">
        <f t="shared" si="31"/>
        <v>126.97711803143714</v>
      </c>
      <c r="M43" s="54">
        <f t="shared" si="31"/>
        <v>130.12390663747996</v>
      </c>
      <c r="N43" s="54">
        <f t="shared" si="31"/>
        <v>130.11922187352093</v>
      </c>
      <c r="O43" s="54">
        <f t="shared" si="31"/>
        <v>130.74647370079742</v>
      </c>
      <c r="P43" s="54">
        <f t="shared" si="31"/>
        <v>131.21120189799441</v>
      </c>
      <c r="Q43" s="54">
        <f t="shared" si="31"/>
        <v>132.36135460563085</v>
      </c>
      <c r="R43" s="54">
        <f t="shared" si="31"/>
        <v>138.95767194584519</v>
      </c>
      <c r="S43" s="54">
        <f t="shared" si="31"/>
        <v>136.80800517781168</v>
      </c>
      <c r="T43" s="54">
        <f t="shared" si="31"/>
        <v>142.82680657383094</v>
      </c>
      <c r="U43" s="54">
        <f t="shared" si="31"/>
        <v>142.06071133665449</v>
      </c>
      <c r="V43" s="54">
        <f t="shared" si="31"/>
        <v>136.78332199537905</v>
      </c>
      <c r="W43" s="54">
        <f t="shared" ref="W43:Y43" si="32">SUM(W44,W48)</f>
        <v>131.69633293345618</v>
      </c>
      <c r="X43" s="54">
        <f t="shared" si="32"/>
        <v>126.56289820937747</v>
      </c>
      <c r="Y43" s="54">
        <f t="shared" si="32"/>
        <v>132.71583649068148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114.22027779106833</v>
      </c>
      <c r="C44" s="11">
        <f t="shared" si="33"/>
        <v>116.21613891824524</v>
      </c>
      <c r="D44" s="11">
        <f t="shared" ref="D44:V44" si="34">SUM(D45:D47)</f>
        <v>109.23337302990292</v>
      </c>
      <c r="E44" s="11">
        <f t="shared" si="34"/>
        <v>108.85041312587111</v>
      </c>
      <c r="F44" s="11">
        <f t="shared" si="34"/>
        <v>121.28702518364631</v>
      </c>
      <c r="G44" s="11">
        <f t="shared" si="34"/>
        <v>121.12972774621835</v>
      </c>
      <c r="H44" s="11">
        <f t="shared" si="34"/>
        <v>117.66656175904848</v>
      </c>
      <c r="I44" s="11">
        <f t="shared" si="34"/>
        <v>118.07213479149956</v>
      </c>
      <c r="J44" s="11">
        <f t="shared" si="34"/>
        <v>122.28906099198484</v>
      </c>
      <c r="K44" s="11">
        <f t="shared" si="34"/>
        <v>112.91518086497621</v>
      </c>
      <c r="L44" s="11">
        <f t="shared" si="34"/>
        <v>119.341014009023</v>
      </c>
      <c r="M44" s="11">
        <f t="shared" si="34"/>
        <v>122.69161685775532</v>
      </c>
      <c r="N44" s="11">
        <f t="shared" si="34"/>
        <v>122.89074633648578</v>
      </c>
      <c r="O44" s="11">
        <f t="shared" si="34"/>
        <v>123.72181240645179</v>
      </c>
      <c r="P44" s="11">
        <f t="shared" si="34"/>
        <v>124.29563585827565</v>
      </c>
      <c r="Q44" s="11">
        <f t="shared" si="34"/>
        <v>125.6496028086016</v>
      </c>
      <c r="R44" s="11">
        <f t="shared" si="34"/>
        <v>132.44973439150542</v>
      </c>
      <c r="S44" s="11">
        <f t="shared" si="34"/>
        <v>130.50388186616141</v>
      </c>
      <c r="T44" s="11">
        <f t="shared" si="34"/>
        <v>136.60487951209325</v>
      </c>
      <c r="U44" s="11">
        <f t="shared" si="34"/>
        <v>135.76203908123858</v>
      </c>
      <c r="V44" s="11">
        <f t="shared" si="34"/>
        <v>130.05102519168514</v>
      </c>
      <c r="W44" s="11">
        <f t="shared" ref="W44:Y44" si="35">SUM(W45:W47)</f>
        <v>124.34001130213171</v>
      </c>
      <c r="X44" s="11">
        <f t="shared" si="35"/>
        <v>118.72603392019215</v>
      </c>
      <c r="Y44" s="11">
        <f t="shared" si="35"/>
        <v>124.94470784563798</v>
      </c>
      <c r="DA44" s="189" t="s">
        <v>225</v>
      </c>
    </row>
    <row r="45" spans="1:105" ht="11.45" customHeight="1" x14ac:dyDescent="0.25">
      <c r="A45" s="83" t="s">
        <v>27</v>
      </c>
      <c r="B45" s="84">
        <v>9.8646877409406315</v>
      </c>
      <c r="C45" s="84">
        <v>10.094063222821896</v>
      </c>
      <c r="D45" s="84">
        <v>10.351580570547418</v>
      </c>
      <c r="E45" s="84">
        <v>12.330763299922898</v>
      </c>
      <c r="F45" s="84">
        <v>16.68272937548188</v>
      </c>
      <c r="G45" s="84">
        <v>16.148318042813457</v>
      </c>
      <c r="H45" s="84">
        <v>16.033690658499236</v>
      </c>
      <c r="I45" s="84">
        <v>16.172877449097196</v>
      </c>
      <c r="J45" s="84">
        <v>16.924681344148318</v>
      </c>
      <c r="K45" s="84">
        <v>15.938212570054255</v>
      </c>
      <c r="L45" s="84">
        <v>17.32007722007722</v>
      </c>
      <c r="M45" s="84">
        <v>17.278244274809161</v>
      </c>
      <c r="N45" s="84">
        <v>16.291775500715097</v>
      </c>
      <c r="O45" s="84">
        <v>15.305306726621033</v>
      </c>
      <c r="P45" s="84">
        <v>14.31883795252697</v>
      </c>
      <c r="Q45" s="84">
        <v>13.332369178432906</v>
      </c>
      <c r="R45" s="84">
        <v>13.434120335110434</v>
      </c>
      <c r="S45" s="84">
        <v>12.868220015278839</v>
      </c>
      <c r="T45" s="84">
        <v>12.426875957120981</v>
      </c>
      <c r="U45" s="84">
        <v>12.153404743687835</v>
      </c>
      <c r="V45" s="84">
        <v>11.660170356640803</v>
      </c>
      <c r="W45" s="84">
        <v>11.166935969593771</v>
      </c>
      <c r="X45" s="84">
        <v>10.673701582546739</v>
      </c>
      <c r="Y45" s="84">
        <v>10.180467195499707</v>
      </c>
      <c r="DA45" s="171" t="s">
        <v>226</v>
      </c>
    </row>
    <row r="46" spans="1:105" ht="11.45" customHeight="1" x14ac:dyDescent="0.25">
      <c r="A46" s="83" t="s">
        <v>181</v>
      </c>
      <c r="B46" s="84">
        <v>84.159511618755161</v>
      </c>
      <c r="C46" s="84">
        <v>85.582860009148817</v>
      </c>
      <c r="D46" s="84">
        <v>80.362184616218258</v>
      </c>
      <c r="E46" s="84">
        <v>79.580924335752144</v>
      </c>
      <c r="F46" s="84">
        <v>84.315080121889906</v>
      </c>
      <c r="G46" s="84">
        <v>83.1893304954841</v>
      </c>
      <c r="H46" s="84">
        <v>80.438497699014718</v>
      </c>
      <c r="I46" s="84">
        <v>80.674818439659219</v>
      </c>
      <c r="J46" s="84">
        <v>83.340513299387823</v>
      </c>
      <c r="K46" s="84">
        <v>76.262682580636238</v>
      </c>
      <c r="L46" s="84">
        <v>78.344049996492942</v>
      </c>
      <c r="M46" s="84">
        <v>79.176045394006067</v>
      </c>
      <c r="N46" s="84">
        <v>79.040618433024676</v>
      </c>
      <c r="O46" s="84">
        <v>80.881621958900539</v>
      </c>
      <c r="P46" s="84">
        <v>80.146654365078817</v>
      </c>
      <c r="Q46" s="84">
        <v>81.577574262772089</v>
      </c>
      <c r="R46" s="84">
        <v>87.118370948625554</v>
      </c>
      <c r="S46" s="84">
        <v>86.346321749359731</v>
      </c>
      <c r="T46" s="84">
        <v>88.885320628143006</v>
      </c>
      <c r="U46" s="84">
        <v>86.893305870397455</v>
      </c>
      <c r="V46" s="84">
        <v>82.685330289459671</v>
      </c>
      <c r="W46" s="84">
        <v>78.477354708521915</v>
      </c>
      <c r="X46" s="84">
        <v>74.366415635197995</v>
      </c>
      <c r="Y46" s="84">
        <v>78.44572213161976</v>
      </c>
      <c r="DA46" s="171" t="s">
        <v>227</v>
      </c>
    </row>
    <row r="47" spans="1:105" ht="11.45" customHeight="1" x14ac:dyDescent="0.25">
      <c r="A47" s="83" t="s">
        <v>182</v>
      </c>
      <c r="B47" s="84">
        <v>20.196078431372548</v>
      </c>
      <c r="C47" s="84">
        <v>20.53921568627451</v>
      </c>
      <c r="D47" s="84">
        <v>18.519607843137255</v>
      </c>
      <c r="E47" s="84">
        <v>16.938725490196077</v>
      </c>
      <c r="F47" s="84">
        <v>20.28921568627451</v>
      </c>
      <c r="G47" s="84">
        <v>21.792079207920793</v>
      </c>
      <c r="H47" s="84">
        <v>21.194373401534527</v>
      </c>
      <c r="I47" s="84">
        <v>21.224438902743142</v>
      </c>
      <c r="J47" s="84">
        <v>22.023866348448689</v>
      </c>
      <c r="K47" s="84">
        <v>20.714285714285715</v>
      </c>
      <c r="L47" s="84">
        <v>23.67688679245283</v>
      </c>
      <c r="M47" s="84">
        <v>26.237327188940093</v>
      </c>
      <c r="N47" s="84">
        <v>27.558352402745996</v>
      </c>
      <c r="O47" s="84">
        <v>27.534883720930232</v>
      </c>
      <c r="P47" s="84">
        <v>29.830143540669855</v>
      </c>
      <c r="Q47" s="84">
        <v>30.739659367396595</v>
      </c>
      <c r="R47" s="84">
        <v>31.897243107769423</v>
      </c>
      <c r="S47" s="84">
        <v>31.289340101522843</v>
      </c>
      <c r="T47" s="84">
        <v>35.292682926829265</v>
      </c>
      <c r="U47" s="84">
        <v>36.715328467153284</v>
      </c>
      <c r="V47" s="84">
        <v>35.705524545584659</v>
      </c>
      <c r="W47" s="84">
        <v>34.695720624016033</v>
      </c>
      <c r="X47" s="84">
        <v>33.685916702447408</v>
      </c>
      <c r="Y47" s="84">
        <v>36.318518518518516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2.0381424268949724</v>
      </c>
      <c r="C48" s="13">
        <f t="shared" si="36"/>
        <v>2.1192060132118242</v>
      </c>
      <c r="D48" s="13">
        <f t="shared" ref="D48:V48" si="37">SUM(D49:D51)</f>
        <v>2.0023174196524174</v>
      </c>
      <c r="E48" s="13">
        <f t="shared" si="37"/>
        <v>1.8092001342558659</v>
      </c>
      <c r="F48" s="13">
        <f t="shared" si="37"/>
        <v>1.6221313145574232</v>
      </c>
      <c r="G48" s="13">
        <f t="shared" si="37"/>
        <v>1.9087103292784016</v>
      </c>
      <c r="H48" s="13">
        <f t="shared" si="37"/>
        <v>2.2931982683994727</v>
      </c>
      <c r="I48" s="13">
        <f t="shared" si="37"/>
        <v>2.1437797009292692</v>
      </c>
      <c r="J48" s="13">
        <f t="shared" si="37"/>
        <v>8.0437325077931341</v>
      </c>
      <c r="K48" s="13">
        <f t="shared" si="37"/>
        <v>7.8399182651036377</v>
      </c>
      <c r="L48" s="13">
        <f t="shared" si="37"/>
        <v>7.6361040224141394</v>
      </c>
      <c r="M48" s="13">
        <f t="shared" si="37"/>
        <v>7.4322897797246412</v>
      </c>
      <c r="N48" s="13">
        <f t="shared" si="37"/>
        <v>7.2284755370351439</v>
      </c>
      <c r="O48" s="13">
        <f t="shared" si="37"/>
        <v>7.0246612943456466</v>
      </c>
      <c r="P48" s="13">
        <f t="shared" si="37"/>
        <v>6.9155660397187582</v>
      </c>
      <c r="Q48" s="13">
        <f t="shared" si="37"/>
        <v>6.7117517970292599</v>
      </c>
      <c r="R48" s="13">
        <f t="shared" si="37"/>
        <v>6.5079375543397635</v>
      </c>
      <c r="S48" s="13">
        <f t="shared" si="37"/>
        <v>6.3041233116502653</v>
      </c>
      <c r="T48" s="13">
        <f t="shared" si="37"/>
        <v>6.2219270617376736</v>
      </c>
      <c r="U48" s="13">
        <f t="shared" si="37"/>
        <v>6.2986722554159194</v>
      </c>
      <c r="V48" s="13">
        <f t="shared" si="37"/>
        <v>6.7322968036939157</v>
      </c>
      <c r="W48" s="13">
        <f t="shared" ref="W48:Y48" si="38">SUM(W49:W51)</f>
        <v>7.3563216313244668</v>
      </c>
      <c r="X48" s="13">
        <f t="shared" si="38"/>
        <v>7.8368642891853106</v>
      </c>
      <c r="Y48" s="13">
        <f t="shared" si="38"/>
        <v>7.7711286450435129</v>
      </c>
      <c r="DA48" s="193" t="s">
        <v>229</v>
      </c>
    </row>
    <row r="49" spans="1:105" ht="11.45" customHeight="1" x14ac:dyDescent="0.25">
      <c r="A49" s="92" t="s">
        <v>27</v>
      </c>
      <c r="B49" s="102">
        <v>9.0723055934515684E-2</v>
      </c>
      <c r="C49" s="102">
        <v>9.6180081855388816E-2</v>
      </c>
      <c r="D49" s="102">
        <v>8.7312414733969987E-2</v>
      </c>
      <c r="E49" s="102">
        <v>7.8240109140518418E-2</v>
      </c>
      <c r="F49" s="102">
        <v>6.916780354706685E-2</v>
      </c>
      <c r="G49" s="102">
        <v>7.937584803256445E-2</v>
      </c>
      <c r="H49" s="102">
        <v>9.2061374249499672E-2</v>
      </c>
      <c r="I49" s="102">
        <v>8.4044648719632298E-2</v>
      </c>
      <c r="J49" s="102">
        <v>0.16817593790426907</v>
      </c>
      <c r="K49" s="102">
        <v>0.15910363231081751</v>
      </c>
      <c r="L49" s="102">
        <v>0.15003132671736594</v>
      </c>
      <c r="M49" s="102">
        <v>0.14095902112391437</v>
      </c>
      <c r="N49" s="102">
        <v>0.1318867155304628</v>
      </c>
      <c r="O49" s="102">
        <v>0.12281440993701123</v>
      </c>
      <c r="P49" s="102">
        <v>0.11374210434355966</v>
      </c>
      <c r="Q49" s="102">
        <v>0.1046697987501081</v>
      </c>
      <c r="R49" s="102">
        <v>9.5597493156656527E-2</v>
      </c>
      <c r="S49" s="102">
        <v>8.6525187563204958E-2</v>
      </c>
      <c r="T49" s="102">
        <v>7.745288196975339E-2</v>
      </c>
      <c r="U49" s="102">
        <v>6.8380576376301822E-2</v>
      </c>
      <c r="V49" s="102">
        <v>6.3844423579576037E-2</v>
      </c>
      <c r="W49" s="102">
        <v>5.9308270782850253E-2</v>
      </c>
      <c r="X49" s="102">
        <v>5.4772117986124469E-2</v>
      </c>
      <c r="Y49" s="102">
        <v>5.0235965189398685E-2</v>
      </c>
      <c r="DA49" s="175" t="s">
        <v>230</v>
      </c>
    </row>
    <row r="50" spans="1:105" ht="11.45" customHeight="1" x14ac:dyDescent="0.25">
      <c r="A50" s="92" t="s">
        <v>181</v>
      </c>
      <c r="B50" s="102">
        <v>1.898708769241259</v>
      </c>
      <c r="C50" s="102">
        <v>1.9685846706114498</v>
      </c>
      <c r="D50" s="102">
        <v>1.8519677556347798</v>
      </c>
      <c r="E50" s="102">
        <v>1.6621921168058917</v>
      </c>
      <c r="F50" s="102">
        <v>1.4841956027009007</v>
      </c>
      <c r="G50" s="102">
        <v>1.7654376331083015</v>
      </c>
      <c r="H50" s="102">
        <v>2.1421111061843572</v>
      </c>
      <c r="I50" s="102">
        <v>2.0055803244159405</v>
      </c>
      <c r="J50" s="102">
        <v>4.5771438714761672</v>
      </c>
      <c r="K50" s="102">
        <v>4.387272994552041</v>
      </c>
      <c r="L50" s="102">
        <v>4.1974021176279148</v>
      </c>
      <c r="M50" s="102">
        <v>4.0075312407037886</v>
      </c>
      <c r="N50" s="102">
        <v>3.8176603637796629</v>
      </c>
      <c r="O50" s="102">
        <v>3.6277894868555367</v>
      </c>
      <c r="P50" s="102">
        <v>3.437918609931411</v>
      </c>
      <c r="Q50" s="102">
        <v>3.2480477330072848</v>
      </c>
      <c r="R50" s="102">
        <v>3.0581768560831595</v>
      </c>
      <c r="S50" s="102">
        <v>2.8683059791590333</v>
      </c>
      <c r="T50" s="102">
        <v>2.8000530950118128</v>
      </c>
      <c r="U50" s="102">
        <v>2.890741654455431</v>
      </c>
      <c r="V50" s="102">
        <v>3.3313378856161124</v>
      </c>
      <c r="W50" s="102">
        <v>3.9623343961293491</v>
      </c>
      <c r="X50" s="102">
        <v>4.4498487368728785</v>
      </c>
      <c r="Y50" s="102">
        <v>4.354913298410815</v>
      </c>
      <c r="DA50" s="175" t="s">
        <v>231</v>
      </c>
    </row>
    <row r="51" spans="1:105" ht="11.45" customHeight="1" x14ac:dyDescent="0.25">
      <c r="A51" s="85" t="s">
        <v>182</v>
      </c>
      <c r="B51" s="86">
        <v>4.8710601719197708E-2</v>
      </c>
      <c r="C51" s="86">
        <v>5.4441260744985676E-2</v>
      </c>
      <c r="D51" s="86">
        <v>6.3037249283667621E-2</v>
      </c>
      <c r="E51" s="86">
        <v>6.8767908309455589E-2</v>
      </c>
      <c r="F51" s="86">
        <v>6.8767908309455589E-2</v>
      </c>
      <c r="G51" s="86">
        <v>6.3896848137535822E-2</v>
      </c>
      <c r="H51" s="86">
        <v>5.9025787965616049E-2</v>
      </c>
      <c r="I51" s="86">
        <v>5.4154727793696275E-2</v>
      </c>
      <c r="J51" s="86">
        <v>3.2984126984126982</v>
      </c>
      <c r="K51" s="86">
        <v>3.2935416382407783</v>
      </c>
      <c r="L51" s="86">
        <v>3.2886705780688583</v>
      </c>
      <c r="M51" s="86">
        <v>3.2837995178969384</v>
      </c>
      <c r="N51" s="86">
        <v>3.2789284577250184</v>
      </c>
      <c r="O51" s="86">
        <v>3.2740573975530984</v>
      </c>
      <c r="P51" s="86">
        <v>3.363905325443787</v>
      </c>
      <c r="Q51" s="86">
        <v>3.359034265271867</v>
      </c>
      <c r="R51" s="86">
        <v>3.354163205099947</v>
      </c>
      <c r="S51" s="86">
        <v>3.3492921449280271</v>
      </c>
      <c r="T51" s="86">
        <v>3.3444210847561071</v>
      </c>
      <c r="U51" s="86">
        <v>3.3395500245841871</v>
      </c>
      <c r="V51" s="86">
        <v>3.3371144944982274</v>
      </c>
      <c r="W51" s="86">
        <v>3.3346789644122676</v>
      </c>
      <c r="X51" s="86">
        <v>3.3322434343263079</v>
      </c>
      <c r="Y51" s="86">
        <v>3.365979381443299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6.6343818582241747</v>
      </c>
      <c r="C53" s="54">
        <f t="shared" si="39"/>
        <v>6.0214362112077389</v>
      </c>
      <c r="D53" s="54">
        <f t="shared" ref="D53:V53" si="40">SUM(D54,D58)</f>
        <v>2.5915376061540512</v>
      </c>
      <c r="E53" s="54">
        <f t="shared" si="40"/>
        <v>4.5930456198481409</v>
      </c>
      <c r="F53" s="54">
        <f t="shared" si="40"/>
        <v>16.312329809772201</v>
      </c>
      <c r="G53" s="54">
        <f t="shared" si="40"/>
        <v>5.0398334398899047</v>
      </c>
      <c r="H53" s="54">
        <f t="shared" si="40"/>
        <v>1.9786049324290316</v>
      </c>
      <c r="I53" s="54">
        <f t="shared" si="40"/>
        <v>4.4442120535837759</v>
      </c>
      <c r="J53" s="54">
        <f t="shared" si="40"/>
        <v>14.061390505063152</v>
      </c>
      <c r="K53" s="54">
        <f t="shared" si="40"/>
        <v>0.5111806074482601</v>
      </c>
      <c r="L53" s="54">
        <f t="shared" si="40"/>
        <v>11.08546376282202</v>
      </c>
      <c r="M53" s="54">
        <f t="shared" si="40"/>
        <v>7.2244741460063269</v>
      </c>
      <c r="N53" s="54">
        <f t="shared" si="40"/>
        <v>4.8665777957875882</v>
      </c>
      <c r="O53" s="54">
        <f t="shared" si="40"/>
        <v>5.3549373672401064</v>
      </c>
      <c r="P53" s="54">
        <f t="shared" si="40"/>
        <v>5.222589315822022</v>
      </c>
      <c r="Q53" s="54">
        <f t="shared" si="40"/>
        <v>6.2019516570864308</v>
      </c>
      <c r="R53" s="54">
        <f t="shared" si="40"/>
        <v>10.710885735747926</v>
      </c>
      <c r="S53" s="54">
        <f t="shared" si="40"/>
        <v>2.8511267833498724</v>
      </c>
      <c r="T53" s="54">
        <f t="shared" si="40"/>
        <v>10.113523635192646</v>
      </c>
      <c r="U53" s="54">
        <f t="shared" si="40"/>
        <v>3.2237517179331006</v>
      </c>
      <c r="V53" s="54">
        <f t="shared" si="40"/>
        <v>0.51260785582293666</v>
      </c>
      <c r="W53" s="54">
        <f t="shared" ref="W53:Y53" si="41">SUM(W54,W58)</f>
        <v>0.70300813517549221</v>
      </c>
      <c r="X53" s="54">
        <f t="shared" si="41"/>
        <v>0.6082471902276072</v>
      </c>
      <c r="Y53" s="54">
        <f t="shared" si="41"/>
        <v>10.284861491480864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6.4032338421115753</v>
      </c>
      <c r="C54" s="11">
        <f t="shared" si="42"/>
        <v>5.8697324244508868</v>
      </c>
      <c r="D54" s="11">
        <f t="shared" ref="D54:V54" si="43">SUM(D55:D57)</f>
        <v>2.569093058182899</v>
      </c>
      <c r="E54" s="11">
        <f t="shared" si="43"/>
        <v>4.5854685060993532</v>
      </c>
      <c r="F54" s="11">
        <f t="shared" si="43"/>
        <v>16.3104833550492</v>
      </c>
      <c r="G54" s="11">
        <f t="shared" si="43"/>
        <v>4.6702599691881082</v>
      </c>
      <c r="H54" s="11">
        <f t="shared" si="43"/>
        <v>1.5111225373271431</v>
      </c>
      <c r="I54" s="11">
        <f t="shared" si="43"/>
        <v>4.4442120535837759</v>
      </c>
      <c r="J54" s="11">
        <f t="shared" si="43"/>
        <v>8.0907974977592865</v>
      </c>
      <c r="K54" s="11">
        <f t="shared" si="43"/>
        <v>0.5111806074482601</v>
      </c>
      <c r="L54" s="11">
        <f t="shared" si="43"/>
        <v>11.08546376282202</v>
      </c>
      <c r="M54" s="11">
        <f t="shared" si="43"/>
        <v>7.2244741460063269</v>
      </c>
      <c r="N54" s="11">
        <f t="shared" si="43"/>
        <v>4.8665777957875882</v>
      </c>
      <c r="O54" s="11">
        <f t="shared" si="43"/>
        <v>5.3549373672401064</v>
      </c>
      <c r="P54" s="11">
        <f t="shared" si="43"/>
        <v>5.1309266792403339</v>
      </c>
      <c r="Q54" s="11">
        <f t="shared" si="43"/>
        <v>6.2019516570864308</v>
      </c>
      <c r="R54" s="11">
        <f t="shared" si="43"/>
        <v>10.710885735747926</v>
      </c>
      <c r="S54" s="11">
        <f t="shared" si="43"/>
        <v>2.8511267833498724</v>
      </c>
      <c r="T54" s="11">
        <f t="shared" si="43"/>
        <v>10.079744227269696</v>
      </c>
      <c r="U54" s="11">
        <f t="shared" si="43"/>
        <v>3.0310308664193117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4.8721224821823172E-2</v>
      </c>
      <c r="Y54" s="11">
        <f t="shared" si="44"/>
        <v>10.249310835672873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0.56584425597526433</v>
      </c>
      <c r="D55" s="84">
        <v>0.59398612181952082</v>
      </c>
      <c r="E55" s="84">
        <v>2.3156515034694802</v>
      </c>
      <c r="F55" s="84">
        <v>4.6884348496529835</v>
      </c>
      <c r="G55" s="84">
        <v>0</v>
      </c>
      <c r="H55" s="84">
        <v>0.22184138977977952</v>
      </c>
      <c r="I55" s="84">
        <v>0.47565556469196224</v>
      </c>
      <c r="J55" s="84">
        <v>1.0882726691451232</v>
      </c>
      <c r="K55" s="84">
        <v>0</v>
      </c>
      <c r="L55" s="84">
        <v>1.7183334241169668</v>
      </c>
      <c r="M55" s="84">
        <v>0.29463582882594253</v>
      </c>
      <c r="N55" s="84">
        <v>0</v>
      </c>
      <c r="O55" s="84">
        <v>0</v>
      </c>
      <c r="P55" s="84">
        <v>0</v>
      </c>
      <c r="Q55" s="84">
        <v>0</v>
      </c>
      <c r="R55" s="84">
        <v>0.43821993077152754</v>
      </c>
      <c r="S55" s="84">
        <v>0</v>
      </c>
      <c r="T55" s="84">
        <v>0</v>
      </c>
      <c r="U55" s="84">
        <v>6.2997560660853935E-2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5.1646717506081252</v>
      </c>
      <c r="C56" s="84">
        <v>4.2761103906976627</v>
      </c>
      <c r="D56" s="84">
        <v>1.9751069363633782</v>
      </c>
      <c r="E56" s="84">
        <v>2.269817002629873</v>
      </c>
      <c r="F56" s="84">
        <v>7.586917786441786</v>
      </c>
      <c r="G56" s="84">
        <v>2.4827559246658266</v>
      </c>
      <c r="H56" s="84">
        <v>1.2023464310576308</v>
      </c>
      <c r="I56" s="84">
        <v>3.2538504648072006</v>
      </c>
      <c r="J56" s="84">
        <v>5.518456860032618</v>
      </c>
      <c r="K56" s="84">
        <v>0.5111806074482601</v>
      </c>
      <c r="L56" s="84">
        <v>5.7198887376619396</v>
      </c>
      <c r="M56" s="84">
        <v>3.6847573978171235</v>
      </c>
      <c r="N56" s="84">
        <v>2.8609120591056865</v>
      </c>
      <c r="O56" s="84">
        <v>4.6937655261798721</v>
      </c>
      <c r="P56" s="84">
        <v>2.151026336624712</v>
      </c>
      <c r="Q56" s="84">
        <v>4.607795307483693</v>
      </c>
      <c r="R56" s="84">
        <v>8.4304415417275713</v>
      </c>
      <c r="S56" s="84">
        <v>2.7743892667204544</v>
      </c>
      <c r="T56" s="84">
        <v>5.391760879087272</v>
      </c>
      <c r="U56" s="84">
        <v>0.86074724255843638</v>
      </c>
      <c r="V56" s="84">
        <v>0</v>
      </c>
      <c r="W56" s="84">
        <v>0</v>
      </c>
      <c r="X56" s="84">
        <v>4.8721224821823172E-2</v>
      </c>
      <c r="Y56" s="84">
        <v>6.932068496725762</v>
      </c>
      <c r="DA56" s="171" t="s">
        <v>236</v>
      </c>
    </row>
    <row r="57" spans="1:105" ht="11.45" customHeight="1" x14ac:dyDescent="0.25">
      <c r="A57" s="83" t="s">
        <v>182</v>
      </c>
      <c r="B57" s="84">
        <v>1.2385620915034501</v>
      </c>
      <c r="C57" s="84">
        <v>1.0277777777779598</v>
      </c>
      <c r="D57" s="84">
        <v>0</v>
      </c>
      <c r="E57" s="84">
        <v>0</v>
      </c>
      <c r="F57" s="84">
        <v>4.0351307189544308</v>
      </c>
      <c r="G57" s="84">
        <v>2.1875040445222815</v>
      </c>
      <c r="H57" s="84">
        <v>8.6934716489732722E-2</v>
      </c>
      <c r="I57" s="84">
        <v>0.71470602408461303</v>
      </c>
      <c r="J57" s="84">
        <v>1.4840679685815452</v>
      </c>
      <c r="K57" s="84">
        <v>0</v>
      </c>
      <c r="L57" s="84">
        <v>3.6472416010431132</v>
      </c>
      <c r="M57" s="84">
        <v>3.2450809193632608</v>
      </c>
      <c r="N57" s="84">
        <v>2.0056657366819017</v>
      </c>
      <c r="O57" s="84">
        <v>0.6611718410602343</v>
      </c>
      <c r="P57" s="84">
        <v>2.9799003426156219</v>
      </c>
      <c r="Q57" s="84">
        <v>1.5941563496027378</v>
      </c>
      <c r="R57" s="84">
        <v>1.842224263248827</v>
      </c>
      <c r="S57" s="84">
        <v>7.6737516629417968E-2</v>
      </c>
      <c r="T57" s="84">
        <v>4.6879833481824242</v>
      </c>
      <c r="U57" s="84">
        <v>2.1072860632000214</v>
      </c>
      <c r="V57" s="84">
        <v>0</v>
      </c>
      <c r="W57" s="84">
        <v>0</v>
      </c>
      <c r="X57" s="84">
        <v>0</v>
      </c>
      <c r="Y57" s="84">
        <v>3.3172423389471106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0.23114801611259916</v>
      </c>
      <c r="C58" s="13">
        <f t="shared" si="45"/>
        <v>0.15170378675685195</v>
      </c>
      <c r="D58" s="13">
        <f t="shared" ref="D58:V58" si="46">SUM(D59:D61)</f>
        <v>2.2444547971152112E-2</v>
      </c>
      <c r="E58" s="13">
        <f t="shared" si="46"/>
        <v>7.5771137487879734E-3</v>
      </c>
      <c r="F58" s="13">
        <f t="shared" si="46"/>
        <v>1.8464547230000053E-3</v>
      </c>
      <c r="G58" s="13">
        <f t="shared" si="46"/>
        <v>0.36957347070179658</v>
      </c>
      <c r="H58" s="13">
        <f t="shared" si="46"/>
        <v>0.46748239510188855</v>
      </c>
      <c r="I58" s="13">
        <f t="shared" si="46"/>
        <v>0</v>
      </c>
      <c r="J58" s="13">
        <f t="shared" si="46"/>
        <v>5.9705930073038651</v>
      </c>
      <c r="K58" s="13">
        <f t="shared" si="46"/>
        <v>0</v>
      </c>
      <c r="L58" s="13">
        <f t="shared" si="46"/>
        <v>0</v>
      </c>
      <c r="M58" s="13">
        <f t="shared" si="46"/>
        <v>0</v>
      </c>
      <c r="N58" s="13">
        <f t="shared" si="46"/>
        <v>0</v>
      </c>
      <c r="O58" s="13">
        <f t="shared" si="46"/>
        <v>0</v>
      </c>
      <c r="P58" s="13">
        <f t="shared" si="46"/>
        <v>9.1662636581688606E-2</v>
      </c>
      <c r="Q58" s="13">
        <f t="shared" si="46"/>
        <v>0</v>
      </c>
      <c r="R58" s="13">
        <f t="shared" si="46"/>
        <v>0</v>
      </c>
      <c r="S58" s="13">
        <f t="shared" si="46"/>
        <v>0</v>
      </c>
      <c r="T58" s="13">
        <f t="shared" si="46"/>
        <v>3.3779407922949867E-2</v>
      </c>
      <c r="U58" s="13">
        <f t="shared" si="46"/>
        <v>0.19272085151378904</v>
      </c>
      <c r="V58" s="13">
        <f t="shared" si="46"/>
        <v>0.51260785582293666</v>
      </c>
      <c r="W58" s="13">
        <f t="shared" ref="W58:Y58" si="47">SUM(W59:W61)</f>
        <v>0.70300813517549221</v>
      </c>
      <c r="X58" s="13">
        <f t="shared" si="47"/>
        <v>0.55952596540578403</v>
      </c>
      <c r="Y58" s="13">
        <f t="shared" si="47"/>
        <v>3.5550655807991216E-2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8.6630286498731307E-3</v>
      </c>
      <c r="D59" s="102">
        <v>0</v>
      </c>
      <c r="E59" s="102">
        <v>0</v>
      </c>
      <c r="F59" s="102">
        <v>0</v>
      </c>
      <c r="G59" s="102">
        <v>1.3414047214497599E-2</v>
      </c>
      <c r="H59" s="102">
        <v>1.5891528945935221E-2</v>
      </c>
      <c r="I59" s="102">
        <v>0</v>
      </c>
      <c r="J59" s="102">
        <v>8.7337291913636789E-2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0.23114801611259916</v>
      </c>
      <c r="C60" s="102">
        <v>0.13549539039019085</v>
      </c>
      <c r="D60" s="102">
        <v>1.203385074147016E-2</v>
      </c>
      <c r="E60" s="102">
        <v>3.1746031999999903E-5</v>
      </c>
      <c r="F60" s="102">
        <v>3.1746031999999903E-5</v>
      </c>
      <c r="G60" s="102">
        <v>0.35615942348729895</v>
      </c>
      <c r="H60" s="102">
        <v>0.45159086615595334</v>
      </c>
      <c r="I60" s="102">
        <v>0</v>
      </c>
      <c r="J60" s="102">
        <v>2.6371830360802266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3.3779407922949867E-2</v>
      </c>
      <c r="U60" s="102">
        <v>0.19272085151378904</v>
      </c>
      <c r="V60" s="102">
        <v>0.51260785582293666</v>
      </c>
      <c r="W60" s="102">
        <v>0.70300813517549221</v>
      </c>
      <c r="X60" s="102">
        <v>0.55952596540578403</v>
      </c>
      <c r="Y60" s="102">
        <v>0</v>
      </c>
      <c r="DA60" s="175" t="s">
        <v>240</v>
      </c>
    </row>
    <row r="61" spans="1:105" ht="11.45" customHeight="1" x14ac:dyDescent="0.25">
      <c r="A61" s="85" t="s">
        <v>182</v>
      </c>
      <c r="B61" s="86">
        <v>0</v>
      </c>
      <c r="C61" s="86">
        <v>7.5453677167879665E-3</v>
      </c>
      <c r="D61" s="86">
        <v>1.0410697229681951E-2</v>
      </c>
      <c r="E61" s="86">
        <v>7.5453677167879735E-3</v>
      </c>
      <c r="F61" s="86">
        <v>1.8147086910000054E-3</v>
      </c>
      <c r="G61" s="86">
        <v>0</v>
      </c>
      <c r="H61" s="86">
        <v>0</v>
      </c>
      <c r="I61" s="86">
        <v>0</v>
      </c>
      <c r="J61" s="86">
        <v>3.2460726793100019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9.1662636581688606E-2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X61" s="86">
        <v>0</v>
      </c>
      <c r="Y61" s="86">
        <v>3.5550655807991216E-2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65.256319192392255</v>
      </c>
      <c r="C66" s="14">
        <f t="shared" si="48"/>
        <v>66.070299870288366</v>
      </c>
      <c r="D66" s="14">
        <f t="shared" ref="D66:V66" si="49">IF(D34=0,0,D34/D24)</f>
        <v>69.50435111105115</v>
      </c>
      <c r="E66" s="14">
        <f t="shared" si="49"/>
        <v>67.311903654854916</v>
      </c>
      <c r="F66" s="14">
        <f t="shared" si="49"/>
        <v>66.001168265039226</v>
      </c>
      <c r="G66" s="14">
        <f t="shared" si="49"/>
        <v>70.490933667024748</v>
      </c>
      <c r="H66" s="14">
        <f t="shared" si="49"/>
        <v>75.867034894022623</v>
      </c>
      <c r="I66" s="14">
        <f t="shared" si="49"/>
        <v>78.995535388876746</v>
      </c>
      <c r="J66" s="14">
        <f t="shared" si="49"/>
        <v>76.332430511870641</v>
      </c>
      <c r="K66" s="14">
        <f t="shared" si="49"/>
        <v>78.559782785631029</v>
      </c>
      <c r="L66" s="14">
        <f t="shared" si="49"/>
        <v>81.857341179650362</v>
      </c>
      <c r="M66" s="14">
        <f t="shared" si="49"/>
        <v>83.381693086484304</v>
      </c>
      <c r="N66" s="14">
        <f t="shared" si="49"/>
        <v>90.509311922203381</v>
      </c>
      <c r="O66" s="14">
        <f t="shared" si="49"/>
        <v>91.608026898515817</v>
      </c>
      <c r="P66" s="14">
        <f t="shared" si="49"/>
        <v>96.179979249889726</v>
      </c>
      <c r="Q66" s="14">
        <f t="shared" si="49"/>
        <v>97.966643992180366</v>
      </c>
      <c r="R66" s="14">
        <f t="shared" si="49"/>
        <v>101.97078081180811</v>
      </c>
      <c r="S66" s="14">
        <f t="shared" si="49"/>
        <v>106.21325892205073</v>
      </c>
      <c r="T66" s="14">
        <f t="shared" si="49"/>
        <v>107.95909504631254</v>
      </c>
      <c r="U66" s="14">
        <f t="shared" si="49"/>
        <v>109.12715557398826</v>
      </c>
      <c r="V66" s="14">
        <f t="shared" si="49"/>
        <v>73.724156797116379</v>
      </c>
      <c r="W66" s="14">
        <f t="shared" ref="W66:Y66" si="50">IF(W34=0,0,W34/W24)</f>
        <v>85.046675728043027</v>
      </c>
      <c r="X66" s="14">
        <f t="shared" si="50"/>
        <v>108.65544176628636</v>
      </c>
      <c r="Y66" s="14">
        <f t="shared" si="50"/>
        <v>115.16611958370369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46.826917816249171</v>
      </c>
      <c r="C67" s="87">
        <f t="shared" si="48"/>
        <v>47.027879621142681</v>
      </c>
      <c r="D67" s="87">
        <f t="shared" ref="D67:V67" si="51">IF(D35=0,0,D35/D25)</f>
        <v>41.443169968717413</v>
      </c>
      <c r="E67" s="87">
        <f t="shared" si="51"/>
        <v>37.829050209466644</v>
      </c>
      <c r="F67" s="87">
        <f t="shared" si="51"/>
        <v>35.153575967648756</v>
      </c>
      <c r="G67" s="87">
        <f t="shared" si="51"/>
        <v>37.682629485844146</v>
      </c>
      <c r="H67" s="87">
        <f t="shared" si="51"/>
        <v>40.984407831900668</v>
      </c>
      <c r="I67" s="87">
        <f t="shared" si="51"/>
        <v>44.380801938334365</v>
      </c>
      <c r="J67" s="87">
        <f t="shared" si="51"/>
        <v>42.633050344607241</v>
      </c>
      <c r="K67" s="87">
        <f t="shared" si="51"/>
        <v>45.832408680282796</v>
      </c>
      <c r="L67" s="87">
        <f t="shared" si="51"/>
        <v>51.233397980338395</v>
      </c>
      <c r="M67" s="87">
        <f t="shared" si="51"/>
        <v>49.890896640084826</v>
      </c>
      <c r="N67" s="87">
        <f t="shared" si="51"/>
        <v>55.900281249999999</v>
      </c>
      <c r="O67" s="87">
        <f t="shared" si="51"/>
        <v>52.932312915041244</v>
      </c>
      <c r="P67" s="87">
        <f t="shared" si="51"/>
        <v>52.37828872760263</v>
      </c>
      <c r="Q67" s="87">
        <f t="shared" si="51"/>
        <v>51.325006423616067</v>
      </c>
      <c r="R67" s="87">
        <f t="shared" si="51"/>
        <v>53.003203129429103</v>
      </c>
      <c r="S67" s="87">
        <f t="shared" si="51"/>
        <v>53.012941909822196</v>
      </c>
      <c r="T67" s="87">
        <f t="shared" si="51"/>
        <v>54.389352721895314</v>
      </c>
      <c r="U67" s="87">
        <f t="shared" si="51"/>
        <v>53.03528597060027</v>
      </c>
      <c r="V67" s="87">
        <f t="shared" si="51"/>
        <v>39.240370390663529</v>
      </c>
      <c r="W67" s="87">
        <f t="shared" ref="W67:Y67" si="52">IF(W35=0,0,W35/W25)</f>
        <v>48.241314646664037</v>
      </c>
      <c r="X67" s="87">
        <f t="shared" si="52"/>
        <v>55.346285176027315</v>
      </c>
      <c r="Y67" s="87">
        <f t="shared" si="52"/>
        <v>57.81082335076767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64.34823074164575</v>
      </c>
      <c r="C68" s="87">
        <f t="shared" si="48"/>
        <v>65.266268646924232</v>
      </c>
      <c r="D68" s="87">
        <f t="shared" ref="D68:V68" si="53">IF(D36=0,0,D36/D26)</f>
        <v>70.210484859093299</v>
      </c>
      <c r="E68" s="87">
        <f t="shared" si="53"/>
        <v>69.719245369231317</v>
      </c>
      <c r="F68" s="87">
        <f t="shared" si="53"/>
        <v>70.482891690249545</v>
      </c>
      <c r="G68" s="87">
        <f t="shared" si="53"/>
        <v>74.923603953704486</v>
      </c>
      <c r="H68" s="87">
        <f t="shared" si="53"/>
        <v>81.863101321585901</v>
      </c>
      <c r="I68" s="87">
        <f t="shared" si="53"/>
        <v>85.14565116340259</v>
      </c>
      <c r="J68" s="87">
        <f t="shared" si="53"/>
        <v>82.081424164264405</v>
      </c>
      <c r="K68" s="87">
        <f t="shared" si="53"/>
        <v>84.413961070093009</v>
      </c>
      <c r="L68" s="87">
        <f t="shared" si="53"/>
        <v>87.137252539482461</v>
      </c>
      <c r="M68" s="87">
        <f t="shared" si="53"/>
        <v>90.074553075627847</v>
      </c>
      <c r="N68" s="87">
        <f t="shared" si="53"/>
        <v>93.087322513406136</v>
      </c>
      <c r="O68" s="87">
        <f t="shared" si="53"/>
        <v>95.146201959769456</v>
      </c>
      <c r="P68" s="87">
        <f t="shared" si="53"/>
        <v>101.41830209676564</v>
      </c>
      <c r="Q68" s="87">
        <f t="shared" si="53"/>
        <v>103.94495230180578</v>
      </c>
      <c r="R68" s="87">
        <f t="shared" si="53"/>
        <v>108.57515036664743</v>
      </c>
      <c r="S68" s="87">
        <f t="shared" si="53"/>
        <v>113.25996872226214</v>
      </c>
      <c r="T68" s="87">
        <f t="shared" si="53"/>
        <v>113.59322593424007</v>
      </c>
      <c r="U68" s="87">
        <f t="shared" si="53"/>
        <v>115.05642111252426</v>
      </c>
      <c r="V68" s="87">
        <f t="shared" si="53"/>
        <v>83.299905850021631</v>
      </c>
      <c r="W68" s="87">
        <f t="shared" ref="W68:Y68" si="54">IF(W36=0,0,W36/W26)</f>
        <v>99.85702543387896</v>
      </c>
      <c r="X68" s="87">
        <f t="shared" si="54"/>
        <v>117.96042280945758</v>
      </c>
      <c r="Y68" s="87">
        <f t="shared" si="54"/>
        <v>122.14337270969348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135.70266990291262</v>
      </c>
      <c r="C69" s="87">
        <f t="shared" si="48"/>
        <v>137.26933174224342</v>
      </c>
      <c r="D69" s="87">
        <f t="shared" ref="D69:V69" si="55">IF(D37=0,0,D37/D27)</f>
        <v>163.92141453831042</v>
      </c>
      <c r="E69" s="87">
        <f t="shared" si="55"/>
        <v>164.12472869338734</v>
      </c>
      <c r="F69" s="87">
        <f t="shared" si="55"/>
        <v>162.02621406136748</v>
      </c>
      <c r="G69" s="87">
        <f t="shared" si="55"/>
        <v>168.31678782371648</v>
      </c>
      <c r="H69" s="87">
        <f t="shared" si="55"/>
        <v>170.0302884035236</v>
      </c>
      <c r="I69" s="87">
        <f t="shared" si="55"/>
        <v>167.81952767007402</v>
      </c>
      <c r="J69" s="87">
        <f t="shared" si="55"/>
        <v>162.43888166449935</v>
      </c>
      <c r="K69" s="87">
        <f t="shared" si="55"/>
        <v>163.03085914669785</v>
      </c>
      <c r="L69" s="87">
        <f t="shared" si="55"/>
        <v>161.95278414184679</v>
      </c>
      <c r="M69" s="87">
        <f t="shared" si="55"/>
        <v>150.89935891806445</v>
      </c>
      <c r="N69" s="87">
        <f t="shared" si="55"/>
        <v>158.43892717761355</v>
      </c>
      <c r="O69" s="87">
        <f t="shared" si="55"/>
        <v>167.23657094594594</v>
      </c>
      <c r="P69" s="87">
        <f t="shared" si="55"/>
        <v>172.51968882829416</v>
      </c>
      <c r="Q69" s="87">
        <f t="shared" si="55"/>
        <v>172.61556118410638</v>
      </c>
      <c r="R69" s="87">
        <f t="shared" si="55"/>
        <v>174.72208690186218</v>
      </c>
      <c r="S69" s="87">
        <f t="shared" si="55"/>
        <v>183.97728747566515</v>
      </c>
      <c r="T69" s="87">
        <f t="shared" si="55"/>
        <v>180.94761575673809</v>
      </c>
      <c r="U69" s="87">
        <f t="shared" si="55"/>
        <v>180.2579854208085</v>
      </c>
      <c r="V69" s="87">
        <f t="shared" si="55"/>
        <v>128.80605137135393</v>
      </c>
      <c r="W69" s="87">
        <f t="shared" ref="W69:Y69" si="56">IF(W37=0,0,W37/W27)</f>
        <v>103.29225407888484</v>
      </c>
      <c r="X69" s="87">
        <f t="shared" si="56"/>
        <v>148.65075473143821</v>
      </c>
      <c r="Y69" s="87">
        <f t="shared" si="56"/>
        <v>158.05969134543477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16.081586964386901</v>
      </c>
      <c r="C70" s="15">
        <f t="shared" si="48"/>
        <v>16.271010487721284</v>
      </c>
      <c r="D70" s="15">
        <f t="shared" ref="D70:V70" si="57">IF(D38=0,0,D38/D28)</f>
        <v>16.373017762195317</v>
      </c>
      <c r="E70" s="15">
        <f t="shared" si="57"/>
        <v>17.33145099071648</v>
      </c>
      <c r="F70" s="15">
        <f t="shared" si="57"/>
        <v>16.165137297104557</v>
      </c>
      <c r="G70" s="15">
        <f t="shared" si="57"/>
        <v>15.1370462755508</v>
      </c>
      <c r="H70" s="15">
        <f t="shared" si="57"/>
        <v>13.879688021649741</v>
      </c>
      <c r="I70" s="15">
        <f t="shared" si="57"/>
        <v>13.681392709727925</v>
      </c>
      <c r="J70" s="15">
        <f t="shared" si="57"/>
        <v>18.354292038033986</v>
      </c>
      <c r="K70" s="15">
        <f t="shared" si="57"/>
        <v>19.354563547343652</v>
      </c>
      <c r="L70" s="15">
        <f t="shared" si="57"/>
        <v>23.91397037563047</v>
      </c>
      <c r="M70" s="15">
        <f t="shared" si="57"/>
        <v>25.689555588084378</v>
      </c>
      <c r="N70" s="15">
        <f t="shared" si="57"/>
        <v>29.291051836466568</v>
      </c>
      <c r="O70" s="15">
        <f t="shared" si="57"/>
        <v>30.394471659335213</v>
      </c>
      <c r="P70" s="15">
        <f t="shared" si="57"/>
        <v>31.624914148300704</v>
      </c>
      <c r="Q70" s="15">
        <f t="shared" si="57"/>
        <v>31.697827395106877</v>
      </c>
      <c r="R70" s="15">
        <f t="shared" si="57"/>
        <v>37.564000165314127</v>
      </c>
      <c r="S70" s="15">
        <f t="shared" si="57"/>
        <v>37.483573483368161</v>
      </c>
      <c r="T70" s="15">
        <f t="shared" si="57"/>
        <v>36.98774603294504</v>
      </c>
      <c r="U70" s="15">
        <f t="shared" si="57"/>
        <v>36.660406395221365</v>
      </c>
      <c r="V70" s="15">
        <f t="shared" si="57"/>
        <v>24.961353559909945</v>
      </c>
      <c r="W70" s="15">
        <f t="shared" ref="W70:Y70" si="58">IF(W38=0,0,W38/W28)</f>
        <v>27.383451732213004</v>
      </c>
      <c r="X70" s="15">
        <f t="shared" si="58"/>
        <v>26.892196819894682</v>
      </c>
      <c r="Y70" s="15">
        <f t="shared" si="58"/>
        <v>27.540729435044529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9.9726932495609386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12.867097049767036</v>
      </c>
      <c r="Q71" s="41">
        <f t="shared" si="59"/>
        <v>13.240298620670723</v>
      </c>
      <c r="R71" s="41">
        <f t="shared" si="59"/>
        <v>15.261225204177913</v>
      </c>
      <c r="S71" s="41">
        <f t="shared" si="59"/>
        <v>14.037407282807472</v>
      </c>
      <c r="T71" s="41">
        <f t="shared" si="59"/>
        <v>14.287770694726388</v>
      </c>
      <c r="U71" s="41">
        <f t="shared" si="59"/>
        <v>15.803408783848621</v>
      </c>
      <c r="V71" s="41">
        <f t="shared" si="59"/>
        <v>14.56554958394141</v>
      </c>
      <c r="W71" s="41">
        <f t="shared" ref="W71:Y71" si="60">IF(W39=0,0,W39/W29)</f>
        <v>14.733887425092286</v>
      </c>
      <c r="X71" s="41">
        <f t="shared" si="60"/>
        <v>14.903133727895911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16.365143935076347</v>
      </c>
      <c r="E72" s="41">
        <f t="shared" si="61"/>
        <v>17.221696677308703</v>
      </c>
      <c r="F72" s="41">
        <f t="shared" si="61"/>
        <v>16.065947226318933</v>
      </c>
      <c r="G72" s="41">
        <f t="shared" si="61"/>
        <v>15.202475894043332</v>
      </c>
      <c r="H72" s="41">
        <f t="shared" si="61"/>
        <v>14.017847842266164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13.698894254303415</v>
      </c>
      <c r="L72" s="41">
        <f t="shared" si="61"/>
        <v>14.504774438576119</v>
      </c>
      <c r="M72" s="41">
        <f t="shared" si="61"/>
        <v>15.593990976967522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18.449412678664508</v>
      </c>
      <c r="Q72" s="41">
        <f t="shared" si="61"/>
        <v>18.477606558493591</v>
      </c>
      <c r="R72" s="41">
        <f t="shared" si="61"/>
        <v>20.847919403023052</v>
      </c>
      <c r="S72" s="41">
        <f t="shared" si="61"/>
        <v>19.377525185076973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17.640506114488733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17.970037243342698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52.527925633175627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1027.556218483202</v>
      </c>
      <c r="C75" s="62">
        <f t="shared" si="65"/>
        <v>1026.7028446649297</v>
      </c>
      <c r="D75" s="62">
        <f t="shared" ref="D75:V75" si="66">IF(D13=0,0,D13*1000000/D23)</f>
        <v>992.85871780851733</v>
      </c>
      <c r="E75" s="62">
        <f t="shared" si="66"/>
        <v>963.39397943856045</v>
      </c>
      <c r="F75" s="62">
        <f t="shared" si="66"/>
        <v>943.6333783732947</v>
      </c>
      <c r="G75" s="62">
        <f t="shared" si="66"/>
        <v>964.78779207564151</v>
      </c>
      <c r="H75" s="62">
        <f t="shared" si="66"/>
        <v>969.68968529477172</v>
      </c>
      <c r="I75" s="62">
        <f t="shared" si="66"/>
        <v>972.76101594934482</v>
      </c>
      <c r="J75" s="62">
        <f t="shared" si="66"/>
        <v>980.75510549186924</v>
      </c>
      <c r="K75" s="62">
        <f t="shared" si="66"/>
        <v>1005.255564964804</v>
      </c>
      <c r="L75" s="62">
        <f t="shared" si="66"/>
        <v>1023.6018926571404</v>
      </c>
      <c r="M75" s="62">
        <f t="shared" si="66"/>
        <v>1016.451455471819</v>
      </c>
      <c r="N75" s="62">
        <f t="shared" si="66"/>
        <v>1083.957879806386</v>
      </c>
      <c r="O75" s="62">
        <f t="shared" si="66"/>
        <v>1084.7509920735693</v>
      </c>
      <c r="P75" s="62">
        <f t="shared" si="66"/>
        <v>1094.5043329859618</v>
      </c>
      <c r="Q75" s="62">
        <f t="shared" si="66"/>
        <v>1096.9559062320759</v>
      </c>
      <c r="R75" s="62">
        <f t="shared" si="66"/>
        <v>1130.5886910198999</v>
      </c>
      <c r="S75" s="62">
        <f t="shared" si="66"/>
        <v>1161.5845345995469</v>
      </c>
      <c r="T75" s="62">
        <f t="shared" si="66"/>
        <v>1195.9802120772499</v>
      </c>
      <c r="U75" s="62">
        <f t="shared" si="66"/>
        <v>1198.7068468924504</v>
      </c>
      <c r="V75" s="62">
        <f t="shared" si="66"/>
        <v>1037.5176370180945</v>
      </c>
      <c r="W75" s="62">
        <f t="shared" ref="W75:Y75" si="67">IF(W13=0,0,W13*1000000/W23)</f>
        <v>1194.2785477649031</v>
      </c>
      <c r="X75" s="62">
        <f t="shared" si="67"/>
        <v>1277.2778881918416</v>
      </c>
      <c r="Y75" s="62">
        <f t="shared" si="67"/>
        <v>1328.1693518855477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1031.7305274910784</v>
      </c>
      <c r="C76" s="14">
        <f t="shared" si="65"/>
        <v>1030.915022511201</v>
      </c>
      <c r="D76" s="14">
        <f t="shared" ref="D76:V76" si="68">IF(D14=0,0,D14*1000000/D24)</f>
        <v>996.39705950794053</v>
      </c>
      <c r="E76" s="14">
        <f t="shared" si="68"/>
        <v>965.35042274301145</v>
      </c>
      <c r="F76" s="14">
        <f t="shared" si="68"/>
        <v>945.38302948979538</v>
      </c>
      <c r="G76" s="14">
        <f t="shared" si="68"/>
        <v>967.24362159383838</v>
      </c>
      <c r="H76" s="14">
        <f t="shared" si="68"/>
        <v>972.81951981026327</v>
      </c>
      <c r="I76" s="14">
        <f t="shared" si="68"/>
        <v>975.58977821196447</v>
      </c>
      <c r="J76" s="14">
        <f t="shared" si="68"/>
        <v>960.40651009695978</v>
      </c>
      <c r="K76" s="14">
        <f t="shared" si="68"/>
        <v>987.20855618558858</v>
      </c>
      <c r="L76" s="14">
        <f t="shared" si="68"/>
        <v>1000.4184985875198</v>
      </c>
      <c r="M76" s="14">
        <f t="shared" si="68"/>
        <v>994.12725657340638</v>
      </c>
      <c r="N76" s="14">
        <f t="shared" si="68"/>
        <v>1057.6695858765593</v>
      </c>
      <c r="O76" s="14">
        <f t="shared" si="68"/>
        <v>1062.9167917194493</v>
      </c>
      <c r="P76" s="14">
        <f t="shared" si="68"/>
        <v>1073.0450947726099</v>
      </c>
      <c r="Q76" s="14">
        <f t="shared" si="68"/>
        <v>1079.2315744711918</v>
      </c>
      <c r="R76" s="14">
        <f t="shared" si="68"/>
        <v>1116.5207615759095</v>
      </c>
      <c r="S76" s="14">
        <f t="shared" si="68"/>
        <v>1147.5701377001826</v>
      </c>
      <c r="T76" s="14">
        <f t="shared" si="68"/>
        <v>1190.5609656612696</v>
      </c>
      <c r="U76" s="14">
        <f t="shared" si="68"/>
        <v>1191.0721822096202</v>
      </c>
      <c r="V76" s="14">
        <f t="shared" si="68"/>
        <v>1022.8213930409077</v>
      </c>
      <c r="W76" s="14">
        <f t="shared" ref="W76:Y76" si="69">IF(W14=0,0,W14*1000000/W24)</f>
        <v>1189.599460155853</v>
      </c>
      <c r="X76" s="14">
        <f t="shared" si="69"/>
        <v>1271.869949039452</v>
      </c>
      <c r="Y76" s="14">
        <f t="shared" si="69"/>
        <v>1317.1506496703923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232.38943818957964</v>
      </c>
      <c r="C77" s="39">
        <f t="shared" si="65"/>
        <v>232.38943818957966</v>
      </c>
      <c r="D77" s="39">
        <f t="shared" ref="D77:V77" si="70">IF(D15=0,0,D15*1000000/D25)</f>
        <v>232.38943818957964</v>
      </c>
      <c r="E77" s="39">
        <f t="shared" si="70"/>
        <v>232.38943818957964</v>
      </c>
      <c r="F77" s="39">
        <f t="shared" si="70"/>
        <v>232.38943818957966</v>
      </c>
      <c r="G77" s="39">
        <f t="shared" si="70"/>
        <v>223.08314883838247</v>
      </c>
      <c r="H77" s="39">
        <f t="shared" si="70"/>
        <v>224.67922635928505</v>
      </c>
      <c r="I77" s="39">
        <f t="shared" si="70"/>
        <v>228.55602756337868</v>
      </c>
      <c r="J77" s="39">
        <f t="shared" si="70"/>
        <v>234.50483368424963</v>
      </c>
      <c r="K77" s="39">
        <f t="shared" si="70"/>
        <v>237.64665468078346</v>
      </c>
      <c r="L77" s="39">
        <f t="shared" si="70"/>
        <v>234.1098901098901</v>
      </c>
      <c r="M77" s="39">
        <f t="shared" si="70"/>
        <v>221.33905057515969</v>
      </c>
      <c r="N77" s="39">
        <f t="shared" si="70"/>
        <v>215.91392042323375</v>
      </c>
      <c r="O77" s="39">
        <f t="shared" si="70"/>
        <v>215.15293343484788</v>
      </c>
      <c r="P77" s="39">
        <f t="shared" si="70"/>
        <v>214.20577836816668</v>
      </c>
      <c r="Q77" s="39">
        <f t="shared" si="70"/>
        <v>214.57076470666786</v>
      </c>
      <c r="R77" s="39">
        <f t="shared" si="70"/>
        <v>218.55364639871809</v>
      </c>
      <c r="S77" s="39">
        <f t="shared" si="70"/>
        <v>222.01786249256648</v>
      </c>
      <c r="T77" s="39">
        <f t="shared" si="70"/>
        <v>224.44942139932348</v>
      </c>
      <c r="U77" s="39">
        <f t="shared" si="70"/>
        <v>223.97193354800939</v>
      </c>
      <c r="V77" s="39">
        <f t="shared" si="70"/>
        <v>221.99939568924995</v>
      </c>
      <c r="W77" s="39">
        <f t="shared" ref="W77:Y77" si="71">IF(W15=0,0,W15*1000000/W25)</f>
        <v>229.67203932327388</v>
      </c>
      <c r="X77" s="39">
        <f t="shared" si="71"/>
        <v>229.93997253355778</v>
      </c>
      <c r="Y77" s="39">
        <f t="shared" si="71"/>
        <v>233.30173866974908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973.57229834844441</v>
      </c>
      <c r="C78" s="39">
        <f t="shared" si="65"/>
        <v>973.57160292067101</v>
      </c>
      <c r="D78" s="39">
        <f t="shared" ref="D78:V78" si="72">IF(D16=0,0,D16*1000000/D26)</f>
        <v>966.14520037662976</v>
      </c>
      <c r="E78" s="39">
        <f t="shared" si="72"/>
        <v>965.18761677016244</v>
      </c>
      <c r="F78" s="39">
        <f t="shared" si="72"/>
        <v>966.83991501623734</v>
      </c>
      <c r="G78" s="39">
        <f t="shared" si="72"/>
        <v>977.25753825268055</v>
      </c>
      <c r="H78" s="39">
        <f t="shared" si="72"/>
        <v>984.50594391870845</v>
      </c>
      <c r="I78" s="39">
        <f t="shared" si="72"/>
        <v>992.15196801978857</v>
      </c>
      <c r="J78" s="39">
        <f t="shared" si="72"/>
        <v>975.56789980715314</v>
      </c>
      <c r="K78" s="39">
        <f t="shared" si="72"/>
        <v>1008.9359168248209</v>
      </c>
      <c r="L78" s="39">
        <f t="shared" si="72"/>
        <v>1025.8897883508464</v>
      </c>
      <c r="M78" s="39">
        <f t="shared" si="72"/>
        <v>997.12536926754933</v>
      </c>
      <c r="N78" s="39">
        <f t="shared" si="72"/>
        <v>981.50172633384204</v>
      </c>
      <c r="O78" s="39">
        <f t="shared" si="72"/>
        <v>998.3571175253428</v>
      </c>
      <c r="P78" s="39">
        <f t="shared" si="72"/>
        <v>993.40398498405625</v>
      </c>
      <c r="Q78" s="39">
        <f t="shared" si="72"/>
        <v>987.40866665464114</v>
      </c>
      <c r="R78" s="39">
        <f t="shared" si="72"/>
        <v>1024.5903999885204</v>
      </c>
      <c r="S78" s="39">
        <f t="shared" si="72"/>
        <v>1057.4028001213301</v>
      </c>
      <c r="T78" s="39">
        <f t="shared" si="72"/>
        <v>1074.0334078613751</v>
      </c>
      <c r="U78" s="39">
        <f t="shared" si="72"/>
        <v>1054.1207596705221</v>
      </c>
      <c r="V78" s="39">
        <f t="shared" si="72"/>
        <v>1011.4463889391666</v>
      </c>
      <c r="W78" s="39">
        <f t="shared" ref="W78:Y78" si="73">IF(W16=0,0,W16*1000000/W26)</f>
        <v>1188.685286373609</v>
      </c>
      <c r="X78" s="39">
        <f t="shared" si="73"/>
        <v>1150.6106057369559</v>
      </c>
      <c r="Y78" s="39">
        <f t="shared" si="73"/>
        <v>1129.2797226989319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4360.3754586076002</v>
      </c>
      <c r="C79" s="39">
        <f t="shared" si="65"/>
        <v>4360.3754586076002</v>
      </c>
      <c r="D79" s="39">
        <f t="shared" ref="D79:V79" si="74">IF(D17=0,0,D17*1000000/D27)</f>
        <v>4360.3754586076002</v>
      </c>
      <c r="E79" s="39">
        <f t="shared" si="74"/>
        <v>4360.3754586076002</v>
      </c>
      <c r="F79" s="39">
        <f t="shared" si="74"/>
        <v>4360.3754586076002</v>
      </c>
      <c r="G79" s="39">
        <f t="shared" si="74"/>
        <v>4403.2917470111843</v>
      </c>
      <c r="H79" s="39">
        <f t="shared" si="74"/>
        <v>4593.6360219724975</v>
      </c>
      <c r="I79" s="39">
        <f t="shared" si="74"/>
        <v>4448.7683136491469</v>
      </c>
      <c r="J79" s="39">
        <f t="shared" si="74"/>
        <v>4212.3400498254205</v>
      </c>
      <c r="K79" s="39">
        <f t="shared" si="74"/>
        <v>4291.4992842550437</v>
      </c>
      <c r="L79" s="39">
        <f t="shared" si="74"/>
        <v>4150.8904168457248</v>
      </c>
      <c r="M79" s="39">
        <f t="shared" si="74"/>
        <v>4036.9483700192809</v>
      </c>
      <c r="N79" s="39">
        <f t="shared" si="74"/>
        <v>4004.3554234993235</v>
      </c>
      <c r="O79" s="39">
        <f t="shared" si="74"/>
        <v>4088.9395168430951</v>
      </c>
      <c r="P79" s="39">
        <f t="shared" si="74"/>
        <v>4225.6720977958821</v>
      </c>
      <c r="Q79" s="39">
        <f t="shared" si="74"/>
        <v>4316.0269558843866</v>
      </c>
      <c r="R79" s="39">
        <f t="shared" si="74"/>
        <v>4482.2842466927805</v>
      </c>
      <c r="S79" s="39">
        <f t="shared" si="74"/>
        <v>4542.0603874048993</v>
      </c>
      <c r="T79" s="39">
        <f t="shared" si="74"/>
        <v>4333.5067665386796</v>
      </c>
      <c r="U79" s="39">
        <f t="shared" si="74"/>
        <v>4311.7578157565649</v>
      </c>
      <c r="V79" s="39">
        <f t="shared" si="74"/>
        <v>4301.6260425531909</v>
      </c>
      <c r="W79" s="39">
        <f t="shared" ref="W79:Y79" si="75">IF(W17=0,0,W17*1000000/W27)</f>
        <v>4277.0215557638239</v>
      </c>
      <c r="X79" s="39">
        <f t="shared" si="75"/>
        <v>4141.038392124693</v>
      </c>
      <c r="Y79" s="39">
        <f t="shared" si="75"/>
        <v>4398.3433041877588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758.59145810898178</v>
      </c>
      <c r="C80" s="15">
        <f t="shared" si="65"/>
        <v>760.67780627941386</v>
      </c>
      <c r="D80" s="15">
        <f t="shared" ref="D80:V80" si="76">IF(D18=0,0,D18*1000000/D28)</f>
        <v>767.93732122228221</v>
      </c>
      <c r="E80" s="15">
        <f t="shared" si="76"/>
        <v>786.51366621597708</v>
      </c>
      <c r="F80" s="15">
        <f t="shared" si="76"/>
        <v>782.91395787465444</v>
      </c>
      <c r="G80" s="15">
        <f t="shared" si="76"/>
        <v>772.25575814974036</v>
      </c>
      <c r="H80" s="15">
        <f t="shared" si="76"/>
        <v>769.98183903865925</v>
      </c>
      <c r="I80" s="15">
        <f t="shared" si="76"/>
        <v>778.07310885465006</v>
      </c>
      <c r="J80" s="15">
        <f t="shared" si="76"/>
        <v>1500.1616252331141</v>
      </c>
      <c r="K80" s="15">
        <f t="shared" si="76"/>
        <v>1618.8658495166499</v>
      </c>
      <c r="L80" s="15">
        <f t="shared" si="76"/>
        <v>2149.5319207507541</v>
      </c>
      <c r="M80" s="15">
        <f t="shared" si="76"/>
        <v>2148.8629287069066</v>
      </c>
      <c r="N80" s="15">
        <f t="shared" si="76"/>
        <v>2366.4147408243557</v>
      </c>
      <c r="O80" s="15">
        <f t="shared" si="76"/>
        <v>2298.7995498872015</v>
      </c>
      <c r="P80" s="15">
        <f t="shared" si="76"/>
        <v>1932.8886437956014</v>
      </c>
      <c r="Q80" s="15">
        <f t="shared" si="76"/>
        <v>1782.1581645616902</v>
      </c>
      <c r="R80" s="15">
        <f t="shared" si="76"/>
        <v>1821.0423420126037</v>
      </c>
      <c r="S80" s="15">
        <f t="shared" si="76"/>
        <v>1712.3459752425367</v>
      </c>
      <c r="T80" s="15">
        <f t="shared" si="76"/>
        <v>1413.3928767042296</v>
      </c>
      <c r="U80" s="15">
        <f t="shared" si="76"/>
        <v>1482.4840582300519</v>
      </c>
      <c r="V80" s="15">
        <f t="shared" si="76"/>
        <v>1222.8806136201449</v>
      </c>
      <c r="W80" s="15">
        <f t="shared" ref="W80:Y80" si="77">IF(W18=0,0,W18*1000000/W28)</f>
        <v>1244.6515771650706</v>
      </c>
      <c r="X80" s="15">
        <f t="shared" si="77"/>
        <v>1384.4559136375315</v>
      </c>
      <c r="Y80" s="15">
        <f t="shared" si="77"/>
        <v>1584.9949887206546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280.78964323529101</v>
      </c>
      <c r="C81" s="41">
        <f t="shared" si="65"/>
        <v>280.78964323529101</v>
      </c>
      <c r="D81" s="41">
        <f t="shared" ref="D81:V81" si="78">IF(D19=0,0,D19*1000000/D29)</f>
        <v>280.78964323529101</v>
      </c>
      <c r="E81" s="41">
        <f t="shared" si="78"/>
        <v>280.78964323529101</v>
      </c>
      <c r="F81" s="41">
        <f t="shared" si="78"/>
        <v>280.78964323529101</v>
      </c>
      <c r="G81" s="41">
        <f t="shared" si="78"/>
        <v>271.48335388409373</v>
      </c>
      <c r="H81" s="41">
        <f t="shared" si="78"/>
        <v>239.42340983258006</v>
      </c>
      <c r="I81" s="41">
        <f t="shared" si="78"/>
        <v>209.64418946425729</v>
      </c>
      <c r="J81" s="41">
        <f t="shared" si="78"/>
        <v>181.93697401271197</v>
      </c>
      <c r="K81" s="41">
        <f t="shared" si="78"/>
        <v>151.42277343682937</v>
      </c>
      <c r="L81" s="41">
        <f t="shared" si="78"/>
        <v>114.2299872935197</v>
      </c>
      <c r="M81" s="41">
        <f t="shared" si="78"/>
        <v>102.16213895535761</v>
      </c>
      <c r="N81" s="41">
        <f t="shared" si="78"/>
        <v>97.439999999999984</v>
      </c>
      <c r="O81" s="41">
        <f t="shared" si="78"/>
        <v>105.95392951559913</v>
      </c>
      <c r="P81" s="41">
        <f t="shared" si="78"/>
        <v>114.28169095290301</v>
      </c>
      <c r="Q81" s="41">
        <f t="shared" si="78"/>
        <v>123.92159379538926</v>
      </c>
      <c r="R81" s="41">
        <f t="shared" si="78"/>
        <v>137.17939199142452</v>
      </c>
      <c r="S81" s="41">
        <f t="shared" si="78"/>
        <v>149.91852458925794</v>
      </c>
      <c r="T81" s="41">
        <f t="shared" si="78"/>
        <v>161.625</v>
      </c>
      <c r="U81" s="41">
        <f t="shared" si="78"/>
        <v>213.33333333333337</v>
      </c>
      <c r="V81" s="41">
        <f t="shared" si="78"/>
        <v>230</v>
      </c>
      <c r="W81" s="41">
        <f t="shared" ref="W81:Y81" si="79">IF(W19=0,0,W19*1000000/W29)</f>
        <v>230</v>
      </c>
      <c r="X81" s="41">
        <f t="shared" si="79"/>
        <v>755.33333333333326</v>
      </c>
      <c r="Y81" s="41">
        <f t="shared" si="79"/>
        <v>218.46938775510202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754.05468339639424</v>
      </c>
      <c r="C82" s="41">
        <f t="shared" si="65"/>
        <v>754.35441121775898</v>
      </c>
      <c r="D82" s="41">
        <f t="shared" ref="D82:V82" si="80">IF(D20=0,0,D20*1000000/D30)</f>
        <v>752.9027487340644</v>
      </c>
      <c r="E82" s="41">
        <f t="shared" si="80"/>
        <v>749.78332615304487</v>
      </c>
      <c r="F82" s="41">
        <f t="shared" si="80"/>
        <v>752.47404409327362</v>
      </c>
      <c r="G82" s="41">
        <f t="shared" si="80"/>
        <v>766.71595820429832</v>
      </c>
      <c r="H82" s="41">
        <f t="shared" si="80"/>
        <v>784.2262084674062</v>
      </c>
      <c r="I82" s="41">
        <f t="shared" si="80"/>
        <v>790.46151520285275</v>
      </c>
      <c r="J82" s="41">
        <f t="shared" si="80"/>
        <v>738.14139274946115</v>
      </c>
      <c r="K82" s="41">
        <f t="shared" si="80"/>
        <v>772.87857999286166</v>
      </c>
      <c r="L82" s="41">
        <f t="shared" si="80"/>
        <v>776.38564950243017</v>
      </c>
      <c r="M82" s="41">
        <f t="shared" si="80"/>
        <v>736.0033790937083</v>
      </c>
      <c r="N82" s="41">
        <f t="shared" si="80"/>
        <v>708.9071350972406</v>
      </c>
      <c r="O82" s="41">
        <f t="shared" si="80"/>
        <v>683.17991918955215</v>
      </c>
      <c r="P82" s="41">
        <f t="shared" si="80"/>
        <v>657.02871763947644</v>
      </c>
      <c r="Q82" s="41">
        <f t="shared" si="80"/>
        <v>627.52861993945726</v>
      </c>
      <c r="R82" s="41">
        <f t="shared" si="80"/>
        <v>631.33857002101547</v>
      </c>
      <c r="S82" s="41">
        <f t="shared" si="80"/>
        <v>637.88736653380795</v>
      </c>
      <c r="T82" s="41">
        <f t="shared" si="80"/>
        <v>626.49384701282713</v>
      </c>
      <c r="U82" s="41">
        <f t="shared" si="80"/>
        <v>636.39050750591377</v>
      </c>
      <c r="V82" s="41">
        <f t="shared" si="80"/>
        <v>628.47993668238371</v>
      </c>
      <c r="W82" s="41">
        <f t="shared" ref="W82:Y82" si="81">IF(W20=0,0,W20*1000000/W30)</f>
        <v>670.35837308860675</v>
      </c>
      <c r="X82" s="41">
        <f t="shared" si="81"/>
        <v>799.51927280070061</v>
      </c>
      <c r="Y82" s="41">
        <f t="shared" si="81"/>
        <v>817.91370687189738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5093.4073190234722</v>
      </c>
      <c r="C83" s="40">
        <f t="shared" si="65"/>
        <v>5093.4073190234722</v>
      </c>
      <c r="D83" s="40">
        <f t="shared" ref="D83:V83" si="82">IF(D21=0,0,D21*1000000/D31)</f>
        <v>5093.4073190234722</v>
      </c>
      <c r="E83" s="40">
        <f t="shared" si="82"/>
        <v>5093.4073190234722</v>
      </c>
      <c r="F83" s="40">
        <f t="shared" si="82"/>
        <v>5093.4073190234722</v>
      </c>
      <c r="G83" s="40">
        <f t="shared" si="82"/>
        <v>5136.3236074270553</v>
      </c>
      <c r="H83" s="40">
        <f t="shared" si="82"/>
        <v>5614.9735368261599</v>
      </c>
      <c r="I83" s="40">
        <f t="shared" si="82"/>
        <v>5758.4114829405999</v>
      </c>
      <c r="J83" s="40">
        <f t="shared" si="82"/>
        <v>5810.288873554664</v>
      </c>
      <c r="K83" s="40">
        <f t="shared" si="82"/>
        <v>6177.7537624220759</v>
      </c>
      <c r="L83" s="40">
        <f t="shared" si="82"/>
        <v>6325.4505494505502</v>
      </c>
      <c r="M83" s="40">
        <f t="shared" si="82"/>
        <v>6258.3937324875988</v>
      </c>
      <c r="N83" s="40">
        <f t="shared" si="82"/>
        <v>6272.6860158311347</v>
      </c>
      <c r="O83" s="40">
        <f t="shared" si="82"/>
        <v>5763.4946366647464</v>
      </c>
      <c r="P83" s="40">
        <f t="shared" si="82"/>
        <v>5306.4517451073716</v>
      </c>
      <c r="Q83" s="40">
        <f t="shared" si="82"/>
        <v>4803.0311306857147</v>
      </c>
      <c r="R83" s="40">
        <f t="shared" si="82"/>
        <v>4375.5129489839464</v>
      </c>
      <c r="S83" s="40">
        <f t="shared" si="82"/>
        <v>3841.5136171859049</v>
      </c>
      <c r="T83" s="40">
        <f t="shared" si="82"/>
        <v>3039.1845238095243</v>
      </c>
      <c r="U83" s="40">
        <f t="shared" si="82"/>
        <v>3418.4504504504503</v>
      </c>
      <c r="V83" s="40">
        <f t="shared" si="82"/>
        <v>3301.9791666666665</v>
      </c>
      <c r="W83" s="40">
        <f t="shared" ref="W83:Y83" si="83">IF(W21=0,0,W21*1000000/W31)</f>
        <v>2816.0496894409939</v>
      </c>
      <c r="X83" s="40">
        <f t="shared" si="83"/>
        <v>3563.2811059907835</v>
      </c>
      <c r="Y83" s="40">
        <f t="shared" si="83"/>
        <v>4451.4269141531322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110509.14136287378</v>
      </c>
      <c r="C86" s="11">
        <f t="shared" si="84"/>
        <v>112265.73896069238</v>
      </c>
      <c r="D86" s="11">
        <f t="shared" ref="D86:V86" si="85">IF(D4=0,0,D4*1000000/D24)</f>
        <v>118630.34877222811</v>
      </c>
      <c r="E86" s="11">
        <f t="shared" si="85"/>
        <v>112021.89487725879</v>
      </c>
      <c r="F86" s="11">
        <f t="shared" si="85"/>
        <v>109423.6904063353</v>
      </c>
      <c r="G86" s="11">
        <f t="shared" si="85"/>
        <v>119221.87319369277</v>
      </c>
      <c r="H86" s="11">
        <f t="shared" si="85"/>
        <v>124655.43573645786</v>
      </c>
      <c r="I86" s="11">
        <f t="shared" si="85"/>
        <v>123246.04555944182</v>
      </c>
      <c r="J86" s="11">
        <f t="shared" si="85"/>
        <v>114682.46356454238</v>
      </c>
      <c r="K86" s="11">
        <f t="shared" si="85"/>
        <v>120621.2642054321</v>
      </c>
      <c r="L86" s="11">
        <f t="shared" si="85"/>
        <v>125756.77963518644</v>
      </c>
      <c r="M86" s="11">
        <f t="shared" si="85"/>
        <v>124293.2614385652</v>
      </c>
      <c r="N86" s="11">
        <f t="shared" si="85"/>
        <v>141955.02579220946</v>
      </c>
      <c r="O86" s="11">
        <f t="shared" si="85"/>
        <v>145882.98615943635</v>
      </c>
      <c r="P86" s="11">
        <f t="shared" si="85"/>
        <v>153618.90967668709</v>
      </c>
      <c r="Q86" s="11">
        <f t="shared" si="85"/>
        <v>154282.95211116804</v>
      </c>
      <c r="R86" s="11">
        <f t="shared" si="85"/>
        <v>161276.92361548028</v>
      </c>
      <c r="S86" s="11">
        <f t="shared" si="85"/>
        <v>172643.65834490393</v>
      </c>
      <c r="T86" s="11">
        <f t="shared" si="85"/>
        <v>178865.16097546217</v>
      </c>
      <c r="U86" s="11">
        <f t="shared" si="85"/>
        <v>179290.20713723599</v>
      </c>
      <c r="V86" s="11">
        <f t="shared" si="85"/>
        <v>114008.29113834654</v>
      </c>
      <c r="W86" s="11">
        <f t="shared" ref="W86:Y86" si="86">IF(W4=0,0,W4*1000000/W24)</f>
        <v>129028.87131580856</v>
      </c>
      <c r="X86" s="11">
        <f t="shared" si="86"/>
        <v>174813.52425115037</v>
      </c>
      <c r="Y86" s="11">
        <f t="shared" si="86"/>
        <v>194196.94853437069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11388.066902198547</v>
      </c>
      <c r="C87" s="36">
        <f t="shared" si="84"/>
        <v>11436.939785267519</v>
      </c>
      <c r="D87" s="36">
        <f t="shared" ref="D87:V87" si="87">IF(D5=0,0,D5*1000000/D25)</f>
        <v>10078.766962517613</v>
      </c>
      <c r="E87" s="36">
        <f t="shared" si="87"/>
        <v>9199.8315225979804</v>
      </c>
      <c r="F87" s="36">
        <f t="shared" si="87"/>
        <v>8549.1698715260336</v>
      </c>
      <c r="G87" s="36">
        <f t="shared" si="87"/>
        <v>8797.2314232250028</v>
      </c>
      <c r="H87" s="36">
        <f t="shared" si="87"/>
        <v>9636.5068625289969</v>
      </c>
      <c r="I87" s="36">
        <f t="shared" si="87"/>
        <v>10615.143641449426</v>
      </c>
      <c r="J87" s="36">
        <f t="shared" si="87"/>
        <v>10462.518927648669</v>
      </c>
      <c r="K87" s="36">
        <f t="shared" si="87"/>
        <v>11398.361792148571</v>
      </c>
      <c r="L87" s="36">
        <f t="shared" si="87"/>
        <v>12551.943410500011</v>
      </c>
      <c r="M87" s="36">
        <f t="shared" si="87"/>
        <v>11476.073651489434</v>
      </c>
      <c r="N87" s="36">
        <f t="shared" si="87"/>
        <v>12670.836036632385</v>
      </c>
      <c r="O87" s="36">
        <f t="shared" si="87"/>
        <v>12154.819687296407</v>
      </c>
      <c r="P87" s="36">
        <f t="shared" si="87"/>
        <v>11960.179960889518</v>
      </c>
      <c r="Q87" s="36">
        <f t="shared" si="87"/>
        <v>11764.566586851541</v>
      </c>
      <c r="R87" s="36">
        <f t="shared" si="87"/>
        <v>12404.50849135932</v>
      </c>
      <c r="S87" s="36">
        <f t="shared" si="87"/>
        <v>12547.938304053105</v>
      </c>
      <c r="T87" s="36">
        <f t="shared" si="87"/>
        <v>12878.293867303239</v>
      </c>
      <c r="U87" s="36">
        <f t="shared" si="87"/>
        <v>12390.001097191218</v>
      </c>
      <c r="V87" s="36">
        <f t="shared" si="87"/>
        <v>9052.8091579434513</v>
      </c>
      <c r="W87" s="36">
        <f t="shared" ref="W87:Y87" si="88">IF(W5=0,0,W5*1000000/W25)</f>
        <v>11396.609012176314</v>
      </c>
      <c r="X87" s="36">
        <f t="shared" si="88"/>
        <v>13182.389701553151</v>
      </c>
      <c r="Y87" s="36">
        <f t="shared" si="88"/>
        <v>14068.246220908683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86971.067675814556</v>
      </c>
      <c r="C88" s="36">
        <f t="shared" si="84"/>
        <v>88739.886864372631</v>
      </c>
      <c r="D88" s="36">
        <f t="shared" ref="D88:V88" si="89">IF(D6=0,0,D6*1000000/D26)</f>
        <v>94220.225973334134</v>
      </c>
      <c r="E88" s="36">
        <f t="shared" si="89"/>
        <v>91842.323529217421</v>
      </c>
      <c r="F88" s="36">
        <f t="shared" si="89"/>
        <v>90759.826777517912</v>
      </c>
      <c r="G88" s="36">
        <f t="shared" si="89"/>
        <v>96616.341694671821</v>
      </c>
      <c r="H88" s="36">
        <f t="shared" si="89"/>
        <v>102868.85906642396</v>
      </c>
      <c r="I88" s="36">
        <f t="shared" si="89"/>
        <v>102371.70188999745</v>
      </c>
      <c r="J88" s="36">
        <f t="shared" si="89"/>
        <v>93659.403351823974</v>
      </c>
      <c r="K88" s="36">
        <f t="shared" si="89"/>
        <v>99380.691913921604</v>
      </c>
      <c r="L88" s="36">
        <f t="shared" si="89"/>
        <v>104096.52077772177</v>
      </c>
      <c r="M88" s="36">
        <f t="shared" si="89"/>
        <v>106380.1506852466</v>
      </c>
      <c r="N88" s="36">
        <f t="shared" si="89"/>
        <v>109159.63235375284</v>
      </c>
      <c r="O88" s="36">
        <f t="shared" si="89"/>
        <v>113539.67417425798</v>
      </c>
      <c r="P88" s="36">
        <f t="shared" si="89"/>
        <v>118528.54133747601</v>
      </c>
      <c r="Q88" s="36">
        <f t="shared" si="89"/>
        <v>118669.66640654278</v>
      </c>
      <c r="R88" s="36">
        <f t="shared" si="89"/>
        <v>127325.79180084629</v>
      </c>
      <c r="S88" s="36">
        <f t="shared" si="89"/>
        <v>136325.85246349848</v>
      </c>
      <c r="T88" s="36">
        <f t="shared" si="89"/>
        <v>137440.4794731584</v>
      </c>
      <c r="U88" s="36">
        <f t="shared" si="89"/>
        <v>134509.97343521388</v>
      </c>
      <c r="V88" s="36">
        <f t="shared" si="89"/>
        <v>100163.38044187066</v>
      </c>
      <c r="W88" s="36">
        <f t="shared" ref="W88:Y88" si="90">IF(W6=0,0,W6*1000000/W26)</f>
        <v>138512.22487288312</v>
      </c>
      <c r="X88" s="36">
        <f t="shared" si="90"/>
        <v>150328.11247369065</v>
      </c>
      <c r="Y88" s="36">
        <f t="shared" si="90"/>
        <v>150918.78620424937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760853.32244488841</v>
      </c>
      <c r="C89" s="36">
        <f t="shared" si="84"/>
        <v>769637.23116573598</v>
      </c>
      <c r="D89" s="36">
        <f t="shared" ref="D89:V89" si="91">IF(D7=0,0,D7*1000000/D27)</f>
        <v>919069.26341662498</v>
      </c>
      <c r="E89" s="36">
        <f t="shared" si="91"/>
        <v>920209.19861834985</v>
      </c>
      <c r="F89" s="36">
        <f t="shared" si="91"/>
        <v>908443.31493224518</v>
      </c>
      <c r="G89" s="36">
        <f t="shared" si="91"/>
        <v>953001.44276329188</v>
      </c>
      <c r="H89" s="36">
        <f t="shared" si="91"/>
        <v>1004318.6664941495</v>
      </c>
      <c r="I89" s="36">
        <f t="shared" si="91"/>
        <v>959999.36476870289</v>
      </c>
      <c r="J89" s="36">
        <f t="shared" si="91"/>
        <v>879836.70626240678</v>
      </c>
      <c r="K89" s="36">
        <f t="shared" si="91"/>
        <v>899637.44620299467</v>
      </c>
      <c r="L89" s="36">
        <f t="shared" si="91"/>
        <v>864407.14699131914</v>
      </c>
      <c r="M89" s="36">
        <f t="shared" si="91"/>
        <v>748439.73687218782</v>
      </c>
      <c r="N89" s="36">
        <f t="shared" si="91"/>
        <v>791192.80129386857</v>
      </c>
      <c r="O89" s="36">
        <f t="shared" si="91"/>
        <v>836561.76330701832</v>
      </c>
      <c r="P89" s="36">
        <f t="shared" si="91"/>
        <v>872969.97220277344</v>
      </c>
      <c r="Q89" s="36">
        <f t="shared" si="91"/>
        <v>875033.86455276504</v>
      </c>
      <c r="R89" s="36">
        <f t="shared" si="91"/>
        <v>897708.91301524977</v>
      </c>
      <c r="S89" s="36">
        <f t="shared" si="91"/>
        <v>958633.23972039681</v>
      </c>
      <c r="T89" s="36">
        <f t="shared" si="91"/>
        <v>898085.16980302811</v>
      </c>
      <c r="U89" s="36">
        <f t="shared" si="91"/>
        <v>885322.54218576138</v>
      </c>
      <c r="V89" s="36">
        <f t="shared" si="91"/>
        <v>649409.607438987</v>
      </c>
      <c r="W89" s="36">
        <f t="shared" ref="W89:Y89" si="92">IF(W7=0,0,W7*1000000/W27)</f>
        <v>442649.88913729019</v>
      </c>
      <c r="X89" s="36">
        <f t="shared" si="92"/>
        <v>658977.6542556237</v>
      </c>
      <c r="Y89" s="36">
        <f t="shared" si="92"/>
        <v>791886.43577189115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21189.629103927236</v>
      </c>
      <c r="C90" s="13">
        <f t="shared" si="84"/>
        <v>22534.621305596935</v>
      </c>
      <c r="D90" s="13">
        <f t="shared" ref="D90:V90" si="93">IF(D8=0,0,D8*1000000/D28)</f>
        <v>21920.649492502398</v>
      </c>
      <c r="E90" s="13">
        <f t="shared" si="93"/>
        <v>23559.958727245747</v>
      </c>
      <c r="F90" s="13">
        <f t="shared" si="93"/>
        <v>21296.889214651183</v>
      </c>
      <c r="G90" s="13">
        <f t="shared" si="93"/>
        <v>19342.434958383554</v>
      </c>
      <c r="H90" s="13">
        <f t="shared" si="93"/>
        <v>16040.28949984163</v>
      </c>
      <c r="I90" s="13">
        <f t="shared" si="93"/>
        <v>15976.574428485072</v>
      </c>
      <c r="J90" s="13">
        <f t="shared" si="93"/>
        <v>68457.823617726637</v>
      </c>
      <c r="K90" s="13">
        <f t="shared" si="93"/>
        <v>83964.135446150962</v>
      </c>
      <c r="L90" s="13">
        <f t="shared" si="93"/>
        <v>127838.78168516303</v>
      </c>
      <c r="M90" s="13">
        <f t="shared" si="93"/>
        <v>129446.02379109753</v>
      </c>
      <c r="N90" s="13">
        <f t="shared" si="93"/>
        <v>163453.01577592079</v>
      </c>
      <c r="O90" s="13">
        <f t="shared" si="93"/>
        <v>158551.78633980345</v>
      </c>
      <c r="P90" s="13">
        <f t="shared" si="93"/>
        <v>144155.28054606245</v>
      </c>
      <c r="Q90" s="13">
        <f t="shared" si="93"/>
        <v>129215.04144028955</v>
      </c>
      <c r="R90" s="13">
        <f t="shared" si="93"/>
        <v>142571.11088959643</v>
      </c>
      <c r="S90" s="13">
        <f t="shared" si="93"/>
        <v>131437.10565726334</v>
      </c>
      <c r="T90" s="13">
        <f t="shared" si="93"/>
        <v>105381.52141480414</v>
      </c>
      <c r="U90" s="13">
        <f t="shared" si="93"/>
        <v>114389.42901025835</v>
      </c>
      <c r="V90" s="13">
        <f t="shared" si="93"/>
        <v>60573.329349074855</v>
      </c>
      <c r="W90" s="13">
        <f t="shared" ref="W90:Y90" si="94">IF(W8=0,0,W8*1000000/W28)</f>
        <v>55866.413020716209</v>
      </c>
      <c r="X90" s="13">
        <f t="shared" si="94"/>
        <v>67164.124106890595</v>
      </c>
      <c r="Y90" s="13">
        <f t="shared" si="94"/>
        <v>87668.674959412383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2945.2976842558064</v>
      </c>
      <c r="C91" s="34">
        <f t="shared" si="84"/>
        <v>2922.8360887057415</v>
      </c>
      <c r="D91" s="34">
        <f t="shared" ref="D91:V91" si="95">IF(D9=0,0,D9*1000000/D29)</f>
        <v>3005.6342461333707</v>
      </c>
      <c r="E91" s="34">
        <f t="shared" si="95"/>
        <v>3197.0721546606205</v>
      </c>
      <c r="F91" s="34">
        <f t="shared" si="95"/>
        <v>3010.533352685758</v>
      </c>
      <c r="G91" s="34">
        <f t="shared" si="95"/>
        <v>2848.5621609577565</v>
      </c>
      <c r="H91" s="34">
        <f t="shared" si="95"/>
        <v>2416.4353060106464</v>
      </c>
      <c r="I91" s="34">
        <f t="shared" si="95"/>
        <v>2108.0255345405731</v>
      </c>
      <c r="J91" s="34">
        <f t="shared" si="95"/>
        <v>1760.0738770905059</v>
      </c>
      <c r="K91" s="34">
        <f t="shared" si="95"/>
        <v>1477.5295045731127</v>
      </c>
      <c r="L91" s="34">
        <f t="shared" si="95"/>
        <v>1192.149277630313</v>
      </c>
      <c r="M91" s="34">
        <f t="shared" si="95"/>
        <v>1156.7742554414156</v>
      </c>
      <c r="N91" s="34">
        <f t="shared" si="95"/>
        <v>1144.8000933558621</v>
      </c>
      <c r="O91" s="34">
        <f t="shared" si="95"/>
        <v>1297.357138595085</v>
      </c>
      <c r="P91" s="34">
        <f t="shared" si="95"/>
        <v>1567.5177284542472</v>
      </c>
      <c r="Q91" s="34">
        <f t="shared" si="95"/>
        <v>1752.7547043574061</v>
      </c>
      <c r="R91" s="34">
        <f t="shared" si="95"/>
        <v>2241.8041187269391</v>
      </c>
      <c r="S91" s="34">
        <f t="shared" si="95"/>
        <v>2243.5964910878811</v>
      </c>
      <c r="T91" s="34">
        <f t="shared" si="95"/>
        <v>2436.1215852200294</v>
      </c>
      <c r="U91" s="34">
        <f t="shared" si="95"/>
        <v>3516.5947544021797</v>
      </c>
      <c r="V91" s="34">
        <f t="shared" si="95"/>
        <v>3481.3940826936082</v>
      </c>
      <c r="W91" s="34">
        <f t="shared" ref="W91:Y91" si="96">IF(W9=0,0,W9*1000000/W29)</f>
        <v>3485.7286116628661</v>
      </c>
      <c r="X91" s="34">
        <f t="shared" si="96"/>
        <v>11660.238774476744</v>
      </c>
      <c r="Y91" s="34">
        <f t="shared" si="96"/>
        <v>3370.6297660624437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19194.43440411918</v>
      </c>
      <c r="C92" s="34">
        <f t="shared" si="84"/>
        <v>20250.131362012475</v>
      </c>
      <c r="D92" s="34">
        <f t="shared" ref="D92:V92" si="97">IF(D10=0,0,D10*1000000/D30)</f>
        <v>18998.028240413314</v>
      </c>
      <c r="E92" s="34">
        <f t="shared" si="97"/>
        <v>19241.836662807826</v>
      </c>
      <c r="F92" s="34">
        <f t="shared" si="97"/>
        <v>17529.753671307422</v>
      </c>
      <c r="G92" s="34">
        <f t="shared" si="97"/>
        <v>17663.14101355532</v>
      </c>
      <c r="H92" s="34">
        <f t="shared" si="97"/>
        <v>15637.510454575473</v>
      </c>
      <c r="I92" s="34">
        <f t="shared" si="97"/>
        <v>15326.939017748466</v>
      </c>
      <c r="J92" s="34">
        <f t="shared" si="97"/>
        <v>13591.42634528788</v>
      </c>
      <c r="K92" s="34">
        <f t="shared" si="97"/>
        <v>14669.670288951724</v>
      </c>
      <c r="L92" s="34">
        <f t="shared" si="97"/>
        <v>15683.4878862446</v>
      </c>
      <c r="M92" s="34">
        <f t="shared" si="97"/>
        <v>15784.091623277835</v>
      </c>
      <c r="N92" s="34">
        <f t="shared" si="97"/>
        <v>16651.290057488241</v>
      </c>
      <c r="O92" s="34">
        <f t="shared" si="97"/>
        <v>16249.1421312495</v>
      </c>
      <c r="P92" s="34">
        <f t="shared" si="97"/>
        <v>17249.768270534816</v>
      </c>
      <c r="Q92" s="34">
        <f t="shared" si="97"/>
        <v>16256.643781419598</v>
      </c>
      <c r="R92" s="34">
        <f t="shared" si="97"/>
        <v>18022.530554842204</v>
      </c>
      <c r="S92" s="34">
        <f t="shared" si="97"/>
        <v>16824.493682266857</v>
      </c>
      <c r="T92" s="34">
        <f t="shared" si="97"/>
        <v>16709.038450657175</v>
      </c>
      <c r="U92" s="34">
        <f t="shared" si="97"/>
        <v>17381.029063870283</v>
      </c>
      <c r="V92" s="34">
        <f t="shared" si="97"/>
        <v>15263.004898162006</v>
      </c>
      <c r="W92" s="34">
        <f t="shared" ref="W92:Y92" si="98">IF(W10=0,0,W10*1000000/W30)</f>
        <v>15731.727603283893</v>
      </c>
      <c r="X92" s="34">
        <f t="shared" si="98"/>
        <v>18297.492782008932</v>
      </c>
      <c r="Y92" s="34">
        <f t="shared" si="98"/>
        <v>18578.100744365649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426351.47778552264</v>
      </c>
      <c r="C93" s="35">
        <f t="shared" si="84"/>
        <v>446782.48471667245</v>
      </c>
      <c r="D93" s="35">
        <f t="shared" ref="D93:V93" si="99">IF(D11=0,0,D11*1000000/D31)</f>
        <v>421842.53692857624</v>
      </c>
      <c r="E93" s="35">
        <f t="shared" si="99"/>
        <v>383297.54385317856</v>
      </c>
      <c r="F93" s="35">
        <f t="shared" si="99"/>
        <v>372020.04136068351</v>
      </c>
      <c r="G93" s="35">
        <f t="shared" si="99"/>
        <v>352804.38729653816</v>
      </c>
      <c r="H93" s="35">
        <f t="shared" si="99"/>
        <v>372842.0881557808</v>
      </c>
      <c r="I93" s="35">
        <f t="shared" si="99"/>
        <v>375987.91994359018</v>
      </c>
      <c r="J93" s="35">
        <f t="shared" si="99"/>
        <v>371731.50304996007</v>
      </c>
      <c r="K93" s="35">
        <f t="shared" si="99"/>
        <v>445753.60334807652</v>
      </c>
      <c r="L93" s="35">
        <f t="shared" si="99"/>
        <v>463980.5607697115</v>
      </c>
      <c r="M93" s="35">
        <f t="shared" si="99"/>
        <v>457416.31663452974</v>
      </c>
      <c r="N93" s="35">
        <f t="shared" si="99"/>
        <v>507409.67932838871</v>
      </c>
      <c r="O93" s="35">
        <f t="shared" si="99"/>
        <v>461569.43529085763</v>
      </c>
      <c r="P93" s="35">
        <f t="shared" si="99"/>
        <v>477859.47306823783</v>
      </c>
      <c r="Q93" s="35">
        <f t="shared" si="99"/>
        <v>423327.04718618438</v>
      </c>
      <c r="R93" s="35">
        <f t="shared" si="99"/>
        <v>409635.22520514653</v>
      </c>
      <c r="S93" s="35">
        <f t="shared" si="99"/>
        <v>358075.58750212559</v>
      </c>
      <c r="T93" s="35">
        <f t="shared" si="99"/>
        <v>287946.07762474974</v>
      </c>
      <c r="U93" s="35">
        <f t="shared" si="99"/>
        <v>335899.47332897544</v>
      </c>
      <c r="V93" s="35">
        <f t="shared" si="99"/>
        <v>218654.02148525833</v>
      </c>
      <c r="W93" s="35">
        <f t="shared" ref="W93:Y93" si="100">IF(W11=0,0,W11*1000000/W31)</f>
        <v>165233.78262598833</v>
      </c>
      <c r="X93" s="35">
        <f t="shared" si="100"/>
        <v>249287.91209123802</v>
      </c>
      <c r="Y93" s="35">
        <f t="shared" si="100"/>
        <v>343708.3900618804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1342.9048812748015</v>
      </c>
      <c r="C95" s="62">
        <f t="shared" si="101"/>
        <v>1343.4616689720626</v>
      </c>
      <c r="D95" s="62">
        <f t="shared" ref="D95:V95" si="102">IF(D23=0,0,D23/D43)</f>
        <v>1353.6123108642232</v>
      </c>
      <c r="E95" s="62">
        <f t="shared" si="102"/>
        <v>1395.1792840363198</v>
      </c>
      <c r="F95" s="62">
        <f t="shared" si="102"/>
        <v>1415.0532389549173</v>
      </c>
      <c r="G95" s="62">
        <f t="shared" si="102"/>
        <v>1394.5154269165755</v>
      </c>
      <c r="H95" s="62">
        <f t="shared" si="102"/>
        <v>1385.7313482618213</v>
      </c>
      <c r="I95" s="62">
        <f t="shared" si="102"/>
        <v>1389.3335229797622</v>
      </c>
      <c r="J95" s="62">
        <f t="shared" si="102"/>
        <v>1368.880350134626</v>
      </c>
      <c r="K95" s="62">
        <f t="shared" si="102"/>
        <v>1309.2449191706069</v>
      </c>
      <c r="L95" s="62">
        <f t="shared" si="102"/>
        <v>1308.4719717679006</v>
      </c>
      <c r="M95" s="62">
        <f t="shared" si="102"/>
        <v>1318.9428786375377</v>
      </c>
      <c r="N95" s="62">
        <f t="shared" si="102"/>
        <v>1225.8680747034182</v>
      </c>
      <c r="O95" s="62">
        <f t="shared" si="102"/>
        <v>1241.1883502982018</v>
      </c>
      <c r="P95" s="62">
        <f t="shared" si="102"/>
        <v>1258.1471521641729</v>
      </c>
      <c r="Q95" s="62">
        <f t="shared" si="102"/>
        <v>1264.7196041379782</v>
      </c>
      <c r="R95" s="62">
        <f t="shared" si="102"/>
        <v>1243.7312570071988</v>
      </c>
      <c r="S95" s="62">
        <f t="shared" si="102"/>
        <v>1231.6019064893667</v>
      </c>
      <c r="T95" s="62">
        <f t="shared" si="102"/>
        <v>1206.2651552104844</v>
      </c>
      <c r="U95" s="62">
        <f t="shared" si="102"/>
        <v>1202.6337077471615</v>
      </c>
      <c r="V95" s="62">
        <f t="shared" si="102"/>
        <v>490.34486823083489</v>
      </c>
      <c r="W95" s="62">
        <f t="shared" ref="W95:Y95" si="103">IF(W23=0,0,W23/W43)</f>
        <v>573.91119643544096</v>
      </c>
      <c r="X95" s="62">
        <f t="shared" si="103"/>
        <v>1065.7467702490239</v>
      </c>
      <c r="Y95" s="62">
        <f t="shared" si="103"/>
        <v>1122.7672894218808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1345.9781658141076</v>
      </c>
      <c r="C96" s="11">
        <f t="shared" si="104"/>
        <v>1346.6374073061747</v>
      </c>
      <c r="D96" s="11">
        <f t="shared" ref="D96:V96" si="105">IF(D24=0,0,D24/D44)</f>
        <v>1357.0761012700711</v>
      </c>
      <c r="E96" s="11">
        <f t="shared" si="105"/>
        <v>1402.8518185174132</v>
      </c>
      <c r="F96" s="11">
        <f t="shared" si="105"/>
        <v>1418.5359047226291</v>
      </c>
      <c r="G96" s="11">
        <f t="shared" si="105"/>
        <v>1398.6492263480648</v>
      </c>
      <c r="H96" s="11">
        <f t="shared" si="105"/>
        <v>1390.9389171678938</v>
      </c>
      <c r="I96" s="11">
        <f t="shared" si="105"/>
        <v>1394.3001902244946</v>
      </c>
      <c r="J96" s="11">
        <f t="shared" si="105"/>
        <v>1403.9195215609075</v>
      </c>
      <c r="K96" s="11">
        <f t="shared" si="105"/>
        <v>1360.1448345874051</v>
      </c>
      <c r="L96" s="11">
        <f t="shared" si="105"/>
        <v>1364.1077323818588</v>
      </c>
      <c r="M96" s="11">
        <f t="shared" si="105"/>
        <v>1371.7970657696267</v>
      </c>
      <c r="N96" s="11">
        <f t="shared" si="105"/>
        <v>1271.9021135409416</v>
      </c>
      <c r="O96" s="11">
        <f t="shared" si="105"/>
        <v>1288.4874291712765</v>
      </c>
      <c r="P96" s="11">
        <f t="shared" si="105"/>
        <v>1295.0012193793611</v>
      </c>
      <c r="Q96" s="11">
        <f t="shared" si="105"/>
        <v>1298.6829751349539</v>
      </c>
      <c r="R96" s="11">
        <f t="shared" si="105"/>
        <v>1278.7870113755605</v>
      </c>
      <c r="S96" s="11">
        <f t="shared" si="105"/>
        <v>1259.0583333644481</v>
      </c>
      <c r="T96" s="11">
        <f t="shared" si="105"/>
        <v>1230.5343747630834</v>
      </c>
      <c r="U96" s="11">
        <f t="shared" si="105"/>
        <v>1225.4603799847566</v>
      </c>
      <c r="V96" s="11">
        <f t="shared" si="105"/>
        <v>477.84321506427614</v>
      </c>
      <c r="W96" s="11">
        <f t="shared" ref="W96:Y96" si="106">IF(W24=0,0,W24/W44)</f>
        <v>556.20068934973904</v>
      </c>
      <c r="X96" s="11">
        <f t="shared" si="106"/>
        <v>1081.5235358263046</v>
      </c>
      <c r="Y96" s="11">
        <f t="shared" si="106"/>
        <v>1143.537829361439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2594</v>
      </c>
      <c r="C97" s="36">
        <f t="shared" si="104"/>
        <v>2594</v>
      </c>
      <c r="D97" s="36">
        <f t="shared" ref="D97:V97" si="107">IF(D25=0,0,D25/D45)</f>
        <v>2594</v>
      </c>
      <c r="E97" s="36">
        <f t="shared" si="107"/>
        <v>2594</v>
      </c>
      <c r="F97" s="36">
        <f t="shared" si="107"/>
        <v>2594</v>
      </c>
      <c r="G97" s="36">
        <f t="shared" si="107"/>
        <v>2615.9999999999995</v>
      </c>
      <c r="H97" s="36">
        <f t="shared" si="107"/>
        <v>2612</v>
      </c>
      <c r="I97" s="36">
        <f t="shared" si="107"/>
        <v>2603</v>
      </c>
      <c r="J97" s="36">
        <f t="shared" si="107"/>
        <v>2589</v>
      </c>
      <c r="K97" s="36">
        <f t="shared" si="107"/>
        <v>2555.8700400656867</v>
      </c>
      <c r="L97" s="36">
        <f t="shared" si="107"/>
        <v>2590</v>
      </c>
      <c r="M97" s="36">
        <f t="shared" si="107"/>
        <v>2620</v>
      </c>
      <c r="N97" s="36">
        <f t="shared" si="107"/>
        <v>1964.1812519817388</v>
      </c>
      <c r="O97" s="36">
        <f t="shared" si="107"/>
        <v>2194.075597426051</v>
      </c>
      <c r="P97" s="36">
        <f t="shared" si="107"/>
        <v>2463.3283871876797</v>
      </c>
      <c r="Q97" s="36">
        <f t="shared" si="107"/>
        <v>2627.2149781646754</v>
      </c>
      <c r="R97" s="36">
        <f t="shared" si="107"/>
        <v>2626</v>
      </c>
      <c r="S97" s="36">
        <f t="shared" si="107"/>
        <v>2618</v>
      </c>
      <c r="T97" s="36">
        <f t="shared" si="107"/>
        <v>2612</v>
      </c>
      <c r="U97" s="36">
        <f t="shared" si="107"/>
        <v>2614</v>
      </c>
      <c r="V97" s="36">
        <f t="shared" si="107"/>
        <v>1565.2429974666304</v>
      </c>
      <c r="W97" s="36">
        <f t="shared" ref="W97:Y97" si="108">IF(W25=0,0,W25/W45)</f>
        <v>1814.6428040042895</v>
      </c>
      <c r="X97" s="36">
        <f t="shared" si="108"/>
        <v>2387.0819137067092</v>
      </c>
      <c r="Y97" s="36">
        <f t="shared" si="108"/>
        <v>2328.7732816898779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1424.782507569566</v>
      </c>
      <c r="C98" s="36">
        <f t="shared" si="104"/>
        <v>1424.7829528829127</v>
      </c>
      <c r="D98" s="36">
        <f t="shared" ref="D98:V98" si="109">IF(D26=0,0,D26/D46)</f>
        <v>1421.8130149854173</v>
      </c>
      <c r="E98" s="36">
        <f t="shared" si="109"/>
        <v>1430.041193287233</v>
      </c>
      <c r="F98" s="36">
        <f t="shared" si="109"/>
        <v>1429.1275039507022</v>
      </c>
      <c r="G98" s="36">
        <f t="shared" si="109"/>
        <v>1422.8988176125022</v>
      </c>
      <c r="H98" s="36">
        <f t="shared" si="109"/>
        <v>1411.0159096294292</v>
      </c>
      <c r="I98" s="36">
        <f t="shared" si="109"/>
        <v>1413.3158549997925</v>
      </c>
      <c r="J98" s="36">
        <f t="shared" si="109"/>
        <v>1423.5333489465256</v>
      </c>
      <c r="K98" s="36">
        <f t="shared" si="109"/>
        <v>1367.510248406606</v>
      </c>
      <c r="L98" s="36">
        <f t="shared" si="109"/>
        <v>1377.2073310587077</v>
      </c>
      <c r="M98" s="36">
        <f t="shared" si="109"/>
        <v>1410.1739919489903</v>
      </c>
      <c r="N98" s="36">
        <f t="shared" si="109"/>
        <v>1420.307712990955</v>
      </c>
      <c r="O98" s="36">
        <f t="shared" si="109"/>
        <v>1409.3807374180105</v>
      </c>
      <c r="P98" s="36">
        <f t="shared" si="109"/>
        <v>1412.6852941890565</v>
      </c>
      <c r="Q98" s="36">
        <f t="shared" si="109"/>
        <v>1416.0509312020156</v>
      </c>
      <c r="R98" s="36">
        <f t="shared" si="109"/>
        <v>1393.1619551468991</v>
      </c>
      <c r="S98" s="36">
        <f t="shared" si="109"/>
        <v>1370.0062446594857</v>
      </c>
      <c r="T98" s="36">
        <f t="shared" si="109"/>
        <v>1363.19472263495</v>
      </c>
      <c r="U98" s="36">
        <f t="shared" si="109"/>
        <v>1375.3878829084231</v>
      </c>
      <c r="V98" s="36">
        <f t="shared" si="109"/>
        <v>475.28382437881669</v>
      </c>
      <c r="W98" s="36">
        <f t="shared" ref="W98:Y98" si="110">IF(W26=0,0,W26/W46)</f>
        <v>542.589644594329</v>
      </c>
      <c r="X98" s="36">
        <f t="shared" si="110"/>
        <v>1208.5428513978522</v>
      </c>
      <c r="Y98" s="36">
        <f t="shared" si="110"/>
        <v>1331.6468656471664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408</v>
      </c>
      <c r="C99" s="36">
        <f t="shared" si="104"/>
        <v>408</v>
      </c>
      <c r="D99" s="36">
        <f t="shared" ref="D99:V99" si="111">IF(D27=0,0,D27/D47)</f>
        <v>384.78136580201163</v>
      </c>
      <c r="E99" s="36">
        <f t="shared" si="111"/>
        <v>408</v>
      </c>
      <c r="F99" s="36">
        <f t="shared" si="111"/>
        <v>408</v>
      </c>
      <c r="G99" s="36">
        <f t="shared" si="111"/>
        <v>404</v>
      </c>
      <c r="H99" s="36">
        <f t="shared" si="111"/>
        <v>391</v>
      </c>
      <c r="I99" s="36">
        <f t="shared" si="111"/>
        <v>401</v>
      </c>
      <c r="J99" s="36">
        <f t="shared" si="111"/>
        <v>419</v>
      </c>
      <c r="K99" s="36">
        <f t="shared" si="111"/>
        <v>413</v>
      </c>
      <c r="L99" s="36">
        <f t="shared" si="111"/>
        <v>424</v>
      </c>
      <c r="M99" s="36">
        <f t="shared" si="111"/>
        <v>434</v>
      </c>
      <c r="N99" s="36">
        <f t="shared" si="111"/>
        <v>437</v>
      </c>
      <c r="O99" s="36">
        <f t="shared" si="111"/>
        <v>430</v>
      </c>
      <c r="P99" s="36">
        <f t="shared" si="111"/>
        <v>418</v>
      </c>
      <c r="Q99" s="36">
        <f t="shared" si="111"/>
        <v>411</v>
      </c>
      <c r="R99" s="36">
        <f t="shared" si="111"/>
        <v>399</v>
      </c>
      <c r="S99" s="36">
        <f t="shared" si="111"/>
        <v>394</v>
      </c>
      <c r="T99" s="36">
        <f t="shared" si="111"/>
        <v>410.00000000000006</v>
      </c>
      <c r="U99" s="36">
        <f t="shared" si="111"/>
        <v>411</v>
      </c>
      <c r="V99" s="36">
        <f t="shared" si="111"/>
        <v>128.66356280902457</v>
      </c>
      <c r="W99" s="36">
        <f t="shared" ref="W99:Y99" si="112">IF(W27=0,0,W27/W47)</f>
        <v>181.95327511457432</v>
      </c>
      <c r="X99" s="36">
        <f t="shared" si="112"/>
        <v>387.43193825720635</v>
      </c>
      <c r="Y99" s="36">
        <f t="shared" si="112"/>
        <v>405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1170.6738295198411</v>
      </c>
      <c r="C100" s="13">
        <f t="shared" si="104"/>
        <v>1169.3058553775973</v>
      </c>
      <c r="D100" s="13">
        <f t="shared" ref="D100:V100" si="113">IF(D28=0,0,D28/D48)</f>
        <v>1164.6505080122672</v>
      </c>
      <c r="E100" s="13">
        <f t="shared" si="113"/>
        <v>933.56172599152228</v>
      </c>
      <c r="F100" s="13">
        <f t="shared" si="113"/>
        <v>1154.6537467042383</v>
      </c>
      <c r="G100" s="13">
        <f t="shared" si="113"/>
        <v>1132.1780821592652</v>
      </c>
      <c r="H100" s="13">
        <f t="shared" si="113"/>
        <v>1118.5251774109483</v>
      </c>
      <c r="I100" s="13">
        <f t="shared" si="113"/>
        <v>1115.7862904304645</v>
      </c>
      <c r="J100" s="13">
        <f t="shared" si="113"/>
        <v>836.17897455982597</v>
      </c>
      <c r="K100" s="13">
        <f t="shared" si="113"/>
        <v>576.1539658016178</v>
      </c>
      <c r="L100" s="13">
        <f t="shared" si="113"/>
        <v>438.9673045522855</v>
      </c>
      <c r="M100" s="13">
        <f t="shared" si="113"/>
        <v>446.4303866422884</v>
      </c>
      <c r="N100" s="13">
        <f t="shared" si="113"/>
        <v>443.24698666880505</v>
      </c>
      <c r="O100" s="13">
        <f t="shared" si="113"/>
        <v>408.13355688874725</v>
      </c>
      <c r="P100" s="13">
        <f t="shared" si="113"/>
        <v>595.75745157189647</v>
      </c>
      <c r="Q100" s="13">
        <f t="shared" si="113"/>
        <v>628.89691508978171</v>
      </c>
      <c r="R100" s="13">
        <f t="shared" si="113"/>
        <v>530.27552449373604</v>
      </c>
      <c r="S100" s="13">
        <f t="shared" si="113"/>
        <v>663.21672234319226</v>
      </c>
      <c r="T100" s="13">
        <f t="shared" si="113"/>
        <v>673.42480206282062</v>
      </c>
      <c r="U100" s="13">
        <f t="shared" si="113"/>
        <v>710.6259571056911</v>
      </c>
      <c r="V100" s="13">
        <f t="shared" si="113"/>
        <v>731.84533357124496</v>
      </c>
      <c r="W100" s="13">
        <f t="shared" ref="W100:Y100" si="114">IF(W28=0,0,W28/W48)</f>
        <v>873.26252466253197</v>
      </c>
      <c r="X100" s="13">
        <f t="shared" si="114"/>
        <v>826.7337242193754</v>
      </c>
      <c r="Y100" s="13">
        <f t="shared" si="114"/>
        <v>788.81720789807832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1466</v>
      </c>
      <c r="C101" s="34">
        <f t="shared" si="104"/>
        <v>1466</v>
      </c>
      <c r="D101" s="34">
        <f t="shared" ref="D101:V101" si="115">IF(D29=0,0,D29/D49)</f>
        <v>1466</v>
      </c>
      <c r="E101" s="34">
        <f t="shared" si="115"/>
        <v>1150.305143853531</v>
      </c>
      <c r="F101" s="34">
        <f t="shared" si="115"/>
        <v>1445.759368836292</v>
      </c>
      <c r="G101" s="34">
        <f t="shared" si="115"/>
        <v>1474</v>
      </c>
      <c r="H101" s="34">
        <f t="shared" si="115"/>
        <v>1499</v>
      </c>
      <c r="I101" s="34">
        <f t="shared" si="115"/>
        <v>1523.0000000000002</v>
      </c>
      <c r="J101" s="34">
        <f t="shared" si="115"/>
        <v>1546</v>
      </c>
      <c r="K101" s="34">
        <f t="shared" si="115"/>
        <v>1420.4578281311444</v>
      </c>
      <c r="L101" s="34">
        <f t="shared" si="115"/>
        <v>699.85383917721754</v>
      </c>
      <c r="M101" s="34">
        <f t="shared" si="115"/>
        <v>439.84414410410096</v>
      </c>
      <c r="N101" s="34">
        <f t="shared" si="115"/>
        <v>379.1132397140571</v>
      </c>
      <c r="O101" s="34">
        <f t="shared" si="115"/>
        <v>447.83018562893614</v>
      </c>
      <c r="P101" s="34">
        <f t="shared" si="115"/>
        <v>483.55004786856858</v>
      </c>
      <c r="Q101" s="34">
        <f t="shared" si="115"/>
        <v>458.58500325004616</v>
      </c>
      <c r="R101" s="34">
        <f t="shared" si="115"/>
        <v>115.06577878537249</v>
      </c>
      <c r="S101" s="34">
        <f t="shared" si="115"/>
        <v>208.03190963153187</v>
      </c>
      <c r="T101" s="34">
        <f t="shared" si="115"/>
        <v>296.9547344794978</v>
      </c>
      <c r="U101" s="34">
        <f t="shared" si="115"/>
        <v>263.23264520241941</v>
      </c>
      <c r="V101" s="34">
        <f t="shared" si="115"/>
        <v>375.91380193269771</v>
      </c>
      <c r="W101" s="34">
        <f t="shared" ref="W101:Y101" si="116">IF(W29=0,0,W29/W49)</f>
        <v>708.16429893526481</v>
      </c>
      <c r="X101" s="34">
        <f t="shared" si="116"/>
        <v>858.10083173899909</v>
      </c>
      <c r="Y101" s="34">
        <f t="shared" si="116"/>
        <v>1433.2361233340887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1177.6424253275691</v>
      </c>
      <c r="C102" s="34">
        <f t="shared" si="104"/>
        <v>1177.4957077563854</v>
      </c>
      <c r="D102" s="34">
        <f t="shared" ref="D102:V102" si="117">IF(D30=0,0,D30/D50)</f>
        <v>1178.2062583762959</v>
      </c>
      <c r="E102" s="34">
        <f t="shared" si="117"/>
        <v>947.54389945402806</v>
      </c>
      <c r="F102" s="34">
        <f t="shared" si="117"/>
        <v>1178.4161041962495</v>
      </c>
      <c r="G102" s="34">
        <f t="shared" si="117"/>
        <v>1148.7236716651501</v>
      </c>
      <c r="H102" s="34">
        <f t="shared" si="117"/>
        <v>1129.2598189777616</v>
      </c>
      <c r="I102" s="34">
        <f t="shared" si="117"/>
        <v>1124.362845281051</v>
      </c>
      <c r="J102" s="34">
        <f t="shared" si="117"/>
        <v>1185.6738945480747</v>
      </c>
      <c r="K102" s="34">
        <f t="shared" si="117"/>
        <v>810.98213045283421</v>
      </c>
      <c r="L102" s="34">
        <f t="shared" si="117"/>
        <v>572.97345658155382</v>
      </c>
      <c r="M102" s="34">
        <f t="shared" si="117"/>
        <v>598.87243688174476</v>
      </c>
      <c r="N102" s="34">
        <f t="shared" si="117"/>
        <v>574.69753486081117</v>
      </c>
      <c r="O102" s="34">
        <f t="shared" si="117"/>
        <v>522.08101017505965</v>
      </c>
      <c r="P102" s="34">
        <f t="shared" si="117"/>
        <v>851.67810300733549</v>
      </c>
      <c r="Q102" s="34">
        <f t="shared" si="117"/>
        <v>923.63174639135502</v>
      </c>
      <c r="R102" s="34">
        <f t="shared" si="117"/>
        <v>765.81574912563372</v>
      </c>
      <c r="S102" s="34">
        <f t="shared" si="117"/>
        <v>961.54316172663903</v>
      </c>
      <c r="T102" s="34">
        <f t="shared" si="117"/>
        <v>998.55249351555756</v>
      </c>
      <c r="U102" s="34">
        <f t="shared" si="117"/>
        <v>1070.313563037116</v>
      </c>
      <c r="V102" s="34">
        <f t="shared" si="117"/>
        <v>1141.8835706893392</v>
      </c>
      <c r="W102" s="34">
        <f t="shared" ref="W102:Y102" si="118">IF(W30=0,0,W30/W50)</f>
        <v>1174.5601291365797</v>
      </c>
      <c r="X102" s="34">
        <f t="shared" si="118"/>
        <v>1137.1173042515381</v>
      </c>
      <c r="Y102" s="34">
        <f t="shared" si="118"/>
        <v>1091.1813104830558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349</v>
      </c>
      <c r="C103" s="35">
        <f t="shared" si="104"/>
        <v>349</v>
      </c>
      <c r="D103" s="35">
        <f t="shared" ref="D103:V103" si="119">IF(D31=0,0,D31/D51)</f>
        <v>349</v>
      </c>
      <c r="E103" s="35">
        <f t="shared" si="119"/>
        <v>349</v>
      </c>
      <c r="F103" s="35">
        <f t="shared" si="119"/>
        <v>349</v>
      </c>
      <c r="G103" s="35">
        <f t="shared" si="119"/>
        <v>250.40358744394618</v>
      </c>
      <c r="H103" s="35">
        <f t="shared" si="119"/>
        <v>135.53398058252426</v>
      </c>
      <c r="I103" s="35">
        <f t="shared" si="119"/>
        <v>166.1904761904762</v>
      </c>
      <c r="J103" s="35">
        <f t="shared" si="119"/>
        <v>315</v>
      </c>
      <c r="K103" s="35">
        <f t="shared" si="119"/>
        <v>222.5567733801376</v>
      </c>
      <c r="L103" s="35">
        <f t="shared" si="119"/>
        <v>256.03050838081543</v>
      </c>
      <c r="M103" s="35">
        <f t="shared" si="119"/>
        <v>260.6736481124197</v>
      </c>
      <c r="N103" s="35">
        <f t="shared" si="119"/>
        <v>292.7785745792288</v>
      </c>
      <c r="O103" s="35">
        <f t="shared" si="119"/>
        <v>280.38604353304163</v>
      </c>
      <c r="P103" s="35">
        <f t="shared" si="119"/>
        <v>338</v>
      </c>
      <c r="Q103" s="35">
        <f t="shared" si="119"/>
        <v>349.20751244705212</v>
      </c>
      <c r="R103" s="35">
        <f t="shared" si="119"/>
        <v>327.35437510330746</v>
      </c>
      <c r="S103" s="35">
        <f t="shared" si="119"/>
        <v>419.49162366371957</v>
      </c>
      <c r="T103" s="35">
        <f t="shared" si="119"/>
        <v>409.93641806919197</v>
      </c>
      <c r="U103" s="35">
        <f t="shared" si="119"/>
        <v>408.43825963344682</v>
      </c>
      <c r="V103" s="35">
        <f t="shared" si="119"/>
        <v>329.3264291087043</v>
      </c>
      <c r="W103" s="35">
        <f t="shared" ref="W103:Y103" si="120">IF(W31=0,0,W31/W51)</f>
        <v>518.19081190160614</v>
      </c>
      <c r="X103" s="35">
        <f t="shared" si="120"/>
        <v>411.73462474760112</v>
      </c>
      <c r="Y103" s="35">
        <f t="shared" si="120"/>
        <v>388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1.715236037196214E-2</v>
      </c>
      <c r="C107" s="43">
        <f t="shared" si="124"/>
        <v>1.7044390302431073E-2</v>
      </c>
      <c r="D107" s="43">
        <f t="shared" ref="D107:V107" si="125">IF(D5=0,0,D5/D$4)</f>
        <v>1.5389648054759772E-2</v>
      </c>
      <c r="E107" s="43">
        <f t="shared" si="125"/>
        <v>1.7202636449497846E-2</v>
      </c>
      <c r="F107" s="43">
        <f t="shared" si="125"/>
        <v>1.9651467548680402E-2</v>
      </c>
      <c r="G107" s="43">
        <f t="shared" si="125"/>
        <v>1.8399056758144898E-2</v>
      </c>
      <c r="H107" s="43">
        <f t="shared" si="125"/>
        <v>1.9781260625281131E-2</v>
      </c>
      <c r="I107" s="43">
        <f t="shared" si="125"/>
        <v>2.2024732550874726E-2</v>
      </c>
      <c r="J107" s="43">
        <f t="shared" si="125"/>
        <v>2.3284234836941548E-2</v>
      </c>
      <c r="K107" s="43">
        <f t="shared" si="125"/>
        <v>2.50645235004625E-2</v>
      </c>
      <c r="L107" s="43">
        <f t="shared" si="125"/>
        <v>2.7503676985242642E-2</v>
      </c>
      <c r="M107" s="43">
        <f t="shared" si="125"/>
        <v>2.4833725965193391E-2</v>
      </c>
      <c r="N107" s="43">
        <f t="shared" si="125"/>
        <v>1.8273915218852983E-2</v>
      </c>
      <c r="O107" s="43">
        <f t="shared" si="125"/>
        <v>1.7551370806043371E-2</v>
      </c>
      <c r="P107" s="43">
        <f t="shared" si="125"/>
        <v>1.7060708556801814E-2</v>
      </c>
      <c r="Q107" s="43">
        <f t="shared" si="125"/>
        <v>1.6368039594899849E-2</v>
      </c>
      <c r="R107" s="43">
        <f t="shared" si="125"/>
        <v>1.6019980304106347E-2</v>
      </c>
      <c r="S107" s="43">
        <f t="shared" si="125"/>
        <v>1.4901863551419118E-2</v>
      </c>
      <c r="T107" s="43">
        <f t="shared" si="125"/>
        <v>1.3902975146636789E-2</v>
      </c>
      <c r="U107" s="43">
        <f t="shared" si="125"/>
        <v>1.3195950978049049E-2</v>
      </c>
      <c r="V107" s="43">
        <f t="shared" si="125"/>
        <v>2.3320313809658325E-2</v>
      </c>
      <c r="W107" s="43">
        <f t="shared" ref="W107:Y107" si="126">IF(W5=0,0,W5/W$4)</f>
        <v>2.5880430859301924E-2</v>
      </c>
      <c r="X107" s="43">
        <f t="shared" si="126"/>
        <v>1.4963030512650719E-2</v>
      </c>
      <c r="Y107" s="43">
        <f t="shared" si="126"/>
        <v>1.2020542709293624E-2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0.61382864474916909</v>
      </c>
      <c r="C108" s="43">
        <f t="shared" si="127"/>
        <v>0.61587137686883386</v>
      </c>
      <c r="D108" s="43">
        <f t="shared" ref="D108:V108" si="128">IF(D6=0,0,D6/D$4)</f>
        <v>0.61218545520364764</v>
      </c>
      <c r="E108" s="43">
        <f t="shared" si="128"/>
        <v>0.61102023611529666</v>
      </c>
      <c r="F108" s="43">
        <f t="shared" si="128"/>
        <v>0.58090331949237672</v>
      </c>
      <c r="G108" s="43">
        <f t="shared" si="128"/>
        <v>0.56620896990589542</v>
      </c>
      <c r="H108" s="43">
        <f t="shared" si="128"/>
        <v>0.57227851497337079</v>
      </c>
      <c r="I108" s="43">
        <f t="shared" si="128"/>
        <v>0.57528156258662722</v>
      </c>
      <c r="J108" s="43">
        <f t="shared" si="128"/>
        <v>0.56434978853041018</v>
      </c>
      <c r="K108" s="43">
        <f t="shared" si="128"/>
        <v>0.55947839018366707</v>
      </c>
      <c r="L108" s="43">
        <f t="shared" si="128"/>
        <v>0.54862015311041035</v>
      </c>
      <c r="M108" s="43">
        <f t="shared" si="128"/>
        <v>0.56777303739909701</v>
      </c>
      <c r="N108" s="43">
        <f t="shared" si="128"/>
        <v>0.55229510705856644</v>
      </c>
      <c r="O108" s="43">
        <f t="shared" si="128"/>
        <v>0.55653787208389716</v>
      </c>
      <c r="P108" s="43">
        <f t="shared" si="128"/>
        <v>0.54272899718818268</v>
      </c>
      <c r="Q108" s="43">
        <f t="shared" si="128"/>
        <v>0.54451164886150705</v>
      </c>
      <c r="R108" s="43">
        <f t="shared" si="128"/>
        <v>0.56572607807597164</v>
      </c>
      <c r="S108" s="43">
        <f t="shared" si="128"/>
        <v>0.56849244640890884</v>
      </c>
      <c r="T108" s="43">
        <f t="shared" si="128"/>
        <v>0.55388152667620028</v>
      </c>
      <c r="U108" s="43">
        <f t="shared" si="128"/>
        <v>0.53892931196225979</v>
      </c>
      <c r="V108" s="43">
        <f t="shared" si="128"/>
        <v>0.55559052757781391</v>
      </c>
      <c r="W108" s="43">
        <f t="shared" ref="W108:Y108" si="129">IF(W6=0,0,W6/W$4)</f>
        <v>0.6609591789381668</v>
      </c>
      <c r="X108" s="43">
        <f t="shared" si="129"/>
        <v>0.60189695243797481</v>
      </c>
      <c r="Y108" s="43">
        <f t="shared" si="129"/>
        <v>0.56818640310251778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0.36901899487886874</v>
      </c>
      <c r="C109" s="43">
        <f t="shared" si="130"/>
        <v>0.36708423282873504</v>
      </c>
      <c r="D109" s="43">
        <f t="shared" ref="D109:V109" si="131">IF(D7=0,0,D7/D$4)</f>
        <v>0.37242489674159263</v>
      </c>
      <c r="E109" s="43">
        <f t="shared" si="131"/>
        <v>0.37177712743520552</v>
      </c>
      <c r="F109" s="43">
        <f t="shared" si="131"/>
        <v>0.39944521295894281</v>
      </c>
      <c r="G109" s="43">
        <f t="shared" si="131"/>
        <v>0.41539197333595973</v>
      </c>
      <c r="H109" s="43">
        <f t="shared" si="131"/>
        <v>0.40794022440134819</v>
      </c>
      <c r="I109" s="43">
        <f t="shared" si="131"/>
        <v>0.40269370486249811</v>
      </c>
      <c r="J109" s="43">
        <f t="shared" si="131"/>
        <v>0.41236597663264823</v>
      </c>
      <c r="K109" s="43">
        <f t="shared" si="131"/>
        <v>0.41545708631587047</v>
      </c>
      <c r="L109" s="43">
        <f t="shared" si="131"/>
        <v>0.42387616990434707</v>
      </c>
      <c r="M109" s="43">
        <f t="shared" si="131"/>
        <v>0.40739323663570964</v>
      </c>
      <c r="N109" s="43">
        <f t="shared" si="131"/>
        <v>0.42943097772258049</v>
      </c>
      <c r="O109" s="43">
        <f t="shared" si="131"/>
        <v>0.42591075711005943</v>
      </c>
      <c r="P109" s="43">
        <f t="shared" si="131"/>
        <v>0.44021029425501557</v>
      </c>
      <c r="Q109" s="43">
        <f t="shared" si="131"/>
        <v>0.43912031154359321</v>
      </c>
      <c r="R109" s="43">
        <f t="shared" si="131"/>
        <v>0.41825394161992208</v>
      </c>
      <c r="S109" s="43">
        <f t="shared" si="131"/>
        <v>0.41660569003967191</v>
      </c>
      <c r="T109" s="43">
        <f t="shared" si="131"/>
        <v>0.43221549817716287</v>
      </c>
      <c r="U109" s="43">
        <f t="shared" si="131"/>
        <v>0.44787473705969111</v>
      </c>
      <c r="V109" s="43">
        <f t="shared" si="131"/>
        <v>0.42108915861252771</v>
      </c>
      <c r="W109" s="43">
        <f t="shared" ref="W109:Y109" si="132">IF(W7=0,0,W7/W$4)</f>
        <v>0.31316039020253134</v>
      </c>
      <c r="X109" s="43">
        <f t="shared" si="132"/>
        <v>0.3831400170493745</v>
      </c>
      <c r="Y109" s="43">
        <f t="shared" si="132"/>
        <v>0.41979305418818852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7.7479541588214582E-3</v>
      </c>
      <c r="C111" s="44">
        <f t="shared" si="136"/>
        <v>7.3802658725637422E-3</v>
      </c>
      <c r="D111" s="44">
        <f t="shared" ref="D111:V111" si="137">IF(D9=0,0,D9/D$8)</f>
        <v>7.5259986514038596E-3</v>
      </c>
      <c r="E111" s="44">
        <f t="shared" si="137"/>
        <v>7.2308736441369283E-3</v>
      </c>
      <c r="F111" s="44">
        <f t="shared" si="137"/>
        <v>7.5472631690933767E-3</v>
      </c>
      <c r="G111" s="44">
        <f t="shared" si="137"/>
        <v>7.9734385349694119E-3</v>
      </c>
      <c r="H111" s="44">
        <f t="shared" si="137"/>
        <v>8.1050311283209914E-3</v>
      </c>
      <c r="I111" s="44">
        <f t="shared" si="137"/>
        <v>7.0605900211614097E-3</v>
      </c>
      <c r="J111" s="44">
        <f t="shared" si="137"/>
        <v>9.9385789975029934E-4</v>
      </c>
      <c r="K111" s="44">
        <f t="shared" si="137"/>
        <v>8.8044187509709573E-4</v>
      </c>
      <c r="L111" s="44">
        <f t="shared" si="137"/>
        <v>2.9211462840252918E-4</v>
      </c>
      <c r="M111" s="44">
        <f t="shared" si="137"/>
        <v>1.6698413366433994E-4</v>
      </c>
      <c r="N111" s="44">
        <f t="shared" si="137"/>
        <v>1.0929850337348093E-4</v>
      </c>
      <c r="O111" s="44">
        <f t="shared" si="137"/>
        <v>1.5697243780128916E-4</v>
      </c>
      <c r="P111" s="44">
        <f t="shared" si="137"/>
        <v>1.451601402644534E-4</v>
      </c>
      <c r="Q111" s="44">
        <f t="shared" si="137"/>
        <v>1.5425311942980459E-4</v>
      </c>
      <c r="R111" s="44">
        <f t="shared" si="137"/>
        <v>5.012032229552046E-5</v>
      </c>
      <c r="S111" s="44">
        <f t="shared" si="137"/>
        <v>7.3488452568259613E-5</v>
      </c>
      <c r="T111" s="44">
        <f t="shared" si="137"/>
        <v>1.2689610988909361E-4</v>
      </c>
      <c r="U111" s="44">
        <f t="shared" si="137"/>
        <v>1.236285737568866E-4</v>
      </c>
      <c r="V111" s="44">
        <f t="shared" si="137"/>
        <v>2.7996285995803244E-4</v>
      </c>
      <c r="W111" s="44">
        <f t="shared" ref="W111:Y111" si="138">IF(W9=0,0,W9/W$8)</f>
        <v>4.0793084177870271E-4</v>
      </c>
      <c r="X111" s="44">
        <f t="shared" si="138"/>
        <v>1.2593892050409084E-3</v>
      </c>
      <c r="Y111" s="44">
        <f t="shared" si="138"/>
        <v>4.5158408831373679E-4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0.84889372691436249</v>
      </c>
      <c r="C112" s="44">
        <f t="shared" si="139"/>
        <v>0.84060062825330051</v>
      </c>
      <c r="D112" s="44">
        <f t="shared" ref="D112:V112" si="140">IF(D10=0,0,D10/D$8)</f>
        <v>0.81092616098195647</v>
      </c>
      <c r="E112" s="44">
        <f t="shared" si="140"/>
        <v>0.76159293567193576</v>
      </c>
      <c r="F112" s="44">
        <f t="shared" si="140"/>
        <v>0.76861998742220172</v>
      </c>
      <c r="G112" s="44">
        <f t="shared" si="140"/>
        <v>0.85697859538767729</v>
      </c>
      <c r="H112" s="44">
        <f t="shared" si="140"/>
        <v>0.91939875152175898</v>
      </c>
      <c r="I112" s="44">
        <f t="shared" si="140"/>
        <v>0.90439287744905983</v>
      </c>
      <c r="J112" s="44">
        <f t="shared" si="140"/>
        <v>0.16019350598262749</v>
      </c>
      <c r="K112" s="44">
        <f t="shared" si="140"/>
        <v>0.13762026365190069</v>
      </c>
      <c r="L112" s="44">
        <f t="shared" si="140"/>
        <v>8.8021973296045511E-2</v>
      </c>
      <c r="M112" s="44">
        <f t="shared" si="140"/>
        <v>8.8199421897465921E-2</v>
      </c>
      <c r="N112" s="44">
        <f t="shared" si="140"/>
        <v>6.9758810087906936E-2</v>
      </c>
      <c r="O112" s="44">
        <f t="shared" si="140"/>
        <v>6.770357158985392E-2</v>
      </c>
      <c r="P112" s="44">
        <f t="shared" si="140"/>
        <v>8.5040649007979766E-2</v>
      </c>
      <c r="Q112" s="44">
        <f t="shared" si="140"/>
        <v>8.9417746551650815E-2</v>
      </c>
      <c r="R112" s="44">
        <f t="shared" si="140"/>
        <v>8.5787925974585441E-2</v>
      </c>
      <c r="S112" s="44">
        <f t="shared" si="140"/>
        <v>8.4438033556271955E-2</v>
      </c>
      <c r="T112" s="44">
        <f t="shared" si="140"/>
        <v>0.10580596152261067</v>
      </c>
      <c r="U112" s="44">
        <f t="shared" si="140"/>
        <v>0.10503156221441177</v>
      </c>
      <c r="V112" s="44">
        <f t="shared" si="140"/>
        <v>0.19454341927776669</v>
      </c>
      <c r="W112" s="44">
        <f t="shared" ref="W112:Y112" si="141">IF(W10=0,0,W10/W$8)</f>
        <v>0.20400766112061658</v>
      </c>
      <c r="X112" s="44">
        <f t="shared" si="141"/>
        <v>0.21276332364331352</v>
      </c>
      <c r="Y112" s="44">
        <f t="shared" si="141"/>
        <v>0.16427551163681253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0.14335831892681611</v>
      </c>
      <c r="C113" s="45">
        <f t="shared" si="142"/>
        <v>0.1520191058741357</v>
      </c>
      <c r="D113" s="45">
        <f t="shared" ref="D113:V113" si="143">IF(D11=0,0,D11/D$8)</f>
        <v>0.18154784036663979</v>
      </c>
      <c r="E113" s="45">
        <f t="shared" si="143"/>
        <v>0.23117619068392728</v>
      </c>
      <c r="F113" s="45">
        <f t="shared" si="143"/>
        <v>0.22383274940870487</v>
      </c>
      <c r="G113" s="45">
        <f t="shared" si="143"/>
        <v>0.13504796607735323</v>
      </c>
      <c r="H113" s="45">
        <f t="shared" si="143"/>
        <v>7.2496217349919997E-2</v>
      </c>
      <c r="I113" s="45">
        <f t="shared" si="143"/>
        <v>8.8546532529778704E-2</v>
      </c>
      <c r="J113" s="45">
        <f t="shared" si="143"/>
        <v>0.83881263611762225</v>
      </c>
      <c r="K113" s="45">
        <f t="shared" si="143"/>
        <v>0.86149929447300222</v>
      </c>
      <c r="L113" s="45">
        <f t="shared" si="143"/>
        <v>0.91168591207555194</v>
      </c>
      <c r="M113" s="45">
        <f t="shared" si="143"/>
        <v>0.91163359396886967</v>
      </c>
      <c r="N113" s="45">
        <f t="shared" si="143"/>
        <v>0.93013189140871955</v>
      </c>
      <c r="O113" s="45">
        <f t="shared" si="143"/>
        <v>0.93213945597234482</v>
      </c>
      <c r="P113" s="45">
        <f t="shared" si="143"/>
        <v>0.91481419085175575</v>
      </c>
      <c r="Q113" s="45">
        <f t="shared" si="143"/>
        <v>0.91042800032891935</v>
      </c>
      <c r="R113" s="45">
        <f t="shared" si="143"/>
        <v>0.91416195370311915</v>
      </c>
      <c r="S113" s="45">
        <f t="shared" si="143"/>
        <v>0.91548847799115984</v>
      </c>
      <c r="T113" s="45">
        <f t="shared" si="143"/>
        <v>0.89406714236750029</v>
      </c>
      <c r="U113" s="45">
        <f t="shared" si="143"/>
        <v>0.8948448092118314</v>
      </c>
      <c r="V113" s="45">
        <f t="shared" si="143"/>
        <v>0.80517661786227512</v>
      </c>
      <c r="W113" s="45">
        <f t="shared" ref="W113:Y113" si="144">IF(W11=0,0,W11/W$8)</f>
        <v>0.79558440803760466</v>
      </c>
      <c r="X113" s="45">
        <f t="shared" si="144"/>
        <v>0.78597728715164561</v>
      </c>
      <c r="Y113" s="45">
        <f t="shared" si="144"/>
        <v>0.83527290427487377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3.7490582865370749E-2</v>
      </c>
      <c r="C117" s="43">
        <f t="shared" si="148"/>
        <v>3.7714850730746714E-2</v>
      </c>
      <c r="D117" s="43">
        <f t="shared" ref="D117:V117" si="149">IF(D15=0,0,D15/D$14)</f>
        <v>4.2247502507041512E-2</v>
      </c>
      <c r="E117" s="43">
        <f t="shared" si="149"/>
        <v>5.0425410999554207E-2</v>
      </c>
      <c r="F117" s="43">
        <f t="shared" si="149"/>
        <v>6.1828823627588875E-2</v>
      </c>
      <c r="G117" s="43">
        <f t="shared" si="149"/>
        <v>5.7509074022329111E-2</v>
      </c>
      <c r="H117" s="43">
        <f t="shared" si="149"/>
        <v>5.909846416113957E-2</v>
      </c>
      <c r="I117" s="43">
        <f t="shared" si="149"/>
        <v>5.9907776303016559E-2</v>
      </c>
      <c r="J117" s="43">
        <f t="shared" si="149"/>
        <v>6.2318850148191857E-2</v>
      </c>
      <c r="K117" s="43">
        <f t="shared" si="149"/>
        <v>6.3850409266493699E-2</v>
      </c>
      <c r="L117" s="43">
        <f t="shared" si="149"/>
        <v>6.448359493465404E-2</v>
      </c>
      <c r="M117" s="43">
        <f t="shared" si="149"/>
        <v>5.9884193239082305E-2</v>
      </c>
      <c r="N117" s="43">
        <f t="shared" si="149"/>
        <v>4.1793402988789148E-2</v>
      </c>
      <c r="O117" s="43">
        <f t="shared" si="149"/>
        <v>4.2639801009205947E-2</v>
      </c>
      <c r="P117" s="43">
        <f t="shared" si="149"/>
        <v>4.3743873456812556E-2</v>
      </c>
      <c r="Q117" s="43">
        <f t="shared" si="149"/>
        <v>4.2677068625981258E-2</v>
      </c>
      <c r="R117" s="43">
        <f t="shared" si="149"/>
        <v>4.0770487206178527E-2</v>
      </c>
      <c r="S117" s="43">
        <f t="shared" si="149"/>
        <v>3.9666831985102617E-2</v>
      </c>
      <c r="T117" s="43">
        <f t="shared" si="149"/>
        <v>3.6403406387160553E-2</v>
      </c>
      <c r="U117" s="43">
        <f t="shared" si="149"/>
        <v>3.5907191279136774E-2</v>
      </c>
      <c r="V117" s="43">
        <f t="shared" si="149"/>
        <v>6.3744020257603354E-2</v>
      </c>
      <c r="W117" s="43">
        <f t="shared" ref="W117:Y117" si="150">IF(W15=0,0,W15/W$14)</f>
        <v>5.6570513340486697E-2</v>
      </c>
      <c r="X117" s="43">
        <f t="shared" si="150"/>
        <v>3.5873372947219997E-2</v>
      </c>
      <c r="Y117" s="43">
        <f t="shared" si="150"/>
        <v>2.9390639887396104E-2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0.73599096230827654</v>
      </c>
      <c r="C118" s="43">
        <f t="shared" si="151"/>
        <v>0.73580615898146262</v>
      </c>
      <c r="D118" s="43">
        <f t="shared" ref="D118:V118" si="152">IF(D16=0,0,D16/D$14)</f>
        <v>0.74738544570343501</v>
      </c>
      <c r="E118" s="43">
        <f t="shared" si="152"/>
        <v>0.74514775279611722</v>
      </c>
      <c r="F118" s="43">
        <f t="shared" si="152"/>
        <v>0.71625608898119242</v>
      </c>
      <c r="G118" s="43">
        <f t="shared" si="152"/>
        <v>0.70591961849790674</v>
      </c>
      <c r="H118" s="43">
        <f t="shared" si="152"/>
        <v>0.70181202609601401</v>
      </c>
      <c r="I118" s="43">
        <f t="shared" si="152"/>
        <v>0.7043434535116937</v>
      </c>
      <c r="J118" s="43">
        <f t="shared" si="152"/>
        <v>0.70193419555026904</v>
      </c>
      <c r="K118" s="43">
        <f t="shared" si="152"/>
        <v>0.69400060377335127</v>
      </c>
      <c r="L118" s="43">
        <f t="shared" si="152"/>
        <v>0.67965097376176975</v>
      </c>
      <c r="M118" s="43">
        <f t="shared" si="152"/>
        <v>0.66537967752531535</v>
      </c>
      <c r="N118" s="43">
        <f t="shared" si="152"/>
        <v>0.66650123132921513</v>
      </c>
      <c r="O118" s="43">
        <f t="shared" si="152"/>
        <v>0.67164281719286012</v>
      </c>
      <c r="P118" s="43">
        <f t="shared" si="152"/>
        <v>0.65119744607895225</v>
      </c>
      <c r="Q118" s="43">
        <f t="shared" si="152"/>
        <v>0.64769073683165979</v>
      </c>
      <c r="R118" s="43">
        <f t="shared" si="152"/>
        <v>0.65757534725226408</v>
      </c>
      <c r="S118" s="43">
        <f t="shared" si="152"/>
        <v>0.66337381432868903</v>
      </c>
      <c r="T118" s="43">
        <f t="shared" si="152"/>
        <v>0.65027061269487296</v>
      </c>
      <c r="U118" s="43">
        <f t="shared" si="152"/>
        <v>0.63574971164929472</v>
      </c>
      <c r="V118" s="43">
        <f t="shared" si="152"/>
        <v>0.62535317734036999</v>
      </c>
      <c r="W118" s="43">
        <f t="shared" ref="W118:Y118" si="153">IF(W16=0,0,W16/W$14)</f>
        <v>0.61523291155233351</v>
      </c>
      <c r="X118" s="43">
        <f t="shared" si="153"/>
        <v>0.63320252034013125</v>
      </c>
      <c r="Y118" s="43">
        <f t="shared" si="153"/>
        <v>0.62683900723093666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0.22651845482635269</v>
      </c>
      <c r="C119" s="43">
        <f t="shared" si="154"/>
        <v>0.22647899028779073</v>
      </c>
      <c r="D119" s="43">
        <f t="shared" ref="D119:V119" si="155">IF(D17=0,0,D17/D$14)</f>
        <v>0.21036705178952342</v>
      </c>
      <c r="E119" s="43">
        <f t="shared" si="155"/>
        <v>0.20442683620432858</v>
      </c>
      <c r="F119" s="43">
        <f t="shared" si="155"/>
        <v>0.22191508739121882</v>
      </c>
      <c r="G119" s="43">
        <f t="shared" si="155"/>
        <v>0.23657130747976407</v>
      </c>
      <c r="H119" s="43">
        <f t="shared" si="155"/>
        <v>0.23908950974284646</v>
      </c>
      <c r="I119" s="43">
        <f t="shared" si="155"/>
        <v>0.23574877018528975</v>
      </c>
      <c r="J119" s="43">
        <f t="shared" si="155"/>
        <v>0.23574695430153922</v>
      </c>
      <c r="K119" s="43">
        <f t="shared" si="155"/>
        <v>0.24214898696015497</v>
      </c>
      <c r="L119" s="43">
        <f t="shared" si="155"/>
        <v>0.25586543130357614</v>
      </c>
      <c r="M119" s="43">
        <f t="shared" si="155"/>
        <v>0.27473612923560226</v>
      </c>
      <c r="N119" s="43">
        <f t="shared" si="155"/>
        <v>0.29170536568199584</v>
      </c>
      <c r="O119" s="43">
        <f t="shared" si="155"/>
        <v>0.28571738179793393</v>
      </c>
      <c r="P119" s="43">
        <f t="shared" si="155"/>
        <v>0.30505868046423523</v>
      </c>
      <c r="Q119" s="43">
        <f t="shared" si="155"/>
        <v>0.30963219454235896</v>
      </c>
      <c r="R119" s="43">
        <f t="shared" si="155"/>
        <v>0.30165416554155744</v>
      </c>
      <c r="S119" s="43">
        <f t="shared" si="155"/>
        <v>0.29695935368620846</v>
      </c>
      <c r="T119" s="43">
        <f t="shared" si="155"/>
        <v>0.3133259809179666</v>
      </c>
      <c r="U119" s="43">
        <f t="shared" si="155"/>
        <v>0.32834309707156845</v>
      </c>
      <c r="V119" s="43">
        <f t="shared" si="155"/>
        <v>0.31090280240202667</v>
      </c>
      <c r="W119" s="43">
        <f t="shared" ref="W119:Y119" si="156">IF(W17=0,0,W17/W$14)</f>
        <v>0.32819657510717976</v>
      </c>
      <c r="X119" s="43">
        <f t="shared" si="156"/>
        <v>0.33092410671264866</v>
      </c>
      <c r="Y119" s="43">
        <f t="shared" si="156"/>
        <v>0.34377035288166718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2.0632618046064866E-2</v>
      </c>
      <c r="C121" s="44">
        <f t="shared" si="160"/>
        <v>2.1003813351221319E-2</v>
      </c>
      <c r="D121" s="44">
        <f t="shared" ref="D121:V121" si="161">IF(D19=0,0,D19/D$18)</f>
        <v>2.0069508375396672E-2</v>
      </c>
      <c r="E121" s="44">
        <f t="shared" si="161"/>
        <v>1.9023379497182611E-2</v>
      </c>
      <c r="F121" s="44">
        <f t="shared" si="161"/>
        <v>1.9148258063571809E-2</v>
      </c>
      <c r="G121" s="44">
        <f t="shared" si="161"/>
        <v>1.9033258475632611E-2</v>
      </c>
      <c r="H121" s="44">
        <f t="shared" si="161"/>
        <v>1.6729302982594094E-2</v>
      </c>
      <c r="I121" s="44">
        <f t="shared" si="161"/>
        <v>1.4418205741392756E-2</v>
      </c>
      <c r="J121" s="44">
        <f t="shared" si="161"/>
        <v>4.6881273486735087E-3</v>
      </c>
      <c r="K121" s="44">
        <f t="shared" si="161"/>
        <v>4.6799227394879843E-3</v>
      </c>
      <c r="L121" s="44">
        <f t="shared" si="161"/>
        <v>1.6646445712226803E-3</v>
      </c>
      <c r="M121" s="44">
        <f t="shared" si="161"/>
        <v>8.8837549666677634E-4</v>
      </c>
      <c r="N121" s="44">
        <f t="shared" si="161"/>
        <v>6.4257512628856375E-4</v>
      </c>
      <c r="O121" s="44">
        <f t="shared" si="161"/>
        <v>8.8420091737035104E-4</v>
      </c>
      <c r="P121" s="44">
        <f t="shared" si="161"/>
        <v>7.8928763049506453E-4</v>
      </c>
      <c r="Q121" s="44">
        <f t="shared" si="161"/>
        <v>7.9072711409315156E-4</v>
      </c>
      <c r="R121" s="44">
        <f t="shared" si="161"/>
        <v>2.4011348746324007E-4</v>
      </c>
      <c r="S121" s="44">
        <f t="shared" si="161"/>
        <v>3.7692602083982387E-4</v>
      </c>
      <c r="T121" s="44">
        <f t="shared" si="161"/>
        <v>6.2771058583030459E-4</v>
      </c>
      <c r="U121" s="44">
        <f t="shared" si="161"/>
        <v>5.7869684494904472E-4</v>
      </c>
      <c r="V121" s="44">
        <f t="shared" si="161"/>
        <v>9.1616238156509982E-4</v>
      </c>
      <c r="W121" s="44">
        <f t="shared" ref="W121:Y121" si="162">IF(W19=0,0,W19/W$18)</f>
        <v>1.2081581846884436E-3</v>
      </c>
      <c r="X121" s="44">
        <f t="shared" si="162"/>
        <v>3.9577594823471656E-3</v>
      </c>
      <c r="Y121" s="44">
        <f t="shared" si="162"/>
        <v>1.6189547862835146E-3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0.9315287290351012</v>
      </c>
      <c r="C122" s="44">
        <f t="shared" si="163"/>
        <v>0.92765570229138572</v>
      </c>
      <c r="D122" s="44">
        <f t="shared" ref="D122:V122" si="164">IF(D20=0,0,D20/D$18)</f>
        <v>0.91735896252228333</v>
      </c>
      <c r="E122" s="44">
        <f t="shared" si="164"/>
        <v>0.88895630308931251</v>
      </c>
      <c r="F122" s="44">
        <f t="shared" si="164"/>
        <v>0.89748979740560053</v>
      </c>
      <c r="G122" s="44">
        <f t="shared" si="164"/>
        <v>0.9317223882027329</v>
      </c>
      <c r="H122" s="44">
        <f t="shared" si="164"/>
        <v>0.96052653976435642</v>
      </c>
      <c r="I122" s="44">
        <f t="shared" si="164"/>
        <v>0.95773574265463468</v>
      </c>
      <c r="J122" s="44">
        <f t="shared" si="164"/>
        <v>0.39701276135646246</v>
      </c>
      <c r="K122" s="44">
        <f t="shared" si="164"/>
        <v>0.37605923892466969</v>
      </c>
      <c r="L122" s="44">
        <f t="shared" si="164"/>
        <v>0.25914609642345177</v>
      </c>
      <c r="M122" s="44">
        <f t="shared" si="164"/>
        <v>0.24774560257175854</v>
      </c>
      <c r="N122" s="44">
        <f t="shared" si="164"/>
        <v>0.20513633939761283</v>
      </c>
      <c r="O122" s="44">
        <f t="shared" si="164"/>
        <v>0.19632982111584432</v>
      </c>
      <c r="P122" s="44">
        <f t="shared" si="164"/>
        <v>0.24157465842332151</v>
      </c>
      <c r="Q122" s="44">
        <f t="shared" si="164"/>
        <v>0.2502610115488037</v>
      </c>
      <c r="R122" s="44">
        <f t="shared" si="164"/>
        <v>0.23527956566503141</v>
      </c>
      <c r="S122" s="44">
        <f t="shared" si="164"/>
        <v>0.24573475134175166</v>
      </c>
      <c r="T122" s="44">
        <f t="shared" si="164"/>
        <v>0.29578561968004252</v>
      </c>
      <c r="U122" s="44">
        <f t="shared" si="164"/>
        <v>0.29673166441651166</v>
      </c>
      <c r="V122" s="44">
        <f t="shared" si="164"/>
        <v>0.39679418945980566</v>
      </c>
      <c r="W122" s="44">
        <f t="shared" ref="W122:Y122" si="165">IF(W20=0,0,W20/W$18)</f>
        <v>0.39019355456885435</v>
      </c>
      <c r="X122" s="44">
        <f t="shared" si="165"/>
        <v>0.45101640951041838</v>
      </c>
      <c r="Y122" s="44">
        <f t="shared" si="165"/>
        <v>0.40003275237553698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4.7838652918833838E-2</v>
      </c>
      <c r="C123" s="45">
        <f t="shared" si="166"/>
        <v>5.1340484357393003E-2</v>
      </c>
      <c r="D123" s="45">
        <f t="shared" ref="D123:V123" si="167">IF(D21=0,0,D21/D$18)</f>
        <v>6.2571529102319959E-2</v>
      </c>
      <c r="E123" s="45">
        <f t="shared" si="167"/>
        <v>9.2020317413504832E-2</v>
      </c>
      <c r="F123" s="45">
        <f t="shared" si="167"/>
        <v>8.3361944530827778E-2</v>
      </c>
      <c r="G123" s="45">
        <f t="shared" si="167"/>
        <v>4.9244353321634508E-2</v>
      </c>
      <c r="H123" s="45">
        <f t="shared" si="167"/>
        <v>2.2744157253049398E-2</v>
      </c>
      <c r="I123" s="45">
        <f t="shared" si="167"/>
        <v>2.784605160397265E-2</v>
      </c>
      <c r="J123" s="45">
        <f t="shared" si="167"/>
        <v>0.59829911129486413</v>
      </c>
      <c r="K123" s="45">
        <f t="shared" si="167"/>
        <v>0.61926083833584222</v>
      </c>
      <c r="L123" s="45">
        <f t="shared" si="167"/>
        <v>0.73918925900532551</v>
      </c>
      <c r="M123" s="45">
        <f t="shared" si="167"/>
        <v>0.75136602193157465</v>
      </c>
      <c r="N123" s="45">
        <f t="shared" si="167"/>
        <v>0.7942210854760986</v>
      </c>
      <c r="O123" s="45">
        <f t="shared" si="167"/>
        <v>0.8027859779667853</v>
      </c>
      <c r="P123" s="45">
        <f t="shared" si="167"/>
        <v>0.7576360539461835</v>
      </c>
      <c r="Q123" s="45">
        <f t="shared" si="167"/>
        <v>0.74894826133710313</v>
      </c>
      <c r="R123" s="45">
        <f t="shared" si="167"/>
        <v>0.76448032084750539</v>
      </c>
      <c r="S123" s="45">
        <f t="shared" si="167"/>
        <v>0.75388832263740846</v>
      </c>
      <c r="T123" s="45">
        <f t="shared" si="167"/>
        <v>0.7035866697341272</v>
      </c>
      <c r="U123" s="45">
        <f t="shared" si="167"/>
        <v>0.70268963873853918</v>
      </c>
      <c r="V123" s="45">
        <f t="shared" si="167"/>
        <v>0.60228964815862918</v>
      </c>
      <c r="W123" s="45">
        <f t="shared" ref="W123:Y123" si="168">IF(W21=0,0,W21/W$18)</f>
        <v>0.60859828724645715</v>
      </c>
      <c r="X123" s="45">
        <f t="shared" si="168"/>
        <v>0.54502583100723445</v>
      </c>
      <c r="Y123" s="45">
        <f t="shared" si="168"/>
        <v>0.59834829283817959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831.19802235597581</v>
      </c>
      <c r="C3" s="79">
        <f t="shared" si="0"/>
        <v>844.70472914875302</v>
      </c>
      <c r="D3" s="79">
        <f t="shared" ref="D3" si="1">SUM(D4:D5)</f>
        <v>731.46319862424775</v>
      </c>
      <c r="E3" s="79">
        <f t="shared" ref="E3" si="2">SUM(E4:E5)</f>
        <v>756.39140154772144</v>
      </c>
      <c r="F3" s="79">
        <f t="shared" ref="F3" si="3">SUM(F4:F5)</f>
        <v>855.10180567497832</v>
      </c>
      <c r="G3" s="79">
        <f t="shared" ref="G3" si="4">SUM(G4:G5)</f>
        <v>898.73886500429899</v>
      </c>
      <c r="H3" s="79">
        <f t="shared" ref="H3" si="5">SUM(H4:H5)</f>
        <v>903.92656921754099</v>
      </c>
      <c r="I3" s="79">
        <f t="shared" ref="I3" si="6">SUM(I4:I5)</f>
        <v>930.94006878761809</v>
      </c>
      <c r="J3" s="79">
        <f t="shared" ref="J3" si="7">SUM(J4:J5)</f>
        <v>931.97910576096274</v>
      </c>
      <c r="K3" s="79">
        <f t="shared" ref="K3" si="8">SUM(K4:K5)</f>
        <v>819.76930352536544</v>
      </c>
      <c r="L3" s="79">
        <f t="shared" ref="L3" si="9">SUM(L4:L5)</f>
        <v>854.04849527085105</v>
      </c>
      <c r="M3" s="79">
        <f t="shared" ref="M3" si="10">SUM(M4:M5)</f>
        <v>873.78907996560611</v>
      </c>
      <c r="N3" s="79">
        <f t="shared" ref="N3" si="11">SUM(N4:N5)</f>
        <v>875.86706792777295</v>
      </c>
      <c r="O3" s="79">
        <f t="shared" ref="O3" si="12">SUM(O4:O5)</f>
        <v>866.51625107480618</v>
      </c>
      <c r="P3" s="79">
        <f t="shared" ref="P3" si="13">SUM(P4:P5)</f>
        <v>934.0498710232157</v>
      </c>
      <c r="Q3" s="79">
        <f t="shared" ref="Q3" si="14">SUM(Q4:Q5)</f>
        <v>913.49217540842642</v>
      </c>
      <c r="R3" s="79">
        <f t="shared" ref="R3" si="15">SUM(R4:R5)</f>
        <v>980.836887360275</v>
      </c>
      <c r="S3" s="79">
        <f t="shared" ref="S3" si="16">SUM(S4:S5)</f>
        <v>1009.4257953568359</v>
      </c>
      <c r="T3" s="79">
        <f t="shared" ref="T3" si="17">SUM(T4:T5)</f>
        <v>1054.4072226999142</v>
      </c>
      <c r="U3" s="79">
        <f t="shared" ref="U3" si="18">SUM(U4:U5)</f>
        <v>1077.2882201203777</v>
      </c>
      <c r="V3" s="79">
        <f t="shared" ref="V3:W3" si="19">SUM(V4:V5)</f>
        <v>349.79544282029229</v>
      </c>
      <c r="W3" s="79">
        <f t="shared" si="19"/>
        <v>445.64350816852971</v>
      </c>
      <c r="X3" s="79">
        <f t="shared" ref="X3:Y3" si="20">SUM(X4:X5)</f>
        <v>758.48409286328456</v>
      </c>
      <c r="Y3" s="79">
        <f t="shared" si="20"/>
        <v>865.46337059329312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46.768357695614775</v>
      </c>
      <c r="C4" s="96">
        <f t="shared" si="21"/>
        <v>47.807308684436791</v>
      </c>
      <c r="D4" s="96">
        <f t="shared" ref="D4:V4" si="22">SUM(D7,D11)</f>
        <v>39.49552880481513</v>
      </c>
      <c r="E4" s="96">
        <f t="shared" si="22"/>
        <v>38.456491831470331</v>
      </c>
      <c r="F4" s="96">
        <f t="shared" si="22"/>
        <v>32.222699914015472</v>
      </c>
      <c r="G4" s="96">
        <f t="shared" si="22"/>
        <v>34.300601891659511</v>
      </c>
      <c r="H4" s="96">
        <f t="shared" si="22"/>
        <v>36.378589853826306</v>
      </c>
      <c r="I4" s="96">
        <f t="shared" si="22"/>
        <v>42.612467755803955</v>
      </c>
      <c r="J4" s="96">
        <f t="shared" si="22"/>
        <v>44.690455717970757</v>
      </c>
      <c r="K4" s="96">
        <f t="shared" si="22"/>
        <v>44.690455717970757</v>
      </c>
      <c r="L4" s="96">
        <f t="shared" si="22"/>
        <v>46.761306964746346</v>
      </c>
      <c r="M4" s="96">
        <f t="shared" si="22"/>
        <v>44.683319002579523</v>
      </c>
      <c r="N4" s="96">
        <f t="shared" si="22"/>
        <v>38.449441100601888</v>
      </c>
      <c r="O4" s="96">
        <f t="shared" si="22"/>
        <v>37.410490111779879</v>
      </c>
      <c r="P4" s="96">
        <f t="shared" si="22"/>
        <v>36.371453138435079</v>
      </c>
      <c r="Q4" s="96">
        <f t="shared" si="22"/>
        <v>33.783834909716255</v>
      </c>
      <c r="R4" s="96">
        <f t="shared" si="22"/>
        <v>35.069131556319853</v>
      </c>
      <c r="S4" s="96">
        <f t="shared" si="22"/>
        <v>33.474806534823728</v>
      </c>
      <c r="T4" s="96">
        <f t="shared" si="22"/>
        <v>31.683404987102321</v>
      </c>
      <c r="U4" s="96">
        <f t="shared" si="22"/>
        <v>31.782717110920036</v>
      </c>
      <c r="V4" s="96">
        <f t="shared" si="22"/>
        <v>17.064316423043849</v>
      </c>
      <c r="W4" s="96">
        <f t="shared" ref="W4:Y4" si="23">SUM(W7,W11)</f>
        <v>18.278933791917456</v>
      </c>
      <c r="X4" s="96">
        <f t="shared" si="23"/>
        <v>24.531212381771279</v>
      </c>
      <c r="Y4" s="96">
        <f t="shared" si="23"/>
        <v>24.564144453998274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784.42966466036103</v>
      </c>
      <c r="C5" s="96">
        <f t="shared" si="24"/>
        <v>796.89742046431627</v>
      </c>
      <c r="D5" s="96">
        <f t="shared" ref="D5:V5" si="25">SUM(D8:D9,D12:D13)</f>
        <v>691.96766981943267</v>
      </c>
      <c r="E5" s="96">
        <f t="shared" si="25"/>
        <v>717.93490971625113</v>
      </c>
      <c r="F5" s="96">
        <f t="shared" si="25"/>
        <v>822.87910576096283</v>
      </c>
      <c r="G5" s="96">
        <f t="shared" si="25"/>
        <v>864.43826311263945</v>
      </c>
      <c r="H5" s="96">
        <f t="shared" si="25"/>
        <v>867.54797936371472</v>
      </c>
      <c r="I5" s="96">
        <f t="shared" si="25"/>
        <v>888.32760103181408</v>
      </c>
      <c r="J5" s="96">
        <f t="shared" si="25"/>
        <v>887.288650042992</v>
      </c>
      <c r="K5" s="96">
        <f t="shared" si="25"/>
        <v>775.07884780739471</v>
      </c>
      <c r="L5" s="96">
        <f t="shared" si="25"/>
        <v>807.28718830610467</v>
      </c>
      <c r="M5" s="96">
        <f t="shared" si="25"/>
        <v>829.10576096302657</v>
      </c>
      <c r="N5" s="96">
        <f t="shared" si="25"/>
        <v>837.41762682717103</v>
      </c>
      <c r="O5" s="96">
        <f t="shared" si="25"/>
        <v>829.10576096302634</v>
      </c>
      <c r="P5" s="96">
        <f t="shared" si="25"/>
        <v>897.67841788478063</v>
      </c>
      <c r="Q5" s="96">
        <f t="shared" si="25"/>
        <v>879.70834049871019</v>
      </c>
      <c r="R5" s="96">
        <f t="shared" si="25"/>
        <v>945.7677558039552</v>
      </c>
      <c r="S5" s="96">
        <f t="shared" si="25"/>
        <v>975.95098882201216</v>
      </c>
      <c r="T5" s="96">
        <f t="shared" si="25"/>
        <v>1022.723817712812</v>
      </c>
      <c r="U5" s="96">
        <f t="shared" si="25"/>
        <v>1045.5055030094577</v>
      </c>
      <c r="V5" s="96">
        <f t="shared" si="25"/>
        <v>332.73112639724843</v>
      </c>
      <c r="W5" s="96">
        <f t="shared" ref="W5:Y5" si="26">SUM(W8:W9,W12:W13)</f>
        <v>427.36457437661227</v>
      </c>
      <c r="X5" s="96">
        <f t="shared" si="26"/>
        <v>733.95288048151326</v>
      </c>
      <c r="Y5" s="96">
        <f t="shared" si="26"/>
        <v>840.8992261392948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823.31505351788451</v>
      </c>
      <c r="C6" s="21">
        <f t="shared" si="27"/>
        <v>836.47826596720233</v>
      </c>
      <c r="D6" s="21">
        <f t="shared" ref="D6:V6" si="28">SUM(D7:D9)</f>
        <v>723.87280201743772</v>
      </c>
      <c r="E6" s="21">
        <f t="shared" si="28"/>
        <v>750.32174696712195</v>
      </c>
      <c r="F6" s="21">
        <f t="shared" si="28"/>
        <v>848.30331029874276</v>
      </c>
      <c r="G6" s="21">
        <f t="shared" si="28"/>
        <v>890.97820438655549</v>
      </c>
      <c r="H6" s="21">
        <f t="shared" si="28"/>
        <v>894.59218291511388</v>
      </c>
      <c r="I6" s="21">
        <f t="shared" si="28"/>
        <v>921.86717835418244</v>
      </c>
      <c r="J6" s="21">
        <f t="shared" si="28"/>
        <v>861.7984752037795</v>
      </c>
      <c r="K6" s="21">
        <f t="shared" si="28"/>
        <v>770.03157199021837</v>
      </c>
      <c r="L6" s="21">
        <f t="shared" si="28"/>
        <v>802.14391510221617</v>
      </c>
      <c r="M6" s="21">
        <f t="shared" si="28"/>
        <v>824.63548131815321</v>
      </c>
      <c r="N6" s="21">
        <f t="shared" si="28"/>
        <v>824.5536580456519</v>
      </c>
      <c r="O6" s="21">
        <f t="shared" si="28"/>
        <v>822.8709376287743</v>
      </c>
      <c r="P6" s="21">
        <f t="shared" si="28"/>
        <v>882.80556794839276</v>
      </c>
      <c r="Q6" s="21">
        <f t="shared" si="28"/>
        <v>867.65822366186489</v>
      </c>
      <c r="R6" s="21">
        <f t="shared" si="28"/>
        <v>943.88520950023144</v>
      </c>
      <c r="S6" s="21">
        <f t="shared" si="28"/>
        <v>970.8421654010458</v>
      </c>
      <c r="T6" s="21">
        <f t="shared" si="28"/>
        <v>1026.6908971762864</v>
      </c>
      <c r="U6" s="21">
        <f t="shared" si="28"/>
        <v>1044.9016357189923</v>
      </c>
      <c r="V6" s="21">
        <f t="shared" si="28"/>
        <v>320.25373072806417</v>
      </c>
      <c r="W6" s="21">
        <f t="shared" ref="W6:Y6" si="29">SUM(W7:W9)</f>
        <v>411.89410802405632</v>
      </c>
      <c r="X6" s="21">
        <f t="shared" si="29"/>
        <v>722.62536545936382</v>
      </c>
      <c r="Y6" s="21">
        <f t="shared" si="29"/>
        <v>823.87916280065133</v>
      </c>
      <c r="DA6" s="189" t="s">
        <v>280</v>
      </c>
    </row>
    <row r="7" spans="1:105" ht="11.45" customHeight="1" x14ac:dyDescent="0.25">
      <c r="A7" s="83" t="s">
        <v>27</v>
      </c>
      <c r="B7" s="96">
        <v>46.518694134263129</v>
      </c>
      <c r="C7" s="96">
        <v>47.542946982934829</v>
      </c>
      <c r="D7" s="96">
        <v>39.302074620897528</v>
      </c>
      <c r="E7" s="96">
        <v>38.345082498809049</v>
      </c>
      <c r="F7" s="96">
        <v>32.145995717365345</v>
      </c>
      <c r="G7" s="96">
        <v>34.202785503090944</v>
      </c>
      <c r="H7" s="96">
        <v>36.257862173756955</v>
      </c>
      <c r="I7" s="96">
        <v>42.484730805414863</v>
      </c>
      <c r="J7" s="96">
        <v>44.435310698950808</v>
      </c>
      <c r="K7" s="96">
        <v>44.456889458139642</v>
      </c>
      <c r="L7" s="96">
        <v>46.660095618340186</v>
      </c>
      <c r="M7" s="96">
        <v>44.626663321550886</v>
      </c>
      <c r="N7" s="96">
        <v>38.393818155638776</v>
      </c>
      <c r="O7" s="96">
        <v>37.353395088861141</v>
      </c>
      <c r="P7" s="96">
        <v>36.318256640179207</v>
      </c>
      <c r="Q7" s="96">
        <v>33.740119295318955</v>
      </c>
      <c r="R7" s="96">
        <v>35.058728458456578</v>
      </c>
      <c r="S7" s="96">
        <v>33.457683369515891</v>
      </c>
      <c r="T7" s="96">
        <v>31.661774931035541</v>
      </c>
      <c r="U7" s="96">
        <v>31.764557743491224</v>
      </c>
      <c r="V7" s="96">
        <v>17.041806589894179</v>
      </c>
      <c r="W7" s="96">
        <v>18.241141152364307</v>
      </c>
      <c r="X7" s="96">
        <v>24.463626100629728</v>
      </c>
      <c r="Y7" s="96">
        <v>24.490459733891885</v>
      </c>
      <c r="DA7" s="171" t="s">
        <v>281</v>
      </c>
    </row>
    <row r="8" spans="1:105" ht="11.45" customHeight="1" x14ac:dyDescent="0.25">
      <c r="A8" s="83" t="s">
        <v>181</v>
      </c>
      <c r="B8" s="96">
        <v>463.40290106999373</v>
      </c>
      <c r="C8" s="96">
        <v>470.6298770166544</v>
      </c>
      <c r="D8" s="96">
        <v>422.97673836609169</v>
      </c>
      <c r="E8" s="96">
        <v>444.24113518155252</v>
      </c>
      <c r="F8" s="96">
        <v>485.63391582911385</v>
      </c>
      <c r="G8" s="96">
        <v>508.67147261678087</v>
      </c>
      <c r="H8" s="96">
        <v>511.48104953080991</v>
      </c>
      <c r="I8" s="96">
        <v>529.88261798624626</v>
      </c>
      <c r="J8" s="96">
        <v>491.83913533421611</v>
      </c>
      <c r="K8" s="96">
        <v>422.62014959178168</v>
      </c>
      <c r="L8" s="96">
        <v>438.41794141375533</v>
      </c>
      <c r="M8" s="96">
        <v>454.6378388804373</v>
      </c>
      <c r="N8" s="96">
        <v>454.16471650914303</v>
      </c>
      <c r="O8" s="96">
        <v>455.07113700510553</v>
      </c>
      <c r="P8" s="96">
        <v>492.10501324297257</v>
      </c>
      <c r="Q8" s="96">
        <v>487.51095972795349</v>
      </c>
      <c r="R8" s="96">
        <v>546.26956919246595</v>
      </c>
      <c r="S8" s="96">
        <v>567.21702485773392</v>
      </c>
      <c r="T8" s="96">
        <v>597.38084614912646</v>
      </c>
      <c r="U8" s="96">
        <v>597.94336424899825</v>
      </c>
      <c r="V8" s="96">
        <v>155.31419693052948</v>
      </c>
      <c r="W8" s="96">
        <v>215.50134863670758</v>
      </c>
      <c r="X8" s="96">
        <v>424.05155108446354</v>
      </c>
      <c r="Y8" s="96">
        <v>480.73061351891187</v>
      </c>
      <c r="DA8" s="171" t="s">
        <v>282</v>
      </c>
    </row>
    <row r="9" spans="1:105" ht="11.45" customHeight="1" x14ac:dyDescent="0.25">
      <c r="A9" s="83" t="s">
        <v>182</v>
      </c>
      <c r="B9" s="96">
        <v>313.39345831362772</v>
      </c>
      <c r="C9" s="96">
        <v>318.30544196761304</v>
      </c>
      <c r="D9" s="96">
        <v>261.59398903044848</v>
      </c>
      <c r="E9" s="96">
        <v>267.73552928676037</v>
      </c>
      <c r="F9" s="96">
        <v>330.52339875226357</v>
      </c>
      <c r="G9" s="96">
        <v>348.10394626668364</v>
      </c>
      <c r="H9" s="96">
        <v>346.85327121054706</v>
      </c>
      <c r="I9" s="96">
        <v>349.49982956252126</v>
      </c>
      <c r="J9" s="96">
        <v>325.52402917061261</v>
      </c>
      <c r="K9" s="96">
        <v>302.95453294029704</v>
      </c>
      <c r="L9" s="96">
        <v>317.06587807012073</v>
      </c>
      <c r="M9" s="96">
        <v>325.37097911616502</v>
      </c>
      <c r="N9" s="96">
        <v>331.9951233808701</v>
      </c>
      <c r="O9" s="96">
        <v>330.4464055348077</v>
      </c>
      <c r="P9" s="96">
        <v>354.38229806524095</v>
      </c>
      <c r="Q9" s="96">
        <v>346.40714463859246</v>
      </c>
      <c r="R9" s="96">
        <v>362.5569118493089</v>
      </c>
      <c r="S9" s="96">
        <v>370.16745717379604</v>
      </c>
      <c r="T9" s="96">
        <v>397.64827609612433</v>
      </c>
      <c r="U9" s="96">
        <v>415.19371372650289</v>
      </c>
      <c r="V9" s="96">
        <v>147.89772720764051</v>
      </c>
      <c r="W9" s="96">
        <v>178.15161823498445</v>
      </c>
      <c r="X9" s="96">
        <v>274.11018827427057</v>
      </c>
      <c r="Y9" s="96">
        <v>318.65808954784762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7.8829688380913527</v>
      </c>
      <c r="C10" s="22">
        <f t="shared" si="30"/>
        <v>8.2264631815508089</v>
      </c>
      <c r="D10" s="22">
        <f t="shared" ref="D10:V10" si="31">SUM(D11:D13)</f>
        <v>7.5903966068101809</v>
      </c>
      <c r="E10" s="22">
        <f t="shared" si="31"/>
        <v>6.0696545805994759</v>
      </c>
      <c r="F10" s="22">
        <f t="shared" si="31"/>
        <v>6.7984953762355227</v>
      </c>
      <c r="G10" s="22">
        <f t="shared" si="31"/>
        <v>7.7606606177435431</v>
      </c>
      <c r="H10" s="22">
        <f t="shared" si="31"/>
        <v>9.3343863024269798</v>
      </c>
      <c r="I10" s="22">
        <f t="shared" si="31"/>
        <v>9.0728904334357754</v>
      </c>
      <c r="J10" s="22">
        <f t="shared" si="31"/>
        <v>70.180630557183179</v>
      </c>
      <c r="K10" s="22">
        <f t="shared" si="31"/>
        <v>49.737731535147191</v>
      </c>
      <c r="L10" s="22">
        <f t="shared" si="31"/>
        <v>51.904580168634809</v>
      </c>
      <c r="M10" s="22">
        <f t="shared" si="31"/>
        <v>49.153598647452746</v>
      </c>
      <c r="N10" s="22">
        <f t="shared" si="31"/>
        <v>51.313409882121057</v>
      </c>
      <c r="O10" s="22">
        <f t="shared" si="31"/>
        <v>43.645313446031906</v>
      </c>
      <c r="P10" s="22">
        <f t="shared" si="31"/>
        <v>51.244303074823073</v>
      </c>
      <c r="Q10" s="22">
        <f t="shared" si="31"/>
        <v>45.833951746561496</v>
      </c>
      <c r="R10" s="22">
        <f t="shared" si="31"/>
        <v>36.951677860043702</v>
      </c>
      <c r="S10" s="22">
        <f t="shared" si="31"/>
        <v>38.583629955789959</v>
      </c>
      <c r="T10" s="22">
        <f t="shared" si="31"/>
        <v>27.716325523627972</v>
      </c>
      <c r="U10" s="22">
        <f t="shared" si="31"/>
        <v>32.386584401385463</v>
      </c>
      <c r="V10" s="22">
        <f t="shared" si="31"/>
        <v>29.541712092228089</v>
      </c>
      <c r="W10" s="22">
        <f t="shared" ref="W10:Y10" si="32">SUM(W11:W13)</f>
        <v>33.749400144473391</v>
      </c>
      <c r="X10" s="22">
        <f t="shared" si="32"/>
        <v>35.858727403920568</v>
      </c>
      <c r="Y10" s="22">
        <f t="shared" si="32"/>
        <v>41.584207792641685</v>
      </c>
      <c r="DA10" s="193" t="s">
        <v>284</v>
      </c>
    </row>
    <row r="11" spans="1:105" ht="11.45" customHeight="1" x14ac:dyDescent="0.25">
      <c r="A11" s="92" t="s">
        <v>27</v>
      </c>
      <c r="B11" s="97">
        <v>0.24966356135164591</v>
      </c>
      <c r="C11" s="97">
        <v>0.26436170150196214</v>
      </c>
      <c r="D11" s="97">
        <v>0.19345418391760336</v>
      </c>
      <c r="E11" s="97">
        <v>0.11140933266128164</v>
      </c>
      <c r="F11" s="97">
        <v>7.6704196650124179E-2</v>
      </c>
      <c r="G11" s="97">
        <v>9.7816388568565907E-2</v>
      </c>
      <c r="H11" s="97">
        <v>0.12072768006935068</v>
      </c>
      <c r="I11" s="97">
        <v>0.12773695038909577</v>
      </c>
      <c r="J11" s="97">
        <v>0.25514501901994752</v>
      </c>
      <c r="K11" s="97">
        <v>0.23356625983111692</v>
      </c>
      <c r="L11" s="97">
        <v>0.101211346406161</v>
      </c>
      <c r="M11" s="97">
        <v>5.6655681028634747E-2</v>
      </c>
      <c r="N11" s="97">
        <v>5.5622944963113263E-2</v>
      </c>
      <c r="O11" s="97">
        <v>5.7095022918738761E-2</v>
      </c>
      <c r="P11" s="97">
        <v>5.3196498255871957E-2</v>
      </c>
      <c r="Q11" s="97">
        <v>4.3715614397300998E-2</v>
      </c>
      <c r="R11" s="97">
        <v>1.0403097863274934E-2</v>
      </c>
      <c r="S11" s="97">
        <v>1.7123165307833105E-2</v>
      </c>
      <c r="T11" s="97">
        <v>2.163005606678119E-2</v>
      </c>
      <c r="U11" s="97">
        <v>1.8159367428811767E-2</v>
      </c>
      <c r="V11" s="97">
        <v>2.2509833149668795E-2</v>
      </c>
      <c r="W11" s="97">
        <v>3.7792639553151139E-2</v>
      </c>
      <c r="X11" s="97">
        <v>6.7586281141552698E-2</v>
      </c>
      <c r="Y11" s="97">
        <v>7.3684720106388421E-2</v>
      </c>
      <c r="DA11" s="175" t="s">
        <v>285</v>
      </c>
    </row>
    <row r="12" spans="1:105" ht="11.45" customHeight="1" x14ac:dyDescent="0.25">
      <c r="A12" s="92" t="s">
        <v>181</v>
      </c>
      <c r="B12" s="97">
        <v>6.9325585501084461</v>
      </c>
      <c r="C12" s="97">
        <v>7.1799279995351775</v>
      </c>
      <c r="D12" s="97">
        <v>6.5216481952291243</v>
      </c>
      <c r="E12" s="97">
        <v>4.9505579202446874</v>
      </c>
      <c r="F12" s="97">
        <v>5.6832171207088269</v>
      </c>
      <c r="G12" s="97">
        <v>6.9879809550836827</v>
      </c>
      <c r="H12" s="97">
        <v>8.8408181178006675</v>
      </c>
      <c r="I12" s="97">
        <v>8.500484285898338</v>
      </c>
      <c r="J12" s="97">
        <v>17.831437593791911</v>
      </c>
      <c r="K12" s="97">
        <v>11.405797050966138</v>
      </c>
      <c r="L12" s="97">
        <v>7.7576822301914206</v>
      </c>
      <c r="M12" s="97">
        <v>7.5261939279111729</v>
      </c>
      <c r="N12" s="97">
        <v>6.6412724328806911</v>
      </c>
      <c r="O12" s="97">
        <v>5.4440212273538675</v>
      </c>
      <c r="P12" s="97">
        <v>9.0983057298250802</v>
      </c>
      <c r="Q12" s="97">
        <v>8.9418355477950957</v>
      </c>
      <c r="R12" s="97">
        <v>7.2462816284102551</v>
      </c>
      <c r="S12" s="97">
        <v>8.9051423565927781</v>
      </c>
      <c r="T12" s="97">
        <v>9.0603631492214696</v>
      </c>
      <c r="U12" s="97">
        <v>10.478593040310091</v>
      </c>
      <c r="V12" s="97">
        <v>10.300676495841973</v>
      </c>
      <c r="W12" s="97">
        <v>14.017349996844571</v>
      </c>
      <c r="X12" s="97">
        <v>16.567525370029283</v>
      </c>
      <c r="Y12" s="97">
        <v>16.145383371107616</v>
      </c>
      <c r="DA12" s="175" t="s">
        <v>286</v>
      </c>
    </row>
    <row r="13" spans="1:105" ht="11.45" customHeight="1" x14ac:dyDescent="0.25">
      <c r="A13" s="85" t="s">
        <v>182</v>
      </c>
      <c r="B13" s="98">
        <v>0.70074672663126081</v>
      </c>
      <c r="C13" s="98">
        <v>0.78217348051366942</v>
      </c>
      <c r="D13" s="98">
        <v>0.87529422766345366</v>
      </c>
      <c r="E13" s="98">
        <v>1.0076873276935063</v>
      </c>
      <c r="F13" s="98">
        <v>1.0385740588765715</v>
      </c>
      <c r="G13" s="98">
        <v>0.67486327409129432</v>
      </c>
      <c r="H13" s="98">
        <v>0.37284050455696227</v>
      </c>
      <c r="I13" s="98">
        <v>0.44466919714834197</v>
      </c>
      <c r="J13" s="98">
        <v>52.094047944371312</v>
      </c>
      <c r="K13" s="98">
        <v>38.098368224349933</v>
      </c>
      <c r="L13" s="98">
        <v>44.045686592037228</v>
      </c>
      <c r="M13" s="98">
        <v>41.570749038512936</v>
      </c>
      <c r="N13" s="98">
        <v>44.616514504277255</v>
      </c>
      <c r="O13" s="98">
        <v>38.144197195759297</v>
      </c>
      <c r="P13" s="98">
        <v>42.092800846742122</v>
      </c>
      <c r="Q13" s="98">
        <v>36.848400584369102</v>
      </c>
      <c r="R13" s="98">
        <v>29.694993133770168</v>
      </c>
      <c r="S13" s="98">
        <v>29.66136443388935</v>
      </c>
      <c r="T13" s="98">
        <v>18.634332318339723</v>
      </c>
      <c r="U13" s="98">
        <v>21.889831993646563</v>
      </c>
      <c r="V13" s="98">
        <v>19.218525763236446</v>
      </c>
      <c r="W13" s="98">
        <v>19.694257508075669</v>
      </c>
      <c r="X13" s="98">
        <v>19.223615752749737</v>
      </c>
      <c r="Y13" s="98">
        <v>25.36513970142768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518.11866729323265</v>
      </c>
      <c r="C17" s="62">
        <f>IF(C3=0,0,C3/TrAvia_act!C13*100)</f>
        <v>517.51196998973717</v>
      </c>
      <c r="D17" s="62">
        <f>IF(D3=0,0,D3/TrAvia_act!D13*100)</f>
        <v>489.29026707953273</v>
      </c>
      <c r="E17" s="62">
        <f>IF(E3=0,0,E3/TrAvia_act!E13*100)</f>
        <v>508.53809064787185</v>
      </c>
      <c r="F17" s="62">
        <f>IF(F3=0,0,F3/TrAvia_act!F13*100)</f>
        <v>521.02373894354002</v>
      </c>
      <c r="G17" s="62">
        <f>IF(G3=0,0,G3/TrAvia_act!G13*100)</f>
        <v>542.92218827585987</v>
      </c>
      <c r="H17" s="62">
        <f>IF(H3=0,0,H3/TrAvia_act!H13*100)</f>
        <v>560.77125769311101</v>
      </c>
      <c r="I17" s="62">
        <f>IF(I3=0,0,I3/TrAvia_act!I13*100)</f>
        <v>572.99005764588969</v>
      </c>
      <c r="J17" s="62">
        <f>IF(J3=0,0,J3/TrAvia_act!J13*100)</f>
        <v>532.63095782140533</v>
      </c>
      <c r="K17" s="62">
        <f>IF(K3=0,0,K3/TrAvia_act!K13*100)</f>
        <v>515.80885092383573</v>
      </c>
      <c r="L17" s="62">
        <f>IF(L3=0,0,L3/TrAvia_act!L13*100)</f>
        <v>502.18248521205464</v>
      </c>
      <c r="M17" s="62">
        <f>IF(M3=0,0,M3/TrAvia_act!M13*100)</f>
        <v>500.88368983785824</v>
      </c>
      <c r="N17" s="62">
        <f>IF(N3=0,0,N3/TrAvia_act!N13*100)</f>
        <v>506.5713201292225</v>
      </c>
      <c r="O17" s="62">
        <f>IF(O3=0,0,O3/TrAvia_act!O13*100)</f>
        <v>492.24235616865519</v>
      </c>
      <c r="P17" s="62">
        <f>IF(P3=0,0,P3/TrAvia_act!P13*100)</f>
        <v>516.95200850292974</v>
      </c>
      <c r="Q17" s="62">
        <f>IF(Q3=0,0,Q3/TrAvia_act!Q13*100)</f>
        <v>497.46233867965435</v>
      </c>
      <c r="R17" s="62">
        <f>IF(R3=0,0,R3/TrAvia_act!R13*100)</f>
        <v>501.97614032900651</v>
      </c>
      <c r="S17" s="62">
        <f>IF(S3=0,0,S3/TrAvia_act!S13*100)</f>
        <v>515.75294273872555</v>
      </c>
      <c r="T17" s="62">
        <f>IF(T3=0,0,T3/TrAvia_act!T13*100)</f>
        <v>511.7193849767234</v>
      </c>
      <c r="U17" s="62">
        <f>IF(U3=0,0,U3/TrAvia_act!U13*100)</f>
        <v>526.03127750391752</v>
      </c>
      <c r="V17" s="62">
        <f>IF(V3=0,0,V3/TrAvia_act!V13*100)</f>
        <v>502.67105412131821</v>
      </c>
      <c r="W17" s="62">
        <f>IF(W3=0,0,W3/TrAvia_act!W13*100)</f>
        <v>493.70050709936572</v>
      </c>
      <c r="X17" s="62">
        <f>IF(X3=0,0,X3/TrAvia_act!X13*100)</f>
        <v>440.2512996158838</v>
      </c>
      <c r="Y17" s="62">
        <f>IF(Y3=0,0,Y3/TrAvia_act!Y13*100)</f>
        <v>437.30328233301412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519.06117827780463</v>
      </c>
      <c r="C18" s="14">
        <f>IF(C6=0,0,C6/TrAvia_act!C14*100)</f>
        <v>518.45930832775696</v>
      </c>
      <c r="D18" s="14">
        <f>IF(D6=0,0,D6/TrAvia_act!D14*100)</f>
        <v>490.08371898464668</v>
      </c>
      <c r="E18" s="14">
        <f>IF(E6=0,0,E6/TrAvia_act!E14*100)</f>
        <v>509.0033747440952</v>
      </c>
      <c r="F18" s="14">
        <f>IF(F6=0,0,F6/TrAvia_act!F14*100)</f>
        <v>521.54127302911388</v>
      </c>
      <c r="G18" s="14">
        <f>IF(G6=0,0,G6/TrAvia_act!G14*100)</f>
        <v>543.71542655530652</v>
      </c>
      <c r="H18" s="14">
        <f>IF(H6=0,0,H6/TrAvia_act!H14*100)</f>
        <v>561.8646392538767</v>
      </c>
      <c r="I18" s="14">
        <f>IF(I6=0,0,I6/TrAvia_act!I14*100)</f>
        <v>573.98085837448139</v>
      </c>
      <c r="J18" s="14">
        <f>IF(J6=0,0,J6/TrAvia_act!J14*100)</f>
        <v>522.66185186761084</v>
      </c>
      <c r="K18" s="14">
        <f>IF(K6=0,0,K6/TrAvia_act!K14*100)</f>
        <v>507.88119198379655</v>
      </c>
      <c r="L18" s="14">
        <f>IF(L6=0,0,L6/TrAvia_act!L14*100)</f>
        <v>492.52942948531916</v>
      </c>
      <c r="M18" s="14">
        <f>IF(M6=0,0,M6/TrAvia_act!M14*100)</f>
        <v>492.85058516632046</v>
      </c>
      <c r="N18" s="14">
        <f>IF(N6=0,0,N6/TrAvia_act!N14*100)</f>
        <v>498.76507569880204</v>
      </c>
      <c r="O18" s="14">
        <f>IF(O6=0,0,O6/TrAvia_act!O14*100)</f>
        <v>485.63054709484243</v>
      </c>
      <c r="P18" s="14">
        <f>IF(P6=0,0,P6/TrAvia_act!P14*100)</f>
        <v>511.11783117593365</v>
      </c>
      <c r="Q18" s="14">
        <f>IF(Q6=0,0,Q6/TrAvia_act!Q14*100)</f>
        <v>492.68549584460857</v>
      </c>
      <c r="R18" s="14">
        <f>IF(R6=0,0,R6/TrAvia_act!R14*100)</f>
        <v>499.11781278153438</v>
      </c>
      <c r="S18" s="14">
        <f>IF(S6=0,0,S6/TrAvia_act!S14*100)</f>
        <v>514.87299046650571</v>
      </c>
      <c r="T18" s="14">
        <f>IF(T6=0,0,T6/TrAvia_act!T14*100)</f>
        <v>513.01269151219117</v>
      </c>
      <c r="U18" s="14">
        <f>IF(U6=0,0,U6/TrAvia_act!U14*100)</f>
        <v>527.30234208359229</v>
      </c>
      <c r="V18" s="14">
        <f>IF(V6=0,0,V6/TrAvia_act!V14*100)</f>
        <v>503.84295539848017</v>
      </c>
      <c r="W18" s="14">
        <f>IF(W6=0,0,W6/TrAvia_act!W14*100)</f>
        <v>500.65942456561345</v>
      </c>
      <c r="X18" s="14">
        <f>IF(X6=0,0,X6/TrAvia_act!X14*100)</f>
        <v>442.47481937067857</v>
      </c>
      <c r="Y18" s="14">
        <f>IF(Y6=0,0,Y6/TrAvia_act!Y14*100)</f>
        <v>437.78377981644149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782.27205171716525</v>
      </c>
      <c r="C19" s="87">
        <f>IF(C7=0,0,C7/TrAvia_act!C15*100)</f>
        <v>781.32859693716466</v>
      </c>
      <c r="D19" s="87">
        <f>IF(D7=0,0,D7/TrAvia_act!D15*100)</f>
        <v>629.82870680473604</v>
      </c>
      <c r="E19" s="87">
        <f>IF(E7=0,0,E7/TrAvia_act!E15*100)</f>
        <v>515.8617861729175</v>
      </c>
      <c r="F19" s="87">
        <f>IF(F7=0,0,F7/TrAvia_act!F15*100)</f>
        <v>319.64905139566372</v>
      </c>
      <c r="G19" s="87">
        <f>IF(G7=0,0,G7/TrAvia_act!G15*100)</f>
        <v>362.9356894744588</v>
      </c>
      <c r="H19" s="87">
        <f>IF(H7=0,0,H7/TrAvia_act!H15*100)</f>
        <v>385.32980345787246</v>
      </c>
      <c r="I19" s="87">
        <f>IF(I7=0,0,I7/TrAvia_act!I15*100)</f>
        <v>441.54881936328616</v>
      </c>
      <c r="J19" s="87">
        <f>IF(J7=0,0,J7/TrAvia_act!J15*100)</f>
        <v>432.43802101117444</v>
      </c>
      <c r="K19" s="87">
        <f>IF(K7=0,0,K7/TrAvia_act!K15*100)</f>
        <v>459.22866171395992</v>
      </c>
      <c r="L19" s="87">
        <f>IF(L7=0,0,L7/TrAvia_act!L15*100)</f>
        <v>444.29996118151018</v>
      </c>
      <c r="M19" s="87">
        <f>IF(M7=0,0,M7/TrAvia_act!M15*100)</f>
        <v>445.3848833617572</v>
      </c>
      <c r="N19" s="87">
        <f>IF(N7=0,0,N7/TrAvia_act!N15*100)</f>
        <v>555.68756984813876</v>
      </c>
      <c r="O19" s="87">
        <f>IF(O7=0,0,O7/TrAvia_act!O15*100)</f>
        <v>516.99838324563552</v>
      </c>
      <c r="P19" s="87">
        <f>IF(P7=0,0,P7/TrAvia_act!P15*100)</f>
        <v>480.68849239229195</v>
      </c>
      <c r="Q19" s="87">
        <f>IF(Q7=0,0,Q7/TrAvia_act!Q15*100)</f>
        <v>448.92430859370972</v>
      </c>
      <c r="R19" s="87">
        <f>IF(R7=0,0,R7/TrAvia_act!R15*100)</f>
        <v>454.70962588452977</v>
      </c>
      <c r="S19" s="87">
        <f>IF(S7=0,0,S7/TrAvia_act!S15*100)</f>
        <v>447.32155902938251</v>
      </c>
      <c r="T19" s="87">
        <f>IF(T7=0,0,T7/TrAvia_act!T15*100)</f>
        <v>434.59190367577241</v>
      </c>
      <c r="U19" s="87">
        <f>IF(U7=0,0,U7/TrAvia_act!U15*100)</f>
        <v>446.42208255642498</v>
      </c>
      <c r="V19" s="87">
        <f>IF(V7=0,0,V7/TrAvia_act!V15*100)</f>
        <v>420.60765718554876</v>
      </c>
      <c r="W19" s="87">
        <f>IF(W7=0,0,W7/TrAvia_act!W15*100)</f>
        <v>391.93919885006801</v>
      </c>
      <c r="X19" s="87">
        <f>IF(X7=0,0,X7/TrAvia_act!X15*100)</f>
        <v>417.56489153633271</v>
      </c>
      <c r="Y19" s="87">
        <f>IF(Y7=0,0,Y7/TrAvia_act!Y15*100)</f>
        <v>442.77597069430357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396.95269885146644</v>
      </c>
      <c r="C20" s="87">
        <f>IF(C8=0,0,C8/TrAvia_act!C16*100)</f>
        <v>396.4387427765493</v>
      </c>
      <c r="D20" s="87">
        <f>IF(D8=0,0,D8/TrAvia_act!D16*100)</f>
        <v>383.15973438790672</v>
      </c>
      <c r="E20" s="87">
        <f>IF(E8=0,0,E8/TrAvia_act!E16*100)</f>
        <v>404.43571643145606</v>
      </c>
      <c r="F20" s="87">
        <f>IF(F8=0,0,F8/TrAvia_act!F16*100)</f>
        <v>416.84846204593288</v>
      </c>
      <c r="G20" s="87">
        <f>IF(G8=0,0,G8/TrAvia_act!G16*100)</f>
        <v>439.73061724427919</v>
      </c>
      <c r="H20" s="87">
        <f>IF(H8=0,0,H8/TrAvia_act!H16*100)</f>
        <v>457.73628822308694</v>
      </c>
      <c r="I20" s="87">
        <f>IF(I8=0,0,I8/TrAvia_act!I16*100)</f>
        <v>468.40793919986299</v>
      </c>
      <c r="J20" s="87">
        <f>IF(J8=0,0,J8/TrAvia_act!J16*100)</f>
        <v>424.95384564971675</v>
      </c>
      <c r="K20" s="87">
        <f>IF(K8=0,0,K8/TrAvia_act!K16*100)</f>
        <v>401.64646531611015</v>
      </c>
      <c r="L20" s="87">
        <f>IF(L8=0,0,L8/TrAvia_act!L16*100)</f>
        <v>396.07941065598317</v>
      </c>
      <c r="M20" s="87">
        <f>IF(M8=0,0,M8/TrAvia_act!M16*100)</f>
        <v>408.36574581348862</v>
      </c>
      <c r="N20" s="87">
        <f>IF(N8=0,0,N8/TrAvia_act!N16*100)</f>
        <v>412.18249948111804</v>
      </c>
      <c r="O20" s="87">
        <f>IF(O8=0,0,O8/TrAvia_act!O16*100)</f>
        <v>399.86665469600678</v>
      </c>
      <c r="P20" s="87">
        <f>IF(P8=0,0,P8/TrAvia_act!P16*100)</f>
        <v>437.52318248761713</v>
      </c>
      <c r="Q20" s="87">
        <f>IF(Q8=0,0,Q8/TrAvia_act!Q16*100)</f>
        <v>427.40321780163856</v>
      </c>
      <c r="R20" s="87">
        <f>IF(R8=0,0,R8/TrAvia_act!R16*100)</f>
        <v>439.28398838097723</v>
      </c>
      <c r="S20" s="87">
        <f>IF(S8=0,0,S8/TrAvia_act!S16*100)</f>
        <v>453.46358052269107</v>
      </c>
      <c r="T20" s="87">
        <f>IF(T8=0,0,T8/TrAvia_act!T16*100)</f>
        <v>459.0347499951896</v>
      </c>
      <c r="U20" s="87">
        <f>IF(U8=0,0,U8/TrAvia_act!U16*100)</f>
        <v>474.63326198757727</v>
      </c>
      <c r="V20" s="87">
        <f>IF(V8=0,0,V8/TrAvia_act!V16*100)</f>
        <v>390.739024335127</v>
      </c>
      <c r="W20" s="87">
        <f>IF(W8=0,0,W8/TrAvia_act!W16*100)</f>
        <v>425.76234468815341</v>
      </c>
      <c r="X20" s="87">
        <f>IF(X8=0,0,X8/TrAvia_act!X16*100)</f>
        <v>410.06375087876955</v>
      </c>
      <c r="Y20" s="87">
        <f>IF(Y8=0,0,Y8/TrAvia_act!Y16*100)</f>
        <v>407.51341781475594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872.24568273054626</v>
      </c>
      <c r="C21" s="87">
        <f>IF(C9=0,0,C9/TrAvia_act!C17*100)</f>
        <v>871.11633656638912</v>
      </c>
      <c r="D21" s="87">
        <f>IF(D9=0,0,D9/TrAvia_act!D17*100)</f>
        <v>841.89524332446604</v>
      </c>
      <c r="E21" s="87">
        <f>IF(E9=0,0,E9/TrAvia_act!E17*100)</f>
        <v>888.46684848380323</v>
      </c>
      <c r="F21" s="87">
        <f>IF(F9=0,0,F9/TrAvia_act!F17*100)</f>
        <v>915.69934011093926</v>
      </c>
      <c r="G21" s="87">
        <f>IF(G9=0,0,G9/TrAvia_act!G17*100)</f>
        <v>897.94854591660476</v>
      </c>
      <c r="H21" s="87">
        <f>IF(H9=0,0,H9/TrAvia_act!H17*100)</f>
        <v>911.15418678467108</v>
      </c>
      <c r="I21" s="87">
        <f>IF(I9=0,0,I9/TrAvia_act!I17*100)</f>
        <v>923.05289549483302</v>
      </c>
      <c r="J21" s="87">
        <f>IF(J9=0,0,J9/TrAvia_act!J17*100)</f>
        <v>837.43680350240163</v>
      </c>
      <c r="K21" s="87">
        <f>IF(K9=0,0,K9/TrAvia_act!K17*100)</f>
        <v>825.17943627211002</v>
      </c>
      <c r="L21" s="87">
        <f>IF(L9=0,0,L9/TrAvia_act!L17*100)</f>
        <v>760.88283058720606</v>
      </c>
      <c r="M21" s="87">
        <f>IF(M9=0,0,M9/TrAvia_act!M17*100)</f>
        <v>707.80935519694003</v>
      </c>
      <c r="N21" s="87">
        <f>IF(N9=0,0,N9/TrAvia_act!N17*100)</f>
        <v>688.43731156692218</v>
      </c>
      <c r="O21" s="87">
        <f>IF(O9=0,0,O9/TrAvia_act!O17*100)</f>
        <v>682.55655719111371</v>
      </c>
      <c r="P21" s="87">
        <f>IF(P9=0,0,P9/TrAvia_act!P17*100)</f>
        <v>672.58101046025558</v>
      </c>
      <c r="Q21" s="87">
        <f>IF(Q9=0,0,Q9/TrAvia_act!Q17*100)</f>
        <v>635.2750803172969</v>
      </c>
      <c r="R21" s="87">
        <f>IF(R9=0,0,R9/TrAvia_act!R17*100)</f>
        <v>635.5515039903878</v>
      </c>
      <c r="S21" s="87">
        <f>IF(S9=0,0,S9/TrAvia_act!S17*100)</f>
        <v>661.07800220407103</v>
      </c>
      <c r="T21" s="87">
        <f>IF(T9=0,0,T9/TrAvia_act!T17*100)</f>
        <v>634.14868157557544</v>
      </c>
      <c r="U21" s="87">
        <f>IF(U9=0,0,U9/TrAvia_act!U17*100)</f>
        <v>638.12707315900104</v>
      </c>
      <c r="V21" s="87">
        <f>IF(V9=0,0,V9/TrAvia_act!V17*100)</f>
        <v>748.40702689650914</v>
      </c>
      <c r="W21" s="87">
        <f>IF(W9=0,0,W9/TrAvia_act!W17*100)</f>
        <v>659.80035247426929</v>
      </c>
      <c r="X21" s="87">
        <f>IF(X9=0,0,X9/TrAvia_act!X17*100)</f>
        <v>507.19169237225697</v>
      </c>
      <c r="Y21" s="87">
        <f>IF(Y9=0,0,Y9/TrAvia_act!Y17*100)</f>
        <v>492.55266789387917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435.52332813919128</v>
      </c>
      <c r="C22" s="15">
        <f>IF(C10=0,0,C10/TrAvia_act!C18*100)</f>
        <v>436.4264976430598</v>
      </c>
      <c r="D22" s="15">
        <f>IF(D10=0,0,D10/TrAvia_act!D18*100)</f>
        <v>423.84800981965674</v>
      </c>
      <c r="E22" s="15">
        <f>IF(E10=0,0,E10/TrAvia_act!E18*100)</f>
        <v>456.90725457578793</v>
      </c>
      <c r="F22" s="15">
        <f>IF(F10=0,0,F10/TrAvia_act!F18*100)</f>
        <v>463.61875177522904</v>
      </c>
      <c r="G22" s="15">
        <f>IF(G10=0,0,G10/TrAvia_act!G18*100)</f>
        <v>465.03192589545773</v>
      </c>
      <c r="H22" s="15">
        <f>IF(H10=0,0,H10/TrAvia_act!H18*100)</f>
        <v>472.62633681777066</v>
      </c>
      <c r="I22" s="15">
        <f>IF(I10=0,0,I10/TrAvia_act!I18*100)</f>
        <v>487.48817457944477</v>
      </c>
      <c r="J22" s="15">
        <f>IF(J10=0,0,J10/TrAvia_act!J18*100)</f>
        <v>695.5403845579342</v>
      </c>
      <c r="K22" s="15">
        <f>IF(K10=0,0,K10/TrAvia_act!K18*100)</f>
        <v>680.18182288642356</v>
      </c>
      <c r="L22" s="15">
        <f>IF(L10=0,0,L10/TrAvia_act!L18*100)</f>
        <v>720.37357553802156</v>
      </c>
      <c r="M22" s="15">
        <f>IF(M10=0,0,M10/TrAvia_act!M18*100)</f>
        <v>689.39832464258166</v>
      </c>
      <c r="N22" s="15">
        <f>IF(N10=0,0,N10/TrAvia_act!N18*100)</f>
        <v>676.77998430420325</v>
      </c>
      <c r="O22" s="15">
        <f>IF(O10=0,0,O10/TrAvia_act!O18*100)</f>
        <v>662.2299533104889</v>
      </c>
      <c r="P22" s="15">
        <f>IF(P10=0,0,P10/TrAvia_act!P18*100)</f>
        <v>643.48961226736071</v>
      </c>
      <c r="Q22" s="15">
        <f>IF(Q10=0,0,Q10/TrAvia_act!Q18*100)</f>
        <v>609.29232351082169</v>
      </c>
      <c r="R22" s="15">
        <f>IF(R10=0,0,R10/TrAvia_act!R18*100)</f>
        <v>587.98894377980503</v>
      </c>
      <c r="S22" s="15">
        <f>IF(S10=0,0,S10/TrAvia_act!S18*100)</f>
        <v>538.92880774322327</v>
      </c>
      <c r="T22" s="15">
        <f>IF(T10=0,0,T10/TrAvia_act!T18*100)</f>
        <v>468.01387891993505</v>
      </c>
      <c r="U22" s="15">
        <f>IF(U10=0,0,U10/TrAvia_act!U18*100)</f>
        <v>488.07328676452369</v>
      </c>
      <c r="V22" s="15">
        <f>IF(V10=0,0,V10/TrAvia_act!V18*100)</f>
        <v>490.30806713634416</v>
      </c>
      <c r="W22" s="15">
        <f>IF(W10=0,0,W10/TrAvia_act!W18*100)</f>
        <v>422.09745354938786</v>
      </c>
      <c r="X22" s="15">
        <f>IF(X10=0,0,X10/TrAvia_act!X18*100)</f>
        <v>399.76775574478069</v>
      </c>
      <c r="Y22" s="15">
        <f>IF(Y10=0,0,Y10/TrAvia_act!Y18*100)</f>
        <v>427.9963490250621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668.53236201803395</v>
      </c>
      <c r="C23" s="101">
        <f>IF(C11=0,0,C11/TrAvia_act!C19*100)</f>
        <v>667.72608234698305</v>
      </c>
      <c r="D23" s="101">
        <f>IF(D11=0,0,D11/TrAvia_act!D19*100)</f>
        <v>538.25375980474234</v>
      </c>
      <c r="E23" s="101">
        <f>IF(E11=0,0,E11/TrAvia_act!E19*100)</f>
        <v>440.85724094066501</v>
      </c>
      <c r="F23" s="101">
        <f>IF(F11=0,0,F11/TrAvia_act!F19*100)</f>
        <v>273.1731689471502</v>
      </c>
      <c r="G23" s="101">
        <f>IF(G11=0,0,G11/TrAvia_act!G19*100)</f>
        <v>307.95166523910603</v>
      </c>
      <c r="H23" s="101">
        <f>IF(H11=0,0,H11/TrAvia_act!H19*100)</f>
        <v>365.39378583900736</v>
      </c>
      <c r="I23" s="101">
        <f>IF(I11=0,0,I11/TrAvia_act!I19*100)</f>
        <v>476.01840407074701</v>
      </c>
      <c r="J23" s="101">
        <f>IF(J11=0,0,J11/TrAvia_act!J19*100)</f>
        <v>539.37744186181862</v>
      </c>
      <c r="K23" s="101">
        <f>IF(K11=0,0,K11/TrAvia_act!K19*100)</f>
        <v>682.51228157074377</v>
      </c>
      <c r="L23" s="101">
        <f>IF(L11=0,0,L11/TrAvia_act!L19*100)</f>
        <v>843.83935222171237</v>
      </c>
      <c r="M23" s="101">
        <f>IF(M11=0,0,M11/TrAvia_act!M19*100)</f>
        <v>894.46179989709583</v>
      </c>
      <c r="N23" s="101">
        <f>IF(N11=0,0,N11/TrAvia_act!N19*100)</f>
        <v>1141.6860624612741</v>
      </c>
      <c r="O23" s="101">
        <f>IF(O11=0,0,O11/TrAvia_act!O19*100)</f>
        <v>979.75726859891165</v>
      </c>
      <c r="P23" s="101">
        <f>IF(P11=0,0,P11/TrAvia_act!P19*100)</f>
        <v>846.33772140829763</v>
      </c>
      <c r="Q23" s="101">
        <f>IF(Q11=0,0,Q11/TrAvia_act!Q19*100)</f>
        <v>734.93403265470533</v>
      </c>
      <c r="R23" s="101">
        <f>IF(R11=0,0,R11/TrAvia_act!R19*100)</f>
        <v>689.41562989851354</v>
      </c>
      <c r="S23" s="101">
        <f>IF(S11=0,0,S11/TrAvia_act!S19*100)</f>
        <v>634.53596822179884</v>
      </c>
      <c r="T23" s="101">
        <f>IF(T11=0,0,T11/TrAvia_act!T19*100)</f>
        <v>581.86370938582172</v>
      </c>
      <c r="U23" s="101">
        <f>IF(U11=0,0,U11/TrAvia_act!U19*100)</f>
        <v>472.90019345863959</v>
      </c>
      <c r="V23" s="101">
        <f>IF(V11=0,0,V11/TrAvia_act!V19*100)</f>
        <v>407.78683242153619</v>
      </c>
      <c r="W23" s="101">
        <f>IF(W11=0,0,W11/TrAvia_act!W19*100)</f>
        <v>391.22815272413186</v>
      </c>
      <c r="X23" s="101">
        <f>IF(X11=0,0,X11/TrAvia_act!X19*100)</f>
        <v>190.38031532239592</v>
      </c>
      <c r="Y23" s="101">
        <f>IF(Y11=0,0,Y11/TrAvia_act!Y19*100)</f>
        <v>468.44040754748988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411.167619264422</v>
      </c>
      <c r="C24" s="101">
        <f>IF(C12=0,0,C12/TrAvia_act!C20*100)</f>
        <v>410.61160847559461</v>
      </c>
      <c r="D24" s="101">
        <f>IF(D12=0,0,D12/TrAvia_act!D20*100)</f>
        <v>396.9755311955347</v>
      </c>
      <c r="E24" s="101">
        <f>IF(E12=0,0,E12/TrAvia_act!E20*100)</f>
        <v>419.21596123778653</v>
      </c>
      <c r="F24" s="101">
        <f>IF(F12=0,0,F12/TrAvia_act!F20*100)</f>
        <v>431.83010381682504</v>
      </c>
      <c r="G24" s="101">
        <f>IF(G12=0,0,G12/TrAvia_act!G20*100)</f>
        <v>449.41675479431763</v>
      </c>
      <c r="H24" s="101">
        <f>IF(H12=0,0,H12/TrAvia_act!H20*100)</f>
        <v>466.03146021155624</v>
      </c>
      <c r="I24" s="101">
        <f>IF(I12=0,0,I12/TrAvia_act!I20*100)</f>
        <v>476.88799755672949</v>
      </c>
      <c r="J24" s="101">
        <f>IF(J12=0,0,J12/TrAvia_act!J20*100)</f>
        <v>445.13011424027394</v>
      </c>
      <c r="K24" s="101">
        <f>IF(K12=0,0,K12/TrAvia_act!K20*100)</f>
        <v>414.77103919838532</v>
      </c>
      <c r="L24" s="101">
        <f>IF(L12=0,0,L12/TrAvia_act!L20*100)</f>
        <v>415.46974741590617</v>
      </c>
      <c r="M24" s="101">
        <f>IF(M12=0,0,M12/TrAvia_act!M20*100)</f>
        <v>426.07333413212348</v>
      </c>
      <c r="N24" s="101">
        <f>IF(N12=0,0,N12/TrAvia_act!N20*100)</f>
        <v>426.99749293626627</v>
      </c>
      <c r="O24" s="101">
        <f>IF(O12=0,0,O12/TrAvia_act!O20*100)</f>
        <v>420.73122292782375</v>
      </c>
      <c r="P24" s="101">
        <f>IF(P12=0,0,P12/TrAvia_act!P20*100)</f>
        <v>472.93897049830207</v>
      </c>
      <c r="Q24" s="101">
        <f>IF(Q12=0,0,Q12/TrAvia_act!Q20*100)</f>
        <v>474.97624085298219</v>
      </c>
      <c r="R24" s="101">
        <f>IF(R12=0,0,R12/TrAvia_act!R20*100)</f>
        <v>490.07889020438517</v>
      </c>
      <c r="S24" s="101">
        <f>IF(S12=0,0,S12/TrAvia_act!S20*100)</f>
        <v>506.17722858244889</v>
      </c>
      <c r="T24" s="101">
        <f>IF(T12=0,0,T12/TrAvia_act!T20*100)</f>
        <v>517.23943415982876</v>
      </c>
      <c r="U24" s="101">
        <f>IF(U12=0,0,U12/TrAvia_act!U20*100)</f>
        <v>532.18051749862661</v>
      </c>
      <c r="V24" s="101">
        <f>IF(V12=0,0,V12/TrAvia_act!V20*100)</f>
        <v>430.85766312715094</v>
      </c>
      <c r="W24" s="101">
        <f>IF(W12=0,0,W12/TrAvia_act!W20*100)</f>
        <v>449.29594609490664</v>
      </c>
      <c r="X24" s="101">
        <f>IF(X12=0,0,X12/TrAvia_act!X20*100)</f>
        <v>409.52289849577693</v>
      </c>
      <c r="Y24" s="101">
        <f>IF(Y12=0,0,Y12/TrAvia_act!Y20*100)</f>
        <v>415.39804043008968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809.28920666204931</v>
      </c>
      <c r="C25" s="88">
        <f>IF(C13=0,0,C13/TrAvia_act!C21*100)</f>
        <v>808.24137383314212</v>
      </c>
      <c r="D25" s="88">
        <f>IF(D13=0,0,D13/TrAvia_act!D21*100)</f>
        <v>781.12938481930905</v>
      </c>
      <c r="E25" s="88">
        <f>IF(E13=0,0,E13/TrAvia_act!E21*100)</f>
        <v>824.33956990660101</v>
      </c>
      <c r="F25" s="88">
        <f>IF(F13=0,0,F13/TrAvia_act!F21*100)</f>
        <v>849.60648951503435</v>
      </c>
      <c r="G25" s="88">
        <f>IF(G13=0,0,G13/TrAvia_act!G21*100)</f>
        <v>821.18958723153048</v>
      </c>
      <c r="H25" s="88">
        <f>IF(H13=0,0,H13/TrAvia_act!H21*100)</f>
        <v>830.01393976228076</v>
      </c>
      <c r="I25" s="88">
        <f>IF(I13=0,0,I13/TrAvia_act!I21*100)</f>
        <v>858.00899637702491</v>
      </c>
      <c r="J25" s="88">
        <f>IF(J13=0,0,J13/TrAvia_act!J21*100)</f>
        <v>862.92854001848718</v>
      </c>
      <c r="K25" s="88">
        <f>IF(K13=0,0,K13/TrAvia_act!K21*100)</f>
        <v>841.3405217276536</v>
      </c>
      <c r="L25" s="88">
        <f>IF(L13=0,0,L13/TrAvia_act!L21*100)</f>
        <v>826.98918073982441</v>
      </c>
      <c r="M25" s="88">
        <f>IF(M13=0,0,M13/TrAvia_act!M21*100)</f>
        <v>775.98120592898499</v>
      </c>
      <c r="N25" s="88">
        <f>IF(N13=0,0,N13/TrAvia_act!N21*100)</f>
        <v>740.91921426737372</v>
      </c>
      <c r="O25" s="88">
        <f>IF(O13=0,0,O13/TrAvia_act!O21*100)</f>
        <v>720.94129840851463</v>
      </c>
      <c r="P25" s="88">
        <f>IF(P13=0,0,P13/TrAvia_act!P21*100)</f>
        <v>697.65890280212659</v>
      </c>
      <c r="Q25" s="88">
        <f>IF(Q13=0,0,Q13/TrAvia_act!Q21*100)</f>
        <v>654.0413831418681</v>
      </c>
      <c r="R25" s="88">
        <f>IF(R13=0,0,R13/TrAvia_act!R21*100)</f>
        <v>618.09028234484197</v>
      </c>
      <c r="S25" s="88">
        <f>IF(S13=0,0,S13/TrAvia_act!S21*100)</f>
        <v>549.55659450417193</v>
      </c>
      <c r="T25" s="88">
        <f>IF(T13=0,0,T13/TrAvia_act!T21*100)</f>
        <v>447.2180385012507</v>
      </c>
      <c r="U25" s="88">
        <f>IF(U13=0,0,U13/TrAvia_act!U21*100)</f>
        <v>469.46018839752782</v>
      </c>
      <c r="V25" s="88">
        <f>IF(V13=0,0,V13/TrAvia_act!V21*100)</f>
        <v>529.60008850042198</v>
      </c>
      <c r="W25" s="88">
        <f>IF(W13=0,0,W13/TrAvia_act!W21*100)</f>
        <v>404.7208330290606</v>
      </c>
      <c r="X25" s="88">
        <f>IF(X13=0,0,X13/TrAvia_act!X21*100)</f>
        <v>393.21572806675243</v>
      </c>
      <c r="Y25" s="88">
        <f>IF(Y13=0,0,Y13/TrAvia_act!Y21*100)</f>
        <v>436.30966590076827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48.460358723284315</v>
      </c>
      <c r="C28" s="14">
        <f>IF(C6=0,0,C6/TrAvia_act!C4*1000)</f>
        <v>47.60913654191431</v>
      </c>
      <c r="D28" s="14">
        <f>IF(D6=0,0,D6/TrAvia_act!D4*1000)</f>
        <v>41.162989198202133</v>
      </c>
      <c r="E28" s="14">
        <f>IF(E6=0,0,E6/TrAvia_act!E4*1000)</f>
        <v>43.863445045740121</v>
      </c>
      <c r="F28" s="14">
        <f>IF(F6=0,0,F6/TrAvia_act!F4*1000)</f>
        <v>45.059371226587857</v>
      </c>
      <c r="G28" s="14">
        <f>IF(G6=0,0,G6/TrAvia_act!G4*1000)</f>
        <v>44.111475873507366</v>
      </c>
      <c r="H28" s="14">
        <f>IF(H6=0,0,H6/TrAvia_act!H4*1000)</f>
        <v>43.848299540896917</v>
      </c>
      <c r="I28" s="14">
        <f>IF(I6=0,0,I6/TrAvia_act!I4*1000)</f>
        <v>45.435117676810059</v>
      </c>
      <c r="J28" s="14">
        <f>IF(J6=0,0,J6/TrAvia_act!J4*1000)</f>
        <v>43.770235615010378</v>
      </c>
      <c r="K28" s="14">
        <f>IF(K6=0,0,K6/TrAvia_act!K4*1000)</f>
        <v>41.566854862192692</v>
      </c>
      <c r="L28" s="14">
        <f>IF(L6=0,0,L6/TrAvia_act!L4*1000)</f>
        <v>39.181629315355373</v>
      </c>
      <c r="M28" s="14">
        <f>IF(M6=0,0,M6/TrAvia_act!M4*1000)</f>
        <v>39.419369518609358</v>
      </c>
      <c r="N28" s="14">
        <f>IF(N6=0,0,N6/TrAvia_act!N4*1000)</f>
        <v>37.161674841736641</v>
      </c>
      <c r="O28" s="14">
        <f>IF(O6=0,0,O6/TrAvia_act!O4*1000)</f>
        <v>35.383486221955273</v>
      </c>
      <c r="P28" s="14">
        <f>IF(P6=0,0,P6/TrAvia_act!P4*1000)</f>
        <v>35.702146483687919</v>
      </c>
      <c r="Q28" s="14">
        <f>IF(Q6=0,0,Q6/TrAvia_act!Q4*1000)</f>
        <v>34.464063340994834</v>
      </c>
      <c r="R28" s="14">
        <f>IF(R6=0,0,R6/TrAvia_act!R4*1000)</f>
        <v>34.553945347544477</v>
      </c>
      <c r="S28" s="14">
        <f>IF(S6=0,0,S6/TrAvia_act!S4*1000)</f>
        <v>34.22383852567345</v>
      </c>
      <c r="T28" s="14">
        <f>IF(T6=0,0,T6/TrAvia_act!T4*1000)</f>
        <v>34.147112946552561</v>
      </c>
      <c r="U28" s="14">
        <f>IF(U6=0,0,U6/TrAvia_act!U4*1000)</f>
        <v>35.030086768152877</v>
      </c>
      <c r="V28" s="14">
        <f>IF(V6=0,0,V6/TrAvia_act!V4*1000)</f>
        <v>45.202094371291473</v>
      </c>
      <c r="W28" s="14">
        <f>IF(W6=0,0,W6/TrAvia_act!W4*1000)</f>
        <v>46.158985590709655</v>
      </c>
      <c r="X28" s="14">
        <f>IF(X6=0,0,X6/TrAvia_act!X4*1000)</f>
        <v>32.192613722248794</v>
      </c>
      <c r="Y28" s="14">
        <f>IF(Y6=0,0,Y6/TrAvia_act!Y4*1000)</f>
        <v>29.6929068325875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159.6335569251579</v>
      </c>
      <c r="C29" s="87">
        <f>IF(C7=0,0,C7/TrAvia_act!C5*1000)</f>
        <v>158.75970066535862</v>
      </c>
      <c r="D29" s="87">
        <f>IF(D7=0,0,D7/TrAvia_act!D5*1000)</f>
        <v>145.22167232792222</v>
      </c>
      <c r="E29" s="87">
        <f>IF(E7=0,0,E7/TrAvia_act!E5*1000)</f>
        <v>130.30763702327422</v>
      </c>
      <c r="F29" s="87">
        <f>IF(F7=0,0,F7/TrAvia_act!F5*1000)</f>
        <v>86.889212155063603</v>
      </c>
      <c r="G29" s="87">
        <f>IF(G7=0,0,G7/TrAvia_act!G5*1000)</f>
        <v>92.034450997891909</v>
      </c>
      <c r="H29" s="87">
        <f>IF(H7=0,0,H7/TrAvia_act!H5*1000)</f>
        <v>89.841270669078654</v>
      </c>
      <c r="I29" s="87">
        <f>IF(I7=0,0,I7/TrAvia_act!I5*1000)</f>
        <v>95.070446088841422</v>
      </c>
      <c r="J29" s="87">
        <f>IF(J7=0,0,J7/TrAvia_act!J5*1000)</f>
        <v>96.925804289810742</v>
      </c>
      <c r="K29" s="87">
        <f>IF(K7=0,0,K7/TrAvia_act!K5*1000)</f>
        <v>95.74547393734214</v>
      </c>
      <c r="L29" s="87">
        <f>IF(L7=0,0,L7/TrAvia_act!L5*1000)</f>
        <v>82.86765776925084</v>
      </c>
      <c r="M29" s="87">
        <f>IF(M7=0,0,M7/TrAvia_act!M5*1000)</f>
        <v>85.901389462610439</v>
      </c>
      <c r="N29" s="87">
        <f>IF(N7=0,0,N7/TrAvia_act!N5*1000)</f>
        <v>94.690422470543822</v>
      </c>
      <c r="O29" s="87">
        <f>IF(O7=0,0,O7/TrAvia_act!O5*1000)</f>
        <v>91.514083793960296</v>
      </c>
      <c r="P29" s="87">
        <f>IF(P7=0,0,P7/TrAvia_act!P5*1000)</f>
        <v>86.090889102185002</v>
      </c>
      <c r="Q29" s="87">
        <f>IF(Q7=0,0,Q7/TrAvia_act!Q5*1000)</f>
        <v>81.878096808106406</v>
      </c>
      <c r="R29" s="87">
        <f>IF(R7=0,0,R7/TrAvia_act!R5*1000)</f>
        <v>80.114779927705754</v>
      </c>
      <c r="S29" s="87">
        <f>IF(S7=0,0,S7/TrAvia_act!S5*1000)</f>
        <v>79.147166630925128</v>
      </c>
      <c r="T29" s="87">
        <f>IF(T7=0,0,T7/TrAvia_act!T5*1000)</f>
        <v>75.74287582651948</v>
      </c>
      <c r="U29" s="87">
        <f>IF(U7=0,0,U7/TrAvia_act!U5*1000)</f>
        <v>80.698957348242814</v>
      </c>
      <c r="V29" s="87">
        <f>IF(V7=0,0,V7/TrAvia_act!V5*1000)</f>
        <v>103.14438765731718</v>
      </c>
      <c r="W29" s="87">
        <f>IF(W7=0,0,W7/TrAvia_act!W5*1000)</f>
        <v>78.986192291451971</v>
      </c>
      <c r="X29" s="87">
        <f>IF(X7=0,0,X7/TrAvia_act!X5*1000)</f>
        <v>72.83570116238478</v>
      </c>
      <c r="Y29" s="87">
        <f>IF(Y7=0,0,Y7/TrAvia_act!Y5*1000)</f>
        <v>73.42806074195552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44.435714276497244</v>
      </c>
      <c r="C30" s="87">
        <f>IF(C8=0,0,C8/TrAvia_act!C6*1000)</f>
        <v>43.493576102335204</v>
      </c>
      <c r="D30" s="87">
        <f>IF(D8=0,0,D8/TrAvia_act!D6*1000)</f>
        <v>39.289646626535337</v>
      </c>
      <c r="E30" s="87">
        <f>IF(E8=0,0,E8/TrAvia_act!E6*1000)</f>
        <v>42.502882143985374</v>
      </c>
      <c r="F30" s="87">
        <f>IF(F8=0,0,F8/TrAvia_act!F6*1000)</f>
        <v>44.405740505332517</v>
      </c>
      <c r="G30" s="87">
        <f>IF(G8=0,0,G8/TrAvia_act!G6*1000)</f>
        <v>44.477989226761906</v>
      </c>
      <c r="H30" s="87">
        <f>IF(H8=0,0,H8/TrAvia_act!H6*1000)</f>
        <v>43.807630471718227</v>
      </c>
      <c r="I30" s="87">
        <f>IF(I8=0,0,I8/TrAvia_act!I6*1000)</f>
        <v>45.396515846987739</v>
      </c>
      <c r="J30" s="87">
        <f>IF(J8=0,0,J8/TrAvia_act!J6*1000)</f>
        <v>44.263716816363178</v>
      </c>
      <c r="K30" s="87">
        <f>IF(K8=0,0,K8/TrAvia_act!K6*1000)</f>
        <v>40.776084058073593</v>
      </c>
      <c r="L30" s="87">
        <f>IF(L8=0,0,L8/TrAvia_act!L6*1000)</f>
        <v>39.034332726224605</v>
      </c>
      <c r="M30" s="87">
        <f>IF(M8=0,0,M8/TrAvia_act!M6*1000)</f>
        <v>38.277050978737208</v>
      </c>
      <c r="N30" s="87">
        <f>IF(N8=0,0,N8/TrAvia_act!N6*1000)</f>
        <v>37.061121046493419</v>
      </c>
      <c r="O30" s="87">
        <f>IF(O8=0,0,O8/TrAvia_act!O6*1000)</f>
        <v>35.160372238175484</v>
      </c>
      <c r="P30" s="87">
        <f>IF(P8=0,0,P8/TrAvia_act!P6*1000)</f>
        <v>36.669418867528321</v>
      </c>
      <c r="Q30" s="87">
        <f>IF(Q8=0,0,Q8/TrAvia_act!Q6*1000)</f>
        <v>35.562722487787426</v>
      </c>
      <c r="R30" s="87">
        <f>IF(R8=0,0,R8/TrAvia_act!R6*1000)</f>
        <v>35.349174035988717</v>
      </c>
      <c r="S30" s="87">
        <f>IF(S8=0,0,S8/TrAvia_act!S6*1000)</f>
        <v>35.172614081112989</v>
      </c>
      <c r="T30" s="87">
        <f>IF(T8=0,0,T8/TrAvia_act!T6*1000)</f>
        <v>35.871430218665132</v>
      </c>
      <c r="U30" s="87">
        <f>IF(U8=0,0,U8/TrAvia_act!U6*1000)</f>
        <v>37.195812467558042</v>
      </c>
      <c r="V30" s="87">
        <f>IF(V8=0,0,V8/TrAvia_act!V6*1000)</f>
        <v>39.456692998768801</v>
      </c>
      <c r="W30" s="87">
        <f>IF(W8=0,0,W8/TrAvia_act!W6*1000)</f>
        <v>36.538105938822213</v>
      </c>
      <c r="X30" s="87">
        <f>IF(X8=0,0,X8/TrAvia_act!X6*1000)</f>
        <v>31.3862585663719</v>
      </c>
      <c r="Y30" s="87">
        <f>IF(Y8=0,0,Y8/TrAvia_act!Y6*1000)</f>
        <v>30.492998985767354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49.987541049742788</v>
      </c>
      <c r="C31" s="87">
        <f>IF(C9=0,0,C9/TrAvia_act!C7*1000)</f>
        <v>49.353047666404855</v>
      </c>
      <c r="D31" s="87">
        <f>IF(D9=0,0,D9/TrAvia_act!D7*1000)</f>
        <v>39.942358033644489</v>
      </c>
      <c r="E31" s="87">
        <f>IF(E9=0,0,E9/TrAvia_act!E7*1000)</f>
        <v>42.099655684076104</v>
      </c>
      <c r="F31" s="87">
        <f>IF(F9=0,0,F9/TrAvia_act!F7*1000)</f>
        <v>43.952031617742811</v>
      </c>
      <c r="G31" s="87">
        <f>IF(G9=0,0,G9/TrAvia_act!G7*1000)</f>
        <v>41.489228075149548</v>
      </c>
      <c r="H31" s="87">
        <f>IF(H9=0,0,H9/TrAvia_act!H7*1000)</f>
        <v>41.675125969686476</v>
      </c>
      <c r="I31" s="87">
        <f>IF(I9=0,0,I9/TrAvia_act!I7*1000)</f>
        <v>42.775533234742241</v>
      </c>
      <c r="J31" s="87">
        <f>IF(J9=0,0,J9/TrAvia_act!J7*1000)</f>
        <v>40.093446448446628</v>
      </c>
      <c r="K31" s="87">
        <f>IF(K9=0,0,K9/TrAvia_act!K7*1000)</f>
        <v>39.363156514771063</v>
      </c>
      <c r="L31" s="87">
        <f>IF(L9=0,0,L9/TrAvia_act!L7*1000)</f>
        <v>36.537657755606226</v>
      </c>
      <c r="M31" s="87">
        <f>IF(M9=0,0,M9/TrAvia_act!M7*1000)</f>
        <v>38.177954509577916</v>
      </c>
      <c r="N31" s="87">
        <f>IF(N9=0,0,N9/TrAvia_act!N7*1000)</f>
        <v>34.842931808834471</v>
      </c>
      <c r="O31" s="87">
        <f>IF(O9=0,0,O9/TrAvia_act!O7*1000)</f>
        <v>33.361941718998288</v>
      </c>
      <c r="P31" s="87">
        <f>IF(P9=0,0,P9/TrAvia_act!P7*1000)</f>
        <v>32.556753381078472</v>
      </c>
      <c r="Q31" s="87">
        <f>IF(Q9=0,0,Q9/TrAvia_act!Q7*1000)</f>
        <v>31.334380097991463</v>
      </c>
      <c r="R31" s="87">
        <f>IF(R9=0,0,R9/TrAvia_act!R7*1000)</f>
        <v>31.733253986859175</v>
      </c>
      <c r="S31" s="87">
        <f>IF(S9=0,0,S9/TrAvia_act!S7*1000)</f>
        <v>31.322262596190178</v>
      </c>
      <c r="T31" s="87">
        <f>IF(T9=0,0,T9/TrAvia_act!T7*1000)</f>
        <v>30.599409666257618</v>
      </c>
      <c r="U31" s="87">
        <f>IF(U9=0,0,U9/TrAvia_act!U7*1000)</f>
        <v>31.078496977453735</v>
      </c>
      <c r="V31" s="87">
        <f>IF(V9=0,0,V9/TrAvia_act!V7*1000)</f>
        <v>49.573753151323594</v>
      </c>
      <c r="W31" s="87">
        <f>IF(W9=0,0,W9/TrAvia_act!W7*1000)</f>
        <v>63.751971914710367</v>
      </c>
      <c r="X31" s="87">
        <f>IF(X9=0,0,X9/TrAvia_act!X7*1000)</f>
        <v>31.872101530554879</v>
      </c>
      <c r="Y31" s="87">
        <f>IF(Y9=0,0,Y9/TrAvia_act!Y7*1000)</f>
        <v>27.357656741261728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155.91791385926285</v>
      </c>
      <c r="C32" s="15">
        <f>IF(C10=0,0,C10/TrAvia_act!C8*1000)</f>
        <v>147.3199599528555</v>
      </c>
      <c r="D32" s="15">
        <f>IF(D10=0,0,D10/TrAvia_act!D8*1000)</f>
        <v>148.48497321104963</v>
      </c>
      <c r="E32" s="15">
        <f>IF(E10=0,0,E10/TrAvia_act!E8*1000)</f>
        <v>152.53159145032623</v>
      </c>
      <c r="F32" s="15">
        <f>IF(F10=0,0,F10/TrAvia_act!F8*1000)</f>
        <v>170.43502843952635</v>
      </c>
      <c r="G32" s="15">
        <f>IF(G10=0,0,G10/TrAvia_act!G8*1000)</f>
        <v>185.66617040145525</v>
      </c>
      <c r="H32" s="15">
        <f>IF(H10=0,0,H10/TrAvia_act!H8*1000)</f>
        <v>226.8747680673998</v>
      </c>
      <c r="I32" s="15">
        <f>IF(I10=0,0,I10/TrAvia_act!I8*1000)</f>
        <v>237.41099271483381</v>
      </c>
      <c r="J32" s="15">
        <f>IF(J10=0,0,J10/TrAvia_act!J8*1000)</f>
        <v>152.41837069496162</v>
      </c>
      <c r="K32" s="15">
        <f>IF(K10=0,0,K10/TrAvia_act!K8*1000)</f>
        <v>131.14207854126016</v>
      </c>
      <c r="L32" s="15">
        <f>IF(L10=0,0,L10/TrAvia_act!L8*1000)</f>
        <v>121.1264668727711</v>
      </c>
      <c r="M32" s="15">
        <f>IF(M10=0,0,M10/TrAvia_act!M8*1000)</f>
        <v>114.44326056147085</v>
      </c>
      <c r="N32" s="15">
        <f>IF(N10=0,0,N10/TrAvia_act!N8*1000)</f>
        <v>97.981803734224826</v>
      </c>
      <c r="O32" s="15">
        <f>IF(O10=0,0,O10/TrAvia_act!O8*1000)</f>
        <v>96.014933274189275</v>
      </c>
      <c r="P32" s="15">
        <f>IF(P10=0,0,P10/TrAvia_act!P8*1000)</f>
        <v>86.281526367990551</v>
      </c>
      <c r="Q32" s="15">
        <f>IF(Q10=0,0,Q10/TrAvia_act!Q8*1000)</f>
        <v>84.0347436990413</v>
      </c>
      <c r="R32" s="15">
        <f>IF(R10=0,0,R10/TrAvia_act!R8*1000)</f>
        <v>75.103066573385817</v>
      </c>
      <c r="S32" s="15">
        <f>IF(S10=0,0,S10/TrAvia_act!S8*1000)</f>
        <v>70.210962898692713</v>
      </c>
      <c r="T32" s="15">
        <f>IF(T10=0,0,T10/TrAvia_act!T8*1000)</f>
        <v>62.770728091920056</v>
      </c>
      <c r="U32" s="15">
        <f>IF(U10=0,0,U10/TrAvia_act!U8*1000)</f>
        <v>63.254172447303887</v>
      </c>
      <c r="V32" s="15">
        <f>IF(V10=0,0,V10/TrAvia_act!V8*1000)</f>
        <v>98.98551663674688</v>
      </c>
      <c r="W32" s="15">
        <f>IF(W10=0,0,W10/TrAvia_act!W8*1000)</f>
        <v>94.039375873799472</v>
      </c>
      <c r="X32" s="15">
        <f>IF(X10=0,0,X10/TrAvia_act!X8*1000)</f>
        <v>82.404236023631029</v>
      </c>
      <c r="Y32" s="15">
        <f>IF(Y10=0,0,Y10/TrAvia_act!Y8*1000)</f>
        <v>77.379071682048689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637.34462029335054</v>
      </c>
      <c r="C33" s="101">
        <f>IF(C11=0,0,C11/TrAvia_act!C9*1000)</f>
        <v>641.46795355921051</v>
      </c>
      <c r="D33" s="101">
        <f>IF(D11=0,0,D11/TrAvia_act!D9*1000)</f>
        <v>502.84255770660781</v>
      </c>
      <c r="E33" s="101">
        <f>IF(E11=0,0,E11/TrAvia_act!E9*1000)</f>
        <v>387.1922227997527</v>
      </c>
      <c r="F33" s="101">
        <f>IF(F11=0,0,F11/TrAvia_act!F9*1000)</f>
        <v>254.78607164971217</v>
      </c>
      <c r="G33" s="101">
        <f>IF(G11=0,0,G11/TrAvia_act!G9*1000)</f>
        <v>293.49456388620484</v>
      </c>
      <c r="H33" s="101">
        <f>IF(H11=0,0,H11/TrAvia_act!H9*1000)</f>
        <v>362.03669893252754</v>
      </c>
      <c r="I33" s="101">
        <f>IF(I11=0,0,I11/TrAvia_act!I9*1000)</f>
        <v>473.40267400143455</v>
      </c>
      <c r="J33" s="101">
        <f>IF(J11=0,0,J11/TrAvia_act!J9*1000)</f>
        <v>557.54875349479767</v>
      </c>
      <c r="K33" s="101">
        <f>IF(K11=0,0,K11/TrAvia_act!K9*1000)</f>
        <v>699.46422227283688</v>
      </c>
      <c r="L33" s="101">
        <f>IF(L11=0,0,L11/TrAvia_act!L9*1000)</f>
        <v>808.55443433778862</v>
      </c>
      <c r="M33" s="101">
        <f>IF(M11=0,0,M11/TrAvia_act!M9*1000)</f>
        <v>789.9564695661079</v>
      </c>
      <c r="N33" s="101">
        <f>IF(N11=0,0,N11/TrAvia_act!N9*1000)</f>
        <v>971.74948335408317</v>
      </c>
      <c r="O33" s="101">
        <f>IF(O11=0,0,O11/TrAvia_act!O9*1000)</f>
        <v>800.1584875228765</v>
      </c>
      <c r="P33" s="101">
        <f>IF(P11=0,0,P11/TrAvia_act!P9*1000)</f>
        <v>617.03229356866757</v>
      </c>
      <c r="Q33" s="101">
        <f>IF(Q11=0,0,Q11/TrAvia_act!Q9*1000)</f>
        <v>519.60606030399049</v>
      </c>
      <c r="R33" s="101">
        <f>IF(R11=0,0,R11/TrAvia_act!R9*1000)</f>
        <v>421.86387360448282</v>
      </c>
      <c r="S33" s="101">
        <f>IF(S11=0,0,S11/TrAvia_act!S9*1000)</f>
        <v>424.00091341069134</v>
      </c>
      <c r="T33" s="101">
        <f>IF(T11=0,0,T11/TrAvia_act!T9*1000)</f>
        <v>386.03870430789453</v>
      </c>
      <c r="U33" s="101">
        <f>IF(U11=0,0,U11/TrAvia_act!U9*1000)</f>
        <v>286.88370895798681</v>
      </c>
      <c r="V33" s="101">
        <f>IF(V11=0,0,V11/TrAvia_act!V9*1000)</f>
        <v>269.40636201801607</v>
      </c>
      <c r="W33" s="101">
        <f>IF(W11=0,0,W11/TrAvia_act!W9*1000)</f>
        <v>258.14538408262433</v>
      </c>
      <c r="X33" s="101">
        <f>IF(X11=0,0,X11/TrAvia_act!X9*1000)</f>
        <v>123.32560332150615</v>
      </c>
      <c r="Y33" s="101">
        <f>IF(Y11=0,0,Y11/TrAvia_act!Y9*1000)</f>
        <v>303.62245674998485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161.52748366513308</v>
      </c>
      <c r="C34" s="101">
        <f>IF(C12=0,0,C12/TrAvia_act!C10*1000)</f>
        <v>152.96033028795193</v>
      </c>
      <c r="D34" s="101">
        <f>IF(D12=0,0,D12/TrAvia_act!D10*1000)</f>
        <v>157.32367845494952</v>
      </c>
      <c r="E34" s="101">
        <f>IF(E12=0,0,E12/TrAvia_act!E10*1000)</f>
        <v>163.35298095574149</v>
      </c>
      <c r="F34" s="101">
        <f>IF(F12=0,0,F12/TrAvia_act!F10*1000)</f>
        <v>185.36537972699844</v>
      </c>
      <c r="G34" s="101">
        <f>IF(G12=0,0,G12/TrAvia_act!G10*1000)</f>
        <v>195.08138304549138</v>
      </c>
      <c r="H34" s="101">
        <f>IF(H12=0,0,H12/TrAvia_act!H10*1000)</f>
        <v>233.71628503775128</v>
      </c>
      <c r="I34" s="101">
        <f>IF(I12=0,0,I12/TrAvia_act!I10*1000)</f>
        <v>245.94709269360854</v>
      </c>
      <c r="J34" s="101">
        <f>IF(J12=0,0,J12/TrAvia_act!J10*1000)</f>
        <v>241.74722662125652</v>
      </c>
      <c r="K34" s="101">
        <f>IF(K12=0,0,K12/TrAvia_act!K10*1000)</f>
        <v>218.52410141708714</v>
      </c>
      <c r="L34" s="101">
        <f>IF(L12=0,0,L12/TrAvia_act!L10*1000)</f>
        <v>205.67156491957277</v>
      </c>
      <c r="M34" s="101">
        <f>IF(M12=0,0,M12/TrAvia_act!M10*1000)</f>
        <v>198.67561665727519</v>
      </c>
      <c r="N34" s="101">
        <f>IF(N12=0,0,N12/TrAvia_act!N10*1000)</f>
        <v>181.78865923666078</v>
      </c>
      <c r="O34" s="101">
        <f>IF(O12=0,0,O12/TrAvia_act!O10*1000)</f>
        <v>176.89249103654024</v>
      </c>
      <c r="P34" s="101">
        <f>IF(P12=0,0,P12/TrAvia_act!P10*1000)</f>
        <v>180.13835341719607</v>
      </c>
      <c r="Q34" s="101">
        <f>IF(Q12=0,0,Q12/TrAvia_act!Q10*1000)</f>
        <v>183.34730645151359</v>
      </c>
      <c r="R34" s="101">
        <f>IF(R12=0,0,R12/TrAvia_act!R10*1000)</f>
        <v>171.67717085988971</v>
      </c>
      <c r="S34" s="101">
        <f>IF(S12=0,0,S12/TrAvia_act!S10*1000)</f>
        <v>191.91309137591574</v>
      </c>
      <c r="T34" s="101">
        <f>IF(T12=0,0,T12/TrAvia_act!T10*1000)</f>
        <v>193.93535055321155</v>
      </c>
      <c r="U34" s="101">
        <f>IF(U12=0,0,U12/TrAvia_act!U10*1000)</f>
        <v>194.85303682030499</v>
      </c>
      <c r="V34" s="101">
        <f>IF(V12=0,0,V12/TrAvia_act!V10*1000)</f>
        <v>177.41290043999135</v>
      </c>
      <c r="W34" s="101">
        <f>IF(W12=0,0,W12/TrAvia_act!W10*1000)</f>
        <v>191.45341634101061</v>
      </c>
      <c r="X34" s="101">
        <f>IF(X12=0,0,X12/TrAvia_act!X10*1000)</f>
        <v>178.94334152847264</v>
      </c>
      <c r="Y34" s="101">
        <f>IF(Y12=0,0,Y12/TrAvia_act!Y10*1000)</f>
        <v>182.88185415214687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96.681723488543525</v>
      </c>
      <c r="C35" s="88">
        <f>IF(C13=0,0,C13/TrAvia_act!C11*1000)</f>
        <v>92.141090348023027</v>
      </c>
      <c r="D35" s="88">
        <f>IF(D13=0,0,D13/TrAvia_act!D11*1000)</f>
        <v>94.315053069591329</v>
      </c>
      <c r="E35" s="88">
        <f>IF(E13=0,0,E13/TrAvia_act!E11*1000)</f>
        <v>109.54145848456692</v>
      </c>
      <c r="F35" s="88">
        <f>IF(F13=0,0,F13/TrAvia_act!F11*1000)</f>
        <v>116.32147279372488</v>
      </c>
      <c r="G35" s="88">
        <f>IF(G13=0,0,G13/TrAvia_act!G11*1000)</f>
        <v>119.55337334071686</v>
      </c>
      <c r="H35" s="88">
        <f>IF(H13=0,0,H13/TrAvia_act!H11*1000)</f>
        <v>124.99946907857614</v>
      </c>
      <c r="I35" s="88">
        <f>IF(I13=0,0,I13/TrAvia_act!I11*1000)</f>
        <v>131.40764889321625</v>
      </c>
      <c r="J35" s="88">
        <f>IF(J13=0,0,J13/TrAvia_act!J11*1000)</f>
        <v>134.87864368784292</v>
      </c>
      <c r="K35" s="88">
        <f>IF(K13=0,0,K13/TrAvia_act!K11*1000)</f>
        <v>116.60241295957641</v>
      </c>
      <c r="L35" s="88">
        <f>IF(L13=0,0,L13/TrAvia_act!L11*1000)</f>
        <v>112.74349854274901</v>
      </c>
      <c r="M35" s="88">
        <f>IF(M13=0,0,M13/TrAvia_act!M11*1000)</f>
        <v>106.17015045386611</v>
      </c>
      <c r="N35" s="88">
        <f>IF(N13=0,0,N13/TrAvia_act!N11*1000)</f>
        <v>91.593711817777788</v>
      </c>
      <c r="O35" s="88">
        <f>IF(O13=0,0,O13/TrAvia_act!O11*1000)</f>
        <v>90.022020286270333</v>
      </c>
      <c r="P35" s="88">
        <f>IF(P13=0,0,P13/TrAvia_act!P11*1000)</f>
        <v>77.472426747002757</v>
      </c>
      <c r="Q35" s="88">
        <f>IF(Q13=0,0,Q13/TrAvia_act!Q11*1000)</f>
        <v>74.206955233964024</v>
      </c>
      <c r="R35" s="88">
        <f>IF(R13=0,0,R13/TrAvia_act!R11*1000)</f>
        <v>66.021227366044911</v>
      </c>
      <c r="S35" s="88">
        <f>IF(S13=0,0,S13/TrAvia_act!S11*1000)</f>
        <v>58.957639528820351</v>
      </c>
      <c r="T35" s="88">
        <f>IF(T13=0,0,T13/TrAvia_act!T11*1000)</f>
        <v>47.202523215222577</v>
      </c>
      <c r="U35" s="88">
        <f>IF(U13=0,0,U13/TrAvia_act!U11*1000)</f>
        <v>47.776984482626347</v>
      </c>
      <c r="V35" s="88">
        <f>IF(V13=0,0,V13/TrAvia_act!V11*1000)</f>
        <v>79.976963012825976</v>
      </c>
      <c r="W35" s="88">
        <f>IF(W13=0,0,W13/TrAvia_act!W11*1000)</f>
        <v>68.975844893750519</v>
      </c>
      <c r="X35" s="88">
        <f>IF(X13=0,0,X13/TrAvia_act!X11*1000)</f>
        <v>56.205620346559755</v>
      </c>
      <c r="Y35" s="88">
        <f>IF(Y13=0,0,Y13/TrAvia_act!Y11*1000)</f>
        <v>56.507220825949915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5323.9605848939036</v>
      </c>
      <c r="C37" s="62">
        <f>IF(C3=0,0,C3/TrAvia_act!C23*1000000)</f>
        <v>5313.3101173661489</v>
      </c>
      <c r="D37" s="62">
        <f>IF(D3=0,0,D3/TrAvia_act!D23*1000000)</f>
        <v>4857.961072087719</v>
      </c>
      <c r="E37" s="62">
        <f>IF(E3=0,0,E3/TrAvia_act!E23*1000000)</f>
        <v>4899.2253484534067</v>
      </c>
      <c r="F37" s="62">
        <f>IF(F3=0,0,F3/TrAvia_act!F23*1000000)</f>
        <v>4916.5539099197822</v>
      </c>
      <c r="G37" s="62">
        <f>IF(G3=0,0,G3/TrAvia_act!G23*1000000)</f>
        <v>5238.0469929554256</v>
      </c>
      <c r="H37" s="62">
        <f>IF(H3=0,0,H3/TrAvia_act!H23*1000000)</f>
        <v>5437.7410439478617</v>
      </c>
      <c r="I37" s="62">
        <f>IF(I3=0,0,I3/TrAvia_act!I23*1000000)</f>
        <v>5573.8239060448932</v>
      </c>
      <c r="J37" s="62">
        <f>IF(J3=0,0,J3/TrAvia_act!J23*1000000)</f>
        <v>5223.8053122636775</v>
      </c>
      <c r="K37" s="62">
        <f>IF(K3=0,0,K3/TrAvia_act!K23*1000000)</f>
        <v>5185.1971784928683</v>
      </c>
      <c r="L37" s="62">
        <f>IF(L3=0,0,L3/TrAvia_act!L23*1000000)</f>
        <v>5140.3494232232561</v>
      </c>
      <c r="M37" s="62">
        <f>IF(M3=0,0,M3/TrAvia_act!M23*1000000)</f>
        <v>5091.2395555778612</v>
      </c>
      <c r="N37" s="62">
        <f>IF(N3=0,0,N3/TrAvia_act!N23*1000000)</f>
        <v>5491.0197413799406</v>
      </c>
      <c r="O37" s="62">
        <f>IF(O3=0,0,O3/TrAvia_act!O23*1000000)</f>
        <v>5339.6038419457991</v>
      </c>
      <c r="P37" s="62">
        <f>IF(P3=0,0,P3/TrAvia_act!P23*1000000)</f>
        <v>5658.0621325225238</v>
      </c>
      <c r="Q37" s="62">
        <f>IF(Q3=0,0,Q3/TrAvia_act!Q23*1000000)</f>
        <v>5456.9425054266803</v>
      </c>
      <c r="R37" s="62">
        <f>IF(R3=0,0,R3/TrAvia_act!R23*1000000)</f>
        <v>5675.2854741779311</v>
      </c>
      <c r="S37" s="62">
        <f>IF(S3=0,0,S3/TrAvia_act!S23*1000000)</f>
        <v>5990.9064195950932</v>
      </c>
      <c r="T37" s="62">
        <f>IF(T3=0,0,T3/TrAvia_act!T23*1000000)</f>
        <v>6120.0625856850147</v>
      </c>
      <c r="U37" s="62">
        <f>IF(U3=0,0,U3/TrAvia_act!U23*1000000)</f>
        <v>6305.5729402352845</v>
      </c>
      <c r="V37" s="62">
        <f>IF(V3=0,0,V3/TrAvia_act!V23*1000000)</f>
        <v>5215.3008426934484</v>
      </c>
      <c r="W37" s="62">
        <f>IF(W3=0,0,W3/TrAvia_act!W23*1000000)</f>
        <v>5896.1592464942678</v>
      </c>
      <c r="X37" s="62">
        <f>IF(X3=0,0,X3/TrAvia_act!X23*1000000)</f>
        <v>5623.232502470898</v>
      </c>
      <c r="Y37" s="62">
        <f>IF(Y3=0,0,Y3/TrAvia_act!Y23*1000000)</f>
        <v>5808.1281707366215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5355.3126326470001</v>
      </c>
      <c r="C38" s="14">
        <f>IF(C6=0,0,C6/TrAvia_act!C24*1000000)</f>
        <v>5344.8748951585121</v>
      </c>
      <c r="D38" s="14">
        <f>IF(D6=0,0,D6/TrAvia_act!D24*1000000)</f>
        <v>4883.1797650901772</v>
      </c>
      <c r="E38" s="14">
        <f>IF(E6=0,0,E6/TrAvia_act!E24*1000000)</f>
        <v>4913.6662298683177</v>
      </c>
      <c r="F38" s="14">
        <f>IF(F6=0,0,F6/TrAvia_act!F24*1000000)</f>
        <v>4930.5626870022825</v>
      </c>
      <c r="G38" s="14">
        <f>IF(G6=0,0,G6/TrAvia_act!G24*1000000)</f>
        <v>5259.0527829779339</v>
      </c>
      <c r="H38" s="14">
        <f>IF(H6=0,0,H6/TrAvia_act!H24*1000000)</f>
        <v>5465.9288855732302</v>
      </c>
      <c r="I38" s="14">
        <f>IF(I6=0,0,I6/TrAvia_act!I24*1000000)</f>
        <v>5599.6985831947322</v>
      </c>
      <c r="J38" s="14">
        <f>IF(J6=0,0,J6/TrAvia_act!J24*1000000)</f>
        <v>5019.6784511298638</v>
      </c>
      <c r="K38" s="14">
        <f>IF(K6=0,0,K6/TrAvia_act!K24*1000000)</f>
        <v>5013.8465825213943</v>
      </c>
      <c r="L38" s="14">
        <f>IF(L6=0,0,L6/TrAvia_act!L24*1000000)</f>
        <v>4927.3555235587073</v>
      </c>
      <c r="M38" s="14">
        <f>IF(M6=0,0,M6/TrAvia_act!M24*1000000)</f>
        <v>4899.5620013199205</v>
      </c>
      <c r="N38" s="14">
        <f>IF(N6=0,0,N6/TrAvia_act!N24*1000000)</f>
        <v>5275.2865106404261</v>
      </c>
      <c r="O38" s="14">
        <f>IF(O6=0,0,O6/TrAvia_act!O24*1000000)</f>
        <v>5161.8486307901076</v>
      </c>
      <c r="P38" s="14">
        <f>IF(P6=0,0,P6/TrAvia_act!P24*1000000)</f>
        <v>5484.5248159415069</v>
      </c>
      <c r="Q38" s="14">
        <f>IF(Q6=0,0,Q6/TrAvia_act!Q24*1000000)</f>
        <v>5317.2174339949688</v>
      </c>
      <c r="R38" s="14">
        <f>IF(R6=0,0,R6/TrAvia_act!R24*1000000)</f>
        <v>5572.754004429411</v>
      </c>
      <c r="S38" s="14">
        <f>IF(S6=0,0,S6/TrAvia_act!S24*1000000)</f>
        <v>5908.5286856775265</v>
      </c>
      <c r="T38" s="14">
        <f>IF(T6=0,0,T6/TrAvia_act!T24*1000000)</f>
        <v>6107.7288540324125</v>
      </c>
      <c r="U38" s="14">
        <f>IF(U6=0,0,U6/TrAvia_act!U24*1000000)</f>
        <v>6280.5515126974797</v>
      </c>
      <c r="V38" s="14">
        <f>IF(V6=0,0,V6/TrAvia_act!V24*1000000)</f>
        <v>5153.4135351452132</v>
      </c>
      <c r="W38" s="14">
        <f>IF(W6=0,0,W6/TrAvia_act!W24*1000000)</f>
        <v>5955.8418118519385</v>
      </c>
      <c r="X38" s="14">
        <f>IF(X6=0,0,X6/TrAvia_act!X24*1000000)</f>
        <v>5627.7042596422552</v>
      </c>
      <c r="Y38" s="14">
        <f>IF(Y6=0,0,Y6/TrAvia_act!Y24*1000000)</f>
        <v>5766.2719000038587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1817.9176260996182</v>
      </c>
      <c r="C39" s="87">
        <f>IF(C7=0,0,C7/TrAvia_act!C25*1000000)</f>
        <v>1815.7251368368022</v>
      </c>
      <c r="D39" s="87">
        <f>IF(D7=0,0,D7/TrAvia_act!D25*1000000)</f>
        <v>1463.6553933002208</v>
      </c>
      <c r="E39" s="87">
        <f>IF(E7=0,0,E7/TrAvia_act!E25*1000000)</f>
        <v>1198.8083067219736</v>
      </c>
      <c r="F39" s="87">
        <f>IF(F7=0,0,F7/TrAvia_act!F25*1000000)</f>
        <v>742.83063471670357</v>
      </c>
      <c r="G39" s="87">
        <f>IF(G7=0,0,G7/TrAvia_act!G25*1000000)</f>
        <v>809.64836433791641</v>
      </c>
      <c r="H39" s="87">
        <f>IF(H7=0,0,H7/TrAvia_act!H25*1000000)</f>
        <v>865.7560213409015</v>
      </c>
      <c r="I39" s="87">
        <f>IF(I7=0,0,I7/TrAvia_act!I25*1000000)</f>
        <v>1009.1864412897255</v>
      </c>
      <c r="J39" s="87">
        <f>IF(J7=0,0,J7/TrAvia_act!J25*1000000)</f>
        <v>1014.0880619597153</v>
      </c>
      <c r="K39" s="87">
        <f>IF(K7=0,0,K7/TrAvia_act!K25*1000000)</f>
        <v>1091.3415518985578</v>
      </c>
      <c r="L39" s="87">
        <f>IF(L7=0,0,L7/TrAvia_act!L25*1000000)</f>
        <v>1040.1501508803181</v>
      </c>
      <c r="M39" s="87">
        <f>IF(M7=0,0,M7/TrAvia_act!M25*1000000)</f>
        <v>985.81067223819582</v>
      </c>
      <c r="N39" s="87">
        <f>IF(N7=0,0,N7/TrAvia_act!N25*1000000)</f>
        <v>1199.8068173637118</v>
      </c>
      <c r="O39" s="87">
        <f>IF(O7=0,0,O7/TrAvia_act!O25*1000000)</f>
        <v>1112.3371873637218</v>
      </c>
      <c r="P39" s="87">
        <f>IF(P7=0,0,P7/TrAvia_act!P25*1000000)</f>
        <v>1029.6625266551148</v>
      </c>
      <c r="Q39" s="87">
        <f>IF(Q7=0,0,Q7/TrAvia_act!Q25*1000000)</f>
        <v>963.26032190364447</v>
      </c>
      <c r="R39" s="87">
        <f>IF(R7=0,0,R7/TrAvia_act!R25*1000000)</f>
        <v>993.78446789660916</v>
      </c>
      <c r="S39" s="87">
        <f>IF(S7=0,0,S7/TrAvia_act!S25*1000000)</f>
        <v>993.13376382545903</v>
      </c>
      <c r="T39" s="87">
        <f>IF(T7=0,0,T7/TrAvia_act!T25*1000000)</f>
        <v>975.43901324857643</v>
      </c>
      <c r="U39" s="87">
        <f>IF(U7=0,0,U7/TrAvia_act!U25*1000000)</f>
        <v>999.86017008691567</v>
      </c>
      <c r="V39" s="87">
        <f>IF(V7=0,0,V7/TrAvia_act!V25*1000000)</f>
        <v>933.74645717463034</v>
      </c>
      <c r="W39" s="87">
        <f>IF(W7=0,0,W7/TrAvia_act!W25*1000000)</f>
        <v>900.17475090625271</v>
      </c>
      <c r="X39" s="87">
        <f>IF(X7=0,0,X7/TrAvia_act!X25*1000000)</f>
        <v>960.14859690842366</v>
      </c>
      <c r="Y39" s="87">
        <f>IF(Y7=0,0,Y7/TrAvia_act!Y25*1000000)</f>
        <v>1033.004038041669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3864.6215135644006</v>
      </c>
      <c r="C40" s="87">
        <f>IF(C8=0,0,C8/TrAvia_act!C26*1000000)</f>
        <v>3859.6150226482068</v>
      </c>
      <c r="D40" s="87">
        <f>IF(D8=0,0,D8/TrAvia_act!D26*1000000)</f>
        <v>3701.8793835646043</v>
      </c>
      <c r="E40" s="87">
        <f>IF(E8=0,0,E8/TrAvia_act!E26*1000000)</f>
        <v>3903.5634527921034</v>
      </c>
      <c r="F40" s="87">
        <f>IF(F8=0,0,F8/TrAvia_act!F26*1000000)</f>
        <v>4030.2573161913897</v>
      </c>
      <c r="G40" s="87">
        <f>IF(G8=0,0,G8/TrAvia_act!G26*1000000)</f>
        <v>4297.3006050247595</v>
      </c>
      <c r="H40" s="87">
        <f>IF(H8=0,0,H8/TrAvia_act!H26*1000000)</f>
        <v>4506.4409650291618</v>
      </c>
      <c r="I40" s="87">
        <f>IF(I8=0,0,I8/TrAvia_act!I26*1000000)</f>
        <v>4647.3185871323749</v>
      </c>
      <c r="J40" s="87">
        <f>IF(J8=0,0,J8/TrAvia_act!J26*1000000)</f>
        <v>4145.7133071546732</v>
      </c>
      <c r="K40" s="87">
        <f>IF(K8=0,0,K8/TrAvia_act!K26*1000000)</f>
        <v>4052.3554472315823</v>
      </c>
      <c r="L40" s="87">
        <f>IF(L8=0,0,L8/TrAvia_act!L26*1000000)</f>
        <v>4063.3382276799448</v>
      </c>
      <c r="M40" s="87">
        <f>IF(M8=0,0,M8/TrAvia_act!M26*1000000)</f>
        <v>4071.9184509049305</v>
      </c>
      <c r="N40" s="87">
        <f>IF(N8=0,0,N8/TrAvia_act!N26*1000000)</f>
        <v>4045.5783480531522</v>
      </c>
      <c r="O40" s="87">
        <f>IF(O8=0,0,O8/TrAvia_act!O26*1000000)</f>
        <v>3992.0972077680694</v>
      </c>
      <c r="P40" s="87">
        <f>IF(P8=0,0,P8/TrAvia_act!P26*1000000)</f>
        <v>4346.3727300610535</v>
      </c>
      <c r="Q40" s="87">
        <f>IF(Q8=0,0,Q8/TrAvia_act!Q26*1000000)</f>
        <v>4220.2164141341909</v>
      </c>
      <c r="R40" s="87">
        <f>IF(R8=0,0,R8/TrAvia_act!R26*1000000)</f>
        <v>4500.8615736381807</v>
      </c>
      <c r="S40" s="87">
        <f>IF(S8=0,0,S8/TrAvia_act!S26*1000000)</f>
        <v>4794.9365979773784</v>
      </c>
      <c r="T40" s="87">
        <f>IF(T8=0,0,T8/TrAvia_act!T26*1000000)</f>
        <v>4930.1865686412784</v>
      </c>
      <c r="U40" s="87">
        <f>IF(U8=0,0,U8/TrAvia_act!U26*1000000)</f>
        <v>5003.2077469124297</v>
      </c>
      <c r="V40" s="87">
        <f>IF(V8=0,0,V8/TrAvia_act!V26*1000000)</f>
        <v>3952.1157518137734</v>
      </c>
      <c r="W40" s="87">
        <f>IF(W8=0,0,W8/TrAvia_act!W26*1000000)</f>
        <v>5060.9743462273682</v>
      </c>
      <c r="X40" s="87">
        <f>IF(X8=0,0,X8/TrAvia_act!X26*1000000)</f>
        <v>4718.237007893892</v>
      </c>
      <c r="Y40" s="87">
        <f>IF(Y8=0,0,Y8/TrAvia_act!Y26*1000000)</f>
        <v>4601.9663946594155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38033.186688547059</v>
      </c>
      <c r="C41" s="87">
        <f>IF(C9=0,0,C9/TrAvia_act!C27*1000000)</f>
        <v>37983.942955562416</v>
      </c>
      <c r="D41" s="87">
        <f>IF(D9=0,0,D9/TrAvia_act!D27*1000000)</f>
        <v>36709.793577104756</v>
      </c>
      <c r="E41" s="87">
        <f>IF(E9=0,0,E9/TrAvia_act!E27*1000000)</f>
        <v>38740.490419152135</v>
      </c>
      <c r="F41" s="87">
        <f>IF(F9=0,0,F9/TrAvia_act!F27*1000000)</f>
        <v>39927.929300829135</v>
      </c>
      <c r="G41" s="87">
        <f>IF(G9=0,0,G9/TrAvia_act!G27*1000000)</f>
        <v>39539.294214752801</v>
      </c>
      <c r="H41" s="87">
        <f>IF(H9=0,0,H9/TrAvia_act!H27*1000000)</f>
        <v>41855.106939851219</v>
      </c>
      <c r="I41" s="87">
        <f>IF(I9=0,0,I9/TrAvia_act!I27*1000000)</f>
        <v>41064.484732995094</v>
      </c>
      <c r="J41" s="87">
        <f>IF(J9=0,0,J9/TrAvia_act!J27*1000000)</f>
        <v>35275.685865909472</v>
      </c>
      <c r="K41" s="87">
        <f>IF(K9=0,0,K9/TrAvia_act!K27*1000000)</f>
        <v>35412.569601437412</v>
      </c>
      <c r="L41" s="87">
        <f>IF(L9=0,0,L9/TrAvia_act!L27*1000000)</f>
        <v>31583.412498268826</v>
      </c>
      <c r="M41" s="87">
        <f>IF(M9=0,0,M9/TrAvia_act!M27*1000000)</f>
        <v>28573.898227466852</v>
      </c>
      <c r="N41" s="87">
        <f>IF(N9=0,0,N9/TrAvia_act!N27*1000000)</f>
        <v>27567.476823122983</v>
      </c>
      <c r="O41" s="87">
        <f>IF(O9=0,0,O9/TrAvia_act!O27*1000000)</f>
        <v>27909.32479179119</v>
      </c>
      <c r="P41" s="87">
        <f>IF(P9=0,0,P9/TrAvia_act!P27*1000000)</f>
        <v>28421.068094092625</v>
      </c>
      <c r="Q41" s="87">
        <f>IF(Q9=0,0,Q9/TrAvia_act!Q27*1000000)</f>
        <v>27418.643710510722</v>
      </c>
      <c r="R41" s="87">
        <f>IF(R9=0,0,R9/TrAvia_act!R27*1000000)</f>
        <v>28487.224942980192</v>
      </c>
      <c r="S41" s="87">
        <f>IF(S9=0,0,S9/TrAvia_act!S27*1000000)</f>
        <v>30026.562067958796</v>
      </c>
      <c r="T41" s="87">
        <f>IF(T9=0,0,T9/TrAvia_act!T27*1000000)</f>
        <v>27480.876025993388</v>
      </c>
      <c r="U41" s="87">
        <f>IF(U9=0,0,U9/TrAvia_act!U27*1000000)</f>
        <v>27514.49395139184</v>
      </c>
      <c r="V41" s="87">
        <f>IF(V9=0,0,V9/TrAvia_act!V27*1000000)</f>
        <v>32193.671573278301</v>
      </c>
      <c r="W41" s="87">
        <f>IF(W9=0,0,W9/TrAvia_act!W27*1000000)</f>
        <v>28219.803300330186</v>
      </c>
      <c r="X41" s="87">
        <f>IF(X9=0,0,X9/TrAvia_act!X27*1000000)</f>
        <v>21003.002702802129</v>
      </c>
      <c r="Y41" s="87">
        <f>IF(Y9=0,0,Y9/TrAvia_act!Y27*1000000)</f>
        <v>21664.157287908602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3303.8427653358563</v>
      </c>
      <c r="C42" s="15">
        <f>IF(C10=0,0,C10/TrAvia_act!C28*1000000)</f>
        <v>3319.7995082933044</v>
      </c>
      <c r="D42" s="15">
        <f>IF(D10=0,0,D10/TrAvia_act!D28*1000000)</f>
        <v>3254.8870526630276</v>
      </c>
      <c r="E42" s="15">
        <f>IF(E10=0,0,E10/TrAvia_act!E28*1000000)</f>
        <v>3593.6379991707968</v>
      </c>
      <c r="F42" s="15">
        <f>IF(F10=0,0,F10/TrAvia_act!F28*1000000)</f>
        <v>3629.7359189725162</v>
      </c>
      <c r="G42" s="15">
        <f>IF(G10=0,0,G10/TrAvia_act!G28*1000000)</f>
        <v>3591.2358249623057</v>
      </c>
      <c r="H42" s="15">
        <f>IF(H10=0,0,H10/TrAvia_act!H28*1000000)</f>
        <v>3639.1369600105186</v>
      </c>
      <c r="I42" s="15">
        <f>IF(I10=0,0,I10/TrAvia_act!I28*1000000)</f>
        <v>3793.0143952490698</v>
      </c>
      <c r="J42" s="15">
        <f>IF(J10=0,0,J10/TrAvia_act!J28*1000000)</f>
        <v>10434.229937136957</v>
      </c>
      <c r="K42" s="15">
        <f>IF(K10=0,0,K10/TrAvia_act!K28*1000000)</f>
        <v>11011.231245328136</v>
      </c>
      <c r="L42" s="15">
        <f>IF(L10=0,0,L10/TrAvia_act!L28*1000000)</f>
        <v>15484.659954843321</v>
      </c>
      <c r="M42" s="15">
        <f>IF(M10=0,0,M10/TrAvia_act!M28*1000000)</f>
        <v>14814.225029370929</v>
      </c>
      <c r="N42" s="15">
        <f>IF(N10=0,0,N10/TrAvia_act!N28*1000000)</f>
        <v>16015.421311523427</v>
      </c>
      <c r="O42" s="15">
        <f>IF(O10=0,0,O10/TrAvia_act!O28*1000000)</f>
        <v>15223.339185919744</v>
      </c>
      <c r="P42" s="15">
        <f>IF(P10=0,0,P10/TrAvia_act!P28*1000000)</f>
        <v>12437.937639520163</v>
      </c>
      <c r="Q42" s="15">
        <f>IF(Q10=0,0,Q10/TrAvia_act!Q28*1000000)</f>
        <v>10858.552889495735</v>
      </c>
      <c r="R42" s="15">
        <f>IF(R10=0,0,R10/TrAvia_act!R28*1000000)</f>
        <v>10707.527632582935</v>
      </c>
      <c r="S42" s="15">
        <f>IF(S10=0,0,S10/TrAvia_act!S28*1000000)</f>
        <v>9228.3257488136715</v>
      </c>
      <c r="T42" s="15">
        <f>IF(T10=0,0,T10/TrAvia_act!T28*1000000)</f>
        <v>6614.8748266415205</v>
      </c>
      <c r="U42" s="15">
        <f>IF(U10=0,0,U10/TrAvia_act!U28*1000000)</f>
        <v>7235.6086687635079</v>
      </c>
      <c r="V42" s="15">
        <f>IF(V10=0,0,V10/TrAvia_act!V28*1000000)</f>
        <v>5995.8823000259972</v>
      </c>
      <c r="W42" s="15">
        <f>IF(W10=0,0,W10/TrAvia_act!W28*1000000)</f>
        <v>5253.6426127760578</v>
      </c>
      <c r="X42" s="15">
        <f>IF(X10=0,0,X10/TrAvia_act!X28*1000000)</f>
        <v>5534.6083352246596</v>
      </c>
      <c r="Y42" s="15">
        <f>IF(Y10=0,0,Y10/TrAvia_act!Y28*1000000)</f>
        <v>6783.7206839545979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1877.1696342229015</v>
      </c>
      <c r="C43" s="101">
        <f>IF(C11=0,0,C11/TrAvia_act!C29*1000000)</f>
        <v>1874.9056844110792</v>
      </c>
      <c r="D43" s="101">
        <f>IF(D11=0,0,D11/TrAvia_act!D29*1000000)</f>
        <v>1511.3608118562763</v>
      </c>
      <c r="E43" s="101">
        <f>IF(E11=0,0,E11/TrAvia_act!E29*1000000)</f>
        <v>1237.8814740142404</v>
      </c>
      <c r="F43" s="101">
        <f>IF(F11=0,0,F11/TrAvia_act!F29*1000000)</f>
        <v>767.04196650124175</v>
      </c>
      <c r="G43" s="101">
        <f>IF(G11=0,0,G11/TrAvia_act!G29*1000000)</f>
        <v>836.03750913304191</v>
      </c>
      <c r="H43" s="101">
        <f>IF(H11=0,0,H11/TrAvia_act!H29*1000000)</f>
        <v>874.83826137210644</v>
      </c>
      <c r="I43" s="101">
        <f>IF(I11=0,0,I11/TrAvia_act!I29*1000000)</f>
        <v>997.94492491481071</v>
      </c>
      <c r="J43" s="101">
        <f>IF(J11=0,0,J11/TrAvia_act!J29*1000000)</f>
        <v>981.32699623056749</v>
      </c>
      <c r="K43" s="101">
        <f>IF(K11=0,0,K11/TrAvia_act!K29*1000000)</f>
        <v>1033.4790258014025</v>
      </c>
      <c r="L43" s="101">
        <f>IF(L11=0,0,L11/TrAvia_act!L29*1000000)</f>
        <v>963.91758482058094</v>
      </c>
      <c r="M43" s="101">
        <f>IF(M11=0,0,M11/TrAvia_act!M29*1000000)</f>
        <v>913.80130691346358</v>
      </c>
      <c r="N43" s="101">
        <f>IF(N11=0,0,N11/TrAvia_act!N29*1000000)</f>
        <v>1112.4588992622653</v>
      </c>
      <c r="O43" s="101">
        <f>IF(O11=0,0,O11/TrAvia_act!O29*1000000)</f>
        <v>1038.0913257952502</v>
      </c>
      <c r="P43" s="101">
        <f>IF(P11=0,0,P11/TrAvia_act!P29*1000000)</f>
        <v>967.20905919767199</v>
      </c>
      <c r="Q43" s="101">
        <f>IF(Q11=0,0,Q11/TrAvia_act!Q29*1000000)</f>
        <v>910.74196661043743</v>
      </c>
      <c r="R43" s="101">
        <f>IF(R11=0,0,R11/TrAvia_act!R29*1000000)</f>
        <v>945.7361693886304</v>
      </c>
      <c r="S43" s="101">
        <f>IF(S11=0,0,S11/TrAvia_act!S29*1000000)</f>
        <v>951.28696154628369</v>
      </c>
      <c r="T43" s="101">
        <f>IF(T11=0,0,T11/TrAvia_act!T29*1000000)</f>
        <v>940.43722029483433</v>
      </c>
      <c r="U43" s="101">
        <f>IF(U11=0,0,U11/TrAvia_act!U29*1000000)</f>
        <v>1008.8537460450982</v>
      </c>
      <c r="V43" s="101">
        <f>IF(V11=0,0,V11/TrAvia_act!V29*1000000)</f>
        <v>937.90971456953309</v>
      </c>
      <c r="W43" s="101">
        <f>IF(W11=0,0,W11/TrAvia_act!W29*1000000)</f>
        <v>899.82475126550332</v>
      </c>
      <c r="X43" s="101">
        <f>IF(X11=0,0,X11/TrAvia_act!X29*1000000)</f>
        <v>1438.0059817351639</v>
      </c>
      <c r="Y43" s="101">
        <f>IF(Y11=0,0,Y11/TrAvia_act!Y29*1000000)</f>
        <v>1023.3988903665058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3100.4286896728295</v>
      </c>
      <c r="C44" s="101">
        <f>IF(C12=0,0,C12/TrAvia_act!C30*1000000)</f>
        <v>3097.4667815078419</v>
      </c>
      <c r="D44" s="101">
        <f>IF(D12=0,0,D12/TrAvia_act!D30*1000000)</f>
        <v>2988.8396861728343</v>
      </c>
      <c r="E44" s="101">
        <f>IF(E12=0,0,E12/TrAvia_act!E30*1000000)</f>
        <v>3143.2113779331348</v>
      </c>
      <c r="F44" s="101">
        <f>IF(F12=0,0,F12/TrAvia_act!F30*1000000)</f>
        <v>3249.4094458026457</v>
      </c>
      <c r="G44" s="101">
        <f>IF(G12=0,0,G12/TrAvia_act!G30*1000000)</f>
        <v>3445.7499778519145</v>
      </c>
      <c r="H44" s="101">
        <f>IF(H12=0,0,H12/TrAvia_act!H30*1000000)</f>
        <v>3654.7408506823763</v>
      </c>
      <c r="I44" s="101">
        <f>IF(I12=0,0,I12/TrAvia_act!I30*1000000)</f>
        <v>3769.6160913074673</v>
      </c>
      <c r="J44" s="101">
        <f>IF(J12=0,0,J12/TrAvia_act!J30*1000000)</f>
        <v>3285.6896248004259</v>
      </c>
      <c r="K44" s="101">
        <f>IF(K12=0,0,K12/TrAvia_act!K30*1000000)</f>
        <v>3205.6765179781164</v>
      </c>
      <c r="L44" s="101">
        <f>IF(L12=0,0,L12/TrAvia_act!L30*1000000)</f>
        <v>3225.6474969610899</v>
      </c>
      <c r="M44" s="101">
        <f>IF(M12=0,0,M12/TrAvia_act!M30*1000000)</f>
        <v>3135.9141366296558</v>
      </c>
      <c r="N44" s="101">
        <f>IF(N12=0,0,N12/TrAvia_act!N30*1000000)</f>
        <v>3027.0156941115274</v>
      </c>
      <c r="O44" s="101">
        <f>IF(O12=0,0,O12/TrAvia_act!O30*1000000)</f>
        <v>2874.3512288035204</v>
      </c>
      <c r="P44" s="101">
        <f>IF(P12=0,0,P12/TrAvia_act!P30*1000000)</f>
        <v>3107.3448530823362</v>
      </c>
      <c r="Q44" s="101">
        <f>IF(Q12=0,0,Q12/TrAvia_act!Q30*1000000)</f>
        <v>2980.6118492650317</v>
      </c>
      <c r="R44" s="101">
        <f>IF(R12=0,0,R12/TrAvia_act!R30*1000000)</f>
        <v>3094.0570573912273</v>
      </c>
      <c r="S44" s="101">
        <f>IF(S12=0,0,S12/TrAvia_act!S30*1000000)</f>
        <v>3228.8405933983968</v>
      </c>
      <c r="T44" s="101">
        <f>IF(T12=0,0,T12/TrAvia_act!T30*1000000)</f>
        <v>3240.4732293352895</v>
      </c>
      <c r="U44" s="101">
        <f>IF(U12=0,0,U12/TrAvia_act!U30*1000000)</f>
        <v>3386.7462961571077</v>
      </c>
      <c r="V44" s="101">
        <f>IF(V12=0,0,V12/TrAvia_act!V30*1000000)</f>
        <v>2707.8539684127163</v>
      </c>
      <c r="W44" s="101">
        <f>IF(W12=0,0,W12/TrAvia_act!W30*1000000)</f>
        <v>3011.8929945948798</v>
      </c>
      <c r="X44" s="101">
        <f>IF(X12=0,0,X12/TrAvia_act!X30*1000000)</f>
        <v>3274.2145000057872</v>
      </c>
      <c r="Y44" s="101">
        <f>IF(Y12=0,0,Y12/TrAvia_act!Y30*1000000)</f>
        <v>3397.5975107549698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41220.395684191812</v>
      </c>
      <c r="C45" s="88">
        <f>IF(C13=0,0,C13/TrAvia_act!C31*1000000)</f>
        <v>41167.025290193131</v>
      </c>
      <c r="D45" s="88">
        <f>IF(D13=0,0,D13/TrAvia_act!D31*1000000)</f>
        <v>39786.101257429713</v>
      </c>
      <c r="E45" s="88">
        <f>IF(E13=0,0,E13/TrAvia_act!E31*1000000)</f>
        <v>41986.97198722943</v>
      </c>
      <c r="F45" s="88">
        <f>IF(F13=0,0,F13/TrAvia_act!F31*1000000)</f>
        <v>43273.919119857143</v>
      </c>
      <c r="G45" s="88">
        <f>IF(G13=0,0,G13/TrAvia_act!G31*1000000)</f>
        <v>42178.954630705892</v>
      </c>
      <c r="H45" s="88">
        <f>IF(H13=0,0,H13/TrAvia_act!H31*1000000)</f>
        <v>46605.063069620286</v>
      </c>
      <c r="I45" s="88">
        <f>IF(I13=0,0,I13/TrAvia_act!I31*1000000)</f>
        <v>49407.688572038001</v>
      </c>
      <c r="J45" s="88">
        <f>IF(J13=0,0,J13/TrAvia_act!J31*1000000)</f>
        <v>50138.64094742186</v>
      </c>
      <c r="K45" s="88">
        <f>IF(K13=0,0,K13/TrAvia_act!K31*1000000)</f>
        <v>51975.945735811641</v>
      </c>
      <c r="L45" s="88">
        <f>IF(L13=0,0,L13/TrAvia_act!L31*1000000)</f>
        <v>52310.791677003828</v>
      </c>
      <c r="M45" s="88">
        <f>IF(M13=0,0,M13/TrAvia_act!M31*1000000)</f>
        <v>48563.959157141282</v>
      </c>
      <c r="N45" s="88">
        <f>IF(N13=0,0,N13/TrAvia_act!N31*1000000)</f>
        <v>46475.535941955481</v>
      </c>
      <c r="O45" s="88">
        <f>IF(O13=0,0,O13/TrAvia_act!O31*1000000)</f>
        <v>41551.41306727592</v>
      </c>
      <c r="P45" s="88">
        <f>IF(P13=0,0,P13/TrAvia_act!P31*1000000)</f>
        <v>37020.933022640391</v>
      </c>
      <c r="Q45" s="88">
        <f>IF(Q13=0,0,Q13/TrAvia_act!Q31*1000000)</f>
        <v>31413.81123987136</v>
      </c>
      <c r="R45" s="88">
        <f>IF(R13=0,0,R13/TrAvia_act!R31*1000000)</f>
        <v>27044.620340409991</v>
      </c>
      <c r="S45" s="88">
        <f>IF(S13=0,0,S13/TrAvia_act!S31*1000000)</f>
        <v>21111.291412020892</v>
      </c>
      <c r="T45" s="88">
        <f>IF(T13=0,0,T13/TrAvia_act!T31*1000000)</f>
        <v>13591.781413814531</v>
      </c>
      <c r="U45" s="88">
        <f>IF(U13=0,0,U13/TrAvia_act!U31*1000000)</f>
        <v>16048.263924960824</v>
      </c>
      <c r="V45" s="88">
        <f>IF(V13=0,0,V13/TrAvia_act!V31*1000000)</f>
        <v>17487.284588932162</v>
      </c>
      <c r="W45" s="88">
        <f>IF(W13=0,0,W13/TrAvia_act!W31*1000000)</f>
        <v>11397.139761617866</v>
      </c>
      <c r="X45" s="88">
        <f>IF(X13=0,0,X13/TrAvia_act!X31*1000000)</f>
        <v>14011.381743986689</v>
      </c>
      <c r="Y45" s="88">
        <f>IF(Y13=0,0,Y13/TrAvia_act!Y31*1000000)</f>
        <v>19422.005896958406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0.99051613619610457</v>
      </c>
      <c r="C48" s="16">
        <f t="shared" si="36"/>
        <v>0.99026113753401046</v>
      </c>
      <c r="D48" s="16">
        <f t="shared" ref="D48:V48" si="37">IF(D6=0,0,D6/D$3)</f>
        <v>0.98962299590589631</v>
      </c>
      <c r="E48" s="16">
        <f t="shared" si="37"/>
        <v>0.99197551086887048</v>
      </c>
      <c r="F48" s="16">
        <f t="shared" si="37"/>
        <v>0.99204949009449328</v>
      </c>
      <c r="G48" s="16">
        <f t="shared" si="37"/>
        <v>0.99136494378964424</v>
      </c>
      <c r="H48" s="16">
        <f t="shared" si="37"/>
        <v>0.98967351262779324</v>
      </c>
      <c r="I48" s="16">
        <f t="shared" si="37"/>
        <v>0.99025405529568467</v>
      </c>
      <c r="J48" s="16">
        <f t="shared" si="37"/>
        <v>0.92469720606034334</v>
      </c>
      <c r="K48" s="16">
        <f t="shared" si="37"/>
        <v>0.93932716031052499</v>
      </c>
      <c r="L48" s="16">
        <f t="shared" si="37"/>
        <v>0.93922525423784753</v>
      </c>
      <c r="M48" s="16">
        <f t="shared" si="37"/>
        <v>0.94374660913662634</v>
      </c>
      <c r="N48" s="16">
        <f t="shared" si="37"/>
        <v>0.94141415774025594</v>
      </c>
      <c r="O48" s="16">
        <f t="shared" si="37"/>
        <v>0.94963128113074013</v>
      </c>
      <c r="P48" s="16">
        <f t="shared" si="37"/>
        <v>0.9451375085372189</v>
      </c>
      <c r="Q48" s="16">
        <f t="shared" si="37"/>
        <v>0.94982556722385836</v>
      </c>
      <c r="R48" s="16">
        <f t="shared" si="37"/>
        <v>0.96232637828345591</v>
      </c>
      <c r="S48" s="16">
        <f t="shared" si="37"/>
        <v>0.96177665546762592</v>
      </c>
      <c r="T48" s="16">
        <f t="shared" si="37"/>
        <v>0.97371383187924543</v>
      </c>
      <c r="U48" s="16">
        <f t="shared" si="37"/>
        <v>0.96993693628454747</v>
      </c>
      <c r="V48" s="16">
        <f t="shared" si="37"/>
        <v>0.91554574909826603</v>
      </c>
      <c r="W48" s="16">
        <f t="shared" ref="W48:Y48" si="38">IF(W6=0,0,W6/W$3)</f>
        <v>0.92426816608823947</v>
      </c>
      <c r="X48" s="16">
        <f t="shared" si="38"/>
        <v>0.95272316487409292</v>
      </c>
      <c r="Y48" s="16">
        <f t="shared" si="38"/>
        <v>0.95195151036359293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5.5965838323831625E-2</v>
      </c>
      <c r="C49" s="103">
        <f t="shared" si="39"/>
        <v>5.6283509896820391E-2</v>
      </c>
      <c r="D49" s="103">
        <f t="shared" ref="D49:V49" si="40">IF(D7=0,0,D7/D$3)</f>
        <v>5.3730761431084628E-2</v>
      </c>
      <c r="E49" s="103">
        <f t="shared" si="40"/>
        <v>5.0694762553286137E-2</v>
      </c>
      <c r="F49" s="103">
        <f t="shared" si="40"/>
        <v>3.759317955362141E-2</v>
      </c>
      <c r="G49" s="103">
        <f t="shared" si="40"/>
        <v>3.805642198741159E-2</v>
      </c>
      <c r="H49" s="103">
        <f t="shared" si="40"/>
        <v>4.0111512824700539E-2</v>
      </c>
      <c r="I49" s="103">
        <f t="shared" si="40"/>
        <v>4.5636375777383373E-2</v>
      </c>
      <c r="J49" s="103">
        <f t="shared" si="40"/>
        <v>4.7678440883789225E-2</v>
      </c>
      <c r="K49" s="103">
        <f t="shared" si="40"/>
        <v>5.423097604040019E-2</v>
      </c>
      <c r="L49" s="103">
        <f t="shared" si="40"/>
        <v>5.4634011858474746E-2</v>
      </c>
      <c r="M49" s="103">
        <f t="shared" si="40"/>
        <v>5.1072580723150567E-2</v>
      </c>
      <c r="N49" s="103">
        <f t="shared" si="40"/>
        <v>4.3835211485317389E-2</v>
      </c>
      <c r="O49" s="103">
        <f t="shared" si="40"/>
        <v>4.3107552850311669E-2</v>
      </c>
      <c r="P49" s="103">
        <f t="shared" si="40"/>
        <v>3.8882566945161026E-2</v>
      </c>
      <c r="Q49" s="103">
        <f t="shared" si="40"/>
        <v>3.6935312861583733E-2</v>
      </c>
      <c r="R49" s="103">
        <f t="shared" si="40"/>
        <v>3.5743688792955253E-2</v>
      </c>
      <c r="S49" s="103">
        <f t="shared" si="40"/>
        <v>3.3145262904331139E-2</v>
      </c>
      <c r="T49" s="103">
        <f t="shared" si="40"/>
        <v>3.0028033049662187E-2</v>
      </c>
      <c r="U49" s="103">
        <f t="shared" si="40"/>
        <v>2.9485663307394012E-2</v>
      </c>
      <c r="V49" s="103">
        <f t="shared" si="40"/>
        <v>4.8719349950620772E-2</v>
      </c>
      <c r="W49" s="103">
        <f t="shared" ref="W49:Y49" si="41">IF(W7=0,0,W7/W$3)</f>
        <v>4.0932137051272889E-2</v>
      </c>
      <c r="X49" s="103">
        <f t="shared" si="41"/>
        <v>3.2253314645372864E-2</v>
      </c>
      <c r="Y49" s="103">
        <f t="shared" si="41"/>
        <v>2.8297511559736106E-2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0.55751203516643222</v>
      </c>
      <c r="C50" s="103">
        <f t="shared" si="42"/>
        <v>0.55715312200386202</v>
      </c>
      <c r="D50" s="103">
        <f t="shared" ref="D50:V50" si="43">IF(D8=0,0,D8/D$3)</f>
        <v>0.5782611335220087</v>
      </c>
      <c r="E50" s="103">
        <f t="shared" si="43"/>
        <v>0.58731647963283318</v>
      </c>
      <c r="F50" s="103">
        <f t="shared" si="43"/>
        <v>0.56792526060189596</v>
      </c>
      <c r="G50" s="103">
        <f t="shared" si="43"/>
        <v>0.56598361595762048</v>
      </c>
      <c r="H50" s="103">
        <f t="shared" si="43"/>
        <v>0.56584358392469791</v>
      </c>
      <c r="I50" s="103">
        <f t="shared" si="43"/>
        <v>0.56919090256403193</v>
      </c>
      <c r="J50" s="103">
        <f t="shared" si="43"/>
        <v>0.52773622530156239</v>
      </c>
      <c r="K50" s="103">
        <f t="shared" si="43"/>
        <v>0.51553546561737651</v>
      </c>
      <c r="L50" s="103">
        <f t="shared" si="43"/>
        <v>0.51334080422999451</v>
      </c>
      <c r="M50" s="103">
        <f t="shared" si="43"/>
        <v>0.52030615774957112</v>
      </c>
      <c r="N50" s="103">
        <f t="shared" si="43"/>
        <v>0.5185315593422849</v>
      </c>
      <c r="O50" s="103">
        <f t="shared" si="43"/>
        <v>0.52517322836201408</v>
      </c>
      <c r="P50" s="103">
        <f t="shared" si="43"/>
        <v>0.52685089791178974</v>
      </c>
      <c r="Q50" s="103">
        <f t="shared" si="43"/>
        <v>0.53367830929694082</v>
      </c>
      <c r="R50" s="103">
        <f t="shared" si="43"/>
        <v>0.55694231755765278</v>
      </c>
      <c r="S50" s="103">
        <f t="shared" si="43"/>
        <v>0.56192047743065698</v>
      </c>
      <c r="T50" s="103">
        <f t="shared" si="43"/>
        <v>0.56655610212861929</v>
      </c>
      <c r="U50" s="103">
        <f t="shared" si="43"/>
        <v>0.55504492955671902</v>
      </c>
      <c r="V50" s="103">
        <f t="shared" si="43"/>
        <v>0.4440143521547314</v>
      </c>
      <c r="W50" s="103">
        <f t="shared" ref="W50:Y50" si="44">IF(W8=0,0,W8/W$3)</f>
        <v>0.48357340494503759</v>
      </c>
      <c r="X50" s="103">
        <f t="shared" si="44"/>
        <v>0.55907771181286736</v>
      </c>
      <c r="Y50" s="103">
        <f t="shared" si="44"/>
        <v>0.55546038093947414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0.37703826270584079</v>
      </c>
      <c r="C51" s="103">
        <f t="shared" si="45"/>
        <v>0.37682450563332792</v>
      </c>
      <c r="D51" s="103">
        <f t="shared" ref="D51:V51" si="46">IF(D9=0,0,D9/D$3)</f>
        <v>0.35763110095280293</v>
      </c>
      <c r="E51" s="103">
        <f t="shared" si="46"/>
        <v>0.3539642686827511</v>
      </c>
      <c r="F51" s="103">
        <f t="shared" si="46"/>
        <v>0.38653104993897597</v>
      </c>
      <c r="G51" s="103">
        <f t="shared" si="46"/>
        <v>0.3873249058446121</v>
      </c>
      <c r="H51" s="103">
        <f t="shared" si="46"/>
        <v>0.38371841587839484</v>
      </c>
      <c r="I51" s="103">
        <f t="shared" si="46"/>
        <v>0.37542677695426935</v>
      </c>
      <c r="J51" s="103">
        <f t="shared" si="46"/>
        <v>0.34928253987499175</v>
      </c>
      <c r="K51" s="103">
        <f t="shared" si="46"/>
        <v>0.36956071865274837</v>
      </c>
      <c r="L51" s="103">
        <f t="shared" si="46"/>
        <v>0.37125043814937836</v>
      </c>
      <c r="M51" s="103">
        <f t="shared" si="46"/>
        <v>0.37236787066390459</v>
      </c>
      <c r="N51" s="103">
        <f t="shared" si="46"/>
        <v>0.37904738691265372</v>
      </c>
      <c r="O51" s="103">
        <f t="shared" si="46"/>
        <v>0.38135049991841447</v>
      </c>
      <c r="P51" s="103">
        <f t="shared" si="46"/>
        <v>0.37940404368026814</v>
      </c>
      <c r="Q51" s="103">
        <f t="shared" si="46"/>
        <v>0.37921194506533379</v>
      </c>
      <c r="R51" s="103">
        <f t="shared" si="46"/>
        <v>0.36964037193284793</v>
      </c>
      <c r="S51" s="103">
        <f t="shared" si="46"/>
        <v>0.36671091513263776</v>
      </c>
      <c r="T51" s="103">
        <f t="shared" si="46"/>
        <v>0.37712969670096391</v>
      </c>
      <c r="U51" s="103">
        <f t="shared" si="46"/>
        <v>0.38540634342043451</v>
      </c>
      <c r="V51" s="103">
        <f t="shared" si="46"/>
        <v>0.4228120469929138</v>
      </c>
      <c r="W51" s="103">
        <f t="shared" ref="W51:Y51" si="47">IF(W9=0,0,W9/W$3)</f>
        <v>0.39976262409192903</v>
      </c>
      <c r="X51" s="103">
        <f t="shared" si="47"/>
        <v>0.36139213841585266</v>
      </c>
      <c r="Y51" s="103">
        <f t="shared" si="47"/>
        <v>0.36819361786438276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9.4838638038954887E-3</v>
      </c>
      <c r="C52" s="17">
        <f t="shared" si="48"/>
        <v>9.7388624659897269E-3</v>
      </c>
      <c r="D52" s="17">
        <f t="shared" ref="D52:V52" si="49">IF(D10=0,0,D10/D$3)</f>
        <v>1.0377004094103939E-2</v>
      </c>
      <c r="E52" s="17">
        <f t="shared" si="49"/>
        <v>8.0244891311294676E-3</v>
      </c>
      <c r="F52" s="17">
        <f t="shared" si="49"/>
        <v>7.9505099055066329E-3</v>
      </c>
      <c r="G52" s="17">
        <f t="shared" si="49"/>
        <v>8.6350562103558529E-3</v>
      </c>
      <c r="H52" s="17">
        <f t="shared" si="49"/>
        <v>1.0326487372206608E-2</v>
      </c>
      <c r="I52" s="17">
        <f t="shared" si="49"/>
        <v>9.7459447043154804E-3</v>
      </c>
      <c r="J52" s="17">
        <f t="shared" si="49"/>
        <v>7.5302793939656568E-2</v>
      </c>
      <c r="K52" s="17">
        <f t="shared" si="49"/>
        <v>6.067283968947515E-2</v>
      </c>
      <c r="L52" s="17">
        <f t="shared" si="49"/>
        <v>6.0774745762152423E-2</v>
      </c>
      <c r="M52" s="17">
        <f t="shared" si="49"/>
        <v>5.6253390863373477E-2</v>
      </c>
      <c r="N52" s="17">
        <f t="shared" si="49"/>
        <v>5.8585842259744079E-2</v>
      </c>
      <c r="O52" s="17">
        <f t="shared" si="49"/>
        <v>5.0368718869259865E-2</v>
      </c>
      <c r="P52" s="17">
        <f t="shared" si="49"/>
        <v>5.4862491462781222E-2</v>
      </c>
      <c r="Q52" s="17">
        <f t="shared" si="49"/>
        <v>5.0174432776141656E-2</v>
      </c>
      <c r="R52" s="17">
        <f t="shared" si="49"/>
        <v>3.7673621716544231E-2</v>
      </c>
      <c r="S52" s="17">
        <f t="shared" si="49"/>
        <v>3.8223344532373971E-2</v>
      </c>
      <c r="T52" s="17">
        <f t="shared" si="49"/>
        <v>2.6286168120754686E-2</v>
      </c>
      <c r="U52" s="17">
        <f t="shared" si="49"/>
        <v>3.0063063715452622E-2</v>
      </c>
      <c r="V52" s="17">
        <f t="shared" si="49"/>
        <v>8.4454250901733932E-2</v>
      </c>
      <c r="W52" s="17">
        <f t="shared" ref="W52:Y52" si="50">IF(W10=0,0,W10/W$3)</f>
        <v>7.573183391176054E-2</v>
      </c>
      <c r="X52" s="17">
        <f t="shared" si="50"/>
        <v>4.7276835125906906E-2</v>
      </c>
      <c r="Y52" s="17">
        <f t="shared" si="50"/>
        <v>4.8048489636406962E-2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3.0036592320562921E-4</v>
      </c>
      <c r="C53" s="104">
        <f t="shared" si="51"/>
        <v>3.1296344436045873E-4</v>
      </c>
      <c r="D53" s="104">
        <f t="shared" ref="D53:V53" si="52">IF(D11=0,0,D11/D$3)</f>
        <v>2.6447562130460739E-4</v>
      </c>
      <c r="E53" s="104">
        <f t="shared" si="52"/>
        <v>1.4729058584393853E-4</v>
      </c>
      <c r="F53" s="104">
        <f t="shared" si="52"/>
        <v>8.9701829818471018E-5</v>
      </c>
      <c r="G53" s="104">
        <f t="shared" si="52"/>
        <v>1.0883738578290816E-4</v>
      </c>
      <c r="H53" s="104">
        <f t="shared" si="52"/>
        <v>1.3355916750389942E-4</v>
      </c>
      <c r="I53" s="104">
        <f t="shared" si="52"/>
        <v>1.3721286114094344E-4</v>
      </c>
      <c r="J53" s="104">
        <f t="shared" si="52"/>
        <v>2.7376688752224883E-4</v>
      </c>
      <c r="K53" s="104">
        <f t="shared" si="52"/>
        <v>2.8491705999075616E-4</v>
      </c>
      <c r="L53" s="104">
        <f t="shared" si="52"/>
        <v>1.1850772756652777E-4</v>
      </c>
      <c r="M53" s="104">
        <f t="shared" si="52"/>
        <v>6.4839081109671016E-5</v>
      </c>
      <c r="N53" s="104">
        <f t="shared" si="52"/>
        <v>6.3506149505897542E-5</v>
      </c>
      <c r="O53" s="104">
        <f t="shared" si="52"/>
        <v>6.5890308286681808E-5</v>
      </c>
      <c r="P53" s="104">
        <f t="shared" si="52"/>
        <v>5.6952524598710385E-5</v>
      </c>
      <c r="Q53" s="104">
        <f t="shared" si="52"/>
        <v>4.785548861188171E-5</v>
      </c>
      <c r="R53" s="104">
        <f t="shared" si="52"/>
        <v>1.0606348514555543E-5</v>
      </c>
      <c r="S53" s="104">
        <f t="shared" si="52"/>
        <v>1.6963272968252213E-5</v>
      </c>
      <c r="T53" s="104">
        <f t="shared" si="52"/>
        <v>2.0513949071209214E-5</v>
      </c>
      <c r="U53" s="104">
        <f t="shared" si="52"/>
        <v>1.6856554346043636E-5</v>
      </c>
      <c r="V53" s="104">
        <f t="shared" si="52"/>
        <v>6.4351419127073198E-5</v>
      </c>
      <c r="W53" s="104">
        <f t="shared" ref="W53:Y53" si="53">IF(W11=0,0,W11/W$3)</f>
        <v>8.4804645104039167E-5</v>
      </c>
      <c r="X53" s="104">
        <f t="shared" si="53"/>
        <v>8.9107051522219609E-5</v>
      </c>
      <c r="Y53" s="104">
        <f t="shared" si="53"/>
        <v>8.5139039513452798E-5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8.3404415838942529E-3</v>
      </c>
      <c r="C54" s="104">
        <f t="shared" si="54"/>
        <v>8.4999263668983048E-3</v>
      </c>
      <c r="D54" s="104">
        <f t="shared" ref="D54:V54" si="55">IF(D12=0,0,D12/D$3)</f>
        <v>8.9158937968378798E-3</v>
      </c>
      <c r="E54" s="104">
        <f t="shared" si="55"/>
        <v>6.5449685309945348E-3</v>
      </c>
      <c r="F54" s="104">
        <f t="shared" si="55"/>
        <v>6.6462461931334066E-3</v>
      </c>
      <c r="G54" s="104">
        <f t="shared" si="55"/>
        <v>7.7753185348786013E-3</v>
      </c>
      <c r="H54" s="104">
        <f t="shared" si="55"/>
        <v>9.7804605140144035E-3</v>
      </c>
      <c r="I54" s="104">
        <f t="shared" si="55"/>
        <v>9.131075749020761E-3</v>
      </c>
      <c r="J54" s="104">
        <f t="shared" si="55"/>
        <v>1.9132872704514668E-2</v>
      </c>
      <c r="K54" s="104">
        <f t="shared" si="55"/>
        <v>1.3913422961699392E-2</v>
      </c>
      <c r="L54" s="104">
        <f t="shared" si="55"/>
        <v>9.0834212262515222E-3</v>
      </c>
      <c r="M54" s="104">
        <f t="shared" si="55"/>
        <v>8.613284487610463E-3</v>
      </c>
      <c r="N54" s="104">
        <f t="shared" si="55"/>
        <v>7.582511862894192E-3</v>
      </c>
      <c r="O54" s="104">
        <f t="shared" si="55"/>
        <v>6.2826533496645135E-3</v>
      </c>
      <c r="P54" s="104">
        <f t="shared" si="55"/>
        <v>9.7407065854612628E-3</v>
      </c>
      <c r="Q54" s="104">
        <f t="shared" si="55"/>
        <v>9.7886285055448462E-3</v>
      </c>
      <c r="R54" s="104">
        <f t="shared" si="55"/>
        <v>7.3878559440317985E-3</v>
      </c>
      <c r="S54" s="104">
        <f t="shared" si="55"/>
        <v>8.8219881021019235E-3</v>
      </c>
      <c r="T54" s="104">
        <f t="shared" si="55"/>
        <v>8.5928500432892636E-3</v>
      </c>
      <c r="U54" s="104">
        <f t="shared" si="55"/>
        <v>9.7268241168915765E-3</v>
      </c>
      <c r="V54" s="104">
        <f t="shared" si="55"/>
        <v>2.9447714963896639E-2</v>
      </c>
      <c r="W54" s="104">
        <f t="shared" ref="W54:Y54" si="56">IF(W12=0,0,W12/W$3)</f>
        <v>3.1454177475740558E-2</v>
      </c>
      <c r="X54" s="104">
        <f t="shared" si="56"/>
        <v>2.1842943742546691E-2</v>
      </c>
      <c r="Y54" s="104">
        <f t="shared" si="56"/>
        <v>1.8655189716509459E-2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8.4305629679560666E-4</v>
      </c>
      <c r="C55" s="105">
        <f t="shared" si="57"/>
        <v>9.2597265473096243E-4</v>
      </c>
      <c r="D55" s="105">
        <f t="shared" ref="D55:V55" si="58">IF(D13=0,0,D13/D$3)</f>
        <v>1.1966346759614518E-3</v>
      </c>
      <c r="E55" s="105">
        <f t="shared" si="58"/>
        <v>1.3322300142909946E-3</v>
      </c>
      <c r="F55" s="105">
        <f t="shared" si="58"/>
        <v>1.2145618825547544E-3</v>
      </c>
      <c r="G55" s="105">
        <f t="shared" si="58"/>
        <v>7.5090028969434434E-4</v>
      </c>
      <c r="H55" s="105">
        <f t="shared" si="58"/>
        <v>4.1246769068830594E-4</v>
      </c>
      <c r="I55" s="105">
        <f t="shared" si="58"/>
        <v>4.7765609415377681E-4</v>
      </c>
      <c r="J55" s="105">
        <f t="shared" si="58"/>
        <v>5.5896154347619652E-2</v>
      </c>
      <c r="K55" s="105">
        <f t="shared" si="58"/>
        <v>4.6474499667784996E-2</v>
      </c>
      <c r="L55" s="105">
        <f t="shared" si="58"/>
        <v>5.1572816808334372E-2</v>
      </c>
      <c r="M55" s="105">
        <f t="shared" si="58"/>
        <v>4.7575267294653348E-2</v>
      </c>
      <c r="N55" s="105">
        <f t="shared" si="58"/>
        <v>5.0939824247343994E-2</v>
      </c>
      <c r="O55" s="105">
        <f t="shared" si="58"/>
        <v>4.4020175211308667E-2</v>
      </c>
      <c r="P55" s="105">
        <f t="shared" si="58"/>
        <v>4.5064832352721247E-2</v>
      </c>
      <c r="Q55" s="105">
        <f t="shared" si="58"/>
        <v>4.0337948781984934E-2</v>
      </c>
      <c r="R55" s="105">
        <f t="shared" si="58"/>
        <v>3.0275159423997871E-2</v>
      </c>
      <c r="S55" s="105">
        <f t="shared" si="58"/>
        <v>2.9384393157303793E-2</v>
      </c>
      <c r="T55" s="105">
        <f t="shared" si="58"/>
        <v>1.7672804128394216E-2</v>
      </c>
      <c r="U55" s="105">
        <f t="shared" si="58"/>
        <v>2.0319383044215003E-2</v>
      </c>
      <c r="V55" s="105">
        <f t="shared" si="58"/>
        <v>5.4942184518710212E-2</v>
      </c>
      <c r="W55" s="105">
        <f t="shared" ref="W55:Y55" si="59">IF(W13=0,0,W13/W$3)</f>
        <v>4.4192851790915935E-2</v>
      </c>
      <c r="X55" s="105">
        <f t="shared" si="59"/>
        <v>2.5344784331838004E-2</v>
      </c>
      <c r="Y55" s="105">
        <f t="shared" si="59"/>
        <v>2.9308160880384054E-2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463.68214271609855</v>
      </c>
      <c r="C57" s="62">
        <v>463.76759875808119</v>
      </c>
      <c r="D57" s="62">
        <v>460.35948958777465</v>
      </c>
      <c r="E57" s="62">
        <v>462.1919685614605</v>
      </c>
      <c r="F57" s="62">
        <v>473.20632076216089</v>
      </c>
      <c r="G57" s="62">
        <v>480.05764421298375</v>
      </c>
      <c r="H57" s="62">
        <v>488.54745166657096</v>
      </c>
      <c r="I57" s="62">
        <v>486.55057009990526</v>
      </c>
      <c r="J57" s="62">
        <v>482.86023806064895</v>
      </c>
      <c r="K57" s="62">
        <v>488.73214960850879</v>
      </c>
      <c r="L57" s="62">
        <v>488.02856190019395</v>
      </c>
      <c r="M57" s="62">
        <v>491.30799342582151</v>
      </c>
      <c r="N57" s="62">
        <v>491.99208550182578</v>
      </c>
      <c r="O57" s="62">
        <v>490.56252699286023</v>
      </c>
      <c r="P57" s="62">
        <v>506.06403461872037</v>
      </c>
      <c r="Q57" s="62">
        <v>510.13568648940617</v>
      </c>
      <c r="R57" s="62">
        <v>509.040970981378</v>
      </c>
      <c r="S57" s="62">
        <v>498.2867980330106</v>
      </c>
      <c r="T57" s="62">
        <v>480.00112883670386</v>
      </c>
      <c r="U57" s="62">
        <v>485.01433316759102</v>
      </c>
      <c r="V57" s="62">
        <v>499.6095176434406</v>
      </c>
      <c r="W57" s="62">
        <v>485.48794795672933</v>
      </c>
      <c r="X57" s="62">
        <v>474.66589238344216</v>
      </c>
      <c r="Y57" s="62">
        <v>484.01471419965645</v>
      </c>
      <c r="DA57" s="172" t="s">
        <v>314</v>
      </c>
    </row>
    <row r="58" spans="1:105" ht="11.45" customHeight="1" x14ac:dyDescent="0.25">
      <c r="A58" s="10" t="s">
        <v>33</v>
      </c>
      <c r="B58" s="14">
        <v>464.53210621131893</v>
      </c>
      <c r="C58" s="14">
        <v>464.62475713920134</v>
      </c>
      <c r="D58" s="14">
        <v>461.15561190807495</v>
      </c>
      <c r="E58" s="14">
        <v>462.69954581324208</v>
      </c>
      <c r="F58" s="14">
        <v>473.84483364416832</v>
      </c>
      <c r="G58" s="14">
        <v>481.00709420182426</v>
      </c>
      <c r="H58" s="14">
        <v>489.93975640998229</v>
      </c>
      <c r="I58" s="14">
        <v>487.79112942881903</v>
      </c>
      <c r="J58" s="14">
        <v>474.20889143802594</v>
      </c>
      <c r="K58" s="14">
        <v>481.11360141845574</v>
      </c>
      <c r="L58" s="14">
        <v>478.18486892514898</v>
      </c>
      <c r="M58" s="14">
        <v>482.12241293420385</v>
      </c>
      <c r="N58" s="14">
        <v>481.59200894826233</v>
      </c>
      <c r="O58" s="14">
        <v>481.6521631265789</v>
      </c>
      <c r="P58" s="14">
        <v>496.52059677166011</v>
      </c>
      <c r="Q58" s="14">
        <v>501.30803783127391</v>
      </c>
      <c r="R58" s="14">
        <v>502.35275190565289</v>
      </c>
      <c r="S58" s="14">
        <v>494.12492480498781</v>
      </c>
      <c r="T58" s="14">
        <v>479.65227912474944</v>
      </c>
      <c r="U58" s="14">
        <v>484.29292251941968</v>
      </c>
      <c r="V58" s="14">
        <v>500.85096572139463</v>
      </c>
      <c r="W58" s="14">
        <v>490.39805820841366</v>
      </c>
      <c r="X58" s="14">
        <v>474.75848763661975</v>
      </c>
      <c r="Y58" s="14">
        <v>480.90445302180609</v>
      </c>
      <c r="DA58" s="189" t="s">
        <v>315</v>
      </c>
    </row>
    <row r="59" spans="1:105" ht="11.45" customHeight="1" x14ac:dyDescent="0.25">
      <c r="A59" s="83" t="s">
        <v>27</v>
      </c>
      <c r="B59" s="87">
        <v>844.03883026374388</v>
      </c>
      <c r="C59" s="87">
        <v>844.03883026374388</v>
      </c>
      <c r="D59" s="87">
        <v>844.03883026374399</v>
      </c>
      <c r="E59" s="87">
        <v>844.03883026374388</v>
      </c>
      <c r="F59" s="87">
        <v>844.0388302637441</v>
      </c>
      <c r="G59" s="87">
        <v>873.96341752956926</v>
      </c>
      <c r="H59" s="87">
        <v>868.63460023618791</v>
      </c>
      <c r="I59" s="87">
        <v>856.03039525081897</v>
      </c>
      <c r="J59" s="87">
        <v>837.51954080944984</v>
      </c>
      <c r="K59" s="87">
        <v>828.11383200591854</v>
      </c>
      <c r="L59" s="87">
        <v>838.68258054955879</v>
      </c>
      <c r="M59" s="87">
        <v>879.8330996993484</v>
      </c>
      <c r="N59" s="87">
        <v>898.84691700079236</v>
      </c>
      <c r="O59" s="87">
        <v>901.5929606440169</v>
      </c>
      <c r="P59" s="87">
        <v>905.03551446273821</v>
      </c>
      <c r="Q59" s="87">
        <v>903.72128576209718</v>
      </c>
      <c r="R59" s="87">
        <v>889.55609018200005</v>
      </c>
      <c r="S59" s="87">
        <v>877.65505351682771</v>
      </c>
      <c r="T59" s="87">
        <v>869.52700697691398</v>
      </c>
      <c r="U59" s="87">
        <v>871.01049292602795</v>
      </c>
      <c r="V59" s="87">
        <v>877.87465444869235</v>
      </c>
      <c r="W59" s="87">
        <v>852.66244545233292</v>
      </c>
      <c r="X59" s="87">
        <v>852.03142253335341</v>
      </c>
      <c r="Y59" s="87">
        <v>841.49229644840636</v>
      </c>
      <c r="DA59" s="171" t="s">
        <v>316</v>
      </c>
    </row>
    <row r="60" spans="1:105" ht="11.45" customHeight="1" x14ac:dyDescent="0.25">
      <c r="A60" s="83" t="s">
        <v>181</v>
      </c>
      <c r="B60" s="87">
        <v>371.74457822333324</v>
      </c>
      <c r="C60" s="87">
        <v>371.74432172813147</v>
      </c>
      <c r="D60" s="87">
        <v>371.38374995816412</v>
      </c>
      <c r="E60" s="87">
        <v>370.91359952284176</v>
      </c>
      <c r="F60" s="87">
        <v>370.8283288261822</v>
      </c>
      <c r="G60" s="87">
        <v>370.24803229413499</v>
      </c>
      <c r="H60" s="87">
        <v>368.61642308136578</v>
      </c>
      <c r="I60" s="87">
        <v>368.29919436443203</v>
      </c>
      <c r="J60" s="87">
        <v>370.97616835410429</v>
      </c>
      <c r="K60" s="87">
        <v>367.005885724743</v>
      </c>
      <c r="L60" s="87">
        <v>366.39615948089693</v>
      </c>
      <c r="M60" s="87">
        <v>369.5766956654806</v>
      </c>
      <c r="N60" s="87">
        <v>371.35916122506694</v>
      </c>
      <c r="O60" s="87">
        <v>369.75808608758126</v>
      </c>
      <c r="P60" s="87">
        <v>371.2581553169245</v>
      </c>
      <c r="Q60" s="87">
        <v>372.22551677022233</v>
      </c>
      <c r="R60" s="87">
        <v>367.79431367022795</v>
      </c>
      <c r="S60" s="87">
        <v>365.83269428783802</v>
      </c>
      <c r="T60" s="87">
        <v>365.29328641346615</v>
      </c>
      <c r="U60" s="87">
        <v>365.62757729025054</v>
      </c>
      <c r="V60" s="87">
        <v>371.58447860731098</v>
      </c>
      <c r="W60" s="87">
        <v>358.57073906824411</v>
      </c>
      <c r="X60" s="87">
        <v>360.79086295607891</v>
      </c>
      <c r="Y60" s="87">
        <v>357.93008188663009</v>
      </c>
      <c r="DA60" s="171" t="s">
        <v>317</v>
      </c>
    </row>
    <row r="61" spans="1:105" ht="11.45" customHeight="1" x14ac:dyDescent="0.25">
      <c r="A61" s="83" t="s">
        <v>182</v>
      </c>
      <c r="B61" s="87">
        <v>703.20075583404002</v>
      </c>
      <c r="C61" s="87">
        <v>703.20075583404014</v>
      </c>
      <c r="D61" s="87">
        <v>703.20075583404002</v>
      </c>
      <c r="E61" s="87">
        <v>703.20075583404002</v>
      </c>
      <c r="F61" s="87">
        <v>703.20075583404014</v>
      </c>
      <c r="G61" s="87">
        <v>715.9825061968711</v>
      </c>
      <c r="H61" s="87">
        <v>752.46022745747871</v>
      </c>
      <c r="I61" s="87">
        <v>751.21972164749047</v>
      </c>
      <c r="J61" s="87">
        <v>685.54344150491943</v>
      </c>
      <c r="K61" s="87">
        <v>716.64924236434297</v>
      </c>
      <c r="L61" s="87">
        <v>684.27412666288353</v>
      </c>
      <c r="M61" s="87">
        <v>668.00640855471329</v>
      </c>
      <c r="N61" s="87">
        <v>673.6756413084205</v>
      </c>
      <c r="O61" s="87">
        <v>682.01330576214559</v>
      </c>
      <c r="P61" s="87">
        <v>705.33470756273971</v>
      </c>
      <c r="Q61" s="87">
        <v>715.85851595051486</v>
      </c>
      <c r="R61" s="87">
        <v>743.34343363048902</v>
      </c>
      <c r="S61" s="87">
        <v>729.48468115707647</v>
      </c>
      <c r="T61" s="87">
        <v>671.69356444415132</v>
      </c>
      <c r="U61" s="87">
        <v>671.76608029132808</v>
      </c>
      <c r="V61" s="87">
        <v>683.55823741442305</v>
      </c>
      <c r="W61" s="87">
        <v>675.07708176490883</v>
      </c>
      <c r="X61" s="87">
        <v>651.93063466114734</v>
      </c>
      <c r="Y61" s="87">
        <v>674.31038435348432</v>
      </c>
      <c r="DA61" s="171" t="s">
        <v>318</v>
      </c>
    </row>
    <row r="62" spans="1:105" ht="11.45" customHeight="1" x14ac:dyDescent="0.25">
      <c r="A62" s="12" t="s">
        <v>34</v>
      </c>
      <c r="B62" s="15">
        <v>387.62784533679343</v>
      </c>
      <c r="C62" s="15">
        <v>388.8268524923015</v>
      </c>
      <c r="D62" s="15">
        <v>393.35217826036506</v>
      </c>
      <c r="E62" s="15">
        <v>404.77576903361813</v>
      </c>
      <c r="F62" s="15">
        <v>400.99970980163425</v>
      </c>
      <c r="G62" s="15">
        <v>385.01963876298339</v>
      </c>
      <c r="H62" s="15">
        <v>374.3946032466618</v>
      </c>
      <c r="I62" s="15">
        <v>377.9294620616414</v>
      </c>
      <c r="J62" s="15">
        <v>624.90150316214749</v>
      </c>
      <c r="K62" s="15">
        <v>647.43871900304498</v>
      </c>
      <c r="L62" s="15">
        <v>710.89968782293022</v>
      </c>
      <c r="M62" s="15">
        <v>707.05970040281659</v>
      </c>
      <c r="N62" s="15">
        <v>718.90290802661139</v>
      </c>
      <c r="O62" s="15">
        <v>719.84800207102796</v>
      </c>
      <c r="P62" s="15">
        <v>713.21537553845576</v>
      </c>
      <c r="Q62" s="15">
        <v>716.96205065523691</v>
      </c>
      <c r="R62" s="15">
        <v>710.35122220145922</v>
      </c>
      <c r="S62" s="15">
        <v>607.94204327468583</v>
      </c>
      <c r="T62" s="15">
        <v>491.7974271443527</v>
      </c>
      <c r="U62" s="15">
        <v>506.5704011636534</v>
      </c>
      <c r="V62" s="15">
        <v>486.50083614442354</v>
      </c>
      <c r="W62" s="15">
        <v>434.90476950882635</v>
      </c>
      <c r="X62" s="15">
        <v>472.97331513936081</v>
      </c>
      <c r="Y62" s="15">
        <v>544.3562023854156</v>
      </c>
      <c r="DA62" s="193" t="s">
        <v>319</v>
      </c>
    </row>
    <row r="63" spans="1:105" ht="11.45" customHeight="1" x14ac:dyDescent="0.25">
      <c r="A63" s="92" t="s">
        <v>27</v>
      </c>
      <c r="B63" s="101">
        <v>721.31846151544869</v>
      </c>
      <c r="C63" s="101">
        <v>721.3184615154488</v>
      </c>
      <c r="D63" s="101">
        <v>721.3184615154488</v>
      </c>
      <c r="E63" s="101">
        <v>721.3184615154488</v>
      </c>
      <c r="F63" s="101">
        <v>721.31846151544869</v>
      </c>
      <c r="G63" s="101">
        <v>741.55972419249031</v>
      </c>
      <c r="H63" s="101">
        <v>823.69357948133268</v>
      </c>
      <c r="I63" s="101">
        <v>922.85655563736145</v>
      </c>
      <c r="J63" s="101">
        <v>1044.6332780239341</v>
      </c>
      <c r="K63" s="101">
        <v>1230.7547590195848</v>
      </c>
      <c r="L63" s="101">
        <v>1592.8728951687915</v>
      </c>
      <c r="M63" s="101">
        <v>1766.9596058717368</v>
      </c>
      <c r="N63" s="101">
        <v>1846.7229664801318</v>
      </c>
      <c r="O63" s="101">
        <v>1708.5977154572563</v>
      </c>
      <c r="P63" s="101">
        <v>1593.47624756299</v>
      </c>
      <c r="Q63" s="101">
        <v>1479.4822116485848</v>
      </c>
      <c r="R63" s="101">
        <v>1348.7153940273499</v>
      </c>
      <c r="S63" s="101">
        <v>1244.9739743294474</v>
      </c>
      <c r="T63" s="101">
        <v>1164.1869197549522</v>
      </c>
      <c r="U63" s="101">
        <v>922.67171966602245</v>
      </c>
      <c r="V63" s="101">
        <v>851.11556693048851</v>
      </c>
      <c r="W63" s="101">
        <v>851.11556693048828</v>
      </c>
      <c r="X63" s="101">
        <v>388.46659327530017</v>
      </c>
      <c r="Y63" s="101">
        <v>890.26735953680793</v>
      </c>
      <c r="DA63" s="175" t="s">
        <v>320</v>
      </c>
    </row>
    <row r="64" spans="1:105" ht="11.45" customHeight="1" x14ac:dyDescent="0.25">
      <c r="A64" s="92" t="s">
        <v>181</v>
      </c>
      <c r="B64" s="101">
        <v>370.30520922686992</v>
      </c>
      <c r="C64" s="101">
        <v>370.22492511700511</v>
      </c>
      <c r="D64" s="101">
        <v>370.73516134765265</v>
      </c>
      <c r="E64" s="101">
        <v>371.63402264120936</v>
      </c>
      <c r="F64" s="101">
        <v>370.91106984130863</v>
      </c>
      <c r="G64" s="101">
        <v>366.91684106677644</v>
      </c>
      <c r="H64" s="101">
        <v>365.22571115419845</v>
      </c>
      <c r="I64" s="101">
        <v>366.35934904858777</v>
      </c>
      <c r="J64" s="101">
        <v>383.78087698676842</v>
      </c>
      <c r="K64" s="101">
        <v>376.66469996504497</v>
      </c>
      <c r="L64" s="101">
        <v>381.55829008006799</v>
      </c>
      <c r="M64" s="101">
        <v>383.59015863326863</v>
      </c>
      <c r="N64" s="101">
        <v>383.27351131471084</v>
      </c>
      <c r="O64" s="101">
        <v>390.43955738692711</v>
      </c>
      <c r="P64" s="101">
        <v>400.49735927620441</v>
      </c>
      <c r="Q64" s="101">
        <v>411.91122077135395</v>
      </c>
      <c r="R64" s="101">
        <v>408.51602337663144</v>
      </c>
      <c r="S64" s="101">
        <v>405.88545349077765</v>
      </c>
      <c r="T64" s="101">
        <v>409.6581719319019</v>
      </c>
      <c r="U64" s="101">
        <v>405.80908941581487</v>
      </c>
      <c r="V64" s="101">
        <v>409.15599656973529</v>
      </c>
      <c r="W64" s="101">
        <v>395.60419538371912</v>
      </c>
      <c r="X64" s="101">
        <v>365.88816854004267</v>
      </c>
      <c r="Y64" s="101">
        <v>365.87608752130615</v>
      </c>
      <c r="DA64" s="175" t="s">
        <v>321</v>
      </c>
    </row>
    <row r="65" spans="1:105" ht="11.45" customHeight="1" x14ac:dyDescent="0.25">
      <c r="A65" s="85" t="s">
        <v>182</v>
      </c>
      <c r="B65" s="88">
        <v>724.93945873846872</v>
      </c>
      <c r="C65" s="88">
        <v>724.93945873846883</v>
      </c>
      <c r="D65" s="88">
        <v>724.93945873846894</v>
      </c>
      <c r="E65" s="88">
        <v>724.93945873846883</v>
      </c>
      <c r="F65" s="88">
        <v>724.93945873846883</v>
      </c>
      <c r="G65" s="88">
        <v>727.53163790524331</v>
      </c>
      <c r="H65" s="88">
        <v>761.61335560847215</v>
      </c>
      <c r="I65" s="88">
        <v>775.87136552253014</v>
      </c>
      <c r="J65" s="88">
        <v>784.9016833574816</v>
      </c>
      <c r="K65" s="88">
        <v>811.87196783183788</v>
      </c>
      <c r="L65" s="88">
        <v>826.36069672686415</v>
      </c>
      <c r="M65" s="88">
        <v>813.71631542154239</v>
      </c>
      <c r="N65" s="88">
        <v>805.59134666764339</v>
      </c>
      <c r="O65" s="88">
        <v>800.40832922406855</v>
      </c>
      <c r="P65" s="88">
        <v>812.92650671798935</v>
      </c>
      <c r="Q65" s="88">
        <v>818.89476510502823</v>
      </c>
      <c r="R65" s="88">
        <v>803.24524778369494</v>
      </c>
      <c r="S65" s="88">
        <v>673.80368929913539</v>
      </c>
      <c r="T65" s="88">
        <v>526.32851129956111</v>
      </c>
      <c r="U65" s="88">
        <v>549.11987122187395</v>
      </c>
      <c r="V65" s="88">
        <v>537.45635733221957</v>
      </c>
      <c r="W65" s="88">
        <v>460.10173610538584</v>
      </c>
      <c r="X65" s="88">
        <v>561.58775427863179</v>
      </c>
      <c r="Y65" s="88">
        <v>663.68117155132734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1.1174005198006176</v>
      </c>
      <c r="C67" s="59">
        <f t="shared" ref="C67:W67" si="61">IF(C3=0,0,C17/C57)</f>
        <v>1.1158864297022419</v>
      </c>
      <c r="D67" s="59">
        <f t="shared" si="61"/>
        <v>1.0628438821097483</v>
      </c>
      <c r="E67" s="59">
        <f t="shared" si="61"/>
        <v>1.1002746158282679</v>
      </c>
      <c r="F67" s="59">
        <f t="shared" si="61"/>
        <v>1.1010498298170719</v>
      </c>
      <c r="G67" s="59">
        <f t="shared" si="61"/>
        <v>1.1309520738200878</v>
      </c>
      <c r="H67" s="59">
        <f t="shared" si="61"/>
        <v>1.1478337585840732</v>
      </c>
      <c r="I67" s="59">
        <f t="shared" si="61"/>
        <v>1.1776577664439598</v>
      </c>
      <c r="J67" s="59">
        <f t="shared" si="61"/>
        <v>1.1030747943973489</v>
      </c>
      <c r="K67" s="59">
        <f t="shared" si="61"/>
        <v>1.0554019238084016</v>
      </c>
      <c r="L67" s="59">
        <f t="shared" si="61"/>
        <v>1.0290022437554696</v>
      </c>
      <c r="M67" s="59">
        <f t="shared" si="61"/>
        <v>1.0194902109067405</v>
      </c>
      <c r="N67" s="59">
        <f t="shared" si="61"/>
        <v>1.0296330673948262</v>
      </c>
      <c r="O67" s="59">
        <f t="shared" si="61"/>
        <v>1.0034242916720368</v>
      </c>
      <c r="P67" s="59">
        <f t="shared" si="61"/>
        <v>1.0215150122106833</v>
      </c>
      <c r="Q67" s="59">
        <f t="shared" si="61"/>
        <v>0.97515690796508314</v>
      </c>
      <c r="R67" s="59">
        <f t="shared" si="61"/>
        <v>0.98612129267561466</v>
      </c>
      <c r="S67" s="59">
        <f t="shared" si="61"/>
        <v>1.0350523930689366</v>
      </c>
      <c r="T67" s="59">
        <f t="shared" si="61"/>
        <v>1.0660795448895914</v>
      </c>
      <c r="U67" s="59">
        <f t="shared" si="61"/>
        <v>1.0845685200032089</v>
      </c>
      <c r="V67" s="59">
        <f t="shared" si="61"/>
        <v>1.0061278585970865</v>
      </c>
      <c r="W67" s="59">
        <f t="shared" si="61"/>
        <v>1.0169160927211489</v>
      </c>
      <c r="X67" s="59">
        <f t="shared" ref="X67:Y67" si="62">IF(X3=0,0,X17/X57)</f>
        <v>0.92749722842997584</v>
      </c>
      <c r="Y67" s="59">
        <f t="shared" si="62"/>
        <v>0.90349171110658877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1.1173849370955644</v>
      </c>
      <c r="C68" s="23">
        <f t="shared" ref="C68:W68" si="64">IF(C6=0,0,C18/C58)</f>
        <v>1.1158667297886298</v>
      </c>
      <c r="D68" s="23">
        <f t="shared" si="64"/>
        <v>1.06272960000829</v>
      </c>
      <c r="E68" s="23">
        <f t="shared" si="64"/>
        <v>1.1000732102502271</v>
      </c>
      <c r="F68" s="23">
        <f t="shared" si="64"/>
        <v>1.1006583505788796</v>
      </c>
      <c r="G68" s="23">
        <f t="shared" si="64"/>
        <v>1.1303688305419684</v>
      </c>
      <c r="H68" s="23">
        <f t="shared" si="64"/>
        <v>1.1468035241126822</v>
      </c>
      <c r="I68" s="23">
        <f t="shared" si="64"/>
        <v>1.1766939243987207</v>
      </c>
      <c r="J68" s="23">
        <f t="shared" si="64"/>
        <v>1.1021764064411625</v>
      </c>
      <c r="K68" s="23">
        <f t="shared" si="64"/>
        <v>1.0556367362851986</v>
      </c>
      <c r="L68" s="23">
        <f t="shared" si="64"/>
        <v>1.029997939065729</v>
      </c>
      <c r="M68" s="23">
        <f t="shared" si="64"/>
        <v>1.0222519674346289</v>
      </c>
      <c r="N68" s="23">
        <f t="shared" si="64"/>
        <v>1.0356589528718376</v>
      </c>
      <c r="O68" s="23">
        <f t="shared" si="64"/>
        <v>1.0082598694095724</v>
      </c>
      <c r="P68" s="23">
        <f t="shared" si="64"/>
        <v>1.0293990511152682</v>
      </c>
      <c r="Q68" s="23">
        <f t="shared" si="64"/>
        <v>0.9827999127563013</v>
      </c>
      <c r="R68" s="23">
        <f t="shared" si="64"/>
        <v>0.99356042320491544</v>
      </c>
      <c r="S68" s="23">
        <f t="shared" si="64"/>
        <v>1.0419895144324209</v>
      </c>
      <c r="T68" s="23">
        <f t="shared" si="64"/>
        <v>1.0695512433471941</v>
      </c>
      <c r="U68" s="23">
        <f t="shared" si="64"/>
        <v>1.0888086890479964</v>
      </c>
      <c r="V68" s="23">
        <f t="shared" si="64"/>
        <v>1.0059738123351245</v>
      </c>
      <c r="W68" s="23">
        <f t="shared" si="64"/>
        <v>1.0209245656369195</v>
      </c>
      <c r="X68" s="23">
        <f t="shared" ref="X68:Y68" si="65">IF(X6=0,0,X18/X58)</f>
        <v>0.93199980809895266</v>
      </c>
      <c r="Y68" s="23">
        <f t="shared" si="65"/>
        <v>0.91033421933522973</v>
      </c>
      <c r="DA68" s="189"/>
    </row>
    <row r="69" spans="1:105" ht="11.45" customHeight="1" x14ac:dyDescent="0.25">
      <c r="A69" s="83" t="s">
        <v>27</v>
      </c>
      <c r="B69" s="91">
        <f t="shared" si="63"/>
        <v>0.9268199799204998</v>
      </c>
      <c r="C69" s="91">
        <f t="shared" ref="C69:W69" si="66">IF(C7=0,0,C19/C59)</f>
        <v>0.92570219392988873</v>
      </c>
      <c r="D69" s="91">
        <f t="shared" si="66"/>
        <v>0.74620821249175007</v>
      </c>
      <c r="E69" s="91">
        <f t="shared" si="66"/>
        <v>0.61118252819212338</v>
      </c>
      <c r="F69" s="91">
        <f t="shared" si="66"/>
        <v>0.37871367990946603</v>
      </c>
      <c r="G69" s="91">
        <f t="shared" si="66"/>
        <v>0.41527560787426138</v>
      </c>
      <c r="H69" s="91">
        <f t="shared" si="66"/>
        <v>0.44360402331785836</v>
      </c>
      <c r="I69" s="91">
        <f t="shared" si="66"/>
        <v>0.51580974438870397</v>
      </c>
      <c r="J69" s="91">
        <f t="shared" si="66"/>
        <v>0.51633185847010765</v>
      </c>
      <c r="K69" s="91">
        <f t="shared" si="66"/>
        <v>0.55454774931313766</v>
      </c>
      <c r="L69" s="91">
        <f t="shared" si="66"/>
        <v>0.52975937677205154</v>
      </c>
      <c r="M69" s="91">
        <f t="shared" si="66"/>
        <v>0.50621519412483074</v>
      </c>
      <c r="N69" s="91">
        <f t="shared" si="66"/>
        <v>0.61822270215079222</v>
      </c>
      <c r="O69" s="91">
        <f t="shared" si="66"/>
        <v>0.57342770608627913</v>
      </c>
      <c r="P69" s="91">
        <f t="shared" si="66"/>
        <v>0.53112666266764796</v>
      </c>
      <c r="Q69" s="91">
        <f t="shared" si="66"/>
        <v>0.49675084084706195</v>
      </c>
      <c r="R69" s="91">
        <f t="shared" si="66"/>
        <v>0.51116464819154661</v>
      </c>
      <c r="S69" s="91">
        <f t="shared" si="66"/>
        <v>0.50967809874384296</v>
      </c>
      <c r="T69" s="91">
        <f t="shared" si="66"/>
        <v>0.49980265154353148</v>
      </c>
      <c r="U69" s="91">
        <f t="shared" si="66"/>
        <v>0.51253352994260437</v>
      </c>
      <c r="V69" s="91">
        <f t="shared" si="66"/>
        <v>0.47912040181828863</v>
      </c>
      <c r="W69" s="91">
        <f t="shared" si="66"/>
        <v>0.45966513588169855</v>
      </c>
      <c r="X69" s="91">
        <f t="shared" ref="X69:Y69" si="67">IF(X7=0,0,X19/X59)</f>
        <v>0.49008156330054459</v>
      </c>
      <c r="Y69" s="91">
        <f t="shared" si="67"/>
        <v>0.52617947016636901</v>
      </c>
      <c r="DA69" s="171"/>
    </row>
    <row r="70" spans="1:105" ht="11.45" customHeight="1" x14ac:dyDescent="0.25">
      <c r="A70" s="83" t="s">
        <v>181</v>
      </c>
      <c r="B70" s="91">
        <f t="shared" si="63"/>
        <v>1.0678103248972979</v>
      </c>
      <c r="C70" s="91">
        <f t="shared" ref="C70:W70" si="68">IF(C8=0,0,C20/C60)</f>
        <v>1.0664285090720973</v>
      </c>
      <c r="D70" s="91">
        <f t="shared" si="68"/>
        <v>1.0317083998184335</v>
      </c>
      <c r="E70" s="91">
        <f t="shared" si="68"/>
        <v>1.0903771577848278</v>
      </c>
      <c r="F70" s="91">
        <f t="shared" si="68"/>
        <v>1.124100910427805</v>
      </c>
      <c r="G70" s="91">
        <f t="shared" si="68"/>
        <v>1.1876649675073638</v>
      </c>
      <c r="H70" s="91">
        <f t="shared" si="68"/>
        <v>1.2417685690635913</v>
      </c>
      <c r="I70" s="91">
        <f t="shared" si="68"/>
        <v>1.271813640559782</v>
      </c>
      <c r="J70" s="91">
        <f t="shared" si="68"/>
        <v>1.1455017381172843</v>
      </c>
      <c r="K70" s="91">
        <f t="shared" si="68"/>
        <v>1.094386986527371</v>
      </c>
      <c r="L70" s="91">
        <f t="shared" si="68"/>
        <v>1.0810140892774118</v>
      </c>
      <c r="M70" s="91">
        <f t="shared" si="68"/>
        <v>1.104955346489481</v>
      </c>
      <c r="N70" s="91">
        <f t="shared" si="68"/>
        <v>1.1099295305422925</v>
      </c>
      <c r="O70" s="91">
        <f t="shared" si="68"/>
        <v>1.0814277489560944</v>
      </c>
      <c r="P70" s="91">
        <f t="shared" si="68"/>
        <v>1.1784877348057863</v>
      </c>
      <c r="Q70" s="91">
        <f t="shared" si="68"/>
        <v>1.1482372877340321</v>
      </c>
      <c r="R70" s="91">
        <f t="shared" si="68"/>
        <v>1.1943740619515082</v>
      </c>
      <c r="S70" s="91">
        <f t="shared" si="68"/>
        <v>1.2395381484572969</v>
      </c>
      <c r="T70" s="91">
        <f t="shared" si="68"/>
        <v>1.256619727403421</v>
      </c>
      <c r="U70" s="91">
        <f t="shared" si="68"/>
        <v>1.2981331044698345</v>
      </c>
      <c r="V70" s="91">
        <f t="shared" si="68"/>
        <v>1.0515482934045222</v>
      </c>
      <c r="W70" s="91">
        <f t="shared" si="68"/>
        <v>1.1873873082742572</v>
      </c>
      <c r="X70" s="91">
        <f t="shared" ref="X70:Y70" si="69">IF(X8=0,0,X20/X60)</f>
        <v>1.1365691124187058</v>
      </c>
      <c r="Y70" s="91">
        <f t="shared" si="69"/>
        <v>1.1385279931398187</v>
      </c>
      <c r="DA70" s="171"/>
    </row>
    <row r="71" spans="1:105" ht="11.45" customHeight="1" x14ac:dyDescent="0.25">
      <c r="A71" s="83" t="s">
        <v>182</v>
      </c>
      <c r="B71" s="91">
        <f t="shared" si="63"/>
        <v>1.2403935511929427</v>
      </c>
      <c r="C71" s="91">
        <f t="shared" ref="C71:W71" si="70">IF(C9=0,0,C21/C61)</f>
        <v>1.2387875430156365</v>
      </c>
      <c r="D71" s="91">
        <f t="shared" si="70"/>
        <v>1.1972331319893501</v>
      </c>
      <c r="E71" s="91">
        <f t="shared" si="70"/>
        <v>1.2634611682548977</v>
      </c>
      <c r="F71" s="91">
        <f t="shared" si="70"/>
        <v>1.3021876505591388</v>
      </c>
      <c r="G71" s="91">
        <f t="shared" si="70"/>
        <v>1.2541487231109794</v>
      </c>
      <c r="H71" s="91">
        <f t="shared" si="70"/>
        <v>1.2109001293841277</v>
      </c>
      <c r="I71" s="91">
        <f t="shared" si="70"/>
        <v>1.2287389014102257</v>
      </c>
      <c r="J71" s="91">
        <f t="shared" si="70"/>
        <v>1.2215663556842478</v>
      </c>
      <c r="K71" s="91">
        <f t="shared" si="70"/>
        <v>1.1514411618572402</v>
      </c>
      <c r="L71" s="91">
        <f t="shared" si="70"/>
        <v>1.1119561604615</v>
      </c>
      <c r="M71" s="91">
        <f t="shared" si="70"/>
        <v>1.0595846778301778</v>
      </c>
      <c r="N71" s="91">
        <f t="shared" si="70"/>
        <v>1.0219121330108232</v>
      </c>
      <c r="O71" s="91">
        <f t="shared" si="70"/>
        <v>1.000796540807017</v>
      </c>
      <c r="P71" s="91">
        <f t="shared" si="70"/>
        <v>0.95356290176664715</v>
      </c>
      <c r="Q71" s="91">
        <f t="shared" si="70"/>
        <v>0.88743105818023338</v>
      </c>
      <c r="R71" s="91">
        <f t="shared" si="70"/>
        <v>0.85499040582944885</v>
      </c>
      <c r="S71" s="91">
        <f t="shared" si="70"/>
        <v>0.90622602404137975</v>
      </c>
      <c r="T71" s="91">
        <f t="shared" si="70"/>
        <v>0.94410414978496104</v>
      </c>
      <c r="U71" s="91">
        <f t="shared" si="70"/>
        <v>0.94992452265863347</v>
      </c>
      <c r="V71" s="91">
        <f t="shared" si="70"/>
        <v>1.0948694433518618</v>
      </c>
      <c r="W71" s="91">
        <f t="shared" si="70"/>
        <v>0.97737039265101355</v>
      </c>
      <c r="X71" s="91">
        <f t="shared" ref="X71:Y71" si="71">IF(X9=0,0,X21/X61)</f>
        <v>0.77798413727846827</v>
      </c>
      <c r="Y71" s="91">
        <f t="shared" si="71"/>
        <v>0.73045392644535512</v>
      </c>
      <c r="DA71" s="171"/>
    </row>
    <row r="72" spans="1:105" ht="11.45" customHeight="1" x14ac:dyDescent="0.25">
      <c r="A72" s="12" t="s">
        <v>34</v>
      </c>
      <c r="B72" s="24">
        <f t="shared" si="63"/>
        <v>1.123560480441707</v>
      </c>
      <c r="C72" s="24">
        <f t="shared" ref="C72:W72" si="72">IF(C10=0,0,C22/C62)</f>
        <v>1.1224186160128968</v>
      </c>
      <c r="D72" s="24">
        <f t="shared" si="72"/>
        <v>1.0775280607168929</v>
      </c>
      <c r="E72" s="24">
        <f t="shared" si="72"/>
        <v>1.1287910234019964</v>
      </c>
      <c r="F72" s="24">
        <f t="shared" si="72"/>
        <v>1.1561573249132051</v>
      </c>
      <c r="G72" s="24">
        <f t="shared" si="72"/>
        <v>1.2078135219012285</v>
      </c>
      <c r="H72" s="24">
        <f t="shared" si="72"/>
        <v>1.2623748652338105</v>
      </c>
      <c r="I72" s="24">
        <f t="shared" si="72"/>
        <v>1.2898919600502965</v>
      </c>
      <c r="J72" s="24">
        <f t="shared" si="72"/>
        <v>1.1130400247692436</v>
      </c>
      <c r="K72" s="24">
        <f t="shared" si="72"/>
        <v>1.0505732865865636</v>
      </c>
      <c r="L72" s="24">
        <f t="shared" si="72"/>
        <v>1.013326616789078</v>
      </c>
      <c r="M72" s="24">
        <f t="shared" si="72"/>
        <v>0.975021379736148</v>
      </c>
      <c r="N72" s="24">
        <f t="shared" si="72"/>
        <v>0.94140665832325598</v>
      </c>
      <c r="O72" s="24">
        <f t="shared" si="72"/>
        <v>0.91995803475904647</v>
      </c>
      <c r="P72" s="24">
        <f t="shared" si="72"/>
        <v>0.90223743673717882</v>
      </c>
      <c r="Q72" s="24">
        <f t="shared" si="72"/>
        <v>0.84982506808273173</v>
      </c>
      <c r="R72" s="24">
        <f t="shared" si="72"/>
        <v>0.82774397425200508</v>
      </c>
      <c r="S72" s="24">
        <f t="shared" si="72"/>
        <v>0.88648056785195828</v>
      </c>
      <c r="T72" s="24">
        <f t="shared" si="72"/>
        <v>0.95163954321087429</v>
      </c>
      <c r="U72" s="24">
        <f t="shared" si="72"/>
        <v>0.96348559971794723</v>
      </c>
      <c r="V72" s="24">
        <f t="shared" si="72"/>
        <v>1.0078257439845189</v>
      </c>
      <c r="W72" s="24">
        <f t="shared" si="72"/>
        <v>0.97055144744928223</v>
      </c>
      <c r="X72" s="24">
        <f t="shared" ref="X72:Y72" si="73">IF(X10=0,0,X22/X62)</f>
        <v>0.84522264353748955</v>
      </c>
      <c r="Y72" s="24">
        <f t="shared" si="73"/>
        <v>0.78624317523993548</v>
      </c>
      <c r="DA72" s="193"/>
    </row>
    <row r="73" spans="1:105" ht="11.45" customHeight="1" x14ac:dyDescent="0.25">
      <c r="A73" s="92" t="s">
        <v>27</v>
      </c>
      <c r="B73" s="93">
        <f t="shared" si="63"/>
        <v>0.9268199799204998</v>
      </c>
      <c r="C73" s="93">
        <f t="shared" ref="C73:W73" si="74">IF(C11=0,0,C23/C63)</f>
        <v>0.92570219392988884</v>
      </c>
      <c r="D73" s="93">
        <f t="shared" si="74"/>
        <v>0.74620821249175018</v>
      </c>
      <c r="E73" s="93">
        <f t="shared" si="74"/>
        <v>0.6111825281921236</v>
      </c>
      <c r="F73" s="93">
        <f t="shared" si="74"/>
        <v>0.37871367990946614</v>
      </c>
      <c r="G73" s="93">
        <f t="shared" si="74"/>
        <v>0.41527560787426138</v>
      </c>
      <c r="H73" s="93">
        <f t="shared" si="74"/>
        <v>0.44360402331785842</v>
      </c>
      <c r="I73" s="93">
        <f t="shared" si="74"/>
        <v>0.51580974438870375</v>
      </c>
      <c r="J73" s="93">
        <f t="shared" si="74"/>
        <v>0.51633185847010776</v>
      </c>
      <c r="K73" s="93">
        <f t="shared" si="74"/>
        <v>0.55454774931313755</v>
      </c>
      <c r="L73" s="93">
        <f t="shared" si="74"/>
        <v>0.52975937677205154</v>
      </c>
      <c r="M73" s="93">
        <f t="shared" si="74"/>
        <v>0.50621519412483085</v>
      </c>
      <c r="N73" s="93">
        <f t="shared" si="74"/>
        <v>0.61822270215079222</v>
      </c>
      <c r="O73" s="93">
        <f t="shared" si="74"/>
        <v>0.57342770608627924</v>
      </c>
      <c r="P73" s="93">
        <f t="shared" si="74"/>
        <v>0.53112666266764796</v>
      </c>
      <c r="Q73" s="93">
        <f t="shared" si="74"/>
        <v>0.49675084084706195</v>
      </c>
      <c r="R73" s="93">
        <f t="shared" si="74"/>
        <v>0.51116464819154661</v>
      </c>
      <c r="S73" s="93">
        <f t="shared" si="74"/>
        <v>0.50967809874384307</v>
      </c>
      <c r="T73" s="93">
        <f t="shared" si="74"/>
        <v>0.49980265154353154</v>
      </c>
      <c r="U73" s="93">
        <f t="shared" si="74"/>
        <v>0.51253352994260437</v>
      </c>
      <c r="V73" s="93">
        <f t="shared" si="74"/>
        <v>0.47912040181828863</v>
      </c>
      <c r="W73" s="93">
        <f t="shared" si="74"/>
        <v>0.45966513588169861</v>
      </c>
      <c r="X73" s="93">
        <f t="shared" ref="X73:Y73" si="75">IF(X11=0,0,X23/X63)</f>
        <v>0.49008156330054453</v>
      </c>
      <c r="Y73" s="93">
        <f t="shared" si="75"/>
        <v>0.5261794701663689</v>
      </c>
      <c r="DA73" s="175"/>
    </row>
    <row r="74" spans="1:105" ht="11.45" customHeight="1" x14ac:dyDescent="0.25">
      <c r="A74" s="92" t="s">
        <v>181</v>
      </c>
      <c r="B74" s="93">
        <f t="shared" si="63"/>
        <v>1.1103479211725522</v>
      </c>
      <c r="C74" s="93">
        <f t="shared" ref="C74:W74" si="76">IF(C12=0,0,C24/C64)</f>
        <v>1.1090868837256858</v>
      </c>
      <c r="D74" s="93">
        <f t="shared" si="76"/>
        <v>1.0707792855484659</v>
      </c>
      <c r="E74" s="93">
        <f t="shared" si="76"/>
        <v>1.1280343986226329</v>
      </c>
      <c r="F74" s="93">
        <f t="shared" si="76"/>
        <v>1.1642416172738661</v>
      </c>
      <c r="G74" s="93">
        <f t="shared" si="76"/>
        <v>1.2248463534344196</v>
      </c>
      <c r="H74" s="93">
        <f t="shared" si="76"/>
        <v>1.2760094538218245</v>
      </c>
      <c r="I74" s="93">
        <f t="shared" si="76"/>
        <v>1.3016946306820822</v>
      </c>
      <c r="J74" s="93">
        <f t="shared" si="76"/>
        <v>1.1598548571132183</v>
      </c>
      <c r="K74" s="93">
        <f t="shared" si="76"/>
        <v>1.1011678005315515</v>
      </c>
      <c r="L74" s="93">
        <f t="shared" si="76"/>
        <v>1.088876216865114</v>
      </c>
      <c r="M74" s="93">
        <f t="shared" si="76"/>
        <v>1.1107514740477764</v>
      </c>
      <c r="N74" s="93">
        <f t="shared" si="76"/>
        <v>1.1140803638414059</v>
      </c>
      <c r="O74" s="93">
        <f t="shared" si="76"/>
        <v>1.0775834952370809</v>
      </c>
      <c r="P74" s="93">
        <f t="shared" si="76"/>
        <v>1.1808791232806557</v>
      </c>
      <c r="Q74" s="93">
        <f t="shared" si="76"/>
        <v>1.1531034283638384</v>
      </c>
      <c r="R74" s="93">
        <f t="shared" si="76"/>
        <v>1.1996564691724634</v>
      </c>
      <c r="S74" s="93">
        <f t="shared" si="76"/>
        <v>1.2470937902039154</v>
      </c>
      <c r="T74" s="93">
        <f t="shared" si="76"/>
        <v>1.2626122694454884</v>
      </c>
      <c r="U74" s="93">
        <f t="shared" si="76"/>
        <v>1.3114061054293549</v>
      </c>
      <c r="V74" s="93">
        <f t="shared" si="76"/>
        <v>1.0530400794302348</v>
      </c>
      <c r="W74" s="93">
        <f t="shared" si="76"/>
        <v>1.1357208829878784</v>
      </c>
      <c r="X74" s="93">
        <f t="shared" ref="X74:Y74" si="77">IF(X12=0,0,X24/X64)</f>
        <v>1.1192570126818924</v>
      </c>
      <c r="Y74" s="93">
        <f t="shared" si="77"/>
        <v>1.1353517067602832</v>
      </c>
      <c r="DA74" s="175"/>
    </row>
    <row r="75" spans="1:105" ht="11.45" customHeight="1" x14ac:dyDescent="0.25">
      <c r="A75" s="85" t="s">
        <v>182</v>
      </c>
      <c r="B75" s="94">
        <f t="shared" si="63"/>
        <v>1.1163541960736487</v>
      </c>
      <c r="C75" s="94">
        <f t="shared" ref="C75:W75" si="78">IF(C13=0,0,C25/C65)</f>
        <v>1.1149087887140732</v>
      </c>
      <c r="D75" s="94">
        <f t="shared" si="78"/>
        <v>1.0775098187904149</v>
      </c>
      <c r="E75" s="94">
        <f t="shared" si="78"/>
        <v>1.1371150514294077</v>
      </c>
      <c r="F75" s="94">
        <f t="shared" si="78"/>
        <v>1.1719688855032249</v>
      </c>
      <c r="G75" s="94">
        <f t="shared" si="78"/>
        <v>1.1287338507998816</v>
      </c>
      <c r="H75" s="94">
        <f t="shared" si="78"/>
        <v>1.089810116445715</v>
      </c>
      <c r="I75" s="94">
        <f t="shared" si="78"/>
        <v>1.1058650112692032</v>
      </c>
      <c r="J75" s="94">
        <f t="shared" si="78"/>
        <v>1.0994097201158231</v>
      </c>
      <c r="K75" s="94">
        <f t="shared" si="78"/>
        <v>1.0362970456715159</v>
      </c>
      <c r="L75" s="94">
        <f t="shared" si="78"/>
        <v>1.0007605444153498</v>
      </c>
      <c r="M75" s="94">
        <f t="shared" si="78"/>
        <v>0.95362621004716008</v>
      </c>
      <c r="N75" s="94">
        <f t="shared" si="78"/>
        <v>0.9197209197097409</v>
      </c>
      <c r="O75" s="94">
        <f t="shared" si="78"/>
        <v>0.90071688672631534</v>
      </c>
      <c r="P75" s="94">
        <f t="shared" si="78"/>
        <v>0.85820661158998224</v>
      </c>
      <c r="Q75" s="94">
        <f t="shared" si="78"/>
        <v>0.79868795236221024</v>
      </c>
      <c r="R75" s="94">
        <f t="shared" si="78"/>
        <v>0.76949136524650419</v>
      </c>
      <c r="S75" s="94">
        <f t="shared" si="78"/>
        <v>0.81560342163724198</v>
      </c>
      <c r="T75" s="94">
        <f t="shared" si="78"/>
        <v>0.84969373480646482</v>
      </c>
      <c r="U75" s="94">
        <f t="shared" si="78"/>
        <v>0.85493207039276975</v>
      </c>
      <c r="V75" s="94">
        <f t="shared" si="78"/>
        <v>0.98538249901667574</v>
      </c>
      <c r="W75" s="94">
        <f t="shared" si="78"/>
        <v>0.8796333533859122</v>
      </c>
      <c r="X75" s="94">
        <f t="shared" ref="X75:Y75" si="79">IF(X13=0,0,X25/X65)</f>
        <v>0.70018572355062147</v>
      </c>
      <c r="Y75" s="94">
        <f t="shared" si="79"/>
        <v>0.65740853380081954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2501.9966159999999</v>
      </c>
      <c r="C3" s="79">
        <f t="shared" si="0"/>
        <v>2542.6559797199998</v>
      </c>
      <c r="D3" s="79">
        <f t="shared" ref="D3" si="1">SUM(D4:D5)</f>
        <v>2201.6807362800005</v>
      </c>
      <c r="E3" s="79">
        <f t="shared" ref="E3" si="2">SUM(E4:E5)</f>
        <v>2276.8055571600003</v>
      </c>
      <c r="F3" s="79">
        <f t="shared" ref="F3" si="3">SUM(F4:F5)</f>
        <v>2573.8711725600006</v>
      </c>
      <c r="G3" s="79">
        <f t="shared" ref="G3" si="4">SUM(G4:G5)</f>
        <v>2705.2322137200008</v>
      </c>
      <c r="H3" s="79">
        <f t="shared" ref="H3" si="5">SUM(H4:H5)</f>
        <v>2720.9320297200002</v>
      </c>
      <c r="I3" s="79">
        <f t="shared" ref="I3" si="6">SUM(I4:I5)</f>
        <v>2802.2510159999997</v>
      </c>
      <c r="J3" s="79">
        <f t="shared" ref="J3" si="7">SUM(J4:J5)</f>
        <v>2805.3788385600001</v>
      </c>
      <c r="K3" s="79">
        <f t="shared" ref="K3" si="8">SUM(K4:K5)</f>
        <v>2467.592638560001</v>
      </c>
      <c r="L3" s="79">
        <f t="shared" ref="L3" si="9">SUM(L4:L5)</f>
        <v>2570.8668202800009</v>
      </c>
      <c r="M3" s="79">
        <f t="shared" ref="M3" si="10">SUM(M4:M5)</f>
        <v>2630.2920839999997</v>
      </c>
      <c r="N3" s="79">
        <f t="shared" ref="N3" si="11">SUM(N4:N5)</f>
        <v>2636.5474702800002</v>
      </c>
      <c r="O3" s="79">
        <f t="shared" ref="O3" si="12">SUM(O4:O5)</f>
        <v>2608.3986202800006</v>
      </c>
      <c r="P3" s="79">
        <f t="shared" ref="P3" si="13">SUM(P4:P5)</f>
        <v>2811.6956977200002</v>
      </c>
      <c r="Q3" s="79">
        <f t="shared" ref="Q3" si="14">SUM(Q4:Q5)</f>
        <v>2749.7919366000001</v>
      </c>
      <c r="R3" s="79">
        <f t="shared" ref="R3" si="15">SUM(R4:R5)</f>
        <v>2952.5317578000004</v>
      </c>
      <c r="S3" s="79">
        <f t="shared" ref="S3" si="16">SUM(S4:S5)</f>
        <v>3038.6245744799994</v>
      </c>
      <c r="T3" s="79">
        <f t="shared" ref="T3" si="17">SUM(T4:T5)</f>
        <v>3173.9981137200016</v>
      </c>
      <c r="U3" s="79">
        <f t="shared" ref="U3" si="18">SUM(U4:U5)</f>
        <v>3242.8934683199991</v>
      </c>
      <c r="V3" s="79">
        <f t="shared" ref="V3:W3" si="19">SUM(V4:V5)</f>
        <v>1052.9069342400001</v>
      </c>
      <c r="W3" s="79">
        <f t="shared" si="19"/>
        <v>1341.4744854000003</v>
      </c>
      <c r="X3" s="79">
        <f t="shared" ref="X3:Y3" si="20">SUM(X4:X5)</f>
        <v>2283.2613212399997</v>
      </c>
      <c r="Y3" s="79">
        <f t="shared" si="20"/>
        <v>2605.3055204399998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140.62077972</v>
      </c>
      <c r="C4" s="96">
        <f t="shared" si="21"/>
        <v>143.74834344000001</v>
      </c>
      <c r="D4" s="96">
        <f t="shared" ref="D4:V4" si="22">SUM(D7,D11)</f>
        <v>118.72731600000003</v>
      </c>
      <c r="E4" s="96">
        <f t="shared" si="22"/>
        <v>115.59949344000002</v>
      </c>
      <c r="F4" s="96">
        <f t="shared" si="22"/>
        <v>96.833852279999988</v>
      </c>
      <c r="G4" s="96">
        <f t="shared" si="22"/>
        <v>103.08897972000005</v>
      </c>
      <c r="H4" s="96">
        <f t="shared" si="22"/>
        <v>109.34436600000001</v>
      </c>
      <c r="I4" s="96">
        <f t="shared" si="22"/>
        <v>128.11026600000005</v>
      </c>
      <c r="J4" s="96">
        <f t="shared" si="22"/>
        <v>134.36565227999998</v>
      </c>
      <c r="K4" s="96">
        <f t="shared" si="22"/>
        <v>134.36565227999998</v>
      </c>
      <c r="L4" s="96">
        <f t="shared" si="22"/>
        <v>140.68277028000003</v>
      </c>
      <c r="M4" s="96">
        <f t="shared" si="22"/>
        <v>134.42738399999999</v>
      </c>
      <c r="N4" s="96">
        <f t="shared" si="22"/>
        <v>115.66148400000002</v>
      </c>
      <c r="O4" s="96">
        <f t="shared" si="22"/>
        <v>112.53392028000002</v>
      </c>
      <c r="P4" s="96">
        <f t="shared" si="22"/>
        <v>109.40609772000002</v>
      </c>
      <c r="Q4" s="96">
        <f t="shared" si="22"/>
        <v>101.61165564000004</v>
      </c>
      <c r="R4" s="96">
        <f t="shared" si="22"/>
        <v>105.47963315999999</v>
      </c>
      <c r="S4" s="96">
        <f t="shared" si="22"/>
        <v>100.71033408</v>
      </c>
      <c r="T4" s="96">
        <f t="shared" si="22"/>
        <v>95.28319620000002</v>
      </c>
      <c r="U4" s="96">
        <f t="shared" si="22"/>
        <v>95.598633960000015</v>
      </c>
      <c r="V4" s="96">
        <f t="shared" si="22"/>
        <v>51.283363319999999</v>
      </c>
      <c r="W4" s="96">
        <f t="shared" ref="W4:Y4" si="23">SUM(W7,W11)</f>
        <v>54.974975400000019</v>
      </c>
      <c r="X4" s="96">
        <f t="shared" si="23"/>
        <v>73.836212760000024</v>
      </c>
      <c r="Y4" s="96">
        <f t="shared" si="23"/>
        <v>73.938843719999994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2361.3758362799999</v>
      </c>
      <c r="C5" s="96">
        <f t="shared" si="24"/>
        <v>2398.9076362799997</v>
      </c>
      <c r="D5" s="96">
        <f t="shared" ref="D5:V5" si="25">SUM(D8:D9,D12:D13)</f>
        <v>2082.9534202800005</v>
      </c>
      <c r="E5" s="96">
        <f t="shared" si="25"/>
        <v>2161.2060637200002</v>
      </c>
      <c r="F5" s="96">
        <f t="shared" si="25"/>
        <v>2477.0373202800006</v>
      </c>
      <c r="G5" s="96">
        <f t="shared" si="25"/>
        <v>2602.1432340000006</v>
      </c>
      <c r="H5" s="96">
        <f t="shared" si="25"/>
        <v>2611.5876637200004</v>
      </c>
      <c r="I5" s="96">
        <f t="shared" si="25"/>
        <v>2674.1407499999996</v>
      </c>
      <c r="J5" s="96">
        <f t="shared" si="25"/>
        <v>2671.0131862799999</v>
      </c>
      <c r="K5" s="96">
        <f t="shared" si="25"/>
        <v>2333.2269862800008</v>
      </c>
      <c r="L5" s="96">
        <f t="shared" si="25"/>
        <v>2430.1840500000008</v>
      </c>
      <c r="M5" s="96">
        <f t="shared" si="25"/>
        <v>2495.8646999999996</v>
      </c>
      <c r="N5" s="96">
        <f t="shared" si="25"/>
        <v>2520.88598628</v>
      </c>
      <c r="O5" s="96">
        <f t="shared" si="25"/>
        <v>2495.8647000000005</v>
      </c>
      <c r="P5" s="96">
        <f t="shared" si="25"/>
        <v>2702.2896000000001</v>
      </c>
      <c r="Q5" s="96">
        <f t="shared" si="25"/>
        <v>2648.1802809599999</v>
      </c>
      <c r="R5" s="96">
        <f t="shared" si="25"/>
        <v>2847.0521246400003</v>
      </c>
      <c r="S5" s="96">
        <f t="shared" si="25"/>
        <v>2937.9142403999995</v>
      </c>
      <c r="T5" s="96">
        <f t="shared" si="25"/>
        <v>3078.7149175200016</v>
      </c>
      <c r="U5" s="96">
        <f t="shared" si="25"/>
        <v>3147.2948343599992</v>
      </c>
      <c r="V5" s="96">
        <f t="shared" si="25"/>
        <v>1001.62357092</v>
      </c>
      <c r="W5" s="96">
        <f t="shared" ref="W5:Y5" si="26">SUM(W8:W9,W12:W13)</f>
        <v>1286.4995100000003</v>
      </c>
      <c r="X5" s="96">
        <f t="shared" si="26"/>
        <v>2209.4251084799998</v>
      </c>
      <c r="Y5" s="96">
        <f t="shared" si="26"/>
        <v>2531.3666767199998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2478.267330877994</v>
      </c>
      <c r="C6" s="21">
        <f t="shared" si="27"/>
        <v>2517.8927022774392</v>
      </c>
      <c r="D6" s="21">
        <f t="shared" ref="D6:V6" si="28">SUM(D7:D9)</f>
        <v>2178.8330003993328</v>
      </c>
      <c r="E6" s="21">
        <f t="shared" si="28"/>
        <v>2258.5345023090649</v>
      </c>
      <c r="F6" s="21">
        <f t="shared" si="28"/>
        <v>2553.4066753893621</v>
      </c>
      <c r="G6" s="21">
        <f t="shared" si="28"/>
        <v>2681.8714380282945</v>
      </c>
      <c r="H6" s="21">
        <f t="shared" si="28"/>
        <v>2692.8331931054086</v>
      </c>
      <c r="I6" s="21">
        <f t="shared" si="28"/>
        <v>2774.9393093784429</v>
      </c>
      <c r="J6" s="21">
        <f t="shared" si="28"/>
        <v>2594.1143909516954</v>
      </c>
      <c r="K6" s="21">
        <f t="shared" si="28"/>
        <v>2317.8675575880511</v>
      </c>
      <c r="L6" s="21">
        <f t="shared" si="28"/>
        <v>2414.618165204613</v>
      </c>
      <c r="M6" s="21">
        <f t="shared" si="28"/>
        <v>2482.3246592991618</v>
      </c>
      <c r="N6" s="21">
        <f t="shared" si="28"/>
        <v>2482.0783608221232</v>
      </c>
      <c r="O6" s="21">
        <f t="shared" si="28"/>
        <v>2477.0128586884412</v>
      </c>
      <c r="P6" s="21">
        <f t="shared" si="28"/>
        <v>2657.4346224462884</v>
      </c>
      <c r="Q6" s="21">
        <f t="shared" si="28"/>
        <v>2611.8184038891313</v>
      </c>
      <c r="R6" s="21">
        <f t="shared" si="28"/>
        <v>2841.2958573634205</v>
      </c>
      <c r="S6" s="21">
        <f t="shared" si="28"/>
        <v>2922.4759485287232</v>
      </c>
      <c r="T6" s="21">
        <f t="shared" si="28"/>
        <v>3090.5634679398154</v>
      </c>
      <c r="U6" s="21">
        <f t="shared" si="28"/>
        <v>3145.3998794327754</v>
      </c>
      <c r="V6" s="21">
        <f t="shared" si="28"/>
        <v>963.97735933665763</v>
      </c>
      <c r="W6" s="21">
        <f t="shared" ref="W6:Y6" si="29">SUM(W7:W9)</f>
        <v>1239.87845958056</v>
      </c>
      <c r="X6" s="21">
        <f t="shared" si="29"/>
        <v>2175.3154926727575</v>
      </c>
      <c r="Y6" s="21">
        <f t="shared" si="29"/>
        <v>2480.1242176239157</v>
      </c>
      <c r="DA6" s="189" t="s">
        <v>327</v>
      </c>
    </row>
    <row r="7" spans="1:105" ht="11.45" customHeight="1" x14ac:dyDescent="0.25">
      <c r="A7" s="83" t="s">
        <v>27</v>
      </c>
      <c r="B7" s="96">
        <v>139.87010369897237</v>
      </c>
      <c r="C7" s="96">
        <v>142.95345333416441</v>
      </c>
      <c r="D7" s="96">
        <v>118.14577432375066</v>
      </c>
      <c r="E7" s="96">
        <v>115.26459907478927</v>
      </c>
      <c r="F7" s="96">
        <v>96.60334512611486</v>
      </c>
      <c r="G7" s="96">
        <v>102.79499678263707</v>
      </c>
      <c r="H7" s="96">
        <v>108.98149070195034</v>
      </c>
      <c r="I7" s="96">
        <v>127.72623720387037</v>
      </c>
      <c r="J7" s="96">
        <v>133.59853710169531</v>
      </c>
      <c r="K7" s="96">
        <v>133.66341547465481</v>
      </c>
      <c r="L7" s="96">
        <v>140.37827296116072</v>
      </c>
      <c r="M7" s="96">
        <v>134.25693840286388</v>
      </c>
      <c r="N7" s="96">
        <v>115.49416213068984</v>
      </c>
      <c r="O7" s="96">
        <v>112.36217361914836</v>
      </c>
      <c r="P7" s="96">
        <v>109.246081531909</v>
      </c>
      <c r="Q7" s="96">
        <v>101.48017216667321</v>
      </c>
      <c r="R7" s="96">
        <v>105.44834310810397</v>
      </c>
      <c r="S7" s="96">
        <v>100.65881833197425</v>
      </c>
      <c r="T7" s="96">
        <v>95.218146977011926</v>
      </c>
      <c r="U7" s="96">
        <v>95.544012742005549</v>
      </c>
      <c r="V7" s="96">
        <v>51.215714553822167</v>
      </c>
      <c r="W7" s="96">
        <v>54.861311799410018</v>
      </c>
      <c r="X7" s="96">
        <v>73.632785593157948</v>
      </c>
      <c r="Y7" s="96">
        <v>73.717050405980814</v>
      </c>
      <c r="DA7" s="171" t="s">
        <v>328</v>
      </c>
    </row>
    <row r="8" spans="1:105" ht="11.45" customHeight="1" x14ac:dyDescent="0.25">
      <c r="A8" s="83" t="s">
        <v>181</v>
      </c>
      <c r="B8" s="96">
        <v>1394.9860163976919</v>
      </c>
      <c r="C8" s="96">
        <v>1416.7414485781032</v>
      </c>
      <c r="D8" s="96">
        <v>1273.239895887672</v>
      </c>
      <c r="E8" s="96">
        <v>1337.3031762554715</v>
      </c>
      <c r="F8" s="96">
        <v>1461.8591298292972</v>
      </c>
      <c r="G8" s="96">
        <v>1531.2094423405899</v>
      </c>
      <c r="H8" s="96">
        <v>1539.7161090282532</v>
      </c>
      <c r="I8" s="96">
        <v>1595.1105198440828</v>
      </c>
      <c r="J8" s="96">
        <v>1480.5878740166363</v>
      </c>
      <c r="K8" s="96">
        <v>1272.2173244215169</v>
      </c>
      <c r="L8" s="96">
        <v>1319.773562482889</v>
      </c>
      <c r="M8" s="96">
        <v>1368.6004690498983</v>
      </c>
      <c r="N8" s="96">
        <v>1367.1762244228648</v>
      </c>
      <c r="O8" s="96">
        <v>1369.90483038093</v>
      </c>
      <c r="P8" s="96">
        <v>1481.3882487314422</v>
      </c>
      <c r="Q8" s="96">
        <v>1467.5510630848044</v>
      </c>
      <c r="R8" s="96">
        <v>1644.4395868344359</v>
      </c>
      <c r="S8" s="96">
        <v>1707.498628325865</v>
      </c>
      <c r="T8" s="96">
        <v>1798.3010570665003</v>
      </c>
      <c r="U8" s="96">
        <v>1799.9944104777112</v>
      </c>
      <c r="V8" s="96">
        <v>467.54375591058476</v>
      </c>
      <c r="W8" s="96">
        <v>648.72569241348833</v>
      </c>
      <c r="X8" s="96">
        <v>1276.5262855038309</v>
      </c>
      <c r="Y8" s="96">
        <v>1447.1477885976251</v>
      </c>
      <c r="DA8" s="171" t="s">
        <v>329</v>
      </c>
    </row>
    <row r="9" spans="1:105" ht="11.45" customHeight="1" x14ac:dyDescent="0.25">
      <c r="A9" s="83" t="s">
        <v>182</v>
      </c>
      <c r="B9" s="96">
        <v>943.41121078133006</v>
      </c>
      <c r="C9" s="96">
        <v>958.19780036517159</v>
      </c>
      <c r="D9" s="96">
        <v>787.4473301879101</v>
      </c>
      <c r="E9" s="96">
        <v>805.96672697880433</v>
      </c>
      <c r="F9" s="96">
        <v>994.94420043395007</v>
      </c>
      <c r="G9" s="96">
        <v>1047.8669989050675</v>
      </c>
      <c r="H9" s="96">
        <v>1044.135593375205</v>
      </c>
      <c r="I9" s="96">
        <v>1052.10255233049</v>
      </c>
      <c r="J9" s="96">
        <v>979.92797983336379</v>
      </c>
      <c r="K9" s="96">
        <v>911.98681769187954</v>
      </c>
      <c r="L9" s="96">
        <v>954.4663297605631</v>
      </c>
      <c r="M9" s="96">
        <v>979.46725184639956</v>
      </c>
      <c r="N9" s="96">
        <v>999.40797426856841</v>
      </c>
      <c r="O9" s="96">
        <v>994.7458546883629</v>
      </c>
      <c r="P9" s="96">
        <v>1066.800292182937</v>
      </c>
      <c r="Q9" s="96">
        <v>1042.7871686376538</v>
      </c>
      <c r="R9" s="96">
        <v>1091.4079274208805</v>
      </c>
      <c r="S9" s="96">
        <v>1114.3185018708839</v>
      </c>
      <c r="T9" s="96">
        <v>1197.0442638963034</v>
      </c>
      <c r="U9" s="96">
        <v>1249.8614562130583</v>
      </c>
      <c r="V9" s="96">
        <v>445.21788887225068</v>
      </c>
      <c r="W9" s="96">
        <v>536.29145536766157</v>
      </c>
      <c r="X9" s="96">
        <v>825.15642157576895</v>
      </c>
      <c r="Y9" s="96">
        <v>959.25937862030969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23.729285122005706</v>
      </c>
      <c r="C10" s="22">
        <f t="shared" si="30"/>
        <v>24.763277442560248</v>
      </c>
      <c r="D10" s="22">
        <f t="shared" ref="D10:V10" si="31">SUM(D11:D13)</f>
        <v>22.847735880667724</v>
      </c>
      <c r="E10" s="22">
        <f t="shared" si="31"/>
        <v>18.271054850935379</v>
      </c>
      <c r="F10" s="22">
        <f t="shared" si="31"/>
        <v>20.464497170638126</v>
      </c>
      <c r="G10" s="22">
        <f t="shared" si="31"/>
        <v>23.360775691706149</v>
      </c>
      <c r="H10" s="22">
        <f t="shared" si="31"/>
        <v>28.098836614592173</v>
      </c>
      <c r="I10" s="22">
        <f t="shared" si="31"/>
        <v>27.311706621557146</v>
      </c>
      <c r="J10" s="22">
        <f t="shared" si="31"/>
        <v>211.26444760830444</v>
      </c>
      <c r="K10" s="22">
        <f t="shared" si="31"/>
        <v>149.72508097194972</v>
      </c>
      <c r="L10" s="22">
        <f t="shared" si="31"/>
        <v>156.24865507538743</v>
      </c>
      <c r="M10" s="22">
        <f t="shared" si="31"/>
        <v>147.96742470083791</v>
      </c>
      <c r="N10" s="22">
        <f t="shared" si="31"/>
        <v>154.46910945787658</v>
      </c>
      <c r="O10" s="22">
        <f t="shared" si="31"/>
        <v>131.38576159155875</v>
      </c>
      <c r="P10" s="22">
        <f t="shared" si="31"/>
        <v>154.26107527371178</v>
      </c>
      <c r="Q10" s="22">
        <f t="shared" si="31"/>
        <v>137.97353271086854</v>
      </c>
      <c r="R10" s="22">
        <f t="shared" si="31"/>
        <v>111.23590043658001</v>
      </c>
      <c r="S10" s="22">
        <f t="shared" si="31"/>
        <v>116.14862595127656</v>
      </c>
      <c r="T10" s="22">
        <f t="shared" si="31"/>
        <v>83.434645780185861</v>
      </c>
      <c r="U10" s="22">
        <f t="shared" si="31"/>
        <v>97.493588887224519</v>
      </c>
      <c r="V10" s="22">
        <f t="shared" si="31"/>
        <v>88.929574903342413</v>
      </c>
      <c r="W10" s="22">
        <f t="shared" ref="W10:Y10" si="32">SUM(W11:W13)</f>
        <v>101.59602581944046</v>
      </c>
      <c r="X10" s="22">
        <f t="shared" si="32"/>
        <v>107.9458285672421</v>
      </c>
      <c r="Y10" s="22">
        <f t="shared" si="32"/>
        <v>125.18130281608447</v>
      </c>
      <c r="DA10" s="193" t="s">
        <v>331</v>
      </c>
    </row>
    <row r="11" spans="1:105" ht="11.45" customHeight="1" x14ac:dyDescent="0.25">
      <c r="A11" s="92" t="s">
        <v>27</v>
      </c>
      <c r="B11" s="97">
        <v>0.75067602102761866</v>
      </c>
      <c r="C11" s="97">
        <v>0.79489010583559294</v>
      </c>
      <c r="D11" s="97">
        <v>0.58154167624936859</v>
      </c>
      <c r="E11" s="97">
        <v>0.33489436521074889</v>
      </c>
      <c r="F11" s="97">
        <v>0.23050715388512583</v>
      </c>
      <c r="G11" s="97">
        <v>0.29398293736298831</v>
      </c>
      <c r="H11" s="97">
        <v>0.36287529804967178</v>
      </c>
      <c r="I11" s="97">
        <v>0.38402879612967217</v>
      </c>
      <c r="J11" s="97">
        <v>0.76711517830467335</v>
      </c>
      <c r="K11" s="97">
        <v>0.70223680534517929</v>
      </c>
      <c r="L11" s="97">
        <v>0.30449731883931513</v>
      </c>
      <c r="M11" s="97">
        <v>0.17044559713610641</v>
      </c>
      <c r="N11" s="97">
        <v>0.16732186931017046</v>
      </c>
      <c r="O11" s="97">
        <v>0.17174666085165688</v>
      </c>
      <c r="P11" s="97">
        <v>0.16001618809102525</v>
      </c>
      <c r="Q11" s="97">
        <v>0.13148347332682619</v>
      </c>
      <c r="R11" s="97">
        <v>3.1290051896026246E-2</v>
      </c>
      <c r="S11" s="97">
        <v>5.1515748025756862E-2</v>
      </c>
      <c r="T11" s="97">
        <v>6.5049222988094138E-2</v>
      </c>
      <c r="U11" s="97">
        <v>5.4621217994469611E-2</v>
      </c>
      <c r="V11" s="97">
        <v>6.7648766177832761E-2</v>
      </c>
      <c r="W11" s="97">
        <v>0.11366360058999952</v>
      </c>
      <c r="X11" s="97">
        <v>0.20342716684207088</v>
      </c>
      <c r="Y11" s="97">
        <v>0.22179331401918231</v>
      </c>
      <c r="DA11" s="175" t="s">
        <v>332</v>
      </c>
    </row>
    <row r="12" spans="1:105" ht="11.45" customHeight="1" x14ac:dyDescent="0.25">
      <c r="A12" s="92" t="s">
        <v>181</v>
      </c>
      <c r="B12" s="97">
        <v>20.869144782930118</v>
      </c>
      <c r="C12" s="97">
        <v>21.613803312338337</v>
      </c>
      <c r="D12" s="97">
        <v>19.631393208963335</v>
      </c>
      <c r="E12" s="97">
        <v>14.902710052445453</v>
      </c>
      <c r="F12" s="97">
        <v>17.107666009129876</v>
      </c>
      <c r="G12" s="97">
        <v>21.035310602883925</v>
      </c>
      <c r="H12" s="97">
        <v>26.613596115542034</v>
      </c>
      <c r="I12" s="97">
        <v>25.589086050295204</v>
      </c>
      <c r="J12" s="97">
        <v>53.678140637817663</v>
      </c>
      <c r="K12" s="97">
        <v>34.334975795856245</v>
      </c>
      <c r="L12" s="97">
        <v>23.353022188221761</v>
      </c>
      <c r="M12" s="97">
        <v>22.656170822175145</v>
      </c>
      <c r="N12" s="97">
        <v>19.99228350440713</v>
      </c>
      <c r="O12" s="97">
        <v>16.388187185698644</v>
      </c>
      <c r="P12" s="97">
        <v>27.388713442905157</v>
      </c>
      <c r="Q12" s="97">
        <v>26.917549241188368</v>
      </c>
      <c r="R12" s="97">
        <v>21.813538661368419</v>
      </c>
      <c r="S12" s="97">
        <v>26.807231963360916</v>
      </c>
      <c r="T12" s="97">
        <v>27.274494543442362</v>
      </c>
      <c r="U12" s="97">
        <v>31.543805032301453</v>
      </c>
      <c r="V12" s="97">
        <v>31.008221221656864</v>
      </c>
      <c r="W12" s="97">
        <v>42.196557655121183</v>
      </c>
      <c r="X12" s="97">
        <v>49.873374042632562</v>
      </c>
      <c r="Y12" s="97">
        <v>48.602596099572288</v>
      </c>
      <c r="DA12" s="175" t="s">
        <v>333</v>
      </c>
    </row>
    <row r="13" spans="1:105" ht="11.45" customHeight="1" x14ac:dyDescent="0.25">
      <c r="A13" s="85" t="s">
        <v>182</v>
      </c>
      <c r="B13" s="98">
        <v>2.1094643180479693</v>
      </c>
      <c r="C13" s="98">
        <v>2.3545840243863196</v>
      </c>
      <c r="D13" s="98">
        <v>2.6348009954550204</v>
      </c>
      <c r="E13" s="98">
        <v>3.0334504332791776</v>
      </c>
      <c r="F13" s="98">
        <v>3.1263240076231247</v>
      </c>
      <c r="G13" s="98">
        <v>2.0314821514592354</v>
      </c>
      <c r="H13" s="98">
        <v>1.1223652010004654</v>
      </c>
      <c r="I13" s="98">
        <v>1.3385917751322678</v>
      </c>
      <c r="J13" s="98">
        <v>156.8191917921821</v>
      </c>
      <c r="K13" s="98">
        <v>114.68786837074829</v>
      </c>
      <c r="L13" s="98">
        <v>132.59113556832637</v>
      </c>
      <c r="M13" s="98">
        <v>125.14080828152666</v>
      </c>
      <c r="N13" s="98">
        <v>134.30950408415927</v>
      </c>
      <c r="O13" s="98">
        <v>114.82582774500845</v>
      </c>
      <c r="P13" s="98">
        <v>126.71234564271559</v>
      </c>
      <c r="Q13" s="98">
        <v>110.92449999635335</v>
      </c>
      <c r="R13" s="98">
        <v>89.391071723315562</v>
      </c>
      <c r="S13" s="98">
        <v>89.289878239889887</v>
      </c>
      <c r="T13" s="98">
        <v>56.095102013755401</v>
      </c>
      <c r="U13" s="98">
        <v>65.895162636928603</v>
      </c>
      <c r="V13" s="98">
        <v>57.85370491550772</v>
      </c>
      <c r="W13" s="98">
        <v>59.285804563729265</v>
      </c>
      <c r="X13" s="98">
        <v>57.869027357767472</v>
      </c>
      <c r="Y13" s="98">
        <v>76.356913402493007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3.0067504323160206</v>
      </c>
      <c r="C18" s="97">
        <f>IF(C4=0,0,C4/TrAvia_ene!C4)</f>
        <v>3.0068277716456335</v>
      </c>
      <c r="D18" s="97">
        <f>IF(D4=0,0,D4/TrAvia_ene!D4)</f>
        <v>3.006095109822287</v>
      </c>
      <c r="E18" s="97">
        <f>IF(E4=0,0,E4/TrAvia_ene!E4)</f>
        <v>3.005981251399557</v>
      </c>
      <c r="F18" s="97">
        <f>IF(F4=0,0,F4/TrAvia_ene!F4)</f>
        <v>3.005143968022415</v>
      </c>
      <c r="G18" s="97">
        <f>IF(G4=0,0,G4/TrAvia_ene!G4)</f>
        <v>3.005456873486148</v>
      </c>
      <c r="H18" s="97">
        <f>IF(H4=0,0,H4/TrAvia_ene!H4)</f>
        <v>3.0057340441000946</v>
      </c>
      <c r="I18" s="97">
        <f>IF(I4=0,0,I4/TrAvia_ene!I4)</f>
        <v>3.0064033543927065</v>
      </c>
      <c r="J18" s="97">
        <f>IF(J4=0,0,J4/TrAvia_ene!J4)</f>
        <v>3.0065849658805197</v>
      </c>
      <c r="K18" s="97">
        <f>IF(K4=0,0,K4/TrAvia_ene!K4)</f>
        <v>3.0065849658805197</v>
      </c>
      <c r="L18" s="97">
        <f>IF(L4=0,0,L4/TrAvia_ene!L4)</f>
        <v>3.0085294747228022</v>
      </c>
      <c r="M18" s="97">
        <f>IF(M4=0,0,M4/TrAvia_ene!M4)</f>
        <v>3.0084467089886413</v>
      </c>
      <c r="N18" s="97">
        <f>IF(N4=0,0,N4/TrAvia_ene!N4)</f>
        <v>3.0081447399293784</v>
      </c>
      <c r="O18" s="97">
        <f>IF(O4=0,0,O4/TrAvia_ene!O4)</f>
        <v>3.0080846293046863</v>
      </c>
      <c r="P18" s="97">
        <f>IF(P4=0,0,P4/TrAvia_ene!P4)</f>
        <v>3.0080210791574475</v>
      </c>
      <c r="Q18" s="97">
        <f>IF(Q4=0,0,Q4/TrAvia_ene!Q4)</f>
        <v>3.0077004553078863</v>
      </c>
      <c r="R18" s="97">
        <f>IF(R4=0,0,R4/TrAvia_ene!R4)</f>
        <v>3.0077629094009137</v>
      </c>
      <c r="S18" s="97">
        <f>IF(S4=0,0,S4/TrAvia_ene!S4)</f>
        <v>3.0085411838073322</v>
      </c>
      <c r="T18" s="97">
        <f>IF(T4=0,0,T4/TrAvia_ene!T4)</f>
        <v>3.0073534154169321</v>
      </c>
      <c r="U18" s="97">
        <f>IF(U4=0,0,U4/TrAvia_ene!U4)</f>
        <v>3.0078810954508937</v>
      </c>
      <c r="V18" s="97">
        <f>IF(V4=0,0,V4/TrAvia_ene!V4)</f>
        <v>3.0052984279373978</v>
      </c>
      <c r="W18" s="97">
        <f>IF(W4=0,0,W4/TrAvia_ene!W4)</f>
        <v>3.007559194962933</v>
      </c>
      <c r="X18" s="97">
        <f>IF(X4=0,0,X4/TrAvia_ene!X4)</f>
        <v>3.0098884478643395</v>
      </c>
      <c r="Y18" s="97">
        <f>IF(Y4=0,0,Y4/TrAvia_ene!Y4)</f>
        <v>3.010031302269315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3.0103092</v>
      </c>
      <c r="D19" s="98">
        <f>IF(D5=0,0,D5/TrAvia_ene!D5)</f>
        <v>3.0101889309706364</v>
      </c>
      <c r="E19" s="98">
        <f>IF(E5=0,0,E5/TrAvia_ene!E5)</f>
        <v>3.0103092</v>
      </c>
      <c r="F19" s="98">
        <f>IF(F5=0,0,F5/TrAvia_ene!F5)</f>
        <v>3.0102080645119118</v>
      </c>
      <c r="G19" s="98">
        <f>IF(G5=0,0,G5/TrAvia_ene!G5)</f>
        <v>3.010212926751175</v>
      </c>
      <c r="H19" s="98">
        <f>IF(H5=0,0,H5/TrAvia_ene!H5)</f>
        <v>3.0103091999999996</v>
      </c>
      <c r="I19" s="98">
        <f>IF(I5=0,0,I5/TrAvia_ene!I5)</f>
        <v>3.0103092</v>
      </c>
      <c r="J19" s="98">
        <f>IF(J5=0,0,J5/TrAvia_ene!J5)</f>
        <v>3.0103092000000009</v>
      </c>
      <c r="K19" s="98">
        <f>IF(K5=0,0,K5/TrAvia_ene!K5)</f>
        <v>3.0103092000000009</v>
      </c>
      <c r="L19" s="98">
        <f>IF(L5=0,0,L5/TrAvia_ene!L5)</f>
        <v>3.0103092000000018</v>
      </c>
      <c r="M19" s="98">
        <f>IF(M5=0,0,M5/TrAvia_ene!M5)</f>
        <v>3.0103092</v>
      </c>
      <c r="N19" s="98">
        <f>IF(N5=0,0,N5/TrAvia_ene!N5)</f>
        <v>3.0103092000000005</v>
      </c>
      <c r="O19" s="98">
        <f>IF(O5=0,0,O5/TrAvia_ene!O5)</f>
        <v>3.0103092000000018</v>
      </c>
      <c r="P19" s="98">
        <f>IF(P5=0,0,P5/TrAvia_ene!P5)</f>
        <v>3.0103092000000005</v>
      </c>
      <c r="Q19" s="98">
        <f>IF(Q5=0,0,Q5/TrAvia_ene!Q5)</f>
        <v>3.0102934791532565</v>
      </c>
      <c r="R19" s="98">
        <f>IF(R5=0,0,R5/TrAvia_ene!R5)</f>
        <v>3.0103078765038331</v>
      </c>
      <c r="S19" s="98">
        <f>IF(S5=0,0,S5/TrAvia_ene!S5)</f>
        <v>3.0103091999999991</v>
      </c>
      <c r="T19" s="98">
        <f>IF(T5=0,0,T5/TrAvia_ene!T5)</f>
        <v>3.0103092000000009</v>
      </c>
      <c r="U19" s="98">
        <f>IF(U5=0,0,U5/TrAvia_ene!U5)</f>
        <v>3.0103092000000009</v>
      </c>
      <c r="V19" s="98">
        <f>IF(V5=0,0,V5/TrAvia_ene!V5)</f>
        <v>3.0103092000000005</v>
      </c>
      <c r="W19" s="98">
        <f>IF(W5=0,0,W5/TrAvia_ene!W5)</f>
        <v>3.0103092000000005</v>
      </c>
      <c r="X19" s="98">
        <f>IF(X5=0,0,X5/TrAvia_ene!X5)</f>
        <v>3.0103092</v>
      </c>
      <c r="Y19" s="98">
        <f>IF(Y5=0,0,Y5/TrAvia_ene!Y5)</f>
        <v>3.0103092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15595.936436178385</v>
      </c>
      <c r="C21" s="54">
        <f>IF(C3=0,0,C3/TrAvia_act!C13*1000)</f>
        <v>15577.690755882573</v>
      </c>
      <c r="D21" s="54">
        <f>IF(D3=0,0,D3/TrAvia_act!D13*1000)</f>
        <v>14727.479899254537</v>
      </c>
      <c r="E21" s="54">
        <f>IF(E3=0,0,E3/TrAvia_act!E13*1000)</f>
        <v>15307.449931945865</v>
      </c>
      <c r="F21" s="54">
        <f>IF(F3=0,0,F3/TrAvia_act!F13*1000)</f>
        <v>15682.904339415387</v>
      </c>
      <c r="G21" s="54">
        <f>IF(G3=0,0,G3/TrAvia_act!G13*1000)</f>
        <v>16342.128403005983</v>
      </c>
      <c r="H21" s="54">
        <f>IF(H3=0,0,H3/TrAvia_act!H13*1000)</f>
        <v>16879.916227314105</v>
      </c>
      <c r="I21" s="54">
        <f>IF(I3=0,0,I3/TrAvia_act!I13*1000)</f>
        <v>17247.748002588163</v>
      </c>
      <c r="J21" s="54">
        <f>IF(J3=0,0,J3/TrAvia_act!J13*1000)</f>
        <v>16032.887525027416</v>
      </c>
      <c r="K21" s="54">
        <f>IF(K3=0,0,K3/TrAvia_act!K13*1000)</f>
        <v>15526.394047326836</v>
      </c>
      <c r="L21" s="54">
        <f>IF(L3=0,0,L3/TrAvia_act!L13*1000)</f>
        <v>15116.756204201081</v>
      </c>
      <c r="M21" s="54">
        <f>IF(M3=0,0,M3/TrAvia_act!M13*1000)</f>
        <v>15077.670739912288</v>
      </c>
      <c r="N21" s="54">
        <f>IF(N3=0,0,N3/TrAvia_act!N13*1000)</f>
        <v>15248.88172543142</v>
      </c>
      <c r="O21" s="54">
        <f>IF(O3=0,0,O3/TrAvia_act!O13*1000)</f>
        <v>14817.544172784963</v>
      </c>
      <c r="P21" s="54">
        <f>IF(P3=0,0,P3/TrAvia_act!P13*1000)</f>
        <v>15561.393275962175</v>
      </c>
      <c r="Q21" s="54">
        <f>IF(Q3=0,0,Q3/TrAvia_act!Q13*1000)</f>
        <v>14974.599284902353</v>
      </c>
      <c r="R21" s="54">
        <f>IF(R3=0,0,R3/TrAvia_act!R13*1000)</f>
        <v>15110.570524810057</v>
      </c>
      <c r="S21" s="54">
        <f>IF(S3=0,0,S3/TrAvia_act!S13*1000)</f>
        <v>15525.455891606805</v>
      </c>
      <c r="T21" s="54">
        <f>IF(T3=0,0,T3/TrAvia_act!T13*1000)</f>
        <v>15403.881230168014</v>
      </c>
      <c r="U21" s="54">
        <f>IF(U3=0,0,U3/TrAvia_act!U13*1000)</f>
        <v>15834.791118006131</v>
      </c>
      <c r="V21" s="54">
        <f>IF(V3=0,0,V3/TrAvia_act!V13*1000)</f>
        <v>15130.724238679606</v>
      </c>
      <c r="W21" s="54">
        <f>IF(W3=0,0,W3/TrAvia_act!W13*1000)</f>
        <v>14861.354907303683</v>
      </c>
      <c r="X21" s="54">
        <f>IF(X3=0,0,X3/TrAvia_act!X13*1000)</f>
        <v>13252.865465430094</v>
      </c>
      <c r="Y21" s="54">
        <f>IF(Y3=0,0,Y3/TrAvia_act!Y13*1000)</f>
        <v>13164.14644778916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15624.302693804422</v>
      </c>
      <c r="C22" s="11">
        <f>IF(C6=0,0,C6/TrAvia_act!C14*1000)</f>
        <v>15606.202360282874</v>
      </c>
      <c r="D22" s="11">
        <f>IF(D6=0,0,D6/TrAvia_act!D14*1000)</f>
        <v>14751.356549191885</v>
      </c>
      <c r="E22" s="11">
        <f>IF(E6=0,0,E6/TrAvia_act!E14*1000)</f>
        <v>15321.449608759152</v>
      </c>
      <c r="F22" s="11">
        <f>IF(F6=0,0,F6/TrAvia_act!F14*1000)</f>
        <v>15698.476616513788</v>
      </c>
      <c r="G22" s="11">
        <f>IF(G6=0,0,G6/TrAvia_act!G14*1000)</f>
        <v>16365.999366931885</v>
      </c>
      <c r="H22" s="11">
        <f>IF(H6=0,0,H6/TrAvia_act!H14*1000)</f>
        <v>16912.821054223336</v>
      </c>
      <c r="I22" s="11">
        <f>IF(I6=0,0,I6/TrAvia_act!I14*1000)</f>
        <v>17277.565403485798</v>
      </c>
      <c r="J22" s="11">
        <f>IF(J6=0,0,J6/TrAvia_act!J14*1000)</f>
        <v>15732.734166309956</v>
      </c>
      <c r="K22" s="11">
        <f>IF(K6=0,0,K6/TrAvia_act!K14*1000)</f>
        <v>15287.702229738503</v>
      </c>
      <c r="L22" s="11">
        <f>IF(L6=0,0,L6/TrAvia_act!L14*1000)</f>
        <v>14826.148836166996</v>
      </c>
      <c r="M22" s="11">
        <f>IF(M6=0,0,M6/TrAvia_act!M14*1000)</f>
        <v>14835.829752956895</v>
      </c>
      <c r="N22" s="11">
        <f>IF(N6=0,0,N6/TrAvia_act!N14*1000)</f>
        <v>15013.868284327757</v>
      </c>
      <c r="O22" s="11">
        <f>IF(O6=0,0,O6/TrAvia_act!O14*1000)</f>
        <v>14618.490637088258</v>
      </c>
      <c r="P22" s="11">
        <f>IF(P6=0,0,P6/TrAvia_act!P14*1000)</f>
        <v>15385.745967519595</v>
      </c>
      <c r="Q22" s="11">
        <f>IF(Q6=0,0,Q6/TrAvia_act!Q14*1000)</f>
        <v>14830.782562578139</v>
      </c>
      <c r="R22" s="11">
        <f>IF(R6=0,0,R6/TrAvia_act!R14*1000)</f>
        <v>15024.511026540427</v>
      </c>
      <c r="S22" s="11">
        <f>IF(S6=0,0,S6/TrAvia_act!S14*1000)</f>
        <v>15498.955286556207</v>
      </c>
      <c r="T22" s="11">
        <f>IF(T6=0,0,T6/TrAvia_act!T14*1000)</f>
        <v>15442.800626144253</v>
      </c>
      <c r="U22" s="11">
        <f>IF(U6=0,0,U6/TrAvia_act!U14*1000)</f>
        <v>15873.041696150583</v>
      </c>
      <c r="V22" s="11">
        <f>IF(V6=0,0,V6/TrAvia_act!V14*1000)</f>
        <v>15165.887390639615</v>
      </c>
      <c r="W22" s="11">
        <f>IF(W6=0,0,W6/TrAvia_act!W14*1000)</f>
        <v>15070.786981702775</v>
      </c>
      <c r="X22" s="11">
        <f>IF(X6=0,0,X6/TrAvia_act!X14*1000)</f>
        <v>13319.7971687965</v>
      </c>
      <c r="Y22" s="11">
        <f>IF(Y6=0,0,Y6/TrAvia_act!Y14*1000)</f>
        <v>13178.609235786756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23520.968296893265</v>
      </c>
      <c r="C23" s="84">
        <f>IF(C7=0,0,C7/TrAvia_act!C15*1000)</f>
        <v>23493.205240515839</v>
      </c>
      <c r="D23" s="84">
        <f>IF(D7=0,0,D7/TrAvia_act!D15*1000)</f>
        <v>18933.249955514118</v>
      </c>
      <c r="E23" s="84">
        <f>IF(E7=0,0,E7/TrAvia_act!E15*1000)</f>
        <v>15506.708575492774</v>
      </c>
      <c r="F23" s="84">
        <f>IF(F7=0,0,F7/TrAvia_act!F15*1000)</f>
        <v>9605.9141868576571</v>
      </c>
      <c r="G23" s="84">
        <f>IF(G7=0,0,G7/TrAvia_act!G15*1000)</f>
        <v>10907.875625644465</v>
      </c>
      <c r="H23" s="84">
        <f>IF(H7=0,0,H7/TrAvia_act!H15*1000)</f>
        <v>11581.989084597255</v>
      </c>
      <c r="I23" s="84">
        <f>IF(I7=0,0,I7/TrAvia_act!I15*1000)</f>
        <v>13274.738516619225</v>
      </c>
      <c r="J23" s="84">
        <f>IF(J7=0,0,J7/TrAvia_act!J15*1000)</f>
        <v>13001.616526473215</v>
      </c>
      <c r="K23" s="84">
        <f>IF(K7=0,0,K7/TrAvia_act!K15*1000)</f>
        <v>13807.099902106229</v>
      </c>
      <c r="L23" s="84">
        <f>IF(L7=0,0,L7/TrAvia_act!L15*1000)</f>
        <v>13366.895288327703</v>
      </c>
      <c r="M23" s="84">
        <f>IF(M7=0,0,M7/TrAvia_act!M15*1000)</f>
        <v>13399.166865829684</v>
      </c>
      <c r="N23" s="84">
        <f>IF(N7=0,0,N7/TrAvia_act!N15*1000)</f>
        <v>16715.886402828175</v>
      </c>
      <c r="O23" s="84">
        <f>IF(O7=0,0,O7/TrAvia_act!O15*1000)</f>
        <v>15551.748900165696</v>
      </c>
      <c r="P23" s="84">
        <f>IF(P7=0,0,P7/TrAvia_act!P15*1000)</f>
        <v>14459.211176244287</v>
      </c>
      <c r="Q23" s="84">
        <f>IF(Q7=0,0,Q7/TrAvia_act!Q15*1000)</f>
        <v>13502.298473560788</v>
      </c>
      <c r="R23" s="84">
        <f>IF(R7=0,0,R7/TrAvia_act!R15*1000)</f>
        <v>13676.587472830544</v>
      </c>
      <c r="S23" s="84">
        <f>IF(S7=0,0,S7/TrAvia_act!S15*1000)</f>
        <v>13457.853327448001</v>
      </c>
      <c r="T23" s="84">
        <f>IF(T7=0,0,T7/TrAvia_act!T15*1000)</f>
        <v>13069.714458318804</v>
      </c>
      <c r="U23" s="84">
        <f>IF(U7=0,0,U7/TrAvia_act!U15*1000)</f>
        <v>13427.845427132886</v>
      </c>
      <c r="V23" s="84">
        <f>IF(V7=0,0,V7/TrAvia_act!V15*1000)</f>
        <v>12640.515309181617</v>
      </c>
      <c r="W23" s="84">
        <f>IF(W7=0,0,W7/TrAvia_act!W15*1000)</f>
        <v>11787.803413679274</v>
      </c>
      <c r="X23" s="84">
        <f>IF(X7=0,0,X7/TrAvia_act!X15*1000)</f>
        <v>12568.237432689337</v>
      </c>
      <c r="Y23" s="84">
        <f>IF(Y7=0,0,Y7/TrAvia_act!Y15*1000)</f>
        <v>13327.695316825346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11949.503613173987</v>
      </c>
      <c r="C24" s="84">
        <f>IF(C8=0,0,C8/TrAvia_act!C16*1000)</f>
        <v>11934.031946166799</v>
      </c>
      <c r="D24" s="84">
        <f>IF(D8=0,0,D8/TrAvia_act!D16*1000)</f>
        <v>11533.831912481259</v>
      </c>
      <c r="E24" s="84">
        <f>IF(E8=0,0,E8/TrAvia_act!E16*1000)</f>
        <v>12174.765579822037</v>
      </c>
      <c r="F24" s="84">
        <f>IF(F8=0,0,F8/TrAvia_act!F16*1000)</f>
        <v>12548.006021300544</v>
      </c>
      <c r="G24" s="84">
        <f>IF(G8=0,0,G8/TrAvia_act!G16*1000)</f>
        <v>13236.827883170023</v>
      </c>
      <c r="H24" s="84">
        <f>IF(H8=0,0,H8/TrAvia_act!H16*1000)</f>
        <v>13779.277596118107</v>
      </c>
      <c r="I24" s="84">
        <f>IF(I8=0,0,I8/TrAvia_act!I16*1000)</f>
        <v>14100.527287263882</v>
      </c>
      <c r="J24" s="84">
        <f>IF(J8=0,0,J8/TrAvia_act!J16*1000)</f>
        <v>12792.424711347227</v>
      </c>
      <c r="K24" s="84">
        <f>IF(K8=0,0,K8/TrAvia_act!K16*1000)</f>
        <v>12090.800496885675</v>
      </c>
      <c r="L24" s="84">
        <f>IF(L8=0,0,L8/TrAvia_act!L16*1000)</f>
        <v>11923.214938282843</v>
      </c>
      <c r="M24" s="84">
        <f>IF(M8=0,0,M8/TrAvia_act!M16*1000)</f>
        <v>12293.071615872064</v>
      </c>
      <c r="N24" s="84">
        <f>IF(N8=0,0,N8/TrAvia_act!N16*1000)</f>
        <v>12407.967702670045</v>
      </c>
      <c r="O24" s="84">
        <f>IF(O8=0,0,O8/TrAvia_act!O16*1000)</f>
        <v>12037.222694046128</v>
      </c>
      <c r="P24" s="84">
        <f>IF(P8=0,0,P8/TrAvia_act!P16*1000)</f>
        <v>13170.800614557529</v>
      </c>
      <c r="Q24" s="84">
        <f>IF(Q8=0,0,Q8/TrAvia_act!Q16*1000)</f>
        <v>12866.091195173916</v>
      </c>
      <c r="R24" s="84">
        <f>IF(R8=0,0,R8/TrAvia_act!R16*1000)</f>
        <v>13223.800502452741</v>
      </c>
      <c r="S24" s="84">
        <f>IF(S8=0,0,S8/TrAvia_act!S16*1000)</f>
        <v>13650.655883123978</v>
      </c>
      <c r="T24" s="84">
        <f>IF(T8=0,0,T8/TrAvia_act!T16*1000)</f>
        <v>13818.365310302197</v>
      </c>
      <c r="U24" s="84">
        <f>IF(U8=0,0,U8/TrAvia_act!U16*1000)</f>
        <v>14287.928751872147</v>
      </c>
      <c r="V24" s="84">
        <f>IF(V8=0,0,V8/TrAvia_act!V16*1000)</f>
        <v>11762.45279755057</v>
      </c>
      <c r="W24" s="84">
        <f>IF(W8=0,0,W8/TrAvia_act!W16*1000)</f>
        <v>12816.763032283196</v>
      </c>
      <c r="X24" s="84">
        <f>IF(X8=0,0,X8/TrAvia_act!X16*1000)</f>
        <v>12344.186818568684</v>
      </c>
      <c r="Y24" s="84">
        <f>IF(Y8=0,0,Y8/TrAvia_act!Y16*1000)</f>
        <v>12267.413907712038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26257.292033840447</v>
      </c>
      <c r="C25" s="84">
        <f>IF(C9=0,0,C9/TrAvia_act!C17*1000)</f>
        <v>26223.295222360975</v>
      </c>
      <c r="D25" s="84">
        <f>IF(D9=0,0,D9/TrAvia_act!D17*1000)</f>
        <v>25342.63742492138</v>
      </c>
      <c r="E25" s="84">
        <f>IF(E9=0,0,E9/TrAvia_act!E17*1000)</f>
        <v>26745.599278857993</v>
      </c>
      <c r="F25" s="84">
        <f>IF(F9=0,0,F9/TrAvia_act!F17*1000)</f>
        <v>27564.45538270185</v>
      </c>
      <c r="G25" s="84">
        <f>IF(G9=0,0,G9/TrAvia_act!G17*1000)</f>
        <v>27030.163204755849</v>
      </c>
      <c r="H25" s="84">
        <f>IF(H9=0,0,H9/TrAvia_act!H17*1000)</f>
        <v>27428.558310964134</v>
      </c>
      <c r="I25" s="84">
        <f>IF(I9=0,0,I9/TrAvia_act!I17*1000)</f>
        <v>27786.746233947346</v>
      </c>
      <c r="J25" s="84">
        <f>IF(J9=0,0,J9/TrAvia_act!J17*1000)</f>
        <v>25209.437140018726</v>
      </c>
      <c r="K25" s="84">
        <f>IF(K9=0,0,K9/TrAvia_act!K17*1000)</f>
        <v>24840.452486607472</v>
      </c>
      <c r="L25" s="84">
        <f>IF(L9=0,0,L9/TrAvia_act!L17*1000)</f>
        <v>22904.925850387088</v>
      </c>
      <c r="M25" s="84">
        <f>IF(M9=0,0,M9/TrAvia_act!M17*1000)</f>
        <v>21307.250137954165</v>
      </c>
      <c r="N25" s="84">
        <f>IF(N9=0,0,N9/TrAvia_act!N17*1000)</f>
        <v>20724.091726331724</v>
      </c>
      <c r="O25" s="84">
        <f>IF(O9=0,0,O9/TrAvia_act!O17*1000)</f>
        <v>20547.062836327368</v>
      </c>
      <c r="P25" s="84">
        <f>IF(P9=0,0,P9/TrAvia_act!P17*1000)</f>
        <v>20246.768035338035</v>
      </c>
      <c r="Q25" s="84">
        <f>IF(Q9=0,0,Q9/TrAvia_act!Q17*1000)</f>
        <v>19123.644317477203</v>
      </c>
      <c r="R25" s="84">
        <f>IF(R9=0,0,R9/TrAvia_act!R17*1000)</f>
        <v>19132.056983861217</v>
      </c>
      <c r="S25" s="84">
        <f>IF(S9=0,0,S9/TrAvia_act!S17*1000)</f>
        <v>19900.491919525346</v>
      </c>
      <c r="T25" s="84">
        <f>IF(T9=0,0,T9/TrAvia_act!T17*1000)</f>
        <v>19089.836103148253</v>
      </c>
      <c r="U25" s="84">
        <f>IF(U9=0,0,U9/TrAvia_act!U17*1000)</f>
        <v>19209.597990996146</v>
      </c>
      <c r="V25" s="84">
        <f>IF(V9=0,0,V9/TrAvia_act!V17*1000)</f>
        <v>22529.365584112096</v>
      </c>
      <c r="W25" s="84">
        <f>IF(W9=0,0,W9/TrAvia_act!W17*1000)</f>
        <v>19862.03071216536</v>
      </c>
      <c r="X25" s="84">
        <f>IF(X9=0,0,X9/TrAvia_act!X17*1000)</f>
        <v>15268.038177117753</v>
      </c>
      <c r="Y25" s="84">
        <f>IF(Y9=0,0,Y9/TrAvia_act!Y17*1000)</f>
        <v>14827.358276454894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13110.107933906253</v>
      </c>
      <c r="C26" s="13">
        <f>IF(C10=0,0,C10/TrAvia_act!C18*1000)</f>
        <v>13137.298746631735</v>
      </c>
      <c r="D26" s="13">
        <f>IF(D10=0,0,D10/TrAvia_act!D18*1000)</f>
        <v>12758.18364117841</v>
      </c>
      <c r="E26" s="13">
        <f>IF(E10=0,0,E10/TrAvia_act!E18*1000)</f>
        <v>13753.958152458814</v>
      </c>
      <c r="F26" s="13">
        <f>IF(F10=0,0,F10/TrAvia_act!F18*1000)</f>
        <v>13955.624162257676</v>
      </c>
      <c r="G26" s="13">
        <f>IF(G10=0,0,G10/TrAvia_act!G18*1000)</f>
        <v>13998.172379150541</v>
      </c>
      <c r="H26" s="13">
        <f>IF(H10=0,0,H10/TrAvia_act!H18*1000)</f>
        <v>14227.234429480197</v>
      </c>
      <c r="I26" s="13">
        <f>IF(I10=0,0,I10/TrAvia_act!I18*1000)</f>
        <v>14674.633297153521</v>
      </c>
      <c r="J26" s="13">
        <f>IF(J10=0,0,J10/TrAvia_act!J18*1000)</f>
        <v>20937.822012466884</v>
      </c>
      <c r="K26" s="13">
        <f>IF(K10=0,0,K10/TrAvia_act!K18*1000)</f>
        <v>20475.457035138937</v>
      </c>
      <c r="L26" s="13">
        <f>IF(L10=0,0,L10/TrAvia_act!L18*1000)</f>
        <v>21685.447019120809</v>
      </c>
      <c r="M26" s="13">
        <f>IF(M10=0,0,M10/TrAvia_act!M18*1000)</f>
        <v>20753.006391673691</v>
      </c>
      <c r="N26" s="13">
        <f>IF(N10=0,0,N10/TrAvia_act!N18*1000)</f>
        <v>20373.154252376244</v>
      </c>
      <c r="O26" s="13">
        <f>IF(O10=0,0,O10/TrAvia_act!O18*1000)</f>
        <v>19935.149938154802</v>
      </c>
      <c r="P26" s="13">
        <f>IF(P10=0,0,P10/TrAvia_act!P18*1000)</f>
        <v>19371.011714392345</v>
      </c>
      <c r="Q26" s="13">
        <f>IF(Q10=0,0,Q10/TrAvia_act!Q18*1000)</f>
        <v>18341.472014729381</v>
      </c>
      <c r="R26" s="13">
        <f>IF(R10=0,0,R10/TrAvia_act!R18*1000)</f>
        <v>17700.273274687741</v>
      </c>
      <c r="S26" s="13">
        <f>IF(S10=0,0,S10/TrAvia_act!S18*1000)</f>
        <v>16223.419252325111</v>
      </c>
      <c r="T26" s="13">
        <f>IF(T10=0,0,T10/TrAvia_act!T18*1000)</f>
        <v>14088.65405863665</v>
      </c>
      <c r="U26" s="13">
        <f>IF(U10=0,0,U10/TrAvia_act!U18*1000)</f>
        <v>14692.50840932189</v>
      </c>
      <c r="V26" s="13">
        <f>IF(V10=0,0,V10/TrAvia_act!V18*1000)</f>
        <v>14759.770133155456</v>
      </c>
      <c r="W26" s="13">
        <f>IF(W10=0,0,W10/TrAvia_act!W18*1000)</f>
        <v>12706.425478838035</v>
      </c>
      <c r="X26" s="13">
        <f>IF(X10=0,0,X10/TrAvia_act!X18*1000)</f>
        <v>12034.242359537584</v>
      </c>
      <c r="Y26" s="13">
        <f>IF(Y10=0,0,Y10/TrAvia_act!Y18*1000)</f>
        <v>12884.011362834077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20101.099685149737</v>
      </c>
      <c r="C27" s="102">
        <f>IF(C11=0,0,C11/TrAvia_act!C19*1000)</f>
        <v>20077.373282530476</v>
      </c>
      <c r="D27" s="102">
        <f>IF(D11=0,0,D11/TrAvia_act!D19*1000)</f>
        <v>16180.419951924954</v>
      </c>
      <c r="E27" s="102">
        <f>IF(E11=0,0,E11/TrAvia_act!E19*1000)</f>
        <v>13252.08600811376</v>
      </c>
      <c r="F27" s="102">
        <f>IF(F11=0,0,F11/TrAvia_act!F19*1000)</f>
        <v>8209.2470088709651</v>
      </c>
      <c r="G27" s="102">
        <f>IF(G11=0,0,G11/TrAvia_act!G19*1000)</f>
        <v>9255.3544899437657</v>
      </c>
      <c r="H27" s="102">
        <f>IF(H11=0,0,H11/TrAvia_act!H19*1000)</f>
        <v>10982.765415989234</v>
      </c>
      <c r="I27" s="102">
        <f>IF(I11=0,0,I11/TrAvia_act!I19*1000)</f>
        <v>14311.033267509563</v>
      </c>
      <c r="J27" s="102">
        <f>IF(J11=0,0,J11/TrAvia_act!J19*1000)</f>
        <v>16216.841076368375</v>
      </c>
      <c r="K27" s="102">
        <f>IF(K11=0,0,K11/TrAvia_act!K19*1000)</f>
        <v>20520.311647994105</v>
      </c>
      <c r="L27" s="102">
        <f>IF(L11=0,0,L11/TrAvia_act!L19*1000)</f>
        <v>25387.155630900183</v>
      </c>
      <c r="M27" s="102">
        <f>IF(M11=0,0,M11/TrAvia_act!M19*1000)</f>
        <v>26909.406582164745</v>
      </c>
      <c r="N27" s="102">
        <f>IF(N11=0,0,N11/TrAvia_act!N19*1000)</f>
        <v>34343.569234435658</v>
      </c>
      <c r="O27" s="102">
        <f>IF(O11=0,0,O11/TrAvia_act!O19*1000)</f>
        <v>29471.927801219299</v>
      </c>
      <c r="P27" s="102">
        <f>IF(P11=0,0,P11/TrAvia_act!P19*1000)</f>
        <v>25458.017060822425</v>
      </c>
      <c r="Q27" s="102">
        <f>IF(Q11=0,0,Q11/TrAvia_act!Q19*1000)</f>
        <v>22104.614246368183</v>
      </c>
      <c r="R27" s="102">
        <f>IF(R11=0,0,R11/TrAvia_act!R19*1000)</f>
        <v>20735.987607700168</v>
      </c>
      <c r="S27" s="102">
        <f>IF(S11=0,0,S11/TrAvia_act!S19*1000)</f>
        <v>19090.275930023432</v>
      </c>
      <c r="T27" s="102">
        <f>IF(T11=0,0,T11/TrAvia_act!T19*1000)</f>
        <v>17498.698137286159</v>
      </c>
      <c r="U27" s="102">
        <f>IF(U11=0,0,U11/TrAvia_act!U19*1000)</f>
        <v>14224.275519393124</v>
      </c>
      <c r="V27" s="102">
        <f>IF(V11=0,0,V11/TrAvia_act!V19*1000)</f>
        <v>12255.211264100139</v>
      </c>
      <c r="W27" s="102">
        <f>IF(W11=0,0,W11/TrAvia_act!W19*1000)</f>
        <v>11766.418280538252</v>
      </c>
      <c r="X27" s="102">
        <f>IF(X11=0,0,X11/TrAvia_act!X19*1000)</f>
        <v>5730.2351178964964</v>
      </c>
      <c r="Y27" s="102">
        <f>IF(Y11=0,0,Y11/TrAvia_act!Y19*1000)</f>
        <v>14100.202899657395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12377.416670137869</v>
      </c>
      <c r="C28" s="102">
        <f>IF(C12=0,0,C12/TrAvia_act!C20*1000)</f>
        <v>12360.679026208803</v>
      </c>
      <c r="D28" s="102">
        <f>IF(D12=0,0,D12/TrAvia_act!D20*1000)</f>
        <v>11949.713498709871</v>
      </c>
      <c r="E28" s="102">
        <f>IF(E12=0,0,E12/TrAvia_act!E20*1000)</f>
        <v>12619.696649009524</v>
      </c>
      <c r="F28" s="102">
        <f>IF(F12=0,0,F12/TrAvia_act!F20*1000)</f>
        <v>12998.984610084226</v>
      </c>
      <c r="G28" s="102">
        <f>IF(G12=0,0,G12/TrAvia_act!G20*1000)</f>
        <v>13528.40124780418</v>
      </c>
      <c r="H28" s="102">
        <f>IF(H12=0,0,H12/TrAvia_act!H20*1000)</f>
        <v>14028.987921642816</v>
      </c>
      <c r="I28" s="102">
        <f>IF(I12=0,0,I12/TrAvia_act!I20*1000)</f>
        <v>14355.803264146007</v>
      </c>
      <c r="J28" s="102">
        <f>IF(J12=0,0,J12/TrAvia_act!J20*1000)</f>
        <v>13399.79278094548</v>
      </c>
      <c r="K28" s="102">
        <f>IF(K12=0,0,K12/TrAvia_act!K20*1000)</f>
        <v>12485.890751924604</v>
      </c>
      <c r="L28" s="102">
        <f>IF(L12=0,0,L12/TrAvia_act!L20*1000)</f>
        <v>12506.924029677792</v>
      </c>
      <c r="M28" s="102">
        <f>IF(M12=0,0,M12/TrAvia_act!M20*1000)</f>
        <v>12826.124776126057</v>
      </c>
      <c r="N28" s="102">
        <f>IF(N12=0,0,N12/TrAvia_act!N20*1000)</f>
        <v>12853.944813629774</v>
      </c>
      <c r="O28" s="102">
        <f>IF(O12=0,0,O12/TrAvia_act!O20*1000)</f>
        <v>12665.310711068791</v>
      </c>
      <c r="P28" s="102">
        <f>IF(P12=0,0,P12/TrAvia_act!P20*1000)</f>
        <v>14236.925339295676</v>
      </c>
      <c r="Q28" s="102">
        <f>IF(Q12=0,0,Q12/TrAvia_act!Q20*1000)</f>
        <v>14298.178805924592</v>
      </c>
      <c r="R28" s="102">
        <f>IF(R12=0,0,R12/TrAvia_act!R20*1000)</f>
        <v>14752.883432905182</v>
      </c>
      <c r="S28" s="102">
        <f>IF(S12=0,0,S12/TrAvia_act!S20*1000)</f>
        <v>15237.499680322484</v>
      </c>
      <c r="T28" s="102">
        <f>IF(T12=0,0,T12/TrAvia_act!T20*1000)</f>
        <v>15570.506272541264</v>
      </c>
      <c r="U28" s="102">
        <f>IF(U12=0,0,U12/TrAvia_act!U20*1000)</f>
        <v>16020.279078868771</v>
      </c>
      <c r="V28" s="102">
        <f>IF(V12=0,0,V12/TrAvia_act!V20*1000)</f>
        <v>12970.147872021638</v>
      </c>
      <c r="W28" s="102">
        <f>IF(W12=0,0,W12/TrAvia_act!W20*1000)</f>
        <v>13525.197200522016</v>
      </c>
      <c r="X28" s="102">
        <f>IF(X12=0,0,X12/TrAvia_act!X20*1000)</f>
        <v>12327.905489525037</v>
      </c>
      <c r="Y28" s="102">
        <f>IF(Y12=0,0,Y12/TrAvia_act!Y20*1000)</f>
        <v>12504.765427686714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24362.107442754681</v>
      </c>
      <c r="C29" s="86">
        <f>IF(C13=0,0,C13/TrAvia_act!C21*1000)</f>
        <v>24330.564434705473</v>
      </c>
      <c r="D29" s="86">
        <f>IF(D13=0,0,D13/TrAvia_act!D21*1000)</f>
        <v>23513.470278389868</v>
      </c>
      <c r="E29" s="86">
        <f>IF(E13=0,0,E13/TrAvia_act!E21*1000)</f>
        <v>24815.169912138848</v>
      </c>
      <c r="F29" s="86">
        <f>IF(F13=0,0,F13/TrAvia_act!F21*1000)</f>
        <v>25574.923063998114</v>
      </c>
      <c r="G29" s="86">
        <f>IF(G13=0,0,G13/TrAvia_act!G21*1000)</f>
        <v>24719.555107978143</v>
      </c>
      <c r="H29" s="86">
        <f>IF(H13=0,0,H13/TrAvia_act!H21*1000)</f>
        <v>24985.985989946395</v>
      </c>
      <c r="I29" s="86">
        <f>IF(I13=0,0,I13/TrAvia_act!I21*1000)</f>
        <v>25828.723754765251</v>
      </c>
      <c r="J29" s="86">
        <f>IF(J13=0,0,J13/TrAvia_act!J21*1000)</f>
        <v>25976.817229602209</v>
      </c>
      <c r="K29" s="86">
        <f>IF(K13=0,0,K13/TrAvia_act!K21*1000)</f>
        <v>25326.951128895562</v>
      </c>
      <c r="L29" s="86">
        <f>IF(L13=0,0,L13/TrAvia_act!L21*1000)</f>
        <v>24894.931390815571</v>
      </c>
      <c r="M29" s="86">
        <f>IF(M13=0,0,M13/TrAvia_act!M21*1000)</f>
        <v>23359.433632351185</v>
      </c>
      <c r="N29" s="86">
        <f>IF(N13=0,0,N13/TrAvia_act!N21*1000)</f>
        <v>22303.959271658463</v>
      </c>
      <c r="O29" s="86">
        <f>IF(O13=0,0,O13/TrAvia_act!O21*1000)</f>
        <v>21702.562232590979</v>
      </c>
      <c r="P29" s="86">
        <f>IF(P13=0,0,P13/TrAvia_act!P21*1000)</f>
        <v>21001.690135671473</v>
      </c>
      <c r="Q29" s="86">
        <f>IF(Q13=0,0,Q13/TrAvia_act!Q21*1000)</f>
        <v>19688.565107683418</v>
      </c>
      <c r="R29" s="86">
        <f>IF(R13=0,0,R13/TrAvia_act!R21*1000)</f>
        <v>18606.420453331557</v>
      </c>
      <c r="S29" s="86">
        <f>IF(S13=0,0,S13/TrAvia_act!S21*1000)</f>
        <v>16543.352723565778</v>
      </c>
      <c r="T29" s="86">
        <f>IF(T13=0,0,T13/TrAvia_act!T21*1000)</f>
        <v>13462.645757062694</v>
      </c>
      <c r="U29" s="86">
        <f>IF(U13=0,0,U13/TrAvia_act!U21*1000)</f>
        <v>14132.203241668116</v>
      </c>
      <c r="V29" s="86">
        <f>IF(V13=0,0,V13/TrAvia_act!V21*1000)</f>
        <v>15942.600187336351</v>
      </c>
      <c r="W29" s="86">
        <f>IF(W13=0,0,W13/TrAvia_act!W21*1000)</f>
        <v>12183.34847099045</v>
      </c>
      <c r="X29" s="86">
        <f>IF(X13=0,0,X13/TrAvia_act!X21*1000)</f>
        <v>11837.009237840433</v>
      </c>
      <c r="Y29" s="86">
        <f>IF(Y13=0,0,Y13/TrAvia_act!Y21*1000)</f>
        <v>13134.270013100091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145.87091946562484</v>
      </c>
      <c r="C32" s="14">
        <f>IF(C6=0,0,C6/TrAvia_act!C4*1000)</f>
        <v>143.30880112229525</v>
      </c>
      <c r="D32" s="14">
        <f>IF(D6=0,0,D6/TrAvia_act!D4*1000)</f>
        <v>123.899225126521</v>
      </c>
      <c r="E32" s="14">
        <f>IF(E6=0,0,E6/TrAvia_act!E4*1000)</f>
        <v>132.03283048423049</v>
      </c>
      <c r="F32" s="14">
        <f>IF(F6=0,0,F6/TrAvia_act!F4*1000)</f>
        <v>135.62943570065579</v>
      </c>
      <c r="G32" s="14">
        <f>IF(G6=0,0,G6/TrAvia_act!G4*1000)</f>
        <v>132.77688124355956</v>
      </c>
      <c r="H32" s="14">
        <f>IF(H6=0,0,H6/TrAvia_act!H4*1000)</f>
        <v>131.98880866608229</v>
      </c>
      <c r="I32" s="14">
        <f>IF(I6=0,0,I6/TrAvia_act!I4*1000)</f>
        <v>136.76557429098057</v>
      </c>
      <c r="J32" s="14">
        <f>IF(J6=0,0,J6/TrAvia_act!J4*1000)</f>
        <v>131.75353794562724</v>
      </c>
      <c r="K32" s="14">
        <f>IF(K6=0,0,K6/TrAvia_act!K4*1000)</f>
        <v>125.12014813500591</v>
      </c>
      <c r="L32" s="14">
        <f>IF(L6=0,0,L6/TrAvia_act!L4*1000)</f>
        <v>117.9447629109233</v>
      </c>
      <c r="M32" s="14">
        <f>IF(M6=0,0,M6/TrAvia_act!M4*1000)</f>
        <v>118.6605175582028</v>
      </c>
      <c r="N32" s="14">
        <f>IF(N6=0,0,N6/TrAvia_act!N4*1000)</f>
        <v>111.86438635807447</v>
      </c>
      <c r="O32" s="14">
        <f>IF(O6=0,0,O6/TrAvia_act!O4*1000)</f>
        <v>106.51166100187191</v>
      </c>
      <c r="P32" s="14">
        <f>IF(P6=0,0,P6/TrAvia_act!P4*1000)</f>
        <v>107.47113929275487</v>
      </c>
      <c r="Q32" s="14">
        <f>IF(Q6=0,0,Q6/TrAvia_act!Q4*1000)</f>
        <v>103.74347001163257</v>
      </c>
      <c r="R32" s="14">
        <f>IF(R6=0,0,R6/TrAvia_act!R4*1000)</f>
        <v>104.01474753855234</v>
      </c>
      <c r="S32" s="14">
        <f>IF(S6=0,0,S6/TrAvia_act!S4*1000)</f>
        <v>103.0222507036401</v>
      </c>
      <c r="T32" s="14">
        <f>IF(T6=0,0,T6/TrAvia_act!T4*1000)</f>
        <v>102.79025566358899</v>
      </c>
      <c r="U32" s="14">
        <f>IF(U6=0,0,U6/TrAvia_act!U4*1000)</f>
        <v>105.4488067876847</v>
      </c>
      <c r="V32" s="14">
        <f>IF(V6=0,0,V6/TrAvia_act!V4*1000)</f>
        <v>136.06022783704464</v>
      </c>
      <c r="W32" s="14">
        <f>IF(W6=0,0,W6/TrAvia_act!W4*1000)</f>
        <v>138.94719743519076</v>
      </c>
      <c r="X32" s="14">
        <f>IF(X6=0,0,X6/TrAvia_act!X4*1000)</f>
        <v>96.909262706438199</v>
      </c>
      <c r="Y32" s="14">
        <f>IF(Y6=0,0,Y6/TrAvia_act!Y4*1000)</f>
        <v>89.384585327799584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479.9782662968625</v>
      </c>
      <c r="C33" s="87">
        <f>IF(C7=0,0,C7/TrAvia_act!C5*1000)</f>
        <v>477.36307697874804</v>
      </c>
      <c r="D33" s="87">
        <f>IF(D7=0,0,D7/TrAvia_act!D5*1000)</f>
        <v>436.55015902518147</v>
      </c>
      <c r="E33" s="87">
        <f>IF(E7=0,0,E7/TrAvia_act!E5*1000)</f>
        <v>391.70231380614104</v>
      </c>
      <c r="F33" s="87">
        <f>IF(F7=0,0,F7/TrAvia_act!F5*1000)</f>
        <v>261.1145917940093</v>
      </c>
      <c r="G33" s="87">
        <f>IF(G7=0,0,G7/TrAvia_act!G5*1000)</f>
        <v>276.60557334913835</v>
      </c>
      <c r="H33" s="87">
        <f>IF(H7=0,0,H7/TrAvia_act!H5*1000)</f>
        <v>270.03896581526101</v>
      </c>
      <c r="I33" s="87">
        <f>IF(I7=0,0,I7/TrAvia_act!I5*1000)</f>
        <v>285.82010802510376</v>
      </c>
      <c r="J33" s="87">
        <f>IF(J7=0,0,J7/TrAvia_act!J5*1000)</f>
        <v>291.41566598362255</v>
      </c>
      <c r="K33" s="87">
        <f>IF(K7=0,0,K7/TrAvia_act!K5*1000)</f>
        <v>287.86690249111803</v>
      </c>
      <c r="L33" s="87">
        <f>IF(L7=0,0,L7/TrAvia_act!L5*1000)</f>
        <v>249.30979090003316</v>
      </c>
      <c r="M33" s="87">
        <f>IF(M7=0,0,M7/TrAvia_act!M5*1000)</f>
        <v>258.42975242634196</v>
      </c>
      <c r="N33" s="87">
        <f>IF(N7=0,0,N7/TrAvia_act!N5*1000)</f>
        <v>284.84249627645704</v>
      </c>
      <c r="O33" s="87">
        <f>IF(O7=0,0,O7/TrAvia_act!O5*1000)</f>
        <v>275.28210882551309</v>
      </c>
      <c r="P33" s="87">
        <f>IF(P7=0,0,P7/TrAvia_act!P5*1000)</f>
        <v>258.96320914277862</v>
      </c>
      <c r="Q33" s="87">
        <f>IF(Q7=0,0,Q7/TrAvia_act!Q5*1000)</f>
        <v>246.26478904948482</v>
      </c>
      <c r="R33" s="87">
        <f>IF(R7=0,0,R7/TrAvia_act!R5*1000)</f>
        <v>240.9662635613702</v>
      </c>
      <c r="S33" s="87">
        <f>IF(S7=0,0,S7/TrAvia_act!S5*1000)</f>
        <v>238.11751039079968</v>
      </c>
      <c r="T33" s="87">
        <f>IF(T7=0,0,T7/TrAvia_act!T5*1000)</f>
        <v>227.78559631038391</v>
      </c>
      <c r="U33" s="87">
        <f>IF(U7=0,0,U7/TrAvia_act!U5*1000)</f>
        <v>242.73286823037751</v>
      </c>
      <c r="V33" s="87">
        <f>IF(V7=0,0,V7/TrAvia_act!V5*1000)</f>
        <v>309.97966607710089</v>
      </c>
      <c r="W33" s="87">
        <f>IF(W7=0,0,W7/TrAvia_act!W5*1000)</f>
        <v>237.55564890126672</v>
      </c>
      <c r="X33" s="87">
        <f>IF(X7=0,0,X7/TrAvia_act!X5*1000)</f>
        <v>219.22733552076113</v>
      </c>
      <c r="Y33" s="87">
        <f>IF(Y7=0,0,Y7/TrAvia_act!Y5*1000)</f>
        <v>221.02076129821873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133.76523949511099</v>
      </c>
      <c r="C34" s="87">
        <f>IF(C8=0,0,C8/TrAvia_act!C6*1000)</f>
        <v>130.92911228175979</v>
      </c>
      <c r="D34" s="87">
        <f>IF(D8=0,0,D8/TrAvia_act!D6*1000)</f>
        <v>118.26925937694445</v>
      </c>
      <c r="E34" s="87">
        <f>IF(E8=0,0,E8/TrAvia_act!E6*1000)</f>
        <v>127.94681714455491</v>
      </c>
      <c r="F34" s="87">
        <f>IF(F8=0,0,F8/TrAvia_act!F6*1000)</f>
        <v>133.67051817977517</v>
      </c>
      <c r="G34" s="87">
        <f>IF(G8=0,0,G8/TrAvia_act!G6*1000)</f>
        <v>133.88821812629817</v>
      </c>
      <c r="H34" s="87">
        <f>IF(H8=0,0,H8/TrAvia_act!H6*1000)</f>
        <v>131.87451303921375</v>
      </c>
      <c r="I34" s="87">
        <f>IF(I8=0,0,I8/TrAvia_act!I6*1000)</f>
        <v>136.65754930213299</v>
      </c>
      <c r="J34" s="87">
        <f>IF(J8=0,0,J8/TrAvia_act!J6*1000)</f>
        <v>133.24747395849283</v>
      </c>
      <c r="K34" s="87">
        <f>IF(K8=0,0,K8/TrAvia_act!K6*1000)</f>
        <v>122.74862097999228</v>
      </c>
      <c r="L34" s="87">
        <f>IF(L8=0,0,L8/TrAvia_act!L6*1000)</f>
        <v>117.50541092161505</v>
      </c>
      <c r="M34" s="87">
        <f>IF(M8=0,0,M8/TrAvia_act!M6*1000)</f>
        <v>115.22575871016164</v>
      </c>
      <c r="N34" s="87">
        <f>IF(N8=0,0,N8/TrAvia_act!N6*1000)</f>
        <v>111.56543364857274</v>
      </c>
      <c r="O34" s="87">
        <f>IF(O8=0,0,O8/TrAvia_act!O6*1000)</f>
        <v>105.84359202400427</v>
      </c>
      <c r="P34" s="87">
        <f>IF(P8=0,0,P8/TrAvia_act!P6*1000)</f>
        <v>110.38628897557409</v>
      </c>
      <c r="Q34" s="87">
        <f>IF(Q8=0,0,Q8/TrAvia_act!Q6*1000)</f>
        <v>107.05423160592338</v>
      </c>
      <c r="R34" s="87">
        <f>IF(R8=0,0,R8/TrAvia_act!R6*1000)</f>
        <v>106.41189702844162</v>
      </c>
      <c r="S34" s="87">
        <f>IF(S8=0,0,S8/TrAvia_act!S6*1000)</f>
        <v>105.88044375642396</v>
      </c>
      <c r="T34" s="87">
        <f>IF(T8=0,0,T8/TrAvia_act!T6*1000)</f>
        <v>107.98409640440568</v>
      </c>
      <c r="U34" s="87">
        <f>IF(U8=0,0,U8/TrAvia_act!U6*1000)</f>
        <v>111.97089647256472</v>
      </c>
      <c r="V34" s="87">
        <f>IF(V8=0,0,V8/TrAvia_act!V6*1000)</f>
        <v>118.77684593576933</v>
      </c>
      <c r="W34" s="87">
        <f>IF(W8=0,0,W8/TrAvia_act!W6*1000)</f>
        <v>109.99099645821116</v>
      </c>
      <c r="X34" s="87">
        <f>IF(X8=0,0,X8/TrAvia_act!X6*1000)</f>
        <v>94.482342915928172</v>
      </c>
      <c r="Y34" s="87">
        <f>IF(Y8=0,0,Y8/TrAvia_act!Y6*1000)</f>
        <v>91.793355382446151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150.47795470741841</v>
      </c>
      <c r="C35" s="87">
        <f>IF(C9=0,0,C9/TrAvia_act!C7*1000)</f>
        <v>148.56793343821707</v>
      </c>
      <c r="D35" s="87">
        <f>IF(D9=0,0,D9/TrAvia_act!D7*1000)</f>
        <v>120.23404402974271</v>
      </c>
      <c r="E35" s="87">
        <f>IF(E9=0,0,E9/TrAvia_act!E7*1000)</f>
        <v>126.73298082260662</v>
      </c>
      <c r="F35" s="87">
        <f>IF(F9=0,0,F9/TrAvia_act!F7*1000)</f>
        <v>132.30476002741193</v>
      </c>
      <c r="G35" s="87">
        <f>IF(G9=0,0,G9/TrAvia_act!G7*1000)</f>
        <v>124.89141067274294</v>
      </c>
      <c r="H35" s="87">
        <f>IF(H9=0,0,H9/TrAvia_act!H7*1000)</f>
        <v>125.45501511770613</v>
      </c>
      <c r="I35" s="87">
        <f>IF(I9=0,0,I9/TrAvia_act!I7*1000)</f>
        <v>128.76758123145038</v>
      </c>
      <c r="J35" s="87">
        <f>IF(J9=0,0,J9/TrAvia_act!J7*1000)</f>
        <v>120.69367070346624</v>
      </c>
      <c r="K35" s="87">
        <f>IF(K9=0,0,K9/TrAvia_act!K7*1000)</f>
        <v>118.49527219745531</v>
      </c>
      <c r="L35" s="87">
        <f>IF(L9=0,0,L9/TrAvia_act!L7*1000)</f>
        <v>109.98964728815282</v>
      </c>
      <c r="M35" s="87">
        <f>IF(M9=0,0,M9/TrAvia_act!M7*1000)</f>
        <v>114.9274476973639</v>
      </c>
      <c r="N35" s="87">
        <f>IF(N9=0,0,N9/TrAvia_act!N7*1000)</f>
        <v>104.88799817910706</v>
      </c>
      <c r="O35" s="87">
        <f>IF(O9=0,0,O9/TrAvia_act!O7*1000)</f>
        <v>100.4297600865644</v>
      </c>
      <c r="P35" s="87">
        <f>IF(P9=0,0,P9/TrAvia_act!P7*1000)</f>
        <v>98.005894225191639</v>
      </c>
      <c r="Q35" s="87">
        <f>IF(Q9=0,0,Q9/TrAvia_act!Q7*1000)</f>
        <v>94.325680082293289</v>
      </c>
      <c r="R35" s="87">
        <f>IF(R9=0,0,R9/TrAvia_act!R7*1000)</f>
        <v>95.526864423738843</v>
      </c>
      <c r="S35" s="87">
        <f>IF(S9=0,0,S9/TrAvia_act!S7*1000)</f>
        <v>94.289695258127139</v>
      </c>
      <c r="T35" s="87">
        <f>IF(T9=0,0,T9/TrAvia_act!T7*1000)</f>
        <v>92.11368443290425</v>
      </c>
      <c r="U35" s="87">
        <f>IF(U9=0,0,U9/TrAvia_act!U7*1000)</f>
        <v>93.55588537340121</v>
      </c>
      <c r="V35" s="87">
        <f>IF(V9=0,0,V9/TrAvia_act!V7*1000)</f>
        <v>149.23232518995843</v>
      </c>
      <c r="W35" s="87">
        <f>IF(W9=0,0,W9/TrAvia_act!W7*1000)</f>
        <v>191.91314757299426</v>
      </c>
      <c r="X35" s="87">
        <f>IF(X9=0,0,X9/TrAvia_act!X7*1000)</f>
        <v>95.944880460763443</v>
      </c>
      <c r="Y35" s="87">
        <f>IF(Y9=0,0,Y9/TrAvia_act!Y7*1000)</f>
        <v>82.355005778662218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469.3435569244981</v>
      </c>
      <c r="C36" s="15">
        <f>IF(C10=0,0,C10/TrAvia_act!C8*1000)</f>
        <v>443.46214899751129</v>
      </c>
      <c r="D36" s="15">
        <f>IF(D10=0,0,D10/TrAvia_act!D8*1000)</f>
        <v>446.95233014968659</v>
      </c>
      <c r="E36" s="15">
        <f>IF(E10=0,0,E10/TrAvia_act!E8*1000)</f>
        <v>459.15513591123079</v>
      </c>
      <c r="F36" s="15">
        <f>IF(F10=0,0,F10/TrAvia_act!F8*1000)</f>
        <v>513.0351591427609</v>
      </c>
      <c r="G36" s="15">
        <f>IF(G10=0,0,G10/TrAvia_act!G8*1000)</f>
        <v>558.88357627312189</v>
      </c>
      <c r="H36" s="15">
        <f>IF(H10=0,0,H10/TrAvia_act!H8*1000)</f>
        <v>682.9497765955814</v>
      </c>
      <c r="I36" s="15">
        <f>IF(I10=0,0,I10/TrAvia_act!I8*1000)</f>
        <v>714.66744025307776</v>
      </c>
      <c r="J36" s="15">
        <f>IF(J10=0,0,J10/TrAvia_act!J8*1000)</f>
        <v>458.8243598636779</v>
      </c>
      <c r="K36" s="15">
        <f>IF(K10=0,0,K10/TrAvia_act!K8*1000)</f>
        <v>394.77591201650813</v>
      </c>
      <c r="L36" s="15">
        <f>IF(L10=0,0,L10/TrAvia_act!L8*1000)</f>
        <v>364.6276972362561</v>
      </c>
      <c r="M36" s="15">
        <f>IF(M10=0,0,M10/TrAvia_act!M8*1000)</f>
        <v>344.50935446463723</v>
      </c>
      <c r="N36" s="15">
        <f>IF(N10=0,0,N10/TrAvia_act!N8*1000)</f>
        <v>294.95529532477326</v>
      </c>
      <c r="O36" s="15">
        <f>IF(O10=0,0,O10/TrAvia_act!O8*1000)</f>
        <v>289.03435756030683</v>
      </c>
      <c r="P36" s="15">
        <f>IF(P10=0,0,P10/TrAvia_act!P8*1000)</f>
        <v>259.73386767206597</v>
      </c>
      <c r="Q36" s="15">
        <f>IF(Q10=0,0,Q10/TrAvia_act!Q8*1000)</f>
        <v>252.96903314645931</v>
      </c>
      <c r="R36" s="15">
        <f>IF(R10=0,0,R10/TrAvia_act!R8*1000)</f>
        <v>226.08329904478944</v>
      </c>
      <c r="S36" s="15">
        <f>IF(S10=0,0,S10/TrAvia_act!S8*1000)</f>
        <v>211.35665246487446</v>
      </c>
      <c r="T36" s="15">
        <f>IF(T10=0,0,T10/TrAvia_act!T8*1000)</f>
        <v>188.95915547134808</v>
      </c>
      <c r="U36" s="15">
        <f>IF(U10=0,0,U10/TrAvia_act!U8*1000)</f>
        <v>190.41453113886374</v>
      </c>
      <c r="V36" s="15">
        <f>IF(V10=0,0,V10/TrAvia_act!V8*1000)</f>
        <v>297.97663346700466</v>
      </c>
      <c r="W36" s="15">
        <f>IF(W10=0,0,W10/TrAvia_act!W8*1000)</f>
        <v>283.08730876460072</v>
      </c>
      <c r="X36" s="15">
        <f>IF(X10=0,0,X10/TrAvia_act!X8*1000)</f>
        <v>248.06216447181799</v>
      </c>
      <c r="Y36" s="15">
        <f>IF(Y10=0,0,Y10/TrAvia_act!Y8*1000)</f>
        <v>232.93489326907539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1916.3362126013219</v>
      </c>
      <c r="C37" s="101">
        <f>IF(C11=0,0,C11/TrAvia_act!C9*1000)</f>
        <v>1928.7836573825257</v>
      </c>
      <c r="D37" s="101">
        <f>IF(D11=0,0,D11/TrAvia_act!D9*1000)</f>
        <v>1511.5925537323644</v>
      </c>
      <c r="E37" s="101">
        <f>IF(E11=0,0,E11/TrAvia_act!E9*1000)</f>
        <v>1163.8925624237766</v>
      </c>
      <c r="F37" s="101">
        <f>IF(F11=0,0,F11/TrAvia_act!F9*1000)</f>
        <v>765.66882635425952</v>
      </c>
      <c r="G37" s="101">
        <f>IF(G11=0,0,G11/TrAvia_act!G9*1000)</f>
        <v>882.0852543626138</v>
      </c>
      <c r="H37" s="101">
        <f>IF(H11=0,0,H11/TrAvia_act!H9*1000)</f>
        <v>1088.1860311951143</v>
      </c>
      <c r="I37" s="101">
        <f>IF(I11=0,0,I11/TrAvia_act!I9*1000)</f>
        <v>1423.2393870963892</v>
      </c>
      <c r="J37" s="101">
        <f>IF(J11=0,0,J11/TrAvia_act!J9*1000)</f>
        <v>1676.3177000028827</v>
      </c>
      <c r="K37" s="101">
        <f>IF(K11=0,0,K11/TrAvia_act!K9*1000)</f>
        <v>2102.9986148568219</v>
      </c>
      <c r="L37" s="101">
        <f>IF(L11=0,0,L11/TrAvia_act!L9*1000)</f>
        <v>2432.5598476230598</v>
      </c>
      <c r="M37" s="101">
        <f>IF(M11=0,0,M11/TrAvia_act!M9*1000)</f>
        <v>2376.5419411104431</v>
      </c>
      <c r="N37" s="101">
        <f>IF(N11=0,0,N11/TrAvia_act!N9*1000)</f>
        <v>2923.1630968806762</v>
      </c>
      <c r="O37" s="101">
        <f>IF(O11=0,0,O11/TrAvia_act!O9*1000)</f>
        <v>2406.9444473252506</v>
      </c>
      <c r="P37" s="101">
        <f>IF(P11=0,0,P11/TrAvia_act!P9*1000)</f>
        <v>1856.0461455754187</v>
      </c>
      <c r="Q37" s="101">
        <f>IF(Q11=0,0,Q11/TrAvia_act!Q9*1000)</f>
        <v>1562.8193841570492</v>
      </c>
      <c r="R37" s="101">
        <f>IF(R11=0,0,R11/TrAvia_act!R9*1000)</f>
        <v>1268.8665118437586</v>
      </c>
      <c r="S37" s="101">
        <f>IF(S11=0,0,S11/TrAvia_act!S9*1000)</f>
        <v>1275.6242099679916</v>
      </c>
      <c r="T37" s="101">
        <f>IF(T11=0,0,T11/TrAvia_act!T9*1000)</f>
        <v>1160.9548158834737</v>
      </c>
      <c r="U37" s="101">
        <f>IF(U11=0,0,U11/TrAvia_act!U9*1000)</f>
        <v>862.91208476756481</v>
      </c>
      <c r="V37" s="101">
        <f>IF(V11=0,0,V11/TrAvia_act!V9*1000)</f>
        <v>809.64651624907719</v>
      </c>
      <c r="W37" s="101">
        <f>IF(W11=0,0,W11/TrAvia_act!W9*1000)</f>
        <v>776.38752353493453</v>
      </c>
      <c r="X37" s="101">
        <f>IF(X11=0,0,X11/TrAvia_act!X9*1000)</f>
        <v>371.19630876330126</v>
      </c>
      <c r="Y37" s="101">
        <f>IF(Y11=0,0,Y11/TrAvia_act!Y9*1000)</f>
        <v>913.91309888936553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486.24767012999985</v>
      </c>
      <c r="C38" s="101">
        <f>IF(C12=0,0,C12/TrAvia_act!C10*1000)</f>
        <v>460.45788950086029</v>
      </c>
      <c r="D38" s="101">
        <f>IF(D12=0,0,D12/TrAvia_act!D10*1000)</f>
        <v>473.57399546467252</v>
      </c>
      <c r="E38" s="101">
        <f>IF(E12=0,0,E12/TrAvia_act!E10*1000)</f>
        <v>491.74298141849351</v>
      </c>
      <c r="F38" s="101">
        <f>IF(F12=0,0,F12/TrAvia_act!F10*1000)</f>
        <v>557.98836093552336</v>
      </c>
      <c r="G38" s="101">
        <f>IF(G12=0,0,G12/TrAvia_act!G10*1000)</f>
        <v>587.23650101203577</v>
      </c>
      <c r="H38" s="101">
        <f>IF(H12=0,0,H12/TrAvia_act!H10*1000)</f>
        <v>703.55828303896499</v>
      </c>
      <c r="I38" s="101">
        <f>IF(I12=0,0,I12/TrAvia_act!I10*1000)</f>
        <v>740.37679584882278</v>
      </c>
      <c r="J38" s="101">
        <f>IF(J12=0,0,J12/TrAvia_act!J10*1000)</f>
        <v>727.7339003724536</v>
      </c>
      <c r="K38" s="101">
        <f>IF(K12=0,0,K12/TrAvia_act!K10*1000)</f>
        <v>657.82511291759056</v>
      </c>
      <c r="L38" s="101">
        <f>IF(L12=0,0,L12/TrAvia_act!L10*1000)</f>
        <v>619.13500405578748</v>
      </c>
      <c r="M38" s="101">
        <f>IF(M12=0,0,M12/TrAvia_act!M10*1000)</f>
        <v>598.0750366390688</v>
      </c>
      <c r="N38" s="101">
        <f>IF(N12=0,0,N12/TrAvia_act!N10*1000)</f>
        <v>547.24007335578494</v>
      </c>
      <c r="O38" s="101">
        <f>IF(O12=0,0,O12/TrAvia_act!O10*1000)</f>
        <v>532.50109317821466</v>
      </c>
      <c r="P38" s="101">
        <f>IF(P12=0,0,P12/TrAvia_act!P10*1000)</f>
        <v>542.27214256463685</v>
      </c>
      <c r="Q38" s="101">
        <f>IF(Q12=0,0,Q12/TrAvia_act!Q10*1000)</f>
        <v>551.9292010313053</v>
      </c>
      <c r="R38" s="101">
        <f>IF(R12=0,0,R12/TrAvia_act!R10*1000)</f>
        <v>516.80113965542046</v>
      </c>
      <c r="S38" s="101">
        <f>IF(S12=0,0,S12/TrAvia_act!S10*1000)</f>
        <v>577.71774456935975</v>
      </c>
      <c r="T38" s="101">
        <f>IF(T12=0,0,T12/TrAvia_act!T10*1000)</f>
        <v>583.80536997555771</v>
      </c>
      <c r="U38" s="101">
        <f>IF(U12=0,0,U12/TrAvia_act!U10*1000)</f>
        <v>586.56788938810314</v>
      </c>
      <c r="V38" s="101">
        <f>IF(V12=0,0,V12/TrAvia_act!V10*1000)</f>
        <v>534.06768639319023</v>
      </c>
      <c r="W38" s="101">
        <f>IF(W12=0,0,W12/TrAvia_act!W10*1000)</f>
        <v>576.33398058277453</v>
      </c>
      <c r="X38" s="101">
        <f>IF(X12=0,0,X12/TrAvia_act!X10*1000)</f>
        <v>538.67478728190338</v>
      </c>
      <c r="Y38" s="101">
        <f>IF(Y12=0,0,Y12/TrAvia_act!Y10*1000)</f>
        <v>550.53092806726613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291.04188168941863</v>
      </c>
      <c r="C39" s="88">
        <f>IF(C13=0,0,C13/TrAvia_act!C11*1000)</f>
        <v>277.37317197268487</v>
      </c>
      <c r="D39" s="88">
        <f>IF(D13=0,0,D13/TrAvia_act!D11*1000)</f>
        <v>283.90612877399195</v>
      </c>
      <c r="E39" s="88">
        <f>IF(E13=0,0,E13/TrAvia_act!E11*1000)</f>
        <v>329.75366025750998</v>
      </c>
      <c r="F39" s="88">
        <f>IF(F13=0,0,F13/TrAvia_act!F11*1000)</f>
        <v>350.15183547957355</v>
      </c>
      <c r="G39" s="88">
        <f>IF(G13=0,0,G13/TrAvia_act!G11*1000)</f>
        <v>359.88110986693516</v>
      </c>
      <c r="H39" s="88">
        <f>IF(H13=0,0,H13/TrAvia_act!H11*1000)</f>
        <v>376.28705176235326</v>
      </c>
      <c r="I39" s="88">
        <f>IF(I13=0,0,I13/TrAvia_act!I11*1000)</f>
        <v>395.57765441361875</v>
      </c>
      <c r="J39" s="88">
        <f>IF(J13=0,0,J13/TrAvia_act!J11*1000)</f>
        <v>406.02642197703557</v>
      </c>
      <c r="K39" s="88">
        <f>IF(K13=0,0,K13/TrAvia_act!K11*1000)</f>
        <v>351.00931647441212</v>
      </c>
      <c r="L39" s="88">
        <f>IF(L13=0,0,L13/TrAvia_act!L11*1000)</f>
        <v>339.39279090342404</v>
      </c>
      <c r="M39" s="88">
        <f>IF(M13=0,0,M13/TrAvia_act!M11*1000)</f>
        <v>319.60498067665736</v>
      </c>
      <c r="N39" s="88">
        <f>IF(N13=0,0,N13/TrAvia_act!N11*1000)</f>
        <v>275.72539334720517</v>
      </c>
      <c r="O39" s="88">
        <f>IF(O13=0,0,O13/TrAvia_act!O11*1000)</f>
        <v>270.99411587034632</v>
      </c>
      <c r="P39" s="88">
        <f>IF(P13=0,0,P13/TrAvia_act!P11*1000)</f>
        <v>233.21595898282845</v>
      </c>
      <c r="Q39" s="88">
        <f>IF(Q13=0,0,Q13/TrAvia_act!Q11*1000)</f>
        <v>223.38471344861952</v>
      </c>
      <c r="R39" s="88">
        <f>IF(R13=0,0,R13/TrAvia_act!R11*1000)</f>
        <v>198.74422075645538</v>
      </c>
      <c r="S39" s="88">
        <f>IF(S13=0,0,S13/TrAvia_act!S11*1000)</f>
        <v>177.48072468389154</v>
      </c>
      <c r="T39" s="88">
        <f>IF(T13=0,0,T13/TrAvia_act!T11*1000)</f>
        <v>142.09418989799809</v>
      </c>
      <c r="U39" s="88">
        <f>IF(U13=0,0,U13/TrAvia_act!U11*1000)</f>
        <v>143.82349593630735</v>
      </c>
      <c r="V39" s="88">
        <f>IF(V13=0,0,V13/TrAvia_act!V11*1000)</f>
        <v>240.75538754556987</v>
      </c>
      <c r="W39" s="88">
        <f>IF(W13=0,0,W13/TrAvia_act!W11*1000)</f>
        <v>207.63862046143029</v>
      </c>
      <c r="X39" s="88">
        <f>IF(X13=0,0,X13/TrAvia_act!X11*1000)</f>
        <v>169.19629602095605</v>
      </c>
      <c r="Y39" s="88">
        <f>IF(Y13=0,0,Y13/TrAvia_act!Y11*1000)</f>
        <v>170.10420671878865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16025.701468063844</v>
      </c>
      <c r="C41" s="54">
        <f>IF(C3=0,0,C3/TrAvia_act!C23*1000000)</f>
        <v>15993.659412375218</v>
      </c>
      <c r="D41" s="54">
        <f>IF(D3=0,0,D3/TrAvia_act!D23*1000000)</f>
        <v>14622.306809324569</v>
      </c>
      <c r="E41" s="54">
        <f>IF(E3=0,0,E3/TrAvia_act!E23*1000000)</f>
        <v>14747.105104993849</v>
      </c>
      <c r="F41" s="54">
        <f>IF(F3=0,0,F3/TrAvia_act!F23*1000000)</f>
        <v>14798.912004507745</v>
      </c>
      <c r="G41" s="54">
        <f>IF(G3=0,0,G3/TrAvia_act!G23*1000000)</f>
        <v>15766.68597975277</v>
      </c>
      <c r="H41" s="54">
        <f>IF(H3=0,0,H3/TrAvia_act!H23*1000000)</f>
        <v>16368.280654266327</v>
      </c>
      <c r="I41" s="54">
        <f>IF(I3=0,0,I3/TrAvia_act!I23*1000000)</f>
        <v>16777.936869835947</v>
      </c>
      <c r="J41" s="54">
        <f>IF(J3=0,0,J3/TrAvia_act!J23*1000000)</f>
        <v>15724.336295947536</v>
      </c>
      <c r="K41" s="54">
        <f>IF(K3=0,0,K3/TrAvia_act!K23*1000000)</f>
        <v>15607.994019911706</v>
      </c>
      <c r="L41" s="54">
        <f>IF(L3=0,0,L3/TrAvia_act!L23*1000000)</f>
        <v>15473.540261456796</v>
      </c>
      <c r="M41" s="54">
        <f>IF(M3=0,0,M3/TrAvia_act!M23*1000000)</f>
        <v>15325.720368708702</v>
      </c>
      <c r="N41" s="54">
        <f>IF(N3=0,0,N3/TrAvia_act!N23*1000000)</f>
        <v>16529.14550451699</v>
      </c>
      <c r="O41" s="54">
        <f>IF(O3=0,0,O3/TrAvia_act!O23*1000000)</f>
        <v>16073.345741522426</v>
      </c>
      <c r="P41" s="54">
        <f>IF(P3=0,0,P3/TrAvia_act!P23*1000000)</f>
        <v>17032.012367839208</v>
      </c>
      <c r="Q41" s="54">
        <f>IF(Q3=0,0,Q3/TrAvia_act!Q23*1000000)</f>
        <v>16426.47512903226</v>
      </c>
      <c r="R41" s="54">
        <f>IF(R3=0,0,R3/TrAvia_act!R23*1000000)</f>
        <v>17083.840150208882</v>
      </c>
      <c r="S41" s="54">
        <f>IF(S3=0,0,S3/TrAvia_act!S23*1000000)</f>
        <v>18034.129456297884</v>
      </c>
      <c r="T41" s="54">
        <f>IF(T3=0,0,T3/TrAvia_act!T23*1000000)</f>
        <v>18422.737140469111</v>
      </c>
      <c r="U41" s="54">
        <f>IF(U3=0,0,U3/TrAvia_act!U23*1000000)</f>
        <v>18981.272532265706</v>
      </c>
      <c r="V41" s="54">
        <f>IF(V3=0,0,V3/TrAvia_act!V23*1000000)</f>
        <v>15698.393258487275</v>
      </c>
      <c r="W41" s="54">
        <f>IF(W3=0,0,W3/TrAvia_act!W23*1000000)</f>
        <v>17748.597356513459</v>
      </c>
      <c r="X41" s="54">
        <f>IF(X3=0,0,X3/TrAvia_act!X23*1000000)</f>
        <v>16927.592014175141</v>
      </c>
      <c r="Y41" s="54">
        <f>IF(Y3=0,0,Y3/TrAvia_act!Y23*1000000)</f>
        <v>17484.215855686569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16120.070059959111</v>
      </c>
      <c r="C42" s="11">
        <f>IF(C6=0,0,C6/TrAvia_act!C24*1000000)</f>
        <v>16088.668457565378</v>
      </c>
      <c r="D42" s="11">
        <f>IF(D6=0,0,D6/TrAvia_act!D24*1000000)</f>
        <v>14698.208289367996</v>
      </c>
      <c r="E42" s="11">
        <f>IF(E6=0,0,E6/TrAvia_act!E24*1000000)</f>
        <v>14790.567856851394</v>
      </c>
      <c r="F42" s="11">
        <f>IF(F6=0,0,F6/TrAvia_act!F24*1000000)</f>
        <v>14841.073382094519</v>
      </c>
      <c r="G42" s="11">
        <f>IF(G6=0,0,G6/TrAvia_act!G24*1000000)</f>
        <v>15829.908498673662</v>
      </c>
      <c r="H42" s="11">
        <f>IF(H6=0,0,H6/TrAvia_act!H24*1000000)</f>
        <v>16453.122456606456</v>
      </c>
      <c r="I42" s="11">
        <f>IF(I6=0,0,I6/TrAvia_act!I24*1000000)</f>
        <v>16855.816200029414</v>
      </c>
      <c r="J42" s="11">
        <f>IF(J6=0,0,J6/TrAvia_act!J24*1000000)</f>
        <v>15109.820314948951</v>
      </c>
      <c r="K42" s="11">
        <f>IF(K6=0,0,K6/TrAvia_act!K24*1000000)</f>
        <v>15092.150445615351</v>
      </c>
      <c r="L42" s="11">
        <f>IF(L6=0,0,L6/TrAvia_act!L24*1000000)</f>
        <v>14832.353558513292</v>
      </c>
      <c r="M42" s="11">
        <f>IF(M6=0,0,M6/TrAvia_act!M24*1000000)</f>
        <v>14748.702731297157</v>
      </c>
      <c r="N42" s="11">
        <f>IF(N6=0,0,N6/TrAvia_act!N24*1000000)</f>
        <v>15879.711850690144</v>
      </c>
      <c r="O42" s="11">
        <f>IF(O6=0,0,O6/TrAvia_act!O24*1000000)</f>
        <v>15538.239167754658</v>
      </c>
      <c r="P42" s="11">
        <f>IF(P6=0,0,P6/TrAvia_act!P24*1000000)</f>
        <v>16509.599239864368</v>
      </c>
      <c r="Q42" s="11">
        <f>IF(Q6=0,0,Q6/TrAvia_act!Q24*1000000)</f>
        <v>16005.848815651101</v>
      </c>
      <c r="R42" s="11">
        <f>IF(R6=0,0,R6/TrAvia_act!R24*1000000)</f>
        <v>16775.178493658572</v>
      </c>
      <c r="S42" s="11">
        <f>IF(S6=0,0,S6/TrAvia_act!S24*1000000)</f>
        <v>17786.138252402281</v>
      </c>
      <c r="T42" s="11">
        <f>IF(T6=0,0,T6/TrAvia_act!T24*1000000)</f>
        <v>18385.595625976763</v>
      </c>
      <c r="U42" s="11">
        <f>IF(U6=0,0,U6/TrAvia_act!U24*1000000)</f>
        <v>18905.938411338368</v>
      </c>
      <c r="V42" s="11">
        <f>IF(V6=0,0,V6/TrAvia_act!V24*1000000)</f>
        <v>15511.994067595546</v>
      </c>
      <c r="W42" s="11">
        <f>IF(W6=0,0,W6/TrAvia_act!W24*1000000)</f>
        <v>17928.200057557478</v>
      </c>
      <c r="X42" s="11">
        <f>IF(X6=0,0,X6/TrAvia_act!X24*1000000)</f>
        <v>16941.049746293036</v>
      </c>
      <c r="Y42" s="11">
        <f>IF(Y6=0,0,Y6/TrAvia_act!Y24*1000000)</f>
        <v>17358.213716668761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5466.0246081899404</v>
      </c>
      <c r="C43" s="84">
        <f>IF(C7=0,0,C7/TrAvia_act!C25*1000000)</f>
        <v>5459.5727671159639</v>
      </c>
      <c r="D43" s="84">
        <f>IF(D7=0,0,D7/TrAvia_act!D25*1000000)</f>
        <v>4399.8873202648092</v>
      </c>
      <c r="E43" s="84">
        <f>IF(E7=0,0,E7/TrAvia_act!E25*1000000)</f>
        <v>3603.5952940283023</v>
      </c>
      <c r="F43" s="84">
        <f>IF(F7=0,0,F7/TrAvia_act!F25*1000000)</f>
        <v>2232.3130011811636</v>
      </c>
      <c r="G43" s="84">
        <f>IF(G7=0,0,G7/TrAvia_act!G25*1000000)</f>
        <v>2433.3632417062086</v>
      </c>
      <c r="H43" s="84">
        <f>IF(H7=0,0,H7/TrAvia_act!H25*1000000)</f>
        <v>2602.2323472289954</v>
      </c>
      <c r="I43" s="84">
        <f>IF(I7=0,0,I7/TrAvia_act!I25*1000000)</f>
        <v>3034.0215023010683</v>
      </c>
      <c r="J43" s="84">
        <f>IF(J7=0,0,J7/TrAvia_act!J25*1000000)</f>
        <v>3048.9419211669933</v>
      </c>
      <c r="K43" s="84">
        <f>IF(K7=0,0,K7/TrAvia_act!K25*1000000)</f>
        <v>3281.2111025789181</v>
      </c>
      <c r="L43" s="84">
        <f>IF(L7=0,0,L7/TrAvia_act!L25*1000000)</f>
        <v>3129.3223870608067</v>
      </c>
      <c r="M43" s="84">
        <f>IF(M7=0,0,M7/TrAvia_act!M25*1000000)</f>
        <v>2965.7588725808805</v>
      </c>
      <c r="N43" s="84">
        <f>IF(N7=0,0,N7/TrAvia_act!N25*1000000)</f>
        <v>3609.1925665840577</v>
      </c>
      <c r="O43" s="84">
        <f>IF(O7=0,0,O7/TrAvia_act!O25*1000000)</f>
        <v>3346.0043959128188</v>
      </c>
      <c r="P43" s="84">
        <f>IF(P7=0,0,P7/TrAvia_act!P25*1000000)</f>
        <v>3097.2465845971028</v>
      </c>
      <c r="Q43" s="84">
        <f>IF(Q7=0,0,Q7/TrAvia_act!Q25*1000000)</f>
        <v>2897.1985087696125</v>
      </c>
      <c r="R43" s="84">
        <f>IF(R7=0,0,R7/TrAvia_act!R25*1000000)</f>
        <v>2989.0680624781444</v>
      </c>
      <c r="S43" s="84">
        <f>IF(S7=0,0,S7/TrAvia_act!S25*1000000)</f>
        <v>2987.8838294984789</v>
      </c>
      <c r="T43" s="84">
        <f>IF(T7=0,0,T7/TrAvia_act!T25*1000000)</f>
        <v>2933.4898480240281</v>
      </c>
      <c r="U43" s="84">
        <f>IF(U7=0,0,U7/TrAvia_act!U25*1000000)</f>
        <v>3007.4605036987491</v>
      </c>
      <c r="V43" s="84">
        <f>IF(V7=0,0,V7/TrAvia_act!V25*1000000)</f>
        <v>2806.1867598390318</v>
      </c>
      <c r="W43" s="84">
        <f>IF(W7=0,0,W7/TrAvia_act!W25*1000000)</f>
        <v>2707.3288491615681</v>
      </c>
      <c r="X43" s="84">
        <f>IF(X7=0,0,X7/TrAvia_act!X25*1000000)</f>
        <v>2889.9401700678186</v>
      </c>
      <c r="Y43" s="84">
        <f>IF(Y7=0,0,Y7/TrAvia_act!Y25*1000000)</f>
        <v>3109.3744898760256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11633.705696800838</v>
      </c>
      <c r="C44" s="84">
        <f>IF(C8=0,0,C8/TrAvia_act!C26*1000000)</f>
        <v>11618.634611136105</v>
      </c>
      <c r="D44" s="84">
        <f>IF(D8=0,0,D8/TrAvia_act!D26*1000000)</f>
        <v>11143.356344194573</v>
      </c>
      <c r="E44" s="84">
        <f>IF(E8=0,0,E8/TrAvia_act!E26*1000000)</f>
        <v>11750.932974723837</v>
      </c>
      <c r="F44" s="84">
        <f>IF(F8=0,0,F8/TrAvia_act!F26*1000000)</f>
        <v>12131.913075257453</v>
      </c>
      <c r="G44" s="84">
        <f>IF(G8=0,0,G8/TrAvia_act!G26*1000000)</f>
        <v>12935.789831381177</v>
      </c>
      <c r="H44" s="84">
        <f>IF(H8=0,0,H8/TrAvia_act!H26*1000000)</f>
        <v>13565.78069628417</v>
      </c>
      <c r="I44" s="84">
        <f>IF(I8=0,0,I8/TrAvia_act!I26*1000000)</f>
        <v>13989.865898175593</v>
      </c>
      <c r="J44" s="84">
        <f>IF(J8=0,0,J8/TrAvia_act!J26*1000000)</f>
        <v>12479.878909090141</v>
      </c>
      <c r="K44" s="84">
        <f>IF(K8=0,0,K8/TrAvia_act!K26*1000000)</f>
        <v>12198.842884471349</v>
      </c>
      <c r="L44" s="84">
        <f>IF(L8=0,0,L8/TrAvia_act!L26*1000000)</f>
        <v>12231.904449496637</v>
      </c>
      <c r="M44" s="84">
        <f>IF(M8=0,0,M8/TrAvia_act!M26*1000000)</f>
        <v>12257.733574408863</v>
      </c>
      <c r="N44" s="84">
        <f>IF(N8=0,0,N8/TrAvia_act!N26*1000000)</f>
        <v>12178.441720465205</v>
      </c>
      <c r="O44" s="84">
        <f>IF(O8=0,0,O8/TrAvia_act!O26*1000000)</f>
        <v>12017.446951838534</v>
      </c>
      <c r="P44" s="84">
        <f>IF(P8=0,0,P8/TrAvia_act!P26*1000000)</f>
        <v>13083.925815931905</v>
      </c>
      <c r="Q44" s="84">
        <f>IF(Q8=0,0,Q8/TrAvia_act!Q26*1000000)</f>
        <v>12704.089952083696</v>
      </c>
      <c r="R44" s="84">
        <f>IF(R8=0,0,R8/TrAvia_act!R26*1000000)</f>
        <v>13548.979046176451</v>
      </c>
      <c r="S44" s="84">
        <f>IF(S8=0,0,S8/TrAvia_act!S26*1000000)</f>
        <v>14434.241754308001</v>
      </c>
      <c r="T44" s="84">
        <f>IF(T8=0,0,T8/TrAvia_act!T26*1000000)</f>
        <v>14841.385985297276</v>
      </c>
      <c r="U44" s="84">
        <f>IF(U8=0,0,U8/TrAvia_act!U26*1000000)</f>
        <v>15061.202310041763</v>
      </c>
      <c r="V44" s="84">
        <f>IF(V8=0,0,V8/TrAvia_act!V26*1000000)</f>
        <v>11897.090407149923</v>
      </c>
      <c r="W44" s="84">
        <f>IF(W8=0,0,W8/TrAvia_act!W26*1000000)</f>
        <v>15235.097635412234</v>
      </c>
      <c r="X44" s="84">
        <f>IF(X8=0,0,X8/TrAvia_act!X26*1000000)</f>
        <v>14203.352272643458</v>
      </c>
      <c r="Y44" s="84">
        <f>IF(Y8=0,0,Y8/TrAvia_act!Y26*1000000)</f>
        <v>13853.341775934072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114491.65179385073</v>
      </c>
      <c r="C45" s="84">
        <f>IF(C9=0,0,C9/TrAvia_act!C27*1000000)</f>
        <v>114343.41293140472</v>
      </c>
      <c r="D45" s="84">
        <f>IF(D9=0,0,D9/TrAvia_act!D27*1000000)</f>
        <v>110503.41428401769</v>
      </c>
      <c r="E45" s="84">
        <f>IF(E9=0,0,E9/TrAvia_act!E27*1000000)</f>
        <v>116620.85472128555</v>
      </c>
      <c r="F45" s="84">
        <f>IF(F9=0,0,F9/TrAvia_act!F27*1000000)</f>
        <v>120191.37478061731</v>
      </c>
      <c r="G45" s="84">
        <f>IF(G9=0,0,G9/TrAvia_act!G27*1000000)</f>
        <v>119021.69455986681</v>
      </c>
      <c r="H45" s="84">
        <f>IF(H9=0,0,H9/TrAvia_act!H27*1000000)</f>
        <v>125996.81348801797</v>
      </c>
      <c r="I45" s="84">
        <f>IF(I9=0,0,I9/TrAvia_act!I27*1000000)</f>
        <v>123616.79618499472</v>
      </c>
      <c r="J45" s="84">
        <f>IF(J9=0,0,J9/TrAvia_act!J27*1000000)</f>
        <v>106190.72169845727</v>
      </c>
      <c r="K45" s="84">
        <f>IF(K9=0,0,K9/TrAvia_act!K27*1000000)</f>
        <v>106602.78406684741</v>
      </c>
      <c r="L45" s="84">
        <f>IF(L9=0,0,L9/TrAvia_act!L27*1000000)</f>
        <v>95075.837210933663</v>
      </c>
      <c r="M45" s="84">
        <f>IF(M9=0,0,M9/TrAvia_act!M27*1000000)</f>
        <v>86016.268714007165</v>
      </c>
      <c r="N45" s="84">
        <f>IF(N9=0,0,N9/TrAvia_act!N27*1000000)</f>
        <v>82986.629101433893</v>
      </c>
      <c r="O45" s="84">
        <f>IF(O9=0,0,O9/TrAvia_act!O27*1000000)</f>
        <v>84015.697186517136</v>
      </c>
      <c r="P45" s="84">
        <f>IF(P9=0,0,P9/TrAvia_act!P27*1000000)</f>
        <v>85556.202757473497</v>
      </c>
      <c r="Q45" s="84">
        <f>IF(Q9=0,0,Q9/TrAvia_act!Q27*1000000)</f>
        <v>82538.164368976868</v>
      </c>
      <c r="R45" s="84">
        <f>IF(R9=0,0,R9/TrAvia_act!R27*1000000)</f>
        <v>85755.317625589727</v>
      </c>
      <c r="S45" s="84">
        <f>IF(S9=0,0,S9/TrAvia_act!S27*1000000)</f>
        <v>90389.236037547365</v>
      </c>
      <c r="T45" s="84">
        <f>IF(T9=0,0,T9/TrAvia_act!T27*1000000)</f>
        <v>82725.933925107354</v>
      </c>
      <c r="U45" s="84">
        <f>IF(U9=0,0,U9/TrAvia_act!U27*1000000)</f>
        <v>82827.134275219229</v>
      </c>
      <c r="V45" s="84">
        <f>IF(V9=0,0,V9/TrAvia_act!V27*1000000)</f>
        <v>96912.905718818161</v>
      </c>
      <c r="W45" s="84">
        <f>IF(W9=0,0,W9/TrAvia_act!W27*1000000)</f>
        <v>84950.333497174332</v>
      </c>
      <c r="X45" s="84">
        <f>IF(X9=0,0,X9/TrAvia_act!X27*1000000)</f>
        <v>63225.532263870118</v>
      </c>
      <c r="Y45" s="84">
        <f>IF(Y9=0,0,Y9/TrAvia_act!Y27*1000000)</f>
        <v>65215.811994038326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9945.2158935480747</v>
      </c>
      <c r="C46" s="13">
        <f>IF(C10=0,0,C10/TrAvia_act!C28*1000000)</f>
        <v>9993.2515910251204</v>
      </c>
      <c r="D46" s="13">
        <f>IF(D10=0,0,D10/TrAvia_act!D28*1000000)</f>
        <v>9797.4853690684922</v>
      </c>
      <c r="E46" s="13">
        <f>IF(E10=0,0,E10/TrAvia_act!E28*1000000)</f>
        <v>10817.67605147151</v>
      </c>
      <c r="F46" s="13">
        <f>IF(F10=0,0,F10/TrAvia_act!F28*1000000)</f>
        <v>10926.052947484317</v>
      </c>
      <c r="G46" s="13">
        <f>IF(G10=0,0,G10/TrAvia_act!G28*1000000)</f>
        <v>10810.169223371657</v>
      </c>
      <c r="H46" s="13">
        <f>IF(H10=0,0,H10/TrAvia_act!H28*1000000)</f>
        <v>10954.712130445292</v>
      </c>
      <c r="I46" s="13">
        <f>IF(I10=0,0,I10/TrAvia_act!I28*1000000)</f>
        <v>11417.937550818206</v>
      </c>
      <c r="J46" s="13">
        <f>IF(J10=0,0,J10/TrAvia_act!J28*1000000)</f>
        <v>31410.117099063995</v>
      </c>
      <c r="K46" s="13">
        <f>IF(K10=0,0,K10/TrAvia_act!K28*1000000)</f>
        <v>33147.018147431867</v>
      </c>
      <c r="L46" s="13">
        <f>IF(L10=0,0,L10/TrAvia_act!L28*1000000)</f>
        <v>46613.56058334947</v>
      </c>
      <c r="M46" s="13">
        <f>IF(M10=0,0,M10/TrAvia_act!M28*1000000)</f>
        <v>44595.366094285084</v>
      </c>
      <c r="N46" s="13">
        <f>IF(N10=0,0,N10/TrAvia_act!N28*1000000)</f>
        <v>48211.332539911542</v>
      </c>
      <c r="O46" s="13">
        <f>IF(O10=0,0,O10/TrAvia_act!O28*1000000)</f>
        <v>45826.913704764127</v>
      </c>
      <c r="P46" s="13">
        <f>IF(P10=0,0,P10/TrAvia_act!P28*1000000)</f>
        <v>37442.008561580529</v>
      </c>
      <c r="Q46" s="13">
        <f>IF(Q10=0,0,Q10/TrAvia_act!Q28*1000000)</f>
        <v>32687.404101129719</v>
      </c>
      <c r="R46" s="13">
        <f>IF(R10=0,0,R10/TrAvia_act!R28*1000000)</f>
        <v>32232.947098400466</v>
      </c>
      <c r="S46" s="13">
        <f>IF(S10=0,0,S10/TrAvia_act!S28*1000000)</f>
        <v>27780.106661391186</v>
      </c>
      <c r="T46" s="13">
        <f>IF(T10=0,0,T10/TrAvia_act!T28*1000000)</f>
        <v>19912.803288827174</v>
      </c>
      <c r="U46" s="13">
        <f>IF(U10=0,0,U10/TrAvia_act!U28*1000000)</f>
        <v>21781.409492230679</v>
      </c>
      <c r="V46" s="13">
        <f>IF(V10=0,0,V10/TrAvia_act!V28*1000000)</f>
        <v>18049.436757325435</v>
      </c>
      <c r="W46" s="13">
        <f>IF(W10=0,0,W10/TrAvia_act!W28*1000000)</f>
        <v>15815.072512366198</v>
      </c>
      <c r="X46" s="13">
        <f>IF(X10=0,0,X10/TrAvia_act!X28*1000000)</f>
        <v>16660.878000809094</v>
      </c>
      <c r="Y46" s="13">
        <f>IF(Y10=0,0,Y10/TrAvia_act!Y28*1000000)</f>
        <v>20421.093444711983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5644.1806092302149</v>
      </c>
      <c r="C47" s="102">
        <f>IF(C11=0,0,C11/TrAvia_act!C29*1000000)</f>
        <v>5637.518481103496</v>
      </c>
      <c r="D47" s="102">
        <f>IF(D11=0,0,D11/TrAvia_act!D29*1000000)</f>
        <v>4543.294345698192</v>
      </c>
      <c r="E47" s="102">
        <f>IF(E11=0,0,E11/TrAvia_act!E29*1000000)</f>
        <v>3721.0485023416541</v>
      </c>
      <c r="F47" s="102">
        <f>IF(F11=0,0,F11/TrAvia_act!F29*1000000)</f>
        <v>2305.0715388512585</v>
      </c>
      <c r="G47" s="102">
        <f>IF(G11=0,0,G11/TrAvia_act!G29*1000000)</f>
        <v>2512.6746783161393</v>
      </c>
      <c r="H47" s="102">
        <f>IF(H11=0,0,H11/TrAvia_act!H29*1000000)</f>
        <v>2629.5311452874766</v>
      </c>
      <c r="I47" s="102">
        <f>IF(I11=0,0,I11/TrAvia_act!I29*1000000)</f>
        <v>3000.2249697630637</v>
      </c>
      <c r="J47" s="102">
        <f>IF(J11=0,0,J11/TrAvia_act!J29*1000000)</f>
        <v>2950.442993479513</v>
      </c>
      <c r="K47" s="102">
        <f>IF(K11=0,0,K11/TrAvia_act!K29*1000000)</f>
        <v>3107.242501527342</v>
      </c>
      <c r="L47" s="102">
        <f>IF(L11=0,0,L11/TrAvia_act!L29*1000000)</f>
        <v>2899.9744651363344</v>
      </c>
      <c r="M47" s="102">
        <f>IF(M11=0,0,M11/TrAvia_act!M29*1000000)</f>
        <v>2749.1225344533295</v>
      </c>
      <c r="N47" s="102">
        <f>IF(N11=0,0,N11/TrAvia_act!N29*1000000)</f>
        <v>3346.437386203409</v>
      </c>
      <c r="O47" s="102">
        <f>IF(O11=0,0,O11/TrAvia_act!O29*1000000)</f>
        <v>3122.6665609392162</v>
      </c>
      <c r="P47" s="102">
        <f>IF(P11=0,0,P11/TrAvia_act!P29*1000000)</f>
        <v>2909.3852380186408</v>
      </c>
      <c r="Q47" s="102">
        <f>IF(Q11=0,0,Q11/TrAvia_act!Q29*1000000)</f>
        <v>2739.2390276422125</v>
      </c>
      <c r="R47" s="102">
        <f>IF(R11=0,0,R11/TrAvia_act!R29*1000000)</f>
        <v>2844.5501723660223</v>
      </c>
      <c r="S47" s="102">
        <f>IF(S11=0,0,S11/TrAvia_act!S29*1000000)</f>
        <v>2861.986001430937</v>
      </c>
      <c r="T47" s="102">
        <f>IF(T11=0,0,T11/TrAvia_act!T29*1000000)</f>
        <v>2828.2270864388756</v>
      </c>
      <c r="U47" s="102">
        <f>IF(U11=0,0,U11/TrAvia_act!U29*1000000)</f>
        <v>3034.5121108038675</v>
      </c>
      <c r="V47" s="102">
        <f>IF(V11=0,0,V11/TrAvia_act!V29*1000000)</f>
        <v>2818.6985907430317</v>
      </c>
      <c r="W47" s="102">
        <f>IF(W11=0,0,W11/TrAvia_act!W29*1000000)</f>
        <v>2706.2762045237982</v>
      </c>
      <c r="X47" s="102">
        <f>IF(X11=0,0,X11/TrAvia_act!X29*1000000)</f>
        <v>4328.2375923844866</v>
      </c>
      <c r="Y47" s="102">
        <f>IF(Y11=0,0,Y11/TrAvia_act!Y29*1000000)</f>
        <v>3080.4626947108654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9333.2490084660622</v>
      </c>
      <c r="C48" s="102">
        <f>IF(C12=0,0,C12/TrAvia_act!C30*1000000)</f>
        <v>9324.3327490674437</v>
      </c>
      <c r="D48" s="102">
        <f>IF(D12=0,0,D12/TrAvia_act!D30*1000000)</f>
        <v>8996.9721397632147</v>
      </c>
      <c r="E48" s="102">
        <f>IF(E12=0,0,E12/TrAvia_act!E30*1000000)</f>
        <v>9462.0381285367966</v>
      </c>
      <c r="F48" s="102">
        <f>IF(F12=0,0,F12/TrAvia_act!F30*1000000)</f>
        <v>9781.3985186563041</v>
      </c>
      <c r="G48" s="102">
        <f>IF(G12=0,0,G12/TrAvia_act!G30*1000000)</f>
        <v>10372.441125682408</v>
      </c>
      <c r="H48" s="102">
        <f>IF(H12=0,0,H12/TrAvia_act!H30*1000000)</f>
        <v>11001.900006424983</v>
      </c>
      <c r="I48" s="102">
        <f>IF(I12=0,0,I12/TrAvia_act!I30*1000000)</f>
        <v>11347.710000130912</v>
      </c>
      <c r="J48" s="102">
        <f>IF(J12=0,0,J12/TrAvia_act!J30*1000000)</f>
        <v>9890.9417058812724</v>
      </c>
      <c r="K48" s="102">
        <f>IF(K12=0,0,K12/TrAvia_act!K30*1000000)</f>
        <v>9650.0775142934908</v>
      </c>
      <c r="L48" s="102">
        <f>IF(L12=0,0,L12/TrAvia_act!L30*1000000)</f>
        <v>9710.1963360589434</v>
      </c>
      <c r="M48" s="102">
        <f>IF(M12=0,0,M12/TrAvia_act!M30*1000000)</f>
        <v>9440.0711759063106</v>
      </c>
      <c r="N48" s="102">
        <f>IF(N12=0,0,N12/TrAvia_act!N30*1000000)</f>
        <v>9112.2531925283183</v>
      </c>
      <c r="O48" s="102">
        <f>IF(O12=0,0,O12/TrAvia_act!O30*1000000)</f>
        <v>8652.685948098544</v>
      </c>
      <c r="P48" s="102">
        <f>IF(P12=0,0,P12/TrAvia_act!P30*1000000)</f>
        <v>9354.0687988064074</v>
      </c>
      <c r="Q48" s="102">
        <f>IF(Q12=0,0,Q12/TrAvia_act!Q30*1000000)</f>
        <v>8972.516413729456</v>
      </c>
      <c r="R48" s="102">
        <f>IF(R12=0,0,R12/TrAvia_act!R30*1000000)</f>
        <v>9314.0643302170865</v>
      </c>
      <c r="S48" s="102">
        <f>IF(S12=0,0,S12/TrAvia_act!S30*1000000)</f>
        <v>9719.8085436406509</v>
      </c>
      <c r="T48" s="102">
        <f>IF(T12=0,0,T12/TrAvia_act!T30*1000000)</f>
        <v>9754.8263746217326</v>
      </c>
      <c r="U48" s="102">
        <f>IF(U12=0,0,U12/TrAvia_act!U30*1000000)</f>
        <v>10195.153533387671</v>
      </c>
      <c r="V48" s="102">
        <f>IF(V12=0,0,V12/TrAvia_act!V30*1000000)</f>
        <v>8151.4777133693124</v>
      </c>
      <c r="W48" s="102">
        <f>IF(W12=0,0,W12/TrAvia_act!W30*1000000)</f>
        <v>9066.7291910445183</v>
      </c>
      <c r="X48" s="102">
        <f>IF(X12=0,0,X12/TrAvia_act!X30*1000000)</f>
        <v>9856.3980321408217</v>
      </c>
      <c r="Y48" s="102">
        <f>IF(Y12=0,0,Y12/TrAvia_act!Y30*1000000)</f>
        <v>10227.819044522786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124086.13635576291</v>
      </c>
      <c r="C49" s="86">
        <f>IF(C13=0,0,C13/TrAvia_act!C31*1000000)</f>
        <v>123925.47496770104</v>
      </c>
      <c r="D49" s="86">
        <f>IF(D13=0,0,D13/TrAvia_act!D31*1000000)</f>
        <v>119763.68161159185</v>
      </c>
      <c r="E49" s="86">
        <f>IF(E13=0,0,E13/TrAvia_act!E31*1000000)</f>
        <v>126393.76805329908</v>
      </c>
      <c r="F49" s="86">
        <f>IF(F13=0,0,F13/TrAvia_act!F31*1000000)</f>
        <v>130263.5003176302</v>
      </c>
      <c r="G49" s="86">
        <f>IF(G13=0,0,G13/TrAvia_act!G31*1000000)</f>
        <v>126967.63446620222</v>
      </c>
      <c r="H49" s="86">
        <f>IF(H13=0,0,H13/TrAvia_act!H31*1000000)</f>
        <v>140295.65012505819</v>
      </c>
      <c r="I49" s="86">
        <f>IF(I13=0,0,I13/TrAvia_act!I31*1000000)</f>
        <v>148732.41945914086</v>
      </c>
      <c r="J49" s="86">
        <f>IF(J13=0,0,J13/TrAvia_act!J31*1000000)</f>
        <v>150932.81211952079</v>
      </c>
      <c r="K49" s="86">
        <f>IF(K13=0,0,K13/TrAvia_act!K31*1000000)</f>
        <v>156463.6676272146</v>
      </c>
      <c r="L49" s="86">
        <f>IF(L13=0,0,L13/TrAvia_act!L31*1000000)</f>
        <v>157471.65744456812</v>
      </c>
      <c r="M49" s="86">
        <f>IF(M13=0,0,M13/TrAvia_act!M31*1000000)</f>
        <v>146192.53303916665</v>
      </c>
      <c r="N49" s="86">
        <f>IF(N13=0,0,N13/TrAvia_act!N31*1000000)</f>
        <v>139905.73342099923</v>
      </c>
      <c r="O49" s="86">
        <f>IF(O13=0,0,O13/TrAvia_act!O31*1000000)</f>
        <v>125082.60102942098</v>
      </c>
      <c r="P49" s="86">
        <f>IF(P13=0,0,P13/TrAvia_act!P31*1000000)</f>
        <v>111444.45527063817</v>
      </c>
      <c r="Q49" s="86">
        <f>IF(Q13=0,0,Q13/TrAvia_act!Q31*1000000)</f>
        <v>94564.791130736019</v>
      </c>
      <c r="R49" s="86">
        <f>IF(R13=0,0,R13/TrAvia_act!R31*1000000)</f>
        <v>81412.633627791962</v>
      </c>
      <c r="S49" s="86">
        <f>IF(S13=0,0,S13/TrAvia_act!S31*1000000)</f>
        <v>63551.514761487459</v>
      </c>
      <c r="T49" s="86">
        <f>IF(T13=0,0,T13/TrAvia_act!T31*1000000)</f>
        <v>40915.464634394899</v>
      </c>
      <c r="U49" s="86">
        <f>IF(U13=0,0,U13/TrAvia_act!U31*1000000)</f>
        <v>48310.236537337689</v>
      </c>
      <c r="V49" s="86">
        <f>IF(V13=0,0,V13/TrAvia_act!V31*1000000)</f>
        <v>52642.133681080726</v>
      </c>
      <c r="W49" s="86">
        <f>IF(W13=0,0,W13/TrAvia_act!W31*1000000)</f>
        <v>34308.914678084067</v>
      </c>
      <c r="X49" s="86">
        <f>IF(X13=0,0,X13/TrAvia_act!X31*1000000)</f>
        <v>42178.591368635185</v>
      </c>
      <c r="Y49" s="86">
        <f>IF(Y13=0,0,Y13/TrAvia_act!Y31*1000000)</f>
        <v>58466.243034068153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0.99051586042512618</v>
      </c>
      <c r="C52" s="16">
        <f t="shared" si="36"/>
        <v>0.99026086201197872</v>
      </c>
      <c r="D52" s="16">
        <f t="shared" ref="D52:V52" si="37">IF(D6=0,0,D6/D$3)</f>
        <v>0.98962259354675031</v>
      </c>
      <c r="E52" s="16">
        <f t="shared" si="37"/>
        <v>0.99197513604379728</v>
      </c>
      <c r="F52" s="16">
        <f t="shared" si="37"/>
        <v>0.99204913696193886</v>
      </c>
      <c r="G52" s="16">
        <f t="shared" si="37"/>
        <v>0.99136459503430852</v>
      </c>
      <c r="H52" s="16">
        <f t="shared" si="37"/>
        <v>0.98967308396252618</v>
      </c>
      <c r="I52" s="16">
        <f t="shared" si="37"/>
        <v>0.99025365448504954</v>
      </c>
      <c r="J52" s="16">
        <f t="shared" si="37"/>
        <v>0.92469307720423721</v>
      </c>
      <c r="K52" s="16">
        <f t="shared" si="37"/>
        <v>0.93932342047376016</v>
      </c>
      <c r="L52" s="16">
        <f t="shared" si="37"/>
        <v>0.93922335694605508</v>
      </c>
      <c r="M52" s="16">
        <f t="shared" si="37"/>
        <v>0.94374486940027691</v>
      </c>
      <c r="N52" s="16">
        <f t="shared" si="37"/>
        <v>0.94141235414909008</v>
      </c>
      <c r="O52" s="16">
        <f t="shared" si="37"/>
        <v>0.94962972278468094</v>
      </c>
      <c r="P52" s="16">
        <f t="shared" si="37"/>
        <v>0.94513592797442414</v>
      </c>
      <c r="Q52" s="16">
        <f t="shared" si="37"/>
        <v>0.94982401000074679</v>
      </c>
      <c r="R52" s="16">
        <f t="shared" si="37"/>
        <v>0.96232524844391032</v>
      </c>
      <c r="S52" s="16">
        <f t="shared" si="37"/>
        <v>0.96177592094569542</v>
      </c>
      <c r="T52" s="16">
        <f t="shared" si="37"/>
        <v>0.97371307644464888</v>
      </c>
      <c r="U52" s="16">
        <f t="shared" si="37"/>
        <v>0.96993623446479393</v>
      </c>
      <c r="V52" s="16">
        <f t="shared" si="37"/>
        <v>0.91553899778660608</v>
      </c>
      <c r="W52" s="16">
        <f t="shared" ref="W52:Y52" si="38">IF(W6=0,0,W6/W$3)</f>
        <v>0.92426540577166005</v>
      </c>
      <c r="X52" s="16">
        <f t="shared" si="38"/>
        <v>0.95272296361214637</v>
      </c>
      <c r="Y52" s="16">
        <f t="shared" si="38"/>
        <v>0.95195139232847337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5.5903394434875756E-2</v>
      </c>
      <c r="C53" s="103">
        <f t="shared" si="39"/>
        <v>5.6222097867091959E-2</v>
      </c>
      <c r="D53" s="103">
        <f t="shared" ref="D53:V53" si="40">IF(D7=0,0,D7/D$3)</f>
        <v>5.3661628762475294E-2</v>
      </c>
      <c r="E53" s="103">
        <f t="shared" si="40"/>
        <v>5.0625578768599765E-2</v>
      </c>
      <c r="F53" s="103">
        <f t="shared" si="40"/>
        <v>3.7532315585955343E-2</v>
      </c>
      <c r="G53" s="103">
        <f t="shared" si="40"/>
        <v>3.7998585208802574E-2</v>
      </c>
      <c r="H53" s="103">
        <f t="shared" si="40"/>
        <v>4.0053000042476312E-2</v>
      </c>
      <c r="I53" s="103">
        <f t="shared" si="40"/>
        <v>4.5579870066811454E-2</v>
      </c>
      <c r="J53" s="103">
        <f t="shared" si="40"/>
        <v>4.7622280194524955E-2</v>
      </c>
      <c r="K53" s="103">
        <f t="shared" si="40"/>
        <v>5.4167536969414856E-2</v>
      </c>
      <c r="L53" s="103">
        <f t="shared" si="40"/>
        <v>5.4603479205457904E-2</v>
      </c>
      <c r="M53" s="103">
        <f t="shared" si="40"/>
        <v>5.1042596835364953E-2</v>
      </c>
      <c r="N53" s="103">
        <f t="shared" si="40"/>
        <v>4.3805075930768059E-2</v>
      </c>
      <c r="O53" s="103">
        <f t="shared" si="40"/>
        <v>4.3077071405246622E-2</v>
      </c>
      <c r="P53" s="103">
        <f t="shared" si="40"/>
        <v>3.8854162497206392E-2</v>
      </c>
      <c r="Q53" s="103">
        <f t="shared" si="40"/>
        <v>3.6904672973966567E-2</v>
      </c>
      <c r="R53" s="103">
        <f t="shared" si="40"/>
        <v>3.5714550005950134E-2</v>
      </c>
      <c r="S53" s="103">
        <f t="shared" si="40"/>
        <v>3.3126441212040815E-2</v>
      </c>
      <c r="T53" s="103">
        <f t="shared" si="40"/>
        <v>2.9999434015231339E-2</v>
      </c>
      <c r="U53" s="103">
        <f t="shared" si="40"/>
        <v>2.9462581387695943E-2</v>
      </c>
      <c r="V53" s="103">
        <f t="shared" si="40"/>
        <v>4.8642204632064881E-2</v>
      </c>
      <c r="W53" s="103">
        <f t="shared" ref="W53:Y53" si="41">IF(W7=0,0,W7/W$3)</f>
        <v>4.089627674360985E-2</v>
      </c>
      <c r="X53" s="103">
        <f t="shared" si="41"/>
        <v>3.2248952368347072E-2</v>
      </c>
      <c r="Y53" s="103">
        <f t="shared" si="41"/>
        <v>2.829497340240197E-2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0.55754912196000028</v>
      </c>
      <c r="C54" s="103">
        <f t="shared" si="42"/>
        <v>0.55718959225231735</v>
      </c>
      <c r="D54" s="103">
        <f t="shared" ref="D54:V54" si="43">IF(D8=0,0,D8/D$3)</f>
        <v>0.5783036000210281</v>
      </c>
      <c r="E54" s="103">
        <f t="shared" si="43"/>
        <v>0.58735941330166641</v>
      </c>
      <c r="F54" s="103">
        <f t="shared" si="43"/>
        <v>0.56796126605486474</v>
      </c>
      <c r="G54" s="103">
        <f t="shared" si="43"/>
        <v>0.56601774685915163</v>
      </c>
      <c r="H54" s="103">
        <f t="shared" si="43"/>
        <v>0.56587819622480573</v>
      </c>
      <c r="I54" s="103">
        <f t="shared" si="43"/>
        <v>0.56922470925569746</v>
      </c>
      <c r="J54" s="103">
        <f t="shared" si="43"/>
        <v>0.5277675348747628</v>
      </c>
      <c r="K54" s="103">
        <f t="shared" si="43"/>
        <v>0.51557023819131564</v>
      </c>
      <c r="L54" s="103">
        <f t="shared" si="43"/>
        <v>0.51335742173495724</v>
      </c>
      <c r="M54" s="103">
        <f t="shared" si="43"/>
        <v>0.52032262020444819</v>
      </c>
      <c r="N54" s="103">
        <f t="shared" si="43"/>
        <v>0.51854792672391037</v>
      </c>
      <c r="O54" s="103">
        <f t="shared" si="43"/>
        <v>0.52518998428003938</v>
      </c>
      <c r="P54" s="103">
        <f t="shared" si="43"/>
        <v>0.5268664919652214</v>
      </c>
      <c r="Q54" s="103">
        <f t="shared" si="43"/>
        <v>0.53369531110756274</v>
      </c>
      <c r="R54" s="103">
        <f t="shared" si="43"/>
        <v>0.55695915293380138</v>
      </c>
      <c r="S54" s="103">
        <f t="shared" si="43"/>
        <v>0.56193142208693869</v>
      </c>
      <c r="T54" s="103">
        <f t="shared" si="43"/>
        <v>0.56657281845667151</v>
      </c>
      <c r="U54" s="103">
        <f t="shared" si="43"/>
        <v>0.55505813806773285</v>
      </c>
      <c r="V54" s="103">
        <f t="shared" si="43"/>
        <v>0.44405041006597895</v>
      </c>
      <c r="W54" s="103">
        <f t="shared" ref="W54:Y54" si="44">IF(W8=0,0,W8/W$3)</f>
        <v>0.48359152520150361</v>
      </c>
      <c r="X54" s="103">
        <f t="shared" si="44"/>
        <v>0.55908023914256633</v>
      </c>
      <c r="Y54" s="103">
        <f t="shared" si="44"/>
        <v>0.55546183633511892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0.37706334403025032</v>
      </c>
      <c r="C55" s="103">
        <f t="shared" si="45"/>
        <v>0.37684917189256939</v>
      </c>
      <c r="D55" s="103">
        <f t="shared" ref="D55:V55" si="46">IF(D9=0,0,D9/D$3)</f>
        <v>0.35765736476324689</v>
      </c>
      <c r="E55" s="103">
        <f t="shared" si="46"/>
        <v>0.35399014397353118</v>
      </c>
      <c r="F55" s="103">
        <f t="shared" si="46"/>
        <v>0.38655555532111874</v>
      </c>
      <c r="G55" s="103">
        <f t="shared" si="46"/>
        <v>0.38734826296635422</v>
      </c>
      <c r="H55" s="103">
        <f t="shared" si="46"/>
        <v>0.38374188769524414</v>
      </c>
      <c r="I55" s="103">
        <f t="shared" si="46"/>
        <v>0.37544907516254072</v>
      </c>
      <c r="J55" s="103">
        <f t="shared" si="46"/>
        <v>0.34930326213494944</v>
      </c>
      <c r="K55" s="103">
        <f t="shared" si="46"/>
        <v>0.36958564531302968</v>
      </c>
      <c r="L55" s="103">
        <f t="shared" si="46"/>
        <v>0.3712624560056399</v>
      </c>
      <c r="M55" s="103">
        <f t="shared" si="46"/>
        <v>0.37237965236046372</v>
      </c>
      <c r="N55" s="103">
        <f t="shared" si="46"/>
        <v>0.37905935149441161</v>
      </c>
      <c r="O55" s="103">
        <f t="shared" si="46"/>
        <v>0.38136266709939493</v>
      </c>
      <c r="P55" s="103">
        <f t="shared" si="46"/>
        <v>0.37941527351199628</v>
      </c>
      <c r="Q55" s="103">
        <f t="shared" si="46"/>
        <v>0.37922402591921756</v>
      </c>
      <c r="R55" s="103">
        <f t="shared" si="46"/>
        <v>0.36965154550415869</v>
      </c>
      <c r="S55" s="103">
        <f t="shared" si="46"/>
        <v>0.36671805764671589</v>
      </c>
      <c r="T55" s="103">
        <f t="shared" si="46"/>
        <v>0.37714082397274612</v>
      </c>
      <c r="U55" s="103">
        <f t="shared" si="46"/>
        <v>0.385415515009365</v>
      </c>
      <c r="V55" s="103">
        <f t="shared" si="46"/>
        <v>0.42284638308856226</v>
      </c>
      <c r="W55" s="103">
        <f t="shared" ref="W55:Y55" si="47">IF(W9=0,0,W9/W$3)</f>
        <v>0.39977760382654642</v>
      </c>
      <c r="X55" s="103">
        <f t="shared" si="47"/>
        <v>0.36139377210123313</v>
      </c>
      <c r="Y55" s="103">
        <f t="shared" si="47"/>
        <v>0.36819458259095239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9.4841395748737119E-3</v>
      </c>
      <c r="C56" s="17">
        <f t="shared" si="48"/>
        <v>9.7391379880211754E-3</v>
      </c>
      <c r="D56" s="17">
        <f t="shared" ref="D56:V56" si="49">IF(D10=0,0,D10/D$3)</f>
        <v>1.0377406453249744E-2</v>
      </c>
      <c r="E56" s="17">
        <f t="shared" si="49"/>
        <v>8.0248639562027387E-3</v>
      </c>
      <c r="F56" s="17">
        <f t="shared" si="49"/>
        <v>7.9508630380610359E-3</v>
      </c>
      <c r="G56" s="17">
        <f t="shared" si="49"/>
        <v>8.6354049656914428E-3</v>
      </c>
      <c r="H56" s="17">
        <f t="shared" si="49"/>
        <v>1.0326916037474008E-2</v>
      </c>
      <c r="I56" s="17">
        <f t="shared" si="49"/>
        <v>9.7463455149505232E-3</v>
      </c>
      <c r="J56" s="17">
        <f t="shared" si="49"/>
        <v>7.5306922795762732E-2</v>
      </c>
      <c r="K56" s="17">
        <f t="shared" si="49"/>
        <v>6.0676579526239768E-2</v>
      </c>
      <c r="L56" s="17">
        <f t="shared" si="49"/>
        <v>6.0776643053944708E-2</v>
      </c>
      <c r="M56" s="17">
        <f t="shared" si="49"/>
        <v>5.6255130599723133E-2</v>
      </c>
      <c r="N56" s="17">
        <f t="shared" si="49"/>
        <v>5.8587645850909725E-2</v>
      </c>
      <c r="O56" s="17">
        <f t="shared" si="49"/>
        <v>5.0370277215318816E-2</v>
      </c>
      <c r="P56" s="17">
        <f t="shared" si="49"/>
        <v>5.4864072025575833E-2</v>
      </c>
      <c r="Q56" s="17">
        <f t="shared" si="49"/>
        <v>5.0175989999253143E-2</v>
      </c>
      <c r="R56" s="17">
        <f t="shared" si="49"/>
        <v>3.7674751556089764E-2</v>
      </c>
      <c r="S56" s="17">
        <f t="shared" si="49"/>
        <v>3.8224079054304728E-2</v>
      </c>
      <c r="T56" s="17">
        <f t="shared" si="49"/>
        <v>2.628692355535097E-2</v>
      </c>
      <c r="U56" s="17">
        <f t="shared" si="49"/>
        <v>3.0063765535206333E-2</v>
      </c>
      <c r="V56" s="17">
        <f t="shared" si="49"/>
        <v>8.4461002213393879E-2</v>
      </c>
      <c r="W56" s="17">
        <f t="shared" ref="W56:Y56" si="50">IF(W10=0,0,W10/W$3)</f>
        <v>7.5734594228340169E-2</v>
      </c>
      <c r="X56" s="17">
        <f t="shared" si="50"/>
        <v>4.7277036387853577E-2</v>
      </c>
      <c r="Y56" s="17">
        <f t="shared" si="50"/>
        <v>4.8048607671526793E-2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3.0003078990080407E-4</v>
      </c>
      <c r="C57" s="104">
        <f t="shared" si="51"/>
        <v>3.1262196387382582E-4</v>
      </c>
      <c r="D57" s="104">
        <f t="shared" ref="D57:V57" si="52">IF(D11=0,0,D11/D$3)</f>
        <v>2.6413533382317362E-4</v>
      </c>
      <c r="E57" s="104">
        <f t="shared" si="52"/>
        <v>1.4708957651547692E-4</v>
      </c>
      <c r="F57" s="104">
        <f t="shared" si="52"/>
        <v>8.9556601100536392E-5</v>
      </c>
      <c r="G57" s="104">
        <f t="shared" si="52"/>
        <v>1.0867197864642032E-4</v>
      </c>
      <c r="H57" s="104">
        <f t="shared" si="52"/>
        <v>1.3336433769240967E-4</v>
      </c>
      <c r="I57" s="104">
        <f t="shared" si="52"/>
        <v>1.3704296793434447E-4</v>
      </c>
      <c r="J57" s="104">
        <f t="shared" si="52"/>
        <v>2.7344441604843406E-4</v>
      </c>
      <c r="K57" s="104">
        <f t="shared" si="52"/>
        <v>2.8458376572033364E-4</v>
      </c>
      <c r="L57" s="104">
        <f t="shared" si="52"/>
        <v>1.1844149857834776E-4</v>
      </c>
      <c r="M57" s="104">
        <f t="shared" si="52"/>
        <v>6.4801015131712051E-5</v>
      </c>
      <c r="N57" s="104">
        <f t="shared" si="52"/>
        <v>6.3462490699020462E-5</v>
      </c>
      <c r="O57" s="104">
        <f t="shared" si="52"/>
        <v>6.5843717105332851E-5</v>
      </c>
      <c r="P57" s="104">
        <f t="shared" si="52"/>
        <v>5.6910919706133966E-5</v>
      </c>
      <c r="Q57" s="104">
        <f t="shared" si="52"/>
        <v>4.781578983368461E-5</v>
      </c>
      <c r="R57" s="104">
        <f t="shared" si="52"/>
        <v>1.0597702061413621E-5</v>
      </c>
      <c r="S57" s="104">
        <f t="shared" si="52"/>
        <v>1.6953640294498298E-5</v>
      </c>
      <c r="T57" s="104">
        <f t="shared" si="52"/>
        <v>2.0494411356739874E-5</v>
      </c>
      <c r="U57" s="104">
        <f t="shared" si="52"/>
        <v>1.6843358725183924E-5</v>
      </c>
      <c r="V57" s="104">
        <f t="shared" si="52"/>
        <v>6.4249520995568709E-5</v>
      </c>
      <c r="W57" s="104">
        <f t="shared" ref="W57:Y57" si="53">IF(W11=0,0,W11/W$3)</f>
        <v>8.47303484539308E-5</v>
      </c>
      <c r="X57" s="104">
        <f t="shared" si="53"/>
        <v>8.9094999748689783E-5</v>
      </c>
      <c r="Y57" s="104">
        <f t="shared" si="53"/>
        <v>8.5131402931094437E-5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8.3409964064196478E-3</v>
      </c>
      <c r="C58" s="104">
        <f t="shared" si="54"/>
        <v>8.5004827568999231E-3</v>
      </c>
      <c r="D58" s="104">
        <f t="shared" ref="D58:V58" si="55">IF(D12=0,0,D12/D$3)</f>
        <v>8.9165485646810413E-3</v>
      </c>
      <c r="E58" s="104">
        <f t="shared" si="55"/>
        <v>6.5454469774900411E-3</v>
      </c>
      <c r="F58" s="104">
        <f t="shared" si="55"/>
        <v>6.6466675533392774E-3</v>
      </c>
      <c r="G58" s="104">
        <f t="shared" si="55"/>
        <v>7.7757874152910482E-3</v>
      </c>
      <c r="H58" s="104">
        <f t="shared" si="55"/>
        <v>9.7810587787011821E-3</v>
      </c>
      <c r="I58" s="104">
        <f t="shared" si="55"/>
        <v>9.1316180828160346E-3</v>
      </c>
      <c r="J58" s="104">
        <f t="shared" si="55"/>
        <v>1.9134007820979584E-2</v>
      </c>
      <c r="K58" s="104">
        <f t="shared" si="55"/>
        <v>1.3914361414164743E-2</v>
      </c>
      <c r="L58" s="104">
        <f t="shared" si="55"/>
        <v>9.0837152683305132E-3</v>
      </c>
      <c r="M58" s="104">
        <f t="shared" si="55"/>
        <v>8.6135570114026731E-3</v>
      </c>
      <c r="N58" s="104">
        <f t="shared" si="55"/>
        <v>7.5827512039007431E-3</v>
      </c>
      <c r="O58" s="104">
        <f t="shared" si="55"/>
        <v>6.282853800903882E-3</v>
      </c>
      <c r="P58" s="104">
        <f t="shared" si="55"/>
        <v>9.7409948968213821E-3</v>
      </c>
      <c r="Q58" s="104">
        <f t="shared" si="55"/>
        <v>9.7889403495999647E-3</v>
      </c>
      <c r="R58" s="104">
        <f t="shared" si="55"/>
        <v>7.3880792657831365E-3</v>
      </c>
      <c r="S58" s="104">
        <f t="shared" si="55"/>
        <v>8.8221599300230911E-3</v>
      </c>
      <c r="T58" s="104">
        <f t="shared" si="55"/>
        <v>8.5931035766987282E-3</v>
      </c>
      <c r="U58" s="104">
        <f t="shared" si="55"/>
        <v>9.7270555879971337E-3</v>
      </c>
      <c r="V58" s="104">
        <f t="shared" si="55"/>
        <v>2.9450106380046727E-2</v>
      </c>
      <c r="W58" s="104">
        <f t="shared" ref="W58:Y58" si="56">IF(W12=0,0,W12/W$3)</f>
        <v>3.1455356113268926E-2</v>
      </c>
      <c r="X58" s="104">
        <f t="shared" si="56"/>
        <v>2.1843042484312396E-2</v>
      </c>
      <c r="Y58" s="104">
        <f t="shared" si="56"/>
        <v>1.8655238596110596E-2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8.4311237855326071E-4</v>
      </c>
      <c r="C59" s="105">
        <f t="shared" si="57"/>
        <v>9.2603326724742725E-4</v>
      </c>
      <c r="D59" s="105">
        <f t="shared" ref="D59:V59" si="58">IF(D13=0,0,D13/D$3)</f>
        <v>1.1967225547455294E-3</v>
      </c>
      <c r="E59" s="105">
        <f t="shared" si="58"/>
        <v>1.3323274021972201E-3</v>
      </c>
      <c r="F59" s="105">
        <f t="shared" si="58"/>
        <v>1.2146388836212221E-3</v>
      </c>
      <c r="G59" s="105">
        <f t="shared" si="58"/>
        <v>7.5094557175397418E-4</v>
      </c>
      <c r="H59" s="105">
        <f t="shared" si="58"/>
        <v>4.1249292108041499E-4</v>
      </c>
      <c r="I59" s="105">
        <f t="shared" si="58"/>
        <v>4.7768446420014358E-4</v>
      </c>
      <c r="J59" s="105">
        <f t="shared" si="58"/>
        <v>5.5899470558734711E-2</v>
      </c>
      <c r="K59" s="105">
        <f t="shared" si="58"/>
        <v>4.6477634346354685E-2</v>
      </c>
      <c r="L59" s="105">
        <f t="shared" si="58"/>
        <v>5.1574486287035849E-2</v>
      </c>
      <c r="M59" s="105">
        <f t="shared" si="58"/>
        <v>4.757677257318875E-2</v>
      </c>
      <c r="N59" s="105">
        <f t="shared" si="58"/>
        <v>5.094143215630996E-2</v>
      </c>
      <c r="O59" s="105">
        <f t="shared" si="58"/>
        <v>4.4021579697309604E-2</v>
      </c>
      <c r="P59" s="105">
        <f t="shared" si="58"/>
        <v>4.5066166209048311E-2</v>
      </c>
      <c r="Q59" s="105">
        <f t="shared" si="58"/>
        <v>4.0339233859819495E-2</v>
      </c>
      <c r="R59" s="105">
        <f t="shared" si="58"/>
        <v>3.0276074588245213E-2</v>
      </c>
      <c r="S59" s="105">
        <f t="shared" si="58"/>
        <v>2.9384965483987138E-2</v>
      </c>
      <c r="T59" s="105">
        <f t="shared" si="58"/>
        <v>1.7673325567295502E-2</v>
      </c>
      <c r="U59" s="105">
        <f t="shared" si="58"/>
        <v>2.0319866588484017E-2</v>
      </c>
      <c r="V59" s="105">
        <f t="shared" si="58"/>
        <v>5.4946646312351591E-2</v>
      </c>
      <c r="W59" s="105">
        <f t="shared" ref="W59:Y59" si="59">IF(W13=0,0,W13/W$3)</f>
        <v>4.4194507766617305E-2</v>
      </c>
      <c r="X59" s="105">
        <f t="shared" si="59"/>
        <v>2.5344898903792493E-2</v>
      </c>
      <c r="Y59" s="105">
        <f t="shared" si="59"/>
        <v>2.9308237672485103E-2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19187178</v>
      </c>
      <c r="C4" s="11">
        <f t="shared" si="0"/>
        <v>19372898</v>
      </c>
      <c r="D4" s="11">
        <f t="shared" ref="D4" si="1">SUM(D5:D7)</f>
        <v>18075190</v>
      </c>
      <c r="E4" s="11">
        <f t="shared" ref="E4" si="2">SUM(E5:E7)</f>
        <v>18206867</v>
      </c>
      <c r="F4" s="11">
        <f t="shared" ref="F4" si="3">SUM(F5:F7)</f>
        <v>19796130</v>
      </c>
      <c r="G4" s="11">
        <f t="shared" ref="G4" si="4">SUM(G5:G7)</f>
        <v>19742067</v>
      </c>
      <c r="H4" s="11">
        <f t="shared" ref="H4" si="5">SUM(H5:H7)</f>
        <v>17823974</v>
      </c>
      <c r="I4" s="11">
        <f t="shared" ref="I4" si="6">SUM(I5:I7)</f>
        <v>18554937</v>
      </c>
      <c r="J4" s="11">
        <f t="shared" ref="J4" si="7">SUM(J5:J7)</f>
        <v>19153992</v>
      </c>
      <c r="K4" s="11">
        <f t="shared" ref="K4" si="8">SUM(K5:K7)</f>
        <v>17684022</v>
      </c>
      <c r="L4" s="11">
        <f t="shared" ref="L4" si="9">SUM(L5:L7)</f>
        <v>19383225</v>
      </c>
      <c r="M4" s="11">
        <f t="shared" ref="M4" si="10">SUM(M5:M7)</f>
        <v>20212814</v>
      </c>
      <c r="N4" s="11">
        <f t="shared" ref="N4" si="11">SUM(N5:N7)</f>
        <v>19643668</v>
      </c>
      <c r="O4" s="11">
        <f t="shared" ref="O4" si="12">SUM(O5:O7)</f>
        <v>20432776</v>
      </c>
      <c r="P4" s="11">
        <f t="shared" ref="P4" si="13">SUM(P5:P7)</f>
        <v>20825902</v>
      </c>
      <c r="Q4" s="11">
        <f t="shared" ref="Q4" si="14">SUM(Q5:Q7)</f>
        <v>21518092</v>
      </c>
      <c r="R4" s="11">
        <f t="shared" ref="R4" si="15">SUM(R5:R7)</f>
        <v>23138199</v>
      </c>
      <c r="S4" s="11">
        <f t="shared" ref="S4" si="16">SUM(S5:S7)</f>
        <v>22942427</v>
      </c>
      <c r="T4" s="11">
        <f t="shared" ref="T4" si="17">SUM(T5:T7)</f>
        <v>24223129</v>
      </c>
      <c r="U4" s="11">
        <f t="shared" ref="U4" si="18">SUM(U5:U7)</f>
        <v>24364813</v>
      </c>
      <c r="V4" s="11">
        <f t="shared" ref="V4:W4" si="19">SUM(V5:V7)</f>
        <v>8690938</v>
      </c>
      <c r="W4" s="11">
        <f t="shared" si="19"/>
        <v>10000306</v>
      </c>
      <c r="X4" s="11">
        <f t="shared" ref="X4:Y4" si="20">SUM(X5:X7)</f>
        <v>19472722</v>
      </c>
      <c r="Y4" s="11">
        <f t="shared" si="20"/>
        <v>22040930</v>
      </c>
      <c r="DA4" s="189" t="s">
        <v>362</v>
      </c>
    </row>
    <row r="5" spans="1:105" ht="11.45" customHeight="1" x14ac:dyDescent="0.25">
      <c r="A5" s="83" t="s">
        <v>27</v>
      </c>
      <c r="B5" s="84">
        <v>2798523</v>
      </c>
      <c r="C5" s="84">
        <v>2817671</v>
      </c>
      <c r="D5" s="84">
        <v>2494020</v>
      </c>
      <c r="E5" s="84">
        <v>2653766</v>
      </c>
      <c r="F5" s="84">
        <v>2985292</v>
      </c>
      <c r="G5" s="84">
        <v>3091628</v>
      </c>
      <c r="H5" s="84">
        <v>2990266</v>
      </c>
      <c r="I5" s="84">
        <v>3173555</v>
      </c>
      <c r="J5" s="84">
        <v>3070692</v>
      </c>
      <c r="K5" s="84">
        <v>3295342</v>
      </c>
      <c r="L5" s="84">
        <v>3817064</v>
      </c>
      <c r="M5" s="84">
        <v>3878818</v>
      </c>
      <c r="N5" s="84">
        <v>3124476</v>
      </c>
      <c r="O5" s="84">
        <v>3151580</v>
      </c>
      <c r="P5" s="84">
        <v>3108221</v>
      </c>
      <c r="Q5" s="84">
        <v>3065384</v>
      </c>
      <c r="R5" s="84">
        <v>3084308</v>
      </c>
      <c r="S5" s="84">
        <v>3047277</v>
      </c>
      <c r="T5" s="84">
        <v>3044840</v>
      </c>
      <c r="U5" s="84">
        <v>3028181</v>
      </c>
      <c r="V5" s="84">
        <v>1679956</v>
      </c>
      <c r="W5" s="84">
        <v>1884553</v>
      </c>
      <c r="X5" s="84">
        <v>2670895</v>
      </c>
      <c r="Y5" s="84">
        <v>2627797</v>
      </c>
      <c r="DA5" s="171" t="s">
        <v>363</v>
      </c>
    </row>
    <row r="6" spans="1:105" ht="11.45" customHeight="1" x14ac:dyDescent="0.25">
      <c r="A6" s="83" t="s">
        <v>181</v>
      </c>
      <c r="B6" s="84">
        <v>14201348</v>
      </c>
      <c r="C6" s="84">
        <v>14385130</v>
      </c>
      <c r="D6" s="84">
        <v>13684105</v>
      </c>
      <c r="E6" s="84">
        <v>13599797</v>
      </c>
      <c r="F6" s="84">
        <v>14589286</v>
      </c>
      <c r="G6" s="84">
        <v>14196513</v>
      </c>
      <c r="H6" s="84">
        <v>13175671</v>
      </c>
      <c r="I6" s="84">
        <v>13729084</v>
      </c>
      <c r="J6" s="84">
        <v>14256438</v>
      </c>
      <c r="K6" s="84">
        <v>12630108</v>
      </c>
      <c r="L6" s="84">
        <v>13400568</v>
      </c>
      <c r="M6" s="84">
        <v>13930498</v>
      </c>
      <c r="N6" s="84">
        <v>13986988</v>
      </c>
      <c r="O6" s="84">
        <v>14815686</v>
      </c>
      <c r="P6" s="84">
        <v>15043404</v>
      </c>
      <c r="Q6" s="84">
        <v>15703966</v>
      </c>
      <c r="R6" s="84">
        <v>17267140</v>
      </c>
      <c r="S6" s="84">
        <v>17107953</v>
      </c>
      <c r="T6" s="84">
        <v>17899483</v>
      </c>
      <c r="U6" s="84">
        <v>17892884</v>
      </c>
      <c r="V6" s="84">
        <v>5789465</v>
      </c>
      <c r="W6" s="84">
        <v>6509314</v>
      </c>
      <c r="X6" s="84">
        <v>14131839</v>
      </c>
      <c r="Y6" s="84">
        <v>16637072</v>
      </c>
      <c r="DA6" s="171" t="s">
        <v>364</v>
      </c>
    </row>
    <row r="7" spans="1:105" ht="11.45" customHeight="1" x14ac:dyDescent="0.25">
      <c r="A7" s="85" t="s">
        <v>182</v>
      </c>
      <c r="B7" s="86">
        <v>2187307</v>
      </c>
      <c r="C7" s="86">
        <v>2170097</v>
      </c>
      <c r="D7" s="86">
        <v>1897065</v>
      </c>
      <c r="E7" s="86">
        <v>1953304</v>
      </c>
      <c r="F7" s="86">
        <v>2221552</v>
      </c>
      <c r="G7" s="86">
        <v>2453926</v>
      </c>
      <c r="H7" s="86">
        <v>1658037</v>
      </c>
      <c r="I7" s="86">
        <v>1652298</v>
      </c>
      <c r="J7" s="86">
        <v>1826862</v>
      </c>
      <c r="K7" s="86">
        <v>1758572</v>
      </c>
      <c r="L7" s="86">
        <v>2165593</v>
      </c>
      <c r="M7" s="86">
        <v>2403498</v>
      </c>
      <c r="N7" s="86">
        <v>2532204</v>
      </c>
      <c r="O7" s="86">
        <v>2465510</v>
      </c>
      <c r="P7" s="86">
        <v>2674277</v>
      </c>
      <c r="Q7" s="86">
        <v>2748742</v>
      </c>
      <c r="R7" s="86">
        <v>2786751</v>
      </c>
      <c r="S7" s="86">
        <v>2787197</v>
      </c>
      <c r="T7" s="86">
        <v>3278806</v>
      </c>
      <c r="U7" s="86">
        <v>3443748</v>
      </c>
      <c r="V7" s="86">
        <v>1221517</v>
      </c>
      <c r="W7" s="86">
        <v>1606439</v>
      </c>
      <c r="X7" s="86">
        <v>2669988</v>
      </c>
      <c r="Y7" s="86">
        <v>2776061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124.804394489326</v>
      </c>
      <c r="C12" s="14">
        <f>IF(C4=0,0,C4/TrAvia_act!C24)</f>
        <v>123.78769464731855</v>
      </c>
      <c r="D12" s="14">
        <f>IF(D4=0,0,D4/TrAvia_act!D24)</f>
        <v>121.93357978386109</v>
      </c>
      <c r="E12" s="14">
        <f>IF(E4=0,0,E4/TrAvia_act!E24)</f>
        <v>119.23213993359572</v>
      </c>
      <c r="F12" s="14">
        <f>IF(F4=0,0,F4/TrAvia_act!F24)</f>
        <v>115.06033129904098</v>
      </c>
      <c r="G12" s="14">
        <f>IF(G4=0,0,G4/TrAvia_act!G24)</f>
        <v>116.52874546978479</v>
      </c>
      <c r="H12" s="14">
        <f>IF(H4=0,0,H4/TrAvia_act!H24)</f>
        <v>108.90389632607673</v>
      </c>
      <c r="I12" s="14">
        <f>IF(I4=0,0,I4/TrAvia_act!I24)</f>
        <v>112.70826955317443</v>
      </c>
      <c r="J12" s="14">
        <f>IF(J4=0,0,J4/TrAvia_act!J24)</f>
        <v>111.56538757251695</v>
      </c>
      <c r="K12" s="14">
        <f>IF(K4=0,0,K4/TrAvia_act!K24)</f>
        <v>115.14459470898093</v>
      </c>
      <c r="L12" s="14">
        <f>IF(L4=0,0,L4/TrAvia_act!L24)</f>
        <v>119.06596680467339</v>
      </c>
      <c r="M12" s="14">
        <f>IF(M4=0,0,M4/TrAvia_act!M24)</f>
        <v>120.09419635430282</v>
      </c>
      <c r="N12" s="14">
        <f>IF(N4=0,0,N4/TrAvia_act!N24)</f>
        <v>125.67523751639423</v>
      </c>
      <c r="O12" s="14">
        <f>IF(O4=0,0,O4/TrAvia_act!O24)</f>
        <v>128.17428833101232</v>
      </c>
      <c r="P12" s="14">
        <f>IF(P4=0,0,P4/TrAvia_act!P24)</f>
        <v>129.38316259016048</v>
      </c>
      <c r="Q12" s="14">
        <f>IF(Q4=0,0,Q4/TrAvia_act!Q24)</f>
        <v>131.86802223325304</v>
      </c>
      <c r="R12" s="14">
        <f>IF(R4=0,0,R4/TrAvia_act!R24)</f>
        <v>136.60929298892989</v>
      </c>
      <c r="S12" s="14">
        <f>IF(S4=0,0,S4/TrAvia_act!S24)</f>
        <v>139.62721529772628</v>
      </c>
      <c r="T12" s="14">
        <f>IF(T4=0,0,T4/TrAvia_act!T24)</f>
        <v>144.10208986478045</v>
      </c>
      <c r="U12" s="14">
        <f>IF(U4=0,0,U4/TrAvia_act!U24)</f>
        <v>146.44867795469162</v>
      </c>
      <c r="V12" s="14">
        <f>IF(V4=0,0,V4/TrAvia_act!V24)</f>
        <v>139.85160272914521</v>
      </c>
      <c r="W12" s="14">
        <f>IF(W4=0,0,W4/TrAvia_act!W24)</f>
        <v>144.60085601087366</v>
      </c>
      <c r="X12" s="14">
        <f>IF(X4=0,0,X4/TrAvia_act!X24)</f>
        <v>151.65080799034305</v>
      </c>
      <c r="Y12" s="14">
        <f>IF(Y4=0,0,Y4/TrAvia_act!Y24)</f>
        <v>154.26290777511042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109.36429715893549</v>
      </c>
      <c r="C13" s="87">
        <f>IF(C5=0,0,C5/TrAvia_act!C25)</f>
        <v>107.61041093797739</v>
      </c>
      <c r="D13" s="87">
        <f>IF(D5=0,0,D5/TrAvia_act!D25)</f>
        <v>92.880232384924767</v>
      </c>
      <c r="E13" s="87">
        <f>IF(E5=0,0,E5/TrAvia_act!E25)</f>
        <v>82.966485337335087</v>
      </c>
      <c r="F13" s="87">
        <f>IF(F5=0,0,F5/TrAvia_act!F25)</f>
        <v>68.984217215482374</v>
      </c>
      <c r="G13" s="87">
        <f>IF(G5=0,0,G5/TrAvia_act!G25)</f>
        <v>73.185020357920649</v>
      </c>
      <c r="H13" s="87">
        <f>IF(H5=0,0,H5/TrAvia_act!H25)</f>
        <v>71.400811843361993</v>
      </c>
      <c r="I13" s="87">
        <f>IF(I5=0,0,I5/TrAvia_act!I25)</f>
        <v>75.384935151313599</v>
      </c>
      <c r="J13" s="87">
        <f>IF(J5=0,0,J5/TrAvia_act!J25)</f>
        <v>70.078323976448033</v>
      </c>
      <c r="K13" s="87">
        <f>IF(K5=0,0,K5/TrAvia_act!K25)</f>
        <v>80.895080518460333</v>
      </c>
      <c r="L13" s="87">
        <f>IF(L5=0,0,L5/TrAvia_act!L25)</f>
        <v>85.090260594306599</v>
      </c>
      <c r="M13" s="87">
        <f>IF(M5=0,0,M5/TrAvia_act!M25)</f>
        <v>85.683757096467787</v>
      </c>
      <c r="N13" s="87">
        <f>IF(N5=0,0,N5/TrAvia_act!N25)</f>
        <v>97.639875000000004</v>
      </c>
      <c r="O13" s="87">
        <f>IF(O5=0,0,O5/TrAvia_act!O25)</f>
        <v>93.850093803043393</v>
      </c>
      <c r="P13" s="87">
        <f>IF(P5=0,0,P5/TrAvia_act!P25)</f>
        <v>88.121484463597184</v>
      </c>
      <c r="Q13" s="87">
        <f>IF(Q5=0,0,Q5/TrAvia_act!Q25)</f>
        <v>87.514888514574466</v>
      </c>
      <c r="R13" s="87">
        <f>IF(R5=0,0,R5/TrAvia_act!R25)</f>
        <v>87.428652417937528</v>
      </c>
      <c r="S13" s="87">
        <f>IF(S5=0,0,S5/TrAvia_act!S25)</f>
        <v>90.453174626732761</v>
      </c>
      <c r="T13" s="87">
        <f>IF(T5=0,0,T5/TrAvia_act!T25)</f>
        <v>93.805724144305117</v>
      </c>
      <c r="U13" s="87">
        <f>IF(U5=0,0,U5/TrAvia_act!U25)</f>
        <v>95.318738392772829</v>
      </c>
      <c r="V13" s="87">
        <f>IF(V5=0,0,V5/TrAvia_act!V25)</f>
        <v>92.047339871787841</v>
      </c>
      <c r="W13" s="87">
        <f>IF(W5=0,0,W5/TrAvia_act!W25)</f>
        <v>93.000049348598495</v>
      </c>
      <c r="X13" s="87">
        <f>IF(X5=0,0,X5/TrAvia_act!X25)</f>
        <v>104.82730876408023</v>
      </c>
      <c r="Y13" s="87">
        <f>IF(Y5=0,0,Y5/TrAvia_act!Y25)</f>
        <v>110.84009617006917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118.43437940438166</v>
      </c>
      <c r="C14" s="87">
        <f>IF(C6=0,0,C6/TrAvia_act!C26)</f>
        <v>117.97182151438858</v>
      </c>
      <c r="D14" s="87">
        <f>IF(D6=0,0,D6/TrAvia_act!D26)</f>
        <v>119.76286539471381</v>
      </c>
      <c r="E14" s="87">
        <f>IF(E6=0,0,E6/TrAvia_act!E26)</f>
        <v>119.50192436118239</v>
      </c>
      <c r="F14" s="87">
        <f>IF(F6=0,0,F6/TrAvia_act!F26)</f>
        <v>121.07592720150708</v>
      </c>
      <c r="G14" s="87">
        <f>IF(G6=0,0,G6/TrAvia_act!G26)</f>
        <v>119.93336994170821</v>
      </c>
      <c r="H14" s="87">
        <f>IF(H6=0,0,H6/TrAvia_act!H26)</f>
        <v>116.08520704845814</v>
      </c>
      <c r="I14" s="87">
        <f>IF(I6=0,0,I6/TrAvia_act!I26)</f>
        <v>120.41049298801077</v>
      </c>
      <c r="J14" s="87">
        <f>IF(J6=0,0,J6/TrAvia_act!J26)</f>
        <v>120.16755171193041</v>
      </c>
      <c r="K14" s="87">
        <f>IF(K6=0,0,K6/TrAvia_act!K26)</f>
        <v>121.10564771310769</v>
      </c>
      <c r="L14" s="87">
        <f>IF(L6=0,0,L6/TrAvia_act!L26)</f>
        <v>124.19893230518277</v>
      </c>
      <c r="M14" s="87">
        <f>IF(M6=0,0,M6/TrAvia_act!M26)</f>
        <v>124.76711568086554</v>
      </c>
      <c r="N14" s="87">
        <f>IF(N6=0,0,N6/TrAvia_act!N26)</f>
        <v>124.59236429067717</v>
      </c>
      <c r="O14" s="87">
        <f>IF(O6=0,0,O6/TrAvia_act!O26)</f>
        <v>129.97013851727738</v>
      </c>
      <c r="P14" s="87">
        <f>IF(P6=0,0,P6/TrAvia_act!P26)</f>
        <v>132.86643938457189</v>
      </c>
      <c r="Q14" s="87">
        <f>IF(Q6=0,0,Q6/TrAvia_act!Q26)</f>
        <v>135.9438875326789</v>
      </c>
      <c r="R14" s="87">
        <f>IF(R6=0,0,R6/TrAvia_act!R26)</f>
        <v>142.26860014830683</v>
      </c>
      <c r="S14" s="87">
        <f>IF(S6=0,0,S6/TrAvia_act!S26)</f>
        <v>144.62109979289065</v>
      </c>
      <c r="T14" s="87">
        <f>IF(T6=0,0,T6/TrAvia_act!T26)</f>
        <v>147.72450647035521</v>
      </c>
      <c r="U14" s="87">
        <f>IF(U6=0,0,U6/TrAvia_act!U26)</f>
        <v>149.71621259789811</v>
      </c>
      <c r="V14" s="87">
        <f>IF(V6=0,0,V6/TrAvia_act!V26)</f>
        <v>147.31837960253441</v>
      </c>
      <c r="W14" s="87">
        <f>IF(W6=0,0,W6/TrAvia_act!W26)</f>
        <v>152.86897912214368</v>
      </c>
      <c r="X14" s="87">
        <f>IF(X6=0,0,X6/TrAvia_act!X26)</f>
        <v>157.23882058414463</v>
      </c>
      <c r="Y14" s="87">
        <f>IF(Y6=0,0,Y6/TrAvia_act!Y26)</f>
        <v>159.26434492925657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265.44987864077672</v>
      </c>
      <c r="C15" s="88">
        <f>IF(C7=0,0,C7/TrAvia_act!C27)</f>
        <v>258.96145584725537</v>
      </c>
      <c r="D15" s="88">
        <f>IF(D7=0,0,D7/TrAvia_act!D27)</f>
        <v>266.21737300028065</v>
      </c>
      <c r="E15" s="88">
        <f>IF(E7=0,0,E7/TrAvia_act!E27)</f>
        <v>282.63695557806398</v>
      </c>
      <c r="F15" s="88">
        <f>IF(F7=0,0,F7/TrAvia_act!F27)</f>
        <v>268.36820488040587</v>
      </c>
      <c r="G15" s="88">
        <f>IF(G7=0,0,G7/TrAvia_act!G27)</f>
        <v>278.72853248523398</v>
      </c>
      <c r="H15" s="88">
        <f>IF(H7=0,0,H7/TrAvia_act!H27)</f>
        <v>200.07686738264752</v>
      </c>
      <c r="I15" s="88">
        <f>IF(I7=0,0,I7/TrAvia_act!I27)</f>
        <v>194.13676418752203</v>
      </c>
      <c r="J15" s="88">
        <f>IF(J7=0,0,J7/TrAvia_act!J27)</f>
        <v>197.96944083224969</v>
      </c>
      <c r="K15" s="88">
        <f>IF(K7=0,0,K7/TrAvia_act!K27)</f>
        <v>205.56072472238458</v>
      </c>
      <c r="L15" s="88">
        <f>IF(L7=0,0,L7/TrAvia_act!L27)</f>
        <v>215.71799980077697</v>
      </c>
      <c r="M15" s="88">
        <f>IF(M7=0,0,M7/TrAvia_act!M27)</f>
        <v>211.07385615175201</v>
      </c>
      <c r="N15" s="88">
        <f>IF(N7=0,0,N7/TrAvia_act!N27)</f>
        <v>210.26355559246036</v>
      </c>
      <c r="O15" s="88">
        <f>IF(O7=0,0,O7/TrAvia_act!O27)</f>
        <v>208.2356418918919</v>
      </c>
      <c r="P15" s="88">
        <f>IF(P7=0,0,P7/TrAvia_act!P27)</f>
        <v>214.47405565803192</v>
      </c>
      <c r="Q15" s="88">
        <f>IF(Q7=0,0,Q7/TrAvia_act!Q27)</f>
        <v>217.56704131708091</v>
      </c>
      <c r="R15" s="88">
        <f>IF(R7=0,0,R7/TrAvia_act!R27)</f>
        <v>218.96369922212619</v>
      </c>
      <c r="S15" s="88">
        <f>IF(S7=0,0,S7/TrAvia_act!S27)</f>
        <v>226.08671317326412</v>
      </c>
      <c r="T15" s="88">
        <f>IF(T7=0,0,T7/TrAvia_act!T27)</f>
        <v>226.59336558396683</v>
      </c>
      <c r="U15" s="88">
        <f>IF(U7=0,0,U7/TrAvia_act!U27)</f>
        <v>228.21391650099403</v>
      </c>
      <c r="V15" s="88">
        <f>IF(V7=0,0,V7/TrAvia_act!V27)</f>
        <v>265.89399216369179</v>
      </c>
      <c r="W15" s="88">
        <f>IF(W7=0,0,W7/TrAvia_act!W27)</f>
        <v>254.46523047679392</v>
      </c>
      <c r="X15" s="88">
        <f>IF(X7=0,0,X7/TrAvia_act!X27)</f>
        <v>204.58110489617653</v>
      </c>
      <c r="Y15" s="88">
        <f>IF(Y7=0,0,Y7/TrAvia_act!Y27)</f>
        <v>188.73213678700117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0.52286876162820817</v>
      </c>
      <c r="C18" s="25">
        <f>IF(TrAvia_act!C34=0,0,(TrAvia_act!C34/TrAvia_act!C24)/TrAvia_png!C12)</f>
        <v>0.53373883453059012</v>
      </c>
      <c r="D18" s="25">
        <f>IF(TrAvia_act!D34=0,0,(TrAvia_act!D34/TrAvia_act!D24)/TrAvia_png!D12)</f>
        <v>0.57001812982325495</v>
      </c>
      <c r="E18" s="25">
        <f>IF(TrAvia_act!E34=0,0,(TrAvia_act!E34/TrAvia_act!E24)/TrAvia_png!E12)</f>
        <v>0.56454495987695197</v>
      </c>
      <c r="F18" s="25">
        <f>IF(TrAvia_act!F34=0,0,(TrAvia_act!F34/TrAvia_act!F24)/TrAvia_png!F12)</f>
        <v>0.57362226859492227</v>
      </c>
      <c r="G18" s="25">
        <f>IF(TrAvia_act!G34=0,0,(TrAvia_act!G34/TrAvia_act!G24)/TrAvia_png!G12)</f>
        <v>0.60492313190913594</v>
      </c>
      <c r="H18" s="25">
        <f>IF(TrAvia_act!H34=0,0,(TrAvia_act!H34/TrAvia_act!H24)/TrAvia_png!H12)</f>
        <v>0.69664206197787315</v>
      </c>
      <c r="I18" s="25">
        <f>IF(TrAvia_act!I34=0,0,(TrAvia_act!I34/TrAvia_act!I24)/TrAvia_png!I12)</f>
        <v>0.70088499896280976</v>
      </c>
      <c r="J18" s="25">
        <f>IF(TrAvia_act!J34=0,0,(TrAvia_act!J34/TrAvia_act!J24)/TrAvia_png!J12)</f>
        <v>0.68419455328163437</v>
      </c>
      <c r="K18" s="25">
        <f>IF(TrAvia_act!K34=0,0,(TrAvia_act!K34/TrAvia_act!K24)/TrAvia_png!K12)</f>
        <v>0.6822706961120043</v>
      </c>
      <c r="L18" s="25">
        <f>IF(TrAvia_act!L34=0,0,(TrAvia_act!L34/TrAvia_act!L24)/TrAvia_png!L12)</f>
        <v>0.68749570827352002</v>
      </c>
      <c r="M18" s="25">
        <f>IF(TrAvia_act!M34=0,0,(TrAvia_act!M34/TrAvia_act!M24)/TrAvia_png!M12)</f>
        <v>0.69430243606852571</v>
      </c>
      <c r="N18" s="25">
        <f>IF(TrAvia_act!N34=0,0,(TrAvia_act!N34/TrAvia_act!N24)/TrAvia_png!N12)</f>
        <v>0.72018413261718728</v>
      </c>
      <c r="O18" s="25">
        <f>IF(TrAvia_act!O34=0,0,(TrAvia_act!O34/TrAvia_act!O24)/TrAvia_png!O12)</f>
        <v>0.71471453511749949</v>
      </c>
      <c r="P18" s="25">
        <f>IF(TrAvia_act!P34=0,0,(TrAvia_act!P34/TrAvia_act!P24)/TrAvia_png!P12)</f>
        <v>0.74337322820399321</v>
      </c>
      <c r="Q18" s="25">
        <f>IF(TrAvia_act!Q34=0,0,(TrAvia_act!Q34/TrAvia_act!Q24)/TrAvia_png!Q12)</f>
        <v>0.74291433459806755</v>
      </c>
      <c r="R18" s="25">
        <f>IF(TrAvia_act!R34=0,0,(TrAvia_act!R34/TrAvia_act!R24)/TrAvia_png!R12)</f>
        <v>0.74644102594156092</v>
      </c>
      <c r="S18" s="25">
        <f>IF(TrAvia_act!S34=0,0,(TrAvia_act!S34/TrAvia_act!S24)/TrAvia_png!S12)</f>
        <v>0.76069166527150767</v>
      </c>
      <c r="T18" s="25">
        <f>IF(TrAvia_act!T34=0,0,(TrAvia_act!T34/TrAvia_act!T24)/TrAvia_png!T12)</f>
        <v>0.74918479771956792</v>
      </c>
      <c r="U18" s="25">
        <f>IF(TrAvia_act!U34=0,0,(TrAvia_act!U34/TrAvia_act!U24)/TrAvia_png!U12)</f>
        <v>0.74515630388790599</v>
      </c>
      <c r="V18" s="25">
        <f>IF(TrAvia_act!V34=0,0,(TrAvia_act!V34/TrAvia_act!V24)/TrAvia_png!V12)</f>
        <v>0.52715989919615125</v>
      </c>
      <c r="W18" s="25">
        <f>IF(TrAvia_act!W34=0,0,(TrAvia_act!W34/TrAvia_act!W24)/TrAvia_png!W12)</f>
        <v>0.58814780267723799</v>
      </c>
      <c r="X18" s="25">
        <f>IF(TrAvia_act!X34=0,0,(TrAvia_act!X34/TrAvia_act!X24)/TrAvia_png!X12)</f>
        <v>0.71648442369792986</v>
      </c>
      <c r="Y18" s="25">
        <f>IF(TrAvia_act!Y34=0,0,(TrAvia_act!Y34/TrAvia_act!Y24)/TrAvia_png!Y12)</f>
        <v>0.74655742747697118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0.42817371877951332</v>
      </c>
      <c r="C19" s="89">
        <f>IF(TrAvia_act!C35=0,0,(TrAvia_act!C35/TrAvia_act!C25)/TrAvia_png!C13)</f>
        <v>0.43701979400717827</v>
      </c>
      <c r="D19" s="89">
        <f>IF(TrAvia_act!D35=0,0,(TrAvia_act!D35/TrAvia_act!D25)/TrAvia_png!D13)</f>
        <v>0.44620011066470999</v>
      </c>
      <c r="E19" s="89">
        <f>IF(TrAvia_act!E35=0,0,(TrAvia_act!E35/TrAvia_act!E25)/TrAvia_png!E13)</f>
        <v>0.45595580017228349</v>
      </c>
      <c r="F19" s="89">
        <f>IF(TrAvia_act!F35=0,0,(TrAvia_act!F35/TrAvia_act!F25)/TrAvia_png!F13)</f>
        <v>0.50958867675255892</v>
      </c>
      <c r="G19" s="89">
        <f>IF(TrAvia_act!G35=0,0,(TrAvia_act!G35/TrAvia_act!G25)/TrAvia_png!G13)</f>
        <v>0.51489538844906313</v>
      </c>
      <c r="H19" s="89">
        <f>IF(TrAvia_act!H35=0,0,(TrAvia_act!H35/TrAvia_act!H25)/TrAvia_png!H13)</f>
        <v>0.57400478753395179</v>
      </c>
      <c r="I19" s="89">
        <f>IF(TrAvia_act!I35=0,0,(TrAvia_act!I35/TrAvia_act!I25)/TrAvia_png!I13)</f>
        <v>0.58872242642714567</v>
      </c>
      <c r="J19" s="89">
        <f>IF(TrAvia_act!J35=0,0,(TrAvia_act!J35/TrAvia_act!J25)/TrAvia_png!J13)</f>
        <v>0.60836287064935202</v>
      </c>
      <c r="K19" s="89">
        <f>IF(TrAvia_act!K35=0,0,(TrAvia_act!K35/TrAvia_act!K25)/TrAvia_png!K13)</f>
        <v>0.56656608024296107</v>
      </c>
      <c r="L19" s="89">
        <f>IF(TrAvia_act!L35=0,0,(TrAvia_act!L35/TrAvia_act!L25)/TrAvia_png!L13)</f>
        <v>0.60210648812804823</v>
      </c>
      <c r="M19" s="89">
        <f>IF(TrAvia_act!M35=0,0,(TrAvia_act!M35/TrAvia_act!M25)/TrAvia_png!M13)</f>
        <v>0.58226784551376209</v>
      </c>
      <c r="N19" s="89">
        <f>IF(TrAvia_act!N35=0,0,(TrAvia_act!N35/TrAvia_act!N25)/TrAvia_png!N13)</f>
        <v>0.57251487929496014</v>
      </c>
      <c r="O19" s="89">
        <f>IF(TrAvia_act!O35=0,0,(TrAvia_act!O35/TrAvia_act!O25)/TrAvia_png!O13)</f>
        <v>0.5640091636575939</v>
      </c>
      <c r="P19" s="89">
        <f>IF(TrAvia_act!P35=0,0,(TrAvia_act!P35/TrAvia_act!P25)/TrAvia_png!P13)</f>
        <v>0.5943872716901405</v>
      </c>
      <c r="Q19" s="89">
        <f>IF(TrAvia_act!Q35=0,0,(TrAvia_act!Q35/TrAvia_act!Q25)/TrAvia_png!Q13)</f>
        <v>0.58647171121138497</v>
      </c>
      <c r="R19" s="89">
        <f>IF(TrAvia_act!R35=0,0,(TrAvia_act!R35/TrAvia_act!R25)/TrAvia_png!R13)</f>
        <v>0.60624522583347706</v>
      </c>
      <c r="S19" s="89">
        <f>IF(TrAvia_act!S35=0,0,(TrAvia_act!S35/TrAvia_act!S25)/TrAvia_png!S13)</f>
        <v>0.58608160662781883</v>
      </c>
      <c r="T19" s="89">
        <f>IF(TrAvia_act!T35=0,0,(TrAvia_act!T35/TrAvia_act!T25)/TrAvia_png!T13)</f>
        <v>0.57980846284205412</v>
      </c>
      <c r="U19" s="89">
        <f>IF(TrAvia_act!U35=0,0,(TrAvia_act!U35/TrAvia_act!U25)/TrAvia_png!U13)</f>
        <v>0.55639936978668048</v>
      </c>
      <c r="V19" s="89">
        <f>IF(TrAvia_act!V35=0,0,(TrAvia_act!V35/TrAvia_act!V25)/TrAvia_png!V13)</f>
        <v>0.42630640326294267</v>
      </c>
      <c r="W19" s="89">
        <f>IF(TrAvia_act!W35=0,0,(TrAvia_act!W35/TrAvia_act!W25)/TrAvia_png!W13)</f>
        <v>0.5187235381546712</v>
      </c>
      <c r="X19" s="89">
        <f>IF(TrAvia_act!X35=0,0,(TrAvia_act!X35/TrAvia_act!X25)/TrAvia_png!X13)</f>
        <v>0.52797582832720857</v>
      </c>
      <c r="Y19" s="89">
        <f>IF(TrAvia_act!Y35=0,0,(TrAvia_act!Y35/TrAvia_act!Y25)/TrAvia_png!Y13)</f>
        <v>0.52156958851844337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0.5433239154480265</v>
      </c>
      <c r="C20" s="89">
        <f>IF(TrAvia_act!C36=0,0,(TrAvia_act!C36/TrAvia_act!C26)/TrAvia_png!C14)</f>
        <v>0.55323608476252906</v>
      </c>
      <c r="D20" s="89">
        <f>IF(TrAvia_act!D36=0,0,(TrAvia_act!D36/TrAvia_act!D26)/TrAvia_png!D14)</f>
        <v>0.58624586701139758</v>
      </c>
      <c r="E20" s="89">
        <f>IF(TrAvia_act!E36=0,0,(TrAvia_act!E36/TrAvia_act!E26)/TrAvia_png!E14)</f>
        <v>0.58341525244825343</v>
      </c>
      <c r="F20" s="89">
        <f>IF(TrAvia_act!F36=0,0,(TrAvia_act!F36/TrAvia_act!F26)/TrAvia_png!F14)</f>
        <v>0.58213794698383459</v>
      </c>
      <c r="G20" s="89">
        <f>IF(TrAvia_act!G36=0,0,(TrAvia_act!G36/TrAvia_act!G26)/TrAvia_png!G14)</f>
        <v>0.62471023694339589</v>
      </c>
      <c r="H20" s="89">
        <f>IF(TrAvia_act!H36=0,0,(TrAvia_act!H36/TrAvia_act!H26)/TrAvia_png!H14)</f>
        <v>0.70519839179348054</v>
      </c>
      <c r="I20" s="89">
        <f>IF(TrAvia_act!I36=0,0,(TrAvia_act!I36/TrAvia_act!I26)/TrAvia_png!I14)</f>
        <v>0.70712816674440915</v>
      </c>
      <c r="J20" s="89">
        <f>IF(TrAvia_act!J36=0,0,(TrAvia_act!J36/TrAvia_act!J26)/TrAvia_png!J14)</f>
        <v>0.68305813836527751</v>
      </c>
      <c r="K20" s="89">
        <f>IF(TrAvia_act!K36=0,0,(TrAvia_act!K36/TrAvia_act!K26)/TrAvia_png!K14)</f>
        <v>0.69702745218013973</v>
      </c>
      <c r="L20" s="89">
        <f>IF(TrAvia_act!L36=0,0,(TrAvia_act!L36/TrAvia_act!L26)/TrAvia_png!L14)</f>
        <v>0.70159421600636629</v>
      </c>
      <c r="M20" s="89">
        <f>IF(TrAvia_act!M36=0,0,(TrAvia_act!M36/TrAvia_act!M26)/TrAvia_png!M14)</f>
        <v>0.72194145535931309</v>
      </c>
      <c r="N20" s="89">
        <f>IF(TrAvia_act!N36=0,0,(TrAvia_act!N36/TrAvia_act!N26)/TrAvia_png!N14)</f>
        <v>0.747135051520742</v>
      </c>
      <c r="O20" s="89">
        <f>IF(TrAvia_act!O36=0,0,(TrAvia_act!O36/TrAvia_act!O26)/TrAvia_png!O14)</f>
        <v>0.73206201859299658</v>
      </c>
      <c r="P20" s="89">
        <f>IF(TrAvia_act!P36=0,0,(TrAvia_act!P36/TrAvia_act!P26)/TrAvia_png!P14)</f>
        <v>0.76331015240965416</v>
      </c>
      <c r="Q20" s="89">
        <f>IF(TrAvia_act!Q36=0,0,(TrAvia_act!Q36/TrAvia_act!Q26)/TrAvia_png!Q14)</f>
        <v>0.76461659430490359</v>
      </c>
      <c r="R20" s="89">
        <f>IF(TrAvia_act!R36=0,0,(TrAvia_act!R36/TrAvia_act!R26)/TrAvia_png!R14)</f>
        <v>0.76317016020024153</v>
      </c>
      <c r="S20" s="89">
        <f>IF(TrAvia_act!S36=0,0,(TrAvia_act!S36/TrAvia_act!S26)/TrAvia_png!S14)</f>
        <v>0.78314968482786929</v>
      </c>
      <c r="T20" s="89">
        <f>IF(TrAvia_act!T36=0,0,(TrAvia_act!T36/TrAvia_act!T26)/TrAvia_png!T14)</f>
        <v>0.76895315914990392</v>
      </c>
      <c r="U20" s="89">
        <f>IF(TrAvia_act!U36=0,0,(TrAvia_act!U36/TrAvia_act!U26)/TrAvia_png!U14)</f>
        <v>0.76849673870349799</v>
      </c>
      <c r="V20" s="89">
        <f>IF(TrAvia_act!V36=0,0,(TrAvia_act!V36/TrAvia_act!V26)/TrAvia_png!V14)</f>
        <v>0.56544136634386777</v>
      </c>
      <c r="W20" s="89">
        <f>IF(TrAvia_act!W36=0,0,(TrAvia_act!W36/TrAvia_act!W26)/TrAvia_png!W14)</f>
        <v>0.65321967875570297</v>
      </c>
      <c r="X20" s="89">
        <f>IF(TrAvia_act!X36=0,0,(TrAvia_act!X36/TrAvia_act!X26)/TrAvia_png!X14)</f>
        <v>0.75019910713672866</v>
      </c>
      <c r="Y20" s="89">
        <f>IF(TrAvia_act!Y36=0,0,(TrAvia_act!Y36/TrAvia_act!Y26)/TrAvia_png!Y14)</f>
        <v>0.76692226853379009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0.51121767543376395</v>
      </c>
      <c r="C21" s="90">
        <f>IF(TrAvia_act!C37=0,0,(TrAvia_act!C37/TrAvia_act!C27)/TrAvia_png!C15)</f>
        <v>0.53007630534487626</v>
      </c>
      <c r="D21" s="90">
        <f>IF(TrAvia_act!D37=0,0,(TrAvia_act!D37/TrAvia_act!D27)/TrAvia_png!D15)</f>
        <v>0.61574273944224378</v>
      </c>
      <c r="E21" s="90">
        <f>IF(TrAvia_act!E37=0,0,(TrAvia_act!E37/TrAvia_act!E27)/TrAvia_png!E15)</f>
        <v>0.58069097283372162</v>
      </c>
      <c r="F21" s="90">
        <f>IF(TrAvia_act!F37=0,0,(TrAvia_act!F37/TrAvia_act!F27)/TrAvia_png!F15)</f>
        <v>0.60374593977543634</v>
      </c>
      <c r="G21" s="90">
        <f>IF(TrAvia_act!G37=0,0,(TrAvia_act!G37/TrAvia_act!G27)/TrAvia_png!G15)</f>
        <v>0.60387354793909842</v>
      </c>
      <c r="H21" s="90">
        <f>IF(TrAvia_act!H37=0,0,(TrAvia_act!H37/TrAvia_act!H27)/TrAvia_png!H15)</f>
        <v>0.84982482296836559</v>
      </c>
      <c r="I21" s="90">
        <f>IF(TrAvia_act!I37=0,0,(TrAvia_act!I37/TrAvia_act!I27)/TrAvia_png!I15)</f>
        <v>0.86443970760722344</v>
      </c>
      <c r="J21" s="90">
        <f>IF(TrAvia_act!J37=0,0,(TrAvia_act!J37/TrAvia_act!J27)/TrAvia_png!J15)</f>
        <v>0.8205250314473671</v>
      </c>
      <c r="K21" s="90">
        <f>IF(TrAvia_act!K37=0,0,(TrAvia_act!K37/TrAvia_act!K27)/TrAvia_png!K15)</f>
        <v>0.79310315415007182</v>
      </c>
      <c r="L21" s="90">
        <f>IF(TrAvia_act!L37=0,0,(TrAvia_act!L37/TrAvia_act!L27)/TrAvia_png!L15)</f>
        <v>0.75076156969476715</v>
      </c>
      <c r="M21" s="90">
        <f>IF(TrAvia_act!M37=0,0,(TrAvia_act!M37/TrAvia_act!M27)/TrAvia_png!M15)</f>
        <v>0.7149125982214255</v>
      </c>
      <c r="N21" s="90">
        <f>IF(TrAvia_act!N37=0,0,(TrAvia_act!N37/TrAvia_act!N27)/TrAvia_png!N15)</f>
        <v>0.75352538737005381</v>
      </c>
      <c r="O21" s="90">
        <f>IF(TrAvia_act!O37=0,0,(TrAvia_act!O37/TrAvia_act!O27)/TrAvia_png!O15)</f>
        <v>0.80311213501466228</v>
      </c>
      <c r="P21" s="90">
        <f>IF(TrAvia_act!P37=0,0,(TrAvia_act!P37/TrAvia_act!P27)/TrAvia_png!P15)</f>
        <v>0.80438488608322922</v>
      </c>
      <c r="Q21" s="90">
        <f>IF(TrAvia_act!Q37=0,0,(TrAvia_act!Q37/TrAvia_act!Q27)/TrAvia_png!Q15)</f>
        <v>0.79339021268638521</v>
      </c>
      <c r="R21" s="90">
        <f>IF(TrAvia_act!R37=0,0,(TrAvia_act!R37/TrAvia_act!R27)/TrAvia_png!R15)</f>
        <v>0.79795001419215417</v>
      </c>
      <c r="S21" s="90">
        <f>IF(TrAvia_act!S37=0,0,(TrAvia_act!S37/TrAvia_act!S27)/TrAvia_png!S15)</f>
        <v>0.8137465704792306</v>
      </c>
      <c r="T21" s="90">
        <f>IF(TrAvia_act!T37=0,0,(TrAvia_act!T37/TrAvia_act!T27)/TrAvia_png!T15)</f>
        <v>0.79855654771889528</v>
      </c>
      <c r="U21" s="90">
        <f>IF(TrAvia_act!U37=0,0,(TrAvia_act!U37/TrAvia_act!U27)/TrAvia_png!U15)</f>
        <v>0.7898641247849727</v>
      </c>
      <c r="V21" s="90">
        <f>IF(TrAvia_act!V37=0,0,(TrAvia_act!V37/TrAvia_act!V27)/TrAvia_png!V15)</f>
        <v>0.48442633217548337</v>
      </c>
      <c r="W21" s="90">
        <f>IF(TrAvia_act!W37=0,0,(TrAvia_act!W37/TrAvia_act!W27)/TrAvia_png!W15)</f>
        <v>0.40591893000605683</v>
      </c>
      <c r="X21" s="90">
        <f>IF(TrAvia_act!X37=0,0,(TrAvia_act!X37/TrAvia_act!X27)/TrAvia_png!X15)</f>
        <v>0.72661038176950621</v>
      </c>
      <c r="Y21" s="90">
        <f>IF(TrAvia_act!Y37=0,0,(TrAvia_act!Y37/TrAvia_act!Y27)/TrAvia_png!Y15)</f>
        <v>0.83748159712628789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4.1589976090320897E-2</v>
      </c>
      <c r="C24" s="23">
        <f>IF(TrAvia_ene!C6=0,0,TrAvia_ene!C6/(C12*TrAvia_act!C14))</f>
        <v>4.1882944003835819E-2</v>
      </c>
      <c r="D24" s="23">
        <f>IF(TrAvia_ene!D6=0,0,TrAvia_ene!D6/(D12*TrAvia_act!D14))</f>
        <v>4.0192678657787854E-2</v>
      </c>
      <c r="E24" s="23">
        <f>IF(TrAvia_ene!E6=0,0,TrAvia_ene!E6/(E12*TrAvia_act!E14))</f>
        <v>4.2690114848863391E-2</v>
      </c>
      <c r="F24" s="23">
        <f>IF(TrAvia_ene!F6=0,0,TrAvia_ene!F6/(F12*TrAvia_act!F14))</f>
        <v>4.5327635262376563E-2</v>
      </c>
      <c r="G24" s="23">
        <f>IF(TrAvia_ene!G6=0,0,TrAvia_ene!G6/(G12*TrAvia_act!G14))</f>
        <v>4.6659339235423987E-2</v>
      </c>
      <c r="H24" s="23">
        <f>IF(TrAvia_ene!H6=0,0,TrAvia_ene!H6/(H12*TrAvia_act!H14))</f>
        <v>5.1592703127127666E-2</v>
      </c>
      <c r="I24" s="23">
        <f>IF(TrAvia_ene!I6=0,0,TrAvia_ene!I6/(I12*TrAvia_act!I14))</f>
        <v>5.0926241761141057E-2</v>
      </c>
      <c r="J24" s="23">
        <f>IF(TrAvia_ene!J6=0,0,TrAvia_ene!J6/(J12*TrAvia_act!J14))</f>
        <v>4.684802905631312E-2</v>
      </c>
      <c r="K24" s="23">
        <f>IF(TrAvia_ene!K6=0,0,TrAvia_ene!K6/(K12*TrAvia_act!K14))</f>
        <v>4.4108122770975658E-2</v>
      </c>
      <c r="L24" s="23">
        <f>IF(TrAvia_ene!L6=0,0,TrAvia_ene!L6/(L12*TrAvia_act!L14))</f>
        <v>4.136609668599165E-2</v>
      </c>
      <c r="M24" s="23">
        <f>IF(TrAvia_ene!M6=0,0,TrAvia_ene!M6/(M12*TrAvia_act!M14))</f>
        <v>4.1038667989609492E-2</v>
      </c>
      <c r="N24" s="23">
        <f>IF(TrAvia_ene!N6=0,0,TrAvia_ene!N6/(N12*TrAvia_act!N14))</f>
        <v>3.9686821807974587E-2</v>
      </c>
      <c r="O24" s="23">
        <f>IF(TrAvia_ene!O6=0,0,TrAvia_ene!O6/(O12*TrAvia_act!O14))</f>
        <v>3.7888296741753161E-2</v>
      </c>
      <c r="P24" s="23">
        <f>IF(TrAvia_ene!P6=0,0,TrAvia_ene!P6/(P12*TrAvia_act!P14))</f>
        <v>3.9504199846696585E-2</v>
      </c>
      <c r="Q24" s="23">
        <f>IF(TrAvia_ene!Q6=0,0,TrAvia_ene!Q6/(Q12*TrAvia_act!Q14))</f>
        <v>3.7362014497580635E-2</v>
      </c>
      <c r="R24" s="23">
        <f>IF(TrAvia_ene!R6=0,0,TrAvia_ene!R6/(R12*TrAvia_act!R14))</f>
        <v>3.6536153717008128E-2</v>
      </c>
      <c r="S24" s="23">
        <f>IF(TrAvia_ene!S6=0,0,TrAvia_ene!S6/(S12*TrAvia_act!S14))</f>
        <v>3.6874830552814875E-2</v>
      </c>
      <c r="T24" s="23">
        <f>IF(TrAvia_ene!T6=0,0,TrAvia_ene!T6/(T12*TrAvia_act!T14))</f>
        <v>3.5600642016613455E-2</v>
      </c>
      <c r="U24" s="23">
        <f>IF(TrAvia_ene!U6=0,0,TrAvia_ene!U6/(U12*TrAvia_act!U14))</f>
        <v>3.6005947574803604E-2</v>
      </c>
      <c r="V24" s="23">
        <f>IF(TrAvia_ene!V6=0,0,TrAvia_ene!V6/(V12*TrAvia_act!V14))</f>
        <v>3.6026970414796598E-2</v>
      </c>
      <c r="W24" s="23">
        <f>IF(TrAvia_ene!W6=0,0,TrAvia_ene!W6/(W12*TrAvia_act!W14))</f>
        <v>3.4623545003631587E-2</v>
      </c>
      <c r="X24" s="23">
        <f>IF(TrAvia_ene!X6=0,0,TrAvia_ene!X6/(X12*TrAvia_act!X14))</f>
        <v>2.9177214762934521E-2</v>
      </c>
      <c r="Y24" s="23">
        <f>IF(TrAvia_ene!Y6=0,0,TrAvia_ene!Y6/(Y12*TrAvia_act!Y14))</f>
        <v>2.8379069611125001E-2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7.1529015596407605E-2</v>
      </c>
      <c r="C25" s="91">
        <f>IF(TrAvia_ene!C7=0,0,TrAvia_ene!C7/(C13*TrAvia_act!C15))</f>
        <v>7.2607156698573816E-2</v>
      </c>
      <c r="D25" s="91">
        <f>IF(TrAvia_ene!D7=0,0,TrAvia_ene!D7/(D13*TrAvia_act!D15))</f>
        <v>6.7810845282398585E-2</v>
      </c>
      <c r="E25" s="91">
        <f>IF(TrAvia_ene!E7=0,0,TrAvia_ene!E7/(E13*TrAvia_act!E15))</f>
        <v>6.2177129002809368E-2</v>
      </c>
      <c r="F25" s="91">
        <f>IF(TrAvia_ene!F7=0,0,TrAvia_ene!F7/(F13*TrAvia_act!F15))</f>
        <v>4.6336548314695337E-2</v>
      </c>
      <c r="G25" s="91">
        <f>IF(TrAvia_ene!G7=0,0,TrAvia_ene!G7/(G13*TrAvia_act!G15))</f>
        <v>4.95915267495282E-2</v>
      </c>
      <c r="H25" s="91">
        <f>IF(TrAvia_ene!H7=0,0,TrAvia_ene!H7/(H13*TrAvia_act!H15))</f>
        <v>5.3967145962318053E-2</v>
      </c>
      <c r="I25" s="91">
        <f>IF(TrAvia_ene!I7=0,0,TrAvia_ene!I7/(I13*TrAvia_act!I15))</f>
        <v>5.8572554115355245E-2</v>
      </c>
      <c r="J25" s="91">
        <f>IF(TrAvia_ene!J7=0,0,TrAvia_ene!J7/(J13*TrAvia_act!J15))</f>
        <v>6.1707814410131803E-2</v>
      </c>
      <c r="K25" s="91">
        <f>IF(TrAvia_ene!K7=0,0,TrAvia_ene!K7/(K13*TrAvia_act!K15))</f>
        <v>5.676842878092736E-2</v>
      </c>
      <c r="L25" s="91">
        <f>IF(TrAvia_ene!L7=0,0,TrAvia_ene!L7/(L13*TrAvia_act!L15))</f>
        <v>5.2215136970827233E-2</v>
      </c>
      <c r="M25" s="91">
        <f>IF(TrAvia_ene!M7=0,0,TrAvia_ene!M7/(M13*TrAvia_act!M15))</f>
        <v>5.1980083326681956E-2</v>
      </c>
      <c r="N25" s="91">
        <f>IF(TrAvia_ene!N7=0,0,TrAvia_ene!N7/(N13*TrAvia_act!N15))</f>
        <v>5.6911950148250269E-2</v>
      </c>
      <c r="O25" s="91">
        <f>IF(TrAvia_ene!O7=0,0,TrAvia_ene!O7/(O13*TrAvia_act!O15))</f>
        <v>5.5087678903190412E-2</v>
      </c>
      <c r="P25" s="91">
        <f>IF(TrAvia_ene!P7=0,0,TrAvia_ene!P7/(P13*TrAvia_act!P15))</f>
        <v>5.4548387980329981E-2</v>
      </c>
      <c r="Q25" s="91">
        <f>IF(TrAvia_ene!Q7=0,0,TrAvia_ene!Q7/(Q13*TrAvia_act!Q15))</f>
        <v>5.1296906870760314E-2</v>
      </c>
      <c r="R25" s="91">
        <f>IF(TrAvia_ene!R7=0,0,TrAvia_ene!R7/(R13*TrAvia_act!R15))</f>
        <v>5.2009222755815702E-2</v>
      </c>
      <c r="S25" s="91">
        <f>IF(TrAvia_ene!S7=0,0,TrAvia_ene!S7/(S13*TrAvia_act!S15))</f>
        <v>4.9453384126683819E-2</v>
      </c>
      <c r="T25" s="91">
        <f>IF(TrAvia_ene!T7=0,0,TrAvia_ene!T7/(T13*TrAvia_act!T15))</f>
        <v>4.6328932230960899E-2</v>
      </c>
      <c r="U25" s="91">
        <f>IF(TrAvia_ene!U7=0,0,TrAvia_ene!U7/(U13*TrAvia_act!U15))</f>
        <v>4.6834661272675125E-2</v>
      </c>
      <c r="V25" s="91">
        <f>IF(TrAvia_ene!V7=0,0,TrAvia_ene!V7/(V13*TrAvia_act!V15))</f>
        <v>4.5694710762028599E-2</v>
      </c>
      <c r="W25" s="91">
        <f>IF(TrAvia_ene!W7=0,0,TrAvia_ene!W7/(W13*TrAvia_act!W15))</f>
        <v>4.2143977513488765E-2</v>
      </c>
      <c r="X25" s="91">
        <f>IF(TrAvia_ene!X7=0,0,TrAvia_ene!X7/(X13*TrAvia_act!X15))</f>
        <v>3.983359836854021E-2</v>
      </c>
      <c r="Y25" s="91">
        <f>IF(TrAvia_ene!Y7=0,0,TrAvia_ene!Y7/(Y13*TrAvia_act!Y15))</f>
        <v>3.9947274135789593E-2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3.3516678252360613E-2</v>
      </c>
      <c r="C26" s="93">
        <f>IF(TrAvia_ene!C8=0,0,TrAvia_ene!C8/(C14*TrAvia_act!C16))</f>
        <v>3.3604528410896596E-2</v>
      </c>
      <c r="D26" s="93">
        <f>IF(TrAvia_ene!D8=0,0,TrAvia_ene!D8/(D14*TrAvia_act!D16))</f>
        <v>3.1993200323413351E-2</v>
      </c>
      <c r="E26" s="93">
        <f>IF(TrAvia_ene!E8=0,0,TrAvia_ene!E8/(E14*TrAvia_act!E16))</f>
        <v>3.3843448010852969E-2</v>
      </c>
      <c r="F26" s="93">
        <f>IF(TrAvia_ene!F8=0,0,TrAvia_ene!F8/(F14*TrAvia_act!F16))</f>
        <v>3.4428682206345651E-2</v>
      </c>
      <c r="G26" s="93">
        <f>IF(TrAvia_ene!G8=0,0,TrAvia_ene!G8/(G14*TrAvia_act!G16))</f>
        <v>3.6664576127395036E-2</v>
      </c>
      <c r="H26" s="93">
        <f>IF(TrAvia_ene!H8=0,0,TrAvia_ene!H8/(H14*TrAvia_act!H16))</f>
        <v>3.9431061016414554E-2</v>
      </c>
      <c r="I26" s="93">
        <f>IF(TrAvia_ene!I8=0,0,TrAvia_ene!I8/(I14*TrAvia_act!I16))</f>
        <v>3.8900923630177497E-2</v>
      </c>
      <c r="J26" s="93">
        <f>IF(TrAvia_ene!J8=0,0,TrAvia_ene!J8/(J14*TrAvia_act!J16))</f>
        <v>3.5363443757964713E-2</v>
      </c>
      <c r="K26" s="93">
        <f>IF(TrAvia_ene!K8=0,0,TrAvia_ene!K8/(K14*TrAvia_act!K16))</f>
        <v>3.3164965705611643E-2</v>
      </c>
      <c r="L26" s="93">
        <f>IF(TrAvia_ene!L8=0,0,TrAvia_ene!L8/(L14*TrAvia_act!L16))</f>
        <v>3.1890725894706817E-2</v>
      </c>
      <c r="M26" s="93">
        <f>IF(TrAvia_ene!M8=0,0,TrAvia_ene!M8/(M14*TrAvia_act!M16))</f>
        <v>3.2730238539618352E-2</v>
      </c>
      <c r="N26" s="93">
        <f>IF(TrAvia_ene!N8=0,0,TrAvia_ene!N8/(N14*TrAvia_act!N16))</f>
        <v>3.3082484775670981E-2</v>
      </c>
      <c r="O26" s="93">
        <f>IF(TrAvia_ene!O8=0,0,TrAvia_ene!O8/(O14*TrAvia_act!O16))</f>
        <v>3.0766040511901981E-2</v>
      </c>
      <c r="P26" s="93">
        <f>IF(TrAvia_ene!P8=0,0,TrAvia_ene!P8/(P14*TrAvia_act!P16))</f>
        <v>3.292954823762826E-2</v>
      </c>
      <c r="Q26" s="93">
        <f>IF(TrAvia_ene!Q8=0,0,TrAvia_ene!Q8/(Q14*TrAvia_act!Q16))</f>
        <v>3.1439678940981965E-2</v>
      </c>
      <c r="R26" s="93">
        <f>IF(TrAvia_ene!R8=0,0,TrAvia_ene!R8/(R14*TrAvia_act!R16))</f>
        <v>3.0877086575888772E-2</v>
      </c>
      <c r="S26" s="93">
        <f>IF(TrAvia_ene!S8=0,0,TrAvia_ene!S8/(S14*TrAvia_act!S16))</f>
        <v>3.1355285029092468E-2</v>
      </c>
      <c r="T26" s="93">
        <f>IF(TrAvia_ene!T8=0,0,TrAvia_ene!T8/(T14*TrAvia_act!T16))</f>
        <v>3.1073703406638696E-2</v>
      </c>
      <c r="U26" s="93">
        <f>IF(TrAvia_ene!U8=0,0,TrAvia_ene!U8/(U14*TrAvia_act!U16))</f>
        <v>3.1702195356913584E-2</v>
      </c>
      <c r="V26" s="93">
        <f>IF(TrAvia_ene!V8=0,0,TrAvia_ene!V8/(V14*TrAvia_act!V16))</f>
        <v>2.6523440278758324E-2</v>
      </c>
      <c r="W26" s="93">
        <f>IF(TrAvia_ene!W8=0,0,TrAvia_ene!W8/(W14*TrAvia_act!W16))</f>
        <v>2.785145469886114E-2</v>
      </c>
      <c r="X26" s="93">
        <f>IF(TrAvia_ene!X8=0,0,TrAvia_ene!X8/(X14*TrAvia_act!X16))</f>
        <v>2.6079040109521074E-2</v>
      </c>
      <c r="Y26" s="93">
        <f>IF(TrAvia_ene!Y8=0,0,TrAvia_ene!Y8/(Y14*TrAvia_act!Y16))</f>
        <v>2.5587234732027987E-2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3.2859147918877875E-2</v>
      </c>
      <c r="C27" s="94">
        <f>IF(TrAvia_ene!C9=0,0,TrAvia_ene!C9/(C15*TrAvia_act!C17))</f>
        <v>3.3638841491538583E-2</v>
      </c>
      <c r="D27" s="94">
        <f>IF(TrAvia_ene!D9=0,0,TrAvia_ene!D9/(D15*TrAvia_act!D17))</f>
        <v>3.1624353956928968E-2</v>
      </c>
      <c r="E27" s="94">
        <f>IF(TrAvia_ene!E9=0,0,TrAvia_ene!E9/(E15*TrAvia_act!E17))</f>
        <v>3.1434914329113973E-2</v>
      </c>
      <c r="F27" s="94">
        <f>IF(TrAvia_ene!F9=0,0,TrAvia_ene!F9/(F15*TrAvia_act!F17))</f>
        <v>3.4121007014188083E-2</v>
      </c>
      <c r="G27" s="94">
        <f>IF(TrAvia_ene!G9=0,0,TrAvia_ene!G9/(G15*TrAvia_act!G17))</f>
        <v>3.2215881808374779E-2</v>
      </c>
      <c r="H27" s="94">
        <f>IF(TrAvia_ene!H9=0,0,TrAvia_ene!H9/(H15*TrAvia_act!H17))</f>
        <v>4.55402065568173E-2</v>
      </c>
      <c r="I27" s="94">
        <f>IF(TrAvia_ene!I9=0,0,TrAvia_ene!I9/(I15*TrAvia_act!I17))</f>
        <v>4.7546527282345701E-2</v>
      </c>
      <c r="J27" s="94">
        <f>IF(TrAvia_ene!J9=0,0,TrAvia_ene!J9/(J15*TrAvia_act!J17))</f>
        <v>4.2301316808385975E-2</v>
      </c>
      <c r="K27" s="94">
        <f>IF(TrAvia_ene!K9=0,0,TrAvia_ene!K9/(K15*TrAvia_act!K17))</f>
        <v>4.0142854982951517E-2</v>
      </c>
      <c r="L27" s="94">
        <f>IF(TrAvia_ene!L9=0,0,TrAvia_ene!L9/(L15*TrAvia_act!L17))</f>
        <v>3.5272106699019444E-2</v>
      </c>
      <c r="M27" s="94">
        <f>IF(TrAvia_ene!M9=0,0,TrAvia_ene!M9/(M15*TrAvia_act!M17))</f>
        <v>3.353372928801087E-2</v>
      </c>
      <c r="N27" s="94">
        <f>IF(TrAvia_ene!N9=0,0,TrAvia_ene!N9/(N15*TrAvia_act!N17))</f>
        <v>3.2741637495243052E-2</v>
      </c>
      <c r="O27" s="94">
        <f>IF(TrAvia_ene!O9=0,0,TrAvia_ene!O9/(O15*TrAvia_act!O17))</f>
        <v>3.2778085009360282E-2</v>
      </c>
      <c r="P27" s="94">
        <f>IF(TrAvia_ene!P9=0,0,TrAvia_ene!P9/(P15*TrAvia_act!P17))</f>
        <v>3.1359551084008598E-2</v>
      </c>
      <c r="Q27" s="94">
        <f>IF(TrAvia_ene!Q9=0,0,TrAvia_ene!Q9/(Q15*TrAvia_act!Q17))</f>
        <v>2.9199049473281703E-2</v>
      </c>
      <c r="R27" s="94">
        <f>IF(TrAvia_ene!R9=0,0,TrAvia_ene!R9/(R15*TrAvia_act!R17))</f>
        <v>2.9025427787720055E-2</v>
      </c>
      <c r="S27" s="94">
        <f>IF(TrAvia_ene!S9=0,0,TrAvia_ene!S9/(S15*TrAvia_act!S17))</f>
        <v>2.9240020031493244E-2</v>
      </c>
      <c r="T27" s="94">
        <f>IF(TrAvia_ene!T9=0,0,TrAvia_ene!T9/(T15*TrAvia_act!T17))</f>
        <v>2.7986198092837991E-2</v>
      </c>
      <c r="U27" s="94">
        <f>IF(TrAvia_ene!U9=0,0,TrAvia_ene!U9/(U15*TrAvia_act!U17))</f>
        <v>2.7961794922187474E-2</v>
      </c>
      <c r="V27" s="94">
        <f>IF(TrAvia_ene!V9=0,0,TrAvia_ene!V9/(V15*TrAvia_act!V17))</f>
        <v>2.8146819745959839E-2</v>
      </c>
      <c r="W27" s="94">
        <f>IF(TrAvia_ene!W9=0,0,TrAvia_ene!W9/(W15*TrAvia_act!W17))</f>
        <v>2.5928900040213552E-2</v>
      </c>
      <c r="X27" s="94">
        <f>IF(TrAvia_ene!X9=0,0,TrAvia_ene!X9/(X15*TrAvia_act!X17))</f>
        <v>2.4791717330378736E-2</v>
      </c>
      <c r="Y27" s="94">
        <f>IF(TrAvia_ene!Y9=0,0,TrAvia_ene!Y9/(Y15*TrAvia_act!Y17))</f>
        <v>2.6097975484152072E-2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1533.1780000000001</v>
      </c>
      <c r="C3" s="54">
        <f t="shared" si="0"/>
        <v>1880.845</v>
      </c>
      <c r="D3" s="54">
        <f t="shared" si="0"/>
        <v>1666.383</v>
      </c>
      <c r="E3" s="54">
        <f t="shared" si="0"/>
        <v>1908.069</v>
      </c>
      <c r="F3" s="54">
        <f t="shared" si="0"/>
        <v>1803.4780000000001</v>
      </c>
      <c r="G3" s="54">
        <f t="shared" si="0"/>
        <v>2029.19</v>
      </c>
      <c r="H3" s="54">
        <f t="shared" si="0"/>
        <v>2309.768</v>
      </c>
      <c r="I3" s="54">
        <f t="shared" si="0"/>
        <v>2467.0030000000002</v>
      </c>
      <c r="J3" s="54">
        <f t="shared" si="0"/>
        <v>2350.4659999999999</v>
      </c>
      <c r="K3" s="54">
        <f t="shared" si="0"/>
        <v>1833.8969999999999</v>
      </c>
      <c r="L3" s="54">
        <f t="shared" si="0"/>
        <v>2060.0259999999998</v>
      </c>
      <c r="M3" s="54">
        <f t="shared" si="0"/>
        <v>2104.4740000000002</v>
      </c>
      <c r="N3" s="54">
        <f t="shared" si="0"/>
        <v>2158.645</v>
      </c>
      <c r="O3" s="54">
        <f t="shared" si="0"/>
        <v>1711.8040000000001</v>
      </c>
      <c r="P3" s="54">
        <f t="shared" si="0"/>
        <v>1730.8330000000001</v>
      </c>
      <c r="Q3" s="54">
        <f t="shared" si="0"/>
        <v>1838.3420000000001</v>
      </c>
      <c r="R3" s="54">
        <f t="shared" ref="R3:V3" si="1">SUM(R4:R5)</f>
        <v>1892.2349999999999</v>
      </c>
      <c r="S3" s="54">
        <f t="shared" si="1"/>
        <v>1736.6669999999999</v>
      </c>
      <c r="T3" s="54">
        <f t="shared" si="1"/>
        <v>1611.518</v>
      </c>
      <c r="U3" s="54">
        <f t="shared" si="1"/>
        <v>1637.075</v>
      </c>
      <c r="V3" s="54">
        <f t="shared" si="1"/>
        <v>1469.423</v>
      </c>
      <c r="W3" s="54">
        <f t="shared" ref="W3:Y3" si="2">SUM(W4:W5)</f>
        <v>1515.1210000000001</v>
      </c>
      <c r="X3" s="54">
        <f t="shared" si="2"/>
        <v>1797.2270000000001</v>
      </c>
      <c r="Y3" s="54">
        <f t="shared" si="2"/>
        <v>1767.9190000000001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1533.1780000000001</v>
      </c>
      <c r="C4" s="56">
        <v>1880.845</v>
      </c>
      <c r="D4" s="56">
        <v>1666.383</v>
      </c>
      <c r="E4" s="56">
        <v>1908.069</v>
      </c>
      <c r="F4" s="56">
        <v>1803.4780000000001</v>
      </c>
      <c r="G4" s="56">
        <v>2029.19</v>
      </c>
      <c r="H4" s="56">
        <v>2309.768</v>
      </c>
      <c r="I4" s="56">
        <v>2467.0030000000002</v>
      </c>
      <c r="J4" s="56">
        <v>2350.4659999999999</v>
      </c>
      <c r="K4" s="56">
        <v>1833.8969999999999</v>
      </c>
      <c r="L4" s="56">
        <v>2060.0259999999998</v>
      </c>
      <c r="M4" s="56">
        <v>2104.4740000000002</v>
      </c>
      <c r="N4" s="56">
        <v>2158.645</v>
      </c>
      <c r="O4" s="56">
        <v>1711.8040000000001</v>
      </c>
      <c r="P4" s="56">
        <v>1730.8330000000001</v>
      </c>
      <c r="Q4" s="56">
        <v>1838.3420000000001</v>
      </c>
      <c r="R4" s="56">
        <v>1892.2349999999999</v>
      </c>
      <c r="S4" s="56">
        <v>1736.6669999999999</v>
      </c>
      <c r="T4" s="56">
        <v>1611.518</v>
      </c>
      <c r="U4" s="56">
        <v>1637.075</v>
      </c>
      <c r="V4" s="56">
        <v>1469.423</v>
      </c>
      <c r="W4" s="56">
        <v>1515.1210000000001</v>
      </c>
      <c r="X4" s="56">
        <v>1797.2270000000001</v>
      </c>
      <c r="Y4" s="56">
        <v>1767.9190000000001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0.372</v>
      </c>
      <c r="C7" s="59">
        <f t="shared" si="3"/>
        <v>0.43</v>
      </c>
      <c r="D7" s="59">
        <f t="shared" si="3"/>
        <v>0.434</v>
      </c>
      <c r="E7" s="59">
        <f t="shared" si="3"/>
        <v>0.42799999999999999</v>
      </c>
      <c r="F7" s="59">
        <f t="shared" si="3"/>
        <v>0.42499999999999999</v>
      </c>
      <c r="G7" s="59">
        <f t="shared" si="3"/>
        <v>0.52800000000000002</v>
      </c>
      <c r="H7" s="59">
        <f t="shared" si="3"/>
        <v>0.54300000000000004</v>
      </c>
      <c r="I7" s="59">
        <f t="shared" si="3"/>
        <v>0.51700000000000002</v>
      </c>
      <c r="J7" s="59">
        <f t="shared" si="3"/>
        <v>0.51500000000000001</v>
      </c>
      <c r="K7" s="59">
        <f t="shared" si="3"/>
        <v>0.49399999999999999</v>
      </c>
      <c r="L7" s="59">
        <f t="shared" si="3"/>
        <v>0.41199999999999998</v>
      </c>
      <c r="M7" s="59">
        <f t="shared" si="3"/>
        <v>0.41699999999999998</v>
      </c>
      <c r="N7" s="59">
        <f t="shared" si="3"/>
        <v>0.435</v>
      </c>
      <c r="O7" s="59">
        <f t="shared" si="3"/>
        <v>0.34799999999999998</v>
      </c>
      <c r="P7" s="59">
        <f t="shared" si="3"/>
        <v>0.34799999999999998</v>
      </c>
      <c r="Q7" s="59">
        <f t="shared" si="3"/>
        <v>0.38700000000000001</v>
      </c>
      <c r="R7" s="59">
        <f t="shared" ref="R7:V7" si="4">SUM(R8:R9)</f>
        <v>0.441</v>
      </c>
      <c r="S7" s="59">
        <f t="shared" si="4"/>
        <v>0.39300000000000002</v>
      </c>
      <c r="T7" s="59">
        <f t="shared" si="4"/>
        <v>0.34100000000000003</v>
      </c>
      <c r="U7" s="59">
        <f t="shared" si="4"/>
        <v>0.34200000000000003</v>
      </c>
      <c r="V7" s="59">
        <f t="shared" si="4"/>
        <v>0.29399999999999998</v>
      </c>
      <c r="W7" s="59">
        <f t="shared" ref="W7:Y7" si="5">SUM(W8:W9)</f>
        <v>0.28000000000000003</v>
      </c>
      <c r="X7" s="59">
        <f t="shared" si="5"/>
        <v>0.39700000000000002</v>
      </c>
      <c r="Y7" s="59">
        <f t="shared" si="5"/>
        <v>0.39600000000000002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0.372</v>
      </c>
      <c r="C8" s="60">
        <v>0.43</v>
      </c>
      <c r="D8" s="60">
        <v>0.434</v>
      </c>
      <c r="E8" s="60">
        <v>0.42799999999999999</v>
      </c>
      <c r="F8" s="60">
        <v>0.42499999999999999</v>
      </c>
      <c r="G8" s="60">
        <v>0.52800000000000002</v>
      </c>
      <c r="H8" s="60">
        <v>0.54300000000000004</v>
      </c>
      <c r="I8" s="60">
        <v>0.51700000000000002</v>
      </c>
      <c r="J8" s="60">
        <v>0.51500000000000001</v>
      </c>
      <c r="K8" s="60">
        <v>0.49399999999999999</v>
      </c>
      <c r="L8" s="60">
        <v>0.41199999999999998</v>
      </c>
      <c r="M8" s="60">
        <v>0.41699999999999998</v>
      </c>
      <c r="N8" s="60">
        <v>0.435</v>
      </c>
      <c r="O8" s="60">
        <v>0.34799999999999998</v>
      </c>
      <c r="P8" s="60">
        <v>0.34799999999999998</v>
      </c>
      <c r="Q8" s="60">
        <v>0.38700000000000001</v>
      </c>
      <c r="R8" s="60">
        <v>0.441</v>
      </c>
      <c r="S8" s="60">
        <v>0.39300000000000002</v>
      </c>
      <c r="T8" s="60">
        <v>0.34100000000000003</v>
      </c>
      <c r="U8" s="60">
        <v>0.34200000000000003</v>
      </c>
      <c r="V8" s="60">
        <v>0.29399999999999998</v>
      </c>
      <c r="W8" s="60">
        <v>0.28000000000000003</v>
      </c>
      <c r="X8" s="60">
        <v>0.39700000000000002</v>
      </c>
      <c r="Y8" s="60">
        <v>0.39600000000000002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4121.4462365591398</v>
      </c>
      <c r="C13" s="62">
        <f t="shared" si="6"/>
        <v>4374.0581395348836</v>
      </c>
      <c r="D13" s="62">
        <f t="shared" si="6"/>
        <v>3839.5921658986176</v>
      </c>
      <c r="E13" s="62">
        <f t="shared" si="6"/>
        <v>4458.1051401869163</v>
      </c>
      <c r="F13" s="62">
        <f t="shared" ref="F13:V13" si="7">IF(F3=0,0,F3/F7)</f>
        <v>4243.477647058824</v>
      </c>
      <c r="G13" s="62">
        <f t="shared" si="7"/>
        <v>3843.1628787878785</v>
      </c>
      <c r="H13" s="62">
        <f t="shared" si="7"/>
        <v>4253.7163904235722</v>
      </c>
      <c r="I13" s="62">
        <f t="shared" si="7"/>
        <v>4771.7659574468089</v>
      </c>
      <c r="J13" s="62">
        <f t="shared" si="7"/>
        <v>4564.0116504854368</v>
      </c>
      <c r="K13" s="62">
        <f t="shared" si="7"/>
        <v>3712.3421052631579</v>
      </c>
      <c r="L13" s="62">
        <f t="shared" si="7"/>
        <v>5000.0631067961167</v>
      </c>
      <c r="M13" s="62">
        <f t="shared" si="7"/>
        <v>5046.700239808154</v>
      </c>
      <c r="N13" s="62">
        <f t="shared" si="7"/>
        <v>4962.4022988505749</v>
      </c>
      <c r="O13" s="62">
        <f t="shared" si="7"/>
        <v>4918.977011494253</v>
      </c>
      <c r="P13" s="62">
        <f t="shared" si="7"/>
        <v>4973.6580459770121</v>
      </c>
      <c r="Q13" s="62">
        <f t="shared" si="7"/>
        <v>4750.2377260981912</v>
      </c>
      <c r="R13" s="62">
        <f t="shared" si="7"/>
        <v>4290.7823129251701</v>
      </c>
      <c r="S13" s="62">
        <f t="shared" si="7"/>
        <v>4419</v>
      </c>
      <c r="T13" s="62">
        <f t="shared" si="7"/>
        <v>4725.859237536657</v>
      </c>
      <c r="U13" s="62">
        <f t="shared" si="7"/>
        <v>4786.7690058479529</v>
      </c>
      <c r="V13" s="62">
        <f t="shared" si="7"/>
        <v>4998.0374149659865</v>
      </c>
      <c r="W13" s="62">
        <f t="shared" ref="W13:Y13" si="8">IF(W3=0,0,W3/W7)</f>
        <v>5411.1464285714283</v>
      </c>
      <c r="X13" s="62">
        <f t="shared" si="8"/>
        <v>4527.0201511335017</v>
      </c>
      <c r="Y13" s="62">
        <f t="shared" si="8"/>
        <v>4464.4419191919196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4121.4462365591398</v>
      </c>
      <c r="C14" s="63">
        <f t="shared" si="6"/>
        <v>4374.0581395348836</v>
      </c>
      <c r="D14" s="63">
        <f t="shared" si="6"/>
        <v>3839.5921658986176</v>
      </c>
      <c r="E14" s="63">
        <f t="shared" si="6"/>
        <v>4458.1051401869163</v>
      </c>
      <c r="F14" s="63">
        <f t="shared" ref="F14:V14" si="9">IF(F4=0,0,F4/F8)</f>
        <v>4243.477647058824</v>
      </c>
      <c r="G14" s="63">
        <f t="shared" si="9"/>
        <v>3843.1628787878785</v>
      </c>
      <c r="H14" s="63">
        <f t="shared" si="9"/>
        <v>4253.7163904235722</v>
      </c>
      <c r="I14" s="63">
        <f t="shared" si="9"/>
        <v>4771.7659574468089</v>
      </c>
      <c r="J14" s="63">
        <f t="shared" si="9"/>
        <v>4564.0116504854368</v>
      </c>
      <c r="K14" s="63">
        <f t="shared" si="9"/>
        <v>3712.3421052631579</v>
      </c>
      <c r="L14" s="63">
        <f t="shared" si="9"/>
        <v>5000.0631067961167</v>
      </c>
      <c r="M14" s="63">
        <f t="shared" si="9"/>
        <v>5046.700239808154</v>
      </c>
      <c r="N14" s="63">
        <f t="shared" si="9"/>
        <v>4962.4022988505749</v>
      </c>
      <c r="O14" s="63">
        <f t="shared" si="9"/>
        <v>4918.977011494253</v>
      </c>
      <c r="P14" s="63">
        <f t="shared" si="9"/>
        <v>4973.6580459770121</v>
      </c>
      <c r="Q14" s="63">
        <f t="shared" si="9"/>
        <v>4750.2377260981912</v>
      </c>
      <c r="R14" s="63">
        <f t="shared" si="9"/>
        <v>4290.7823129251701</v>
      </c>
      <c r="S14" s="63">
        <f t="shared" si="9"/>
        <v>4419</v>
      </c>
      <c r="T14" s="63">
        <f t="shared" si="9"/>
        <v>4725.859237536657</v>
      </c>
      <c r="U14" s="63">
        <f t="shared" si="9"/>
        <v>4786.7690058479529</v>
      </c>
      <c r="V14" s="63">
        <f t="shared" si="9"/>
        <v>4998.0374149659865</v>
      </c>
      <c r="W14" s="63">
        <f t="shared" ref="W14:Y14" si="10">IF(W4=0,0,W4/W8)</f>
        <v>5411.1464285714283</v>
      </c>
      <c r="X14" s="63">
        <f t="shared" si="10"/>
        <v>4527.0201511335017</v>
      </c>
      <c r="Y14" s="63">
        <f t="shared" si="10"/>
        <v>4464.4419191919196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:Y15" si="12">IF(W5=0,0,W5/W9)</f>
        <v>0</v>
      </c>
      <c r="X15" s="64">
        <f t="shared" si="12"/>
        <v>0</v>
      </c>
      <c r="Y15" s="64">
        <f t="shared" si="12"/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:Y18" si="18">IF(W4=0,0,W4/W$3)</f>
        <v>1</v>
      </c>
      <c r="X18" s="66">
        <f t="shared" si="18"/>
        <v>1</v>
      </c>
      <c r="Y18" s="66">
        <f t="shared" si="18"/>
        <v>1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:Y19" si="21">IF(W5=0,0,W5/W$3)</f>
        <v>0</v>
      </c>
      <c r="X19" s="67">
        <f t="shared" si="21"/>
        <v>0</v>
      </c>
      <c r="Y19" s="67">
        <f t="shared" si="21"/>
        <v>0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:Y22" si="27">IF(W8=0,0,W8/W$7)</f>
        <v>1</v>
      </c>
      <c r="X22" s="66">
        <f t="shared" si="27"/>
        <v>1</v>
      </c>
      <c r="Y22" s="66">
        <f t="shared" si="27"/>
        <v>1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:Y23" si="30">IF(W9=0,0,W9/W$7)</f>
        <v>0</v>
      </c>
      <c r="X23" s="67">
        <f t="shared" si="30"/>
        <v>0</v>
      </c>
      <c r="Y23" s="67">
        <f t="shared" si="30"/>
        <v>0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163.40765262252793</v>
      </c>
      <c r="C3" s="62">
        <f t="shared" ref="C3:V3" si="0">SUM(C4,C10)</f>
        <v>169.526913155632</v>
      </c>
      <c r="D3" s="62">
        <f t="shared" si="0"/>
        <v>189.23877901977642</v>
      </c>
      <c r="E3" s="62">
        <f t="shared" si="0"/>
        <v>187.49286328460869</v>
      </c>
      <c r="F3" s="62">
        <f t="shared" si="0"/>
        <v>165.25150472914871</v>
      </c>
      <c r="G3" s="62">
        <f t="shared" si="0"/>
        <v>192.11092003439381</v>
      </c>
      <c r="H3" s="62">
        <f t="shared" si="0"/>
        <v>173.85116079105759</v>
      </c>
      <c r="I3" s="62">
        <f t="shared" si="0"/>
        <v>151.65881341358551</v>
      </c>
      <c r="J3" s="62">
        <f t="shared" si="0"/>
        <v>194.22226999140156</v>
      </c>
      <c r="K3" s="62">
        <f t="shared" si="0"/>
        <v>180.10894239036972</v>
      </c>
      <c r="L3" s="62">
        <f t="shared" si="0"/>
        <v>155.90670679277724</v>
      </c>
      <c r="M3" s="62">
        <f t="shared" si="0"/>
        <v>151.99200343938091</v>
      </c>
      <c r="N3" s="62">
        <f t="shared" si="0"/>
        <v>148.07730008598455</v>
      </c>
      <c r="O3" s="62">
        <f t="shared" si="0"/>
        <v>149.89724849527084</v>
      </c>
      <c r="P3" s="62">
        <f t="shared" si="0"/>
        <v>119.63078245915736</v>
      </c>
      <c r="Q3" s="62">
        <f t="shared" si="0"/>
        <v>134.69656061908853</v>
      </c>
      <c r="R3" s="62">
        <f t="shared" si="0"/>
        <v>117.00163370593292</v>
      </c>
      <c r="S3" s="62">
        <f t="shared" si="0"/>
        <v>112.5928632846088</v>
      </c>
      <c r="T3" s="62">
        <f t="shared" si="0"/>
        <v>116.81779879621666</v>
      </c>
      <c r="U3" s="62">
        <f t="shared" si="0"/>
        <v>121.48993981083403</v>
      </c>
      <c r="V3" s="62">
        <f t="shared" si="0"/>
        <v>117.32166809974208</v>
      </c>
      <c r="W3" s="62">
        <f t="shared" ref="W3:Y3" si="1">SUM(W4,W10)</f>
        <v>137.59733447979366</v>
      </c>
      <c r="X3" s="62">
        <f t="shared" si="1"/>
        <v>121.48323301805671</v>
      </c>
      <c r="Y3" s="62">
        <f t="shared" si="1"/>
        <v>116.85408426483237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163.40765262252793</v>
      </c>
      <c r="C4" s="71">
        <f t="shared" ref="C4:V4" si="2">SUM(C5:C9)</f>
        <v>169.526913155632</v>
      </c>
      <c r="D4" s="71">
        <f t="shared" si="2"/>
        <v>189.23877901977642</v>
      </c>
      <c r="E4" s="71">
        <f t="shared" si="2"/>
        <v>187.49286328460869</v>
      </c>
      <c r="F4" s="71">
        <f t="shared" si="2"/>
        <v>165.25150472914871</v>
      </c>
      <c r="G4" s="71">
        <f t="shared" si="2"/>
        <v>192.11092003439381</v>
      </c>
      <c r="H4" s="71">
        <f t="shared" si="2"/>
        <v>173.85116079105759</v>
      </c>
      <c r="I4" s="71">
        <f t="shared" si="2"/>
        <v>151.65881341358551</v>
      </c>
      <c r="J4" s="71">
        <f t="shared" si="2"/>
        <v>194.22226999140156</v>
      </c>
      <c r="K4" s="71">
        <f t="shared" si="2"/>
        <v>180.10894239036972</v>
      </c>
      <c r="L4" s="71">
        <f t="shared" si="2"/>
        <v>155.90670679277724</v>
      </c>
      <c r="M4" s="71">
        <f t="shared" si="2"/>
        <v>151.99200343938091</v>
      </c>
      <c r="N4" s="71">
        <f t="shared" si="2"/>
        <v>148.07730008598455</v>
      </c>
      <c r="O4" s="71">
        <f t="shared" si="2"/>
        <v>149.89724849527084</v>
      </c>
      <c r="P4" s="71">
        <f t="shared" si="2"/>
        <v>119.63078245915736</v>
      </c>
      <c r="Q4" s="71">
        <f t="shared" si="2"/>
        <v>134.69656061908853</v>
      </c>
      <c r="R4" s="71">
        <f t="shared" si="2"/>
        <v>117.00163370593292</v>
      </c>
      <c r="S4" s="71">
        <f t="shared" si="2"/>
        <v>112.5928632846088</v>
      </c>
      <c r="T4" s="71">
        <f t="shared" si="2"/>
        <v>116.81779879621666</v>
      </c>
      <c r="U4" s="71">
        <f t="shared" si="2"/>
        <v>121.48993981083403</v>
      </c>
      <c r="V4" s="71">
        <f t="shared" si="2"/>
        <v>117.32166809974208</v>
      </c>
      <c r="W4" s="71">
        <f t="shared" ref="W4:Y4" si="3">SUM(W5:W9)</f>
        <v>137.59733447979366</v>
      </c>
      <c r="X4" s="71">
        <f t="shared" si="3"/>
        <v>121.48323301805671</v>
      </c>
      <c r="Y4" s="71">
        <f t="shared" si="3"/>
        <v>116.85408426483237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127.4840068787618</v>
      </c>
      <c r="C5" s="73">
        <v>133.60326741186589</v>
      </c>
      <c r="D5" s="73">
        <v>139.7224419604471</v>
      </c>
      <c r="E5" s="73">
        <v>143.80197764402399</v>
      </c>
      <c r="F5" s="73">
        <v>125.4442820292347</v>
      </c>
      <c r="G5" s="73">
        <v>159.1</v>
      </c>
      <c r="H5" s="73">
        <v>142.7821152192605</v>
      </c>
      <c r="I5" s="73">
        <v>125.4442820292347</v>
      </c>
      <c r="J5" s="73">
        <v>166.23912295786761</v>
      </c>
      <c r="K5" s="73">
        <v>155.02055030094581</v>
      </c>
      <c r="L5" s="73">
        <v>135.64299226139289</v>
      </c>
      <c r="M5" s="73">
        <v>134.6231298366294</v>
      </c>
      <c r="N5" s="73">
        <v>133.60326741186589</v>
      </c>
      <c r="O5" s="73">
        <v>131.563456577816</v>
      </c>
      <c r="P5" s="73">
        <v>107.08658641444541</v>
      </c>
      <c r="Q5" s="73">
        <v>133.76638005159069</v>
      </c>
      <c r="R5" s="73">
        <v>116.94565778159929</v>
      </c>
      <c r="S5" s="73">
        <v>112.5928632846088</v>
      </c>
      <c r="T5" s="73">
        <v>116.7090283748925</v>
      </c>
      <c r="U5" s="73">
        <v>116.6121238177128</v>
      </c>
      <c r="V5" s="73">
        <v>107.0417024935512</v>
      </c>
      <c r="W5" s="73">
        <v>117.5616509028375</v>
      </c>
      <c r="X5" s="73">
        <v>112.9936371453138</v>
      </c>
      <c r="Y5" s="73">
        <v>114.4306964746346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35.92364574376613</v>
      </c>
      <c r="C6" s="73">
        <v>35.923645743766116</v>
      </c>
      <c r="D6" s="73">
        <v>49.516337059329317</v>
      </c>
      <c r="E6" s="73">
        <v>43.690885640584696</v>
      </c>
      <c r="F6" s="73">
        <v>39.807222699914007</v>
      </c>
      <c r="G6" s="73">
        <v>33.01092003439382</v>
      </c>
      <c r="H6" s="73">
        <v>31.069045571797091</v>
      </c>
      <c r="I6" s="73">
        <v>26.214531384350806</v>
      </c>
      <c r="J6" s="73">
        <v>27.983147033533953</v>
      </c>
      <c r="K6" s="73">
        <v>25.088392089423905</v>
      </c>
      <c r="L6" s="73">
        <v>20.263714531384352</v>
      </c>
      <c r="M6" s="73">
        <v>17.368873602751506</v>
      </c>
      <c r="N6" s="73">
        <v>14.474032674118661</v>
      </c>
      <c r="O6" s="73">
        <v>18.333791917454846</v>
      </c>
      <c r="P6" s="73">
        <v>12.544196044711953</v>
      </c>
      <c r="Q6" s="73">
        <v>0.9301805674978425</v>
      </c>
      <c r="R6" s="73">
        <v>5.5975924333623084E-2</v>
      </c>
      <c r="S6" s="73">
        <v>0</v>
      </c>
      <c r="T6" s="73">
        <v>0.10877042132416648</v>
      </c>
      <c r="U6" s="73">
        <v>4.8778159931212315</v>
      </c>
      <c r="V6" s="73">
        <v>10.279965606190885</v>
      </c>
      <c r="W6" s="73">
        <v>20.03568357695616</v>
      </c>
      <c r="X6" s="73">
        <v>8.4895958727429104</v>
      </c>
      <c r="Y6" s="73">
        <v>2.423387790197765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:Y10" si="5">SUM(W11:W15)</f>
        <v>0</v>
      </c>
      <c r="X10" s="71">
        <f t="shared" si="5"/>
        <v>0</v>
      </c>
      <c r="Y10" s="71">
        <f t="shared" si="5"/>
        <v>0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43926.788339389233</v>
      </c>
      <c r="C19" s="62">
        <f>IF(C3=0,0,C3/TrNavi_act!C7*100)</f>
        <v>39424.863524565582</v>
      </c>
      <c r="D19" s="62">
        <f>IF(D3=0,0,D3/TrNavi_act!D7*100)</f>
        <v>43603.405304095948</v>
      </c>
      <c r="E19" s="62">
        <f>IF(E3=0,0,E3/TrNavi_act!E7*100)</f>
        <v>43806.743758086144</v>
      </c>
      <c r="F19" s="62">
        <f>IF(F3=0,0,F3/TrNavi_act!F7*100)</f>
        <v>38882.706995093817</v>
      </c>
      <c r="G19" s="62">
        <f>IF(G3=0,0,G3/TrNavi_act!G7*100)</f>
        <v>36384.643945907919</v>
      </c>
      <c r="H19" s="62">
        <f>IF(H3=0,0,H3/TrNavi_act!H7*100)</f>
        <v>32016.788359310787</v>
      </c>
      <c r="I19" s="62">
        <f>IF(I3=0,0,I3/TrNavi_act!I7*100)</f>
        <v>29334.393310171276</v>
      </c>
      <c r="J19" s="62">
        <f>IF(J3=0,0,J3/TrNavi_act!J7*100)</f>
        <v>37713.06213425273</v>
      </c>
      <c r="K19" s="62">
        <f>IF(K3=0,0,K3/TrNavi_act!K7*100)</f>
        <v>36459.300079022214</v>
      </c>
      <c r="L19" s="62">
        <f>IF(L3=0,0,L3/TrNavi_act!L7*100)</f>
        <v>37841.433687567289</v>
      </c>
      <c r="M19" s="62">
        <f>IF(M3=0,0,M3/TrNavi_act!M7*100)</f>
        <v>36448.921688100942</v>
      </c>
      <c r="N19" s="62">
        <f>IF(N3=0,0,N3/TrNavi_act!N7*100)</f>
        <v>34040.758640456217</v>
      </c>
      <c r="O19" s="62">
        <f>IF(O3=0,0,O3/TrNavi_act!O7*100)</f>
        <v>43073.921981399675</v>
      </c>
      <c r="P19" s="62">
        <f>IF(P3=0,0,P3/TrNavi_act!P7*100)</f>
        <v>34376.661626194647</v>
      </c>
      <c r="Q19" s="62">
        <f>IF(Q3=0,0,Q3/TrNavi_act!Q7*100)</f>
        <v>34805.312821469903</v>
      </c>
      <c r="R19" s="62">
        <f>IF(R3=0,0,R3/TrNavi_act!R7*100)</f>
        <v>26530.982699758031</v>
      </c>
      <c r="S19" s="62">
        <f>IF(S3=0,0,S3/TrNavi_act!S7*100)</f>
        <v>28649.583532979334</v>
      </c>
      <c r="T19" s="62">
        <f>IF(T3=0,0,T3/TrNavi_act!T7*100)</f>
        <v>34257.419001823066</v>
      </c>
      <c r="U19" s="62">
        <f>IF(U3=0,0,U3/TrNavi_act!U7*100)</f>
        <v>35523.374213694158</v>
      </c>
      <c r="V19" s="62">
        <f>IF(V3=0,0,V3/TrNavi_act!V7*100)</f>
        <v>39905.329285626562</v>
      </c>
      <c r="W19" s="62">
        <f>IF(W3=0,0,W3/TrNavi_act!W7*100)</f>
        <v>49141.905171354876</v>
      </c>
      <c r="X19" s="62">
        <f>IF(X3=0,0,X3/TrNavi_act!X7*100)</f>
        <v>30600.310583893377</v>
      </c>
      <c r="Y19" s="62">
        <f>IF(Y3=0,0,Y3/TrNavi_act!Y7*100)</f>
        <v>29508.607137583931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43926.788339389233</v>
      </c>
      <c r="C20" s="63">
        <f>IF(C4=0,0,C4/TrNavi_act!C8*100)</f>
        <v>39424.863524565582</v>
      </c>
      <c r="D20" s="63">
        <f>IF(D4=0,0,D4/TrNavi_act!D8*100)</f>
        <v>43603.405304095948</v>
      </c>
      <c r="E20" s="63">
        <f>IF(E4=0,0,E4/TrNavi_act!E8*100)</f>
        <v>43806.743758086144</v>
      </c>
      <c r="F20" s="63">
        <f>IF(F4=0,0,F4/TrNavi_act!F8*100)</f>
        <v>38882.706995093817</v>
      </c>
      <c r="G20" s="63">
        <f>IF(G4=0,0,G4/TrNavi_act!G8*100)</f>
        <v>36384.643945907919</v>
      </c>
      <c r="H20" s="63">
        <f>IF(H4=0,0,H4/TrNavi_act!H8*100)</f>
        <v>32016.788359310787</v>
      </c>
      <c r="I20" s="63">
        <f>IF(I4=0,0,I4/TrNavi_act!I8*100)</f>
        <v>29334.393310171276</v>
      </c>
      <c r="J20" s="63">
        <f>IF(J4=0,0,J4/TrNavi_act!J8*100)</f>
        <v>37713.06213425273</v>
      </c>
      <c r="K20" s="63">
        <f>IF(K4=0,0,K4/TrNavi_act!K8*100)</f>
        <v>36459.300079022214</v>
      </c>
      <c r="L20" s="63">
        <f>IF(L4=0,0,L4/TrNavi_act!L8*100)</f>
        <v>37841.433687567289</v>
      </c>
      <c r="M20" s="63">
        <f>IF(M4=0,0,M4/TrNavi_act!M8*100)</f>
        <v>36448.921688100942</v>
      </c>
      <c r="N20" s="63">
        <f>IF(N4=0,0,N4/TrNavi_act!N8*100)</f>
        <v>34040.758640456217</v>
      </c>
      <c r="O20" s="63">
        <f>IF(O4=0,0,O4/TrNavi_act!O8*100)</f>
        <v>43073.921981399675</v>
      </c>
      <c r="P20" s="63">
        <f>IF(P4=0,0,P4/TrNavi_act!P8*100)</f>
        <v>34376.661626194647</v>
      </c>
      <c r="Q20" s="63">
        <f>IF(Q4=0,0,Q4/TrNavi_act!Q8*100)</f>
        <v>34805.312821469903</v>
      </c>
      <c r="R20" s="63">
        <f>IF(R4=0,0,R4/TrNavi_act!R8*100)</f>
        <v>26530.982699758031</v>
      </c>
      <c r="S20" s="63">
        <f>IF(S4=0,0,S4/TrNavi_act!S8*100)</f>
        <v>28649.583532979334</v>
      </c>
      <c r="T20" s="63">
        <f>IF(T4=0,0,T4/TrNavi_act!T8*100)</f>
        <v>34257.419001823066</v>
      </c>
      <c r="U20" s="63">
        <f>IF(U4=0,0,U4/TrNavi_act!U8*100)</f>
        <v>35523.374213694158</v>
      </c>
      <c r="V20" s="63">
        <f>IF(V4=0,0,V4/TrNavi_act!V8*100)</f>
        <v>39905.329285626562</v>
      </c>
      <c r="W20" s="63">
        <f>IF(W4=0,0,W4/TrNavi_act!W8*100)</f>
        <v>49141.905171354876</v>
      </c>
      <c r="X20" s="63">
        <f>IF(X4=0,0,X4/TrNavi_act!X8*100)</f>
        <v>30600.310583893377</v>
      </c>
      <c r="Y20" s="63">
        <f>IF(Y4=0,0,Y4/TrNavi_act!Y8*100)</f>
        <v>29508.607137583931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>
        <f>IF(X10=0,0,X10/TrNavi_act!X9*100)</f>
        <v>0</v>
      </c>
      <c r="Y21" s="64">
        <f>IF(Y10=0,0,Y10/TrNavi_act!Y9*100)</f>
        <v>0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106.58100535132118</v>
      </c>
      <c r="C23" s="62">
        <f>IF(C3=0,0,C3/TrNavi_act!C3*1000)</f>
        <v>90.133377899631284</v>
      </c>
      <c r="D23" s="62">
        <f>IF(D3=0,0,D3/TrNavi_act!D3*1000)</f>
        <v>113.56259576566517</v>
      </c>
      <c r="E23" s="62">
        <f>IF(E3=0,0,E3/TrNavi_act!E3*1000)</f>
        <v>98.263146293246578</v>
      </c>
      <c r="F23" s="62">
        <f>IF(F3=0,0,F3/TrNavi_act!F3*1000)</f>
        <v>91.62934326293346</v>
      </c>
      <c r="G23" s="62">
        <f>IF(G3=0,0,G3/TrNavi_act!G3*1000)</f>
        <v>94.673697403591476</v>
      </c>
      <c r="H23" s="62">
        <f>IF(H3=0,0,H3/TrNavi_act!H3*1000)</f>
        <v>75.267802130368764</v>
      </c>
      <c r="I23" s="62">
        <f>IF(I3=0,0,I3/TrNavi_act!I3*1000)</f>
        <v>61.474920546746596</v>
      </c>
      <c r="J23" s="62">
        <f>IF(J3=0,0,J3/TrNavi_act!J3*1000)</f>
        <v>82.631388835831515</v>
      </c>
      <c r="K23" s="62">
        <f>IF(K3=0,0,K3/TrNavi_act!K3*1000)</f>
        <v>98.211045871371027</v>
      </c>
      <c r="L23" s="62">
        <f>IF(L3=0,0,L3/TrNavi_act!L3*1000)</f>
        <v>75.681912166534431</v>
      </c>
      <c r="M23" s="62">
        <f>IF(M3=0,0,M3/TrNavi_act!M3*1000)</f>
        <v>72.223274528162804</v>
      </c>
      <c r="N23" s="62">
        <f>IF(N3=0,0,N3/TrNavi_act!N3*1000)</f>
        <v>68.597337721572814</v>
      </c>
      <c r="O23" s="62">
        <f>IF(O3=0,0,O3/TrNavi_act!O3*1000)</f>
        <v>87.566829201982728</v>
      </c>
      <c r="P23" s="62">
        <f>IF(P3=0,0,P3/TrNavi_act!P3*1000)</f>
        <v>69.117461048614956</v>
      </c>
      <c r="Q23" s="62">
        <f>IF(Q3=0,0,Q3/TrNavi_act!Q3*1000)</f>
        <v>73.270675760597612</v>
      </c>
      <c r="R23" s="62">
        <f>IF(R3=0,0,R3/TrNavi_act!R3*1000)</f>
        <v>61.832506906347746</v>
      </c>
      <c r="S23" s="62">
        <f>IF(S3=0,0,S3/TrNavi_act!S3*1000)</f>
        <v>64.832730330344745</v>
      </c>
      <c r="T23" s="62">
        <f>IF(T3=0,0,T3/TrNavi_act!T3*1000)</f>
        <v>72.489291957158827</v>
      </c>
      <c r="U23" s="62">
        <f>IF(U3=0,0,U3/TrNavi_act!U3*1000)</f>
        <v>74.211590679006164</v>
      </c>
      <c r="V23" s="62">
        <f>IF(V3=0,0,V3/TrNavi_act!V3*1000)</f>
        <v>79.841997913291195</v>
      </c>
      <c r="W23" s="62">
        <f>IF(W3=0,0,W3/TrNavi_act!W3*1000)</f>
        <v>90.81606979230942</v>
      </c>
      <c r="X23" s="62">
        <f>IF(X3=0,0,X3/TrNavi_act!X3*1000)</f>
        <v>67.594818583326813</v>
      </c>
      <c r="Y23" s="62">
        <f>IF(Y3=0,0,Y3/TrNavi_act!Y3*1000)</f>
        <v>66.09696726197997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106.58100535132118</v>
      </c>
      <c r="C24" s="63">
        <f>IF(C4=0,0,C4/TrNavi_act!C4*1000)</f>
        <v>90.133377899631284</v>
      </c>
      <c r="D24" s="63">
        <f>IF(D4=0,0,D4/TrNavi_act!D4*1000)</f>
        <v>113.56259576566517</v>
      </c>
      <c r="E24" s="63">
        <f>IF(E4=0,0,E4/TrNavi_act!E4*1000)</f>
        <v>98.263146293246578</v>
      </c>
      <c r="F24" s="63">
        <f>IF(F4=0,0,F4/TrNavi_act!F4*1000)</f>
        <v>91.62934326293346</v>
      </c>
      <c r="G24" s="63">
        <f>IF(G4=0,0,G4/TrNavi_act!G4*1000)</f>
        <v>94.673697403591476</v>
      </c>
      <c r="H24" s="63">
        <f>IF(H4=0,0,H4/TrNavi_act!H4*1000)</f>
        <v>75.267802130368764</v>
      </c>
      <c r="I24" s="63">
        <f>IF(I4=0,0,I4/TrNavi_act!I4*1000)</f>
        <v>61.474920546746596</v>
      </c>
      <c r="J24" s="63">
        <f>IF(J4=0,0,J4/TrNavi_act!J4*1000)</f>
        <v>82.631388835831515</v>
      </c>
      <c r="K24" s="63">
        <f>IF(K4=0,0,K4/TrNavi_act!K4*1000)</f>
        <v>98.211045871371027</v>
      </c>
      <c r="L24" s="63">
        <f>IF(L4=0,0,L4/TrNavi_act!L4*1000)</f>
        <v>75.681912166534431</v>
      </c>
      <c r="M24" s="63">
        <f>IF(M4=0,0,M4/TrNavi_act!M4*1000)</f>
        <v>72.223274528162804</v>
      </c>
      <c r="N24" s="63">
        <f>IF(N4=0,0,N4/TrNavi_act!N4*1000)</f>
        <v>68.597337721572814</v>
      </c>
      <c r="O24" s="63">
        <f>IF(O4=0,0,O4/TrNavi_act!O4*1000)</f>
        <v>87.566829201982728</v>
      </c>
      <c r="P24" s="63">
        <f>IF(P4=0,0,P4/TrNavi_act!P4*1000)</f>
        <v>69.117461048614956</v>
      </c>
      <c r="Q24" s="63">
        <f>IF(Q4=0,0,Q4/TrNavi_act!Q4*1000)</f>
        <v>73.270675760597612</v>
      </c>
      <c r="R24" s="63">
        <f>IF(R4=0,0,R4/TrNavi_act!R4*1000)</f>
        <v>61.832506906347746</v>
      </c>
      <c r="S24" s="63">
        <f>IF(S4=0,0,S4/TrNavi_act!S4*1000)</f>
        <v>64.832730330344745</v>
      </c>
      <c r="T24" s="63">
        <f>IF(T4=0,0,T4/TrNavi_act!T4*1000)</f>
        <v>72.489291957158827</v>
      </c>
      <c r="U24" s="63">
        <f>IF(U4=0,0,U4/TrNavi_act!U4*1000)</f>
        <v>74.211590679006164</v>
      </c>
      <c r="V24" s="63">
        <f>IF(V4=0,0,V4/TrNavi_act!V4*1000)</f>
        <v>79.841997913291195</v>
      </c>
      <c r="W24" s="63">
        <f>IF(W4=0,0,W4/TrNavi_act!W4*1000)</f>
        <v>90.81606979230942</v>
      </c>
      <c r="X24" s="63">
        <f>IF(X4=0,0,X4/TrNavi_act!X4*1000)</f>
        <v>67.594818583326813</v>
      </c>
      <c r="Y24" s="63">
        <f>IF(Y4=0,0,Y4/TrNavi_act!Y4*1000)</f>
        <v>66.09696726197997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>
        <f>IF(X10=0,0,X10/TrNavi_act!X5*1000)</f>
        <v>0</v>
      </c>
      <c r="Y25" s="64">
        <f>IF(Y10=0,0,Y10/TrNavi_act!Y5*1000)</f>
        <v>0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1</v>
      </c>
      <c r="C28" s="77">
        <f t="shared" si="9"/>
        <v>1</v>
      </c>
      <c r="D28" s="77">
        <f t="shared" si="9"/>
        <v>1</v>
      </c>
      <c r="E28" s="77">
        <f t="shared" si="9"/>
        <v>1</v>
      </c>
      <c r="F28" s="77">
        <f t="shared" si="9"/>
        <v>1</v>
      </c>
      <c r="G28" s="77">
        <f t="shared" si="9"/>
        <v>1</v>
      </c>
      <c r="H28" s="77">
        <f t="shared" si="9"/>
        <v>1</v>
      </c>
      <c r="I28" s="77">
        <f t="shared" si="9"/>
        <v>1</v>
      </c>
      <c r="J28" s="77">
        <f t="shared" si="9"/>
        <v>1</v>
      </c>
      <c r="K28" s="77">
        <f t="shared" si="9"/>
        <v>1</v>
      </c>
      <c r="L28" s="77">
        <f t="shared" si="9"/>
        <v>1</v>
      </c>
      <c r="M28" s="77">
        <f t="shared" si="9"/>
        <v>1</v>
      </c>
      <c r="N28" s="77">
        <f t="shared" si="9"/>
        <v>1</v>
      </c>
      <c r="O28" s="77">
        <f t="shared" si="9"/>
        <v>1</v>
      </c>
      <c r="P28" s="77">
        <f t="shared" si="9"/>
        <v>1</v>
      </c>
      <c r="Q28" s="77">
        <f t="shared" si="9"/>
        <v>1</v>
      </c>
      <c r="R28" s="77">
        <f t="shared" si="9"/>
        <v>1</v>
      </c>
      <c r="S28" s="77">
        <f t="shared" si="9"/>
        <v>1</v>
      </c>
      <c r="T28" s="77">
        <f t="shared" si="9"/>
        <v>1</v>
      </c>
      <c r="U28" s="77">
        <f t="shared" si="9"/>
        <v>1</v>
      </c>
      <c r="V28" s="77">
        <f t="shared" ref="V28:W28" si="10">IF(V4=0,0,V4/V$3)</f>
        <v>1</v>
      </c>
      <c r="W28" s="77">
        <f t="shared" si="10"/>
        <v>1</v>
      </c>
      <c r="X28" s="77">
        <f t="shared" ref="X28:Y28" si="11">IF(X4=0,0,X4/X$3)</f>
        <v>1</v>
      </c>
      <c r="Y28" s="77">
        <f t="shared" si="11"/>
        <v>1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</v>
      </c>
      <c r="C29" s="78">
        <f t="shared" si="12"/>
        <v>0</v>
      </c>
      <c r="D29" s="78">
        <f t="shared" si="12"/>
        <v>0</v>
      </c>
      <c r="E29" s="78">
        <f t="shared" si="12"/>
        <v>0</v>
      </c>
      <c r="F29" s="78">
        <f t="shared" si="12"/>
        <v>0</v>
      </c>
      <c r="G29" s="78">
        <f t="shared" si="12"/>
        <v>0</v>
      </c>
      <c r="H29" s="78">
        <f t="shared" si="12"/>
        <v>0</v>
      </c>
      <c r="I29" s="78">
        <f t="shared" si="12"/>
        <v>0</v>
      </c>
      <c r="J29" s="78">
        <f t="shared" si="12"/>
        <v>0</v>
      </c>
      <c r="K29" s="78">
        <f t="shared" si="12"/>
        <v>0</v>
      </c>
      <c r="L29" s="78">
        <f t="shared" si="12"/>
        <v>0</v>
      </c>
      <c r="M29" s="78">
        <f t="shared" si="12"/>
        <v>0</v>
      </c>
      <c r="N29" s="78">
        <f t="shared" si="12"/>
        <v>0</v>
      </c>
      <c r="O29" s="78">
        <f t="shared" si="12"/>
        <v>0</v>
      </c>
      <c r="P29" s="78">
        <f t="shared" si="12"/>
        <v>0</v>
      </c>
      <c r="Q29" s="78">
        <f t="shared" si="12"/>
        <v>0</v>
      </c>
      <c r="R29" s="78">
        <f t="shared" si="12"/>
        <v>0</v>
      </c>
      <c r="S29" s="78">
        <f t="shared" si="12"/>
        <v>0</v>
      </c>
      <c r="T29" s="78">
        <f t="shared" si="12"/>
        <v>0</v>
      </c>
      <c r="U29" s="78">
        <f t="shared" si="12"/>
        <v>0</v>
      </c>
      <c r="V29" s="78">
        <f t="shared" ref="V29:W29" si="13">IF(V10=0,0,V10/V$3)</f>
        <v>0</v>
      </c>
      <c r="W29" s="78">
        <f t="shared" si="13"/>
        <v>0</v>
      </c>
      <c r="X29" s="78">
        <f t="shared" ref="X29:Y29" si="14">IF(X10=0,0,X10/X$3)</f>
        <v>0</v>
      </c>
      <c r="Y29" s="78">
        <f t="shared" si="14"/>
        <v>0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511.92234252000003</v>
      </c>
      <c r="C3" s="54">
        <f t="shared" ref="C3:V3" si="1">SUM(C4:C5)</f>
        <v>530.90685144000008</v>
      </c>
      <c r="D3" s="54">
        <f t="shared" si="1"/>
        <v>593.93934072000002</v>
      </c>
      <c r="E3" s="54">
        <f t="shared" si="1"/>
        <v>587.71790891999979</v>
      </c>
      <c r="F3" s="54">
        <f t="shared" si="1"/>
        <v>518.17931603999989</v>
      </c>
      <c r="G3" s="54">
        <f t="shared" si="1"/>
        <v>600.56946396000001</v>
      </c>
      <c r="H3" s="54">
        <f t="shared" si="1"/>
        <v>543.65174567999998</v>
      </c>
      <c r="I3" s="54">
        <f t="shared" si="1"/>
        <v>474.13106891999985</v>
      </c>
      <c r="J3" s="54">
        <f t="shared" si="1"/>
        <v>606.42509652000012</v>
      </c>
      <c r="K3" s="54">
        <f t="shared" si="1"/>
        <v>562.23969155999998</v>
      </c>
      <c r="L3" s="54">
        <f t="shared" si="1"/>
        <v>486.48762215999983</v>
      </c>
      <c r="M3" s="54">
        <f t="shared" si="1"/>
        <v>473.94260892</v>
      </c>
      <c r="N3" s="54">
        <f t="shared" si="1"/>
        <v>461.39759568000011</v>
      </c>
      <c r="O3" s="54">
        <f t="shared" si="1"/>
        <v>467.57711916000011</v>
      </c>
      <c r="P3" s="54">
        <f t="shared" si="1"/>
        <v>372.87794988000007</v>
      </c>
      <c r="Q3" s="54">
        <f t="shared" si="1"/>
        <v>418.01365979999991</v>
      </c>
      <c r="R3" s="54">
        <f t="shared" si="1"/>
        <v>362.99580191999996</v>
      </c>
      <c r="S3" s="54">
        <f t="shared" si="1"/>
        <v>349.31021580000009</v>
      </c>
      <c r="T3" s="54">
        <f t="shared" si="1"/>
        <v>362.43276335999991</v>
      </c>
      <c r="U3" s="54">
        <f t="shared" si="1"/>
        <v>377.58661380000001</v>
      </c>
      <c r="V3" s="54">
        <f t="shared" si="1"/>
        <v>365.40127404000015</v>
      </c>
      <c r="W3" s="54">
        <f t="shared" ref="W3:Y3" si="2">SUM(W4:W5)</f>
        <v>429.65277552000009</v>
      </c>
      <c r="X3" s="54">
        <f t="shared" si="2"/>
        <v>378.06482591999992</v>
      </c>
      <c r="Y3" s="54">
        <f t="shared" si="2"/>
        <v>362.86513380000014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511.92234252000003</v>
      </c>
      <c r="C4" s="56">
        <v>530.90685144000008</v>
      </c>
      <c r="D4" s="56">
        <v>593.93934072000002</v>
      </c>
      <c r="E4" s="56">
        <v>587.71790891999979</v>
      </c>
      <c r="F4" s="56">
        <v>518.17931603999989</v>
      </c>
      <c r="G4" s="56">
        <v>600.56946396000001</v>
      </c>
      <c r="H4" s="56">
        <v>543.65174567999998</v>
      </c>
      <c r="I4" s="56">
        <v>474.13106891999985</v>
      </c>
      <c r="J4" s="56">
        <v>606.42509652000012</v>
      </c>
      <c r="K4" s="56">
        <v>562.23969155999998</v>
      </c>
      <c r="L4" s="56">
        <v>486.48762215999983</v>
      </c>
      <c r="M4" s="56">
        <v>473.94260892</v>
      </c>
      <c r="N4" s="56">
        <v>461.39759568000011</v>
      </c>
      <c r="O4" s="56">
        <v>467.57711916000011</v>
      </c>
      <c r="P4" s="56">
        <v>372.87794988000007</v>
      </c>
      <c r="Q4" s="56">
        <v>418.01365979999991</v>
      </c>
      <c r="R4" s="56">
        <v>362.99580191999996</v>
      </c>
      <c r="S4" s="56">
        <v>349.31021580000009</v>
      </c>
      <c r="T4" s="56">
        <v>362.43276335999991</v>
      </c>
      <c r="U4" s="56">
        <v>377.58661380000001</v>
      </c>
      <c r="V4" s="56">
        <v>365.40127404000015</v>
      </c>
      <c r="W4" s="56">
        <v>429.65277552000009</v>
      </c>
      <c r="X4" s="56">
        <v>378.06482591999992</v>
      </c>
      <c r="Y4" s="56">
        <v>362.86513380000014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3.1327929524974074</v>
      </c>
      <c r="C9" s="79">
        <f>IF(C3=0,0,C3/TrNavi_ene!C3)</f>
        <v>3.1316965640293812</v>
      </c>
      <c r="D9" s="79">
        <f>IF(D3=0,0,D3/TrNavi_ene!D3)</f>
        <v>3.1385709831594841</v>
      </c>
      <c r="E9" s="79">
        <f>IF(E3=0,0,E3/TrNavi_ene!E3)</f>
        <v>3.1346148254606425</v>
      </c>
      <c r="F9" s="79">
        <f>IF(F3=0,0,F3/TrNavi_ene!F3)</f>
        <v>3.135701044836527</v>
      </c>
      <c r="G9" s="79">
        <f>IF(G3=0,0,G3/TrNavi_ene!G3)</f>
        <v>3.126159948911178</v>
      </c>
      <c r="H9" s="79">
        <f>IF(H3=0,0,H3/TrNavi_ene!H3)</f>
        <v>3.127110243073878</v>
      </c>
      <c r="I9" s="79">
        <f>IF(I3=0,0,I3/TrNavi_ene!I3)</f>
        <v>3.1263007948440631</v>
      </c>
      <c r="J9" s="79">
        <f>IF(J3=0,0,J3/TrNavi_ene!J3)</f>
        <v>3.1223252438911731</v>
      </c>
      <c r="K9" s="79">
        <f>IF(K3=0,0,K3/TrNavi_ene!K3)</f>
        <v>3.1216644998192078</v>
      </c>
      <c r="L9" s="79">
        <f>IF(L3=0,0,L3/TrNavi_ene!L3)</f>
        <v>3.1203764877582389</v>
      </c>
      <c r="M9" s="79">
        <f>IF(M3=0,0,M3/TrNavi_ene!M3)</f>
        <v>3.1182075253651282</v>
      </c>
      <c r="N9" s="79">
        <f>IF(N3=0,0,N3/TrNavi_ene!N3)</f>
        <v>3.1159238817298722</v>
      </c>
      <c r="O9" s="79">
        <f>IF(O3=0,0,O3/TrNavi_ene!O3)</f>
        <v>3.119317558218901</v>
      </c>
      <c r="P9" s="79">
        <f>IF(P3=0,0,P3/TrNavi_ene!P3)</f>
        <v>3.1169063865924538</v>
      </c>
      <c r="Q9" s="79">
        <f>IF(Q3=0,0,Q3/TrNavi_ene!Q3)</f>
        <v>3.1033729285939993</v>
      </c>
      <c r="R9" s="79">
        <f>IF(R3=0,0,R3/TrNavi_ene!R3)</f>
        <v>3.1024849006154791</v>
      </c>
      <c r="S9" s="79">
        <f>IF(S3=0,0,S3/TrNavi_ene!S3)</f>
        <v>3.1024188000000001</v>
      </c>
      <c r="T9" s="79">
        <f>IF(T3=0,0,T3/TrNavi_ene!T3)</f>
        <v>3.102547446491843</v>
      </c>
      <c r="U9" s="79">
        <f>IF(U3=0,0,U3/TrNavi_ene!U3)</f>
        <v>3.107966094871077</v>
      </c>
      <c r="V9" s="79">
        <f>IF(V3=0,0,V3/TrNavi_ene!V3)</f>
        <v>3.1145250485984475</v>
      </c>
      <c r="W9" s="79">
        <f>IF(W3=0,0,W3/TrNavi_ene!W3)</f>
        <v>3.1225370545466138</v>
      </c>
      <c r="X9" s="79">
        <f>IF(X3=0,0,X3/TrNavi_ene!X3)</f>
        <v>3.1120741235443257</v>
      </c>
      <c r="Y9" s="79">
        <f>IF(Y3=0,0,Y3/TrNavi_ene!Y3)</f>
        <v>3.1052841334806955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3.1327929524974074</v>
      </c>
      <c r="C10" s="80">
        <f>IF(C4=0,0,C4/TrNavi_ene!C4)</f>
        <v>3.1316965640293812</v>
      </c>
      <c r="D10" s="80">
        <f>IF(D4=0,0,D4/TrNavi_ene!D4)</f>
        <v>3.1385709831594841</v>
      </c>
      <c r="E10" s="80">
        <f>IF(E4=0,0,E4/TrNavi_ene!E4)</f>
        <v>3.1346148254606425</v>
      </c>
      <c r="F10" s="80">
        <f>IF(F4=0,0,F4/TrNavi_ene!F4)</f>
        <v>3.135701044836527</v>
      </c>
      <c r="G10" s="80">
        <f>IF(G4=0,0,G4/TrNavi_ene!G4)</f>
        <v>3.126159948911178</v>
      </c>
      <c r="H10" s="80">
        <f>IF(H4=0,0,H4/TrNavi_ene!H4)</f>
        <v>3.127110243073878</v>
      </c>
      <c r="I10" s="80">
        <f>IF(I4=0,0,I4/TrNavi_ene!I4)</f>
        <v>3.1263007948440631</v>
      </c>
      <c r="J10" s="80">
        <f>IF(J4=0,0,J4/TrNavi_ene!J4)</f>
        <v>3.1223252438911731</v>
      </c>
      <c r="K10" s="80">
        <f>IF(K4=0,0,K4/TrNavi_ene!K4)</f>
        <v>3.1216644998192078</v>
      </c>
      <c r="L10" s="80">
        <f>IF(L4=0,0,L4/TrNavi_ene!L4)</f>
        <v>3.1203764877582389</v>
      </c>
      <c r="M10" s="80">
        <f>IF(M4=0,0,M4/TrNavi_ene!M4)</f>
        <v>3.1182075253651282</v>
      </c>
      <c r="N10" s="80">
        <f>IF(N4=0,0,N4/TrNavi_ene!N4)</f>
        <v>3.1159238817298722</v>
      </c>
      <c r="O10" s="80">
        <f>IF(O4=0,0,O4/TrNavi_ene!O4)</f>
        <v>3.119317558218901</v>
      </c>
      <c r="P10" s="80">
        <f>IF(P4=0,0,P4/TrNavi_ene!P4)</f>
        <v>3.1169063865924538</v>
      </c>
      <c r="Q10" s="80">
        <f>IF(Q4=0,0,Q4/TrNavi_ene!Q4)</f>
        <v>3.1033729285939993</v>
      </c>
      <c r="R10" s="80">
        <f>IF(R4=0,0,R4/TrNavi_ene!R4)</f>
        <v>3.1024849006154791</v>
      </c>
      <c r="S10" s="80">
        <f>IF(S4=0,0,S4/TrNavi_ene!S4)</f>
        <v>3.1024188000000001</v>
      </c>
      <c r="T10" s="80">
        <f>IF(T4=0,0,T4/TrNavi_ene!T4)</f>
        <v>3.102547446491843</v>
      </c>
      <c r="U10" s="80">
        <f>IF(U4=0,0,U4/TrNavi_ene!U4)</f>
        <v>3.107966094871077</v>
      </c>
      <c r="V10" s="80">
        <f>IF(V4=0,0,V4/TrNavi_ene!V4)</f>
        <v>3.1145250485984475</v>
      </c>
      <c r="W10" s="80">
        <f>IF(W4=0,0,W4/TrNavi_ene!W4)</f>
        <v>3.1225370545466138</v>
      </c>
      <c r="X10" s="80">
        <f>IF(X4=0,0,X4/TrNavi_ene!X4)</f>
        <v>3.1120741235443257</v>
      </c>
      <c r="Y10" s="80">
        <f>IF(Y4=0,0,Y4/TrNavi_ene!Y4)</f>
        <v>3.1052841334806955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>
        <f>IF(X5=0,0,X5/TrNavi_ene!X10)</f>
        <v>0</v>
      </c>
      <c r="Y11" s="81">
        <f>IF(Y5=0,0,Y5/TrNavi_ene!Y10)</f>
        <v>0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1376135.3293548389</v>
      </c>
      <c r="C13" s="54">
        <f>IF(C3=0,0,C3/TrNavi_act!C7*1000)</f>
        <v>1234667.0963720933</v>
      </c>
      <c r="D13" s="54">
        <f>IF(D3=0,0,D3/TrNavi_act!D7*1000)</f>
        <v>1368523.8265437789</v>
      </c>
      <c r="E13" s="54">
        <f>IF(E3=0,0,E3/TrNavi_act!E7*1000)</f>
        <v>1373172.6843925228</v>
      </c>
      <c r="F13" s="54">
        <f>IF(F3=0,0,F3/TrNavi_act!F7*1000)</f>
        <v>1219245.4495058821</v>
      </c>
      <c r="G13" s="54">
        <f>IF(G3=0,0,G3/TrNavi_act!G7*1000)</f>
        <v>1137442.166590909</v>
      </c>
      <c r="H13" s="54">
        <f>IF(H3=0,0,H3/TrNavi_act!H7*1000)</f>
        <v>1001200.2682872927</v>
      </c>
      <c r="I13" s="54">
        <f>IF(I3=0,0,I3/TrNavi_act!I7*1000)</f>
        <v>917081.37121856841</v>
      </c>
      <c r="J13" s="54">
        <f>IF(J3=0,0,J3/TrNavi_act!J7*1000)</f>
        <v>1177524.4592621361</v>
      </c>
      <c r="K13" s="54">
        <f>IF(K3=0,0,K3/TrNavi_act!K7*1000)</f>
        <v>1138137.0274493927</v>
      </c>
      <c r="L13" s="54">
        <f>IF(L3=0,0,L3/TrNavi_act!L7*1000)</f>
        <v>1180795.1994174754</v>
      </c>
      <c r="M13" s="54">
        <f>IF(M3=0,0,M3/TrNavi_act!M7*1000)</f>
        <v>1136553.0189928059</v>
      </c>
      <c r="N13" s="54">
        <f>IF(N3=0,0,N3/TrNavi_act!N7*1000)</f>
        <v>1060684.1280000003</v>
      </c>
      <c r="O13" s="54">
        <f>IF(O3=0,0,O3/TrNavi_act!O7*1000)</f>
        <v>1343612.4113793108</v>
      </c>
      <c r="P13" s="54">
        <f>IF(P3=0,0,P3/TrNavi_act!P7*1000)</f>
        <v>1071488.3617241383</v>
      </c>
      <c r="Q13" s="54">
        <f>IF(Q3=0,0,Q3/TrNavi_act!Q7*1000)</f>
        <v>1080138.6558139531</v>
      </c>
      <c r="R13" s="54">
        <f>IF(R3=0,0,R3/TrNavi_act!R7*1000)</f>
        <v>823119.73224489787</v>
      </c>
      <c r="S13" s="54">
        <f>IF(S3=0,0,S3/TrNavi_act!S7*1000)</f>
        <v>888830.06564885506</v>
      </c>
      <c r="T13" s="54">
        <f>IF(T3=0,0,T3/TrNavi_act!T7*1000)</f>
        <v>1062852.6784750728</v>
      </c>
      <c r="U13" s="54">
        <f>IF(U3=0,0,U3/TrNavi_act!U7*1000)</f>
        <v>1104054.4263157893</v>
      </c>
      <c r="V13" s="54">
        <f>IF(V3=0,0,V3/TrNavi_act!V7*1000)</f>
        <v>1242861.476326531</v>
      </c>
      <c r="W13" s="54">
        <f>IF(W3=0,0,W3/TrNavi_act!W7*1000)</f>
        <v>1534474.1982857145</v>
      </c>
      <c r="X13" s="54">
        <f>IF(X3=0,0,X3/TrNavi_act!X7*1000)</f>
        <v>952304.34740554134</v>
      </c>
      <c r="Y13" s="54">
        <f>IF(Y3=0,0,Y3/TrNavi_act!Y7*1000)</f>
        <v>916326.09545454581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1376135.3293548389</v>
      </c>
      <c r="C14" s="56">
        <f>IF(C4=0,0,C4/TrNavi_act!C8*1000)</f>
        <v>1234667.0963720933</v>
      </c>
      <c r="D14" s="56">
        <f>IF(D4=0,0,D4/TrNavi_act!D8*1000)</f>
        <v>1368523.8265437789</v>
      </c>
      <c r="E14" s="56">
        <f>IF(E4=0,0,E4/TrNavi_act!E8*1000)</f>
        <v>1373172.6843925228</v>
      </c>
      <c r="F14" s="56">
        <f>IF(F4=0,0,F4/TrNavi_act!F8*1000)</f>
        <v>1219245.4495058821</v>
      </c>
      <c r="G14" s="56">
        <f>IF(G4=0,0,G4/TrNavi_act!G8*1000)</f>
        <v>1137442.166590909</v>
      </c>
      <c r="H14" s="56">
        <f>IF(H4=0,0,H4/TrNavi_act!H8*1000)</f>
        <v>1001200.2682872927</v>
      </c>
      <c r="I14" s="56">
        <f>IF(I4=0,0,I4/TrNavi_act!I8*1000)</f>
        <v>917081.37121856841</v>
      </c>
      <c r="J14" s="56">
        <f>IF(J4=0,0,J4/TrNavi_act!J8*1000)</f>
        <v>1177524.4592621361</v>
      </c>
      <c r="K14" s="56">
        <f>IF(K4=0,0,K4/TrNavi_act!K8*1000)</f>
        <v>1138137.0274493927</v>
      </c>
      <c r="L14" s="56">
        <f>IF(L4=0,0,L4/TrNavi_act!L8*1000)</f>
        <v>1180795.1994174754</v>
      </c>
      <c r="M14" s="56">
        <f>IF(M4=0,0,M4/TrNavi_act!M8*1000)</f>
        <v>1136553.0189928059</v>
      </c>
      <c r="N14" s="56">
        <f>IF(N4=0,0,N4/TrNavi_act!N8*1000)</f>
        <v>1060684.1280000003</v>
      </c>
      <c r="O14" s="56">
        <f>IF(O4=0,0,O4/TrNavi_act!O8*1000)</f>
        <v>1343612.4113793108</v>
      </c>
      <c r="P14" s="56">
        <f>IF(P4=0,0,P4/TrNavi_act!P8*1000)</f>
        <v>1071488.3617241383</v>
      </c>
      <c r="Q14" s="56">
        <f>IF(Q4=0,0,Q4/TrNavi_act!Q8*1000)</f>
        <v>1080138.6558139531</v>
      </c>
      <c r="R14" s="56">
        <f>IF(R4=0,0,R4/TrNavi_act!R8*1000)</f>
        <v>823119.73224489787</v>
      </c>
      <c r="S14" s="56">
        <f>IF(S4=0,0,S4/TrNavi_act!S8*1000)</f>
        <v>888830.06564885506</v>
      </c>
      <c r="T14" s="56">
        <f>IF(T4=0,0,T4/TrNavi_act!T8*1000)</f>
        <v>1062852.6784750728</v>
      </c>
      <c r="U14" s="56">
        <f>IF(U4=0,0,U4/TrNavi_act!U8*1000)</f>
        <v>1104054.4263157893</v>
      </c>
      <c r="V14" s="56">
        <f>IF(V4=0,0,V4/TrNavi_act!V8*1000)</f>
        <v>1242861.476326531</v>
      </c>
      <c r="W14" s="56">
        <f>IF(W4=0,0,W4/TrNavi_act!W8*1000)</f>
        <v>1534474.1982857145</v>
      </c>
      <c r="X14" s="56">
        <f>IF(X4=0,0,X4/TrNavi_act!X8*1000)</f>
        <v>952304.34740554134</v>
      </c>
      <c r="Y14" s="56">
        <f>IF(Y4=0,0,Y4/TrNavi_act!Y8*1000)</f>
        <v>916326.09545454581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58">
        <f>IF(X5=0,0,X5/TrNavi_act!X9*1000)</f>
        <v>0</v>
      </c>
      <c r="Y15" s="58">
        <f>IF(Y5=0,0,Y5/TrNavi_act!Y9*1000)</f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333.89622243470751</v>
      </c>
      <c r="C17" s="62">
        <f>IF(C3=0,0,C3/TrNavi_act!C3*1000)</f>
        <v>282.27038987263711</v>
      </c>
      <c r="D17" s="62">
        <f>IF(D3=0,0,D3/TrNavi_act!D3*1000)</f>
        <v>356.42426784238677</v>
      </c>
      <c r="E17" s="62">
        <f>IF(E3=0,0,E3/TrNavi_act!E3*1000)</f>
        <v>308.01711516721872</v>
      </c>
      <c r="F17" s="62">
        <f>IF(F3=0,0,F3/TrNavi_act!F3*1000)</f>
        <v>287.32222740726519</v>
      </c>
      <c r="G17" s="62">
        <f>IF(G3=0,0,G3/TrNavi_act!G3*1000)</f>
        <v>295.9651210384439</v>
      </c>
      <c r="H17" s="62">
        <f>IF(H3=0,0,H3/TrNavi_act!H3*1000)</f>
        <v>235.37071501553402</v>
      </c>
      <c r="I17" s="62">
        <f>IF(I3=0,0,I3/TrNavi_act!I3*1000)</f>
        <v>192.18909296826953</v>
      </c>
      <c r="J17" s="62">
        <f>IF(J3=0,0,J3/TrNavi_act!J3*1000)</f>
        <v>258.002071299904</v>
      </c>
      <c r="K17" s="62">
        <f>IF(K3=0,0,K3/TrNavi_act!K3*1000)</f>
        <v>306.58193538677472</v>
      </c>
      <c r="L17" s="62">
        <f>IF(L3=0,0,L3/TrNavi_act!L3*1000)</f>
        <v>236.15605927303824</v>
      </c>
      <c r="M17" s="62">
        <f>IF(M3=0,0,M3/TrNavi_act!M3*1000)</f>
        <v>225.20715814022884</v>
      </c>
      <c r="N17" s="62">
        <f>IF(N3=0,0,N3/TrNavi_act!N3*1000)</f>
        <v>213.74408282973815</v>
      </c>
      <c r="O17" s="62">
        <f>IF(O3=0,0,O3/TrNavi_act!O3*1000)</f>
        <v>273.14874784730029</v>
      </c>
      <c r="P17" s="62">
        <f>IF(P3=0,0,P3/TrNavi_act!P3*1000)</f>
        <v>215.43265576748308</v>
      </c>
      <c r="Q17" s="62">
        <f>IF(Q3=0,0,Q3/TrNavi_act!Q3*1000)</f>
        <v>227.38623161522713</v>
      </c>
      <c r="R17" s="62">
        <f>IF(R3=0,0,R3/TrNavi_act!R3*1000)</f>
        <v>191.83441904414619</v>
      </c>
      <c r="S17" s="62">
        <f>IF(S3=0,0,S3/TrNavi_act!S3*1000)</f>
        <v>201.13828143219172</v>
      </c>
      <c r="T17" s="62">
        <f>IF(T3=0,0,T3/TrNavi_act!T3*1000)</f>
        <v>224.90146765968478</v>
      </c>
      <c r="U17" s="62">
        <f>IF(U3=0,0,U3/TrNavi_act!U3*1000)</f>
        <v>230.6471076768016</v>
      </c>
      <c r="V17" s="62">
        <f>IF(V3=0,0,V3/TrNavi_act!V3*1000)</f>
        <v>248.66990243109041</v>
      </c>
      <c r="W17" s="62">
        <f>IF(W3=0,0,W3/TrNavi_act!W3*1000)</f>
        <v>283.57654307477759</v>
      </c>
      <c r="X17" s="62">
        <f>IF(X3=0,0,X3/TrNavi_act!X3*1000)</f>
        <v>210.36008579884449</v>
      </c>
      <c r="Y17" s="62">
        <f>IF(Y3=0,0,Y3/TrNavi_act!Y3*1000)</f>
        <v>205.24986370981935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333.89622243470751</v>
      </c>
      <c r="C18" s="63">
        <f>IF(C4=0,0,C4/TrNavi_act!C4*1000)</f>
        <v>282.27038987263711</v>
      </c>
      <c r="D18" s="63">
        <f>IF(D4=0,0,D4/TrNavi_act!D4*1000)</f>
        <v>356.42426784238677</v>
      </c>
      <c r="E18" s="63">
        <f>IF(E4=0,0,E4/TrNavi_act!E4*1000)</f>
        <v>308.01711516721872</v>
      </c>
      <c r="F18" s="63">
        <f>IF(F4=0,0,F4/TrNavi_act!F4*1000)</f>
        <v>287.32222740726519</v>
      </c>
      <c r="G18" s="63">
        <f>IF(G4=0,0,G4/TrNavi_act!G4*1000)</f>
        <v>295.9651210384439</v>
      </c>
      <c r="H18" s="63">
        <f>IF(H4=0,0,H4/TrNavi_act!H4*1000)</f>
        <v>235.37071501553402</v>
      </c>
      <c r="I18" s="63">
        <f>IF(I4=0,0,I4/TrNavi_act!I4*1000)</f>
        <v>192.18909296826953</v>
      </c>
      <c r="J18" s="63">
        <f>IF(J4=0,0,J4/TrNavi_act!J4*1000)</f>
        <v>258.002071299904</v>
      </c>
      <c r="K18" s="63">
        <f>IF(K4=0,0,K4/TrNavi_act!K4*1000)</f>
        <v>306.58193538677472</v>
      </c>
      <c r="L18" s="63">
        <f>IF(L4=0,0,L4/TrNavi_act!L4*1000)</f>
        <v>236.15605927303824</v>
      </c>
      <c r="M18" s="63">
        <f>IF(M4=0,0,M4/TrNavi_act!M4*1000)</f>
        <v>225.20715814022884</v>
      </c>
      <c r="N18" s="63">
        <f>IF(N4=0,0,N4/TrNavi_act!N4*1000)</f>
        <v>213.74408282973815</v>
      </c>
      <c r="O18" s="63">
        <f>IF(O4=0,0,O4/TrNavi_act!O4*1000)</f>
        <v>273.14874784730029</v>
      </c>
      <c r="P18" s="63">
        <f>IF(P4=0,0,P4/TrNavi_act!P4*1000)</f>
        <v>215.43265576748308</v>
      </c>
      <c r="Q18" s="63">
        <f>IF(Q4=0,0,Q4/TrNavi_act!Q4*1000)</f>
        <v>227.38623161522713</v>
      </c>
      <c r="R18" s="63">
        <f>IF(R4=0,0,R4/TrNavi_act!R4*1000)</f>
        <v>191.83441904414619</v>
      </c>
      <c r="S18" s="63">
        <f>IF(S4=0,0,S4/TrNavi_act!S4*1000)</f>
        <v>201.13828143219172</v>
      </c>
      <c r="T18" s="63">
        <f>IF(T4=0,0,T4/TrNavi_act!T4*1000)</f>
        <v>224.90146765968478</v>
      </c>
      <c r="U18" s="63">
        <f>IF(U4=0,0,U4/TrNavi_act!U4*1000)</f>
        <v>230.6471076768016</v>
      </c>
      <c r="V18" s="63">
        <f>IF(V4=0,0,V4/TrNavi_act!V4*1000)</f>
        <v>248.66990243109041</v>
      </c>
      <c r="W18" s="63">
        <f>IF(W4=0,0,W4/TrNavi_act!W4*1000)</f>
        <v>283.57654307477759</v>
      </c>
      <c r="X18" s="63">
        <f>IF(X4=0,0,X4/TrNavi_act!X4*1000)</f>
        <v>210.36008579884449</v>
      </c>
      <c r="Y18" s="63">
        <f>IF(Y4=0,0,Y4/TrNavi_act!Y4*1000)</f>
        <v>205.24986370981935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>
        <f>IF(X5=0,0,X5/TrNavi_act!X5*1000)</f>
        <v>0</v>
      </c>
      <c r="Y19" s="64">
        <f>IF(Y5=0,0,Y5/TrNavi_act!Y5*1000)</f>
        <v>0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1</v>
      </c>
      <c r="C22" s="77">
        <f t="shared" si="6"/>
        <v>1</v>
      </c>
      <c r="D22" s="77">
        <f t="shared" si="6"/>
        <v>1</v>
      </c>
      <c r="E22" s="77">
        <f t="shared" si="6"/>
        <v>1</v>
      </c>
      <c r="F22" s="77">
        <f t="shared" si="6"/>
        <v>1</v>
      </c>
      <c r="G22" s="77">
        <f t="shared" si="6"/>
        <v>1</v>
      </c>
      <c r="H22" s="77">
        <f t="shared" si="6"/>
        <v>1</v>
      </c>
      <c r="I22" s="77">
        <f t="shared" si="6"/>
        <v>1</v>
      </c>
      <c r="J22" s="77">
        <f t="shared" si="6"/>
        <v>1</v>
      </c>
      <c r="K22" s="77">
        <f t="shared" si="6"/>
        <v>1</v>
      </c>
      <c r="L22" s="77">
        <f t="shared" si="6"/>
        <v>1</v>
      </c>
      <c r="M22" s="77">
        <f t="shared" si="6"/>
        <v>1</v>
      </c>
      <c r="N22" s="77">
        <f t="shared" si="6"/>
        <v>1</v>
      </c>
      <c r="O22" s="77">
        <f t="shared" si="6"/>
        <v>1</v>
      </c>
      <c r="P22" s="77">
        <f t="shared" si="6"/>
        <v>1</v>
      </c>
      <c r="Q22" s="77">
        <f t="shared" si="6"/>
        <v>1</v>
      </c>
      <c r="R22" s="77">
        <f t="shared" si="6"/>
        <v>1</v>
      </c>
      <c r="S22" s="77">
        <f t="shared" si="6"/>
        <v>1</v>
      </c>
      <c r="T22" s="77">
        <f t="shared" si="6"/>
        <v>1</v>
      </c>
      <c r="U22" s="77">
        <f t="shared" si="6"/>
        <v>1</v>
      </c>
      <c r="V22" s="77">
        <f t="shared" ref="V22:W22" si="7">IF(V4=0,0,V4/V$3)</f>
        <v>1</v>
      </c>
      <c r="W22" s="77">
        <f t="shared" si="7"/>
        <v>1</v>
      </c>
      <c r="X22" s="77">
        <f t="shared" ref="X22:Y22" si="8">IF(X4=0,0,X4/X$3)</f>
        <v>1</v>
      </c>
      <c r="Y22" s="77">
        <f t="shared" si="8"/>
        <v>1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</v>
      </c>
      <c r="C23" s="78">
        <f t="shared" si="9"/>
        <v>0</v>
      </c>
      <c r="D23" s="78">
        <f t="shared" si="9"/>
        <v>0</v>
      </c>
      <c r="E23" s="78">
        <f t="shared" si="9"/>
        <v>0</v>
      </c>
      <c r="F23" s="78">
        <f t="shared" si="9"/>
        <v>0</v>
      </c>
      <c r="G23" s="78">
        <f t="shared" si="9"/>
        <v>0</v>
      </c>
      <c r="H23" s="78">
        <f t="shared" si="9"/>
        <v>0</v>
      </c>
      <c r="I23" s="78">
        <f t="shared" si="9"/>
        <v>0</v>
      </c>
      <c r="J23" s="78">
        <f t="shared" si="9"/>
        <v>0</v>
      </c>
      <c r="K23" s="78">
        <f t="shared" si="9"/>
        <v>0</v>
      </c>
      <c r="L23" s="78">
        <f t="shared" si="9"/>
        <v>0</v>
      </c>
      <c r="M23" s="78">
        <f t="shared" si="9"/>
        <v>0</v>
      </c>
      <c r="N23" s="78">
        <f t="shared" si="9"/>
        <v>0</v>
      </c>
      <c r="O23" s="78">
        <f t="shared" si="9"/>
        <v>0</v>
      </c>
      <c r="P23" s="78">
        <f t="shared" si="9"/>
        <v>0</v>
      </c>
      <c r="Q23" s="78">
        <f t="shared" si="9"/>
        <v>0</v>
      </c>
      <c r="R23" s="78">
        <f t="shared" si="9"/>
        <v>0</v>
      </c>
      <c r="S23" s="78">
        <f t="shared" si="9"/>
        <v>0</v>
      </c>
      <c r="T23" s="78">
        <f t="shared" si="9"/>
        <v>0</v>
      </c>
      <c r="U23" s="78">
        <f t="shared" si="9"/>
        <v>0</v>
      </c>
      <c r="V23" s="78">
        <f t="shared" ref="V23:W23" si="10">IF(V5=0,0,V5/V$3)</f>
        <v>0</v>
      </c>
      <c r="W23" s="78">
        <f t="shared" si="10"/>
        <v>0</v>
      </c>
      <c r="X23" s="78">
        <f t="shared" ref="X23:Y23" si="11">IF(X5=0,0,X5/X$3)</f>
        <v>0</v>
      </c>
      <c r="Y23" s="78">
        <f t="shared" si="11"/>
        <v>0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81281.350474000006</v>
      </c>
      <c r="C3" s="54">
        <f t="shared" si="0"/>
        <v>83300.365844999993</v>
      </c>
      <c r="D3" s="54">
        <f t="shared" si="0"/>
        <v>80390.999364999996</v>
      </c>
      <c r="E3" s="54">
        <f t="shared" si="0"/>
        <v>96936.547609999994</v>
      </c>
      <c r="F3" s="54">
        <f t="shared" si="0"/>
        <v>84397.889385999995</v>
      </c>
      <c r="G3" s="54">
        <f t="shared" si="0"/>
        <v>80544.611833999996</v>
      </c>
      <c r="H3" s="54">
        <f t="shared" si="0"/>
        <v>96164.465186999994</v>
      </c>
      <c r="I3" s="54">
        <f t="shared" si="0"/>
        <v>87471.137751999995</v>
      </c>
      <c r="J3" s="54">
        <f t="shared" si="0"/>
        <v>86604.176517999993</v>
      </c>
      <c r="K3" s="54">
        <f t="shared" si="0"/>
        <v>75123.024361999996</v>
      </c>
      <c r="L3" s="54">
        <f t="shared" si="0"/>
        <v>66620.831460999994</v>
      </c>
      <c r="M3" s="54">
        <f t="shared" si="0"/>
        <v>78704.202202</v>
      </c>
      <c r="N3" s="54">
        <f t="shared" si="0"/>
        <v>62277.062085999991</v>
      </c>
      <c r="O3" s="54">
        <f t="shared" si="0"/>
        <v>67340.631108999994</v>
      </c>
      <c r="P3" s="54">
        <f t="shared" si="0"/>
        <v>68401.123592999997</v>
      </c>
      <c r="Q3" s="54">
        <f t="shared" si="0"/>
        <v>89797.579859999998</v>
      </c>
      <c r="R3" s="54">
        <f t="shared" ref="R3:W3" si="1">SUM(R4:R5)</f>
        <v>90191.278399999996</v>
      </c>
      <c r="S3" s="54">
        <f t="shared" si="1"/>
        <v>86603.149244</v>
      </c>
      <c r="T3" s="54">
        <f t="shared" si="1"/>
        <v>88479.706223000001</v>
      </c>
      <c r="U3" s="54">
        <f t="shared" si="1"/>
        <v>99608.229338999998</v>
      </c>
      <c r="V3" s="54">
        <f t="shared" si="1"/>
        <v>100228.69394900001</v>
      </c>
      <c r="W3" s="54">
        <f t="shared" si="1"/>
        <v>104357.56675299999</v>
      </c>
      <c r="X3" s="54">
        <f t="shared" ref="X3:Y3" si="2">SUM(X4:X5)</f>
        <v>103877.81016299999</v>
      </c>
      <c r="Y3" s="54">
        <f t="shared" si="2"/>
        <v>99893.353281999996</v>
      </c>
      <c r="DA3" s="172" t="s">
        <v>388</v>
      </c>
    </row>
    <row r="4" spans="1:105" ht="11.45" customHeight="1" x14ac:dyDescent="0.25">
      <c r="A4" s="55" t="s">
        <v>166</v>
      </c>
      <c r="B4" s="56">
        <v>21870.693569999999</v>
      </c>
      <c r="C4" s="56">
        <v>21927.959705000001</v>
      </c>
      <c r="D4" s="56">
        <v>22405.536512999999</v>
      </c>
      <c r="E4" s="56">
        <v>23368.593140000001</v>
      </c>
      <c r="F4" s="56">
        <v>24548.212125999999</v>
      </c>
      <c r="G4" s="56">
        <v>24152.365811</v>
      </c>
      <c r="H4" s="56">
        <v>22890.939374999998</v>
      </c>
      <c r="I4" s="56">
        <v>22088.239190999997</v>
      </c>
      <c r="J4" s="56">
        <v>22084.949102999999</v>
      </c>
      <c r="K4" s="56">
        <v>19341.717707</v>
      </c>
      <c r="L4" s="56">
        <v>19277.737580000001</v>
      </c>
      <c r="M4" s="56">
        <v>18595.806786000001</v>
      </c>
      <c r="N4" s="56">
        <v>18788.972609</v>
      </c>
      <c r="O4" s="56">
        <v>22947.239063999998</v>
      </c>
      <c r="P4" s="56">
        <v>20381.48486</v>
      </c>
      <c r="Q4" s="56">
        <v>22126.929918000002</v>
      </c>
      <c r="R4" s="56">
        <v>22561.898703000003</v>
      </c>
      <c r="S4" s="56">
        <v>22105.741355000002</v>
      </c>
      <c r="T4" s="56">
        <v>21146.482422000001</v>
      </c>
      <c r="U4" s="56">
        <v>22989.490899</v>
      </c>
      <c r="V4" s="56">
        <v>22606.844174999998</v>
      </c>
      <c r="W4" s="56">
        <v>22807.149477999999</v>
      </c>
      <c r="X4" s="56">
        <v>27214.009084999998</v>
      </c>
      <c r="Y4" s="56">
        <v>23873.696344</v>
      </c>
      <c r="DA4" s="181" t="s">
        <v>389</v>
      </c>
    </row>
    <row r="5" spans="1:105" ht="11.45" customHeight="1" x14ac:dyDescent="0.25">
      <c r="A5" s="57" t="s">
        <v>167</v>
      </c>
      <c r="B5" s="58">
        <v>59410.656904000003</v>
      </c>
      <c r="C5" s="58">
        <v>61372.406139999999</v>
      </c>
      <c r="D5" s="58">
        <v>57985.462852000004</v>
      </c>
      <c r="E5" s="58">
        <v>73567.954469999997</v>
      </c>
      <c r="F5" s="58">
        <v>59849.677259999997</v>
      </c>
      <c r="G5" s="58">
        <v>56392.246023</v>
      </c>
      <c r="H5" s="58">
        <v>73273.525811999993</v>
      </c>
      <c r="I5" s="58">
        <v>65382.898561000002</v>
      </c>
      <c r="J5" s="58">
        <v>64519.227415000001</v>
      </c>
      <c r="K5" s="58">
        <v>55781.306655</v>
      </c>
      <c r="L5" s="58">
        <v>47343.093881000001</v>
      </c>
      <c r="M5" s="58">
        <v>60108.395415999999</v>
      </c>
      <c r="N5" s="58">
        <v>43488.089476999994</v>
      </c>
      <c r="O5" s="58">
        <v>44393.392045000001</v>
      </c>
      <c r="P5" s="58">
        <v>48019.638733</v>
      </c>
      <c r="Q5" s="58">
        <v>67670.649942000004</v>
      </c>
      <c r="R5" s="58">
        <v>67629.379696999997</v>
      </c>
      <c r="S5" s="58">
        <v>64497.407888999995</v>
      </c>
      <c r="T5" s="58">
        <v>67333.223801</v>
      </c>
      <c r="U5" s="58">
        <v>76618.738440000001</v>
      </c>
      <c r="V5" s="58">
        <v>77621.849774000002</v>
      </c>
      <c r="W5" s="58">
        <v>81550.417275</v>
      </c>
      <c r="X5" s="58">
        <v>76663.80107799999</v>
      </c>
      <c r="Y5" s="58">
        <v>76019.656938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10.042397000000001</v>
      </c>
      <c r="C7" s="59">
        <f t="shared" si="3"/>
        <v>10.722653999999999</v>
      </c>
      <c r="D7" s="59">
        <f t="shared" si="3"/>
        <v>9.5301620000000007</v>
      </c>
      <c r="E7" s="59">
        <f t="shared" si="3"/>
        <v>10.40767</v>
      </c>
      <c r="F7" s="59">
        <f t="shared" si="3"/>
        <v>9.9863409999999995</v>
      </c>
      <c r="G7" s="59">
        <f t="shared" si="3"/>
        <v>9.670126999999999</v>
      </c>
      <c r="H7" s="59">
        <f t="shared" si="3"/>
        <v>10.22828</v>
      </c>
      <c r="I7" s="59">
        <f t="shared" si="3"/>
        <v>9.5463850000000008</v>
      </c>
      <c r="J7" s="59">
        <f t="shared" si="3"/>
        <v>9.2837519999999998</v>
      </c>
      <c r="K7" s="59">
        <f t="shared" si="3"/>
        <v>8.0990149999999996</v>
      </c>
      <c r="L7" s="59">
        <f t="shared" si="3"/>
        <v>7.5493510000000006</v>
      </c>
      <c r="M7" s="59">
        <f t="shared" si="3"/>
        <v>8.1543900000000011</v>
      </c>
      <c r="N7" s="59">
        <f t="shared" si="3"/>
        <v>7.207929</v>
      </c>
      <c r="O7" s="59">
        <f t="shared" si="3"/>
        <v>8.25122</v>
      </c>
      <c r="P7" s="59">
        <f t="shared" si="3"/>
        <v>7.9546660000000005</v>
      </c>
      <c r="Q7" s="59">
        <f t="shared" si="3"/>
        <v>8.1271500000000003</v>
      </c>
      <c r="R7" s="59">
        <f t="shared" si="3"/>
        <v>8.1412300000000002</v>
      </c>
      <c r="S7" s="59">
        <f t="shared" si="3"/>
        <v>7.786314</v>
      </c>
      <c r="T7" s="59">
        <f t="shared" si="3"/>
        <v>7.8853539999999995</v>
      </c>
      <c r="U7" s="59">
        <f t="shared" si="3"/>
        <v>8.7429090000000009</v>
      </c>
      <c r="V7" s="59">
        <f t="shared" si="3"/>
        <v>8.3470580000000005</v>
      </c>
      <c r="W7" s="59">
        <f t="shared" si="3"/>
        <v>8.6999770000000005</v>
      </c>
      <c r="X7" s="59">
        <f t="shared" ref="X7:Y7" si="4">SUM(X8:X9)</f>
        <v>9.8644420000000004</v>
      </c>
      <c r="Y7" s="59">
        <f t="shared" si="4"/>
        <v>9.0203009999999999</v>
      </c>
      <c r="DA7" s="172" t="s">
        <v>963</v>
      </c>
    </row>
    <row r="8" spans="1:105" ht="11.45" customHeight="1" x14ac:dyDescent="0.25">
      <c r="A8" s="55" t="s">
        <v>166</v>
      </c>
      <c r="B8" s="60">
        <v>5.3697109999999997</v>
      </c>
      <c r="C8" s="60">
        <v>5.947031</v>
      </c>
      <c r="D8" s="60">
        <v>5.2673889999999997</v>
      </c>
      <c r="E8" s="60">
        <v>5.4826920000000001</v>
      </c>
      <c r="F8" s="60">
        <v>5.7435320000000001</v>
      </c>
      <c r="G8" s="60">
        <v>5.6311389999999992</v>
      </c>
      <c r="H8" s="60">
        <v>5.3428319999999996</v>
      </c>
      <c r="I8" s="60">
        <v>5.0949660000000003</v>
      </c>
      <c r="J8" s="60">
        <v>5.1057579999999998</v>
      </c>
      <c r="K8" s="60">
        <v>4.4845379999999997</v>
      </c>
      <c r="L8" s="60">
        <v>4.4839330000000004</v>
      </c>
      <c r="M8" s="60">
        <v>4.5073680000000005</v>
      </c>
      <c r="N8" s="60">
        <v>4.5120899999999997</v>
      </c>
      <c r="O8" s="60">
        <v>5.4485440000000001</v>
      </c>
      <c r="P8" s="60">
        <v>5.0298290000000003</v>
      </c>
      <c r="Q8" s="60">
        <v>4.7959149999999999</v>
      </c>
      <c r="R8" s="60">
        <v>4.622382</v>
      </c>
      <c r="S8" s="60">
        <v>4.4647649999999999</v>
      </c>
      <c r="T8" s="60">
        <v>4.5393469999999994</v>
      </c>
      <c r="U8" s="60">
        <v>5.0107220000000003</v>
      </c>
      <c r="V8" s="60">
        <v>4.6107550000000002</v>
      </c>
      <c r="W8" s="60">
        <v>4.840408</v>
      </c>
      <c r="X8" s="60">
        <v>5.7501790000000002</v>
      </c>
      <c r="Y8" s="60">
        <v>5.0035030000000003</v>
      </c>
      <c r="DA8" s="181" t="s">
        <v>964</v>
      </c>
    </row>
    <row r="9" spans="1:105" ht="11.45" customHeight="1" x14ac:dyDescent="0.25">
      <c r="A9" s="57" t="s">
        <v>167</v>
      </c>
      <c r="B9" s="61">
        <v>4.6726860000000006</v>
      </c>
      <c r="C9" s="61">
        <v>4.7756229999999995</v>
      </c>
      <c r="D9" s="61">
        <v>4.2627730000000001</v>
      </c>
      <c r="E9" s="61">
        <v>4.9249779999999994</v>
      </c>
      <c r="F9" s="61">
        <v>4.2428090000000003</v>
      </c>
      <c r="G9" s="61">
        <v>4.0389879999999998</v>
      </c>
      <c r="H9" s="61">
        <v>4.8854480000000002</v>
      </c>
      <c r="I9" s="61">
        <v>4.4514189999999996</v>
      </c>
      <c r="J9" s="61">
        <v>4.177994</v>
      </c>
      <c r="K9" s="61">
        <v>3.6144769999999999</v>
      </c>
      <c r="L9" s="61">
        <v>3.0654180000000002</v>
      </c>
      <c r="M9" s="61">
        <v>3.6470220000000002</v>
      </c>
      <c r="N9" s="61">
        <v>2.6958389999999999</v>
      </c>
      <c r="O9" s="61">
        <v>2.8026759999999999</v>
      </c>
      <c r="P9" s="61">
        <v>2.9248370000000001</v>
      </c>
      <c r="Q9" s="61">
        <v>3.3312350000000004</v>
      </c>
      <c r="R9" s="61">
        <v>3.5188480000000002</v>
      </c>
      <c r="S9" s="61">
        <v>3.3215490000000001</v>
      </c>
      <c r="T9" s="61">
        <v>3.3460070000000002</v>
      </c>
      <c r="U9" s="61">
        <v>3.7321870000000001</v>
      </c>
      <c r="V9" s="61">
        <v>3.7363030000000004</v>
      </c>
      <c r="W9" s="61">
        <v>3.8595690000000005</v>
      </c>
      <c r="X9" s="61">
        <v>4.1142630000000002</v>
      </c>
      <c r="Y9" s="61">
        <v>4.0167979999999996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8093.8196801022705</v>
      </c>
      <c r="C13" s="62">
        <f t="shared" si="5"/>
        <v>7768.6331989263108</v>
      </c>
      <c r="D13" s="62">
        <f t="shared" si="5"/>
        <v>8435.4284182157644</v>
      </c>
      <c r="E13" s="62">
        <f t="shared" si="5"/>
        <v>9313.9528453534749</v>
      </c>
      <c r="F13" s="62">
        <f t="shared" si="5"/>
        <v>8451.3326138172124</v>
      </c>
      <c r="G13" s="62">
        <f t="shared" si="5"/>
        <v>8329.2196507863864</v>
      </c>
      <c r="H13" s="62">
        <f t="shared" si="5"/>
        <v>9401.8217321973971</v>
      </c>
      <c r="I13" s="62">
        <f t="shared" si="5"/>
        <v>9162.7498526405525</v>
      </c>
      <c r="J13" s="62">
        <f t="shared" si="5"/>
        <v>9328.5749681809684</v>
      </c>
      <c r="K13" s="62">
        <f t="shared" si="5"/>
        <v>9275.5754078736736</v>
      </c>
      <c r="L13" s="62">
        <f t="shared" si="5"/>
        <v>8824.7097612761663</v>
      </c>
      <c r="M13" s="62">
        <f t="shared" si="5"/>
        <v>9651.758402774456</v>
      </c>
      <c r="N13" s="62">
        <f t="shared" si="5"/>
        <v>8640.0770715138824</v>
      </c>
      <c r="O13" s="62">
        <f t="shared" si="5"/>
        <v>8161.2938582415682</v>
      </c>
      <c r="P13" s="62">
        <f t="shared" si="5"/>
        <v>8598.868084844793</v>
      </c>
      <c r="Q13" s="62">
        <f t="shared" si="5"/>
        <v>11049.086070762813</v>
      </c>
      <c r="R13" s="62">
        <f t="shared" si="5"/>
        <v>11078.33563233074</v>
      </c>
      <c r="S13" s="62">
        <f t="shared" si="5"/>
        <v>11122.483532516157</v>
      </c>
      <c r="T13" s="62">
        <f t="shared" si="5"/>
        <v>11220.765259619289</v>
      </c>
      <c r="U13" s="62">
        <f t="shared" si="5"/>
        <v>11393.030550701144</v>
      </c>
      <c r="V13" s="62">
        <f t="shared" si="5"/>
        <v>12007.667126429456</v>
      </c>
      <c r="W13" s="62">
        <f t="shared" si="5"/>
        <v>11995.154326614886</v>
      </c>
      <c r="X13" s="62">
        <f t="shared" ref="X13:Y13" si="6">IF(X3=0,0,X3/X7)</f>
        <v>10530.530785522382</v>
      </c>
      <c r="Y13" s="62">
        <f t="shared" si="6"/>
        <v>11074.281587942574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4072.9740520486112</v>
      </c>
      <c r="C14" s="63">
        <f t="shared" si="5"/>
        <v>3687.211266428576</v>
      </c>
      <c r="D14" s="63">
        <f t="shared" si="5"/>
        <v>4253.632399847439</v>
      </c>
      <c r="E14" s="63">
        <f t="shared" si="5"/>
        <v>4262.248023416234</v>
      </c>
      <c r="F14" s="63">
        <f t="shared" si="5"/>
        <v>4274.0620450969891</v>
      </c>
      <c r="G14" s="63">
        <f t="shared" si="5"/>
        <v>4289.072923080038</v>
      </c>
      <c r="H14" s="63">
        <f t="shared" si="5"/>
        <v>4284.4205797599479</v>
      </c>
      <c r="I14" s="63">
        <f t="shared" si="5"/>
        <v>4335.3064948814172</v>
      </c>
      <c r="J14" s="63">
        <f t="shared" si="5"/>
        <v>4325.4986043208473</v>
      </c>
      <c r="K14" s="63">
        <f t="shared" si="5"/>
        <v>4312.9788858963848</v>
      </c>
      <c r="L14" s="63">
        <f t="shared" si="5"/>
        <v>4299.2920679234057</v>
      </c>
      <c r="M14" s="63">
        <f t="shared" si="5"/>
        <v>4125.6464495466089</v>
      </c>
      <c r="N14" s="63">
        <f t="shared" si="5"/>
        <v>4164.1395914088598</v>
      </c>
      <c r="O14" s="63">
        <f t="shared" si="5"/>
        <v>4211.627742016949</v>
      </c>
      <c r="P14" s="63">
        <f t="shared" si="5"/>
        <v>4052.1228176942</v>
      </c>
      <c r="Q14" s="63">
        <f t="shared" si="5"/>
        <v>4613.7035201833232</v>
      </c>
      <c r="R14" s="63">
        <f t="shared" si="5"/>
        <v>4881.011284441659</v>
      </c>
      <c r="S14" s="63">
        <f t="shared" si="5"/>
        <v>4951.1545075720678</v>
      </c>
      <c r="T14" s="63">
        <f t="shared" si="5"/>
        <v>4658.4855535388688</v>
      </c>
      <c r="U14" s="63">
        <f t="shared" si="5"/>
        <v>4588.059544911891</v>
      </c>
      <c r="V14" s="63">
        <f t="shared" si="5"/>
        <v>4903.0677567990488</v>
      </c>
      <c r="W14" s="63">
        <f t="shared" si="5"/>
        <v>4711.8237714671986</v>
      </c>
      <c r="X14" s="63">
        <f t="shared" ref="X14:Y14" si="7">IF(X4=0,0,X4/X8)</f>
        <v>4732.7238134673717</v>
      </c>
      <c r="Y14" s="63">
        <f t="shared" si="7"/>
        <v>4771.3964284622189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12714.455219974121</v>
      </c>
      <c r="C15" s="64">
        <f t="shared" si="5"/>
        <v>12851.18321525799</v>
      </c>
      <c r="D15" s="64">
        <f t="shared" si="5"/>
        <v>13602.75643389878</v>
      </c>
      <c r="E15" s="64">
        <f t="shared" si="5"/>
        <v>14937.722456831281</v>
      </c>
      <c r="F15" s="64">
        <f t="shared" si="5"/>
        <v>14106.144599014471</v>
      </c>
      <c r="G15" s="64">
        <f t="shared" si="5"/>
        <v>13961.974143770667</v>
      </c>
      <c r="H15" s="64">
        <f t="shared" si="5"/>
        <v>14998.322735601727</v>
      </c>
      <c r="I15" s="64">
        <f t="shared" si="5"/>
        <v>14688.102504167773</v>
      </c>
      <c r="J15" s="64">
        <f t="shared" si="5"/>
        <v>15442.632855624015</v>
      </c>
      <c r="K15" s="64">
        <f t="shared" si="5"/>
        <v>15432.746329551966</v>
      </c>
      <c r="L15" s="64">
        <f t="shared" si="5"/>
        <v>15444.253893270019</v>
      </c>
      <c r="M15" s="64">
        <f t="shared" si="5"/>
        <v>16481.500636958044</v>
      </c>
      <c r="N15" s="64">
        <f t="shared" si="5"/>
        <v>16131.560333165295</v>
      </c>
      <c r="O15" s="64">
        <f t="shared" si="5"/>
        <v>15839.644698495296</v>
      </c>
      <c r="P15" s="64">
        <f t="shared" si="5"/>
        <v>16417.885418230144</v>
      </c>
      <c r="Q15" s="64">
        <f t="shared" si="5"/>
        <v>20313.982634668522</v>
      </c>
      <c r="R15" s="64">
        <f t="shared" si="5"/>
        <v>19219.181873442671</v>
      </c>
      <c r="S15" s="64">
        <f t="shared" si="5"/>
        <v>19417.87036379713</v>
      </c>
      <c r="T15" s="64">
        <f t="shared" si="5"/>
        <v>20123.455749195982</v>
      </c>
      <c r="U15" s="64">
        <f t="shared" si="5"/>
        <v>20529.179925871882</v>
      </c>
      <c r="V15" s="64">
        <f t="shared" si="5"/>
        <v>20775.041471208304</v>
      </c>
      <c r="W15" s="64">
        <f t="shared" si="5"/>
        <v>21129.410375873573</v>
      </c>
      <c r="X15" s="64">
        <f t="shared" ref="X15:Y15" si="8">IF(X5=0,0,X5/X9)</f>
        <v>18633.665635376248</v>
      </c>
      <c r="Y15" s="64">
        <f t="shared" si="8"/>
        <v>18925.436862396367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0.26907394429914056</v>
      </c>
      <c r="C18" s="66">
        <f t="shared" si="9"/>
        <v>0.26323965666371923</v>
      </c>
      <c r="D18" s="66">
        <f t="shared" si="9"/>
        <v>0.27870702802526354</v>
      </c>
      <c r="E18" s="66">
        <f t="shared" si="9"/>
        <v>0.24107102755523854</v>
      </c>
      <c r="F18" s="66">
        <f t="shared" si="9"/>
        <v>0.29086286759763547</v>
      </c>
      <c r="G18" s="66">
        <f t="shared" si="9"/>
        <v>0.29986320948168815</v>
      </c>
      <c r="H18" s="66">
        <f t="shared" si="9"/>
        <v>0.23803948090894717</v>
      </c>
      <c r="I18" s="66">
        <f t="shared" si="9"/>
        <v>0.25252031422782034</v>
      </c>
      <c r="J18" s="66">
        <f t="shared" si="9"/>
        <v>0.25501020840963506</v>
      </c>
      <c r="K18" s="66">
        <f t="shared" si="9"/>
        <v>0.25746723952162603</v>
      </c>
      <c r="L18" s="66">
        <f t="shared" si="9"/>
        <v>0.2893650102713779</v>
      </c>
      <c r="M18" s="66">
        <f t="shared" si="9"/>
        <v>0.23627463675030369</v>
      </c>
      <c r="N18" s="66">
        <f t="shared" si="9"/>
        <v>0.30169972666748196</v>
      </c>
      <c r="O18" s="66">
        <f t="shared" si="9"/>
        <v>0.34076364723782826</v>
      </c>
      <c r="P18" s="66">
        <f t="shared" si="9"/>
        <v>0.29797003016023249</v>
      </c>
      <c r="Q18" s="66">
        <f t="shared" si="9"/>
        <v>0.24640897842121423</v>
      </c>
      <c r="R18" s="66">
        <f t="shared" si="9"/>
        <v>0.25015610271025945</v>
      </c>
      <c r="S18" s="66">
        <f t="shared" si="9"/>
        <v>0.25525331986159294</v>
      </c>
      <c r="T18" s="66">
        <f t="shared" si="9"/>
        <v>0.23899810843294872</v>
      </c>
      <c r="U18" s="66">
        <f t="shared" si="9"/>
        <v>0.23079911219743804</v>
      </c>
      <c r="V18" s="66">
        <f t="shared" si="9"/>
        <v>0.22555261656410669</v>
      </c>
      <c r="W18" s="66">
        <f t="shared" si="9"/>
        <v>0.21854811479057754</v>
      </c>
      <c r="X18" s="66">
        <f t="shared" ref="X18:Y18" si="11">IF(X4=0,0,X4/X$3)</f>
        <v>0.26198096631318185</v>
      </c>
      <c r="Y18" s="66">
        <f t="shared" si="11"/>
        <v>0.23899184039406807</v>
      </c>
      <c r="DA18" s="181"/>
    </row>
    <row r="19" spans="1:105" ht="11.45" customHeight="1" x14ac:dyDescent="0.25">
      <c r="A19" s="57" t="s">
        <v>167</v>
      </c>
      <c r="B19" s="67">
        <f t="shared" si="9"/>
        <v>0.73092605570085944</v>
      </c>
      <c r="C19" s="67">
        <f t="shared" si="9"/>
        <v>0.73676034333628082</v>
      </c>
      <c r="D19" s="67">
        <f t="shared" si="9"/>
        <v>0.72129297197473652</v>
      </c>
      <c r="E19" s="67">
        <f t="shared" si="9"/>
        <v>0.75892897244476154</v>
      </c>
      <c r="F19" s="67">
        <f t="shared" si="9"/>
        <v>0.70913713240236453</v>
      </c>
      <c r="G19" s="67">
        <f t="shared" si="9"/>
        <v>0.7001367905183119</v>
      </c>
      <c r="H19" s="67">
        <f t="shared" si="9"/>
        <v>0.76196051909105278</v>
      </c>
      <c r="I19" s="67">
        <f t="shared" si="9"/>
        <v>0.74747968577217971</v>
      </c>
      <c r="J19" s="67">
        <f t="shared" si="9"/>
        <v>0.74498979159036505</v>
      </c>
      <c r="K19" s="67">
        <f t="shared" si="9"/>
        <v>0.74253276047837402</v>
      </c>
      <c r="L19" s="67">
        <f t="shared" si="9"/>
        <v>0.71063498972862216</v>
      </c>
      <c r="M19" s="67">
        <f t="shared" si="9"/>
        <v>0.76372536324969631</v>
      </c>
      <c r="N19" s="67">
        <f t="shared" si="9"/>
        <v>0.6983002733325181</v>
      </c>
      <c r="O19" s="67">
        <f t="shared" si="9"/>
        <v>0.65923635276217185</v>
      </c>
      <c r="P19" s="67">
        <f t="shared" si="9"/>
        <v>0.70202996983976751</v>
      </c>
      <c r="Q19" s="67">
        <f t="shared" si="9"/>
        <v>0.75359102157878588</v>
      </c>
      <c r="R19" s="67">
        <f t="shared" si="9"/>
        <v>0.74984389728974055</v>
      </c>
      <c r="S19" s="67">
        <f t="shared" si="9"/>
        <v>0.74474668013840706</v>
      </c>
      <c r="T19" s="67">
        <f t="shared" si="9"/>
        <v>0.76100189156705134</v>
      </c>
      <c r="U19" s="67">
        <f t="shared" si="9"/>
        <v>0.76920088780256202</v>
      </c>
      <c r="V19" s="67">
        <f t="shared" si="9"/>
        <v>0.77444738343589326</v>
      </c>
      <c r="W19" s="67">
        <f t="shared" si="9"/>
        <v>0.78145188520942255</v>
      </c>
      <c r="X19" s="67">
        <f t="shared" ref="X19:Y19" si="12">IF(X5=0,0,X5/X$3)</f>
        <v>0.7380190336868182</v>
      </c>
      <c r="Y19" s="67">
        <f t="shared" si="12"/>
        <v>0.76100815960593193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0.53470411496378789</v>
      </c>
      <c r="C22" s="66">
        <f t="shared" si="13"/>
        <v>0.55462304388447126</v>
      </c>
      <c r="D22" s="66">
        <f t="shared" si="13"/>
        <v>0.55270718378134598</v>
      </c>
      <c r="E22" s="66">
        <f t="shared" si="13"/>
        <v>0.52679341293488369</v>
      </c>
      <c r="F22" s="66">
        <f t="shared" si="13"/>
        <v>0.57513878206241908</v>
      </c>
      <c r="G22" s="66">
        <f t="shared" si="13"/>
        <v>0.58232316907523551</v>
      </c>
      <c r="H22" s="66">
        <f t="shared" si="13"/>
        <v>0.52235879346283043</v>
      </c>
      <c r="I22" s="66">
        <f t="shared" si="13"/>
        <v>0.53370631919831435</v>
      </c>
      <c r="J22" s="66">
        <f t="shared" si="13"/>
        <v>0.5499670822744942</v>
      </c>
      <c r="K22" s="66">
        <f t="shared" si="13"/>
        <v>0.55371400102358126</v>
      </c>
      <c r="L22" s="66">
        <f t="shared" si="13"/>
        <v>0.59394946664951731</v>
      </c>
      <c r="M22" s="66">
        <f t="shared" si="13"/>
        <v>0.55275354747565419</v>
      </c>
      <c r="N22" s="66">
        <f t="shared" si="13"/>
        <v>0.62598979540447741</v>
      </c>
      <c r="O22" s="66">
        <f t="shared" si="13"/>
        <v>0.66033192667266172</v>
      </c>
      <c r="P22" s="66">
        <f t="shared" si="13"/>
        <v>0.63231177776665926</v>
      </c>
      <c r="Q22" s="66">
        <f t="shared" si="13"/>
        <v>0.59011030927200803</v>
      </c>
      <c r="R22" s="66">
        <f t="shared" si="13"/>
        <v>0.5677744026394046</v>
      </c>
      <c r="S22" s="66">
        <f t="shared" si="13"/>
        <v>0.57341188654862874</v>
      </c>
      <c r="T22" s="66">
        <f t="shared" si="13"/>
        <v>0.57566813106932169</v>
      </c>
      <c r="U22" s="66">
        <f t="shared" si="13"/>
        <v>0.57311839800688757</v>
      </c>
      <c r="V22" s="66">
        <f t="shared" si="13"/>
        <v>0.55238085083391053</v>
      </c>
      <c r="W22" s="66">
        <f t="shared" si="13"/>
        <v>0.55637020649594815</v>
      </c>
      <c r="X22" s="66">
        <f t="shared" ref="X22:Y22" si="15">IF(X8=0,0,X8/X$7)</f>
        <v>0.58291984483258152</v>
      </c>
      <c r="Y22" s="66">
        <f t="shared" si="15"/>
        <v>0.55469357397275332</v>
      </c>
      <c r="DA22" s="181"/>
    </row>
    <row r="23" spans="1:105" ht="11.45" customHeight="1" x14ac:dyDescent="0.25">
      <c r="A23" s="57" t="s">
        <v>167</v>
      </c>
      <c r="B23" s="67">
        <f t="shared" si="13"/>
        <v>0.465295885036212</v>
      </c>
      <c r="C23" s="67">
        <f t="shared" si="13"/>
        <v>0.44537695611552885</v>
      </c>
      <c r="D23" s="67">
        <f t="shared" si="13"/>
        <v>0.44729281621865397</v>
      </c>
      <c r="E23" s="67">
        <f t="shared" si="13"/>
        <v>0.47320658706511637</v>
      </c>
      <c r="F23" s="67">
        <f t="shared" si="13"/>
        <v>0.42486121793758097</v>
      </c>
      <c r="G23" s="67">
        <f t="shared" si="13"/>
        <v>0.41767683092476449</v>
      </c>
      <c r="H23" s="67">
        <f t="shared" si="13"/>
        <v>0.47764120653716952</v>
      </c>
      <c r="I23" s="67">
        <f t="shared" si="13"/>
        <v>0.46629368080168559</v>
      </c>
      <c r="J23" s="67">
        <f t="shared" si="13"/>
        <v>0.4500329177255058</v>
      </c>
      <c r="K23" s="67">
        <f t="shared" si="13"/>
        <v>0.44628599897641874</v>
      </c>
      <c r="L23" s="67">
        <f t="shared" si="13"/>
        <v>0.40605053335048269</v>
      </c>
      <c r="M23" s="67">
        <f t="shared" si="13"/>
        <v>0.44724645252434575</v>
      </c>
      <c r="N23" s="67">
        <f t="shared" si="13"/>
        <v>0.37401020459552248</v>
      </c>
      <c r="O23" s="67">
        <f t="shared" si="13"/>
        <v>0.33966807332733823</v>
      </c>
      <c r="P23" s="67">
        <f t="shared" si="13"/>
        <v>0.3676882222333408</v>
      </c>
      <c r="Q23" s="67">
        <f t="shared" si="13"/>
        <v>0.40988969072799203</v>
      </c>
      <c r="R23" s="67">
        <f t="shared" si="13"/>
        <v>0.4322255973605954</v>
      </c>
      <c r="S23" s="67">
        <f t="shared" si="13"/>
        <v>0.42658811345137121</v>
      </c>
      <c r="T23" s="67">
        <f t="shared" si="13"/>
        <v>0.42433186893067837</v>
      </c>
      <c r="U23" s="67">
        <f t="shared" si="13"/>
        <v>0.42688160199311231</v>
      </c>
      <c r="V23" s="67">
        <f t="shared" si="13"/>
        <v>0.44761914916608941</v>
      </c>
      <c r="W23" s="67">
        <f t="shared" si="13"/>
        <v>0.44362979350405179</v>
      </c>
      <c r="X23" s="67">
        <f t="shared" ref="X23:Y23" si="16">IF(X9=0,0,X9/X$7)</f>
        <v>0.41708015516741848</v>
      </c>
      <c r="Y23" s="67">
        <f t="shared" si="16"/>
        <v>0.44530642602724674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1294.9818572656923</v>
      </c>
      <c r="C3" s="62">
        <f t="shared" ref="C3:W3" si="0">SUM(C4,C10)</f>
        <v>1077.2857265692178</v>
      </c>
      <c r="D3" s="62">
        <f t="shared" si="0"/>
        <v>888.5163370593292</v>
      </c>
      <c r="E3" s="62">
        <f t="shared" si="0"/>
        <v>932.99294926913149</v>
      </c>
      <c r="F3" s="62">
        <f t="shared" si="0"/>
        <v>758.28555460017185</v>
      </c>
      <c r="G3" s="62">
        <f t="shared" si="0"/>
        <v>771.65735167669823</v>
      </c>
      <c r="H3" s="62">
        <f t="shared" si="0"/>
        <v>1015.4748065348236</v>
      </c>
      <c r="I3" s="62">
        <f t="shared" si="0"/>
        <v>1062.0319002579533</v>
      </c>
      <c r="J3" s="62">
        <f t="shared" si="0"/>
        <v>914.80601891659478</v>
      </c>
      <c r="K3" s="62">
        <f t="shared" si="0"/>
        <v>514.27824591573517</v>
      </c>
      <c r="L3" s="62">
        <f t="shared" si="0"/>
        <v>691.27024935511599</v>
      </c>
      <c r="M3" s="62">
        <f t="shared" si="0"/>
        <v>699.54617368873585</v>
      </c>
      <c r="N3" s="62">
        <f t="shared" si="0"/>
        <v>518.13800515907133</v>
      </c>
      <c r="O3" s="62">
        <f t="shared" si="0"/>
        <v>631.11444539982801</v>
      </c>
      <c r="P3" s="62">
        <f t="shared" si="0"/>
        <v>740.20017196904564</v>
      </c>
      <c r="Q3" s="62">
        <f t="shared" si="0"/>
        <v>768.95150472914861</v>
      </c>
      <c r="R3" s="62">
        <f t="shared" si="0"/>
        <v>671.16173688736012</v>
      </c>
      <c r="S3" s="62">
        <f t="shared" si="0"/>
        <v>534.74290627687014</v>
      </c>
      <c r="T3" s="62">
        <f t="shared" si="0"/>
        <v>594.15391229578654</v>
      </c>
      <c r="U3" s="62">
        <f t="shared" si="0"/>
        <v>740.19174548581236</v>
      </c>
      <c r="V3" s="62">
        <f t="shared" si="0"/>
        <v>556.52708512467757</v>
      </c>
      <c r="W3" s="62">
        <f t="shared" si="0"/>
        <v>475.67050730868431</v>
      </c>
      <c r="X3" s="62">
        <f t="shared" ref="X3:Y3" si="1">SUM(X4,X10)</f>
        <v>531.96586414445403</v>
      </c>
      <c r="Y3" s="62">
        <f t="shared" si="1"/>
        <v>547.20722269991393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646.40873221080255</v>
      </c>
      <c r="C4" s="71">
        <f t="shared" ref="C4:W4" si="2">SUM(C5:C9)</f>
        <v>537.74401079521294</v>
      </c>
      <c r="D4" s="71">
        <f t="shared" si="2"/>
        <v>452.11064174356568</v>
      </c>
      <c r="E4" s="71">
        <f t="shared" si="2"/>
        <v>454.82766998143097</v>
      </c>
      <c r="F4" s="71">
        <f t="shared" si="2"/>
        <v>394.34630280345289</v>
      </c>
      <c r="G4" s="71">
        <f t="shared" si="2"/>
        <v>406.59231613750035</v>
      </c>
      <c r="H4" s="71">
        <f t="shared" si="2"/>
        <v>485.33984035789751</v>
      </c>
      <c r="I4" s="71">
        <f t="shared" si="2"/>
        <v>521.39823341323768</v>
      </c>
      <c r="J4" s="71">
        <f t="shared" si="2"/>
        <v>453.88073547321915</v>
      </c>
      <c r="K4" s="71">
        <f t="shared" si="2"/>
        <v>256.6785070431817</v>
      </c>
      <c r="L4" s="71">
        <f t="shared" si="2"/>
        <v>361.91244216014263</v>
      </c>
      <c r="M4" s="71">
        <f t="shared" si="2"/>
        <v>335.81001681456564</v>
      </c>
      <c r="N4" s="71">
        <f t="shared" si="2"/>
        <v>275.00469219559113</v>
      </c>
      <c r="O4" s="71">
        <f t="shared" si="2"/>
        <v>351.51503183173236</v>
      </c>
      <c r="P4" s="71">
        <f t="shared" si="2"/>
        <v>392.64919087125173</v>
      </c>
      <c r="Q4" s="71">
        <f t="shared" si="2"/>
        <v>389.4514930648084</v>
      </c>
      <c r="R4" s="71">
        <f t="shared" si="2"/>
        <v>338.33380210091713</v>
      </c>
      <c r="S4" s="71">
        <f t="shared" si="2"/>
        <v>272.06882137464521</v>
      </c>
      <c r="T4" s="71">
        <f t="shared" si="2"/>
        <v>296.76525485286402</v>
      </c>
      <c r="U4" s="71">
        <f t="shared" si="2"/>
        <v>365.53381028726312</v>
      </c>
      <c r="V4" s="71">
        <f t="shared" si="2"/>
        <v>247.50383515465779</v>
      </c>
      <c r="W4" s="71">
        <f t="shared" si="2"/>
        <v>208.17465838748996</v>
      </c>
      <c r="X4" s="71">
        <f t="shared" ref="X4:Y4" si="3">SUM(X5:X9)</f>
        <v>268.9345532203904</v>
      </c>
      <c r="Y4" s="71">
        <f t="shared" si="3"/>
        <v>269.82236671138162</v>
      </c>
      <c r="DA4" s="186" t="s">
        <v>971</v>
      </c>
    </row>
    <row r="5" spans="1:105" ht="11.45" customHeight="1" x14ac:dyDescent="0.25">
      <c r="A5" s="72" t="s">
        <v>144</v>
      </c>
      <c r="B5" s="73">
        <v>422.12920296782039</v>
      </c>
      <c r="C5" s="73">
        <v>385.7556404293673</v>
      </c>
      <c r="D5" s="73">
        <v>398.88763697318188</v>
      </c>
      <c r="E5" s="73">
        <v>374.98710116907057</v>
      </c>
      <c r="F5" s="73">
        <v>295.67707877592636</v>
      </c>
      <c r="G5" s="73">
        <v>240.54007257541895</v>
      </c>
      <c r="H5" s="73">
        <v>217.44474140400962</v>
      </c>
      <c r="I5" s="73">
        <v>184.998021108399</v>
      </c>
      <c r="J5" s="73">
        <v>228.42107458872903</v>
      </c>
      <c r="K5" s="73">
        <v>212.5254538164651</v>
      </c>
      <c r="L5" s="73">
        <v>237.50663094072178</v>
      </c>
      <c r="M5" s="73">
        <v>209.26867744494751</v>
      </c>
      <c r="N5" s="73">
        <v>216.25341918587534</v>
      </c>
      <c r="O5" s="73">
        <v>236.38674196213432</v>
      </c>
      <c r="P5" s="73">
        <v>265.279203721123</v>
      </c>
      <c r="Q5" s="73">
        <v>365.72325775546193</v>
      </c>
      <c r="R5" s="73">
        <v>329.20796149556259</v>
      </c>
      <c r="S5" s="73">
        <v>272.06882137464521</v>
      </c>
      <c r="T5" s="73">
        <v>292.497014556566</v>
      </c>
      <c r="U5" s="73">
        <v>318.66166694056113</v>
      </c>
      <c r="V5" s="73">
        <v>247.50383515465779</v>
      </c>
      <c r="W5" s="73">
        <v>208.17465838748996</v>
      </c>
      <c r="X5" s="73">
        <v>263.91707749906169</v>
      </c>
      <c r="Y5" s="73">
        <v>246.47585864013124</v>
      </c>
      <c r="DA5" s="187" t="s">
        <v>972</v>
      </c>
    </row>
    <row r="6" spans="1:105" ht="11.45" customHeight="1" x14ac:dyDescent="0.25">
      <c r="A6" s="72" t="s">
        <v>145</v>
      </c>
      <c r="B6" s="73">
        <v>224.27952924298216</v>
      </c>
      <c r="C6" s="73">
        <v>151.98837036584558</v>
      </c>
      <c r="D6" s="73">
        <v>53.223004770383817</v>
      </c>
      <c r="E6" s="73">
        <v>79.840568812360374</v>
      </c>
      <c r="F6" s="73">
        <v>98.669224027526525</v>
      </c>
      <c r="G6" s="73">
        <v>166.0522435620814</v>
      </c>
      <c r="H6" s="73">
        <v>267.8950989538879</v>
      </c>
      <c r="I6" s="73">
        <v>336.40021230483865</v>
      </c>
      <c r="J6" s="73">
        <v>225.45966088449015</v>
      </c>
      <c r="K6" s="73">
        <v>44.153053226716573</v>
      </c>
      <c r="L6" s="73">
        <v>124.40581121942087</v>
      </c>
      <c r="M6" s="73">
        <v>126.54133936961814</v>
      </c>
      <c r="N6" s="73">
        <v>58.751273009715774</v>
      </c>
      <c r="O6" s="73">
        <v>115.12828986959805</v>
      </c>
      <c r="P6" s="73">
        <v>127.36998715012872</v>
      </c>
      <c r="Q6" s="73">
        <v>23.728235309346452</v>
      </c>
      <c r="R6" s="73">
        <v>9.1258406053545471</v>
      </c>
      <c r="S6" s="73">
        <v>0</v>
      </c>
      <c r="T6" s="73">
        <v>4.2682402962980319</v>
      </c>
      <c r="U6" s="73">
        <v>46.872143346701975</v>
      </c>
      <c r="V6" s="73">
        <v>0</v>
      </c>
      <c r="W6" s="73">
        <v>0</v>
      </c>
      <c r="X6" s="73">
        <v>5.0174757213286796</v>
      </c>
      <c r="Y6" s="73">
        <v>23.346508071250408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648.5731250548896</v>
      </c>
      <c r="C10" s="71">
        <f t="shared" ref="C10:W10" si="4">SUM(C11:C15)</f>
        <v>539.54171577400484</v>
      </c>
      <c r="D10" s="71">
        <f t="shared" si="4"/>
        <v>436.40569531576352</v>
      </c>
      <c r="E10" s="71">
        <f t="shared" si="4"/>
        <v>478.16527928770051</v>
      </c>
      <c r="F10" s="71">
        <f t="shared" si="4"/>
        <v>363.93925179671896</v>
      </c>
      <c r="G10" s="71">
        <f t="shared" si="4"/>
        <v>365.06503553919788</v>
      </c>
      <c r="H10" s="71">
        <f t="shared" si="4"/>
        <v>530.13496617692613</v>
      </c>
      <c r="I10" s="71">
        <f t="shared" si="4"/>
        <v>540.63366684471566</v>
      </c>
      <c r="J10" s="71">
        <f t="shared" si="4"/>
        <v>460.92528344337563</v>
      </c>
      <c r="K10" s="71">
        <f t="shared" si="4"/>
        <v>257.59973887255347</v>
      </c>
      <c r="L10" s="71">
        <f t="shared" si="4"/>
        <v>329.35780719497336</v>
      </c>
      <c r="M10" s="71">
        <f t="shared" si="4"/>
        <v>363.73615687417021</v>
      </c>
      <c r="N10" s="71">
        <f t="shared" si="4"/>
        <v>243.13331296348019</v>
      </c>
      <c r="O10" s="71">
        <f t="shared" si="4"/>
        <v>279.59941356809566</v>
      </c>
      <c r="P10" s="71">
        <f t="shared" si="4"/>
        <v>347.55098109779385</v>
      </c>
      <c r="Q10" s="71">
        <f t="shared" si="4"/>
        <v>379.50001166434026</v>
      </c>
      <c r="R10" s="71">
        <f t="shared" si="4"/>
        <v>332.827934786443</v>
      </c>
      <c r="S10" s="71">
        <f t="shared" si="4"/>
        <v>262.67408490222493</v>
      </c>
      <c r="T10" s="71">
        <f t="shared" si="4"/>
        <v>297.38865744292252</v>
      </c>
      <c r="U10" s="71">
        <f t="shared" si="4"/>
        <v>374.65793519854924</v>
      </c>
      <c r="V10" s="71">
        <f t="shared" si="4"/>
        <v>309.02324997001978</v>
      </c>
      <c r="W10" s="71">
        <f t="shared" si="4"/>
        <v>267.49584892119435</v>
      </c>
      <c r="X10" s="71">
        <f t="shared" ref="X10:Y10" si="5">SUM(X11:X15)</f>
        <v>263.03131092406363</v>
      </c>
      <c r="Y10" s="71">
        <f t="shared" si="5"/>
        <v>277.38485598853237</v>
      </c>
      <c r="DA10" s="186" t="s">
        <v>977</v>
      </c>
    </row>
    <row r="11" spans="1:105" ht="11.45" customHeight="1" x14ac:dyDescent="0.25">
      <c r="A11" s="72" t="s">
        <v>144</v>
      </c>
      <c r="B11" s="73">
        <v>76.588165905782333</v>
      </c>
      <c r="C11" s="73">
        <v>68.087351832025732</v>
      </c>
      <c r="D11" s="73">
        <v>67.193876354419103</v>
      </c>
      <c r="E11" s="73">
        <v>67.637318435400488</v>
      </c>
      <c r="F11" s="73">
        <v>46.999877371966932</v>
      </c>
      <c r="G11" s="73">
        <v>36.86508649594829</v>
      </c>
      <c r="H11" s="73">
        <v>41.602722052568183</v>
      </c>
      <c r="I11" s="73">
        <v>33.254601419545914</v>
      </c>
      <c r="J11" s="73">
        <v>39.805236675243464</v>
      </c>
      <c r="K11" s="73">
        <v>36.323299407954494</v>
      </c>
      <c r="L11" s="73">
        <v>36.838940856354725</v>
      </c>
      <c r="M11" s="73">
        <v>39.580075779472068</v>
      </c>
      <c r="N11" s="73">
        <v>32.595334038544252</v>
      </c>
      <c r="O11" s="73">
        <v>31.839569301838164</v>
      </c>
      <c r="P11" s="73">
        <v>39.662498772428108</v>
      </c>
      <c r="Q11" s="73">
        <v>78.041402605673085</v>
      </c>
      <c r="R11" s="73">
        <v>90.172606002287694</v>
      </c>
      <c r="S11" s="73">
        <v>125.31303589104699</v>
      </c>
      <c r="T11" s="73">
        <v>85.108574437414973</v>
      </c>
      <c r="U11" s="73">
        <v>53.414171408536006</v>
      </c>
      <c r="V11" s="73">
        <v>96.889630021610515</v>
      </c>
      <c r="W11" s="73">
        <v>157.42903894698975</v>
      </c>
      <c r="X11" s="73">
        <v>70.727376499218622</v>
      </c>
      <c r="Y11" s="73">
        <v>41.351398453591884</v>
      </c>
      <c r="DA11" s="187" t="s">
        <v>978</v>
      </c>
    </row>
    <row r="12" spans="1:105" ht="11.45" customHeight="1" x14ac:dyDescent="0.25">
      <c r="A12" s="72" t="s">
        <v>145</v>
      </c>
      <c r="B12" s="73">
        <v>571.98495914910723</v>
      </c>
      <c r="C12" s="73">
        <v>471.45436394197907</v>
      </c>
      <c r="D12" s="73">
        <v>369.21181896134442</v>
      </c>
      <c r="E12" s="73">
        <v>410.5279608523</v>
      </c>
      <c r="F12" s="73">
        <v>316.93937442475203</v>
      </c>
      <c r="G12" s="73">
        <v>328.1999490432496</v>
      </c>
      <c r="H12" s="73">
        <v>488.53224412435799</v>
      </c>
      <c r="I12" s="73">
        <v>507.37906542516976</v>
      </c>
      <c r="J12" s="73">
        <v>421.12004676813217</v>
      </c>
      <c r="K12" s="73">
        <v>221.27643946459898</v>
      </c>
      <c r="L12" s="73">
        <v>292.51886633861864</v>
      </c>
      <c r="M12" s="73">
        <v>324.15608109469815</v>
      </c>
      <c r="N12" s="73">
        <v>210.53797892493594</v>
      </c>
      <c r="O12" s="73">
        <v>247.75984426625752</v>
      </c>
      <c r="P12" s="73">
        <v>307.88848232536571</v>
      </c>
      <c r="Q12" s="73">
        <v>301.45860905866715</v>
      </c>
      <c r="R12" s="73">
        <v>242.6553287841553</v>
      </c>
      <c r="S12" s="73">
        <v>137.36104901117795</v>
      </c>
      <c r="T12" s="73">
        <v>212.28008300550755</v>
      </c>
      <c r="U12" s="73">
        <v>321.24376379001325</v>
      </c>
      <c r="V12" s="73">
        <v>212.13361994840926</v>
      </c>
      <c r="W12" s="73">
        <v>110.0668099742046</v>
      </c>
      <c r="X12" s="73">
        <v>192.30393442484504</v>
      </c>
      <c r="Y12" s="73">
        <v>236.03345753494048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12895.147017845364</v>
      </c>
      <c r="C19" s="62">
        <f>IF(C3=0,0,C3/MBunk_act!C7*100)</f>
        <v>10046.819813165825</v>
      </c>
      <c r="D19" s="62">
        <f>IF(D3=0,0,D3/MBunk_act!D7*100)</f>
        <v>9323.2028695769186</v>
      </c>
      <c r="E19" s="62">
        <f>IF(E3=0,0,E3/MBunk_act!E7*100)</f>
        <v>8964.4747505362066</v>
      </c>
      <c r="F19" s="62">
        <f>IF(F3=0,0,F3/MBunk_act!F7*100)</f>
        <v>7593.2271349453404</v>
      </c>
      <c r="G19" s="62">
        <f>IF(G3=0,0,G3/MBunk_act!G7*100)</f>
        <v>7979.8057634268744</v>
      </c>
      <c r="H19" s="62">
        <f>IF(H3=0,0,H3/MBunk_act!H7*100)</f>
        <v>9928.1091887866151</v>
      </c>
      <c r="I19" s="62">
        <f>IF(I3=0,0,I3/MBunk_act!I7*100)</f>
        <v>11124.964059777112</v>
      </c>
      <c r="J19" s="62">
        <f>IF(J3=0,0,J3/MBunk_act!J7*100)</f>
        <v>9853.8394704705042</v>
      </c>
      <c r="K19" s="62">
        <f>IF(K3=0,0,K3/MBunk_act!K7*100)</f>
        <v>6349.8863246423816</v>
      </c>
      <c r="L19" s="62">
        <f>IF(L3=0,0,L3/MBunk_act!L7*100)</f>
        <v>9156.684453473099</v>
      </c>
      <c r="M19" s="62">
        <f>IF(M3=0,0,M3/MBunk_act!M7*100)</f>
        <v>8578.7676783761362</v>
      </c>
      <c r="N19" s="62">
        <f>IF(N3=0,0,N3/MBunk_act!N7*100)</f>
        <v>7188.4449078101543</v>
      </c>
      <c r="O19" s="62">
        <f>IF(O3=0,0,O3/MBunk_act!O7*100)</f>
        <v>7648.740978907701</v>
      </c>
      <c r="P19" s="62">
        <f>IF(P3=0,0,P3/MBunk_act!P7*100)</f>
        <v>9305.232576314902</v>
      </c>
      <c r="Q19" s="62">
        <f>IF(Q3=0,0,Q3/MBunk_act!Q7*100)</f>
        <v>9461.5148573503448</v>
      </c>
      <c r="R19" s="62">
        <f>IF(R3=0,0,R3/MBunk_act!R7*100)</f>
        <v>8243.9844702503196</v>
      </c>
      <c r="S19" s="62">
        <f>IF(S3=0,0,S3/MBunk_act!S7*100)</f>
        <v>6867.7285076978678</v>
      </c>
      <c r="T19" s="62">
        <f>IF(T3=0,0,T3/MBunk_act!T7*100)</f>
        <v>7534.9047397971799</v>
      </c>
      <c r="U19" s="62">
        <f>IF(U3=0,0,U3/MBunk_act!U7*100)</f>
        <v>8466.1952387450492</v>
      </c>
      <c r="V19" s="62">
        <f>IF(V3=0,0,V3/MBunk_act!V7*100)</f>
        <v>6667.3441723380565</v>
      </c>
      <c r="W19" s="62">
        <f>IF(W3=0,0,W3/MBunk_act!W7*100)</f>
        <v>5467.4915497901229</v>
      </c>
      <c r="X19" s="62">
        <f>IF(X3=0,0,X3/MBunk_act!X7*100)</f>
        <v>5392.7618424281272</v>
      </c>
      <c r="Y19" s="62">
        <f>IF(Y3=0,0,Y3/MBunk_act!Y7*100)</f>
        <v>6066.396483885781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12038.054416910009</v>
      </c>
      <c r="C20" s="63">
        <f>IF(C4=0,0,C4/MBunk_act!C8*100)</f>
        <v>9042.2264621659615</v>
      </c>
      <c r="D20" s="63">
        <f>IF(D4=0,0,D4/MBunk_act!D8*100)</f>
        <v>8583.2020711507303</v>
      </c>
      <c r="E20" s="63">
        <f>IF(E4=0,0,E4/MBunk_act!E8*100)</f>
        <v>8295.6998128187934</v>
      </c>
      <c r="F20" s="63">
        <f>IF(F4=0,0,F4/MBunk_act!F8*100)</f>
        <v>6865.9198347541706</v>
      </c>
      <c r="G20" s="63">
        <f>IF(G4=0,0,G4/MBunk_act!G8*100)</f>
        <v>7220.427628184997</v>
      </c>
      <c r="H20" s="63">
        <f>IF(H4=0,0,H4/MBunk_act!H8*100)</f>
        <v>9083.9435033311456</v>
      </c>
      <c r="I20" s="63">
        <f>IF(I4=0,0,I4/MBunk_act!I8*100)</f>
        <v>10233.595933971643</v>
      </c>
      <c r="J20" s="63">
        <f>IF(J4=0,0,J4/MBunk_act!J8*100)</f>
        <v>8889.5857475661633</v>
      </c>
      <c r="K20" s="63">
        <f>IF(K4=0,0,K4/MBunk_act!K8*100)</f>
        <v>5723.6332269496143</v>
      </c>
      <c r="L20" s="63">
        <f>IF(L4=0,0,L4/MBunk_act!L8*100)</f>
        <v>8071.3169032664537</v>
      </c>
      <c r="M20" s="63">
        <f>IF(M4=0,0,M4/MBunk_act!M8*100)</f>
        <v>7450.2462815231765</v>
      </c>
      <c r="N20" s="63">
        <f>IF(N4=0,0,N4/MBunk_act!N8*100)</f>
        <v>6094.8405771070866</v>
      </c>
      <c r="O20" s="63">
        <f>IF(O4=0,0,O4/MBunk_act!O8*100)</f>
        <v>6451.5406653912014</v>
      </c>
      <c r="P20" s="63">
        <f>IF(P4=0,0,P4/MBunk_act!P8*100)</f>
        <v>7806.4123227897353</v>
      </c>
      <c r="Q20" s="63">
        <f>IF(Q4=0,0,Q4/MBunk_act!Q8*100)</f>
        <v>8120.4836421164346</v>
      </c>
      <c r="R20" s="63">
        <f>IF(R4=0,0,R4/MBunk_act!R8*100)</f>
        <v>7319.4686657424054</v>
      </c>
      <c r="S20" s="63">
        <f>IF(S4=0,0,S4/MBunk_act!S8*100)</f>
        <v>6093.6873805148807</v>
      </c>
      <c r="T20" s="63">
        <f>IF(T4=0,0,T4/MBunk_act!T8*100)</f>
        <v>6537.6199451785478</v>
      </c>
      <c r="U20" s="63">
        <f>IF(U4=0,0,U4/MBunk_act!U8*100)</f>
        <v>7295.032737542876</v>
      </c>
      <c r="V20" s="63">
        <f>IF(V4=0,0,V4/MBunk_act!V8*100)</f>
        <v>5367.9676138649265</v>
      </c>
      <c r="W20" s="63">
        <f>IF(W4=0,0,W4/MBunk_act!W8*100)</f>
        <v>4300.7667615517112</v>
      </c>
      <c r="X20" s="63">
        <f>IF(X4=0,0,X4/MBunk_act!X8*100)</f>
        <v>4676.9770683728348</v>
      </c>
      <c r="Y20" s="63">
        <f>IF(Y4=0,0,Y4/MBunk_act!Y8*100)</f>
        <v>5392.6692301649791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13880.092200821744</v>
      </c>
      <c r="C21" s="64">
        <f>IF(C10=0,0,C10/MBunk_act!C9*100)</f>
        <v>11297.828906804512</v>
      </c>
      <c r="D21" s="64">
        <f>IF(D10=0,0,D10/MBunk_act!D9*100)</f>
        <v>10237.601094774775</v>
      </c>
      <c r="E21" s="64">
        <f>IF(E10=0,0,E10/MBunk_act!E9*100)</f>
        <v>9708.983051045112</v>
      </c>
      <c r="F21" s="64">
        <f>IF(F10=0,0,F10/MBunk_act!F9*100)</f>
        <v>8577.7901337703133</v>
      </c>
      <c r="G21" s="64">
        <f>IF(G10=0,0,G10/MBunk_act!G9*100)</f>
        <v>9038.5273622798068</v>
      </c>
      <c r="H21" s="64">
        <f>IF(H10=0,0,H10/MBunk_act!H9*100)</f>
        <v>10851.307109950329</v>
      </c>
      <c r="I21" s="64">
        <f>IF(I10=0,0,I10/MBunk_act!I9*100)</f>
        <v>12145.198347868753</v>
      </c>
      <c r="J21" s="64">
        <f>IF(J10=0,0,J10/MBunk_act!J9*100)</f>
        <v>11032.215064056474</v>
      </c>
      <c r="K21" s="64">
        <f>IF(K10=0,0,K10/MBunk_act!K9*100)</f>
        <v>7126.888312542962</v>
      </c>
      <c r="L21" s="64">
        <f>IF(L10=0,0,L10/MBunk_act!L9*100)</f>
        <v>10744.303295504018</v>
      </c>
      <c r="M21" s="64">
        <f>IF(M10=0,0,M10/MBunk_act!M9*100)</f>
        <v>9973.5114532945026</v>
      </c>
      <c r="N21" s="64">
        <f>IF(N10=0,0,N10/MBunk_act!N9*100)</f>
        <v>9018.8365463768496</v>
      </c>
      <c r="O21" s="64">
        <f>IF(O10=0,0,O10/MBunk_act!O9*100)</f>
        <v>9976.1589840600791</v>
      </c>
      <c r="P21" s="64">
        <f>IF(P10=0,0,P10/MBunk_act!P9*100)</f>
        <v>11882.747007706545</v>
      </c>
      <c r="Q21" s="64">
        <f>IF(Q10=0,0,Q10/MBunk_act!Q9*100)</f>
        <v>11392.171722029223</v>
      </c>
      <c r="R21" s="64">
        <f>IF(R10=0,0,R10/MBunk_act!R9*100)</f>
        <v>9458.4345441020178</v>
      </c>
      <c r="S21" s="64">
        <f>IF(S10=0,0,S10/MBunk_act!S9*100)</f>
        <v>7908.1803370121879</v>
      </c>
      <c r="T21" s="64">
        <f>IF(T10=0,0,T10/MBunk_act!T9*100)</f>
        <v>8887.8671635451592</v>
      </c>
      <c r="U21" s="64">
        <f>IF(U10=0,0,U10/MBunk_act!U9*100)</f>
        <v>10038.562783658728</v>
      </c>
      <c r="V21" s="64">
        <f>IF(V10=0,0,V10/MBunk_act!V9*100)</f>
        <v>8270.829479568969</v>
      </c>
      <c r="W21" s="64">
        <f>IF(W10=0,0,W10/MBunk_act!W9*100)</f>
        <v>6930.7181429116654</v>
      </c>
      <c r="X21" s="64">
        <f>IF(X10=0,0,X10/MBunk_act!X9*100)</f>
        <v>6393.1574360721133</v>
      </c>
      <c r="Y21" s="64">
        <f>IF(Y10=0,0,Y10/MBunk_act!Y9*100)</f>
        <v>6905.6212433020637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15.93209081436124</v>
      </c>
      <c r="C23" s="62">
        <f>IF(C3=0,0,C3/MBunk_act!C3*1000)</f>
        <v>12.93254496113213</v>
      </c>
      <c r="D23" s="62">
        <f>IF(D3=0,0,D3/MBunk_act!D3*1000)</f>
        <v>11.052435522354813</v>
      </c>
      <c r="E23" s="62">
        <f>IF(E3=0,0,E3/MBunk_act!E3*1000)</f>
        <v>9.6247800470756992</v>
      </c>
      <c r="F23" s="62">
        <f>IF(F3=0,0,F3/MBunk_act!F3*1000)</f>
        <v>8.9846506840010747</v>
      </c>
      <c r="G23" s="62">
        <f>IF(G3=0,0,G3/MBunk_act!G3*1000)</f>
        <v>9.5804962505382818</v>
      </c>
      <c r="H23" s="62">
        <f>IF(H3=0,0,H3/MBunk_act!H3*1000)</f>
        <v>10.559771788468291</v>
      </c>
      <c r="I23" s="62">
        <f>IF(I3=0,0,I3/MBunk_act!I3*1000)</f>
        <v>12.141512361129319</v>
      </c>
      <c r="J23" s="62">
        <f>IF(J3=0,0,J3/MBunk_act!J3*1000)</f>
        <v>10.563070462617464</v>
      </c>
      <c r="K23" s="62">
        <f>IF(K3=0,0,K3/MBunk_act!K3*1000)</f>
        <v>6.8458139203441881</v>
      </c>
      <c r="L23" s="62">
        <f>IF(L3=0,0,L3/MBunk_act!L3*1000)</f>
        <v>10.376187660758744</v>
      </c>
      <c r="M23" s="62">
        <f>IF(M3=0,0,M3/MBunk_act!M3*1000)</f>
        <v>8.8882950861162442</v>
      </c>
      <c r="N23" s="62">
        <f>IF(N3=0,0,N3/MBunk_act!N3*1000)</f>
        <v>8.3198851680504973</v>
      </c>
      <c r="O23" s="62">
        <f>IF(O3=0,0,O3/MBunk_act!O3*1000)</f>
        <v>9.3719710523396085</v>
      </c>
      <c r="P23" s="62">
        <f>IF(P3=0,0,P3/MBunk_act!P3*1000)</f>
        <v>10.821462179091981</v>
      </c>
      <c r="Q23" s="62">
        <f>IF(Q3=0,0,Q3/MBunk_act!Q3*1000)</f>
        <v>8.5631651312651389</v>
      </c>
      <c r="R23" s="62">
        <f>IF(R3=0,0,R3/MBunk_act!R3*1000)</f>
        <v>7.4415370177008171</v>
      </c>
      <c r="S23" s="62">
        <f>IF(S3=0,0,S3/MBunk_act!S3*1000)</f>
        <v>6.1746358064908131</v>
      </c>
      <c r="T23" s="62">
        <f>IF(T3=0,0,T3/MBunk_act!T3*1000)</f>
        <v>6.7151433663026587</v>
      </c>
      <c r="U23" s="62">
        <f>IF(U3=0,0,U3/MBunk_act!U3*1000)</f>
        <v>7.4310300504057061</v>
      </c>
      <c r="V23" s="62">
        <f>IF(V3=0,0,V3/MBunk_act!V3*1000)</f>
        <v>5.5525724540305665</v>
      </c>
      <c r="W23" s="62">
        <f>IF(W3=0,0,W3/MBunk_act!W3*1000)</f>
        <v>4.5580835401665789</v>
      </c>
      <c r="X23" s="62">
        <f>IF(X3=0,0,X3/MBunk_act!X3*1000)</f>
        <v>5.1210731465143438</v>
      </c>
      <c r="Y23" s="62">
        <f>IF(Y3=0,0,Y3/MBunk_act!Y3*1000)</f>
        <v>5.4779142427538909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29.555932012027295</v>
      </c>
      <c r="C24" s="63">
        <f>IF(C4=0,0,C4/MBunk_act!C4*1000)</f>
        <v>24.523212283749171</v>
      </c>
      <c r="D24" s="63">
        <f>IF(D4=0,0,D4/MBunk_act!D4*1000)</f>
        <v>20.178523352085094</v>
      </c>
      <c r="E24" s="63">
        <f>IF(E4=0,0,E4/MBunk_act!E4*1000)</f>
        <v>19.463202908989107</v>
      </c>
      <c r="F24" s="63">
        <f>IF(F4=0,0,F4/MBunk_act!F4*1000)</f>
        <v>16.064155742966914</v>
      </c>
      <c r="G24" s="63">
        <f>IF(G4=0,0,G4/MBunk_act!G4*1000)</f>
        <v>16.834471592522881</v>
      </c>
      <c r="H24" s="63">
        <f>IF(H4=0,0,H4/MBunk_act!H4*1000)</f>
        <v>21.202268391307449</v>
      </c>
      <c r="I24" s="63">
        <f>IF(I4=0,0,I4/MBunk_act!I4*1000)</f>
        <v>23.605242088544792</v>
      </c>
      <c r="J24" s="63">
        <f>IF(J4=0,0,J4/MBunk_act!J4*1000)</f>
        <v>20.551586211786397</v>
      </c>
      <c r="K24" s="63">
        <f>IF(K4=0,0,K4/MBunk_act!K4*1000)</f>
        <v>13.270719329663605</v>
      </c>
      <c r="L24" s="63">
        <f>IF(L4=0,0,L4/MBunk_act!L4*1000)</f>
        <v>18.773595223934084</v>
      </c>
      <c r="M24" s="63">
        <f>IF(M4=0,0,M4/MBunk_act!M4*1000)</f>
        <v>18.058373088033097</v>
      </c>
      <c r="N24" s="63">
        <f>IF(N4=0,0,N4/MBunk_act!N4*1000)</f>
        <v>14.636494390537495</v>
      </c>
      <c r="O24" s="63">
        <f>IF(O4=0,0,O4/MBunk_act!O4*1000)</f>
        <v>15.318401959004946</v>
      </c>
      <c r="P24" s="63">
        <f>IF(P4=0,0,P4/MBunk_act!P4*1000)</f>
        <v>19.264994359751068</v>
      </c>
      <c r="Q24" s="63">
        <f>IF(Q4=0,0,Q4/MBunk_act!Q4*1000)</f>
        <v>17.600792089461724</v>
      </c>
      <c r="R24" s="63">
        <f>IF(R4=0,0,R4/MBunk_act!R4*1000)</f>
        <v>14.995803613635127</v>
      </c>
      <c r="S24" s="63">
        <f>IF(S4=0,0,S4/MBunk_act!S4*1000)</f>
        <v>12.307609005526846</v>
      </c>
      <c r="T24" s="63">
        <f>IF(T4=0,0,T4/MBunk_act!T4*1000)</f>
        <v>14.033788170089258</v>
      </c>
      <c r="U24" s="63">
        <f>IF(U4=0,0,U4/MBunk_act!U4*1000)</f>
        <v>15.900039365515623</v>
      </c>
      <c r="V24" s="63">
        <f>IF(V4=0,0,V4/MBunk_act!V4*1000)</f>
        <v>10.948181587784921</v>
      </c>
      <c r="W24" s="63">
        <f>IF(W4=0,0,W4/MBunk_act!W4*1000)</f>
        <v>9.1276052971151564</v>
      </c>
      <c r="X24" s="63">
        <f>IF(X4=0,0,X4/MBunk_act!X4*1000)</f>
        <v>9.8822100183917243</v>
      </c>
      <c r="Y24" s="63">
        <f>IF(Y4=0,0,Y4/MBunk_act!Y4*1000)</f>
        <v>11.302077517593712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10.916780908564949</v>
      </c>
      <c r="C25" s="64">
        <f>IF(C10=0,0,C10/MBunk_act!C5*1000)</f>
        <v>8.7912752604684634</v>
      </c>
      <c r="D25" s="64">
        <f>IF(D10=0,0,D10/MBunk_act!D5*1000)</f>
        <v>7.5261224771048152</v>
      </c>
      <c r="E25" s="64">
        <f>IF(E10=0,0,E10/MBunk_act!E5*1000)</f>
        <v>6.4996408114444693</v>
      </c>
      <c r="F25" s="64">
        <f>IF(F10=0,0,F10/MBunk_act!F5*1000)</f>
        <v>6.0808891285359454</v>
      </c>
      <c r="G25" s="64">
        <f>IF(G10=0,0,G10/MBunk_act!G5*1000)</f>
        <v>6.4736743308699456</v>
      </c>
      <c r="H25" s="64">
        <f>IF(H10=0,0,H10/MBunk_act!H5*1000)</f>
        <v>7.2350137420315868</v>
      </c>
      <c r="I25" s="64">
        <f>IF(I10=0,0,I10/MBunk_act!I5*1000)</f>
        <v>8.2687320192805913</v>
      </c>
      <c r="J25" s="64">
        <f>IF(J10=0,0,J10/MBunk_act!J5*1000)</f>
        <v>7.1439988033120123</v>
      </c>
      <c r="K25" s="64">
        <f>IF(K10=0,0,K10/MBunk_act!K5*1000)</f>
        <v>4.6180298440438801</v>
      </c>
      <c r="L25" s="64">
        <f>IF(L10=0,0,L10/MBunk_act!L5*1000)</f>
        <v>6.9568289732571342</v>
      </c>
      <c r="M25" s="64">
        <f>IF(M10=0,0,M10/MBunk_act!M5*1000)</f>
        <v>6.0513369947211864</v>
      </c>
      <c r="N25" s="64">
        <f>IF(N10=0,0,N10/MBunk_act!N5*1000)</f>
        <v>5.5908023527239266</v>
      </c>
      <c r="O25" s="64">
        <f>IF(O10=0,0,O10/MBunk_act!O5*1000)</f>
        <v>6.2982214399087972</v>
      </c>
      <c r="P25" s="64">
        <f>IF(P10=0,0,P10/MBunk_act!P5*1000)</f>
        <v>7.2376842114588902</v>
      </c>
      <c r="Q25" s="64">
        <f>IF(Q10=0,0,Q10/MBunk_act!Q5*1000)</f>
        <v>5.6080444326987671</v>
      </c>
      <c r="R25" s="64">
        <f>IF(R10=0,0,R10/MBunk_act!R5*1000)</f>
        <v>4.9213512866392159</v>
      </c>
      <c r="S25" s="64">
        <f>IF(S10=0,0,S10/MBunk_act!S5*1000)</f>
        <v>4.0726301025040712</v>
      </c>
      <c r="T25" s="64">
        <f>IF(T10=0,0,T10/MBunk_act!T5*1000)</f>
        <v>4.4166704140268092</v>
      </c>
      <c r="U25" s="64">
        <f>IF(U10=0,0,U10/MBunk_act!U5*1000)</f>
        <v>4.8898995575598416</v>
      </c>
      <c r="V25" s="64">
        <f>IF(V10=0,0,V10/MBunk_act!V5*1000)</f>
        <v>3.9811374100173706</v>
      </c>
      <c r="W25" s="64">
        <f>IF(W10=0,0,W10/MBunk_act!W5*1000)</f>
        <v>3.2801285126372686</v>
      </c>
      <c r="X25" s="64">
        <f>IF(X10=0,0,X10/MBunk_act!X5*1000)</f>
        <v>3.4309714262204127</v>
      </c>
      <c r="Y25" s="64">
        <f>IF(Y10=0,0,Y10/MBunk_act!Y5*1000)</f>
        <v>3.6488569820140269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0.49916431537942269</v>
      </c>
      <c r="C28" s="77">
        <f t="shared" si="6"/>
        <v>0.49916563222993915</v>
      </c>
      <c r="D28" s="77">
        <f t="shared" si="6"/>
        <v>0.50883773644488062</v>
      </c>
      <c r="E28" s="77">
        <f t="shared" si="6"/>
        <v>0.48749314808619332</v>
      </c>
      <c r="F28" s="77">
        <f t="shared" si="6"/>
        <v>0.52004986829979039</v>
      </c>
      <c r="G28" s="77">
        <f t="shared" si="6"/>
        <v>0.52690785003737073</v>
      </c>
      <c r="H28" s="77">
        <f t="shared" si="6"/>
        <v>0.47794375324195082</v>
      </c>
      <c r="I28" s="77">
        <f t="shared" si="6"/>
        <v>0.49094404159290977</v>
      </c>
      <c r="J28" s="77">
        <f t="shared" si="6"/>
        <v>0.49614970396756936</v>
      </c>
      <c r="K28" s="77">
        <f t="shared" si="6"/>
        <v>0.49910434493711531</v>
      </c>
      <c r="L28" s="77">
        <f t="shared" si="6"/>
        <v>0.52354696661366473</v>
      </c>
      <c r="M28" s="77">
        <f t="shared" si="6"/>
        <v>0.4800398164481775</v>
      </c>
      <c r="N28" s="77">
        <f t="shared" si="6"/>
        <v>0.53075568566170539</v>
      </c>
      <c r="O28" s="77">
        <f t="shared" si="6"/>
        <v>0.55697510078229651</v>
      </c>
      <c r="P28" s="77">
        <f t="shared" si="6"/>
        <v>0.53046352289644139</v>
      </c>
      <c r="Q28" s="77">
        <f t="shared" si="6"/>
        <v>0.50647081209885492</v>
      </c>
      <c r="R28" s="77">
        <f t="shared" si="6"/>
        <v>0.50410174404459396</v>
      </c>
      <c r="S28" s="77">
        <f t="shared" si="6"/>
        <v>0.50878434885450918</v>
      </c>
      <c r="T28" s="77">
        <f t="shared" si="6"/>
        <v>0.49947538627857407</v>
      </c>
      <c r="U28" s="77">
        <f t="shared" si="6"/>
        <v>0.49383664775584762</v>
      </c>
      <c r="V28" s="77">
        <f t="shared" si="6"/>
        <v>0.44472918168791381</v>
      </c>
      <c r="W28" s="77">
        <f t="shared" si="6"/>
        <v>0.43764466198530977</v>
      </c>
      <c r="X28" s="77">
        <f t="shared" ref="X28:Y28" si="8">IF(X4=0,0,X4/X$3)</f>
        <v>0.50554851607426055</v>
      </c>
      <c r="Y28" s="77">
        <f t="shared" si="8"/>
        <v>0.49308992191309403</v>
      </c>
      <c r="DA28" s="184"/>
    </row>
    <row r="29" spans="1:105" ht="11.45" customHeight="1" x14ac:dyDescent="0.25">
      <c r="A29" s="57" t="s">
        <v>167</v>
      </c>
      <c r="B29" s="78">
        <f>IF(B10=0,0,B10/B$3)</f>
        <v>0.50083568462057726</v>
      </c>
      <c r="C29" s="78">
        <f t="shared" ref="C29:W29" si="9">IF(C10=0,0,C10/C$3)</f>
        <v>0.50083436777006085</v>
      </c>
      <c r="D29" s="78">
        <f t="shared" si="9"/>
        <v>0.49116226355511938</v>
      </c>
      <c r="E29" s="78">
        <f t="shared" si="9"/>
        <v>0.51250685191380663</v>
      </c>
      <c r="F29" s="78">
        <f t="shared" si="9"/>
        <v>0.47995013170020961</v>
      </c>
      <c r="G29" s="78">
        <f t="shared" si="9"/>
        <v>0.47309214996262927</v>
      </c>
      <c r="H29" s="78">
        <f t="shared" si="9"/>
        <v>0.52205624675804918</v>
      </c>
      <c r="I29" s="78">
        <f t="shared" si="9"/>
        <v>0.50905595840709017</v>
      </c>
      <c r="J29" s="78">
        <f t="shared" si="9"/>
        <v>0.5038502960324307</v>
      </c>
      <c r="K29" s="78">
        <f t="shared" si="9"/>
        <v>0.50089565506288469</v>
      </c>
      <c r="L29" s="78">
        <f t="shared" si="9"/>
        <v>0.47645303338633521</v>
      </c>
      <c r="M29" s="78">
        <f t="shared" si="9"/>
        <v>0.5199601835518225</v>
      </c>
      <c r="N29" s="78">
        <f t="shared" si="9"/>
        <v>0.46924431433829461</v>
      </c>
      <c r="O29" s="78">
        <f t="shared" si="9"/>
        <v>0.44302489921770349</v>
      </c>
      <c r="P29" s="78">
        <f t="shared" si="9"/>
        <v>0.4695364771035585</v>
      </c>
      <c r="Q29" s="78">
        <f t="shared" si="9"/>
        <v>0.49352918790114514</v>
      </c>
      <c r="R29" s="78">
        <f t="shared" si="9"/>
        <v>0.49589825595540604</v>
      </c>
      <c r="S29" s="78">
        <f t="shared" si="9"/>
        <v>0.49121565114549082</v>
      </c>
      <c r="T29" s="78">
        <f t="shared" si="9"/>
        <v>0.50052461372142587</v>
      </c>
      <c r="U29" s="78">
        <f t="shared" si="9"/>
        <v>0.50616335224415243</v>
      </c>
      <c r="V29" s="78">
        <f t="shared" si="9"/>
        <v>0.55527081831208625</v>
      </c>
      <c r="W29" s="78">
        <f t="shared" si="9"/>
        <v>0.56235533801469029</v>
      </c>
      <c r="X29" s="78">
        <f t="shared" ref="X29:Y29" si="10">IF(X10=0,0,X10/X$3)</f>
        <v>0.49445148392573951</v>
      </c>
      <c r="Y29" s="78">
        <f t="shared" si="10"/>
        <v>0.50691007808690602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4126.9042983600002</v>
      </c>
      <c r="C3" s="62">
        <f t="shared" ref="C3:W3" si="1">SUM(C4:C5)</f>
        <v>3427.6419158400004</v>
      </c>
      <c r="D3" s="62">
        <f t="shared" si="1"/>
        <v>2814.3998672399998</v>
      </c>
      <c r="E3" s="62">
        <f t="shared" si="1"/>
        <v>2961.9427564799998</v>
      </c>
      <c r="F3" s="62">
        <f t="shared" si="1"/>
        <v>2409.5980897199997</v>
      </c>
      <c r="G3" s="62">
        <f t="shared" si="1"/>
        <v>2461.94874936</v>
      </c>
      <c r="H3" s="62">
        <f t="shared" si="1"/>
        <v>3254.4240858000003</v>
      </c>
      <c r="I3" s="62">
        <f t="shared" si="1"/>
        <v>3411.1044079200001</v>
      </c>
      <c r="J3" s="62">
        <f t="shared" si="1"/>
        <v>2927.1021055200008</v>
      </c>
      <c r="K3" s="62">
        <f t="shared" si="1"/>
        <v>1631.8358218799999</v>
      </c>
      <c r="L3" s="62">
        <f t="shared" si="1"/>
        <v>2201.8703821200006</v>
      </c>
      <c r="M3" s="62">
        <f t="shared" si="1"/>
        <v>2232.2119561199993</v>
      </c>
      <c r="N3" s="62">
        <f t="shared" si="1"/>
        <v>1644.3436928400001</v>
      </c>
      <c r="O3" s="62">
        <f t="shared" si="1"/>
        <v>2007.7759584</v>
      </c>
      <c r="P3" s="62">
        <f t="shared" si="1"/>
        <v>2356.20457128</v>
      </c>
      <c r="Q3" s="62">
        <f t="shared" si="1"/>
        <v>2430.1265587199996</v>
      </c>
      <c r="R3" s="62">
        <f t="shared" si="1"/>
        <v>2116.5996934799996</v>
      </c>
      <c r="S3" s="62">
        <f t="shared" si="1"/>
        <v>1677.5625614400003</v>
      </c>
      <c r="T3" s="62">
        <f t="shared" si="1"/>
        <v>1872.8212456799993</v>
      </c>
      <c r="U3" s="62">
        <f t="shared" si="1"/>
        <v>2346.8330091600001</v>
      </c>
      <c r="V3" s="62">
        <f t="shared" si="1"/>
        <v>1755.4771148400005</v>
      </c>
      <c r="W3" s="62">
        <f t="shared" si="1"/>
        <v>1490.5241481599996</v>
      </c>
      <c r="X3" s="62">
        <f t="shared" ref="X3:Y3" si="2">SUM(X4:X5)</f>
        <v>1677.2314010400003</v>
      </c>
      <c r="Y3" s="62">
        <f t="shared" si="2"/>
        <v>1733.0907614400003</v>
      </c>
      <c r="DA3" s="172" t="s">
        <v>987</v>
      </c>
    </row>
    <row r="4" spans="1:105" ht="11.45" customHeight="1" x14ac:dyDescent="0.25">
      <c r="A4" s="55" t="s">
        <v>166</v>
      </c>
      <c r="B4" s="63">
        <v>2036.2244993816732</v>
      </c>
      <c r="C4" s="63">
        <v>1689.1389871502217</v>
      </c>
      <c r="D4" s="63">
        <v>1409.9251465210043</v>
      </c>
      <c r="E4" s="63">
        <v>1422.0410970320067</v>
      </c>
      <c r="F4" s="63">
        <v>1236.9783878993494</v>
      </c>
      <c r="G4" s="63">
        <v>1284.2467216041978</v>
      </c>
      <c r="H4" s="63">
        <v>1542.5584863672148</v>
      </c>
      <c r="I4" s="63">
        <v>1663.9372344064964</v>
      </c>
      <c r="J4" s="63">
        <v>1439.1588193963162</v>
      </c>
      <c r="K4" s="63">
        <v>802.36745231470456</v>
      </c>
      <c r="L4" s="63">
        <v>1139.8898972431887</v>
      </c>
      <c r="M4" s="63">
        <v>1059.2103504890624</v>
      </c>
      <c r="N4" s="63">
        <v>861.22210141878588</v>
      </c>
      <c r="O4" s="63">
        <v>1106.3444706132841</v>
      </c>
      <c r="P4" s="63">
        <v>1235.6596864033563</v>
      </c>
      <c r="Q4" s="63">
        <v>1211.489947109289</v>
      </c>
      <c r="R4" s="63">
        <v>1050.8990710623068</v>
      </c>
      <c r="S4" s="63">
        <v>844.07142632654109</v>
      </c>
      <c r="T4" s="63">
        <v>921.2716983060343</v>
      </c>
      <c r="U4" s="63">
        <v>1140.4625296715556</v>
      </c>
      <c r="V4" s="63">
        <v>767.86055125591133</v>
      </c>
      <c r="W4" s="63">
        <v>645.84497386492637</v>
      </c>
      <c r="X4" s="63">
        <v>835.03036669287246</v>
      </c>
      <c r="Y4" s="63">
        <v>840.29052955478562</v>
      </c>
      <c r="DA4" s="181" t="s">
        <v>988</v>
      </c>
    </row>
    <row r="5" spans="1:105" ht="11.45" customHeight="1" x14ac:dyDescent="0.25">
      <c r="A5" s="57" t="s">
        <v>167</v>
      </c>
      <c r="B5" s="64">
        <v>2090.6797989783272</v>
      </c>
      <c r="C5" s="64">
        <v>1738.5029286897784</v>
      </c>
      <c r="D5" s="64">
        <v>1404.4747207189955</v>
      </c>
      <c r="E5" s="64">
        <v>1539.9016594479931</v>
      </c>
      <c r="F5" s="64">
        <v>1172.6197018206503</v>
      </c>
      <c r="G5" s="64">
        <v>1177.7020277558024</v>
      </c>
      <c r="H5" s="64">
        <v>1711.8655994327858</v>
      </c>
      <c r="I5" s="64">
        <v>1747.1671735135037</v>
      </c>
      <c r="J5" s="64">
        <v>1487.9432861236844</v>
      </c>
      <c r="K5" s="64">
        <v>829.46836956529546</v>
      </c>
      <c r="L5" s="64">
        <v>1061.9804848768117</v>
      </c>
      <c r="M5" s="64">
        <v>1173.0016056309369</v>
      </c>
      <c r="N5" s="64">
        <v>783.12159142121413</v>
      </c>
      <c r="O5" s="64">
        <v>901.43148778671593</v>
      </c>
      <c r="P5" s="64">
        <v>1120.5448848766437</v>
      </c>
      <c r="Q5" s="64">
        <v>1218.6366116107108</v>
      </c>
      <c r="R5" s="64">
        <v>1065.700622417693</v>
      </c>
      <c r="S5" s="64">
        <v>833.49113511345922</v>
      </c>
      <c r="T5" s="64">
        <v>951.54954737396508</v>
      </c>
      <c r="U5" s="64">
        <v>1206.3704794884447</v>
      </c>
      <c r="V5" s="64">
        <v>987.61656358408925</v>
      </c>
      <c r="W5" s="64">
        <v>844.67917429507315</v>
      </c>
      <c r="X5" s="64">
        <v>842.2010343471278</v>
      </c>
      <c r="Y5" s="64">
        <v>892.80023188521454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3.186843333136582</v>
      </c>
      <c r="C9" s="79">
        <f>IF(C3=0,0,C3/MBunk_ene!C3)</f>
        <v>3.1817389122529764</v>
      </c>
      <c r="D9" s="79">
        <f>IF(D3=0,0,D3/MBunk_ene!D3)</f>
        <v>3.1675274273004987</v>
      </c>
      <c r="E9" s="79">
        <f>IF(E3=0,0,E3/MBunk_ene!E3)</f>
        <v>3.1746678887554989</v>
      </c>
      <c r="F9" s="79">
        <f>IF(F3=0,0,F3/MBunk_ene!F3)</f>
        <v>3.1776921966956504</v>
      </c>
      <c r="G9" s="79">
        <f>IF(G3=0,0,G3/MBunk_ene!G3)</f>
        <v>3.1904688577262257</v>
      </c>
      <c r="H9" s="79">
        <f>IF(H3=0,0,H3/MBunk_ene!H3)</f>
        <v>3.2048299621585898</v>
      </c>
      <c r="I9" s="79">
        <f>IF(I3=0,0,I3/MBunk_ene!I3)</f>
        <v>3.2118662415803976</v>
      </c>
      <c r="J9" s="79">
        <f>IF(J3=0,0,J3/MBunk_ene!J3)</f>
        <v>3.1996970341172104</v>
      </c>
      <c r="K9" s="79">
        <f>IF(K3=0,0,K3/MBunk_ene!K3)</f>
        <v>3.1730601767421001</v>
      </c>
      <c r="L9" s="79">
        <f>IF(L3=0,0,L3/MBunk_ene!L3)</f>
        <v>3.1852526333573867</v>
      </c>
      <c r="M9" s="79">
        <f>IF(M3=0,0,M3/MBunk_ene!M3)</f>
        <v>3.1909429857209477</v>
      </c>
      <c r="N9" s="79">
        <f>IF(N3=0,0,N3/MBunk_ene!N3)</f>
        <v>3.1735631751914766</v>
      </c>
      <c r="O9" s="79">
        <f>IF(O3=0,0,O3/MBunk_ene!O3)</f>
        <v>3.181318337798495</v>
      </c>
      <c r="P9" s="79">
        <f>IF(P3=0,0,P3/MBunk_ene!P3)</f>
        <v>3.1831991676145326</v>
      </c>
      <c r="Q9" s="79">
        <f>IF(Q3=0,0,Q3/MBunk_ene!Q3)</f>
        <v>3.1603118581268328</v>
      </c>
      <c r="R9" s="79">
        <f>IF(R3=0,0,R3/MBunk_ene!R3)</f>
        <v>3.1536358185377673</v>
      </c>
      <c r="S9" s="79">
        <f>IF(S3=0,0,S3/MBunk_ene!S3)</f>
        <v>3.1371385047816238</v>
      </c>
      <c r="T9" s="79">
        <f>IF(T3=0,0,T3/MBunk_ene!T3)</f>
        <v>3.1520809792255582</v>
      </c>
      <c r="U9" s="79">
        <f>IF(U3=0,0,U3/MBunk_ene!U3)</f>
        <v>3.1705744132821905</v>
      </c>
      <c r="V9" s="79">
        <f>IF(V3=0,0,V3/MBunk_ene!V3)</f>
        <v>3.1543426398496397</v>
      </c>
      <c r="W9" s="79">
        <f>IF(W3=0,0,W3/MBunk_ene!W3)</f>
        <v>3.1335223127313432</v>
      </c>
      <c r="X9" s="79">
        <f>IF(X3=0,0,X3/MBunk_ene!X3)</f>
        <v>3.1528929092798936</v>
      </c>
      <c r="Y9" s="79">
        <f>IF(Y3=0,0,Y3/MBunk_ene!Y3)</f>
        <v>3.1671562244536009</v>
      </c>
      <c r="DA9" s="172"/>
    </row>
    <row r="10" spans="1:105" ht="11.45" customHeight="1" x14ac:dyDescent="0.25">
      <c r="A10" s="55" t="s">
        <v>166</v>
      </c>
      <c r="B10" s="80">
        <f>IF(B4=0,0,B4/MBunk_ene!B4)</f>
        <v>3.1500572283692994</v>
      </c>
      <c r="C10" s="80">
        <f>IF(C4=0,0,C4/MBunk_ene!C4)</f>
        <v>3.1411581593485942</v>
      </c>
      <c r="D10" s="80">
        <f>IF(D4=0,0,D4/MBunk_ene!D4)</f>
        <v>3.1185400571055459</v>
      </c>
      <c r="E10" s="80">
        <f>IF(E4=0,0,E4/MBunk_ene!E4)</f>
        <v>3.1265492204774255</v>
      </c>
      <c r="F10" s="80">
        <f>IF(F4=0,0,F4/MBunk_ene!F4)</f>
        <v>3.1367820088727316</v>
      </c>
      <c r="G10" s="80">
        <f>IF(G4=0,0,G4/MBunk_ene!G4)</f>
        <v>3.158561218775946</v>
      </c>
      <c r="H10" s="80">
        <f>IF(H4=0,0,H4/MBunk_ene!H4)</f>
        <v>3.1783059170038608</v>
      </c>
      <c r="I10" s="80">
        <f>IF(I4=0,0,I4/MBunk_ene!I4)</f>
        <v>3.1912981820322579</v>
      </c>
      <c r="J10" s="80">
        <f>IF(J4=0,0,J4/MBunk_ene!J4)</f>
        <v>3.1707863033575094</v>
      </c>
      <c r="K10" s="80">
        <f>IF(K4=0,0,K4/MBunk_ene!K4)</f>
        <v>3.1259627522288813</v>
      </c>
      <c r="L10" s="80">
        <f>IF(L4=0,0,L4/MBunk_ene!L4)</f>
        <v>3.149628928034474</v>
      </c>
      <c r="M10" s="80">
        <f>IF(M4=0,0,M4/MBunk_ene!M4)</f>
        <v>3.1541952218595033</v>
      </c>
      <c r="N10" s="80">
        <f>IF(N4=0,0,N4/MBunk_ene!N4)</f>
        <v>3.1316632983347801</v>
      </c>
      <c r="O10" s="80">
        <f>IF(O4=0,0,O4/MBunk_ene!O4)</f>
        <v>3.1473603414572695</v>
      </c>
      <c r="P10" s="80">
        <f>IF(P4=0,0,P4/MBunk_ene!P4)</f>
        <v>3.1469813643612592</v>
      </c>
      <c r="Q10" s="80">
        <f>IF(Q4=0,0,Q4/MBunk_ene!Q4)</f>
        <v>3.1107595392057865</v>
      </c>
      <c r="R10" s="80">
        <f>IF(R4=0,0,R4/MBunk_ene!R4)</f>
        <v>3.1061013251902274</v>
      </c>
      <c r="S10" s="80">
        <f>IF(S4=0,0,S4/MBunk_ene!S4)</f>
        <v>3.1024187999999997</v>
      </c>
      <c r="T10" s="80">
        <f>IF(T4=0,0,T4/MBunk_ene!T4)</f>
        <v>3.1043785727638502</v>
      </c>
      <c r="U10" s="80">
        <f>IF(U4=0,0,U4/MBunk_ene!U4)</f>
        <v>3.1199919065634365</v>
      </c>
      <c r="V10" s="80">
        <f>IF(V4=0,0,V4/MBunk_ene!V4)</f>
        <v>3.1024188000000001</v>
      </c>
      <c r="W10" s="80">
        <f>IF(W4=0,0,W4/MBunk_ene!W4)</f>
        <v>3.1024187999999993</v>
      </c>
      <c r="X10" s="80">
        <f>IF(X4=0,0,X4/MBunk_ene!X4)</f>
        <v>3.1049575322088478</v>
      </c>
      <c r="Y10" s="80">
        <f>IF(Y4=0,0,Y4/MBunk_ene!Y4)</f>
        <v>3.1142360056963381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3.2235066767550538</v>
      </c>
      <c r="C11" s="81">
        <f>IF(C5=0,0,C5/MBunk_ene!C10)</f>
        <v>3.2221844537002888</v>
      </c>
      <c r="D11" s="81">
        <f>IF(D5=0,0,D5/MBunk_ene!D10)</f>
        <v>3.2182777076334461</v>
      </c>
      <c r="E11" s="81">
        <f>IF(E5=0,0,E5/MBunk_ene!E10)</f>
        <v>3.2204380496674903</v>
      </c>
      <c r="F11" s="81">
        <f>IF(F5=0,0,F5/MBunk_ene!F10)</f>
        <v>3.2220204224512337</v>
      </c>
      <c r="G11" s="81">
        <f>IF(G5=0,0,G5/MBunk_ene!G10)</f>
        <v>3.2260060896172837</v>
      </c>
      <c r="H11" s="81">
        <f>IF(H5=0,0,H5/MBunk_ene!H10)</f>
        <v>3.2291127894806158</v>
      </c>
      <c r="I11" s="81">
        <f>IF(I5=0,0,I5/MBunk_ene!I10)</f>
        <v>3.2317025014561969</v>
      </c>
      <c r="J11" s="81">
        <f>IF(J5=0,0,J5/MBunk_ene!J10)</f>
        <v>3.2281659079491076</v>
      </c>
      <c r="K11" s="81">
        <f>IF(K5=0,0,K5/MBunk_ene!K10)</f>
        <v>3.2199891707796797</v>
      </c>
      <c r="L11" s="81">
        <f>IF(L5=0,0,L5/MBunk_ene!L10)</f>
        <v>3.2243974840655292</v>
      </c>
      <c r="M11" s="81">
        <f>IF(M5=0,0,M5/MBunk_ene!M10)</f>
        <v>3.224869410045264</v>
      </c>
      <c r="N11" s="81">
        <f>IF(N5=0,0,N5/MBunk_ene!N10)</f>
        <v>3.220955540299995</v>
      </c>
      <c r="O11" s="81">
        <f>IF(O5=0,0,O5/MBunk_ene!O10)</f>
        <v>3.2240106525372765</v>
      </c>
      <c r="P11" s="81">
        <f>IF(P5=0,0,P5/MBunk_ene!P10)</f>
        <v>3.2241165924412822</v>
      </c>
      <c r="Q11" s="81">
        <f>IF(Q5=0,0,Q5/MBunk_ene!Q10)</f>
        <v>3.2111635682598321</v>
      </c>
      <c r="R11" s="81">
        <f>IF(R5=0,0,R5/MBunk_ene!R10)</f>
        <v>3.201956659982562</v>
      </c>
      <c r="S11" s="81">
        <f>IF(S5=0,0,S5/MBunk_ene!S10)</f>
        <v>3.17309998595297</v>
      </c>
      <c r="T11" s="81">
        <f>IF(T5=0,0,T5/MBunk_ene!T10)</f>
        <v>3.1996833892583645</v>
      </c>
      <c r="U11" s="81">
        <f>IF(U5=0,0,U5/MBunk_ene!U10)</f>
        <v>3.2199250733849558</v>
      </c>
      <c r="V11" s="81">
        <f>IF(V5=0,0,V5/MBunk_ene!V10)</f>
        <v>3.1959296385624834</v>
      </c>
      <c r="W11" s="81">
        <f>IF(W5=0,0,W5/MBunk_ene!W10)</f>
        <v>3.1577281580317904</v>
      </c>
      <c r="X11" s="81">
        <f>IF(X5=0,0,X5/MBunk_ene!X10)</f>
        <v>3.2019041055924662</v>
      </c>
      <c r="Y11" s="81">
        <f>IF(Y5=0,0,Y5/MBunk_ene!Y10)</f>
        <v>3.2186336514424734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41094.813303636569</v>
      </c>
      <c r="C13" s="62">
        <f>IF(C3=0,0,C3/MBunk_act!C7*100)</f>
        <v>31966.357543943883</v>
      </c>
      <c r="D13" s="62">
        <f>IF(D3=0,0,D3/MBunk_act!D7*100)</f>
        <v>29531.500799671609</v>
      </c>
      <c r="E13" s="62">
        <f>IF(E3=0,0,E3/MBunk_act!E7*100)</f>
        <v>28459.230130086751</v>
      </c>
      <c r="F13" s="62">
        <f>IF(F3=0,0,F3/MBunk_act!F7*100)</f>
        <v>24128.93861445348</v>
      </c>
      <c r="G13" s="62">
        <f>IF(G3=0,0,G3/MBunk_act!G7*100)</f>
        <v>25459.321778917696</v>
      </c>
      <c r="H13" s="62">
        <f>IF(H3=0,0,H3/MBunk_act!H7*100)</f>
        <v>31817.901795805359</v>
      </c>
      <c r="I13" s="62">
        <f>IF(I3=0,0,I3/MBunk_act!I7*100)</f>
        <v>35731.896502393312</v>
      </c>
      <c r="J13" s="62">
        <f>IF(J3=0,0,J3/MBunk_act!J7*100)</f>
        <v>31529.30092833157</v>
      </c>
      <c r="K13" s="62">
        <f>IF(K3=0,0,K3/MBunk_act!K7*100)</f>
        <v>20148.571423562</v>
      </c>
      <c r="L13" s="62">
        <f>IF(L3=0,0,L3/MBunk_act!L7*100)</f>
        <v>29166.353268247833</v>
      </c>
      <c r="M13" s="62">
        <f>IF(M3=0,0,M3/MBunk_act!M7*100)</f>
        <v>27374.358549443907</v>
      </c>
      <c r="N13" s="62">
        <f>IF(N3=0,0,N3/MBunk_act!N7*100)</f>
        <v>22812.984046318994</v>
      </c>
      <c r="O13" s="62">
        <f>IF(O3=0,0,O3/MBunk_act!O7*100)</f>
        <v>24333.079937269882</v>
      </c>
      <c r="P13" s="62">
        <f>IF(P3=0,0,P3/MBunk_act!P7*100)</f>
        <v>29620.408591385229</v>
      </c>
      <c r="Q13" s="62">
        <f>IF(Q3=0,0,Q3/MBunk_act!Q7*100)</f>
        <v>29901.337599527506</v>
      </c>
      <c r="R13" s="62">
        <f>IF(R3=0,0,R3/MBunk_act!R7*100)</f>
        <v>25998.524712850507</v>
      </c>
      <c r="S13" s="62">
        <f>IF(S3=0,0,S3/MBunk_act!S7*100)</f>
        <v>21545.015541885419</v>
      </c>
      <c r="T13" s="62">
        <f>IF(T3=0,0,T3/MBunk_act!T7*100)</f>
        <v>23750.629910591197</v>
      </c>
      <c r="U13" s="62">
        <f>IF(U3=0,0,U3/MBunk_act!U7*100)</f>
        <v>26842.702001816553</v>
      </c>
      <c r="V13" s="62">
        <f>IF(V3=0,0,V3/MBunk_act!V7*100)</f>
        <v>21031.088017358932</v>
      </c>
      <c r="W13" s="62">
        <f>IF(W3=0,0,W3/MBunk_act!W7*100)</f>
        <v>17132.506765937422</v>
      </c>
      <c r="X13" s="62">
        <f>IF(X3=0,0,X3/MBunk_act!X7*100)</f>
        <v>17002.800574426816</v>
      </c>
      <c r="Y13" s="62">
        <f>IF(Y3=0,0,Y3/MBunk_act!Y7*100)</f>
        <v>19213.225383942292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37920.560331490342</v>
      </c>
      <c r="C14" s="63">
        <f>IF(C4=0,0,C4/MBunk_act!C8*100)</f>
        <v>28403.06343031038</v>
      </c>
      <c r="D14" s="63">
        <f>IF(D4=0,0,D4/MBunk_act!D8*100)</f>
        <v>26767.059477114839</v>
      </c>
      <c r="E14" s="63">
        <f>IF(E4=0,0,E4/MBunk_act!E8*100)</f>
        <v>25936.913783083321</v>
      </c>
      <c r="F14" s="63">
        <f>IF(F4=0,0,F4/MBunk_act!F8*100)</f>
        <v>21536.893812019316</v>
      </c>
      <c r="G14" s="63">
        <f>IF(G4=0,0,G4/MBunk_act!G8*100)</f>
        <v>22806.162689363518</v>
      </c>
      <c r="H14" s="63">
        <f>IF(H4=0,0,H4/MBunk_act!H8*100)</f>
        <v>28871.551386366162</v>
      </c>
      <c r="I14" s="63">
        <f>IF(I4=0,0,I4/MBunk_act!I8*100)</f>
        <v>32658.456099736413</v>
      </c>
      <c r="J14" s="63">
        <f>IF(J4=0,0,J4/MBunk_act!J8*100)</f>
        <v>28186.976730904917</v>
      </c>
      <c r="K14" s="63">
        <f>IF(K4=0,0,K4/MBunk_act!K8*100)</f>
        <v>17891.864274864092</v>
      </c>
      <c r="L14" s="63">
        <f>IF(L4=0,0,L4/MBunk_act!L8*100)</f>
        <v>25421.653205861654</v>
      </c>
      <c r="M14" s="63">
        <f>IF(M4=0,0,M4/MBunk_act!M8*100)</f>
        <v>23499.531222856938</v>
      </c>
      <c r="N14" s="63">
        <f>IF(N4=0,0,N4/MBunk_act!N8*100)</f>
        <v>19086.988544527834</v>
      </c>
      <c r="O14" s="63">
        <f>IF(O4=0,0,O4/MBunk_act!O8*100)</f>
        <v>20305.323231551112</v>
      </c>
      <c r="P14" s="63">
        <f>IF(P4=0,0,P4/MBunk_act!P8*100)</f>
        <v>24566.634102339391</v>
      </c>
      <c r="Q14" s="63">
        <f>IF(Q4=0,0,Q4/MBunk_act!Q8*100)</f>
        <v>25260.871952678248</v>
      </c>
      <c r="R14" s="63">
        <f>IF(R4=0,0,R4/MBunk_act!R8*100)</f>
        <v>22735.011322350831</v>
      </c>
      <c r="S14" s="63">
        <f>IF(S4=0,0,S4/MBunk_act!S8*100)</f>
        <v>18905.170290632119</v>
      </c>
      <c r="T14" s="63">
        <f>IF(T4=0,0,T4/MBunk_act!T8*100)</f>
        <v>20295.247274685862</v>
      </c>
      <c r="U14" s="63">
        <f>IF(U4=0,0,U4/MBunk_act!U8*100)</f>
        <v>22760.443099249078</v>
      </c>
      <c r="V14" s="63">
        <f>IF(V4=0,0,V4/MBunk_act!V8*100)</f>
        <v>16653.68364304569</v>
      </c>
      <c r="W14" s="63">
        <f>IF(W4=0,0,W4/MBunk_act!W8*100)</f>
        <v>13342.779655453143</v>
      </c>
      <c r="X14" s="63">
        <f>IF(X4=0,0,X4/MBunk_act!X8*100)</f>
        <v>14521.815176412289</v>
      </c>
      <c r="Y14" s="63">
        <f>IF(Y4=0,0,Y4/MBunk_act!Y8*100)</f>
        <v>16794.044683390526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44742.569883324642</v>
      </c>
      <c r="C15" s="64">
        <f>IF(C5=0,0,C5/MBunk_act!C9*100)</f>
        <v>36403.688664071233</v>
      </c>
      <c r="D15" s="64">
        <f>IF(D5=0,0,D5/MBunk_act!D9*100)</f>
        <v>32947.443382957419</v>
      </c>
      <c r="E15" s="64">
        <f>IF(E5=0,0,E5/MBunk_act!E9*100)</f>
        <v>31267.178441162447</v>
      </c>
      <c r="F15" s="64">
        <f>IF(F5=0,0,F5/MBunk_act!F9*100)</f>
        <v>27637.81499050865</v>
      </c>
      <c r="G15" s="64">
        <f>IF(G5=0,0,G5/MBunk_act!G9*100)</f>
        <v>29158.3443118871</v>
      </c>
      <c r="H15" s="64">
        <f>IF(H5=0,0,H5/MBunk_act!H9*100)</f>
        <v>35040.094571322545</v>
      </c>
      <c r="I15" s="64">
        <f>IF(I5=0,0,I5/MBunk_act!I9*100)</f>
        <v>39249.667881489113</v>
      </c>
      <c r="J15" s="64">
        <f>IF(J5=0,0,J5/MBunk_act!J9*100)</f>
        <v>35613.820558949687</v>
      </c>
      <c r="K15" s="64">
        <f>IF(K5=0,0,K5/MBunk_act!K9*100)</f>
        <v>22948.503187744602</v>
      </c>
      <c r="L15" s="64">
        <f>IF(L5=0,0,L5/MBunk_act!L9*100)</f>
        <v>34643.904514060123</v>
      </c>
      <c r="M15" s="64">
        <f>IF(M5=0,0,M5/MBunk_act!M9*100)</f>
        <v>32163.271996465523</v>
      </c>
      <c r="N15" s="64">
        <f>IF(N5=0,0,N5/MBunk_act!N9*100)</f>
        <v>29049.271541112586</v>
      </c>
      <c r="O15" s="64">
        <f>IF(O5=0,0,O5/MBunk_act!O9*100)</f>
        <v>32163.24283601515</v>
      </c>
      <c r="P15" s="64">
        <f>IF(P5=0,0,P5/MBunk_act!P9*100)</f>
        <v>38311.361791328665</v>
      </c>
      <c r="Q15" s="64">
        <f>IF(Q5=0,0,Q5/MBunk_act!Q9*100)</f>
        <v>36582.126797140118</v>
      </c>
      <c r="R15" s="64">
        <f>IF(R5=0,0,R5/MBunk_act!R9*100)</f>
        <v>30285.497481496583</v>
      </c>
      <c r="S15" s="64">
        <f>IF(S5=0,0,S5/MBunk_act!S9*100)</f>
        <v>25093.446916286925</v>
      </c>
      <c r="T15" s="64">
        <f>IF(T5=0,0,T5/MBunk_act!T9*100)</f>
        <v>28438.360929130307</v>
      </c>
      <c r="U15" s="64">
        <f>IF(U5=0,0,U5/MBunk_act!U9*100)</f>
        <v>32323.420007851819</v>
      </c>
      <c r="V15" s="64">
        <f>IF(V5=0,0,V5/MBunk_act!V9*100)</f>
        <v>26432.989069250783</v>
      </c>
      <c r="W15" s="64">
        <f>IF(W5=0,0,W5/MBunk_act!W9*100)</f>
        <v>21885.323835253967</v>
      </c>
      <c r="X15" s="64">
        <f>IF(X5=0,0,X5/MBunk_act!X9*100)</f>
        <v>20470.277042258302</v>
      </c>
      <c r="Y15" s="64">
        <f>IF(Y5=0,0,Y5/MBunk_act!Y9*100)</f>
        <v>22226.66491780803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50.773077394673706</v>
      </c>
      <c r="C17" s="62">
        <f>IF(C3=0,0,C3/MBunk_act!C3*1000)</f>
        <v>41.147981537295259</v>
      </c>
      <c r="D17" s="62">
        <f>IF(D3=0,0,D3/MBunk_act!D3*1000)</f>
        <v>35.008892655529188</v>
      </c>
      <c r="E17" s="62">
        <f>IF(E3=0,0,E3/MBunk_act!E3*1000)</f>
        <v>30.555480151785861</v>
      </c>
      <c r="F17" s="62">
        <f>IF(F3=0,0,F3/MBunk_act!F3*1000)</f>
        <v>28.550454368586454</v>
      </c>
      <c r="G17" s="62">
        <f>IF(G3=0,0,G3/MBunk_act!G3*1000)</f>
        <v>30.566274928905258</v>
      </c>
      <c r="H17" s="62">
        <f>IF(H3=0,0,H3/MBunk_act!H3*1000)</f>
        <v>33.842273021240175</v>
      </c>
      <c r="I17" s="62">
        <f>IF(I3=0,0,I3/MBunk_act!I3*1000)</f>
        <v>38.996913674442361</v>
      </c>
      <c r="J17" s="62">
        <f>IF(J3=0,0,J3/MBunk_act!J3*1000)</f>
        <v>33.798625230408213</v>
      </c>
      <c r="K17" s="62">
        <f>IF(K3=0,0,K3/MBunk_act!K3*1000)</f>
        <v>21.72217952803086</v>
      </c>
      <c r="L17" s="62">
        <f>IF(L3=0,0,L3/MBunk_act!L3*1000)</f>
        <v>33.050779070642207</v>
      </c>
      <c r="M17" s="62">
        <f>IF(M3=0,0,M3/MBunk_act!M3*1000)</f>
        <v>28.362042860060594</v>
      </c>
      <c r="N17" s="62">
        <f>IF(N3=0,0,N3/MBunk_act!N3*1000)</f>
        <v>26.403681191146813</v>
      </c>
      <c r="O17" s="62">
        <f>IF(O3=0,0,O3/MBunk_act!O3*1000)</f>
        <v>29.815223370124656</v>
      </c>
      <c r="P17" s="62">
        <f>IF(P3=0,0,P3/MBunk_act!P3*1000)</f>
        <v>34.446869400857743</v>
      </c>
      <c r="Q17" s="62">
        <f>IF(Q3=0,0,Q3/MBunk_act!Q3*1000)</f>
        <v>27.062272307435432</v>
      </c>
      <c r="R17" s="62">
        <f>IF(R3=0,0,R3/MBunk_act!R3*1000)</f>
        <v>23.467897683996014</v>
      </c>
      <c r="S17" s="62">
        <f>IF(S3=0,0,S3/MBunk_act!S3*1000)</f>
        <v>19.370687741545662</v>
      </c>
      <c r="T17" s="62">
        <f>IF(T3=0,0,T3/MBunk_act!T3*1000)</f>
        <v>21.166675677695295</v>
      </c>
      <c r="U17" s="62">
        <f>IF(U3=0,0,U3/MBunk_act!U3*1000)</f>
        <v>23.560633742147399</v>
      </c>
      <c r="V17" s="62">
        <f>IF(V3=0,0,V3/MBunk_act!V3*1000)</f>
        <v>17.514716052603166</v>
      </c>
      <c r="W17" s="62">
        <f>IF(W3=0,0,W3/MBunk_act!W3*1000)</f>
        <v>14.282856476405446</v>
      </c>
      <c r="X17" s="62">
        <f>IF(X3=0,0,X3/MBunk_act!X3*1000)</f>
        <v>16.146195211548751</v>
      </c>
      <c r="Y17" s="62">
        <f>IF(Y3=0,0,Y3/MBunk_act!Y3*1000)</f>
        <v>17.34941019096102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93.102877275678154</v>
      </c>
      <c r="C18" s="63">
        <f>IF(C4=0,0,C4/MBunk_act!C4*1000)</f>
        <v>77.031288358536401</v>
      </c>
      <c r="D18" s="63">
        <f>IF(D4=0,0,D4/MBunk_act!D4*1000)</f>
        <v>62.927533366717043</v>
      </c>
      <c r="E18" s="63">
        <f>IF(E4=0,0,E4/MBunk_act!E4*1000)</f>
        <v>60.852661883093866</v>
      </c>
      <c r="F18" s="63">
        <f>IF(F4=0,0,F4/MBunk_act!F4*1000)</f>
        <v>50.389754722268179</v>
      </c>
      <c r="G18" s="63">
        <f>IF(G4=0,0,G4/MBunk_act!G4*1000)</f>
        <v>53.172709110728107</v>
      </c>
      <c r="H18" s="63">
        <f>IF(H4=0,0,H4/MBunk_act!H4*1000)</f>
        <v>67.387295081996385</v>
      </c>
      <c r="I18" s="63">
        <f>IF(I4=0,0,I4/MBunk_act!I4*1000)</f>
        <v>75.331366163604329</v>
      </c>
      <c r="J18" s="63">
        <f>IF(J4=0,0,J4/MBunk_act!J4*1000)</f>
        <v>65.164688072603354</v>
      </c>
      <c r="K18" s="63">
        <f>IF(K4=0,0,K4/MBunk_act!K4*1000)</f>
        <v>41.483774319812255</v>
      </c>
      <c r="L18" s="63">
        <f>IF(L4=0,0,L4/MBunk_act!L4*1000)</f>
        <v>59.129858600512634</v>
      </c>
      <c r="M18" s="63">
        <f>IF(M4=0,0,M4/MBunk_act!M4*1000)</f>
        <v>56.959634108830237</v>
      </c>
      <c r="N18" s="63">
        <f>IF(N4=0,0,N4/MBunk_act!N4*1000)</f>
        <v>45.836572299129159</v>
      </c>
      <c r="O18" s="63">
        <f>IF(O4=0,0,O4/MBunk_act!O4*1000)</f>
        <v>48.212530820273507</v>
      </c>
      <c r="P18" s="63">
        <f>IF(P4=0,0,P4/MBunk_act!P4*1000)</f>
        <v>60.626578234661373</v>
      </c>
      <c r="Q18" s="63">
        <f>IF(Q4=0,0,Q4/MBunk_act!Q4*1000)</f>
        <v>54.751831889870807</v>
      </c>
      <c r="R18" s="63">
        <f>IF(R4=0,0,R4/MBunk_act!R4*1000)</f>
        <v>46.57848547660447</v>
      </c>
      <c r="S18" s="63">
        <f>IF(S4=0,0,S4/MBunk_act!S4*1000)</f>
        <v>38.183357561795788</v>
      </c>
      <c r="T18" s="63">
        <f>IF(T4=0,0,T4/MBunk_act!T4*1000)</f>
        <v>43.566191289931893</v>
      </c>
      <c r="U18" s="63">
        <f>IF(U4=0,0,U4/MBunk_act!U4*1000)</f>
        <v>49.607994134448774</v>
      </c>
      <c r="V18" s="63">
        <f>IF(V4=0,0,V4/MBunk_act!V4*1000)</f>
        <v>33.965844383757798</v>
      </c>
      <c r="W18" s="63">
        <f>IF(W4=0,0,W4/MBunk_act!W4*1000)</f>
        <v>28.317654272749639</v>
      </c>
      <c r="X18" s="63">
        <f>IF(X4=0,0,X4/MBunk_act!X4*1000)</f>
        <v>30.683842431475124</v>
      </c>
      <c r="Y18" s="63">
        <f>IF(Y4=0,0,Y4/MBunk_act!Y4*1000)</f>
        <v>35.197336744461424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35.190316147431218</v>
      </c>
      <c r="C19" s="64">
        <f>IF(C5=0,0,C5/MBunk_act!C5*1000)</f>
        <v>28.327110472481444</v>
      </c>
      <c r="D19" s="64">
        <f>IF(D5=0,0,D5/MBunk_act!D5*1000)</f>
        <v>24.221152192985436</v>
      </c>
      <c r="E19" s="64">
        <f>IF(E5=0,0,E5/MBunk_act!E5*1000)</f>
        <v>20.93169057834745</v>
      </c>
      <c r="F19" s="64">
        <f>IF(F5=0,0,F5/MBunk_act!F5*1000)</f>
        <v>19.592748958804503</v>
      </c>
      <c r="G19" s="64">
        <f>IF(G5=0,0,G5/MBunk_act!G5*1000)</f>
        <v>20.884112813585539</v>
      </c>
      <c r="H19" s="64">
        <f>IF(H5=0,0,H5/MBunk_act!H5*1000)</f>
        <v>23.362675406462202</v>
      </c>
      <c r="I19" s="64">
        <f>IF(I5=0,0,I5/MBunk_act!I5*1000)</f>
        <v>26.722081950580041</v>
      </c>
      <c r="J19" s="64">
        <f>IF(J5=0,0,J5/MBunk_act!J5*1000)</f>
        <v>23.062013383281062</v>
      </c>
      <c r="K19" s="64">
        <f>IF(K5=0,0,K5/MBunk_act!K5*1000)</f>
        <v>14.870006088158664</v>
      </c>
      <c r="L19" s="64">
        <f>IF(L5=0,0,L5/MBunk_act!L5*1000)</f>
        <v>22.431581838444483</v>
      </c>
      <c r="M19" s="64">
        <f>IF(M5=0,0,M5/MBunk_act!M5*1000)</f>
        <v>19.514771564151594</v>
      </c>
      <c r="N19" s="64">
        <f>IF(N5=0,0,N5/MBunk_act!N5*1000)</f>
        <v>18.007725812728378</v>
      </c>
      <c r="O19" s="64">
        <f>IF(O5=0,0,O5/MBunk_act!O5*1000)</f>
        <v>20.305533014304629</v>
      </c>
      <c r="P19" s="64">
        <f>IF(P5=0,0,P5/MBunk_act!P5*1000)</f>
        <v>23.335137757014905</v>
      </c>
      <c r="Q19" s="64">
        <f>IF(Q5=0,0,Q5/MBunk_act!Q5*1000)</f>
        <v>18.008347971464659</v>
      </c>
      <c r="R19" s="64">
        <f>IF(R5=0,0,R5/MBunk_act!R5*1000)</f>
        <v>15.757953528368187</v>
      </c>
      <c r="S19" s="64">
        <f>IF(S5=0,0,S5/MBunk_act!S5*1000)</f>
        <v>12.922862521047312</v>
      </c>
      <c r="T19" s="64">
        <f>IF(T5=0,0,T5/MBunk_act!T5*1000)</f>
        <v>14.131946959590447</v>
      </c>
      <c r="U19" s="64">
        <f>IF(U5=0,0,U5/MBunk_act!U5*1000)</f>
        <v>15.745110191720938</v>
      </c>
      <c r="V19" s="64">
        <f>IF(V5=0,0,V5/MBunk_act!V5*1000)</f>
        <v>12.723435043864397</v>
      </c>
      <c r="W19" s="64">
        <f>IF(W5=0,0,W5/MBunk_act!W5*1000)</f>
        <v>10.357754166317639</v>
      </c>
      <c r="X19" s="64">
        <f>IF(X5=0,0,X5/MBunk_act!X5*1000)</f>
        <v>10.985641495785579</v>
      </c>
      <c r="Y19" s="64">
        <f>IF(Y5=0,0,Y5/MBunk_act!Y5*1000)</f>
        <v>11.744333871611172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0.49340240339250246</v>
      </c>
      <c r="C22" s="77">
        <f t="shared" si="3"/>
        <v>0.49279913964883065</v>
      </c>
      <c r="D22" s="77">
        <f t="shared" si="3"/>
        <v>0.50096831048520374</v>
      </c>
      <c r="E22" s="77">
        <f t="shared" si="3"/>
        <v>0.4801041795696192</v>
      </c>
      <c r="F22" s="77">
        <f t="shared" si="3"/>
        <v>0.51335465162287242</v>
      </c>
      <c r="G22" s="77">
        <f t="shared" si="3"/>
        <v>0.52163828428111925</v>
      </c>
      <c r="H22" s="77">
        <f t="shared" si="3"/>
        <v>0.47398816063888122</v>
      </c>
      <c r="I22" s="77">
        <f t="shared" si="3"/>
        <v>0.48780014781814335</v>
      </c>
      <c r="J22" s="77">
        <f t="shared" si="3"/>
        <v>0.49166676375324087</v>
      </c>
      <c r="K22" s="77">
        <f t="shared" si="3"/>
        <v>0.49169618754312905</v>
      </c>
      <c r="L22" s="77">
        <f t="shared" si="3"/>
        <v>0.51769164365873444</v>
      </c>
      <c r="M22" s="77">
        <f t="shared" si="3"/>
        <v>0.47451154787745498</v>
      </c>
      <c r="N22" s="77">
        <f t="shared" si="3"/>
        <v>0.52374823169196505</v>
      </c>
      <c r="O22" s="77">
        <f t="shared" si="3"/>
        <v>0.55102984273949163</v>
      </c>
      <c r="P22" s="77">
        <f t="shared" si="3"/>
        <v>0.5244280150649604</v>
      </c>
      <c r="Q22" s="77">
        <f t="shared" si="3"/>
        <v>0.49852956948357746</v>
      </c>
      <c r="R22" s="77">
        <f t="shared" si="3"/>
        <v>0.49650345991238193</v>
      </c>
      <c r="S22" s="77">
        <f t="shared" si="3"/>
        <v>0.50315347142821309</v>
      </c>
      <c r="T22" s="77">
        <f t="shared" si="3"/>
        <v>0.49191651388572932</v>
      </c>
      <c r="U22" s="77">
        <f t="shared" si="3"/>
        <v>0.48595810831881914</v>
      </c>
      <c r="V22" s="77">
        <f t="shared" si="3"/>
        <v>0.43740846563294361</v>
      </c>
      <c r="W22" s="77">
        <f t="shared" si="3"/>
        <v>0.43330057729168603</v>
      </c>
      <c r="X22" s="77">
        <f t="shared" ref="X22:Y22" si="5">IF(X4=0,0,X4/X$3)</f>
        <v>0.49786234992684697</v>
      </c>
      <c r="Y22" s="77">
        <f t="shared" si="5"/>
        <v>0.48485085042897597</v>
      </c>
      <c r="DA22" s="184"/>
    </row>
    <row r="23" spans="1:105" ht="11.45" customHeight="1" x14ac:dyDescent="0.25">
      <c r="A23" s="57" t="s">
        <v>167</v>
      </c>
      <c r="B23" s="78">
        <f t="shared" si="3"/>
        <v>0.50659759660749759</v>
      </c>
      <c r="C23" s="78">
        <f t="shared" si="3"/>
        <v>0.50720086035116929</v>
      </c>
      <c r="D23" s="78">
        <f t="shared" si="3"/>
        <v>0.49903168951479632</v>
      </c>
      <c r="E23" s="78">
        <f t="shared" si="3"/>
        <v>0.51989582043038074</v>
      </c>
      <c r="F23" s="78">
        <f t="shared" si="3"/>
        <v>0.48664534837712758</v>
      </c>
      <c r="G23" s="78">
        <f t="shared" si="3"/>
        <v>0.47836171571888081</v>
      </c>
      <c r="H23" s="78">
        <f t="shared" si="3"/>
        <v>0.52601183936111884</v>
      </c>
      <c r="I23" s="78">
        <f t="shared" si="3"/>
        <v>0.51219985218185671</v>
      </c>
      <c r="J23" s="78">
        <f t="shared" si="3"/>
        <v>0.50833323624675908</v>
      </c>
      <c r="K23" s="78">
        <f t="shared" si="3"/>
        <v>0.50830381245687106</v>
      </c>
      <c r="L23" s="78">
        <f t="shared" si="3"/>
        <v>0.48230835634126551</v>
      </c>
      <c r="M23" s="78">
        <f t="shared" si="3"/>
        <v>0.52548845212254502</v>
      </c>
      <c r="N23" s="78">
        <f t="shared" si="3"/>
        <v>0.47625176830803484</v>
      </c>
      <c r="O23" s="78">
        <f t="shared" si="3"/>
        <v>0.44897015726050837</v>
      </c>
      <c r="P23" s="78">
        <f t="shared" si="3"/>
        <v>0.4755719849350396</v>
      </c>
      <c r="Q23" s="78">
        <f t="shared" si="3"/>
        <v>0.50147043051642259</v>
      </c>
      <c r="R23" s="78">
        <f t="shared" si="3"/>
        <v>0.50349654008761824</v>
      </c>
      <c r="S23" s="78">
        <f t="shared" si="3"/>
        <v>0.49684652857178696</v>
      </c>
      <c r="T23" s="78">
        <f t="shared" si="3"/>
        <v>0.50808348611427068</v>
      </c>
      <c r="U23" s="78">
        <f t="shared" si="3"/>
        <v>0.51404189168118097</v>
      </c>
      <c r="V23" s="78">
        <f t="shared" si="3"/>
        <v>0.56259153436705645</v>
      </c>
      <c r="W23" s="78">
        <f t="shared" si="3"/>
        <v>0.56669942270831386</v>
      </c>
      <c r="X23" s="78">
        <f t="shared" ref="X23:Y23" si="6">IF(X5=0,0,X5/X$3)</f>
        <v>0.50213765007315303</v>
      </c>
      <c r="Y23" s="78">
        <f t="shared" si="6"/>
        <v>0.51514914957102398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2025-11-06T10:21:59Z</dcterms:created>
  <dcterms:modified xsi:type="dcterms:W3CDTF">2025-11-06T10:21:59Z</dcterms:modified>
</cp:coreProperties>
</file>