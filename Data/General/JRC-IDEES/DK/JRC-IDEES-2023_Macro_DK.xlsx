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K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114" i="59"/>
  <c r="AA113" i="59"/>
  <c r="AA110" i="59"/>
  <c r="AA106" i="59"/>
  <c r="AA105" i="59"/>
  <c r="AA102" i="59"/>
  <c r="AA101" i="59"/>
  <c r="AA66" i="59"/>
  <c r="AA98" i="59"/>
  <c r="AA97" i="59"/>
  <c r="AA94" i="59"/>
  <c r="AA5" i="59"/>
  <c r="Z111" i="59"/>
  <c r="K75" i="57"/>
  <c r="J75" i="57"/>
  <c r="Y75" i="57"/>
  <c r="F75" i="57"/>
  <c r="U75" i="57"/>
  <c r="T75" i="57"/>
  <c r="O75" i="57"/>
  <c r="E75" i="57"/>
  <c r="Q54" i="57"/>
  <c r="P54" i="57"/>
  <c r="S54" i="57"/>
  <c r="K54" i="57"/>
  <c r="J54" i="57"/>
  <c r="I54" i="57"/>
  <c r="U39" i="57"/>
  <c r="E39" i="57"/>
  <c r="Q39" i="57"/>
  <c r="O39" i="57"/>
  <c r="I39" i="57"/>
  <c r="H39" i="57"/>
  <c r="O16" i="57"/>
  <c r="M16" i="57"/>
  <c r="G16" i="57"/>
  <c r="E16" i="57"/>
  <c r="Q75" i="57"/>
  <c r="D75" i="57"/>
  <c r="L54" i="57"/>
  <c r="R54" i="57"/>
  <c r="S16" i="57"/>
  <c r="Y16" i="57"/>
  <c r="AA89" i="59" l="1"/>
  <c r="AA80" i="59"/>
  <c r="Z54" i="55"/>
  <c r="Z99" i="59"/>
  <c r="Z103" i="59"/>
  <c r="Z107" i="59"/>
  <c r="Z115" i="59"/>
  <c r="AA70" i="59"/>
  <c r="AA74" i="59"/>
  <c r="AA79" i="59"/>
  <c r="AA81" i="59"/>
  <c r="AA82" i="59"/>
  <c r="AA84" i="59"/>
  <c r="AA88" i="59"/>
  <c r="AA93" i="59"/>
  <c r="AA109" i="59"/>
  <c r="AA117" i="59"/>
  <c r="AA121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W16" i="57"/>
  <c r="I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4" i="4"/>
  <c r="B6" i="4"/>
  <c r="B5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<sst xmlns="http://schemas.openxmlformats.org/spreadsheetml/2006/main" count="722" uniqueCount="281">
  <si>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</si>
  <si>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</si>
  <si>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</si>
  <si>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</si>
  <si>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</si>
  <si>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</si>
  <si>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</si>
  <si>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</si>
  <si>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</si>
  <si>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</si>
  <si>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</si>
  <si>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</si>
  <si>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</si>
  <si>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</si>
  <si>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</si>
  <si>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</si>
  <si>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</si>
  <si>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</si>
  <si>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</si>
  <si>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</si>
  <si>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</si>
  <si>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</si>
  <si>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</si>
  <si>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</si>
  <si>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</si>
  <si>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</si>
  <si>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</si>
  <si>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</si>
  <si>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</si>
  <si>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</si>
  <si>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</si>
  <si>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</si>
  <si>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</si>
  <si>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</si>
  <si>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</si>
  <si>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</si>
  <si>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</si>
  <si>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</si>
  <si>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</si>
  <si>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</si>
  <si>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</si>
  <si>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</si>
  <si>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</si>
  <si>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</si>
  <si>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</si>
  <si>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</si>
  <si>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</si>
  <si>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</si>
  <si>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</si>
  <si>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</si>
  <si>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</si>
  <si>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</si>
  <si>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</si>
  <si>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</si>
  <si>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</si>
  <si>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</si>
  <si>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</si>
  <si>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</si>
  <si>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</si>
  <si>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</si>
  <si>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</si>
  <si>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</si>
  <si>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</si>
  <si>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</si>
  <si>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</si>
  <si>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</si>
  <si>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</si>
  <si>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</si>
  <si>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</si>
  <si>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</si>
  <si>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</si>
  <si>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</si>
  <si>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</si>
  <si>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</si>
  <si>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</si>
  <si>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</si>
  <si>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</si>
  <si>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</si>
  <si>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</si>
  <si>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</si>
  <si>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</si>
  <si>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</si>
  <si>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</si>
  <si>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</si>
  <si>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</si>
  <si>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</si>
  <si>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</si>
  <si>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</si>
  <si>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</si>
  <si>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</si>
  <si>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</si>
  <si>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</si>
  <si>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</si>
  <si>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</si>
  <si>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</si>
  <si>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</si>
  <si>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</si>
  <si>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</si>
  <si>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</si>
  <si>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</si>
  <si>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</si>
  <si>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</si>
  <si>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</si>
  <si>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</si>
  <si>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</si>
  <si>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</si>
  <si>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</si>
  <si>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</si>
  <si>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</si>
  <si>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</si>
  <si>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</si>
  <si>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</si>
  <si>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</si>
  <si>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</si>
  <si>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</si>
  <si>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</si>
  <si>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</si>
  <si>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</si>
  <si>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</si>
  <si>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</si>
  <si>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</si>
  <si>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</si>
  <si>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</si>
  <si>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</si>
  <si>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</si>
  <si>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</si>
  <si>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</si>
  <si>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</si>
  <si>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</si>
  <si>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</si>
  <si>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</si>
  <si>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</si>
  <si>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</si>
  <si>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</si>
  <si>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</si>
  <si>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</si>
  <si>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</si>
  <si>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</si>
  <si>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</si>
  <si>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</si>
  <si>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</si>
  <si>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</si>
  <si>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</si>
  <si>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</si>
  <si>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</si>
  <si>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</si>
  <si>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</si>
  <si>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</si>
  <si>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</si>
  <si>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</si>
  <si>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</si>
  <si>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</si>
  <si>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</si>
  <si>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</si>
  <si>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</si>
  <si>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</si>
  <si>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</si>
  <si>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</si>
  <si>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</si>
  <si>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</si>
  <si>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</si>
  <si>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</si>
  <si>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</si>
  <si>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</si>
  <si>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</si>
  <si>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</si>
  <si>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</si>
  <si>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</si>
  <si>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</si>
  <si>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</si>
  <si>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</si>
  <si>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</si>
  <si>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</si>
  <si>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</si>
  <si>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</si>
  <si>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</si>
  <si>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</si>
  <si>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</si>
  <si>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</si>
  <si>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</si>
  <si>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</si>
  <si>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</si>
  <si>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</si>
  <si>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</si>
  <si>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</si>
  <si>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</si>
  <si>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</si>
  <si>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</si>
  <si>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</si>
  <si>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</si>
  <si>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</si>
  <si>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</si>
  <si>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</si>
  <si>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</si>
  <si>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</si>
  <si>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</si>
  <si>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</si>
  <si>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</si>
  <si>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</si>
  <si>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</si>
  <si>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</si>
  <si>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</si>
  <si>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</si>
  <si>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</si>
  <si>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</si>
  <si>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</si>
  <si>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</si>
  <si>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</si>
  <si>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</si>
  <si>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</si>
  <si>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</si>
  <si>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</si>
  <si>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</si>
  <si>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</si>
  <si>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</si>
  <si>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</si>
  <si>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</si>
  <si>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</si>
  <si>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</si>
  <si>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</si>
  <si>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</si>
  <si>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</si>
  <si>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</si>
  <si>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</si>
  <si>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</si>
  <si>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</si>
  <si>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</si>
  <si>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</si>
  <si>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</si>
  <si>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</si>
  <si>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</si>
  <si>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</si>
  <si>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</si>
  <si>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</si>
  <si>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</si>
  <si>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</si>
  <si>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</si>
  <si>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</si>
  <si>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</si>
  <si>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</si>
  <si>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</si>
  <si>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</si>
  <si>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</si>
  <si>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</si>
  <si>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</si>
  <si>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</si>
  <si>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</si>
  <si>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</si>
  <si>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</si>
  <si>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</si>
  <si>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</si>
  <si>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</si>
  <si>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</si>
  <si>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</si>
  <si>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</si>
  <si>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</si>
  <si>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</si>
  <si>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</si>
  <si>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</si>
  <si>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</si>
  <si>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</si>
  <si>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</si>
  <si>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</si>
  <si>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</si>
  <si>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</si>
  <si>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</si>
  <si>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</si>
  <si>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</si>
  <si>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</si>
  <si>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</si>
  <si>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</si>
  <si>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</si>
  <si>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</si>
  <si>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</si>
  <si>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</si>
  <si>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</si>
  <si>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</si>
  <si>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</si>
  <si>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</si>
  <si>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DK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</si>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</sst>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45967.473402777781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177893.5</v>
      </c>
      <c r="E2" s="19">
        <v>184146.3</v>
      </c>
      <c r="F2" s="19">
        <v>189957.5</v>
      </c>
      <c r="G2" s="19">
        <v>193641.7</v>
      </c>
      <c r="H2" s="19">
        <v>202915.9</v>
      </c>
      <c r="I2" s="19">
        <v>213381.8</v>
      </c>
      <c r="J2" s="19">
        <v>225930.8</v>
      </c>
      <c r="K2" s="19">
        <v>233960.3</v>
      </c>
      <c r="L2" s="19">
        <v>242720.1</v>
      </c>
      <c r="M2" s="19">
        <v>232270</v>
      </c>
      <c r="N2" s="19">
        <v>243429.9</v>
      </c>
      <c r="O2" s="19">
        <v>248105</v>
      </c>
      <c r="P2" s="19">
        <v>254300.7</v>
      </c>
      <c r="Q2" s="19">
        <v>259530.9</v>
      </c>
      <c r="R2" s="19">
        <v>265635.7</v>
      </c>
      <c r="S2" s="19">
        <v>272193</v>
      </c>
      <c r="T2" s="19">
        <v>282265.09999999998</v>
      </c>
      <c r="U2" s="19">
        <v>294355</v>
      </c>
      <c r="V2" s="19">
        <v>301017.3</v>
      </c>
      <c r="W2" s="19">
        <v>308546.2</v>
      </c>
      <c r="X2" s="19">
        <v>312118.3</v>
      </c>
      <c r="Y2" s="19">
        <v>343318.6</v>
      </c>
      <c r="Z2" s="19">
        <v>380567.4</v>
      </c>
      <c r="AA2" s="19">
        <v>374173.6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83780.3</v>
      </c>
      <c r="E3" s="23">
        <v>86176.1</v>
      </c>
      <c r="F3" s="23">
        <v>89366.2</v>
      </c>
      <c r="G3" s="23">
        <v>91639.8</v>
      </c>
      <c r="H3" s="23">
        <v>97078.2</v>
      </c>
      <c r="I3" s="23">
        <v>102427.3</v>
      </c>
      <c r="J3" s="23">
        <v>107512.9</v>
      </c>
      <c r="K3" s="23">
        <v>111589.2</v>
      </c>
      <c r="L3" s="23">
        <v>115196.8</v>
      </c>
      <c r="M3" s="23">
        <v>112655.8</v>
      </c>
      <c r="N3" s="23">
        <v>116855.8</v>
      </c>
      <c r="O3" s="23">
        <v>119769.2</v>
      </c>
      <c r="P3" s="23">
        <v>123109.1</v>
      </c>
      <c r="Q3" s="23">
        <v>125651.9</v>
      </c>
      <c r="R3" s="23">
        <v>126189.5</v>
      </c>
      <c r="S3" s="23">
        <v>128834.2</v>
      </c>
      <c r="T3" s="23">
        <v>133399.70000000001</v>
      </c>
      <c r="U3" s="23">
        <v>138458.70000000001</v>
      </c>
      <c r="V3" s="23">
        <v>144064.5</v>
      </c>
      <c r="W3" s="23">
        <v>147575.20000000001</v>
      </c>
      <c r="X3" s="23">
        <v>146181.6</v>
      </c>
      <c r="Y3" s="23">
        <v>157645.29999999999</v>
      </c>
      <c r="Z3" s="23">
        <v>166125.5</v>
      </c>
      <c r="AA3" s="23">
        <v>166545.70000000001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153239.70000000001</v>
      </c>
      <c r="E4" s="27">
        <v>158596.1</v>
      </c>
      <c r="F4" s="27">
        <v>163234.29999999999</v>
      </c>
      <c r="G4" s="27">
        <v>166627.9</v>
      </c>
      <c r="H4" s="27">
        <v>174060.5</v>
      </c>
      <c r="I4" s="27">
        <v>181404.79999999999</v>
      </c>
      <c r="J4" s="27">
        <v>191977.1</v>
      </c>
      <c r="K4" s="27">
        <v>198617</v>
      </c>
      <c r="L4" s="27">
        <v>208477.3</v>
      </c>
      <c r="M4" s="27">
        <v>200452.6</v>
      </c>
      <c r="N4" s="27">
        <v>210164.9</v>
      </c>
      <c r="O4" s="27">
        <v>214063.8</v>
      </c>
      <c r="P4" s="27">
        <v>219552.4</v>
      </c>
      <c r="Q4" s="27">
        <v>224650</v>
      </c>
      <c r="R4" s="27">
        <v>230431.5</v>
      </c>
      <c r="S4" s="27">
        <v>236102.6</v>
      </c>
      <c r="T4" s="27">
        <v>244843.6</v>
      </c>
      <c r="U4" s="27">
        <v>255937.6</v>
      </c>
      <c r="V4" s="27">
        <v>261071.1</v>
      </c>
      <c r="W4" s="27">
        <v>268551.8</v>
      </c>
      <c r="X4" s="27">
        <v>271165.3</v>
      </c>
      <c r="Y4" s="27">
        <v>299078.59999999998</v>
      </c>
      <c r="Z4" s="27">
        <v>335283.5</v>
      </c>
      <c r="AA4" s="27">
        <v>331373.40000000002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3823.9</v>
      </c>
      <c r="E6" s="19">
        <v>4253.3999999999996</v>
      </c>
      <c r="F6" s="19">
        <v>3333.5</v>
      </c>
      <c r="G6" s="19">
        <v>3073.1</v>
      </c>
      <c r="H6" s="19">
        <v>3240.2</v>
      </c>
      <c r="I6" s="19">
        <v>2412.4</v>
      </c>
      <c r="J6" s="19">
        <v>2591</v>
      </c>
      <c r="K6" s="19">
        <v>2738.2</v>
      </c>
      <c r="L6" s="19">
        <v>2042.9</v>
      </c>
      <c r="M6" s="19">
        <v>1874.3</v>
      </c>
      <c r="N6" s="19">
        <v>2893</v>
      </c>
      <c r="O6" s="19">
        <v>3146.8</v>
      </c>
      <c r="P6" s="19">
        <v>4113.5</v>
      </c>
      <c r="Q6" s="19">
        <v>3261.4</v>
      </c>
      <c r="R6" s="19">
        <v>3595.2</v>
      </c>
      <c r="S6" s="19">
        <v>2472.4</v>
      </c>
      <c r="T6" s="19">
        <v>2621.7</v>
      </c>
      <c r="U6" s="19">
        <v>3708.5</v>
      </c>
      <c r="V6" s="19">
        <v>3001.3</v>
      </c>
      <c r="W6" s="19">
        <v>3829.8</v>
      </c>
      <c r="X6" s="19">
        <v>4174.6000000000004</v>
      </c>
      <c r="Y6" s="19">
        <v>3711.4</v>
      </c>
      <c r="Z6" s="19">
        <v>3814.4</v>
      </c>
      <c r="AA6" s="19">
        <v>3883.4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33734.800000000003</v>
      </c>
      <c r="E7" s="23">
        <v>34030.800000000003</v>
      </c>
      <c r="F7" s="23">
        <v>34607.9</v>
      </c>
      <c r="G7" s="23">
        <v>33960.699999999997</v>
      </c>
      <c r="H7" s="23">
        <v>35500.6</v>
      </c>
      <c r="I7" s="23">
        <v>37308.400000000001</v>
      </c>
      <c r="J7" s="23">
        <v>40040.800000000003</v>
      </c>
      <c r="K7" s="23">
        <v>40131.1</v>
      </c>
      <c r="L7" s="23">
        <v>42233.1</v>
      </c>
      <c r="M7" s="23">
        <v>35735</v>
      </c>
      <c r="N7" s="23">
        <v>37750.1</v>
      </c>
      <c r="O7" s="23">
        <v>39207</v>
      </c>
      <c r="P7" s="23">
        <v>40342.9</v>
      </c>
      <c r="Q7" s="23">
        <v>40967.5</v>
      </c>
      <c r="R7" s="23">
        <v>40893</v>
      </c>
      <c r="S7" s="23">
        <v>41431.300000000003</v>
      </c>
      <c r="T7" s="23">
        <v>43659.4</v>
      </c>
      <c r="U7" s="23">
        <v>45728.800000000003</v>
      </c>
      <c r="V7" s="23">
        <v>47120.9</v>
      </c>
      <c r="W7" s="23">
        <v>48967.5</v>
      </c>
      <c r="X7" s="23">
        <v>46375</v>
      </c>
      <c r="Y7" s="23">
        <v>50578</v>
      </c>
      <c r="Z7" s="23">
        <v>61761.7</v>
      </c>
      <c r="AA7" s="23">
        <v>70371.899999999994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8390</v>
      </c>
      <c r="E8" s="23">
        <v>8134.3</v>
      </c>
      <c r="F8" s="23">
        <v>8427.2000000000007</v>
      </c>
      <c r="G8" s="23">
        <v>8968.7000000000007</v>
      </c>
      <c r="H8" s="23">
        <v>9419.1</v>
      </c>
      <c r="I8" s="23">
        <v>9874.2999999999993</v>
      </c>
      <c r="J8" s="23">
        <v>11212.8</v>
      </c>
      <c r="K8" s="23">
        <v>11476.5</v>
      </c>
      <c r="L8" s="23">
        <v>12643.5</v>
      </c>
      <c r="M8" s="23">
        <v>10361.200000000001</v>
      </c>
      <c r="N8" s="23">
        <v>9397.2999999999993</v>
      </c>
      <c r="O8" s="23">
        <v>10031.799999999999</v>
      </c>
      <c r="P8" s="23">
        <v>10137.4</v>
      </c>
      <c r="Q8" s="23">
        <v>10249.299999999999</v>
      </c>
      <c r="R8" s="23">
        <v>10652.1</v>
      </c>
      <c r="S8" s="23">
        <v>11821.8</v>
      </c>
      <c r="T8" s="23">
        <v>13448.4</v>
      </c>
      <c r="U8" s="23">
        <v>14389.1</v>
      </c>
      <c r="V8" s="23">
        <v>14815.1</v>
      </c>
      <c r="W8" s="23">
        <v>14717.2</v>
      </c>
      <c r="X8" s="23">
        <v>14659.9</v>
      </c>
      <c r="Y8" s="23">
        <v>16002.2</v>
      </c>
      <c r="Z8" s="23">
        <v>16897.2</v>
      </c>
      <c r="AA8" s="23">
        <v>17991.400000000001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30637.5</v>
      </c>
      <c r="E9" s="23">
        <v>31330.7</v>
      </c>
      <c r="F9" s="23">
        <v>32650.799999999999</v>
      </c>
      <c r="G9" s="23">
        <v>33401.9</v>
      </c>
      <c r="H9" s="23">
        <v>35047.4</v>
      </c>
      <c r="I9" s="23">
        <v>36620.800000000003</v>
      </c>
      <c r="J9" s="23">
        <v>38508.199999999997</v>
      </c>
      <c r="K9" s="23">
        <v>41020.1</v>
      </c>
      <c r="L9" s="23">
        <v>41132.300000000003</v>
      </c>
      <c r="M9" s="23">
        <v>37407.800000000003</v>
      </c>
      <c r="N9" s="23">
        <v>41090.9</v>
      </c>
      <c r="O9" s="23">
        <v>41728.9</v>
      </c>
      <c r="P9" s="23">
        <v>42446.3</v>
      </c>
      <c r="Q9" s="23">
        <v>45278.6</v>
      </c>
      <c r="R9" s="23">
        <v>47762.9</v>
      </c>
      <c r="S9" s="23">
        <v>48746.5</v>
      </c>
      <c r="T9" s="23">
        <v>48242.3</v>
      </c>
      <c r="U9" s="23">
        <v>51282.7</v>
      </c>
      <c r="V9" s="23">
        <v>51573.4</v>
      </c>
      <c r="W9" s="23">
        <v>52698.5</v>
      </c>
      <c r="X9" s="23">
        <v>54930.7</v>
      </c>
      <c r="Y9" s="23">
        <v>67533</v>
      </c>
      <c r="Z9" s="23">
        <v>87737.2</v>
      </c>
      <c r="AA9" s="23">
        <v>64066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6597.1</v>
      </c>
      <c r="E10" s="23">
        <v>6861.2</v>
      </c>
      <c r="F10" s="23">
        <v>7189.9</v>
      </c>
      <c r="G10" s="23">
        <v>7704.2</v>
      </c>
      <c r="H10" s="23">
        <v>7853.4</v>
      </c>
      <c r="I10" s="23">
        <v>7860.6</v>
      </c>
      <c r="J10" s="23">
        <v>8320.7999999999993</v>
      </c>
      <c r="K10" s="23">
        <v>8626</v>
      </c>
      <c r="L10" s="23">
        <v>9421.2999999999993</v>
      </c>
      <c r="M10" s="23">
        <v>9782.7000000000007</v>
      </c>
      <c r="N10" s="23">
        <v>9991.7000000000007</v>
      </c>
      <c r="O10" s="23">
        <v>9906.2999999999993</v>
      </c>
      <c r="P10" s="23">
        <v>9871.5</v>
      </c>
      <c r="Q10" s="23">
        <v>10523.1</v>
      </c>
      <c r="R10" s="23">
        <v>10418.6</v>
      </c>
      <c r="S10" s="23">
        <v>10963.5</v>
      </c>
      <c r="T10" s="23">
        <v>11604.7</v>
      </c>
      <c r="U10" s="23">
        <v>11801.4</v>
      </c>
      <c r="V10" s="23">
        <v>11938</v>
      </c>
      <c r="W10" s="23">
        <v>12909.7</v>
      </c>
      <c r="X10" s="23">
        <v>13336</v>
      </c>
      <c r="Y10" s="23">
        <v>13826.5</v>
      </c>
      <c r="Z10" s="23">
        <v>14216.6</v>
      </c>
      <c r="AA10" s="23">
        <v>15263.1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6968.6</v>
      </c>
      <c r="E11" s="23">
        <v>7368.7</v>
      </c>
      <c r="F11" s="23">
        <v>7738.9</v>
      </c>
      <c r="G11" s="23">
        <v>8123.7</v>
      </c>
      <c r="H11" s="23">
        <v>8438.7999999999993</v>
      </c>
      <c r="I11" s="23">
        <v>9280.9</v>
      </c>
      <c r="J11" s="23">
        <v>9807.5</v>
      </c>
      <c r="K11" s="23">
        <v>10771.5</v>
      </c>
      <c r="L11" s="23">
        <v>12131</v>
      </c>
      <c r="M11" s="23">
        <v>12397.9</v>
      </c>
      <c r="N11" s="23">
        <v>12715.5</v>
      </c>
      <c r="O11" s="23">
        <v>12356.6</v>
      </c>
      <c r="P11" s="23">
        <v>13392.1</v>
      </c>
      <c r="Q11" s="23">
        <v>13148</v>
      </c>
      <c r="R11" s="23">
        <v>13389.6</v>
      </c>
      <c r="S11" s="23">
        <v>13777.8</v>
      </c>
      <c r="T11" s="23">
        <v>13887.9</v>
      </c>
      <c r="U11" s="23">
        <v>14435.6</v>
      </c>
      <c r="V11" s="23">
        <v>14678.2</v>
      </c>
      <c r="W11" s="23">
        <v>14439.7</v>
      </c>
      <c r="X11" s="23">
        <v>14411.3</v>
      </c>
      <c r="Y11" s="23">
        <v>15547.4</v>
      </c>
      <c r="Z11" s="23">
        <v>15476.9</v>
      </c>
      <c r="AA11" s="23">
        <v>18445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13962.6</v>
      </c>
      <c r="E12" s="23">
        <v>14828.9</v>
      </c>
      <c r="F12" s="23">
        <v>15567.2</v>
      </c>
      <c r="G12" s="23">
        <v>16347.4</v>
      </c>
      <c r="H12" s="23">
        <v>16902.599999999999</v>
      </c>
      <c r="I12" s="23">
        <v>17698.099999999999</v>
      </c>
      <c r="J12" s="23">
        <v>18220.7</v>
      </c>
      <c r="K12" s="23">
        <v>18823.7</v>
      </c>
      <c r="L12" s="23">
        <v>19069.599999999999</v>
      </c>
      <c r="M12" s="23">
        <v>20170.7</v>
      </c>
      <c r="N12" s="23">
        <v>21544</v>
      </c>
      <c r="O12" s="23">
        <v>22861.599999999999</v>
      </c>
      <c r="P12" s="23">
        <v>23090.799999999999</v>
      </c>
      <c r="Q12" s="23">
        <v>23579.4</v>
      </c>
      <c r="R12" s="23">
        <v>24615</v>
      </c>
      <c r="S12" s="23">
        <v>25287.1</v>
      </c>
      <c r="T12" s="23">
        <v>26326.1</v>
      </c>
      <c r="U12" s="23">
        <v>27631.5</v>
      </c>
      <c r="V12" s="23">
        <v>28565.200000000001</v>
      </c>
      <c r="W12" s="23">
        <v>29827.9</v>
      </c>
      <c r="X12" s="23">
        <v>31010.1</v>
      </c>
      <c r="Y12" s="23">
        <v>31859.8</v>
      </c>
      <c r="Z12" s="23">
        <v>33383.4</v>
      </c>
      <c r="AA12" s="23">
        <v>34501.800000000003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10511</v>
      </c>
      <c r="E13" s="23">
        <v>11215</v>
      </c>
      <c r="F13" s="23">
        <v>11335</v>
      </c>
      <c r="G13" s="23">
        <v>11535.1</v>
      </c>
      <c r="H13" s="23">
        <v>12564.3</v>
      </c>
      <c r="I13" s="23">
        <v>14160.1</v>
      </c>
      <c r="J13" s="23">
        <v>15029.2</v>
      </c>
      <c r="K13" s="23">
        <v>15627</v>
      </c>
      <c r="L13" s="23">
        <v>17281</v>
      </c>
      <c r="M13" s="23">
        <v>16984.2</v>
      </c>
      <c r="N13" s="23">
        <v>17140.3</v>
      </c>
      <c r="O13" s="23">
        <v>17387.8</v>
      </c>
      <c r="P13" s="23">
        <v>17627.5</v>
      </c>
      <c r="Q13" s="23">
        <v>18790.8</v>
      </c>
      <c r="R13" s="23">
        <v>19238.599999999999</v>
      </c>
      <c r="S13" s="23">
        <v>20856.8</v>
      </c>
      <c r="T13" s="23">
        <v>23454</v>
      </c>
      <c r="U13" s="23">
        <v>24238.6</v>
      </c>
      <c r="V13" s="23">
        <v>25510.5</v>
      </c>
      <c r="W13" s="23">
        <v>25776.9</v>
      </c>
      <c r="X13" s="23">
        <v>25716.5</v>
      </c>
      <c r="Y13" s="23">
        <v>30200.400000000001</v>
      </c>
      <c r="Z13" s="23">
        <v>29885.8</v>
      </c>
      <c r="AA13" s="23">
        <v>32409.7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33534.199999999983</v>
      </c>
      <c r="E14" s="23">
        <v>35185.100000000006</v>
      </c>
      <c r="F14" s="23">
        <v>36805.599999999991</v>
      </c>
      <c r="G14" s="23">
        <v>37796.800000000003</v>
      </c>
      <c r="H14" s="23">
        <v>39170.700000000012</v>
      </c>
      <c r="I14" s="23">
        <v>40039.799999999988</v>
      </c>
      <c r="J14" s="23">
        <v>41817.800000000017</v>
      </c>
      <c r="K14" s="23">
        <v>42851.799999999988</v>
      </c>
      <c r="L14" s="23">
        <v>45615.799999999988</v>
      </c>
      <c r="M14" s="23">
        <v>48617.500000000029</v>
      </c>
      <c r="N14" s="23">
        <v>50377.100000000006</v>
      </c>
      <c r="O14" s="23">
        <v>49933.399999999994</v>
      </c>
      <c r="P14" s="23">
        <v>50972.899999999994</v>
      </c>
      <c r="Q14" s="23">
        <v>51232.400000000023</v>
      </c>
      <c r="R14" s="23">
        <v>52166.999999999971</v>
      </c>
      <c r="S14" s="23">
        <v>53024.000000000029</v>
      </c>
      <c r="T14" s="23">
        <v>53618.100000000006</v>
      </c>
      <c r="U14" s="23">
        <v>54432.699999999983</v>
      </c>
      <c r="V14" s="23">
        <v>55623.099999999977</v>
      </c>
      <c r="W14" s="23">
        <v>56884.399999999965</v>
      </c>
      <c r="X14" s="23">
        <v>58023.899999999994</v>
      </c>
      <c r="Y14" s="23">
        <v>61388.5</v>
      </c>
      <c r="Z14" s="23">
        <v>63049.399999999965</v>
      </c>
      <c r="AA14" s="23">
        <v>64743.800000000047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5080</v>
      </c>
      <c r="E15" s="23">
        <v>5388</v>
      </c>
      <c r="F15" s="23">
        <v>5578.3</v>
      </c>
      <c r="G15" s="23">
        <v>5716.3</v>
      </c>
      <c r="H15" s="23">
        <v>5923.4</v>
      </c>
      <c r="I15" s="23">
        <v>6149.4</v>
      </c>
      <c r="J15" s="23">
        <v>6428.3</v>
      </c>
      <c r="K15" s="23">
        <v>6551.1</v>
      </c>
      <c r="L15" s="23">
        <v>6906.8</v>
      </c>
      <c r="M15" s="23">
        <v>7121.3</v>
      </c>
      <c r="N15" s="23">
        <v>7265</v>
      </c>
      <c r="O15" s="23">
        <v>7503.6</v>
      </c>
      <c r="P15" s="23">
        <v>7557.5</v>
      </c>
      <c r="Q15" s="23">
        <v>7619.5</v>
      </c>
      <c r="R15" s="23">
        <v>7699.5</v>
      </c>
      <c r="S15" s="23">
        <v>7721.4</v>
      </c>
      <c r="T15" s="23">
        <v>7981</v>
      </c>
      <c r="U15" s="23">
        <v>8288.7000000000007</v>
      </c>
      <c r="V15" s="23">
        <v>8245.4</v>
      </c>
      <c r="W15" s="23">
        <v>8500.2000000000007</v>
      </c>
      <c r="X15" s="23">
        <v>8527.2999999999993</v>
      </c>
      <c r="Y15" s="23">
        <v>8431.4</v>
      </c>
      <c r="Z15" s="23">
        <v>9060.9</v>
      </c>
      <c r="AA15" s="23">
        <v>9697.2999999999993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153239.70000000001</v>
      </c>
      <c r="E16" s="30">
        <f t="shared" ref="E16:Y16" si="0">SUM(E6:E15)</f>
        <v>158596.1</v>
      </c>
      <c r="F16" s="30">
        <f t="shared" si="0"/>
        <v>163234.29999999999</v>
      </c>
      <c r="G16" s="30">
        <f t="shared" si="0"/>
        <v>166627.89999999997</v>
      </c>
      <c r="H16" s="30">
        <f t="shared" si="0"/>
        <v>174060.49999999997</v>
      </c>
      <c r="I16" s="30">
        <f t="shared" si="0"/>
        <v>181404.79999999999</v>
      </c>
      <c r="J16" s="30">
        <f t="shared" si="0"/>
        <v>191977.1</v>
      </c>
      <c r="K16" s="30">
        <f t="shared" si="0"/>
        <v>198617</v>
      </c>
      <c r="L16" s="30">
        <f t="shared" si="0"/>
        <v>208477.3</v>
      </c>
      <c r="M16" s="30">
        <f t="shared" si="0"/>
        <v>200452.6</v>
      </c>
      <c r="N16" s="30">
        <f t="shared" si="0"/>
        <v>210164.9</v>
      </c>
      <c r="O16" s="30">
        <f t="shared" si="0"/>
        <v>214063.8</v>
      </c>
      <c r="P16" s="30">
        <f t="shared" si="0"/>
        <v>219552.4</v>
      </c>
      <c r="Q16" s="30">
        <f t="shared" si="0"/>
        <v>224650</v>
      </c>
      <c r="R16" s="30">
        <f t="shared" si="0"/>
        <v>230431.5</v>
      </c>
      <c r="S16" s="30">
        <f t="shared" si="0"/>
        <v>236102.6</v>
      </c>
      <c r="T16" s="30">
        <f t="shared" si="0"/>
        <v>244843.6</v>
      </c>
      <c r="U16" s="30">
        <f t="shared" si="0"/>
        <v>255937.6</v>
      </c>
      <c r="V16" s="30">
        <f t="shared" si="0"/>
        <v>261071.1</v>
      </c>
      <c r="W16" s="30">
        <f t="shared" si="0"/>
        <v>268551.8</v>
      </c>
      <c r="X16" s="30">
        <f t="shared" si="0"/>
        <v>271165.3</v>
      </c>
      <c r="Y16" s="30">
        <f t="shared" si="0"/>
        <v>299078.59999999998</v>
      </c>
      <c r="Z16" s="30">
        <f t="shared" ref="Z16:AA16" si="1">SUM(Z6:Z15)</f>
        <v>335283.5</v>
      </c>
      <c r="AA16" s="30">
        <f t="shared" si="1"/>
        <v>331373.40000000002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3823.9</v>
      </c>
      <c r="E18" s="19">
        <v>4253.3999999999996</v>
      </c>
      <c r="F18" s="19">
        <v>3333.5</v>
      </c>
      <c r="G18" s="19">
        <v>3073.1</v>
      </c>
      <c r="H18" s="19">
        <v>3240.2</v>
      </c>
      <c r="I18" s="19">
        <v>2412.4</v>
      </c>
      <c r="J18" s="19">
        <v>2591</v>
      </c>
      <c r="K18" s="19">
        <v>2738.2</v>
      </c>
      <c r="L18" s="19">
        <v>2042.9</v>
      </c>
      <c r="M18" s="19">
        <v>1874.3</v>
      </c>
      <c r="N18" s="19">
        <v>2893</v>
      </c>
      <c r="O18" s="19">
        <v>3146.8</v>
      </c>
      <c r="P18" s="19">
        <v>4113.5</v>
      </c>
      <c r="Q18" s="19">
        <v>3261.4</v>
      </c>
      <c r="R18" s="19">
        <v>3595.2</v>
      </c>
      <c r="S18" s="19">
        <v>2472.4</v>
      </c>
      <c r="T18" s="19">
        <v>2621.7</v>
      </c>
      <c r="U18" s="19">
        <v>3708.5</v>
      </c>
      <c r="V18" s="19">
        <v>3001.3</v>
      </c>
      <c r="W18" s="19">
        <v>3829.8</v>
      </c>
      <c r="X18" s="19">
        <v>4174.6000000000004</v>
      </c>
      <c r="Y18" s="19">
        <v>3711.4</v>
      </c>
      <c r="Z18" s="19">
        <v>3814.4</v>
      </c>
      <c r="AA18" s="19">
        <v>3883.4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4605.9538726958017</v>
      </c>
      <c r="E19" s="23">
        <v>3997.6511367247676</v>
      </c>
      <c r="F19" s="23">
        <v>3986.4</v>
      </c>
      <c r="G19" s="23">
        <v>3940.0526765875143</v>
      </c>
      <c r="H19" s="23">
        <v>5055.6474492235411</v>
      </c>
      <c r="I19" s="23">
        <v>7052.439260707426</v>
      </c>
      <c r="J19" s="23">
        <v>7925.2377963880126</v>
      </c>
      <c r="K19" s="23">
        <v>7853.1</v>
      </c>
      <c r="L19" s="23">
        <v>8899.7999999999993</v>
      </c>
      <c r="M19" s="23">
        <v>5521.0999999999995</v>
      </c>
      <c r="N19" s="23">
        <v>6167.1</v>
      </c>
      <c r="O19" s="23">
        <v>7048.3</v>
      </c>
      <c r="P19" s="23">
        <v>7086.4401452764059</v>
      </c>
      <c r="Q19" s="23">
        <v>5845.1000000000013</v>
      </c>
      <c r="R19" s="23">
        <v>4700.8000000000011</v>
      </c>
      <c r="S19" s="23">
        <v>2494.2000000000012</v>
      </c>
      <c r="T19" s="23">
        <v>2239.468607633974</v>
      </c>
      <c r="U19" s="23">
        <v>2470.9666976643898</v>
      </c>
      <c r="V19" s="23">
        <v>2938.6999999999994</v>
      </c>
      <c r="W19" s="23">
        <v>2242.7294522436878</v>
      </c>
      <c r="X19" s="23">
        <v>948.4</v>
      </c>
      <c r="Y19" s="23">
        <v>1432.3191576159647</v>
      </c>
      <c r="Z19" s="23">
        <v>3024.8999999999992</v>
      </c>
      <c r="AA19" s="23">
        <v>1963.321390438419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25185.1</v>
      </c>
      <c r="E20" s="23">
        <v>25849.5</v>
      </c>
      <c r="F20" s="23">
        <v>26455.7</v>
      </c>
      <c r="G20" s="23">
        <v>25634.9</v>
      </c>
      <c r="H20" s="23">
        <v>25880.1</v>
      </c>
      <c r="I20" s="23">
        <v>25697.4</v>
      </c>
      <c r="J20" s="23">
        <v>27300</v>
      </c>
      <c r="K20" s="23">
        <v>27980</v>
      </c>
      <c r="L20" s="23">
        <v>28662.3</v>
      </c>
      <c r="M20" s="23">
        <v>25923.3</v>
      </c>
      <c r="N20" s="23">
        <v>26477.3</v>
      </c>
      <c r="O20" s="23">
        <v>27219.200000000001</v>
      </c>
      <c r="P20" s="23">
        <v>28503.5</v>
      </c>
      <c r="Q20" s="23">
        <v>30624.3</v>
      </c>
      <c r="R20" s="23">
        <v>31423.1</v>
      </c>
      <c r="S20" s="23">
        <v>33982</v>
      </c>
      <c r="T20" s="23">
        <v>36525.599999999999</v>
      </c>
      <c r="U20" s="23">
        <v>38309</v>
      </c>
      <c r="V20" s="23">
        <v>39145.300000000003</v>
      </c>
      <c r="W20" s="23">
        <v>41352.699999999997</v>
      </c>
      <c r="X20" s="23">
        <v>40067</v>
      </c>
      <c r="Y20" s="23">
        <v>43101.5</v>
      </c>
      <c r="Z20" s="23">
        <v>48804.4</v>
      </c>
      <c r="AA20" s="23">
        <v>61193.4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2850.2333372321527</v>
      </c>
      <c r="E21" s="23">
        <v>3035.2628999926678</v>
      </c>
      <c r="F21" s="23">
        <v>2995.9</v>
      </c>
      <c r="G21" s="23">
        <v>3178.3618251480307</v>
      </c>
      <c r="H21" s="23">
        <v>3276.0659470303312</v>
      </c>
      <c r="I21" s="23">
        <v>3261.3719113606803</v>
      </c>
      <c r="J21" s="23">
        <v>3506.472478396347</v>
      </c>
      <c r="K21" s="23">
        <v>2952.7</v>
      </c>
      <c r="L21" s="23">
        <v>3123.1</v>
      </c>
      <c r="M21" s="23">
        <v>2739.3</v>
      </c>
      <c r="N21" s="23">
        <v>3406.2</v>
      </c>
      <c r="O21" s="23">
        <v>3160.8999999999996</v>
      </c>
      <c r="P21" s="23">
        <v>2916.9753621352256</v>
      </c>
      <c r="Q21" s="23">
        <v>2677.2000000000003</v>
      </c>
      <c r="R21" s="23">
        <v>2871.0000000000005</v>
      </c>
      <c r="S21" s="23">
        <v>2924.5000000000014</v>
      </c>
      <c r="T21" s="23">
        <v>2806.0606652742545</v>
      </c>
      <c r="U21" s="23">
        <v>2939.3603849108495</v>
      </c>
      <c r="V21" s="23">
        <v>2922.6999999999994</v>
      </c>
      <c r="W21" s="23">
        <v>3264.64287233903</v>
      </c>
      <c r="X21" s="23">
        <v>3133.7</v>
      </c>
      <c r="Y21" s="23">
        <v>3548.0474559948639</v>
      </c>
      <c r="Z21" s="23">
        <v>7452.199999999998</v>
      </c>
      <c r="AA21" s="23">
        <v>4620.550341018039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1093.5127900720508</v>
      </c>
      <c r="E22" s="23">
        <v>1148.3859632825684</v>
      </c>
      <c r="F22" s="23">
        <v>1169.9000000000001</v>
      </c>
      <c r="G22" s="23">
        <v>1207.3854982644514</v>
      </c>
      <c r="H22" s="23">
        <v>1288.7866037461281</v>
      </c>
      <c r="I22" s="23">
        <v>1297.1888279318928</v>
      </c>
      <c r="J22" s="23">
        <v>1309.0897252156444</v>
      </c>
      <c r="K22" s="23">
        <v>1345.3</v>
      </c>
      <c r="L22" s="23">
        <v>1547.9</v>
      </c>
      <c r="M22" s="23">
        <v>1551.3</v>
      </c>
      <c r="N22" s="23">
        <v>1699.5</v>
      </c>
      <c r="O22" s="23">
        <v>1778.5999999999997</v>
      </c>
      <c r="P22" s="23">
        <v>1835.9844925883697</v>
      </c>
      <c r="Q22" s="23">
        <v>1820.9000000000005</v>
      </c>
      <c r="R22" s="23">
        <v>1898.1000000000004</v>
      </c>
      <c r="S22" s="23">
        <v>2030.600000000001</v>
      </c>
      <c r="T22" s="23">
        <v>2088.270727091774</v>
      </c>
      <c r="U22" s="23">
        <v>2009.4729174247641</v>
      </c>
      <c r="V22" s="23">
        <v>2114.1999999999994</v>
      </c>
      <c r="W22" s="23">
        <v>2107.4276754172861</v>
      </c>
      <c r="X22" s="23">
        <v>2225.9</v>
      </c>
      <c r="Y22" s="23">
        <v>2496.1333863891714</v>
      </c>
      <c r="Z22" s="23">
        <v>2480.1999999999989</v>
      </c>
      <c r="AA22" s="23">
        <v>2594.6282685435349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8390</v>
      </c>
      <c r="E23" s="23">
        <v>8134.3</v>
      </c>
      <c r="F23" s="23">
        <v>8427.2000000000007</v>
      </c>
      <c r="G23" s="23">
        <v>8968.7000000000007</v>
      </c>
      <c r="H23" s="23">
        <v>9419.1</v>
      </c>
      <c r="I23" s="23">
        <v>9874.2999999999993</v>
      </c>
      <c r="J23" s="23">
        <v>11212.8</v>
      </c>
      <c r="K23" s="23">
        <v>11476.5</v>
      </c>
      <c r="L23" s="23">
        <v>12643.5</v>
      </c>
      <c r="M23" s="23">
        <v>10361.200000000001</v>
      </c>
      <c r="N23" s="23">
        <v>9397.2999999999993</v>
      </c>
      <c r="O23" s="23">
        <v>10031.799999999999</v>
      </c>
      <c r="P23" s="23">
        <v>10137.4</v>
      </c>
      <c r="Q23" s="23">
        <v>10249.299999999999</v>
      </c>
      <c r="R23" s="23">
        <v>10652.1</v>
      </c>
      <c r="S23" s="23">
        <v>11821.8</v>
      </c>
      <c r="T23" s="23">
        <v>13448.4</v>
      </c>
      <c r="U23" s="23">
        <v>14389.1</v>
      </c>
      <c r="V23" s="23">
        <v>14815.1</v>
      </c>
      <c r="W23" s="23">
        <v>14717.2</v>
      </c>
      <c r="X23" s="23">
        <v>14659.9</v>
      </c>
      <c r="Y23" s="23">
        <v>16002.2</v>
      </c>
      <c r="Z23" s="23">
        <v>16897.2</v>
      </c>
      <c r="AA23" s="23">
        <v>17991.400000000001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18694.5</v>
      </c>
      <c r="E24" s="23">
        <v>18756.3</v>
      </c>
      <c r="F24" s="23">
        <v>19823.3</v>
      </c>
      <c r="G24" s="23">
        <v>20200.2</v>
      </c>
      <c r="H24" s="23">
        <v>20780.900000000001</v>
      </c>
      <c r="I24" s="23">
        <v>21664.700000000004</v>
      </c>
      <c r="J24" s="23">
        <v>24426.199999999997</v>
      </c>
      <c r="K24" s="23">
        <v>25745.3</v>
      </c>
      <c r="L24" s="23">
        <v>26360.600000000002</v>
      </c>
      <c r="M24" s="23">
        <v>24930.400000000001</v>
      </c>
      <c r="N24" s="23">
        <v>25917.4</v>
      </c>
      <c r="O24" s="23">
        <v>27629.100000000002</v>
      </c>
      <c r="P24" s="23">
        <v>28211.000000000004</v>
      </c>
      <c r="Q24" s="23">
        <v>28904.799999999999</v>
      </c>
      <c r="R24" s="23">
        <v>30075.200000000001</v>
      </c>
      <c r="S24" s="23">
        <v>31219.9</v>
      </c>
      <c r="T24" s="23">
        <v>31579.800000000003</v>
      </c>
      <c r="U24" s="23">
        <v>33278</v>
      </c>
      <c r="V24" s="23">
        <v>34224.800000000003</v>
      </c>
      <c r="W24" s="23">
        <v>33838.1</v>
      </c>
      <c r="X24" s="23">
        <v>37942.099999999991</v>
      </c>
      <c r="Y24" s="23">
        <v>39647.1</v>
      </c>
      <c r="Z24" s="23">
        <v>38425.599999999991</v>
      </c>
      <c r="AA24" s="23">
        <v>39455.300000000003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9728.7999999999993</v>
      </c>
      <c r="E25" s="23">
        <v>10308.1</v>
      </c>
      <c r="F25" s="23">
        <v>10442.799999999999</v>
      </c>
      <c r="G25" s="23">
        <v>10783.1</v>
      </c>
      <c r="H25" s="23">
        <v>11798.7</v>
      </c>
      <c r="I25" s="23">
        <v>12398.3</v>
      </c>
      <c r="J25" s="23">
        <v>11229</v>
      </c>
      <c r="K25" s="23">
        <v>12240.5</v>
      </c>
      <c r="L25" s="23">
        <v>11657</v>
      </c>
      <c r="M25" s="23">
        <v>9547.2999999999993</v>
      </c>
      <c r="N25" s="23">
        <v>12342.7</v>
      </c>
      <c r="O25" s="23">
        <v>11013.9</v>
      </c>
      <c r="P25" s="23">
        <v>11034.3</v>
      </c>
      <c r="Q25" s="23">
        <v>12934.6</v>
      </c>
      <c r="R25" s="23">
        <v>14113.1</v>
      </c>
      <c r="S25" s="23">
        <v>13954.3</v>
      </c>
      <c r="T25" s="23">
        <v>12639.5</v>
      </c>
      <c r="U25" s="23">
        <v>13843.1</v>
      </c>
      <c r="V25" s="23">
        <v>12983.7</v>
      </c>
      <c r="W25" s="23">
        <v>14381.3</v>
      </c>
      <c r="X25" s="23">
        <v>14081.2</v>
      </c>
      <c r="Y25" s="23">
        <v>24410.5</v>
      </c>
      <c r="Z25" s="23">
        <v>44418.3</v>
      </c>
      <c r="AA25" s="23">
        <v>19315.7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2214.1999999999998</v>
      </c>
      <c r="E26" s="23">
        <v>2266.3000000000002</v>
      </c>
      <c r="F26" s="23">
        <v>2384.6999999999998</v>
      </c>
      <c r="G26" s="23">
        <v>2418.6</v>
      </c>
      <c r="H26" s="23">
        <v>2467.8000000000002</v>
      </c>
      <c r="I26" s="23">
        <v>2557.8000000000002</v>
      </c>
      <c r="J26" s="23">
        <v>2853</v>
      </c>
      <c r="K26" s="23">
        <v>3034.3</v>
      </c>
      <c r="L26" s="23">
        <v>3114.7</v>
      </c>
      <c r="M26" s="23">
        <v>2930.1</v>
      </c>
      <c r="N26" s="23">
        <v>2830.8</v>
      </c>
      <c r="O26" s="23">
        <v>3085.9</v>
      </c>
      <c r="P26" s="23">
        <v>3201</v>
      </c>
      <c r="Q26" s="23">
        <v>3439.2</v>
      </c>
      <c r="R26" s="23">
        <v>3574.6</v>
      </c>
      <c r="S26" s="23">
        <v>3572.3</v>
      </c>
      <c r="T26" s="23">
        <v>4023</v>
      </c>
      <c r="U26" s="23">
        <v>4161.6000000000004</v>
      </c>
      <c r="V26" s="23">
        <v>4364.8999999999996</v>
      </c>
      <c r="W26" s="23">
        <v>4479.1000000000004</v>
      </c>
      <c r="X26" s="23">
        <v>2907.4</v>
      </c>
      <c r="Y26" s="23">
        <v>3475.4</v>
      </c>
      <c r="Z26" s="23">
        <v>4893.3</v>
      </c>
      <c r="AA26" s="23">
        <v>5295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6597.1</v>
      </c>
      <c r="E27" s="23">
        <v>6861.2</v>
      </c>
      <c r="F27" s="23">
        <v>7189.9</v>
      </c>
      <c r="G27" s="23">
        <v>7704.2</v>
      </c>
      <c r="H27" s="23">
        <v>7853.4</v>
      </c>
      <c r="I27" s="23">
        <v>7860.6</v>
      </c>
      <c r="J27" s="23">
        <v>8320.7999999999993</v>
      </c>
      <c r="K27" s="23">
        <v>8626</v>
      </c>
      <c r="L27" s="23">
        <v>9421.2999999999993</v>
      </c>
      <c r="M27" s="23">
        <v>9782.7000000000007</v>
      </c>
      <c r="N27" s="23">
        <v>9991.7000000000007</v>
      </c>
      <c r="O27" s="23">
        <v>9906.2999999999993</v>
      </c>
      <c r="P27" s="23">
        <v>9871.5</v>
      </c>
      <c r="Q27" s="23">
        <v>10523.1</v>
      </c>
      <c r="R27" s="23">
        <v>10418.6</v>
      </c>
      <c r="S27" s="23">
        <v>10963.5</v>
      </c>
      <c r="T27" s="23">
        <v>11604.7</v>
      </c>
      <c r="U27" s="23">
        <v>11801.4</v>
      </c>
      <c r="V27" s="23">
        <v>11938</v>
      </c>
      <c r="W27" s="23">
        <v>12909.7</v>
      </c>
      <c r="X27" s="23">
        <v>13336</v>
      </c>
      <c r="Y27" s="23">
        <v>13826.5</v>
      </c>
      <c r="Z27" s="23">
        <v>14216.6</v>
      </c>
      <c r="AA27" s="23">
        <v>15263.1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6968.6</v>
      </c>
      <c r="E28" s="23">
        <v>7368.7</v>
      </c>
      <c r="F28" s="23">
        <v>7738.9</v>
      </c>
      <c r="G28" s="23">
        <v>8123.7</v>
      </c>
      <c r="H28" s="23">
        <v>8438.7999999999993</v>
      </c>
      <c r="I28" s="23">
        <v>9280.9</v>
      </c>
      <c r="J28" s="23">
        <v>9807.5</v>
      </c>
      <c r="K28" s="23">
        <v>10771.5</v>
      </c>
      <c r="L28" s="23">
        <v>12131</v>
      </c>
      <c r="M28" s="23">
        <v>12397.9</v>
      </c>
      <c r="N28" s="23">
        <v>12715.5</v>
      </c>
      <c r="O28" s="23">
        <v>12356.6</v>
      </c>
      <c r="P28" s="23">
        <v>13392.1</v>
      </c>
      <c r="Q28" s="23">
        <v>13148</v>
      </c>
      <c r="R28" s="23">
        <v>13389.6</v>
      </c>
      <c r="S28" s="23">
        <v>13777.8</v>
      </c>
      <c r="T28" s="23">
        <v>13887.9</v>
      </c>
      <c r="U28" s="23">
        <v>14435.6</v>
      </c>
      <c r="V28" s="23">
        <v>14678.2</v>
      </c>
      <c r="W28" s="23">
        <v>14439.7</v>
      </c>
      <c r="X28" s="23">
        <v>14411.3</v>
      </c>
      <c r="Y28" s="23">
        <v>15547.4</v>
      </c>
      <c r="Z28" s="23">
        <v>15476.9</v>
      </c>
      <c r="AA28" s="23">
        <v>18445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13962.6</v>
      </c>
      <c r="E29" s="23">
        <v>14828.9</v>
      </c>
      <c r="F29" s="23">
        <v>15567.2</v>
      </c>
      <c r="G29" s="23">
        <v>16347.4</v>
      </c>
      <c r="H29" s="23">
        <v>16902.599999999999</v>
      </c>
      <c r="I29" s="23">
        <v>17698.099999999999</v>
      </c>
      <c r="J29" s="23">
        <v>18220.7</v>
      </c>
      <c r="K29" s="23">
        <v>18823.7</v>
      </c>
      <c r="L29" s="23">
        <v>19069.599999999999</v>
      </c>
      <c r="M29" s="23">
        <v>20170.7</v>
      </c>
      <c r="N29" s="23">
        <v>21544</v>
      </c>
      <c r="O29" s="23">
        <v>22861.599999999999</v>
      </c>
      <c r="P29" s="23">
        <v>23090.799999999999</v>
      </c>
      <c r="Q29" s="23">
        <v>23579.4</v>
      </c>
      <c r="R29" s="23">
        <v>24615</v>
      </c>
      <c r="S29" s="23">
        <v>25287.1</v>
      </c>
      <c r="T29" s="23">
        <v>26326.1</v>
      </c>
      <c r="U29" s="23">
        <v>27631.5</v>
      </c>
      <c r="V29" s="23">
        <v>28565.200000000001</v>
      </c>
      <c r="W29" s="23">
        <v>29827.9</v>
      </c>
      <c r="X29" s="23">
        <v>31010.1</v>
      </c>
      <c r="Y29" s="23">
        <v>31859.8</v>
      </c>
      <c r="Z29" s="23">
        <v>33383.4</v>
      </c>
      <c r="AA29" s="23">
        <v>34501.800000000003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7264.2</v>
      </c>
      <c r="E30" s="23">
        <v>7800</v>
      </c>
      <c r="F30" s="23">
        <v>7624.4</v>
      </c>
      <c r="G30" s="23">
        <v>7593.4000000000005</v>
      </c>
      <c r="H30" s="23">
        <v>8224</v>
      </c>
      <c r="I30" s="23">
        <v>9255.6</v>
      </c>
      <c r="J30" s="23">
        <v>9890.8000000000011</v>
      </c>
      <c r="K30" s="23">
        <v>10005.700000000001</v>
      </c>
      <c r="L30" s="23">
        <v>11623.9</v>
      </c>
      <c r="M30" s="23">
        <v>11690.400000000001</v>
      </c>
      <c r="N30" s="23">
        <v>11803.9</v>
      </c>
      <c r="O30" s="23">
        <v>11618</v>
      </c>
      <c r="P30" s="23">
        <v>11515.5</v>
      </c>
      <c r="Q30" s="23">
        <v>12278.8</v>
      </c>
      <c r="R30" s="23">
        <v>12471.499999999998</v>
      </c>
      <c r="S30" s="23">
        <v>13288.8</v>
      </c>
      <c r="T30" s="23">
        <v>15441</v>
      </c>
      <c r="U30" s="23">
        <v>15979.899999999998</v>
      </c>
      <c r="V30" s="23">
        <v>16942.3</v>
      </c>
      <c r="W30" s="23">
        <v>17447</v>
      </c>
      <c r="X30" s="23">
        <v>17902.5</v>
      </c>
      <c r="Y30" s="23">
        <v>21076</v>
      </c>
      <c r="Z30" s="23">
        <v>20480.5</v>
      </c>
      <c r="AA30" s="23">
        <v>22499.1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3246.8</v>
      </c>
      <c r="E31" s="23">
        <v>3415</v>
      </c>
      <c r="F31" s="23">
        <v>3710.6</v>
      </c>
      <c r="G31" s="23">
        <v>3941.7</v>
      </c>
      <c r="H31" s="23">
        <v>4340.3</v>
      </c>
      <c r="I31" s="23">
        <v>4904.5</v>
      </c>
      <c r="J31" s="23">
        <v>5138.3999999999996</v>
      </c>
      <c r="K31" s="23">
        <v>5621.3</v>
      </c>
      <c r="L31" s="23">
        <v>5657.1</v>
      </c>
      <c r="M31" s="23">
        <v>5293.8</v>
      </c>
      <c r="N31" s="23">
        <v>5336.4</v>
      </c>
      <c r="O31" s="23">
        <v>5769.8</v>
      </c>
      <c r="P31" s="23">
        <v>6112</v>
      </c>
      <c r="Q31" s="23">
        <v>6512</v>
      </c>
      <c r="R31" s="23">
        <v>6767.1</v>
      </c>
      <c r="S31" s="23">
        <v>7568</v>
      </c>
      <c r="T31" s="23">
        <v>8013</v>
      </c>
      <c r="U31" s="23">
        <v>8258.7000000000007</v>
      </c>
      <c r="V31" s="23">
        <v>8568.2000000000007</v>
      </c>
      <c r="W31" s="23">
        <v>8329.9</v>
      </c>
      <c r="X31" s="23">
        <v>7814</v>
      </c>
      <c r="Y31" s="23">
        <v>9124.4</v>
      </c>
      <c r="Z31" s="23">
        <v>9405.2999999999993</v>
      </c>
      <c r="AA31" s="23">
        <v>9910.6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9279.099999999984</v>
      </c>
      <c r="E32" s="23">
        <v>9647.3000000000029</v>
      </c>
      <c r="F32" s="23">
        <v>10000.999999999993</v>
      </c>
      <c r="G32" s="23">
        <v>10095.600000000006</v>
      </c>
      <c r="H32" s="23">
        <v>10419.500000000015</v>
      </c>
      <c r="I32" s="23">
        <v>10630.799999999988</v>
      </c>
      <c r="J32" s="23">
        <v>10948.60000000002</v>
      </c>
      <c r="K32" s="23">
        <v>11033.19999999999</v>
      </c>
      <c r="L32" s="23">
        <v>11691.099999999991</v>
      </c>
      <c r="M32" s="23">
        <v>12187.400000000023</v>
      </c>
      <c r="N32" s="23">
        <v>12608.700000000004</v>
      </c>
      <c r="O32" s="23">
        <v>12366.799999999996</v>
      </c>
      <c r="P32" s="23">
        <v>12574.899999999994</v>
      </c>
      <c r="Q32" s="23">
        <v>12349.200000000026</v>
      </c>
      <c r="R32" s="23">
        <v>12283.899999999965</v>
      </c>
      <c r="S32" s="23">
        <v>12436.100000000028</v>
      </c>
      <c r="T32" s="23">
        <v>12413.400000000009</v>
      </c>
      <c r="U32" s="23">
        <v>12510.999999999985</v>
      </c>
      <c r="V32" s="23">
        <v>12755.699999999975</v>
      </c>
      <c r="W32" s="23">
        <v>13199.099999999962</v>
      </c>
      <c r="X32" s="23">
        <v>13560.199999999997</v>
      </c>
      <c r="Y32" s="23">
        <v>14493.400000000001</v>
      </c>
      <c r="Z32" s="23">
        <v>14809.599999999962</v>
      </c>
      <c r="AA32" s="23">
        <v>15344.700000000048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8870.6</v>
      </c>
      <c r="E33" s="23">
        <v>9287.6</v>
      </c>
      <c r="F33" s="23">
        <v>9846.1</v>
      </c>
      <c r="G33" s="23">
        <v>10063.6</v>
      </c>
      <c r="H33" s="23">
        <v>10536.6</v>
      </c>
      <c r="I33" s="23">
        <v>10732.6</v>
      </c>
      <c r="J33" s="23">
        <v>11194.9</v>
      </c>
      <c r="K33" s="23">
        <v>11405</v>
      </c>
      <c r="L33" s="23">
        <v>12319.9</v>
      </c>
      <c r="M33" s="23">
        <v>13062.7</v>
      </c>
      <c r="N33" s="23">
        <v>13644.4</v>
      </c>
      <c r="O33" s="23">
        <v>13724.1</v>
      </c>
      <c r="P33" s="23">
        <v>14189.7</v>
      </c>
      <c r="Q33" s="23">
        <v>14251.5</v>
      </c>
      <c r="R33" s="23">
        <v>15072.7</v>
      </c>
      <c r="S33" s="23">
        <v>15427.1</v>
      </c>
      <c r="T33" s="23">
        <v>15701.3</v>
      </c>
      <c r="U33" s="23">
        <v>15781.2</v>
      </c>
      <c r="V33" s="23">
        <v>16060.1</v>
      </c>
      <c r="W33" s="23">
        <v>16288.9</v>
      </c>
      <c r="X33" s="23">
        <v>16360.7</v>
      </c>
      <c r="Y33" s="23">
        <v>16857</v>
      </c>
      <c r="Z33" s="23">
        <v>17223.099999999999</v>
      </c>
      <c r="AA33" s="23">
        <v>17690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15384.5</v>
      </c>
      <c r="E34" s="23">
        <v>16250.2</v>
      </c>
      <c r="F34" s="23">
        <v>16958.5</v>
      </c>
      <c r="G34" s="23">
        <v>17637.599999999999</v>
      </c>
      <c r="H34" s="23">
        <v>18214.599999999999</v>
      </c>
      <c r="I34" s="23">
        <v>18676.400000000001</v>
      </c>
      <c r="J34" s="23">
        <v>19674.3</v>
      </c>
      <c r="K34" s="23">
        <v>20413.599999999999</v>
      </c>
      <c r="L34" s="23">
        <v>21604.799999999999</v>
      </c>
      <c r="M34" s="23">
        <v>23367.4</v>
      </c>
      <c r="N34" s="23">
        <v>24124</v>
      </c>
      <c r="O34" s="23">
        <v>23842.5</v>
      </c>
      <c r="P34" s="23">
        <v>24208.3</v>
      </c>
      <c r="Q34" s="23">
        <v>24631.7</v>
      </c>
      <c r="R34" s="23">
        <v>24810.400000000001</v>
      </c>
      <c r="S34" s="23">
        <v>25160.799999999999</v>
      </c>
      <c r="T34" s="23">
        <v>25503.4</v>
      </c>
      <c r="U34" s="23">
        <v>26140.5</v>
      </c>
      <c r="V34" s="23">
        <v>26807.3</v>
      </c>
      <c r="W34" s="23">
        <v>27396.400000000001</v>
      </c>
      <c r="X34" s="23">
        <v>28103</v>
      </c>
      <c r="Y34" s="23">
        <v>30038.1</v>
      </c>
      <c r="Z34" s="23">
        <v>31016.7</v>
      </c>
      <c r="AA34" s="23">
        <v>31709.1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2263.7999999999997</v>
      </c>
      <c r="E35" s="23">
        <v>2472.1999999999998</v>
      </c>
      <c r="F35" s="23">
        <v>2505.9</v>
      </c>
      <c r="G35" s="23">
        <v>2483.4</v>
      </c>
      <c r="H35" s="23">
        <v>2583.2999999999997</v>
      </c>
      <c r="I35" s="23">
        <v>2687.1</v>
      </c>
      <c r="J35" s="23">
        <v>2852.5</v>
      </c>
      <c r="K35" s="23">
        <v>2882.0000000000005</v>
      </c>
      <c r="L35" s="23">
        <v>3174.4</v>
      </c>
      <c r="M35" s="23">
        <v>3158.5</v>
      </c>
      <c r="N35" s="23">
        <v>3189.3</v>
      </c>
      <c r="O35" s="23">
        <v>3317.5</v>
      </c>
      <c r="P35" s="23">
        <v>3362.8999999999996</v>
      </c>
      <c r="Q35" s="23">
        <v>3452.3</v>
      </c>
      <c r="R35" s="23">
        <v>3537.7</v>
      </c>
      <c r="S35" s="23">
        <v>3555.0999999999995</v>
      </c>
      <c r="T35" s="23">
        <v>3671.6000000000004</v>
      </c>
      <c r="U35" s="23">
        <v>3854.9000000000005</v>
      </c>
      <c r="V35" s="23">
        <v>3821.2</v>
      </c>
      <c r="W35" s="23">
        <v>3909.1000000000004</v>
      </c>
      <c r="X35" s="23">
        <v>3806.1999999999989</v>
      </c>
      <c r="Y35" s="23">
        <v>3833.7999999999993</v>
      </c>
      <c r="Z35" s="23">
        <v>4086.5999999999995</v>
      </c>
      <c r="AA35" s="23">
        <v>4660.5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2603.8000000000002</v>
      </c>
      <c r="E36" s="23">
        <v>2697.5</v>
      </c>
      <c r="F36" s="23">
        <v>2794</v>
      </c>
      <c r="G36" s="23">
        <v>2922</v>
      </c>
      <c r="H36" s="23">
        <v>3007.6</v>
      </c>
      <c r="I36" s="23">
        <v>3055.6</v>
      </c>
      <c r="J36" s="23">
        <v>3128</v>
      </c>
      <c r="K36" s="23">
        <v>3193.6</v>
      </c>
      <c r="L36" s="23">
        <v>3228</v>
      </c>
      <c r="M36" s="23">
        <v>3410</v>
      </c>
      <c r="N36" s="23">
        <v>3489.7</v>
      </c>
      <c r="O36" s="23">
        <v>3558.1</v>
      </c>
      <c r="P36" s="23">
        <v>3573.3</v>
      </c>
      <c r="Q36" s="23">
        <v>3510.5</v>
      </c>
      <c r="R36" s="23">
        <v>3493.9</v>
      </c>
      <c r="S36" s="23">
        <v>3500</v>
      </c>
      <c r="T36" s="23">
        <v>3640.1</v>
      </c>
      <c r="U36" s="23">
        <v>3760.9</v>
      </c>
      <c r="V36" s="23">
        <v>3784.5</v>
      </c>
      <c r="W36" s="23">
        <v>3953.9</v>
      </c>
      <c r="X36" s="23">
        <v>4070.4</v>
      </c>
      <c r="Y36" s="23">
        <v>3943.5</v>
      </c>
      <c r="Z36" s="23">
        <v>4314.8</v>
      </c>
      <c r="AA36" s="23">
        <v>4380.3999999999996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212.4</v>
      </c>
      <c r="E37" s="23">
        <v>218.3</v>
      </c>
      <c r="F37" s="23">
        <v>278.39999999999998</v>
      </c>
      <c r="G37" s="23">
        <v>310.89999999999998</v>
      </c>
      <c r="H37" s="23">
        <v>332.5</v>
      </c>
      <c r="I37" s="23">
        <v>406.7</v>
      </c>
      <c r="J37" s="23">
        <v>447.8</v>
      </c>
      <c r="K37" s="23">
        <v>475.5</v>
      </c>
      <c r="L37" s="23">
        <v>504.4</v>
      </c>
      <c r="M37" s="23">
        <v>552.79999999999995</v>
      </c>
      <c r="N37" s="23">
        <v>586</v>
      </c>
      <c r="O37" s="23">
        <v>628</v>
      </c>
      <c r="P37" s="23">
        <v>621.29999999999995</v>
      </c>
      <c r="Q37" s="23">
        <v>656.7</v>
      </c>
      <c r="R37" s="23">
        <v>667.9</v>
      </c>
      <c r="S37" s="23">
        <v>666.3</v>
      </c>
      <c r="T37" s="23">
        <v>669.3</v>
      </c>
      <c r="U37" s="23">
        <v>672.9</v>
      </c>
      <c r="V37" s="23">
        <v>639.70000000000005</v>
      </c>
      <c r="W37" s="23">
        <v>637.20000000000005</v>
      </c>
      <c r="X37" s="23">
        <v>650.70000000000005</v>
      </c>
      <c r="Y37" s="23">
        <v>654.1</v>
      </c>
      <c r="Z37" s="23">
        <v>659.5</v>
      </c>
      <c r="AA37" s="23">
        <v>656.4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153239.69999999998</v>
      </c>
      <c r="E39" s="30">
        <f t="shared" ref="E39:Y39" si="2">SUM(E18:E38)</f>
        <v>158596.1</v>
      </c>
      <c r="F39" s="30">
        <f t="shared" si="2"/>
        <v>163234.29999999999</v>
      </c>
      <c r="G39" s="30">
        <f t="shared" si="2"/>
        <v>166627.9</v>
      </c>
      <c r="H39" s="30">
        <f t="shared" si="2"/>
        <v>174060.5</v>
      </c>
      <c r="I39" s="30">
        <f t="shared" si="2"/>
        <v>181404.80000000005</v>
      </c>
      <c r="J39" s="30">
        <f t="shared" si="2"/>
        <v>191977.1</v>
      </c>
      <c r="K39" s="30">
        <f t="shared" si="2"/>
        <v>198617</v>
      </c>
      <c r="L39" s="30">
        <f t="shared" si="2"/>
        <v>208477.29999999996</v>
      </c>
      <c r="M39" s="30">
        <f t="shared" si="2"/>
        <v>200452.6</v>
      </c>
      <c r="N39" s="30">
        <f t="shared" si="2"/>
        <v>210164.9</v>
      </c>
      <c r="O39" s="30">
        <f t="shared" si="2"/>
        <v>214063.8</v>
      </c>
      <c r="P39" s="30">
        <f t="shared" si="2"/>
        <v>219552.39999999997</v>
      </c>
      <c r="Q39" s="30">
        <f t="shared" si="2"/>
        <v>224650.00000000006</v>
      </c>
      <c r="R39" s="30">
        <f t="shared" si="2"/>
        <v>230431.5</v>
      </c>
      <c r="S39" s="30">
        <f t="shared" si="2"/>
        <v>236102.6</v>
      </c>
      <c r="T39" s="30">
        <f t="shared" si="2"/>
        <v>244843.6</v>
      </c>
      <c r="U39" s="30">
        <f t="shared" si="2"/>
        <v>255937.6</v>
      </c>
      <c r="V39" s="30">
        <f t="shared" si="2"/>
        <v>261071.1</v>
      </c>
      <c r="W39" s="30">
        <f t="shared" si="2"/>
        <v>268551.8</v>
      </c>
      <c r="X39" s="30">
        <f t="shared" si="2"/>
        <v>271165.30000000005</v>
      </c>
      <c r="Y39" s="30">
        <f t="shared" si="2"/>
        <v>299078.59999999992</v>
      </c>
      <c r="Z39" s="30">
        <f t="shared" ref="Z39:AA39" si="3">SUM(Z18:Z38)</f>
        <v>335283.49999999988</v>
      </c>
      <c r="AA39" s="30">
        <f t="shared" si="3"/>
        <v>331373.40000000014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4092</v>
      </c>
      <c r="E41" s="19">
        <v>4334.5</v>
      </c>
      <c r="F41" s="19">
        <v>4720.8</v>
      </c>
      <c r="G41" s="19">
        <v>4574.7</v>
      </c>
      <c r="H41" s="19">
        <v>4625.1000000000004</v>
      </c>
      <c r="I41" s="19">
        <v>4594.8</v>
      </c>
      <c r="J41" s="19">
        <v>4269.1000000000004</v>
      </c>
      <c r="K41" s="19">
        <v>4200.8999999999996</v>
      </c>
      <c r="L41" s="19">
        <v>4147.5</v>
      </c>
      <c r="M41" s="19">
        <v>4177.3999999999996</v>
      </c>
      <c r="N41" s="19">
        <v>3980.7</v>
      </c>
      <c r="O41" s="19">
        <v>3748.5</v>
      </c>
      <c r="P41" s="19">
        <v>3592.1</v>
      </c>
      <c r="Q41" s="19">
        <v>3746.4</v>
      </c>
      <c r="R41" s="19">
        <v>3789.7</v>
      </c>
      <c r="S41" s="19">
        <v>4031.3</v>
      </c>
      <c r="T41" s="19">
        <v>4262.2</v>
      </c>
      <c r="U41" s="19">
        <v>3930.3</v>
      </c>
      <c r="V41" s="19">
        <v>4009</v>
      </c>
      <c r="W41" s="19">
        <v>4267.7</v>
      </c>
      <c r="X41" s="19">
        <v>4182.6000000000004</v>
      </c>
      <c r="Y41" s="19">
        <v>4117.3999999999996</v>
      </c>
      <c r="Z41" s="19">
        <v>4386.6000000000004</v>
      </c>
      <c r="AA41" s="19">
        <v>5484.6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685</v>
      </c>
      <c r="E42" s="23">
        <v>616.5</v>
      </c>
      <c r="F42" s="23">
        <v>587.20000000000005</v>
      </c>
      <c r="G42" s="23">
        <v>551.70000000000005</v>
      </c>
      <c r="H42" s="23">
        <v>513.29999999999995</v>
      </c>
      <c r="I42" s="23">
        <v>435.4</v>
      </c>
      <c r="J42" s="23">
        <v>462</v>
      </c>
      <c r="K42" s="23">
        <v>447.6</v>
      </c>
      <c r="L42" s="23">
        <v>426.8</v>
      </c>
      <c r="M42" s="23">
        <v>355.9</v>
      </c>
      <c r="N42" s="23">
        <v>326.8</v>
      </c>
      <c r="O42" s="23">
        <v>336.6</v>
      </c>
      <c r="P42" s="23">
        <v>304.7</v>
      </c>
      <c r="Q42" s="23">
        <v>361.1</v>
      </c>
      <c r="R42" s="23">
        <v>374.2</v>
      </c>
      <c r="S42" s="23">
        <v>399.5</v>
      </c>
      <c r="T42" s="23">
        <v>387.6</v>
      </c>
      <c r="U42" s="23">
        <v>416.8</v>
      </c>
      <c r="V42" s="23">
        <v>482.2</v>
      </c>
      <c r="W42" s="23">
        <v>471</v>
      </c>
      <c r="X42" s="23">
        <v>450.3</v>
      </c>
      <c r="Y42" s="23">
        <v>458.8</v>
      </c>
      <c r="Z42" s="23">
        <v>466</v>
      </c>
      <c r="AA42" s="23">
        <v>455.7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2199.1999999999998</v>
      </c>
      <c r="E43" s="23">
        <v>2077.3000000000002</v>
      </c>
      <c r="F43" s="23">
        <v>2043.7</v>
      </c>
      <c r="G43" s="23">
        <v>2036.3</v>
      </c>
      <c r="H43" s="23">
        <v>2009.8</v>
      </c>
      <c r="I43" s="23">
        <v>1935.2</v>
      </c>
      <c r="J43" s="23">
        <v>1952.9</v>
      </c>
      <c r="K43" s="23">
        <v>1938.4</v>
      </c>
      <c r="L43" s="23">
        <v>1904.6</v>
      </c>
      <c r="M43" s="23">
        <v>1549.5</v>
      </c>
      <c r="N43" s="23">
        <v>1444.1</v>
      </c>
      <c r="O43" s="23">
        <v>1468.9</v>
      </c>
      <c r="P43" s="23">
        <v>1374.1</v>
      </c>
      <c r="Q43" s="23">
        <v>1328.3</v>
      </c>
      <c r="R43" s="23">
        <v>1430.5</v>
      </c>
      <c r="S43" s="23">
        <v>1389.3</v>
      </c>
      <c r="T43" s="23">
        <v>1318</v>
      </c>
      <c r="U43" s="23">
        <v>1425.5</v>
      </c>
      <c r="V43" s="23">
        <v>1356</v>
      </c>
      <c r="W43" s="23">
        <v>1425.9</v>
      </c>
      <c r="X43" s="23">
        <v>1455.8</v>
      </c>
      <c r="Y43" s="23">
        <v>1403.2</v>
      </c>
      <c r="Z43" s="23">
        <v>1506.5</v>
      </c>
      <c r="AA43" s="23">
        <v>1525.8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56.7</v>
      </c>
      <c r="E44" s="23">
        <v>98.6</v>
      </c>
      <c r="F44" s="23">
        <v>142.6</v>
      </c>
      <c r="G44" s="23">
        <v>53.5</v>
      </c>
      <c r="H44" s="23">
        <v>150.1</v>
      </c>
      <c r="I44" s="23">
        <v>78.5</v>
      </c>
      <c r="J44" s="23">
        <v>196.1</v>
      </c>
      <c r="K44" s="23">
        <v>168.6</v>
      </c>
      <c r="L44" s="23">
        <v>333.1</v>
      </c>
      <c r="M44" s="23">
        <v>183.9</v>
      </c>
      <c r="N44" s="23">
        <v>-181.7</v>
      </c>
      <c r="O44" s="23">
        <v>-394.1</v>
      </c>
      <c r="P44" s="23">
        <v>-612.6</v>
      </c>
      <c r="Q44" s="23">
        <v>41.5</v>
      </c>
      <c r="R44" s="23">
        <v>-111.8</v>
      </c>
      <c r="S44" s="23">
        <v>592.29999999999995</v>
      </c>
      <c r="T44" s="23">
        <v>347</v>
      </c>
      <c r="U44" s="23">
        <v>338.1</v>
      </c>
      <c r="V44" s="23">
        <v>74.099999999999994</v>
      </c>
      <c r="W44" s="23">
        <v>162</v>
      </c>
      <c r="X44" s="23">
        <v>92.6</v>
      </c>
      <c r="Y44" s="23">
        <v>122</v>
      </c>
      <c r="Z44" s="23">
        <v>757.9</v>
      </c>
      <c r="AA44" s="23">
        <v>904.1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1239.4000000000001</v>
      </c>
      <c r="E45" s="23">
        <v>1261.2</v>
      </c>
      <c r="F45" s="23">
        <v>1173.4000000000001</v>
      </c>
      <c r="G45" s="23">
        <v>1227.2</v>
      </c>
      <c r="H45" s="23">
        <v>1219.5999999999999</v>
      </c>
      <c r="I45" s="23">
        <v>1277.3</v>
      </c>
      <c r="J45" s="23">
        <v>1255.2</v>
      </c>
      <c r="K45" s="23">
        <v>1214.5</v>
      </c>
      <c r="L45" s="23">
        <v>1383.4</v>
      </c>
      <c r="M45" s="23">
        <v>1490.1</v>
      </c>
      <c r="N45" s="23">
        <v>1623.1</v>
      </c>
      <c r="O45" s="23">
        <v>1574.6</v>
      </c>
      <c r="P45" s="23">
        <v>1946.9</v>
      </c>
      <c r="Q45" s="23">
        <v>1887.4</v>
      </c>
      <c r="R45" s="23">
        <v>2109.1</v>
      </c>
      <c r="S45" s="23">
        <v>2416.3000000000002</v>
      </c>
      <c r="T45" s="23">
        <v>2547.5</v>
      </c>
      <c r="U45" s="23">
        <v>2652.7</v>
      </c>
      <c r="V45" s="23">
        <v>2600.1</v>
      </c>
      <c r="W45" s="23">
        <v>2845.3</v>
      </c>
      <c r="X45" s="23">
        <v>2992.3</v>
      </c>
      <c r="Y45" s="23">
        <v>3269.4</v>
      </c>
      <c r="Z45" s="23">
        <v>3326.8</v>
      </c>
      <c r="AA45" s="23">
        <v>3509.5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2309.3000000000002</v>
      </c>
      <c r="E46" s="23">
        <v>2650.9</v>
      </c>
      <c r="F46" s="23">
        <v>2410.8000000000002</v>
      </c>
      <c r="G46" s="23">
        <v>2819.1</v>
      </c>
      <c r="H46" s="23">
        <v>2820.4</v>
      </c>
      <c r="I46" s="23">
        <v>2987.2</v>
      </c>
      <c r="J46" s="23">
        <v>2886.8</v>
      </c>
      <c r="K46" s="23">
        <v>2749.7</v>
      </c>
      <c r="L46" s="23">
        <v>3088.2</v>
      </c>
      <c r="M46" s="23">
        <v>3459.9</v>
      </c>
      <c r="N46" s="23">
        <v>4602.3</v>
      </c>
      <c r="O46" s="23">
        <v>4935.6000000000004</v>
      </c>
      <c r="P46" s="23">
        <v>6000.5</v>
      </c>
      <c r="Q46" s="23">
        <v>6537.8</v>
      </c>
      <c r="R46" s="23">
        <v>6810.2</v>
      </c>
      <c r="S46" s="23">
        <v>8075.6</v>
      </c>
      <c r="T46" s="23">
        <v>8940.5</v>
      </c>
      <c r="U46" s="23">
        <v>9866.1</v>
      </c>
      <c r="V46" s="23">
        <v>11226.9</v>
      </c>
      <c r="W46" s="23">
        <v>11456.3</v>
      </c>
      <c r="X46" s="23">
        <v>12063.7</v>
      </c>
      <c r="Y46" s="23">
        <v>12201.4</v>
      </c>
      <c r="Z46" s="23">
        <v>16436.400000000001</v>
      </c>
      <c r="AA46" s="23">
        <v>24589.200000000001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2473.4</v>
      </c>
      <c r="E47" s="23">
        <v>2242.5</v>
      </c>
      <c r="F47" s="23">
        <v>2392.1999999999998</v>
      </c>
      <c r="G47" s="23">
        <v>2360.1</v>
      </c>
      <c r="H47" s="23">
        <v>2362.6</v>
      </c>
      <c r="I47" s="23">
        <v>2435.1999999999998</v>
      </c>
      <c r="J47" s="23">
        <v>2696.7</v>
      </c>
      <c r="K47" s="23">
        <v>2917.7</v>
      </c>
      <c r="L47" s="23">
        <v>2606.1</v>
      </c>
      <c r="M47" s="23">
        <v>2056</v>
      </c>
      <c r="N47" s="23">
        <v>1885.2</v>
      </c>
      <c r="O47" s="23">
        <v>1846.4</v>
      </c>
      <c r="P47" s="23">
        <v>1956.8</v>
      </c>
      <c r="Q47" s="23">
        <v>1927.9</v>
      </c>
      <c r="R47" s="23">
        <v>2316.5</v>
      </c>
      <c r="S47" s="23">
        <v>2341.8000000000002</v>
      </c>
      <c r="T47" s="23">
        <v>2442.6999999999998</v>
      </c>
      <c r="U47" s="23">
        <v>2579.9</v>
      </c>
      <c r="V47" s="23">
        <v>2535.8000000000002</v>
      </c>
      <c r="W47" s="23">
        <v>2638.9</v>
      </c>
      <c r="X47" s="23">
        <v>2671.9</v>
      </c>
      <c r="Y47" s="23">
        <v>2615.1999999999998</v>
      </c>
      <c r="Z47" s="23">
        <v>2659.5</v>
      </c>
      <c r="AA47" s="23">
        <v>2890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2558.6</v>
      </c>
      <c r="E48" s="23">
        <v>2644.6</v>
      </c>
      <c r="F48" s="23">
        <v>2682.7</v>
      </c>
      <c r="G48" s="23">
        <v>2550.6</v>
      </c>
      <c r="H48" s="23">
        <v>2612</v>
      </c>
      <c r="I48" s="23">
        <v>2561.5</v>
      </c>
      <c r="J48" s="23">
        <v>2817.4</v>
      </c>
      <c r="K48" s="23">
        <v>2892.1</v>
      </c>
      <c r="L48" s="23">
        <v>3071.4</v>
      </c>
      <c r="M48" s="23">
        <v>2511.1</v>
      </c>
      <c r="N48" s="23">
        <v>2297.8000000000002</v>
      </c>
      <c r="O48" s="23">
        <v>2183.1999999999998</v>
      </c>
      <c r="P48" s="23">
        <v>2355.9</v>
      </c>
      <c r="Q48" s="23">
        <v>2644.1</v>
      </c>
      <c r="R48" s="23">
        <v>2775.3</v>
      </c>
      <c r="S48" s="23">
        <v>2776</v>
      </c>
      <c r="T48" s="23">
        <v>2926.2</v>
      </c>
      <c r="U48" s="23">
        <v>3009.7</v>
      </c>
      <c r="V48" s="23">
        <v>2874</v>
      </c>
      <c r="W48" s="23">
        <v>3103.2</v>
      </c>
      <c r="X48" s="23">
        <v>3016.8</v>
      </c>
      <c r="Y48" s="23">
        <v>3010.9</v>
      </c>
      <c r="Z48" s="23">
        <v>3600.3</v>
      </c>
      <c r="AA48" s="23">
        <v>3985.2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1816.1</v>
      </c>
      <c r="E49" s="23">
        <v>1913.9</v>
      </c>
      <c r="F49" s="23">
        <v>1933.2</v>
      </c>
      <c r="G49" s="23">
        <v>2020.9</v>
      </c>
      <c r="H49" s="23">
        <v>1913</v>
      </c>
      <c r="I49" s="23">
        <v>1873.2</v>
      </c>
      <c r="J49" s="23">
        <v>2109.6999999999998</v>
      </c>
      <c r="K49" s="23">
        <v>2273.5</v>
      </c>
      <c r="L49" s="23">
        <v>1930.1</v>
      </c>
      <c r="M49" s="23">
        <v>1801.5</v>
      </c>
      <c r="N49" s="23">
        <v>1987.7</v>
      </c>
      <c r="O49" s="23">
        <v>2049.9</v>
      </c>
      <c r="P49" s="23">
        <v>2089.6</v>
      </c>
      <c r="Q49" s="23">
        <v>2125.1999999999998</v>
      </c>
      <c r="R49" s="23">
        <v>2058.8000000000002</v>
      </c>
      <c r="S49" s="23">
        <v>2124.9</v>
      </c>
      <c r="T49" s="23">
        <v>2226.6</v>
      </c>
      <c r="U49" s="23">
        <v>2569.9</v>
      </c>
      <c r="V49" s="23">
        <v>2509.9</v>
      </c>
      <c r="W49" s="23">
        <v>2598.9</v>
      </c>
      <c r="X49" s="23">
        <v>2299.4</v>
      </c>
      <c r="Y49" s="23">
        <v>2759.3</v>
      </c>
      <c r="Z49" s="23">
        <v>3073.6</v>
      </c>
      <c r="AA49" s="23">
        <v>3610.2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910.8</v>
      </c>
      <c r="E50" s="23">
        <v>913</v>
      </c>
      <c r="F50" s="23">
        <v>850.4</v>
      </c>
      <c r="G50" s="23">
        <v>769.5</v>
      </c>
      <c r="H50" s="23">
        <v>834.3</v>
      </c>
      <c r="I50" s="23">
        <v>747</v>
      </c>
      <c r="J50" s="23">
        <v>819.8</v>
      </c>
      <c r="K50" s="23">
        <v>903.4</v>
      </c>
      <c r="L50" s="23">
        <v>1092.0999999999999</v>
      </c>
      <c r="M50" s="23">
        <v>820</v>
      </c>
      <c r="N50" s="23">
        <v>900.9</v>
      </c>
      <c r="O50" s="23">
        <v>939</v>
      </c>
      <c r="P50" s="23">
        <v>899.8</v>
      </c>
      <c r="Q50" s="23">
        <v>817.6</v>
      </c>
      <c r="R50" s="23">
        <v>884.2</v>
      </c>
      <c r="S50" s="23">
        <v>1018.2</v>
      </c>
      <c r="T50" s="23">
        <v>1036.7</v>
      </c>
      <c r="U50" s="23">
        <v>982.4</v>
      </c>
      <c r="V50" s="23">
        <v>1064.8</v>
      </c>
      <c r="W50" s="23">
        <v>1078.4000000000001</v>
      </c>
      <c r="X50" s="23">
        <v>965</v>
      </c>
      <c r="Y50" s="23">
        <v>1096.8</v>
      </c>
      <c r="Z50" s="23">
        <v>1201</v>
      </c>
      <c r="AA50" s="23">
        <v>1220.5999999999999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3897</v>
      </c>
      <c r="E51" s="23">
        <v>4024.5</v>
      </c>
      <c r="F51" s="23">
        <v>4529</v>
      </c>
      <c r="G51" s="23">
        <v>3756.4</v>
      </c>
      <c r="H51" s="23">
        <v>3961.1</v>
      </c>
      <c r="I51" s="23">
        <v>3752.6</v>
      </c>
      <c r="J51" s="23">
        <v>4633.8999999999996</v>
      </c>
      <c r="K51" s="23">
        <v>5275.6</v>
      </c>
      <c r="L51" s="23">
        <v>5396.4</v>
      </c>
      <c r="M51" s="23">
        <v>4593.5</v>
      </c>
      <c r="N51" s="23">
        <v>4489</v>
      </c>
      <c r="O51" s="23">
        <v>5069.5</v>
      </c>
      <c r="P51" s="23">
        <v>5007.3</v>
      </c>
      <c r="Q51" s="23">
        <v>5654.8</v>
      </c>
      <c r="R51" s="23">
        <v>5479.1</v>
      </c>
      <c r="S51" s="23">
        <v>4925.3</v>
      </c>
      <c r="T51" s="23">
        <v>5818.8</v>
      </c>
      <c r="U51" s="23">
        <v>6493.5</v>
      </c>
      <c r="V51" s="23">
        <v>6425.6</v>
      </c>
      <c r="W51" s="23">
        <v>7257</v>
      </c>
      <c r="X51" s="23">
        <v>5779.3</v>
      </c>
      <c r="Y51" s="23">
        <v>7112.5</v>
      </c>
      <c r="Z51" s="23">
        <v>6121.2</v>
      </c>
      <c r="AA51" s="23">
        <v>6289.8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684.7</v>
      </c>
      <c r="E52" s="23">
        <v>690.8</v>
      </c>
      <c r="F52" s="23">
        <v>672.8</v>
      </c>
      <c r="G52" s="23">
        <v>685.1</v>
      </c>
      <c r="H52" s="23">
        <v>579.5</v>
      </c>
      <c r="I52" s="23">
        <v>645.79999999999995</v>
      </c>
      <c r="J52" s="23">
        <v>671.8</v>
      </c>
      <c r="K52" s="23">
        <v>599.4</v>
      </c>
      <c r="L52" s="23">
        <v>693.7</v>
      </c>
      <c r="M52" s="23">
        <v>460.4</v>
      </c>
      <c r="N52" s="23">
        <v>562.20000000000005</v>
      </c>
      <c r="O52" s="23">
        <v>634.6</v>
      </c>
      <c r="P52" s="23">
        <v>517</v>
      </c>
      <c r="Q52" s="23">
        <v>454.4</v>
      </c>
      <c r="R52" s="23">
        <v>456.1</v>
      </c>
      <c r="S52" s="23">
        <v>547.70000000000005</v>
      </c>
      <c r="T52" s="23">
        <v>610.79999999999995</v>
      </c>
      <c r="U52" s="23">
        <v>622</v>
      </c>
      <c r="V52" s="23">
        <v>567</v>
      </c>
      <c r="W52" s="23">
        <v>589.70000000000005</v>
      </c>
      <c r="X52" s="23">
        <v>525.4</v>
      </c>
      <c r="Y52" s="23">
        <v>624.70000000000005</v>
      </c>
      <c r="Z52" s="23">
        <v>593.79999999999995</v>
      </c>
      <c r="AA52" s="23">
        <v>762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2262.9000000000015</v>
      </c>
      <c r="E53" s="23">
        <v>2381.2000000000007</v>
      </c>
      <c r="F53" s="23">
        <v>2316.8999999999978</v>
      </c>
      <c r="G53" s="23">
        <v>2229.7999999999993</v>
      </c>
      <c r="H53" s="23">
        <v>2279.2999999999993</v>
      </c>
      <c r="I53" s="23">
        <v>2373.7000000000044</v>
      </c>
      <c r="J53" s="23">
        <v>2528.6000000000022</v>
      </c>
      <c r="K53" s="23">
        <v>2398.5999999999985</v>
      </c>
      <c r="L53" s="23">
        <v>2588.9000000000015</v>
      </c>
      <c r="M53" s="23">
        <v>2464.0999999999985</v>
      </c>
      <c r="N53" s="23">
        <v>2559.1999999999971</v>
      </c>
      <c r="O53" s="23">
        <v>2826.5</v>
      </c>
      <c r="P53" s="23">
        <v>3071.4000000000051</v>
      </c>
      <c r="Q53" s="23">
        <v>3097.7999999999993</v>
      </c>
      <c r="R53" s="23">
        <v>3051.2000000000044</v>
      </c>
      <c r="S53" s="23">
        <v>3343.7999999999956</v>
      </c>
      <c r="T53" s="23">
        <v>3661</v>
      </c>
      <c r="U53" s="23">
        <v>3422.0999999999913</v>
      </c>
      <c r="V53" s="23">
        <v>3419.9000000000015</v>
      </c>
      <c r="W53" s="23">
        <v>3458.3999999999942</v>
      </c>
      <c r="X53" s="23">
        <v>3571.8999999999942</v>
      </c>
      <c r="Y53" s="23">
        <v>4309.9000000000087</v>
      </c>
      <c r="Z53" s="23">
        <v>4674.8000000000029</v>
      </c>
      <c r="AA53" s="23">
        <v>5966.7000000000044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25185.1</v>
      </c>
      <c r="E54" s="30">
        <f t="shared" ref="E54:Y54" si="4">SUM(E41:E53)</f>
        <v>25849.5</v>
      </c>
      <c r="F54" s="30">
        <f t="shared" si="4"/>
        <v>26455.7</v>
      </c>
      <c r="G54" s="30">
        <f t="shared" si="4"/>
        <v>25634.9</v>
      </c>
      <c r="H54" s="30">
        <f t="shared" si="4"/>
        <v>25880.1</v>
      </c>
      <c r="I54" s="30">
        <f t="shared" si="4"/>
        <v>25697.4</v>
      </c>
      <c r="J54" s="30">
        <f t="shared" si="4"/>
        <v>27300</v>
      </c>
      <c r="K54" s="30">
        <f t="shared" si="4"/>
        <v>27980</v>
      </c>
      <c r="L54" s="30">
        <f t="shared" si="4"/>
        <v>28662.3</v>
      </c>
      <c r="M54" s="30">
        <f t="shared" si="4"/>
        <v>25923.3</v>
      </c>
      <c r="N54" s="30">
        <f t="shared" si="4"/>
        <v>26477.3</v>
      </c>
      <c r="O54" s="30">
        <f t="shared" si="4"/>
        <v>27219.200000000001</v>
      </c>
      <c r="P54" s="30">
        <f t="shared" si="4"/>
        <v>28503.5</v>
      </c>
      <c r="Q54" s="30">
        <f t="shared" si="4"/>
        <v>30624.3</v>
      </c>
      <c r="R54" s="30">
        <f t="shared" si="4"/>
        <v>31423.1</v>
      </c>
      <c r="S54" s="30">
        <f t="shared" si="4"/>
        <v>33982</v>
      </c>
      <c r="T54" s="30">
        <f t="shared" si="4"/>
        <v>36525.599999999999</v>
      </c>
      <c r="U54" s="30">
        <f t="shared" si="4"/>
        <v>38309</v>
      </c>
      <c r="V54" s="30">
        <f t="shared" si="4"/>
        <v>39145.300000000003</v>
      </c>
      <c r="W54" s="30">
        <f t="shared" si="4"/>
        <v>41352.699999999997</v>
      </c>
      <c r="X54" s="30">
        <f t="shared" si="4"/>
        <v>40067</v>
      </c>
      <c r="Y54" s="30">
        <f t="shared" si="4"/>
        <v>43101.5</v>
      </c>
      <c r="Z54" s="30">
        <f t="shared" ref="Z54:AA54" si="5">SUM(Z41:Z53)</f>
        <v>48804.4</v>
      </c>
      <c r="AA54" s="30">
        <f t="shared" si="5"/>
        <v>61193.4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4092</v>
      </c>
      <c r="E56" s="19">
        <v>4334.5</v>
      </c>
      <c r="F56" s="19">
        <v>4720.8</v>
      </c>
      <c r="G56" s="19">
        <v>4574.7</v>
      </c>
      <c r="H56" s="19">
        <v>4625.1000000000004</v>
      </c>
      <c r="I56" s="19">
        <v>4594.8</v>
      </c>
      <c r="J56" s="19">
        <v>4269.1000000000004</v>
      </c>
      <c r="K56" s="19">
        <v>4200.8999999999996</v>
      </c>
      <c r="L56" s="19">
        <v>4147.5</v>
      </c>
      <c r="M56" s="19">
        <v>4177.3999999999996</v>
      </c>
      <c r="N56" s="19">
        <v>3980.7</v>
      </c>
      <c r="O56" s="19">
        <v>3748.5</v>
      </c>
      <c r="P56" s="19">
        <v>3592.1</v>
      </c>
      <c r="Q56" s="19">
        <v>3746.4</v>
      </c>
      <c r="R56" s="19">
        <v>3789.7</v>
      </c>
      <c r="S56" s="19">
        <v>4031.3</v>
      </c>
      <c r="T56" s="19">
        <v>4262.2</v>
      </c>
      <c r="U56" s="19">
        <v>3930.3</v>
      </c>
      <c r="V56" s="19">
        <v>4009</v>
      </c>
      <c r="W56" s="19">
        <v>4267.7</v>
      </c>
      <c r="X56" s="19">
        <v>4182.6000000000004</v>
      </c>
      <c r="Y56" s="19">
        <v>4117.3999999999996</v>
      </c>
      <c r="Z56" s="19">
        <v>4386.6000000000004</v>
      </c>
      <c r="AA56" s="19">
        <v>5484.6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685</v>
      </c>
      <c r="E57" s="23">
        <v>616.5</v>
      </c>
      <c r="F57" s="23">
        <v>587.20000000000005</v>
      </c>
      <c r="G57" s="23">
        <v>551.70000000000005</v>
      </c>
      <c r="H57" s="23">
        <v>513.29999999999995</v>
      </c>
      <c r="I57" s="23">
        <v>435.4</v>
      </c>
      <c r="J57" s="23">
        <v>462</v>
      </c>
      <c r="K57" s="23">
        <v>447.6</v>
      </c>
      <c r="L57" s="23">
        <v>426.8</v>
      </c>
      <c r="M57" s="23">
        <v>355.9</v>
      </c>
      <c r="N57" s="23">
        <v>326.8</v>
      </c>
      <c r="O57" s="23">
        <v>336.6</v>
      </c>
      <c r="P57" s="23">
        <v>304.7</v>
      </c>
      <c r="Q57" s="23">
        <v>361.1</v>
      </c>
      <c r="R57" s="23">
        <v>374.2</v>
      </c>
      <c r="S57" s="23">
        <v>399.5</v>
      </c>
      <c r="T57" s="23">
        <v>387.6</v>
      </c>
      <c r="U57" s="23">
        <v>416.8</v>
      </c>
      <c r="V57" s="23">
        <v>482.2</v>
      </c>
      <c r="W57" s="23">
        <v>471</v>
      </c>
      <c r="X57" s="23">
        <v>450.3</v>
      </c>
      <c r="Y57" s="23">
        <v>458.8</v>
      </c>
      <c r="Z57" s="23">
        <v>466</v>
      </c>
      <c r="AA57" s="23">
        <v>455.7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721.7</v>
      </c>
      <c r="E58" s="23">
        <v>694.1</v>
      </c>
      <c r="F58" s="23">
        <v>671.5</v>
      </c>
      <c r="G58" s="23">
        <v>702.9</v>
      </c>
      <c r="H58" s="23">
        <v>734.9</v>
      </c>
      <c r="I58" s="23">
        <v>760.4</v>
      </c>
      <c r="J58" s="23">
        <v>776.3</v>
      </c>
      <c r="K58" s="23">
        <v>799.7</v>
      </c>
      <c r="L58" s="23">
        <v>715.3</v>
      </c>
      <c r="M58" s="23">
        <v>520.79999999999995</v>
      </c>
      <c r="N58" s="23">
        <v>526.9</v>
      </c>
      <c r="O58" s="23">
        <v>537.79999999999995</v>
      </c>
      <c r="P58" s="23">
        <v>540.1</v>
      </c>
      <c r="Q58" s="23">
        <v>521.5</v>
      </c>
      <c r="R58" s="23">
        <v>557.9</v>
      </c>
      <c r="S58" s="23">
        <v>579.1</v>
      </c>
      <c r="T58" s="23">
        <v>563.6</v>
      </c>
      <c r="U58" s="23">
        <v>588.20000000000005</v>
      </c>
      <c r="V58" s="23">
        <v>580.20000000000005</v>
      </c>
      <c r="W58" s="23">
        <v>614.79999999999995</v>
      </c>
      <c r="X58" s="23">
        <v>621</v>
      </c>
      <c r="Y58" s="23">
        <v>719.2</v>
      </c>
      <c r="Z58" s="23">
        <v>799.1</v>
      </c>
      <c r="AA58" s="23">
        <v>778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559.29999999999995</v>
      </c>
      <c r="E59" s="23">
        <v>564.9</v>
      </c>
      <c r="F59" s="23">
        <v>575.1</v>
      </c>
      <c r="G59" s="23">
        <v>558.5</v>
      </c>
      <c r="H59" s="23">
        <v>512.1</v>
      </c>
      <c r="I59" s="23">
        <v>457.7</v>
      </c>
      <c r="J59" s="23">
        <v>457.4</v>
      </c>
      <c r="K59" s="23">
        <v>453.4</v>
      </c>
      <c r="L59" s="23">
        <v>430</v>
      </c>
      <c r="M59" s="23">
        <v>412.1</v>
      </c>
      <c r="N59" s="23">
        <v>388.6</v>
      </c>
      <c r="O59" s="23">
        <v>409.4</v>
      </c>
      <c r="P59" s="23">
        <v>382.8</v>
      </c>
      <c r="Q59" s="23">
        <v>366.8</v>
      </c>
      <c r="R59" s="23">
        <v>397.9</v>
      </c>
      <c r="S59" s="23">
        <v>409.6</v>
      </c>
      <c r="T59" s="23">
        <v>361.6</v>
      </c>
      <c r="U59" s="23">
        <v>407.2</v>
      </c>
      <c r="V59" s="23">
        <v>380.2</v>
      </c>
      <c r="W59" s="23">
        <v>430.4</v>
      </c>
      <c r="X59" s="23">
        <v>490.6</v>
      </c>
      <c r="Y59" s="23">
        <v>421.6</v>
      </c>
      <c r="Z59" s="23">
        <v>444.1</v>
      </c>
      <c r="AA59" s="23">
        <v>481.7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918.19999999999982</v>
      </c>
      <c r="E60" s="23">
        <v>818.30000000000018</v>
      </c>
      <c r="F60" s="23">
        <v>797.10000000000014</v>
      </c>
      <c r="G60" s="23">
        <v>774.89999999999986</v>
      </c>
      <c r="H60" s="23">
        <v>762.8</v>
      </c>
      <c r="I60" s="23">
        <v>717.10000000000014</v>
      </c>
      <c r="J60" s="23">
        <v>719.20000000000027</v>
      </c>
      <c r="K60" s="23">
        <v>685.30000000000018</v>
      </c>
      <c r="L60" s="23">
        <v>759.3</v>
      </c>
      <c r="M60" s="23">
        <v>616.6</v>
      </c>
      <c r="N60" s="23">
        <v>528.59999999999991</v>
      </c>
      <c r="O60" s="23">
        <v>521.70000000000016</v>
      </c>
      <c r="P60" s="23">
        <v>451.19999999999982</v>
      </c>
      <c r="Q60" s="23">
        <v>440</v>
      </c>
      <c r="R60" s="23">
        <v>474.70000000000005</v>
      </c>
      <c r="S60" s="23">
        <v>400.59999999999991</v>
      </c>
      <c r="T60" s="23">
        <v>392.79999999999995</v>
      </c>
      <c r="U60" s="23">
        <v>430.09999999999991</v>
      </c>
      <c r="V60" s="23">
        <v>395.59999999999991</v>
      </c>
      <c r="W60" s="23">
        <v>380.70000000000027</v>
      </c>
      <c r="X60" s="23">
        <v>344.20000000000005</v>
      </c>
      <c r="Y60" s="23">
        <v>262.39999999999986</v>
      </c>
      <c r="Z60" s="23">
        <v>263.29999999999995</v>
      </c>
      <c r="AA60" s="23">
        <v>266.09999999999991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56.7</v>
      </c>
      <c r="E61" s="23">
        <v>98.6</v>
      </c>
      <c r="F61" s="23">
        <v>142.6</v>
      </c>
      <c r="G61" s="23">
        <v>53.5</v>
      </c>
      <c r="H61" s="23">
        <v>150.1</v>
      </c>
      <c r="I61" s="23">
        <v>78.5</v>
      </c>
      <c r="J61" s="23">
        <v>196.1</v>
      </c>
      <c r="K61" s="23">
        <v>168.6</v>
      </c>
      <c r="L61" s="23">
        <v>333.1</v>
      </c>
      <c r="M61" s="23">
        <v>183.9</v>
      </c>
      <c r="N61" s="23">
        <v>-181.7</v>
      </c>
      <c r="O61" s="23">
        <v>-394.1</v>
      </c>
      <c r="P61" s="23">
        <v>-612.6</v>
      </c>
      <c r="Q61" s="23">
        <v>41.5</v>
      </c>
      <c r="R61" s="23">
        <v>-111.8</v>
      </c>
      <c r="S61" s="23">
        <v>592.29999999999995</v>
      </c>
      <c r="T61" s="23">
        <v>347</v>
      </c>
      <c r="U61" s="23">
        <v>338.1</v>
      </c>
      <c r="V61" s="23">
        <v>74.099999999999994</v>
      </c>
      <c r="W61" s="23">
        <v>162</v>
      </c>
      <c r="X61" s="23">
        <v>92.6</v>
      </c>
      <c r="Y61" s="23">
        <v>122</v>
      </c>
      <c r="Z61" s="23">
        <v>757.9</v>
      </c>
      <c r="AA61" s="23">
        <v>904.1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1239.4000000000001</v>
      </c>
      <c r="E62" s="23">
        <v>1261.2</v>
      </c>
      <c r="F62" s="23">
        <v>1173.4000000000001</v>
      </c>
      <c r="G62" s="23">
        <v>1227.2</v>
      </c>
      <c r="H62" s="23">
        <v>1219.5999999999999</v>
      </c>
      <c r="I62" s="23">
        <v>1277.3</v>
      </c>
      <c r="J62" s="23">
        <v>1255.2</v>
      </c>
      <c r="K62" s="23">
        <v>1214.5</v>
      </c>
      <c r="L62" s="23">
        <v>1383.4</v>
      </c>
      <c r="M62" s="23">
        <v>1490.1</v>
      </c>
      <c r="N62" s="23">
        <v>1623.1</v>
      </c>
      <c r="O62" s="23">
        <v>1574.6</v>
      </c>
      <c r="P62" s="23">
        <v>1946.9</v>
      </c>
      <c r="Q62" s="23">
        <v>1887.4</v>
      </c>
      <c r="R62" s="23">
        <v>2109.1</v>
      </c>
      <c r="S62" s="23">
        <v>2416.3000000000002</v>
      </c>
      <c r="T62" s="23">
        <v>2547.5</v>
      </c>
      <c r="U62" s="23">
        <v>2652.7</v>
      </c>
      <c r="V62" s="23">
        <v>2600.1</v>
      </c>
      <c r="W62" s="23">
        <v>2845.3</v>
      </c>
      <c r="X62" s="23">
        <v>2992.3</v>
      </c>
      <c r="Y62" s="23">
        <v>3269.4</v>
      </c>
      <c r="Z62" s="23">
        <v>3326.8</v>
      </c>
      <c r="AA62" s="23">
        <v>3509.5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2309.3000000000002</v>
      </c>
      <c r="E63" s="23">
        <v>2650.9</v>
      </c>
      <c r="F63" s="23">
        <v>2410.8000000000002</v>
      </c>
      <c r="G63" s="23">
        <v>2819.1</v>
      </c>
      <c r="H63" s="23">
        <v>2820.4</v>
      </c>
      <c r="I63" s="23">
        <v>2987.2</v>
      </c>
      <c r="J63" s="23">
        <v>2886.8</v>
      </c>
      <c r="K63" s="23">
        <v>2749.7</v>
      </c>
      <c r="L63" s="23">
        <v>3088.2</v>
      </c>
      <c r="M63" s="23">
        <v>3459.9</v>
      </c>
      <c r="N63" s="23">
        <v>4602.3</v>
      </c>
      <c r="O63" s="23">
        <v>4935.6000000000004</v>
      </c>
      <c r="P63" s="23">
        <v>6000.5</v>
      </c>
      <c r="Q63" s="23">
        <v>6537.8</v>
      </c>
      <c r="R63" s="23">
        <v>6810.2</v>
      </c>
      <c r="S63" s="23">
        <v>8075.6</v>
      </c>
      <c r="T63" s="23">
        <v>8940.5</v>
      </c>
      <c r="U63" s="23">
        <v>9866.1</v>
      </c>
      <c r="V63" s="23">
        <v>11226.9</v>
      </c>
      <c r="W63" s="23">
        <v>11456.3</v>
      </c>
      <c r="X63" s="23">
        <v>12063.7</v>
      </c>
      <c r="Y63" s="23">
        <v>12201.4</v>
      </c>
      <c r="Z63" s="23">
        <v>16436.400000000001</v>
      </c>
      <c r="AA63" s="23">
        <v>24589.200000000001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1286.4000000000001</v>
      </c>
      <c r="E64" s="23">
        <v>1218.0999999999999</v>
      </c>
      <c r="F64" s="23">
        <v>1303.8</v>
      </c>
      <c r="G64" s="23">
        <v>1313</v>
      </c>
      <c r="H64" s="23">
        <v>1318.8</v>
      </c>
      <c r="I64" s="23">
        <v>1321.5</v>
      </c>
      <c r="J64" s="23">
        <v>1466.4</v>
      </c>
      <c r="K64" s="23">
        <v>1575.5</v>
      </c>
      <c r="L64" s="23">
        <v>1314.1</v>
      </c>
      <c r="M64" s="23">
        <v>1092</v>
      </c>
      <c r="N64" s="23">
        <v>1077.5999999999999</v>
      </c>
      <c r="O64" s="23">
        <v>862.8</v>
      </c>
      <c r="P64" s="23">
        <v>985.7</v>
      </c>
      <c r="Q64" s="23">
        <v>961.5</v>
      </c>
      <c r="R64" s="23">
        <v>1252.9000000000001</v>
      </c>
      <c r="S64" s="23">
        <v>1251.5999999999999</v>
      </c>
      <c r="T64" s="23">
        <v>1177.2</v>
      </c>
      <c r="U64" s="23">
        <v>1211.5999999999999</v>
      </c>
      <c r="V64" s="23">
        <v>1119</v>
      </c>
      <c r="W64" s="23">
        <v>1173.3</v>
      </c>
      <c r="X64" s="23">
        <v>1207.5999999999999</v>
      </c>
      <c r="Y64" s="23">
        <v>1140.8</v>
      </c>
      <c r="Z64" s="23">
        <v>1132.4000000000001</v>
      </c>
      <c r="AA64" s="23">
        <v>1277.4000000000001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1187</v>
      </c>
      <c r="E65" s="23">
        <v>1024.4000000000001</v>
      </c>
      <c r="F65" s="23">
        <v>1088.3999999999999</v>
      </c>
      <c r="G65" s="23">
        <v>1047.0999999999999</v>
      </c>
      <c r="H65" s="23">
        <v>1043.8</v>
      </c>
      <c r="I65" s="23">
        <v>1113.6999999999998</v>
      </c>
      <c r="J65" s="23">
        <v>1230.2999999999997</v>
      </c>
      <c r="K65" s="23">
        <v>1342.1999999999998</v>
      </c>
      <c r="L65" s="23">
        <v>1292</v>
      </c>
      <c r="M65" s="23">
        <v>964</v>
      </c>
      <c r="N65" s="23">
        <v>807.60000000000014</v>
      </c>
      <c r="O65" s="23">
        <v>983.60000000000014</v>
      </c>
      <c r="P65" s="23">
        <v>971.09999999999991</v>
      </c>
      <c r="Q65" s="23">
        <v>966.40000000000009</v>
      </c>
      <c r="R65" s="23">
        <v>1063.5999999999999</v>
      </c>
      <c r="S65" s="23">
        <v>1090.2000000000003</v>
      </c>
      <c r="T65" s="23">
        <v>1265.4999999999998</v>
      </c>
      <c r="U65" s="23">
        <v>1368.3000000000002</v>
      </c>
      <c r="V65" s="23">
        <v>1416.8000000000002</v>
      </c>
      <c r="W65" s="23">
        <v>1465.6000000000001</v>
      </c>
      <c r="X65" s="23">
        <v>1464.3000000000002</v>
      </c>
      <c r="Y65" s="23">
        <v>1474.3999999999999</v>
      </c>
      <c r="Z65" s="23">
        <v>1527.1</v>
      </c>
      <c r="AA65" s="23">
        <v>1612.6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515.9</v>
      </c>
      <c r="E66" s="23">
        <v>479.6</v>
      </c>
      <c r="F66" s="23">
        <v>415</v>
      </c>
      <c r="G66" s="23">
        <v>357.5</v>
      </c>
      <c r="H66" s="23">
        <v>376.3</v>
      </c>
      <c r="I66" s="23">
        <v>353.6</v>
      </c>
      <c r="J66" s="23">
        <v>412.4</v>
      </c>
      <c r="K66" s="23">
        <v>483.6</v>
      </c>
      <c r="L66" s="23">
        <v>453</v>
      </c>
      <c r="M66" s="23">
        <v>250.8</v>
      </c>
      <c r="N66" s="23">
        <v>237.9</v>
      </c>
      <c r="O66" s="23">
        <v>294.39999999999998</v>
      </c>
      <c r="P66" s="23">
        <v>295</v>
      </c>
      <c r="Q66" s="23">
        <v>303.39999999999998</v>
      </c>
      <c r="R66" s="23">
        <v>329</v>
      </c>
      <c r="S66" s="23">
        <v>403.4</v>
      </c>
      <c r="T66" s="23">
        <v>400.7</v>
      </c>
      <c r="U66" s="23">
        <v>409.3</v>
      </c>
      <c r="V66" s="23">
        <v>388.6</v>
      </c>
      <c r="W66" s="23">
        <v>455.9</v>
      </c>
      <c r="X66" s="23">
        <v>386.1</v>
      </c>
      <c r="Y66" s="23">
        <v>403.8</v>
      </c>
      <c r="Z66" s="23">
        <v>588.4</v>
      </c>
      <c r="AA66" s="23">
        <v>613.1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2042.6999999999998</v>
      </c>
      <c r="E67" s="23">
        <v>2165</v>
      </c>
      <c r="F67" s="23">
        <v>2267.6999999999998</v>
      </c>
      <c r="G67" s="23">
        <v>2193.1</v>
      </c>
      <c r="H67" s="23">
        <v>2235.6999999999998</v>
      </c>
      <c r="I67" s="23">
        <v>2207.9</v>
      </c>
      <c r="J67" s="23">
        <v>2405</v>
      </c>
      <c r="K67" s="23">
        <v>2408.5</v>
      </c>
      <c r="L67" s="23">
        <v>2618.4</v>
      </c>
      <c r="M67" s="23">
        <v>2260.2999999999997</v>
      </c>
      <c r="N67" s="23">
        <v>2059.9</v>
      </c>
      <c r="O67" s="23">
        <v>1888.7999999999997</v>
      </c>
      <c r="P67" s="23">
        <v>2060.9</v>
      </c>
      <c r="Q67" s="23">
        <v>2340.6999999999998</v>
      </c>
      <c r="R67" s="23">
        <v>2446.3000000000002</v>
      </c>
      <c r="S67" s="23">
        <v>2372.6</v>
      </c>
      <c r="T67" s="23">
        <v>2525.5</v>
      </c>
      <c r="U67" s="23">
        <v>2600.3999999999996</v>
      </c>
      <c r="V67" s="23">
        <v>2485.4</v>
      </c>
      <c r="W67" s="23">
        <v>2647.2999999999997</v>
      </c>
      <c r="X67" s="23">
        <v>2630.7000000000003</v>
      </c>
      <c r="Y67" s="23">
        <v>2607.1</v>
      </c>
      <c r="Z67" s="23">
        <v>3011.9</v>
      </c>
      <c r="AA67" s="23">
        <v>3372.1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1816.1</v>
      </c>
      <c r="E68" s="23">
        <v>1913.9</v>
      </c>
      <c r="F68" s="23">
        <v>1933.2</v>
      </c>
      <c r="G68" s="23">
        <v>2020.9</v>
      </c>
      <c r="H68" s="23">
        <v>1913</v>
      </c>
      <c r="I68" s="23">
        <v>1873.2</v>
      </c>
      <c r="J68" s="23">
        <v>2109.6999999999998</v>
      </c>
      <c r="K68" s="23">
        <v>2273.5</v>
      </c>
      <c r="L68" s="23">
        <v>1930.1</v>
      </c>
      <c r="M68" s="23">
        <v>1801.5</v>
      </c>
      <c r="N68" s="23">
        <v>1987.7</v>
      </c>
      <c r="O68" s="23">
        <v>2049.9</v>
      </c>
      <c r="P68" s="23">
        <v>2089.6</v>
      </c>
      <c r="Q68" s="23">
        <v>2125.1999999999998</v>
      </c>
      <c r="R68" s="23">
        <v>2058.8000000000002</v>
      </c>
      <c r="S68" s="23">
        <v>2124.9</v>
      </c>
      <c r="T68" s="23">
        <v>2226.6</v>
      </c>
      <c r="U68" s="23">
        <v>2569.9</v>
      </c>
      <c r="V68" s="23">
        <v>2509.9</v>
      </c>
      <c r="W68" s="23">
        <v>2598.9</v>
      </c>
      <c r="X68" s="23">
        <v>2299.4</v>
      </c>
      <c r="Y68" s="23">
        <v>2759.3</v>
      </c>
      <c r="Z68" s="23">
        <v>3073.6</v>
      </c>
      <c r="AA68" s="23">
        <v>3610.2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910.8</v>
      </c>
      <c r="E69" s="23">
        <v>913</v>
      </c>
      <c r="F69" s="23">
        <v>850.4</v>
      </c>
      <c r="G69" s="23">
        <v>769.5</v>
      </c>
      <c r="H69" s="23">
        <v>834.3</v>
      </c>
      <c r="I69" s="23">
        <v>747</v>
      </c>
      <c r="J69" s="23">
        <v>819.8</v>
      </c>
      <c r="K69" s="23">
        <v>903.4</v>
      </c>
      <c r="L69" s="23">
        <v>1092.0999999999999</v>
      </c>
      <c r="M69" s="23">
        <v>820</v>
      </c>
      <c r="N69" s="23">
        <v>900.9</v>
      </c>
      <c r="O69" s="23">
        <v>939</v>
      </c>
      <c r="P69" s="23">
        <v>899.8</v>
      </c>
      <c r="Q69" s="23">
        <v>817.6</v>
      </c>
      <c r="R69" s="23">
        <v>884.2</v>
      </c>
      <c r="S69" s="23">
        <v>1018.2</v>
      </c>
      <c r="T69" s="23">
        <v>1036.7</v>
      </c>
      <c r="U69" s="23">
        <v>982.4</v>
      </c>
      <c r="V69" s="23">
        <v>1064.8</v>
      </c>
      <c r="W69" s="23">
        <v>1078.4000000000001</v>
      </c>
      <c r="X69" s="23">
        <v>965</v>
      </c>
      <c r="Y69" s="23">
        <v>1096.8</v>
      </c>
      <c r="Z69" s="23">
        <v>1201</v>
      </c>
      <c r="AA69" s="23">
        <v>1220.5999999999999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3897</v>
      </c>
      <c r="E70" s="23">
        <v>4024.5</v>
      </c>
      <c r="F70" s="23">
        <v>4529</v>
      </c>
      <c r="G70" s="23">
        <v>3756.4</v>
      </c>
      <c r="H70" s="23">
        <v>3961.1</v>
      </c>
      <c r="I70" s="23">
        <v>3752.6</v>
      </c>
      <c r="J70" s="23">
        <v>4633.8999999999996</v>
      </c>
      <c r="K70" s="23">
        <v>5275.6</v>
      </c>
      <c r="L70" s="23">
        <v>5396.4</v>
      </c>
      <c r="M70" s="23">
        <v>4593.5</v>
      </c>
      <c r="N70" s="23">
        <v>4489</v>
      </c>
      <c r="O70" s="23">
        <v>5069.5</v>
      </c>
      <c r="P70" s="23">
        <v>5007.3</v>
      </c>
      <c r="Q70" s="23">
        <v>5654.8</v>
      </c>
      <c r="R70" s="23">
        <v>5479.1</v>
      </c>
      <c r="S70" s="23">
        <v>4925.3</v>
      </c>
      <c r="T70" s="23">
        <v>5818.8</v>
      </c>
      <c r="U70" s="23">
        <v>6493.5</v>
      </c>
      <c r="V70" s="23">
        <v>6425.6</v>
      </c>
      <c r="W70" s="23">
        <v>7257</v>
      </c>
      <c r="X70" s="23">
        <v>5779.3</v>
      </c>
      <c r="Y70" s="23">
        <v>7112.5</v>
      </c>
      <c r="Z70" s="23">
        <v>6121.2</v>
      </c>
      <c r="AA70" s="23">
        <v>6289.8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390.4</v>
      </c>
      <c r="E71" s="23">
        <v>364.9</v>
      </c>
      <c r="F71" s="23">
        <v>366.2</v>
      </c>
      <c r="G71" s="23">
        <v>338.3</v>
      </c>
      <c r="H71" s="23">
        <v>336.8</v>
      </c>
      <c r="I71" s="23">
        <v>422.8</v>
      </c>
      <c r="J71" s="23">
        <v>448.9</v>
      </c>
      <c r="K71" s="23">
        <v>391.5</v>
      </c>
      <c r="L71" s="23">
        <v>414.7</v>
      </c>
      <c r="M71" s="23">
        <v>265.60000000000002</v>
      </c>
      <c r="N71" s="23">
        <v>323.39999999999998</v>
      </c>
      <c r="O71" s="23">
        <v>374</v>
      </c>
      <c r="P71" s="23">
        <v>328.5</v>
      </c>
      <c r="Q71" s="23">
        <v>288</v>
      </c>
      <c r="R71" s="23">
        <v>299.7</v>
      </c>
      <c r="S71" s="23">
        <v>349.4</v>
      </c>
      <c r="T71" s="23">
        <v>384.7</v>
      </c>
      <c r="U71" s="23">
        <v>394.5</v>
      </c>
      <c r="V71" s="23">
        <v>348.7</v>
      </c>
      <c r="W71" s="23">
        <v>351.2</v>
      </c>
      <c r="X71" s="23">
        <v>270.2</v>
      </c>
      <c r="Y71" s="23">
        <v>324</v>
      </c>
      <c r="Z71" s="23">
        <v>302.7</v>
      </c>
      <c r="AA71" s="23">
        <v>386.8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294.30000000000007</v>
      </c>
      <c r="E72" s="23">
        <v>325.89999999999998</v>
      </c>
      <c r="F72" s="23">
        <v>306.59999999999997</v>
      </c>
      <c r="G72" s="23">
        <v>346.8</v>
      </c>
      <c r="H72" s="23">
        <v>242.7</v>
      </c>
      <c r="I72" s="23">
        <v>222.99999999999994</v>
      </c>
      <c r="J72" s="23">
        <v>222.89999999999998</v>
      </c>
      <c r="K72" s="23">
        <v>207.89999999999998</v>
      </c>
      <c r="L72" s="23">
        <v>279.00000000000006</v>
      </c>
      <c r="M72" s="23">
        <v>194.79999999999995</v>
      </c>
      <c r="N72" s="23">
        <v>238.80000000000007</v>
      </c>
      <c r="O72" s="23">
        <v>260.60000000000002</v>
      </c>
      <c r="P72" s="23">
        <v>188.5</v>
      </c>
      <c r="Q72" s="23">
        <v>166.39999999999998</v>
      </c>
      <c r="R72" s="23">
        <v>156.40000000000003</v>
      </c>
      <c r="S72" s="23">
        <v>198.30000000000007</v>
      </c>
      <c r="T72" s="23">
        <v>226.09999999999997</v>
      </c>
      <c r="U72" s="23">
        <v>227.5</v>
      </c>
      <c r="V72" s="23">
        <v>218.3</v>
      </c>
      <c r="W72" s="23">
        <v>238.50000000000006</v>
      </c>
      <c r="X72" s="23">
        <v>255.2</v>
      </c>
      <c r="Y72" s="23">
        <v>300.70000000000005</v>
      </c>
      <c r="Z72" s="23">
        <v>291.09999999999997</v>
      </c>
      <c r="AA72" s="23">
        <v>375.2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1760.6</v>
      </c>
      <c r="E73" s="23">
        <v>1847.6</v>
      </c>
      <c r="F73" s="23">
        <v>1761.6</v>
      </c>
      <c r="G73" s="23">
        <v>1685.2</v>
      </c>
      <c r="H73" s="23">
        <v>1783.4</v>
      </c>
      <c r="I73" s="23">
        <v>1869</v>
      </c>
      <c r="J73" s="23">
        <v>1948.2</v>
      </c>
      <c r="K73" s="23">
        <v>1812.7</v>
      </c>
      <c r="L73" s="23">
        <v>1855.7</v>
      </c>
      <c r="M73" s="23">
        <v>1838.1</v>
      </c>
      <c r="N73" s="23">
        <v>1982.1</v>
      </c>
      <c r="O73" s="23">
        <v>2164.6999999999998</v>
      </c>
      <c r="P73" s="23">
        <v>2232.3000000000002</v>
      </c>
      <c r="Q73" s="23">
        <v>2326.3000000000002</v>
      </c>
      <c r="R73" s="23">
        <v>2473.4</v>
      </c>
      <c r="S73" s="23">
        <v>2488</v>
      </c>
      <c r="T73" s="23">
        <v>2788.4</v>
      </c>
      <c r="U73" s="23">
        <v>2558.8000000000002</v>
      </c>
      <c r="V73" s="23">
        <v>2557.4</v>
      </c>
      <c r="W73" s="23">
        <v>2601.8000000000002</v>
      </c>
      <c r="X73" s="23">
        <v>2730.4</v>
      </c>
      <c r="Y73" s="23">
        <v>3337.1</v>
      </c>
      <c r="Z73" s="23">
        <v>3537.3</v>
      </c>
      <c r="AA73" s="23">
        <v>4633.7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502.30000000000155</v>
      </c>
      <c r="E74" s="23">
        <v>533.60000000000082</v>
      </c>
      <c r="F74" s="23">
        <v>555.29999999999791</v>
      </c>
      <c r="G74" s="23">
        <v>544.59999999999923</v>
      </c>
      <c r="H74" s="23">
        <v>495.89999999999918</v>
      </c>
      <c r="I74" s="23">
        <v>504.70000000000437</v>
      </c>
      <c r="J74" s="23">
        <v>580.40000000000214</v>
      </c>
      <c r="K74" s="23">
        <v>585.8999999999985</v>
      </c>
      <c r="L74" s="23">
        <v>733.20000000000141</v>
      </c>
      <c r="M74" s="23">
        <v>625.99999999999864</v>
      </c>
      <c r="N74" s="23">
        <v>577.09999999999718</v>
      </c>
      <c r="O74" s="23">
        <v>661.80000000000018</v>
      </c>
      <c r="P74" s="23">
        <v>839.10000000000491</v>
      </c>
      <c r="Q74" s="23">
        <v>771.49999999999909</v>
      </c>
      <c r="R74" s="23">
        <v>577.80000000000427</v>
      </c>
      <c r="S74" s="23">
        <v>855.79999999999563</v>
      </c>
      <c r="T74" s="23">
        <v>872.59999999999991</v>
      </c>
      <c r="U74" s="23">
        <v>863.29999999999109</v>
      </c>
      <c r="V74" s="23">
        <v>862.50000000000136</v>
      </c>
      <c r="W74" s="23">
        <v>856.599999999994</v>
      </c>
      <c r="X74" s="23">
        <v>841.49999999999409</v>
      </c>
      <c r="Y74" s="23">
        <v>972.80000000000882</v>
      </c>
      <c r="Z74" s="23">
        <v>1137.5000000000027</v>
      </c>
      <c r="AA74" s="23">
        <v>1333.0000000000045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25185.1</v>
      </c>
      <c r="E75" s="30">
        <f t="shared" ref="E75:Y75" si="6">SUM(E56:E74)</f>
        <v>25849.500000000004</v>
      </c>
      <c r="F75" s="30">
        <f t="shared" si="6"/>
        <v>26455.699999999997</v>
      </c>
      <c r="G75" s="30">
        <f t="shared" si="6"/>
        <v>25634.9</v>
      </c>
      <c r="H75" s="30">
        <f t="shared" si="6"/>
        <v>25880.099999999995</v>
      </c>
      <c r="I75" s="30">
        <f t="shared" si="6"/>
        <v>25697.4</v>
      </c>
      <c r="J75" s="30">
        <f t="shared" si="6"/>
        <v>27300.000000000004</v>
      </c>
      <c r="K75" s="30">
        <f t="shared" si="6"/>
        <v>27980</v>
      </c>
      <c r="L75" s="30">
        <f t="shared" si="6"/>
        <v>28662.3</v>
      </c>
      <c r="M75" s="30">
        <f t="shared" si="6"/>
        <v>25923.299999999992</v>
      </c>
      <c r="N75" s="30">
        <f t="shared" si="6"/>
        <v>26477.3</v>
      </c>
      <c r="O75" s="30">
        <f t="shared" si="6"/>
        <v>27219.199999999997</v>
      </c>
      <c r="P75" s="30">
        <f t="shared" si="6"/>
        <v>28503.500000000004</v>
      </c>
      <c r="Q75" s="30">
        <f t="shared" si="6"/>
        <v>30624.3</v>
      </c>
      <c r="R75" s="30">
        <f t="shared" si="6"/>
        <v>31423.100000000002</v>
      </c>
      <c r="S75" s="30">
        <f t="shared" si="6"/>
        <v>33982</v>
      </c>
      <c r="T75" s="30">
        <f t="shared" si="6"/>
        <v>36525.600000000006</v>
      </c>
      <c r="U75" s="30">
        <f t="shared" si="6"/>
        <v>38308.999999999993</v>
      </c>
      <c r="V75" s="30">
        <f t="shared" si="6"/>
        <v>39145.300000000003</v>
      </c>
      <c r="W75" s="30">
        <f t="shared" si="6"/>
        <v>41352.699999999997</v>
      </c>
      <c r="X75" s="30">
        <f t="shared" si="6"/>
        <v>40066.999999999993</v>
      </c>
      <c r="Y75" s="30">
        <f t="shared" si="6"/>
        <v>43101.5</v>
      </c>
      <c r="Z75" s="30">
        <f t="shared" ref="Z75:AA75" si="7">SUM(Z56:Z74)</f>
        <v>48804.4</v>
      </c>
      <c r="AA75" s="30">
        <f t="shared" si="7"/>
        <v>61193.4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280411.01254535269</v>
      </c>
      <c r="E2" s="19">
        <v>283074.06263967842</v>
      </c>
      <c r="F2" s="19">
        <v>284364.73394013103</v>
      </c>
      <c r="G2" s="19">
        <v>285621.26579834241</v>
      </c>
      <c r="H2" s="19">
        <v>293551.75147089432</v>
      </c>
      <c r="I2" s="19">
        <v>300478.33227436303</v>
      </c>
      <c r="J2" s="19">
        <v>311945.37215698644</v>
      </c>
      <c r="K2" s="19">
        <v>315026.12305211823</v>
      </c>
      <c r="L2" s="19">
        <v>313709.68978562835</v>
      </c>
      <c r="M2" s="19">
        <v>298103.46210656647</v>
      </c>
      <c r="N2" s="19">
        <v>302822.8594742826</v>
      </c>
      <c r="O2" s="19">
        <v>306791.28513278783</v>
      </c>
      <c r="P2" s="19">
        <v>306777.13710811891</v>
      </c>
      <c r="Q2" s="19">
        <v>311048.0429203136</v>
      </c>
      <c r="R2" s="19">
        <v>315022.69360931311</v>
      </c>
      <c r="S2" s="19">
        <v>321653.19003</v>
      </c>
      <c r="T2" s="19">
        <v>331536.43443528912</v>
      </c>
      <c r="U2" s="19">
        <v>341671.65692591795</v>
      </c>
      <c r="V2" s="19">
        <v>348027.23202751228</v>
      </c>
      <c r="W2" s="19">
        <v>353982.0490684738</v>
      </c>
      <c r="X2" s="19">
        <v>347680.43841955432</v>
      </c>
      <c r="Y2" s="19">
        <v>370281.86007155507</v>
      </c>
      <c r="Z2" s="19">
        <v>371924.79324991524</v>
      </c>
      <c r="AA2" s="19">
        <v>374173.6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124860.63040743498</v>
      </c>
      <c r="E3" s="23">
        <v>125489.7302077062</v>
      </c>
      <c r="F3" s="23">
        <v>127330.71302341564</v>
      </c>
      <c r="G3" s="23">
        <v>129002.84671532846</v>
      </c>
      <c r="H3" s="23">
        <v>135236.9064446071</v>
      </c>
      <c r="I3" s="23">
        <v>140483.75680752282</v>
      </c>
      <c r="J3" s="23">
        <v>144390.24257357026</v>
      </c>
      <c r="K3" s="23">
        <v>147143.07267709292</v>
      </c>
      <c r="L3" s="23">
        <v>147427.7263608104</v>
      </c>
      <c r="M3" s="23">
        <v>142126.55532132226</v>
      </c>
      <c r="N3" s="23">
        <v>143980.11610137112</v>
      </c>
      <c r="O3" s="23">
        <v>144325.70236439497</v>
      </c>
      <c r="P3" s="23">
        <v>144843.04168060073</v>
      </c>
      <c r="Q3" s="23">
        <v>147030.16146101049</v>
      </c>
      <c r="R3" s="23">
        <v>146686.4338135907</v>
      </c>
      <c r="S3" s="23">
        <v>149576.5062</v>
      </c>
      <c r="T3" s="23">
        <v>154484.66066191872</v>
      </c>
      <c r="U3" s="23">
        <v>158678.21323514896</v>
      </c>
      <c r="V3" s="23">
        <v>164636.22936619649</v>
      </c>
      <c r="W3" s="23">
        <v>167551.49445520158</v>
      </c>
      <c r="X3" s="23">
        <v>165416.02105263158</v>
      </c>
      <c r="Y3" s="23">
        <v>174706.66205303447</v>
      </c>
      <c r="Z3" s="23">
        <v>170888.59645236743</v>
      </c>
      <c r="AA3" s="23">
        <v>166545.70000000001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248048.39272354633</v>
      </c>
      <c r="E4" s="27">
        <v>250496.81204010276</v>
      </c>
      <c r="F4" s="27">
        <v>251266.96504336828</v>
      </c>
      <c r="G4" s="27">
        <v>252398.98295610427</v>
      </c>
      <c r="H4" s="27">
        <v>257668.39414984733</v>
      </c>
      <c r="I4" s="27">
        <v>261921.05188019079</v>
      </c>
      <c r="J4" s="27">
        <v>271731.35407448729</v>
      </c>
      <c r="K4" s="27">
        <v>273375.16795928258</v>
      </c>
      <c r="L4" s="27">
        <v>273864.56265572505</v>
      </c>
      <c r="M4" s="27">
        <v>261393.87265212403</v>
      </c>
      <c r="N4" s="27">
        <v>265354.46306812769</v>
      </c>
      <c r="O4" s="27">
        <v>269214.10052094318</v>
      </c>
      <c r="P4" s="27">
        <v>269209.64900216943</v>
      </c>
      <c r="Q4" s="27">
        <v>273087.62308115716</v>
      </c>
      <c r="R4" s="27">
        <v>276177.38061906438</v>
      </c>
      <c r="S4" s="27">
        <v>281573.59973399999</v>
      </c>
      <c r="T4" s="27">
        <v>289965.3716686031</v>
      </c>
      <c r="U4" s="27">
        <v>299278.95672432054</v>
      </c>
      <c r="V4" s="27">
        <v>303952.57741472562</v>
      </c>
      <c r="W4" s="27">
        <v>309065.47696717037</v>
      </c>
      <c r="X4" s="27">
        <v>301744.86589626118</v>
      </c>
      <c r="Y4" s="27">
        <v>322243.23543537571</v>
      </c>
      <c r="Z4" s="27">
        <v>326660.85212855472</v>
      </c>
      <c r="AA4" s="27">
        <v>331373.40000000002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6189.7292211846461</v>
      </c>
      <c r="E6" s="19">
        <v>6718.0916827801757</v>
      </c>
      <c r="F6" s="19">
        <v>5131.2648626671489</v>
      </c>
      <c r="G6" s="19">
        <v>4654.9666323731144</v>
      </c>
      <c r="H6" s="19">
        <v>4796.5915915692258</v>
      </c>
      <c r="I6" s="19">
        <v>3483.1401680428103</v>
      </c>
      <c r="J6" s="19">
        <v>3667.3954258450435</v>
      </c>
      <c r="K6" s="19">
        <v>3768.840959767329</v>
      </c>
      <c r="L6" s="19">
        <v>2683.6394900038554</v>
      </c>
      <c r="M6" s="19">
        <v>2444.1216303099886</v>
      </c>
      <c r="N6" s="19">
        <v>3652.7053835159604</v>
      </c>
      <c r="O6" s="19">
        <v>3957.5254270890455</v>
      </c>
      <c r="P6" s="19">
        <v>5043.8705801914439</v>
      </c>
      <c r="Q6" s="19">
        <v>3964.6025992294053</v>
      </c>
      <c r="R6" s="19">
        <v>4308.928765388674</v>
      </c>
      <c r="S6" s="19">
        <v>2948.5595160000003</v>
      </c>
      <c r="T6" s="19">
        <v>3104.8482169988383</v>
      </c>
      <c r="U6" s="19">
        <v>4336.5101923755738</v>
      </c>
      <c r="V6" s="19">
        <v>3494.2698391159192</v>
      </c>
      <c r="W6" s="19">
        <v>4407.5629494528403</v>
      </c>
      <c r="X6" s="19">
        <v>4645.3735679695446</v>
      </c>
      <c r="Y6" s="19">
        <v>3998.8603129573748</v>
      </c>
      <c r="Z6" s="19">
        <v>3716.3032310243698</v>
      </c>
      <c r="AA6" s="19">
        <v>3883.4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54606.364531190622</v>
      </c>
      <c r="E7" s="23">
        <v>53750.419532222608</v>
      </c>
      <c r="F7" s="23">
        <v>53272.026770870987</v>
      </c>
      <c r="G7" s="23">
        <v>51441.842215363511</v>
      </c>
      <c r="H7" s="23">
        <v>52552.891628807629</v>
      </c>
      <c r="I7" s="23">
        <v>53867.678098743316</v>
      </c>
      <c r="J7" s="23">
        <v>56675.201376756559</v>
      </c>
      <c r="K7" s="23">
        <v>55236.189263208915</v>
      </c>
      <c r="L7" s="23">
        <v>55479.179081346032</v>
      </c>
      <c r="M7" s="23">
        <v>46599.096440872563</v>
      </c>
      <c r="N7" s="23">
        <v>47663.32302048595</v>
      </c>
      <c r="O7" s="23">
        <v>49308.090574513852</v>
      </c>
      <c r="P7" s="23">
        <v>49467.452638776078</v>
      </c>
      <c r="Q7" s="23">
        <v>49800.655235153819</v>
      </c>
      <c r="R7" s="23">
        <v>49011.188251846645</v>
      </c>
      <c r="S7" s="23">
        <v>49410.554067000005</v>
      </c>
      <c r="T7" s="23">
        <v>51705.309625525078</v>
      </c>
      <c r="U7" s="23">
        <v>53472.67285563008</v>
      </c>
      <c r="V7" s="23">
        <v>54860.606957650787</v>
      </c>
      <c r="W7" s="23">
        <v>56354.728374153201</v>
      </c>
      <c r="X7" s="23">
        <v>51604.75236300187</v>
      </c>
      <c r="Y7" s="23">
        <v>54495.434851742764</v>
      </c>
      <c r="Z7" s="23">
        <v>60173.344500722997</v>
      </c>
      <c r="AA7" s="23">
        <v>70371.899999999994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13580.854145176176</v>
      </c>
      <c r="E8" s="23">
        <v>12847.833068895186</v>
      </c>
      <c r="F8" s="23">
        <v>12972.009974701845</v>
      </c>
      <c r="G8" s="23">
        <v>13585.30449245542</v>
      </c>
      <c r="H8" s="23">
        <v>13943.452830118418</v>
      </c>
      <c r="I8" s="23">
        <v>14256.993434465725</v>
      </c>
      <c r="J8" s="23">
        <v>15871.004025826052</v>
      </c>
      <c r="K8" s="23">
        <v>15796.181168201649</v>
      </c>
      <c r="L8" s="23">
        <v>16609.034163132677</v>
      </c>
      <c r="M8" s="23">
        <v>13511.19513203215</v>
      </c>
      <c r="N8" s="23">
        <v>11865.042620295379</v>
      </c>
      <c r="O8" s="23">
        <v>12616.341546800522</v>
      </c>
      <c r="P8" s="23">
        <v>12430.225749272575</v>
      </c>
      <c r="Q8" s="23">
        <v>12459.189740688644</v>
      </c>
      <c r="R8" s="23">
        <v>12766.783517411186</v>
      </c>
      <c r="S8" s="23">
        <v>14098.560461999999</v>
      </c>
      <c r="T8" s="23">
        <v>15926.780623826973</v>
      </c>
      <c r="U8" s="23">
        <v>16825.799867631486</v>
      </c>
      <c r="V8" s="23">
        <v>17248.511342913487</v>
      </c>
      <c r="W8" s="23">
        <v>16937.434184471076</v>
      </c>
      <c r="X8" s="23">
        <v>16313.110709786979</v>
      </c>
      <c r="Y8" s="23">
        <v>17241.623780785285</v>
      </c>
      <c r="Z8" s="23">
        <v>16462.646538188175</v>
      </c>
      <c r="AA8" s="23">
        <v>17991.400000000001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49592.779365057817</v>
      </c>
      <c r="E9" s="23">
        <v>49485.709099939078</v>
      </c>
      <c r="F9" s="23">
        <v>50259.45786049874</v>
      </c>
      <c r="G9" s="23">
        <v>50595.402023319621</v>
      </c>
      <c r="H9" s="23">
        <v>51882.002390705296</v>
      </c>
      <c r="I9" s="23">
        <v>52874.887856848844</v>
      </c>
      <c r="J9" s="23">
        <v>54505.903719616406</v>
      </c>
      <c r="K9" s="23">
        <v>56459.803174987879</v>
      </c>
      <c r="L9" s="23">
        <v>54033.121834003417</v>
      </c>
      <c r="M9" s="23">
        <v>48780.458369690023</v>
      </c>
      <c r="N9" s="23">
        <v>51881.421238685092</v>
      </c>
      <c r="O9" s="23">
        <v>52479.719967731049</v>
      </c>
      <c r="P9" s="23">
        <v>52046.588989420219</v>
      </c>
      <c r="Q9" s="23">
        <v>55041.287560393859</v>
      </c>
      <c r="R9" s="23">
        <v>57244.919261343661</v>
      </c>
      <c r="S9" s="23">
        <v>58134.588435000005</v>
      </c>
      <c r="T9" s="23">
        <v>57132.783742961845</v>
      </c>
      <c r="U9" s="23">
        <v>59967.089454641718</v>
      </c>
      <c r="V9" s="23">
        <v>60044.439449792073</v>
      </c>
      <c r="W9" s="23">
        <v>60648.586373110993</v>
      </c>
      <c r="X9" s="23">
        <v>61125.286698142248</v>
      </c>
      <c r="Y9" s="23">
        <v>72763.656171512208</v>
      </c>
      <c r="Z9" s="23">
        <v>85480.820008659633</v>
      </c>
      <c r="AA9" s="23">
        <v>64066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10678.695218252891</v>
      </c>
      <c r="E10" s="23">
        <v>10837.017598601435</v>
      </c>
      <c r="F10" s="23">
        <v>11067.430999277196</v>
      </c>
      <c r="G10" s="23">
        <v>11669.907887517147</v>
      </c>
      <c r="H10" s="23">
        <v>11625.68742831608</v>
      </c>
      <c r="I10" s="23">
        <v>11349.515671081626</v>
      </c>
      <c r="J10" s="23">
        <v>11777.562276870489</v>
      </c>
      <c r="K10" s="23">
        <v>11872.771206980125</v>
      </c>
      <c r="L10" s="23">
        <v>12376.216519248774</v>
      </c>
      <c r="M10" s="23">
        <v>12756.820505166477</v>
      </c>
      <c r="N10" s="23">
        <v>12615.532796569796</v>
      </c>
      <c r="O10" s="23">
        <v>12458.508369890747</v>
      </c>
      <c r="P10" s="23">
        <v>12104.185835021231</v>
      </c>
      <c r="Q10" s="23">
        <v>12792.024778301022</v>
      </c>
      <c r="R10" s="23">
        <v>12486.928469926135</v>
      </c>
      <c r="S10" s="23">
        <v>13074.960465</v>
      </c>
      <c r="T10" s="23">
        <v>13743.308579855217</v>
      </c>
      <c r="U10" s="23">
        <v>13799.889816448995</v>
      </c>
      <c r="V10" s="23">
        <v>13898.841615088742</v>
      </c>
      <c r="W10" s="23">
        <v>14857.255054715997</v>
      </c>
      <c r="X10" s="23">
        <v>14839.913261735697</v>
      </c>
      <c r="Y10" s="23">
        <v>14897.408556637696</v>
      </c>
      <c r="Z10" s="23">
        <v>13850.984824397297</v>
      </c>
      <c r="AA10" s="23">
        <v>15263.1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11280.040547803897</v>
      </c>
      <c r="E11" s="23">
        <v>11638.595519561359</v>
      </c>
      <c r="F11" s="23">
        <v>11912.508068305024</v>
      </c>
      <c r="G11" s="23">
        <v>12305.343930041152</v>
      </c>
      <c r="H11" s="23">
        <v>12492.277366500335</v>
      </c>
      <c r="I11" s="23">
        <v>13400.213723092569</v>
      </c>
      <c r="J11" s="23">
        <v>13881.891408327003</v>
      </c>
      <c r="K11" s="23">
        <v>14825.823679108094</v>
      </c>
      <c r="L11" s="23">
        <v>15935.792575866057</v>
      </c>
      <c r="M11" s="23">
        <v>16167.089345579794</v>
      </c>
      <c r="N11" s="23">
        <v>16054.606050500239</v>
      </c>
      <c r="O11" s="23">
        <v>15540.091106002446</v>
      </c>
      <c r="P11" s="23">
        <v>16421.057298403266</v>
      </c>
      <c r="Q11" s="23">
        <v>15982.889242248182</v>
      </c>
      <c r="R11" s="23">
        <v>16047.739373900811</v>
      </c>
      <c r="S11" s="23">
        <v>16431.266501999999</v>
      </c>
      <c r="T11" s="23">
        <v>16447.275261417464</v>
      </c>
      <c r="U11" s="23">
        <v>16880.174338157431</v>
      </c>
      <c r="V11" s="23">
        <v>17089.125229904137</v>
      </c>
      <c r="W11" s="23">
        <v>16618.070583637309</v>
      </c>
      <c r="X11" s="23">
        <v>16036.475853993075</v>
      </c>
      <c r="Y11" s="23">
        <v>16751.598003360858</v>
      </c>
      <c r="Z11" s="23">
        <v>15078.873079970916</v>
      </c>
      <c r="AA11" s="23">
        <v>18445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22601.195957978172</v>
      </c>
      <c r="E12" s="23">
        <v>23421.711984478054</v>
      </c>
      <c r="F12" s="23">
        <v>23962.629779544637</v>
      </c>
      <c r="G12" s="23">
        <v>24762.162482853226</v>
      </c>
      <c r="H12" s="23">
        <v>25021.563186117524</v>
      </c>
      <c r="I12" s="23">
        <v>25553.375480035837</v>
      </c>
      <c r="J12" s="23">
        <v>25790.239998338398</v>
      </c>
      <c r="K12" s="23">
        <v>25908.820237518179</v>
      </c>
      <c r="L12" s="23">
        <v>25050.629800077102</v>
      </c>
      <c r="M12" s="23">
        <v>26302.963329506318</v>
      </c>
      <c r="N12" s="23">
        <v>27201.481086231539</v>
      </c>
      <c r="O12" s="23">
        <v>28751.545476019739</v>
      </c>
      <c r="P12" s="23">
        <v>28313.360105283718</v>
      </c>
      <c r="Q12" s="23">
        <v>28663.44224206471</v>
      </c>
      <c r="R12" s="23">
        <v>29501.635947942315</v>
      </c>
      <c r="S12" s="23">
        <v>30157.142588999999</v>
      </c>
      <c r="T12" s="23">
        <v>31177.688006077398</v>
      </c>
      <c r="U12" s="23">
        <v>32310.713598658665</v>
      </c>
      <c r="V12" s="23">
        <v>33257.094195286729</v>
      </c>
      <c r="W12" s="23">
        <v>34327.731709223553</v>
      </c>
      <c r="X12" s="23">
        <v>34507.13814020322</v>
      </c>
      <c r="Y12" s="23">
        <v>34327.447809117686</v>
      </c>
      <c r="Z12" s="23">
        <v>32524.862962085503</v>
      </c>
      <c r="AA12" s="23">
        <v>34501.800000000003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17014.107022639666</v>
      </c>
      <c r="E13" s="23">
        <v>17713.687455301566</v>
      </c>
      <c r="F13" s="23">
        <v>17447.993765811349</v>
      </c>
      <c r="G13" s="23">
        <v>17472.749211248287</v>
      </c>
      <c r="H13" s="23">
        <v>18599.4122998436</v>
      </c>
      <c r="I13" s="23">
        <v>20445.039418629993</v>
      </c>
      <c r="J13" s="23">
        <v>21272.875080706421</v>
      </c>
      <c r="K13" s="23">
        <v>21508.90281143965</v>
      </c>
      <c r="L13" s="23">
        <v>22701.049501569643</v>
      </c>
      <c r="M13" s="23">
        <v>22147.708794489095</v>
      </c>
      <c r="N13" s="23">
        <v>21641.364011434016</v>
      </c>
      <c r="O13" s="23">
        <v>21867.503693002065</v>
      </c>
      <c r="P13" s="23">
        <v>21614.398602728739</v>
      </c>
      <c r="Q13" s="23">
        <v>22842.354363647482</v>
      </c>
      <c r="R13" s="23">
        <v>23057.898571931059</v>
      </c>
      <c r="S13" s="23">
        <v>24873.611111999999</v>
      </c>
      <c r="T13" s="23">
        <v>27776.294038788099</v>
      </c>
      <c r="U13" s="23">
        <v>28343.24819978821</v>
      </c>
      <c r="V13" s="23">
        <v>29700.653293828225</v>
      </c>
      <c r="W13" s="23">
        <v>29665.598566961959</v>
      </c>
      <c r="X13" s="23">
        <v>28616.573889878979</v>
      </c>
      <c r="Y13" s="23">
        <v>32539.521742587138</v>
      </c>
      <c r="Z13" s="23">
        <v>29117.212432295539</v>
      </c>
      <c r="AA13" s="23">
        <v>32409.7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54281.654240186734</v>
      </c>
      <c r="E14" s="23">
        <v>55573.594693136976</v>
      </c>
      <c r="F14" s="23">
        <v>56654.951861221532</v>
      </c>
      <c r="G14" s="23">
        <v>57252.560219478743</v>
      </c>
      <c r="H14" s="23">
        <v>57985.880580174293</v>
      </c>
      <c r="I14" s="23">
        <v>57811.405944453851</v>
      </c>
      <c r="J14" s="23">
        <v>59190.43166302699</v>
      </c>
      <c r="K14" s="23">
        <v>58980.943334949086</v>
      </c>
      <c r="L14" s="23">
        <v>59922.836285730009</v>
      </c>
      <c r="M14" s="23">
        <v>63398.113088404178</v>
      </c>
      <c r="N14" s="23">
        <v>63606.188861362563</v>
      </c>
      <c r="O14" s="23">
        <v>62797.985306027746</v>
      </c>
      <c r="P14" s="23">
        <v>62501.692159241618</v>
      </c>
      <c r="Q14" s="23">
        <v>62278.808549935813</v>
      </c>
      <c r="R14" s="23">
        <v>62523.333028491004</v>
      </c>
      <c r="S14" s="23">
        <v>63235.892160000039</v>
      </c>
      <c r="T14" s="23">
        <v>63499.279926713753</v>
      </c>
      <c r="U14" s="23">
        <v>63650.521328979863</v>
      </c>
      <c r="V14" s="23">
        <v>64759.311194525239</v>
      </c>
      <c r="W14" s="23">
        <v>65465.970505471552</v>
      </c>
      <c r="X14" s="23">
        <v>64567.309771117718</v>
      </c>
      <c r="Y14" s="23">
        <v>66143.244145601071</v>
      </c>
      <c r="Z14" s="23">
        <v>61427.928097249307</v>
      </c>
      <c r="AA14" s="23">
        <v>64743.800000000047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8222.9724740756828</v>
      </c>
      <c r="E15" s="23">
        <v>8510.1514051863414</v>
      </c>
      <c r="F15" s="23">
        <v>8586.6911004698231</v>
      </c>
      <c r="G15" s="23">
        <v>8658.7438614540479</v>
      </c>
      <c r="H15" s="23">
        <v>8768.6348476949424</v>
      </c>
      <c r="I15" s="23">
        <v>8878.8020847962416</v>
      </c>
      <c r="J15" s="23">
        <v>9098.8490991739473</v>
      </c>
      <c r="K15" s="23">
        <v>9016.8921231216682</v>
      </c>
      <c r="L15" s="23">
        <v>9073.0634047474796</v>
      </c>
      <c r="M15" s="23">
        <v>9286.3060160734804</v>
      </c>
      <c r="N15" s="23">
        <v>9172.7979990471667</v>
      </c>
      <c r="O15" s="23">
        <v>9436.7890538659467</v>
      </c>
      <c r="P15" s="23">
        <v>9266.8170438305169</v>
      </c>
      <c r="Q15" s="23">
        <v>9262.3687694942219</v>
      </c>
      <c r="R15" s="23">
        <v>9228.0254308828717</v>
      </c>
      <c r="S15" s="23">
        <v>9208.4644260000005</v>
      </c>
      <c r="T15" s="23">
        <v>9451.8036464384677</v>
      </c>
      <c r="U15" s="23">
        <v>9692.3370720084731</v>
      </c>
      <c r="V15" s="23">
        <v>9599.724296620263</v>
      </c>
      <c r="W15" s="23">
        <v>9782.5386659718606</v>
      </c>
      <c r="X15" s="23">
        <v>9488.9316404318233</v>
      </c>
      <c r="Y15" s="23">
        <v>9084.4400610736666</v>
      </c>
      <c r="Z15" s="23">
        <v>8827.8764539609656</v>
      </c>
      <c r="AA15" s="23">
        <v>9697.2999999999993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248048.39272354628</v>
      </c>
      <c r="E16" s="30">
        <f t="shared" ref="E16:S16" si="0">SUM(E6:E15)</f>
        <v>250496.81204010278</v>
      </c>
      <c r="F16" s="30">
        <f t="shared" si="0"/>
        <v>251266.96504336825</v>
      </c>
      <c r="G16" s="30">
        <f t="shared" si="0"/>
        <v>252398.98295610424</v>
      </c>
      <c r="H16" s="30">
        <f t="shared" si="0"/>
        <v>257668.39414984739</v>
      </c>
      <c r="I16" s="30">
        <f t="shared" si="0"/>
        <v>261921.05188019082</v>
      </c>
      <c r="J16" s="30">
        <f t="shared" si="0"/>
        <v>271731.35407448729</v>
      </c>
      <c r="K16" s="30">
        <f t="shared" si="0"/>
        <v>273375.16795928252</v>
      </c>
      <c r="L16" s="30">
        <f t="shared" si="0"/>
        <v>273864.56265572499</v>
      </c>
      <c r="M16" s="30">
        <f t="shared" si="0"/>
        <v>261393.87265212406</v>
      </c>
      <c r="N16" s="30">
        <f t="shared" si="0"/>
        <v>265354.46306812769</v>
      </c>
      <c r="O16" s="30">
        <f t="shared" si="0"/>
        <v>269214.10052094318</v>
      </c>
      <c r="P16" s="30">
        <f t="shared" si="0"/>
        <v>269209.64900216938</v>
      </c>
      <c r="Q16" s="30">
        <f t="shared" si="0"/>
        <v>273087.62308115722</v>
      </c>
      <c r="R16" s="30">
        <f t="shared" si="0"/>
        <v>276177.38061906438</v>
      </c>
      <c r="S16" s="30">
        <f t="shared" si="0"/>
        <v>281573.5997340001</v>
      </c>
      <c r="T16" s="30">
        <f t="shared" ref="T16:Y16" si="1">SUM(T6:T15)</f>
        <v>289965.3716686031</v>
      </c>
      <c r="U16" s="30">
        <f t="shared" si="1"/>
        <v>299278.95672432048</v>
      </c>
      <c r="V16" s="30">
        <f t="shared" si="1"/>
        <v>303952.57741472567</v>
      </c>
      <c r="W16" s="30">
        <f t="shared" si="1"/>
        <v>309065.47696717031</v>
      </c>
      <c r="X16" s="30">
        <f t="shared" si="1"/>
        <v>301744.86589626112</v>
      </c>
      <c r="Y16" s="30">
        <f t="shared" si="1"/>
        <v>322243.23543537577</v>
      </c>
      <c r="Z16" s="30">
        <f t="shared" ref="Z16:AA16" si="2">SUM(Z6:Z15)</f>
        <v>326660.85212855472</v>
      </c>
      <c r="AA16" s="30">
        <f t="shared" si="2"/>
        <v>331373.40000000002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6189.7292211846461</v>
      </c>
      <c r="E18" s="19">
        <v>6718.0916827801757</v>
      </c>
      <c r="F18" s="19">
        <v>5131.2648626671489</v>
      </c>
      <c r="G18" s="19">
        <v>4654.9666323731144</v>
      </c>
      <c r="H18" s="19">
        <v>4796.5915915692258</v>
      </c>
      <c r="I18" s="19">
        <v>3483.1401680428103</v>
      </c>
      <c r="J18" s="19">
        <v>3667.3954258450435</v>
      </c>
      <c r="K18" s="19">
        <v>3768.840959767329</v>
      </c>
      <c r="L18" s="19">
        <v>2683.6394900038554</v>
      </c>
      <c r="M18" s="19">
        <v>2444.1216303099886</v>
      </c>
      <c r="N18" s="19">
        <v>3652.7053835159604</v>
      </c>
      <c r="O18" s="19">
        <v>3957.5254270890455</v>
      </c>
      <c r="P18" s="19">
        <v>5043.8705801914439</v>
      </c>
      <c r="Q18" s="19">
        <v>3964.6025992294053</v>
      </c>
      <c r="R18" s="19">
        <v>4308.928765388674</v>
      </c>
      <c r="S18" s="19">
        <v>2948.5595160000003</v>
      </c>
      <c r="T18" s="19">
        <v>3104.8482169988383</v>
      </c>
      <c r="U18" s="19">
        <v>4336.5101923755738</v>
      </c>
      <c r="V18" s="19">
        <v>3494.2698391159192</v>
      </c>
      <c r="W18" s="19">
        <v>4407.5629494528403</v>
      </c>
      <c r="X18" s="19">
        <v>4645.3735679695446</v>
      </c>
      <c r="Y18" s="19">
        <v>3998.8603129573748</v>
      </c>
      <c r="Z18" s="19">
        <v>3716.3032310243698</v>
      </c>
      <c r="AA18" s="19">
        <v>3883.4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7455.6362031574536</v>
      </c>
      <c r="E19" s="23">
        <v>6314.1455899486009</v>
      </c>
      <c r="F19" s="23">
        <v>6136.2754607878578</v>
      </c>
      <c r="G19" s="23">
        <v>5968.1799288364373</v>
      </c>
      <c r="H19" s="23">
        <v>7484.067663997298</v>
      </c>
      <c r="I19" s="23">
        <v>10182.653984269678</v>
      </c>
      <c r="J19" s="23">
        <v>11217.669179161579</v>
      </c>
      <c r="K19" s="23">
        <v>10808.95659234125</v>
      </c>
      <c r="L19" s="23">
        <v>11691.152152888691</v>
      </c>
      <c r="M19" s="23">
        <v>7199.6158208955221</v>
      </c>
      <c r="N19" s="23">
        <v>7786.5880990948081</v>
      </c>
      <c r="O19" s="23">
        <v>8864.1878949255497</v>
      </c>
      <c r="P19" s="23">
        <v>8689.2152587935434</v>
      </c>
      <c r="Q19" s="23">
        <v>7105.3837777505987</v>
      </c>
      <c r="R19" s="23">
        <v>5634.0154484699278</v>
      </c>
      <c r="S19" s="23">
        <v>2974.5579780000016</v>
      </c>
      <c r="T19" s="23">
        <v>2652.1761122314588</v>
      </c>
      <c r="U19" s="23">
        <v>2889.408728446067</v>
      </c>
      <c r="V19" s="23">
        <v>3421.3876574184351</v>
      </c>
      <c r="W19" s="23">
        <v>2581.0672200522063</v>
      </c>
      <c r="X19" s="23">
        <v>1055.3519599152771</v>
      </c>
      <c r="Y19" s="23">
        <v>1543.2570552565123</v>
      </c>
      <c r="Z19" s="23">
        <v>2947.1071842296592</v>
      </c>
      <c r="AA19" s="23">
        <v>1963.321390438419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40767.004735599105</v>
      </c>
      <c r="E20" s="23">
        <v>40828.351660795168</v>
      </c>
      <c r="F20" s="23">
        <v>40723.324981929894</v>
      </c>
      <c r="G20" s="23">
        <v>38830.368072702338</v>
      </c>
      <c r="H20" s="23">
        <v>38311.298700379833</v>
      </c>
      <c r="I20" s="23">
        <v>37103.152940749176</v>
      </c>
      <c r="J20" s="23">
        <v>38641.410700721608</v>
      </c>
      <c r="K20" s="23">
        <v>38511.492971400869</v>
      </c>
      <c r="L20" s="23">
        <v>37652.004578950269</v>
      </c>
      <c r="M20" s="23">
        <v>33804.459402985078</v>
      </c>
      <c r="N20" s="23">
        <v>33430.271777036687</v>
      </c>
      <c r="O20" s="23">
        <v>34231.815210697263</v>
      </c>
      <c r="P20" s="23">
        <v>34950.277156311371</v>
      </c>
      <c r="Q20" s="23">
        <v>37227.319365788026</v>
      </c>
      <c r="R20" s="23">
        <v>37661.298255364054</v>
      </c>
      <c r="S20" s="23">
        <v>40526.593379999998</v>
      </c>
      <c r="T20" s="23">
        <v>43256.834891411207</v>
      </c>
      <c r="U20" s="23">
        <v>44796.378309212851</v>
      </c>
      <c r="V20" s="23">
        <v>45574.997878634058</v>
      </c>
      <c r="W20" s="23">
        <v>47591.160995310049</v>
      </c>
      <c r="X20" s="23">
        <v>44585.393270693174</v>
      </c>
      <c r="Y20" s="23">
        <v>46439.854981659832</v>
      </c>
      <c r="Z20" s="23">
        <v>47549.273649382798</v>
      </c>
      <c r="AA20" s="23">
        <v>61193.4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4613.6595032978075</v>
      </c>
      <c r="E21" s="23">
        <v>4794.0881279663281</v>
      </c>
      <c r="F21" s="23">
        <v>4611.5963408023135</v>
      </c>
      <c r="G21" s="23">
        <v>4814.4115849378777</v>
      </c>
      <c r="H21" s="23">
        <v>4849.6853203357696</v>
      </c>
      <c r="I21" s="23">
        <v>4708.9270052176007</v>
      </c>
      <c r="J21" s="23">
        <v>4963.188393717598</v>
      </c>
      <c r="K21" s="23">
        <v>4064.077387300048</v>
      </c>
      <c r="L21" s="23">
        <v>4102.6357096436632</v>
      </c>
      <c r="M21" s="23">
        <v>3572.0975200918492</v>
      </c>
      <c r="N21" s="23">
        <v>4300.6723392091471</v>
      </c>
      <c r="O21" s="23">
        <v>3975.2580788374735</v>
      </c>
      <c r="P21" s="23">
        <v>3576.722064474814</v>
      </c>
      <c r="Q21" s="23">
        <v>3254.4410617087647</v>
      </c>
      <c r="R21" s="23">
        <v>3440.9586352444608</v>
      </c>
      <c r="S21" s="23">
        <v>3487.729455000002</v>
      </c>
      <c r="T21" s="23">
        <v>3323.1843663910222</v>
      </c>
      <c r="U21" s="23">
        <v>3437.1218196658724</v>
      </c>
      <c r="V21" s="23">
        <v>3402.7596237577363</v>
      </c>
      <c r="W21" s="23">
        <v>3757.1463176449956</v>
      </c>
      <c r="X21" s="23">
        <v>3487.0902960633739</v>
      </c>
      <c r="Y21" s="23">
        <v>3822.8555693989433</v>
      </c>
      <c r="Z21" s="23">
        <v>7260.5481696308198</v>
      </c>
      <c r="AA21" s="23">
        <v>4620.550341018039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1770.0640891362548</v>
      </c>
      <c r="E22" s="23">
        <v>1813.834153512513</v>
      </c>
      <c r="F22" s="23">
        <v>1800.8299873509218</v>
      </c>
      <c r="G22" s="23">
        <v>1828.8826288868595</v>
      </c>
      <c r="H22" s="23">
        <v>1907.8399440947283</v>
      </c>
      <c r="I22" s="23">
        <v>1872.9441685068598</v>
      </c>
      <c r="J22" s="23">
        <v>1852.9331031557699</v>
      </c>
      <c r="K22" s="23">
        <v>1851.6623121667474</v>
      </c>
      <c r="L22" s="23">
        <v>2033.3866398634136</v>
      </c>
      <c r="M22" s="23">
        <v>2022.9236969001149</v>
      </c>
      <c r="N22" s="23">
        <v>2145.7908051453073</v>
      </c>
      <c r="O22" s="23">
        <v>2236.82939005357</v>
      </c>
      <c r="P22" s="23">
        <v>2251.2381591963517</v>
      </c>
      <c r="Q22" s="23">
        <v>2213.5110299064286</v>
      </c>
      <c r="R22" s="23">
        <v>2274.9159127682033</v>
      </c>
      <c r="S22" s="23">
        <v>2421.6732540000012</v>
      </c>
      <c r="T22" s="23">
        <v>2473.1142554913845</v>
      </c>
      <c r="U22" s="23">
        <v>2349.7639983052904</v>
      </c>
      <c r="V22" s="23">
        <v>2461.4617978405604</v>
      </c>
      <c r="W22" s="23">
        <v>2425.353841145949</v>
      </c>
      <c r="X22" s="23">
        <v>2476.916836330046</v>
      </c>
      <c r="Y22" s="23">
        <v>2689.467245427481</v>
      </c>
      <c r="Z22" s="23">
        <v>2416.4154974797184</v>
      </c>
      <c r="AA22" s="23">
        <v>2594.6282685435349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13580.854145176176</v>
      </c>
      <c r="E23" s="23">
        <v>12847.833068895186</v>
      </c>
      <c r="F23" s="23">
        <v>12972.009974701845</v>
      </c>
      <c r="G23" s="23">
        <v>13585.30449245542</v>
      </c>
      <c r="H23" s="23">
        <v>13943.452830118418</v>
      </c>
      <c r="I23" s="23">
        <v>14256.993434465725</v>
      </c>
      <c r="J23" s="23">
        <v>15871.004025826052</v>
      </c>
      <c r="K23" s="23">
        <v>15796.181168201649</v>
      </c>
      <c r="L23" s="23">
        <v>16609.034163132677</v>
      </c>
      <c r="M23" s="23">
        <v>13511.19513203215</v>
      </c>
      <c r="N23" s="23">
        <v>11865.042620295379</v>
      </c>
      <c r="O23" s="23">
        <v>12616.341546800522</v>
      </c>
      <c r="P23" s="23">
        <v>12430.225749272575</v>
      </c>
      <c r="Q23" s="23">
        <v>12459.189740688644</v>
      </c>
      <c r="R23" s="23">
        <v>12766.783517411186</v>
      </c>
      <c r="S23" s="23">
        <v>14098.560461999999</v>
      </c>
      <c r="T23" s="23">
        <v>15926.780623826973</v>
      </c>
      <c r="U23" s="23">
        <v>16825.799867631486</v>
      </c>
      <c r="V23" s="23">
        <v>17248.511342913487</v>
      </c>
      <c r="W23" s="23">
        <v>16937.434184471076</v>
      </c>
      <c r="X23" s="23">
        <v>16313.110709786979</v>
      </c>
      <c r="Y23" s="23">
        <v>17241.623780785285</v>
      </c>
      <c r="Z23" s="23">
        <v>16462.646538188175</v>
      </c>
      <c r="AA23" s="23">
        <v>17991.400000000001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30260.700574135401</v>
      </c>
      <c r="E24" s="23">
        <v>29624.898441183479</v>
      </c>
      <c r="F24" s="23">
        <v>30514.055122876762</v>
      </c>
      <c r="G24" s="23">
        <v>30598.176748971197</v>
      </c>
      <c r="H24" s="23">
        <v>30762.758535041339</v>
      </c>
      <c r="I24" s="23">
        <v>31280.545016828502</v>
      </c>
      <c r="J24" s="23">
        <v>34573.72989223319</v>
      </c>
      <c r="K24" s="23">
        <v>35435.666190014541</v>
      </c>
      <c r="L24" s="23">
        <v>34628.394507903293</v>
      </c>
      <c r="M24" s="23">
        <v>32509.699563719867</v>
      </c>
      <c r="N24" s="23">
        <v>32723.341343496908</v>
      </c>
      <c r="O24" s="23">
        <v>34747.31974627747</v>
      </c>
      <c r="P24" s="23">
        <v>34591.620988885581</v>
      </c>
      <c r="Q24" s="23">
        <v>35137.07156748823</v>
      </c>
      <c r="R24" s="23">
        <v>36045.809525149496</v>
      </c>
      <c r="S24" s="23">
        <v>37232.540541000002</v>
      </c>
      <c r="T24" s="23">
        <v>37399.582607918499</v>
      </c>
      <c r="U24" s="23">
        <v>38913.411401341335</v>
      </c>
      <c r="V24" s="23">
        <v>39846.295401917341</v>
      </c>
      <c r="W24" s="23">
        <v>38942.909770713908</v>
      </c>
      <c r="X24" s="23">
        <v>42220.86629934777</v>
      </c>
      <c r="Y24" s="23">
        <v>42717.900176174036</v>
      </c>
      <c r="Z24" s="23">
        <v>37437.390266896495</v>
      </c>
      <c r="AA24" s="23">
        <v>39455.300000000003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15747.963505076277</v>
      </c>
      <c r="E25" s="23">
        <v>16281.271659205891</v>
      </c>
      <c r="F25" s="23">
        <v>16074.628080954102</v>
      </c>
      <c r="G25" s="23">
        <v>16333.660048010976</v>
      </c>
      <c r="H25" s="23">
        <v>17466.065431593059</v>
      </c>
      <c r="I25" s="23">
        <v>17901.267097266278</v>
      </c>
      <c r="J25" s="23">
        <v>15893.934093714395</v>
      </c>
      <c r="K25" s="23">
        <v>16847.745879786718</v>
      </c>
      <c r="L25" s="23">
        <v>15313.126210277029</v>
      </c>
      <c r="M25" s="23">
        <v>12449.854580941446</v>
      </c>
      <c r="N25" s="23">
        <v>15583.908308718439</v>
      </c>
      <c r="O25" s="23">
        <v>13851.464758299235</v>
      </c>
      <c r="P25" s="23">
        <v>13529.982045218534</v>
      </c>
      <c r="Q25" s="23">
        <v>15723.477273561251</v>
      </c>
      <c r="R25" s="23">
        <v>16914.870538163912</v>
      </c>
      <c r="S25" s="23">
        <v>16641.758636999999</v>
      </c>
      <c r="T25" s="23">
        <v>14968.809947269641</v>
      </c>
      <c r="U25" s="23">
        <v>16187.338342746207</v>
      </c>
      <c r="V25" s="23">
        <v>15116.300040025775</v>
      </c>
      <c r="W25" s="23">
        <v>16550.860369984366</v>
      </c>
      <c r="X25" s="23">
        <v>15669.150166553143</v>
      </c>
      <c r="Y25" s="23">
        <v>26301.174669786604</v>
      </c>
      <c r="Z25" s="23">
        <v>43275.973103662378</v>
      </c>
      <c r="AA25" s="23">
        <v>19315.7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3584.1152858461364</v>
      </c>
      <c r="E26" s="23">
        <v>3579.5389995497048</v>
      </c>
      <c r="F26" s="23">
        <v>3670.7746566678711</v>
      </c>
      <c r="G26" s="23">
        <v>3663.5652263374486</v>
      </c>
      <c r="H26" s="23">
        <v>3653.1784240709021</v>
      </c>
      <c r="I26" s="23">
        <v>3693.0757427540625</v>
      </c>
      <c r="J26" s="23">
        <v>4038.2397336688191</v>
      </c>
      <c r="K26" s="23">
        <v>4176.3911051866216</v>
      </c>
      <c r="L26" s="23">
        <v>4091.6011158230981</v>
      </c>
      <c r="M26" s="23">
        <v>3820.904225028703</v>
      </c>
      <c r="N26" s="23">
        <v>3574.171586469748</v>
      </c>
      <c r="O26" s="23">
        <v>3880.9354631543424</v>
      </c>
      <c r="P26" s="23">
        <v>3924.9859553161082</v>
      </c>
      <c r="Q26" s="23">
        <v>4180.7387193443828</v>
      </c>
      <c r="R26" s="23">
        <v>4284.23919803025</v>
      </c>
      <c r="S26" s="23">
        <v>4260.2892570000004</v>
      </c>
      <c r="T26" s="23">
        <v>4764.3911877737064</v>
      </c>
      <c r="U26" s="23">
        <v>4866.3397105541835</v>
      </c>
      <c r="V26" s="23">
        <v>5081.8440078489566</v>
      </c>
      <c r="W26" s="23">
        <v>5154.8162324127152</v>
      </c>
      <c r="X26" s="23">
        <v>3235.2702322413293</v>
      </c>
      <c r="Y26" s="23">
        <v>3744.5813255515604</v>
      </c>
      <c r="Z26" s="23">
        <v>4767.4566381007626</v>
      </c>
      <c r="AA26" s="23">
        <v>5295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10678.695218252891</v>
      </c>
      <c r="E27" s="23">
        <v>10837.017598601435</v>
      </c>
      <c r="F27" s="23">
        <v>11067.430999277196</v>
      </c>
      <c r="G27" s="23">
        <v>11669.907887517147</v>
      </c>
      <c r="H27" s="23">
        <v>11625.68742831608</v>
      </c>
      <c r="I27" s="23">
        <v>11349.515671081626</v>
      </c>
      <c r="J27" s="23">
        <v>11777.562276870489</v>
      </c>
      <c r="K27" s="23">
        <v>11872.771206980125</v>
      </c>
      <c r="L27" s="23">
        <v>12376.216519248774</v>
      </c>
      <c r="M27" s="23">
        <v>12756.820505166477</v>
      </c>
      <c r="N27" s="23">
        <v>12615.532796569796</v>
      </c>
      <c r="O27" s="23">
        <v>12458.508369890747</v>
      </c>
      <c r="P27" s="23">
        <v>12104.185835021231</v>
      </c>
      <c r="Q27" s="23">
        <v>12792.024778301022</v>
      </c>
      <c r="R27" s="23">
        <v>12486.928469926135</v>
      </c>
      <c r="S27" s="23">
        <v>13074.960465</v>
      </c>
      <c r="T27" s="23">
        <v>13743.308579855217</v>
      </c>
      <c r="U27" s="23">
        <v>13799.889816448995</v>
      </c>
      <c r="V27" s="23">
        <v>13898.841615088742</v>
      </c>
      <c r="W27" s="23">
        <v>14857.255054715997</v>
      </c>
      <c r="X27" s="23">
        <v>14839.913261735697</v>
      </c>
      <c r="Y27" s="23">
        <v>14897.408556637696</v>
      </c>
      <c r="Z27" s="23">
        <v>13850.984824397297</v>
      </c>
      <c r="AA27" s="23">
        <v>15263.1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11280.040547803897</v>
      </c>
      <c r="E28" s="23">
        <v>11638.595519561359</v>
      </c>
      <c r="F28" s="23">
        <v>11912.508068305024</v>
      </c>
      <c r="G28" s="23">
        <v>12305.343930041152</v>
      </c>
      <c r="H28" s="23">
        <v>12492.277366500335</v>
      </c>
      <c r="I28" s="23">
        <v>13400.213723092569</v>
      </c>
      <c r="J28" s="23">
        <v>13881.891408327003</v>
      </c>
      <c r="K28" s="23">
        <v>14825.823679108094</v>
      </c>
      <c r="L28" s="23">
        <v>15935.792575866057</v>
      </c>
      <c r="M28" s="23">
        <v>16167.089345579794</v>
      </c>
      <c r="N28" s="23">
        <v>16054.606050500239</v>
      </c>
      <c r="O28" s="23">
        <v>15540.091106002446</v>
      </c>
      <c r="P28" s="23">
        <v>16421.057298403266</v>
      </c>
      <c r="Q28" s="23">
        <v>15982.889242248182</v>
      </c>
      <c r="R28" s="23">
        <v>16047.739373900811</v>
      </c>
      <c r="S28" s="23">
        <v>16431.266501999999</v>
      </c>
      <c r="T28" s="23">
        <v>16447.275261417464</v>
      </c>
      <c r="U28" s="23">
        <v>16880.174338157431</v>
      </c>
      <c r="V28" s="23">
        <v>17089.125229904137</v>
      </c>
      <c r="W28" s="23">
        <v>16618.070583637309</v>
      </c>
      <c r="X28" s="23">
        <v>16036.475853993075</v>
      </c>
      <c r="Y28" s="23">
        <v>16751.598003360858</v>
      </c>
      <c r="Z28" s="23">
        <v>15078.873079970916</v>
      </c>
      <c r="AA28" s="23">
        <v>18445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22601.195957978172</v>
      </c>
      <c r="E29" s="23">
        <v>23421.711984478054</v>
      </c>
      <c r="F29" s="23">
        <v>23962.629779544637</v>
      </c>
      <c r="G29" s="23">
        <v>24762.162482853226</v>
      </c>
      <c r="H29" s="23">
        <v>25021.563186117524</v>
      </c>
      <c r="I29" s="23">
        <v>25553.375480035837</v>
      </c>
      <c r="J29" s="23">
        <v>25790.239998338398</v>
      </c>
      <c r="K29" s="23">
        <v>25908.820237518179</v>
      </c>
      <c r="L29" s="23">
        <v>25050.629800077102</v>
      </c>
      <c r="M29" s="23">
        <v>26302.963329506318</v>
      </c>
      <c r="N29" s="23">
        <v>27201.481086231539</v>
      </c>
      <c r="O29" s="23">
        <v>28751.545476019739</v>
      </c>
      <c r="P29" s="23">
        <v>28313.360105283718</v>
      </c>
      <c r="Q29" s="23">
        <v>28663.44224206471</v>
      </c>
      <c r="R29" s="23">
        <v>29501.635947942315</v>
      </c>
      <c r="S29" s="23">
        <v>30157.142588999999</v>
      </c>
      <c r="T29" s="23">
        <v>31177.688006077398</v>
      </c>
      <c r="U29" s="23">
        <v>32310.713598658665</v>
      </c>
      <c r="V29" s="23">
        <v>33257.094195286729</v>
      </c>
      <c r="W29" s="23">
        <v>34327.731709223553</v>
      </c>
      <c r="X29" s="23">
        <v>34507.13814020322</v>
      </c>
      <c r="Y29" s="23">
        <v>34327.447809117686</v>
      </c>
      <c r="Z29" s="23">
        <v>32524.862962085503</v>
      </c>
      <c r="AA29" s="23">
        <v>34501.800000000003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11758.526898854443</v>
      </c>
      <c r="E30" s="23">
        <v>12319.818292586018</v>
      </c>
      <c r="F30" s="23">
        <v>11736.257932779183</v>
      </c>
      <c r="G30" s="23">
        <v>11502.074005486969</v>
      </c>
      <c r="H30" s="23">
        <v>12174.300737320325</v>
      </c>
      <c r="I30" s="23">
        <v>13363.684355553405</v>
      </c>
      <c r="J30" s="23">
        <v>13999.797251234335</v>
      </c>
      <c r="K30" s="23">
        <v>13771.781459040234</v>
      </c>
      <c r="L30" s="23">
        <v>15269.644656055516</v>
      </c>
      <c r="M30" s="23">
        <v>15244.496349024113</v>
      </c>
      <c r="N30" s="23">
        <v>14903.618761314912</v>
      </c>
      <c r="O30" s="23">
        <v>14611.201986754966</v>
      </c>
      <c r="P30" s="23">
        <v>14120.017422193891</v>
      </c>
      <c r="Q30" s="23">
        <v>14926.277793407131</v>
      </c>
      <c r="R30" s="23">
        <v>14947.375694688708</v>
      </c>
      <c r="S30" s="23">
        <v>15848.089991999999</v>
      </c>
      <c r="T30" s="23">
        <v>18286.593171865225</v>
      </c>
      <c r="U30" s="23">
        <v>18685.991431344861</v>
      </c>
      <c r="V30" s="23">
        <v>19725.108418103366</v>
      </c>
      <c r="W30" s="23">
        <v>20079.051328817091</v>
      </c>
      <c r="X30" s="23">
        <v>19921.381761264496</v>
      </c>
      <c r="Y30" s="23">
        <v>22708.406519343007</v>
      </c>
      <c r="Z30" s="23">
        <v>19953.79307964414</v>
      </c>
      <c r="AA30" s="23">
        <v>22499.1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5255.580123785222</v>
      </c>
      <c r="E31" s="23">
        <v>5393.8691627155458</v>
      </c>
      <c r="F31" s="23">
        <v>5711.7358330321649</v>
      </c>
      <c r="G31" s="23">
        <v>5970.6752057613166</v>
      </c>
      <c r="H31" s="23">
        <v>6425.1115625232742</v>
      </c>
      <c r="I31" s="23">
        <v>7081.3550630765885</v>
      </c>
      <c r="J31" s="23">
        <v>7273.0778294720849</v>
      </c>
      <c r="K31" s="23">
        <v>7737.1213523994184</v>
      </c>
      <c r="L31" s="23">
        <v>7431.4048455141274</v>
      </c>
      <c r="M31" s="23">
        <v>6903.2124454649838</v>
      </c>
      <c r="N31" s="23">
        <v>6737.7452501191046</v>
      </c>
      <c r="O31" s="23">
        <v>7256.3017062470999</v>
      </c>
      <c r="P31" s="23">
        <v>7494.3811805348496</v>
      </c>
      <c r="Q31" s="23">
        <v>7916.0765702403523</v>
      </c>
      <c r="R31" s="23">
        <v>8110.5228772423507</v>
      </c>
      <c r="S31" s="23">
        <v>9025.5211199999994</v>
      </c>
      <c r="T31" s="23">
        <v>9489.7008669228708</v>
      </c>
      <c r="U31" s="23">
        <v>9657.256768443347</v>
      </c>
      <c r="V31" s="23">
        <v>9975.5448757248596</v>
      </c>
      <c r="W31" s="23">
        <v>9586.5472381448653</v>
      </c>
      <c r="X31" s="23">
        <v>8695.1921286144825</v>
      </c>
      <c r="Y31" s="23">
        <v>9831.1152232441309</v>
      </c>
      <c r="Z31" s="23">
        <v>9163.4193526513991</v>
      </c>
      <c r="AA31" s="23">
        <v>9910.6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15020.036197676285</v>
      </c>
      <c r="E32" s="23">
        <v>15237.561924880145</v>
      </c>
      <c r="F32" s="23">
        <v>15394.564239248273</v>
      </c>
      <c r="G32" s="23">
        <v>15292.272016460915</v>
      </c>
      <c r="H32" s="23">
        <v>15424.383090042475</v>
      </c>
      <c r="I32" s="23">
        <v>15349.264839342341</v>
      </c>
      <c r="J32" s="23">
        <v>15497.045758165619</v>
      </c>
      <c r="K32" s="23">
        <v>15186.025884634015</v>
      </c>
      <c r="L32" s="23">
        <v>15357.921406620024</v>
      </c>
      <c r="M32" s="23">
        <v>15892.593478760078</v>
      </c>
      <c r="N32" s="23">
        <v>15919.760238208677</v>
      </c>
      <c r="O32" s="23">
        <v>15552.918981735347</v>
      </c>
      <c r="P32" s="23">
        <v>15419.027144487505</v>
      </c>
      <c r="Q32" s="23">
        <v>15011.856999571924</v>
      </c>
      <c r="R32" s="23">
        <v>14722.532838550786</v>
      </c>
      <c r="S32" s="23">
        <v>14831.168499000034</v>
      </c>
      <c r="T32" s="23">
        <v>14701.042398784532</v>
      </c>
      <c r="U32" s="23">
        <v>14629.655930109408</v>
      </c>
      <c r="V32" s="23">
        <v>14850.85056036079</v>
      </c>
      <c r="W32" s="23">
        <v>15190.313887441331</v>
      </c>
      <c r="X32" s="23">
        <v>15089.396506582811</v>
      </c>
      <c r="Y32" s="23">
        <v>15615.962186726416</v>
      </c>
      <c r="Z32" s="23">
        <v>14428.73435669525</v>
      </c>
      <c r="AA32" s="23">
        <v>15344.700000000048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14358.799139475541</v>
      </c>
      <c r="E33" s="23">
        <v>14669.428765925886</v>
      </c>
      <c r="F33" s="23">
        <v>15156.126282977955</v>
      </c>
      <c r="G33" s="23">
        <v>15243.800137174212</v>
      </c>
      <c r="H33" s="23">
        <v>15597.730684441798</v>
      </c>
      <c r="I33" s="23">
        <v>15496.248618610622</v>
      </c>
      <c r="J33" s="23">
        <v>15845.667716245727</v>
      </c>
      <c r="K33" s="23">
        <v>15697.769025690741</v>
      </c>
      <c r="L33" s="23">
        <v>16183.93957261662</v>
      </c>
      <c r="M33" s="23">
        <v>17034.000757749716</v>
      </c>
      <c r="N33" s="23">
        <v>17227.436341114819</v>
      </c>
      <c r="O33" s="23">
        <v>17259.906798624877</v>
      </c>
      <c r="P33" s="23">
        <v>17399.054423664162</v>
      </c>
      <c r="Q33" s="23">
        <v>17324.318986606326</v>
      </c>
      <c r="R33" s="23">
        <v>18064.972908899053</v>
      </c>
      <c r="S33" s="23">
        <v>18398.205189</v>
      </c>
      <c r="T33" s="23">
        <v>18594.86337474305</v>
      </c>
      <c r="U33" s="23">
        <v>18453.642887398521</v>
      </c>
      <c r="V33" s="23">
        <v>18698.005212136599</v>
      </c>
      <c r="W33" s="23">
        <v>18746.240568004167</v>
      </c>
      <c r="X33" s="23">
        <v>18205.711525290884</v>
      </c>
      <c r="Y33" s="23">
        <v>18162.630892795838</v>
      </c>
      <c r="Z33" s="23">
        <v>16780.165210322939</v>
      </c>
      <c r="AA33" s="23">
        <v>17690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24902.818903034909</v>
      </c>
      <c r="E34" s="23">
        <v>25666.60400233094</v>
      </c>
      <c r="F34" s="23">
        <v>26104.261338995304</v>
      </c>
      <c r="G34" s="23">
        <v>26716.48806584362</v>
      </c>
      <c r="H34" s="23">
        <v>26963.766805690026</v>
      </c>
      <c r="I34" s="23">
        <v>26965.892486500888</v>
      </c>
      <c r="J34" s="23">
        <v>27847.718188615647</v>
      </c>
      <c r="K34" s="23">
        <v>28097.148424624331</v>
      </c>
      <c r="L34" s="23">
        <v>28380.975306493361</v>
      </c>
      <c r="M34" s="23">
        <v>30471.51885189438</v>
      </c>
      <c r="N34" s="23">
        <v>30458.992282039068</v>
      </c>
      <c r="O34" s="23">
        <v>29985.159525667525</v>
      </c>
      <c r="P34" s="23">
        <v>29683.610591089953</v>
      </c>
      <c r="Q34" s="23">
        <v>29942.632563757572</v>
      </c>
      <c r="R34" s="23">
        <v>29735.827281041158</v>
      </c>
      <c r="S34" s="23">
        <v>30006.518472</v>
      </c>
      <c r="T34" s="23">
        <v>30203.374153186171</v>
      </c>
      <c r="U34" s="23">
        <v>30567.22251147194</v>
      </c>
      <c r="V34" s="23">
        <v>31210.455422027844</v>
      </c>
      <c r="W34" s="23">
        <v>31529.416050026055</v>
      </c>
      <c r="X34" s="23">
        <v>31272.201739244025</v>
      </c>
      <c r="Y34" s="23">
        <v>32364.651066078815</v>
      </c>
      <c r="Z34" s="23">
        <v>30219.028530231117</v>
      </c>
      <c r="AA34" s="23">
        <v>31709.1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3664.4025761441981</v>
      </c>
      <c r="E35" s="23">
        <v>3904.7506131963019</v>
      </c>
      <c r="F35" s="23">
        <v>3857.3381189013376</v>
      </c>
      <c r="G35" s="23">
        <v>3761.7207818930046</v>
      </c>
      <c r="H35" s="23">
        <v>3824.1574774707674</v>
      </c>
      <c r="I35" s="23">
        <v>3879.7653563040267</v>
      </c>
      <c r="J35" s="23">
        <v>4037.532015524117</v>
      </c>
      <c r="K35" s="23">
        <v>3966.7663596703837</v>
      </c>
      <c r="L35" s="23">
        <v>4170.0255504764</v>
      </c>
      <c r="M35" s="23">
        <v>4118.7420206659017</v>
      </c>
      <c r="N35" s="23">
        <v>4026.8141305383519</v>
      </c>
      <c r="O35" s="23">
        <v>4172.2037003838523</v>
      </c>
      <c r="P35" s="23">
        <v>4123.5036767049478</v>
      </c>
      <c r="Q35" s="23">
        <v>4196.6632591278822</v>
      </c>
      <c r="R35" s="23">
        <v>4240.0137108688004</v>
      </c>
      <c r="S35" s="23">
        <v>4239.7767089999998</v>
      </c>
      <c r="T35" s="23">
        <v>4348.2323353293423</v>
      </c>
      <c r="U35" s="23">
        <v>4507.7020737733856</v>
      </c>
      <c r="V35" s="23">
        <v>4448.8401390163426</v>
      </c>
      <c r="W35" s="23">
        <v>4498.8261334028139</v>
      </c>
      <c r="X35" s="23">
        <v>4235.4287535106778</v>
      </c>
      <c r="Y35" s="23">
        <v>4130.740601340729</v>
      </c>
      <c r="Z35" s="23">
        <v>3981.5029320218609</v>
      </c>
      <c r="AA35" s="23">
        <v>4660.5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4214.7590015744609</v>
      </c>
      <c r="E36" s="23">
        <v>4260.6038261859985</v>
      </c>
      <c r="F36" s="23">
        <v>4300.8111673292378</v>
      </c>
      <c r="G36" s="23">
        <v>4426.0884773662556</v>
      </c>
      <c r="H36" s="23">
        <v>4452.2649437700156</v>
      </c>
      <c r="I36" s="23">
        <v>4411.82353567883</v>
      </c>
      <c r="J36" s="23">
        <v>4427.4847132548421</v>
      </c>
      <c r="K36" s="23">
        <v>4395.6506059137173</v>
      </c>
      <c r="L36" s="23">
        <v>4240.4367681885769</v>
      </c>
      <c r="M36" s="23">
        <v>4446.7026406429395</v>
      </c>
      <c r="N36" s="23">
        <v>4406.099542639352</v>
      </c>
      <c r="O36" s="23">
        <v>4474.7906514953384</v>
      </c>
      <c r="P36" s="23">
        <v>4381.4908822652451</v>
      </c>
      <c r="Q36" s="23">
        <v>4267.4119778606819</v>
      </c>
      <c r="R36" s="23">
        <v>4187.5184171649671</v>
      </c>
      <c r="S36" s="23">
        <v>4174.0650000000005</v>
      </c>
      <c r="T36" s="23">
        <v>4310.927258915006</v>
      </c>
      <c r="U36" s="23">
        <v>4397.783789269326</v>
      </c>
      <c r="V36" s="23">
        <v>4406.1120868071157</v>
      </c>
      <c r="W36" s="23">
        <v>4550.3846534653458</v>
      </c>
      <c r="X36" s="23">
        <v>4529.4228359754788</v>
      </c>
      <c r="Y36" s="23">
        <v>4248.9372323509751</v>
      </c>
      <c r="Z36" s="23">
        <v>4203.8342022923525</v>
      </c>
      <c r="AA36" s="23">
        <v>4380.3999999999996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343.81089635702261</v>
      </c>
      <c r="E37" s="23">
        <v>344.79696580404209</v>
      </c>
      <c r="F37" s="23">
        <v>428.54181423924825</v>
      </c>
      <c r="G37" s="23">
        <v>470.93460219478737</v>
      </c>
      <c r="H37" s="23">
        <v>492.21242645415953</v>
      </c>
      <c r="I37" s="23">
        <v>587.21319281338538</v>
      </c>
      <c r="J37" s="23">
        <v>633.8323703949867</v>
      </c>
      <c r="K37" s="23">
        <v>654.47515753756659</v>
      </c>
      <c r="L37" s="23">
        <v>662.60108608250255</v>
      </c>
      <c r="M37" s="23">
        <v>720.86135476463835</v>
      </c>
      <c r="N37" s="23">
        <v>739.88432586946169</v>
      </c>
      <c r="O37" s="23">
        <v>789.79470198675494</v>
      </c>
      <c r="P37" s="23">
        <v>761.82248486032427</v>
      </c>
      <c r="Q37" s="23">
        <v>798.29353250565725</v>
      </c>
      <c r="R37" s="23">
        <v>800.49330284910309</v>
      </c>
      <c r="S37" s="23">
        <v>794.62271699999997</v>
      </c>
      <c r="T37" s="23">
        <v>792.64405219411924</v>
      </c>
      <c r="U37" s="23">
        <v>786.85120896576063</v>
      </c>
      <c r="V37" s="23">
        <v>744.77207079680591</v>
      </c>
      <c r="W37" s="23">
        <v>733.32787910369984</v>
      </c>
      <c r="X37" s="23">
        <v>724.08005094566727</v>
      </c>
      <c r="Y37" s="23">
        <v>704.76222738196338</v>
      </c>
      <c r="Z37" s="23">
        <v>642.53931964675223</v>
      </c>
      <c r="AA37" s="23">
        <v>656.4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248048.39272354628</v>
      </c>
      <c r="E39" s="30">
        <f t="shared" ref="E39:S39" si="3">SUM(E18:E38)</f>
        <v>250496.81204010278</v>
      </c>
      <c r="F39" s="30">
        <f t="shared" si="3"/>
        <v>251266.96504336828</v>
      </c>
      <c r="G39" s="30">
        <f t="shared" si="3"/>
        <v>252398.98295610424</v>
      </c>
      <c r="H39" s="30">
        <f t="shared" si="3"/>
        <v>257668.39414984736</v>
      </c>
      <c r="I39" s="30">
        <f t="shared" si="3"/>
        <v>261921.05188019085</v>
      </c>
      <c r="J39" s="30">
        <f t="shared" si="3"/>
        <v>271731.35407448729</v>
      </c>
      <c r="K39" s="30">
        <f t="shared" si="3"/>
        <v>273375.16795928258</v>
      </c>
      <c r="L39" s="30">
        <f t="shared" si="3"/>
        <v>273864.56265572505</v>
      </c>
      <c r="M39" s="30">
        <f t="shared" si="3"/>
        <v>261393.87265212406</v>
      </c>
      <c r="N39" s="30">
        <f t="shared" si="3"/>
        <v>265354.46306812769</v>
      </c>
      <c r="O39" s="30">
        <f t="shared" si="3"/>
        <v>269214.10052094312</v>
      </c>
      <c r="P39" s="30">
        <f t="shared" si="3"/>
        <v>269209.64900216943</v>
      </c>
      <c r="Q39" s="30">
        <f t="shared" si="3"/>
        <v>273087.6230811571</v>
      </c>
      <c r="R39" s="30">
        <f t="shared" si="3"/>
        <v>276177.38061906438</v>
      </c>
      <c r="S39" s="30">
        <f t="shared" si="3"/>
        <v>281573.59973399999</v>
      </c>
      <c r="T39" s="30">
        <f t="shared" ref="T39:Y39" si="4">SUM(T18:T38)</f>
        <v>289965.37166860321</v>
      </c>
      <c r="U39" s="30">
        <f t="shared" si="4"/>
        <v>299278.95672432054</v>
      </c>
      <c r="V39" s="30">
        <f t="shared" si="4"/>
        <v>303952.57741472556</v>
      </c>
      <c r="W39" s="30">
        <f t="shared" si="4"/>
        <v>309065.47696717037</v>
      </c>
      <c r="X39" s="30">
        <f t="shared" si="4"/>
        <v>301744.86589626124</v>
      </c>
      <c r="Y39" s="30">
        <f t="shared" si="4"/>
        <v>322243.23543537577</v>
      </c>
      <c r="Z39" s="30">
        <f t="shared" ref="Z39:AA39" si="5">SUM(Z18:Z38)</f>
        <v>326660.85212855472</v>
      </c>
      <c r="AA39" s="30">
        <f t="shared" si="5"/>
        <v>331373.40000000014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6623.7014495900967</v>
      </c>
      <c r="E41" s="19">
        <v>6846.1862037453975</v>
      </c>
      <c r="F41" s="19">
        <v>7266.7392121431158</v>
      </c>
      <c r="G41" s="19">
        <v>6929.5095679012347</v>
      </c>
      <c r="H41" s="19">
        <v>6846.7118604304769</v>
      </c>
      <c r="I41" s="19">
        <v>6634.1951766386601</v>
      </c>
      <c r="J41" s="19">
        <v>6042.6390630934302</v>
      </c>
      <c r="K41" s="19">
        <v>5782.0918807561793</v>
      </c>
      <c r="L41" s="19">
        <v>5448.3306989040038</v>
      </c>
      <c r="M41" s="19">
        <v>5447.4063375430542</v>
      </c>
      <c r="N41" s="19">
        <v>5026.0367508337304</v>
      </c>
      <c r="O41" s="19">
        <v>4714.244331842915</v>
      </c>
      <c r="P41" s="19">
        <v>4404.5429709750051</v>
      </c>
      <c r="Q41" s="19">
        <v>4554.1752553360657</v>
      </c>
      <c r="R41" s="19">
        <v>4542.0414280689411</v>
      </c>
      <c r="S41" s="19">
        <v>4807.688067</v>
      </c>
      <c r="T41" s="19">
        <v>5047.6729108946292</v>
      </c>
      <c r="U41" s="19">
        <v>4595.8705700670671</v>
      </c>
      <c r="V41" s="19">
        <v>4667.4866841087924</v>
      </c>
      <c r="W41" s="19">
        <v>4911.5244658676384</v>
      </c>
      <c r="X41" s="19">
        <v>4654.2757354930818</v>
      </c>
      <c r="Y41" s="19">
        <v>4436.3063675622925</v>
      </c>
      <c r="Z41" s="19">
        <v>4273.787686978686</v>
      </c>
      <c r="AA41" s="19">
        <v>5484.6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1108.8063277050871</v>
      </c>
      <c r="E42" s="23">
        <v>973.73948427939501</v>
      </c>
      <c r="F42" s="23">
        <v>903.87842428623071</v>
      </c>
      <c r="G42" s="23">
        <v>835.6854938271606</v>
      </c>
      <c r="H42" s="23">
        <v>759.85755939524836</v>
      </c>
      <c r="I42" s="23">
        <v>628.65164531828862</v>
      </c>
      <c r="J42" s="23">
        <v>653.93156570451958</v>
      </c>
      <c r="K42" s="23">
        <v>616.07377605428985</v>
      </c>
      <c r="L42" s="23">
        <v>560.66245745442529</v>
      </c>
      <c r="M42" s="23">
        <v>464.10013777267511</v>
      </c>
      <c r="N42" s="23">
        <v>412.61808480228683</v>
      </c>
      <c r="O42" s="23">
        <v>423.31989918589449</v>
      </c>
      <c r="P42" s="23">
        <v>373.61550158850923</v>
      </c>
      <c r="Q42" s="23">
        <v>438.95811571157731</v>
      </c>
      <c r="R42" s="23">
        <v>448.48718958846291</v>
      </c>
      <c r="S42" s="23">
        <v>476.439705</v>
      </c>
      <c r="T42" s="23">
        <v>459.03008311734749</v>
      </c>
      <c r="U42" s="23">
        <v>487.38235086480768</v>
      </c>
      <c r="V42" s="23">
        <v>561.40236444930395</v>
      </c>
      <c r="W42" s="23">
        <v>542.0549765502866</v>
      </c>
      <c r="X42" s="23">
        <v>501.08075448107263</v>
      </c>
      <c r="Y42" s="23">
        <v>494.33559077028713</v>
      </c>
      <c r="Z42" s="23">
        <v>454.01565269960054</v>
      </c>
      <c r="AA42" s="23">
        <v>455.7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3559.8348553124483</v>
      </c>
      <c r="E43" s="23">
        <v>3281.0203255370434</v>
      </c>
      <c r="F43" s="23">
        <v>3145.8725063245397</v>
      </c>
      <c r="G43" s="23">
        <v>3084.4777434842249</v>
      </c>
      <c r="H43" s="23">
        <v>2975.183562970135</v>
      </c>
      <c r="I43" s="23">
        <v>2794.1356546163347</v>
      </c>
      <c r="J43" s="23">
        <v>2764.205529576529</v>
      </c>
      <c r="K43" s="23">
        <v>2668.0013572467283</v>
      </c>
      <c r="L43" s="23">
        <v>2501.9627846009803</v>
      </c>
      <c r="M43" s="23">
        <v>2020.5764638346729</v>
      </c>
      <c r="N43" s="23">
        <v>1823.3224487851357</v>
      </c>
      <c r="O43" s="23">
        <v>1847.339869026026</v>
      </c>
      <c r="P43" s="23">
        <v>1684.8869731958337</v>
      </c>
      <c r="Q43" s="23">
        <v>1614.6997094978901</v>
      </c>
      <c r="R43" s="23">
        <v>1714.4867041857194</v>
      </c>
      <c r="S43" s="23">
        <v>1656.8652870000001</v>
      </c>
      <c r="T43" s="23">
        <v>1560.8917687014034</v>
      </c>
      <c r="U43" s="23">
        <v>1666.8990910695377</v>
      </c>
      <c r="V43" s="23">
        <v>1578.7258527442061</v>
      </c>
      <c r="W43" s="23">
        <v>1641.0110213652945</v>
      </c>
      <c r="X43" s="23">
        <v>1619.9719350955929</v>
      </c>
      <c r="Y43" s="23">
        <v>1511.8825217281319</v>
      </c>
      <c r="Z43" s="23">
        <v>1467.7566111415197</v>
      </c>
      <c r="AA43" s="23">
        <v>1525.8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91.78002741734079</v>
      </c>
      <c r="E44" s="23">
        <v>155.73513892935659</v>
      </c>
      <c r="F44" s="23">
        <v>219.50453559812073</v>
      </c>
      <c r="G44" s="23">
        <v>81.038923182441707</v>
      </c>
      <c r="H44" s="23">
        <v>222.19875251359201</v>
      </c>
      <c r="I44" s="23">
        <v>113.34210876776677</v>
      </c>
      <c r="J44" s="23">
        <v>277.56705635206987</v>
      </c>
      <c r="K44" s="23">
        <v>232.05996122152203</v>
      </c>
      <c r="L44" s="23">
        <v>437.57419067026495</v>
      </c>
      <c r="M44" s="23">
        <v>239.80897818599314</v>
      </c>
      <c r="N44" s="23">
        <v>-229.41464506908051</v>
      </c>
      <c r="O44" s="23">
        <v>-495.633904542962</v>
      </c>
      <c r="P44" s="23">
        <v>-751.15476295740325</v>
      </c>
      <c r="Q44" s="23">
        <v>50.447969543147209</v>
      </c>
      <c r="R44" s="23">
        <v>-133.99483644037988</v>
      </c>
      <c r="S44" s="23">
        <v>706.37105699999995</v>
      </c>
      <c r="T44" s="23">
        <v>410.94798462775947</v>
      </c>
      <c r="U44" s="23">
        <v>395.35502117896226</v>
      </c>
      <c r="V44" s="23">
        <v>86.271080891110373</v>
      </c>
      <c r="W44" s="23">
        <v>186.4392912975508</v>
      </c>
      <c r="X44" s="23">
        <v>103.04258908493743</v>
      </c>
      <c r="Y44" s="23">
        <v>131.44930704876859</v>
      </c>
      <c r="Z44" s="23">
        <v>738.40871927259059</v>
      </c>
      <c r="AA44" s="23">
        <v>904.1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2006.2110402301971</v>
      </c>
      <c r="E45" s="23">
        <v>1992.0198500781394</v>
      </c>
      <c r="F45" s="23">
        <v>1806.217546078786</v>
      </c>
      <c r="G45" s="23">
        <v>1858.8965706447191</v>
      </c>
      <c r="H45" s="23">
        <v>1805.4203768526104</v>
      </c>
      <c r="I45" s="23">
        <v>1844.2277137460956</v>
      </c>
      <c r="J45" s="23">
        <v>1776.655630459552</v>
      </c>
      <c r="K45" s="23">
        <v>1671.6300290838585</v>
      </c>
      <c r="L45" s="23">
        <v>1817.2925108773477</v>
      </c>
      <c r="M45" s="23">
        <v>1943.1177726750861</v>
      </c>
      <c r="N45" s="23">
        <v>2049.3280705097668</v>
      </c>
      <c r="O45" s="23">
        <v>1980.2718753954525</v>
      </c>
      <c r="P45" s="23">
        <v>2387.2399738847021</v>
      </c>
      <c r="Q45" s="23">
        <v>2294.3493425478568</v>
      </c>
      <c r="R45" s="23">
        <v>2527.8041997889554</v>
      </c>
      <c r="S45" s="23">
        <v>2881.6552170000004</v>
      </c>
      <c r="T45" s="23">
        <v>3016.9740370006257</v>
      </c>
      <c r="U45" s="23">
        <v>3101.9173755735969</v>
      </c>
      <c r="V45" s="23">
        <v>3027.1718950739014</v>
      </c>
      <c r="W45" s="23">
        <v>3274.5414538822301</v>
      </c>
      <c r="X45" s="23">
        <v>3329.7444850848628</v>
      </c>
      <c r="Y45" s="23">
        <v>3522.6259382397052</v>
      </c>
      <c r="Z45" s="23">
        <v>3241.2430759678778</v>
      </c>
      <c r="AA45" s="23">
        <v>3509.5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3738.0532154297193</v>
      </c>
      <c r="E46" s="23">
        <v>4187.0008092072148</v>
      </c>
      <c r="F46" s="23">
        <v>3710.9504517528012</v>
      </c>
      <c r="G46" s="23">
        <v>4270.2210905349793</v>
      </c>
      <c r="H46" s="23">
        <v>4175.1456468310125</v>
      </c>
      <c r="I46" s="23">
        <v>4313.0642969563423</v>
      </c>
      <c r="J46" s="23">
        <v>4086.0814802506648</v>
      </c>
      <c r="K46" s="23">
        <v>3784.669486185167</v>
      </c>
      <c r="L46" s="23">
        <v>4056.7895996034586</v>
      </c>
      <c r="M46" s="23">
        <v>4511.7731572904713</v>
      </c>
      <c r="N46" s="23">
        <v>5810.8696808003815</v>
      </c>
      <c r="O46" s="23">
        <v>6207.1826928755227</v>
      </c>
      <c r="P46" s="23">
        <v>7357.6626756870683</v>
      </c>
      <c r="Q46" s="23">
        <v>7947.4394043177799</v>
      </c>
      <c r="R46" s="23">
        <v>8162.1792050650729</v>
      </c>
      <c r="S46" s="23">
        <v>9630.8798040000001</v>
      </c>
      <c r="T46" s="23">
        <v>10588.128116900529</v>
      </c>
      <c r="U46" s="23">
        <v>11536.859433462761</v>
      </c>
      <c r="V46" s="23">
        <v>13070.941944081067</v>
      </c>
      <c r="W46" s="23">
        <v>13184.595388223031</v>
      </c>
      <c r="X46" s="23">
        <v>13424.134794211228</v>
      </c>
      <c r="Y46" s="23">
        <v>13146.439139547909</v>
      </c>
      <c r="Z46" s="23">
        <v>16013.697154574495</v>
      </c>
      <c r="AA46" s="23">
        <v>24589.200000000001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4003.6811254682661</v>
      </c>
      <c r="E47" s="23">
        <v>3541.9477591184805</v>
      </c>
      <c r="F47" s="23">
        <v>3682.3194253704373</v>
      </c>
      <c r="G47" s="23">
        <v>3574.9525720164611</v>
      </c>
      <c r="H47" s="23">
        <v>3497.4468533551799</v>
      </c>
      <c r="I47" s="23">
        <v>3516.0599142836386</v>
      </c>
      <c r="J47" s="23">
        <v>3817.0070416350168</v>
      </c>
      <c r="K47" s="23">
        <v>4015.9036112457584</v>
      </c>
      <c r="L47" s="23">
        <v>3423.4827328303131</v>
      </c>
      <c r="M47" s="23">
        <v>2681.061768082664</v>
      </c>
      <c r="N47" s="23">
        <v>2380.2558551691282</v>
      </c>
      <c r="O47" s="23">
        <v>2322.0970346311215</v>
      </c>
      <c r="P47" s="23">
        <v>2399.3791057052672</v>
      </c>
      <c r="Q47" s="23">
        <v>2343.5816983670725</v>
      </c>
      <c r="R47" s="23">
        <v>2776.3778051354207</v>
      </c>
      <c r="S47" s="23">
        <v>2792.8072620000003</v>
      </c>
      <c r="T47" s="23">
        <v>2892.8606399142013</v>
      </c>
      <c r="U47" s="23">
        <v>3016.7891722555596</v>
      </c>
      <c r="V47" s="23">
        <v>2952.3104847999693</v>
      </c>
      <c r="W47" s="23">
        <v>3037.0039864512764</v>
      </c>
      <c r="X47" s="23">
        <v>2973.2126757672177</v>
      </c>
      <c r="Y47" s="23">
        <v>2817.7559655240948</v>
      </c>
      <c r="Z47" s="23">
        <v>2591.1043526922481</v>
      </c>
      <c r="AA47" s="23">
        <v>2890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4141.5939708996139</v>
      </c>
      <c r="E48" s="23">
        <v>4177.0501867401263</v>
      </c>
      <c r="F48" s="23">
        <v>4129.4867997831589</v>
      </c>
      <c r="G48" s="23">
        <v>3863.5117283950617</v>
      </c>
      <c r="H48" s="23">
        <v>3866.6431816489167</v>
      </c>
      <c r="I48" s="23">
        <v>3698.4179822756</v>
      </c>
      <c r="J48" s="23">
        <v>3987.8502017660467</v>
      </c>
      <c r="K48" s="23">
        <v>3980.6679350460495</v>
      </c>
      <c r="L48" s="23">
        <v>4034.7204119623289</v>
      </c>
      <c r="M48" s="23">
        <v>3274.520528128588</v>
      </c>
      <c r="N48" s="23">
        <v>2901.2051262505961</v>
      </c>
      <c r="O48" s="23">
        <v>2745.6684607921707</v>
      </c>
      <c r="P48" s="23">
        <v>2888.7455208151264</v>
      </c>
      <c r="Q48" s="23">
        <v>3214.2042474466393</v>
      </c>
      <c r="R48" s="23">
        <v>3326.2600140696454</v>
      </c>
      <c r="S48" s="23">
        <v>3310.6298400000001</v>
      </c>
      <c r="T48" s="23">
        <v>3465.463955670748</v>
      </c>
      <c r="U48" s="23">
        <v>3519.3729879985881</v>
      </c>
      <c r="V48" s="23">
        <v>3346.0605463029856</v>
      </c>
      <c r="W48" s="23">
        <v>3571.3482021886393</v>
      </c>
      <c r="X48" s="23">
        <v>3357.0073731256939</v>
      </c>
      <c r="Y48" s="23">
        <v>3244.1042507634211</v>
      </c>
      <c r="Z48" s="23">
        <v>3507.7093442368496</v>
      </c>
      <c r="AA48" s="23">
        <v>3985.2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2939.7126594820561</v>
      </c>
      <c r="E49" s="23">
        <v>3022.9359269462029</v>
      </c>
      <c r="F49" s="23">
        <v>2975.779580773401</v>
      </c>
      <c r="G49" s="23">
        <v>3061.1506515775036</v>
      </c>
      <c r="H49" s="23">
        <v>2831.8868325016756</v>
      </c>
      <c r="I49" s="23">
        <v>2704.6170464175889</v>
      </c>
      <c r="J49" s="23">
        <v>2986.145939755032</v>
      </c>
      <c r="K49" s="23">
        <v>3129.2308531265148</v>
      </c>
      <c r="L49" s="23">
        <v>2535.460658699124</v>
      </c>
      <c r="M49" s="23">
        <v>2349.1890929965557</v>
      </c>
      <c r="N49" s="23">
        <v>2509.67248213435</v>
      </c>
      <c r="O49" s="23">
        <v>2578.0257318513518</v>
      </c>
      <c r="P49" s="23">
        <v>2562.2151365912337</v>
      </c>
      <c r="Q49" s="23">
        <v>2583.4222860987097</v>
      </c>
      <c r="R49" s="23">
        <v>2467.518508617658</v>
      </c>
      <c r="S49" s="23">
        <v>2534.1344910000003</v>
      </c>
      <c r="T49" s="23">
        <v>2636.9359728304585</v>
      </c>
      <c r="U49" s="23">
        <v>3005.0957377338514</v>
      </c>
      <c r="V49" s="23">
        <v>2922.1563553117135</v>
      </c>
      <c r="W49" s="23">
        <v>2990.9695935383011</v>
      </c>
      <c r="X49" s="23">
        <v>2558.7055004525391</v>
      </c>
      <c r="Y49" s="23">
        <v>2973.0169913087475</v>
      </c>
      <c r="Z49" s="23">
        <v>2994.554742784318</v>
      </c>
      <c r="AA49" s="23">
        <v>3610.2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1474.3077420055376</v>
      </c>
      <c r="E50" s="23">
        <v>1442.0505257860302</v>
      </c>
      <c r="F50" s="23">
        <v>1309.022840621612</v>
      </c>
      <c r="G50" s="23">
        <v>1165.5972222222224</v>
      </c>
      <c r="H50" s="23">
        <v>1235.0460974156549</v>
      </c>
      <c r="I50" s="23">
        <v>1078.5548439429526</v>
      </c>
      <c r="J50" s="23">
        <v>1160.3746700531713</v>
      </c>
      <c r="K50" s="23">
        <v>1243.4339796412989</v>
      </c>
      <c r="L50" s="23">
        <v>1434.6285608856087</v>
      </c>
      <c r="M50" s="23">
        <v>1069.2950631458095</v>
      </c>
      <c r="N50" s="23">
        <v>1137.477455931396</v>
      </c>
      <c r="O50" s="23">
        <v>1180.919148352807</v>
      </c>
      <c r="P50" s="23">
        <v>1103.3122032469334</v>
      </c>
      <c r="Q50" s="23">
        <v>993.88578068619665</v>
      </c>
      <c r="R50" s="23">
        <v>1059.7337601125573</v>
      </c>
      <c r="S50" s="23">
        <v>1214.2951380000002</v>
      </c>
      <c r="T50" s="23">
        <v>1227.7515148806865</v>
      </c>
      <c r="U50" s="23">
        <v>1148.7630074126369</v>
      </c>
      <c r="V50" s="23">
        <v>1239.6956401194916</v>
      </c>
      <c r="W50" s="23">
        <v>1241.0872329338197</v>
      </c>
      <c r="X50" s="23">
        <v>1073.8239575266157</v>
      </c>
      <c r="Y50" s="23">
        <v>1181.7508194351587</v>
      </c>
      <c r="Z50" s="23">
        <v>1170.1133023438201</v>
      </c>
      <c r="AA50" s="23">
        <v>1220.5999999999999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6308.0558526521518</v>
      </c>
      <c r="E51" s="23">
        <v>6356.5523998092867</v>
      </c>
      <c r="F51" s="23">
        <v>6971.5009938561625</v>
      </c>
      <c r="G51" s="23">
        <v>5689.9927297668046</v>
      </c>
      <c r="H51" s="23">
        <v>5863.767345646831</v>
      </c>
      <c r="I51" s="23">
        <v>5418.1859536550528</v>
      </c>
      <c r="J51" s="23">
        <v>6558.9902214679068</v>
      </c>
      <c r="K51" s="23">
        <v>7261.3020843431896</v>
      </c>
      <c r="L51" s="23">
        <v>7088.9383444401601</v>
      </c>
      <c r="M51" s="23">
        <v>5990.0083811710683</v>
      </c>
      <c r="N51" s="23">
        <v>5667.8169604573613</v>
      </c>
      <c r="O51" s="23">
        <v>6375.5800027418063</v>
      </c>
      <c r="P51" s="23">
        <v>6139.8257338501562</v>
      </c>
      <c r="Q51" s="23">
        <v>6874.0524860864789</v>
      </c>
      <c r="R51" s="23">
        <v>6566.8256559971869</v>
      </c>
      <c r="S51" s="23">
        <v>5873.8635270000004</v>
      </c>
      <c r="T51" s="23">
        <v>6891.1358298328723</v>
      </c>
      <c r="U51" s="23">
        <v>7593.1317066713736</v>
      </c>
      <c r="V51" s="23">
        <v>7481.0183181365574</v>
      </c>
      <c r="W51" s="23">
        <v>8351.7897342365814</v>
      </c>
      <c r="X51" s="23">
        <v>6431.0370960969649</v>
      </c>
      <c r="Y51" s="23">
        <v>7663.3868556095622</v>
      </c>
      <c r="Z51" s="23">
        <v>5963.7781401390439</v>
      </c>
      <c r="AA51" s="23">
        <v>6289.8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1108.3207190944133</v>
      </c>
      <c r="E52" s="23">
        <v>1091.0936508356951</v>
      </c>
      <c r="F52" s="23">
        <v>1035.64271774485</v>
      </c>
      <c r="G52" s="23">
        <v>1037.7526406035665</v>
      </c>
      <c r="H52" s="23">
        <v>857.85594324867805</v>
      </c>
      <c r="I52" s="23">
        <v>932.43737378629021</v>
      </c>
      <c r="J52" s="23">
        <v>950.89009922142043</v>
      </c>
      <c r="K52" s="23">
        <v>825.01032476975274</v>
      </c>
      <c r="L52" s="23">
        <v>911.27353968166551</v>
      </c>
      <c r="M52" s="23">
        <v>600.37005740528127</v>
      </c>
      <c r="N52" s="23">
        <v>709.83441638875661</v>
      </c>
      <c r="O52" s="23">
        <v>798.09509216687059</v>
      </c>
      <c r="P52" s="23">
        <v>633.93243951840918</v>
      </c>
      <c r="Q52" s="23">
        <v>552.37487615436362</v>
      </c>
      <c r="R52" s="23">
        <v>546.64619767850866</v>
      </c>
      <c r="S52" s="23">
        <v>653.18154300000003</v>
      </c>
      <c r="T52" s="23">
        <v>723.36319599606759</v>
      </c>
      <c r="U52" s="23">
        <v>727.33162725026477</v>
      </c>
      <c r="V52" s="23">
        <v>660.13094285100658</v>
      </c>
      <c r="W52" s="23">
        <v>678.6620375195414</v>
      </c>
      <c r="X52" s="23">
        <v>584.64985210827354</v>
      </c>
      <c r="Y52" s="23">
        <v>673.08509928988315</v>
      </c>
      <c r="Z52" s="23">
        <v>578.5289583112077</v>
      </c>
      <c r="AA52" s="23">
        <v>762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3662.9457503121798</v>
      </c>
      <c r="E53" s="23">
        <v>3761.0193997827996</v>
      </c>
      <c r="F53" s="23">
        <v>3566.4099475966718</v>
      </c>
      <c r="G53" s="23">
        <v>3377.5811385459524</v>
      </c>
      <c r="H53" s="23">
        <v>3374.1346875698209</v>
      </c>
      <c r="I53" s="23">
        <v>3427.2632303445671</v>
      </c>
      <c r="J53" s="23">
        <v>3579.0722013862546</v>
      </c>
      <c r="K53" s="23">
        <v>3301.4176926805603</v>
      </c>
      <c r="L53" s="23">
        <v>3400.8880883405868</v>
      </c>
      <c r="M53" s="23">
        <v>3213.2316647531557</v>
      </c>
      <c r="N53" s="23">
        <v>3231.2490900428743</v>
      </c>
      <c r="O53" s="23">
        <v>3554.7049763782848</v>
      </c>
      <c r="P53" s="23">
        <v>3766.0736842105325</v>
      </c>
      <c r="Q53" s="23">
        <v>3765.7281939942504</v>
      </c>
      <c r="R53" s="23">
        <v>3656.9324234963124</v>
      </c>
      <c r="S53" s="23">
        <v>3987.7824419999947</v>
      </c>
      <c r="T53" s="23">
        <v>4335.6788810438829</v>
      </c>
      <c r="U53" s="23">
        <v>4001.6102276738338</v>
      </c>
      <c r="V53" s="23">
        <v>3981.6257697639476</v>
      </c>
      <c r="W53" s="23">
        <v>3980.1336112558552</v>
      </c>
      <c r="X53" s="23">
        <v>3974.706522165091</v>
      </c>
      <c r="Y53" s="23">
        <v>4643.7161348318759</v>
      </c>
      <c r="Z53" s="23">
        <v>4554.5759082405448</v>
      </c>
      <c r="AA53" s="23">
        <v>5966.7000000000044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40767.004735599105</v>
      </c>
      <c r="E54" s="30">
        <f t="shared" ref="E54:S54" si="6">SUM(E41:E53)</f>
        <v>40828.351660795175</v>
      </c>
      <c r="F54" s="30">
        <f t="shared" si="6"/>
        <v>40723.324981929887</v>
      </c>
      <c r="G54" s="30">
        <f t="shared" si="6"/>
        <v>38830.368072702331</v>
      </c>
      <c r="H54" s="30">
        <f t="shared" si="6"/>
        <v>38311.298700379833</v>
      </c>
      <c r="I54" s="30">
        <f t="shared" si="6"/>
        <v>37103.152940749176</v>
      </c>
      <c r="J54" s="30">
        <f t="shared" si="6"/>
        <v>38641.410700721615</v>
      </c>
      <c r="K54" s="30">
        <f t="shared" si="6"/>
        <v>38511.492971400876</v>
      </c>
      <c r="L54" s="30">
        <f t="shared" si="6"/>
        <v>37652.004578950262</v>
      </c>
      <c r="M54" s="30">
        <f t="shared" si="6"/>
        <v>33804.459402985078</v>
      </c>
      <c r="N54" s="30">
        <f t="shared" si="6"/>
        <v>33430.27177703668</v>
      </c>
      <c r="O54" s="30">
        <f t="shared" si="6"/>
        <v>34231.815210697263</v>
      </c>
      <c r="P54" s="30">
        <f t="shared" si="6"/>
        <v>34950.277156311371</v>
      </c>
      <c r="Q54" s="30">
        <f t="shared" si="6"/>
        <v>37227.319365788026</v>
      </c>
      <c r="R54" s="30">
        <f t="shared" si="6"/>
        <v>37661.298255364061</v>
      </c>
      <c r="S54" s="30">
        <f t="shared" si="6"/>
        <v>40526.593379999998</v>
      </c>
      <c r="T54" s="30">
        <f t="shared" ref="T54:Y54" si="7">SUM(T41:T53)</f>
        <v>43256.834891411214</v>
      </c>
      <c r="U54" s="30">
        <f t="shared" si="7"/>
        <v>44796.378309212836</v>
      </c>
      <c r="V54" s="30">
        <f t="shared" si="7"/>
        <v>45574.997878634051</v>
      </c>
      <c r="W54" s="30">
        <f t="shared" si="7"/>
        <v>47591.160995310041</v>
      </c>
      <c r="X54" s="30">
        <f t="shared" si="7"/>
        <v>44585.393270693174</v>
      </c>
      <c r="Y54" s="30">
        <f t="shared" si="7"/>
        <v>46439.854981659839</v>
      </c>
      <c r="Z54" s="30">
        <f t="shared" ref="Z54:AA54" si="8">SUM(Z41:Z53)</f>
        <v>47549.273649382805</v>
      </c>
      <c r="AA54" s="30">
        <f t="shared" si="8"/>
        <v>61193.4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6623.7014495900967</v>
      </c>
      <c r="E56" s="19">
        <v>6846.1862037453975</v>
      </c>
      <c r="F56" s="19">
        <v>7266.7392121431158</v>
      </c>
      <c r="G56" s="19">
        <v>6929.5095679012347</v>
      </c>
      <c r="H56" s="19">
        <v>6846.7118604304769</v>
      </c>
      <c r="I56" s="19">
        <v>6634.1951766386601</v>
      </c>
      <c r="J56" s="19">
        <v>6042.6390630934302</v>
      </c>
      <c r="K56" s="19">
        <v>5782.0918807561793</v>
      </c>
      <c r="L56" s="19">
        <v>5448.3306989040038</v>
      </c>
      <c r="M56" s="19">
        <v>5447.4063375430542</v>
      </c>
      <c r="N56" s="19">
        <v>5026.0367508337304</v>
      </c>
      <c r="O56" s="19">
        <v>4714.244331842915</v>
      </c>
      <c r="P56" s="19">
        <v>4404.5429709750051</v>
      </c>
      <c r="Q56" s="19">
        <v>4554.1752553360657</v>
      </c>
      <c r="R56" s="19">
        <v>4542.0414280689411</v>
      </c>
      <c r="S56" s="19">
        <v>4807.688067</v>
      </c>
      <c r="T56" s="19">
        <v>5047.6729108946292</v>
      </c>
      <c r="U56" s="19">
        <v>4595.8705700670671</v>
      </c>
      <c r="V56" s="19">
        <v>4667.4866841087924</v>
      </c>
      <c r="W56" s="19">
        <v>4911.5244658676384</v>
      </c>
      <c r="X56" s="19">
        <v>4654.2757354930818</v>
      </c>
      <c r="Y56" s="19">
        <v>4436.3063675622925</v>
      </c>
      <c r="Z56" s="19">
        <v>4273.787686978686</v>
      </c>
      <c r="AA56" s="19">
        <v>5484.6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1108.8063277050871</v>
      </c>
      <c r="E57" s="23">
        <v>973.73948427939501</v>
      </c>
      <c r="F57" s="23">
        <v>903.87842428623071</v>
      </c>
      <c r="G57" s="23">
        <v>835.6854938271606</v>
      </c>
      <c r="H57" s="23">
        <v>759.85755939524836</v>
      </c>
      <c r="I57" s="23">
        <v>628.65164531828862</v>
      </c>
      <c r="J57" s="23">
        <v>653.93156570451958</v>
      </c>
      <c r="K57" s="23">
        <v>616.07377605428985</v>
      </c>
      <c r="L57" s="23">
        <v>560.66245745442529</v>
      </c>
      <c r="M57" s="23">
        <v>464.10013777267511</v>
      </c>
      <c r="N57" s="23">
        <v>412.61808480228683</v>
      </c>
      <c r="O57" s="23">
        <v>423.31989918589449</v>
      </c>
      <c r="P57" s="23">
        <v>373.61550158850923</v>
      </c>
      <c r="Q57" s="23">
        <v>438.95811571157731</v>
      </c>
      <c r="R57" s="23">
        <v>448.48718958846291</v>
      </c>
      <c r="S57" s="23">
        <v>476.439705</v>
      </c>
      <c r="T57" s="23">
        <v>459.03008311734749</v>
      </c>
      <c r="U57" s="23">
        <v>487.38235086480768</v>
      </c>
      <c r="V57" s="23">
        <v>561.40236444930395</v>
      </c>
      <c r="W57" s="23">
        <v>542.0549765502866</v>
      </c>
      <c r="X57" s="23">
        <v>501.08075448107263</v>
      </c>
      <c r="Y57" s="23">
        <v>494.33559077028713</v>
      </c>
      <c r="Z57" s="23">
        <v>454.01565269960054</v>
      </c>
      <c r="AA57" s="23">
        <v>455.7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1168.2124477441771</v>
      </c>
      <c r="E58" s="23">
        <v>1096.3058816517892</v>
      </c>
      <c r="F58" s="23">
        <v>1033.6416245030721</v>
      </c>
      <c r="G58" s="23">
        <v>1064.7151234567903</v>
      </c>
      <c r="H58" s="23">
        <v>1087.900487823043</v>
      </c>
      <c r="I58" s="23">
        <v>1097.9024141020363</v>
      </c>
      <c r="J58" s="23">
        <v>1098.8031914641094</v>
      </c>
      <c r="K58" s="23">
        <v>1100.701963160446</v>
      </c>
      <c r="L58" s="23">
        <v>939.64820950597561</v>
      </c>
      <c r="M58" s="23">
        <v>679.13276693455794</v>
      </c>
      <c r="N58" s="23">
        <v>665.26459266317295</v>
      </c>
      <c r="O58" s="23">
        <v>676.35603619184201</v>
      </c>
      <c r="P58" s="23">
        <v>662.25708043306156</v>
      </c>
      <c r="Q58" s="23">
        <v>633.94255703015108</v>
      </c>
      <c r="R58" s="23">
        <v>668.65580724586709</v>
      </c>
      <c r="S58" s="23">
        <v>690.62886900000001</v>
      </c>
      <c r="T58" s="23">
        <v>667.4647957815713</v>
      </c>
      <c r="U58" s="23">
        <v>687.80781856689032</v>
      </c>
      <c r="V58" s="23">
        <v>675.49907062108298</v>
      </c>
      <c r="W58" s="23">
        <v>707.54861907243344</v>
      </c>
      <c r="X58" s="23">
        <v>691.03075401453725</v>
      </c>
      <c r="Y58" s="23">
        <v>774.90443958585547</v>
      </c>
      <c r="Z58" s="23">
        <v>778.54915895332783</v>
      </c>
      <c r="AA58" s="23">
        <v>778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905.33631983278121</v>
      </c>
      <c r="E59" s="23">
        <v>892.2391478822874</v>
      </c>
      <c r="F59" s="23">
        <v>885.25286411275761</v>
      </c>
      <c r="G59" s="23">
        <v>845.98576817558308</v>
      </c>
      <c r="H59" s="23">
        <v>758.08115364563946</v>
      </c>
      <c r="I59" s="23">
        <v>660.84946729945034</v>
      </c>
      <c r="J59" s="23">
        <v>647.42055877326243</v>
      </c>
      <c r="K59" s="23">
        <v>624.05685894328644</v>
      </c>
      <c r="L59" s="23">
        <v>564.866112243212</v>
      </c>
      <c r="M59" s="23">
        <v>537.38597014925381</v>
      </c>
      <c r="N59" s="23">
        <v>490.64684135302531</v>
      </c>
      <c r="O59" s="23">
        <v>514.87571814232081</v>
      </c>
      <c r="P59" s="23">
        <v>469.37976372852427</v>
      </c>
      <c r="Q59" s="23">
        <v>445.88711393798548</v>
      </c>
      <c r="R59" s="23">
        <v>476.89217727752379</v>
      </c>
      <c r="S59" s="23">
        <v>488.48486400000002</v>
      </c>
      <c r="T59" s="23">
        <v>428.23859147376896</v>
      </c>
      <c r="U59" s="23">
        <v>476.15665372396751</v>
      </c>
      <c r="V59" s="23">
        <v>442.64864986235045</v>
      </c>
      <c r="W59" s="23">
        <v>495.33006774361638</v>
      </c>
      <c r="X59" s="23">
        <v>545.92542338088879</v>
      </c>
      <c r="Y59" s="23">
        <v>454.25432665377735</v>
      </c>
      <c r="Z59" s="23">
        <v>432.67886558775234</v>
      </c>
      <c r="AA59" s="23">
        <v>481.7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1486.2860877354901</v>
      </c>
      <c r="E60" s="23">
        <v>1292.4752960029668</v>
      </c>
      <c r="F60" s="23">
        <v>1226.97801770871</v>
      </c>
      <c r="G60" s="23">
        <v>1173.7768518518517</v>
      </c>
      <c r="H60" s="23">
        <v>1129.2019215014523</v>
      </c>
      <c r="I60" s="23">
        <v>1035.3837732148481</v>
      </c>
      <c r="J60" s="23">
        <v>1017.9817793391572</v>
      </c>
      <c r="K60" s="23">
        <v>943.24253514299585</v>
      </c>
      <c r="L60" s="23">
        <v>997.44846285179267</v>
      </c>
      <c r="M60" s="23">
        <v>804.05772675086121</v>
      </c>
      <c r="N60" s="23">
        <v>667.41101476893755</v>
      </c>
      <c r="O60" s="23">
        <v>656.10811469186331</v>
      </c>
      <c r="P60" s="23">
        <v>553.25012903424783</v>
      </c>
      <c r="Q60" s="23">
        <v>534.87003852975351</v>
      </c>
      <c r="R60" s="23">
        <v>568.93871966232859</v>
      </c>
      <c r="S60" s="23">
        <v>477.75155399999989</v>
      </c>
      <c r="T60" s="23">
        <v>465.18838144606309</v>
      </c>
      <c r="U60" s="23">
        <v>502.93461877867975</v>
      </c>
      <c r="V60" s="23">
        <v>460.57813226077275</v>
      </c>
      <c r="W60" s="23">
        <v>438.13233454924466</v>
      </c>
      <c r="X60" s="23">
        <v>383.01575770016706</v>
      </c>
      <c r="Y60" s="23">
        <v>282.72375548849885</v>
      </c>
      <c r="Z60" s="23">
        <v>256.5285866004395</v>
      </c>
      <c r="AA60" s="23">
        <v>266.09999999999991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91.78002741734079</v>
      </c>
      <c r="E61" s="23">
        <v>155.73513892935659</v>
      </c>
      <c r="F61" s="23">
        <v>219.50453559812073</v>
      </c>
      <c r="G61" s="23">
        <v>81.038923182441707</v>
      </c>
      <c r="H61" s="23">
        <v>222.19875251359201</v>
      </c>
      <c r="I61" s="23">
        <v>113.34210876776677</v>
      </c>
      <c r="J61" s="23">
        <v>277.56705635206987</v>
      </c>
      <c r="K61" s="23">
        <v>232.05996122152203</v>
      </c>
      <c r="L61" s="23">
        <v>437.57419067026495</v>
      </c>
      <c r="M61" s="23">
        <v>239.80897818599314</v>
      </c>
      <c r="N61" s="23">
        <v>-229.41464506908051</v>
      </c>
      <c r="O61" s="23">
        <v>-495.633904542962</v>
      </c>
      <c r="P61" s="23">
        <v>-751.15476295740325</v>
      </c>
      <c r="Q61" s="23">
        <v>50.447969543147209</v>
      </c>
      <c r="R61" s="23">
        <v>-133.99483644037988</v>
      </c>
      <c r="S61" s="23">
        <v>706.37105699999995</v>
      </c>
      <c r="T61" s="23">
        <v>410.94798462775947</v>
      </c>
      <c r="U61" s="23">
        <v>395.35502117896226</v>
      </c>
      <c r="V61" s="23">
        <v>86.271080891110373</v>
      </c>
      <c r="W61" s="23">
        <v>186.4392912975508</v>
      </c>
      <c r="X61" s="23">
        <v>103.04258908493743</v>
      </c>
      <c r="Y61" s="23">
        <v>131.44930704876859</v>
      </c>
      <c r="Z61" s="23">
        <v>738.40871927259059</v>
      </c>
      <c r="AA61" s="23">
        <v>904.1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2006.2110402301971</v>
      </c>
      <c r="E62" s="23">
        <v>1992.0198500781394</v>
      </c>
      <c r="F62" s="23">
        <v>1806.217546078786</v>
      </c>
      <c r="G62" s="23">
        <v>1858.8965706447191</v>
      </c>
      <c r="H62" s="23">
        <v>1805.4203768526104</v>
      </c>
      <c r="I62" s="23">
        <v>1844.2277137460956</v>
      </c>
      <c r="J62" s="23">
        <v>1776.655630459552</v>
      </c>
      <c r="K62" s="23">
        <v>1671.6300290838585</v>
      </c>
      <c r="L62" s="23">
        <v>1817.2925108773477</v>
      </c>
      <c r="M62" s="23">
        <v>1943.1177726750861</v>
      </c>
      <c r="N62" s="23">
        <v>2049.3280705097668</v>
      </c>
      <c r="O62" s="23">
        <v>1980.2718753954525</v>
      </c>
      <c r="P62" s="23">
        <v>2387.2399738847021</v>
      </c>
      <c r="Q62" s="23">
        <v>2294.3493425478568</v>
      </c>
      <c r="R62" s="23">
        <v>2527.8041997889554</v>
      </c>
      <c r="S62" s="23">
        <v>2881.6552170000004</v>
      </c>
      <c r="T62" s="23">
        <v>3016.9740370006257</v>
      </c>
      <c r="U62" s="23">
        <v>3101.9173755735969</v>
      </c>
      <c r="V62" s="23">
        <v>3027.1718950739014</v>
      </c>
      <c r="W62" s="23">
        <v>3274.5414538822301</v>
      </c>
      <c r="X62" s="23">
        <v>3329.7444850848628</v>
      </c>
      <c r="Y62" s="23">
        <v>3522.6259382397052</v>
      </c>
      <c r="Z62" s="23">
        <v>3241.2430759678778</v>
      </c>
      <c r="AA62" s="23">
        <v>3509.5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3738.0532154297193</v>
      </c>
      <c r="E63" s="23">
        <v>4187.0008092072148</v>
      </c>
      <c r="F63" s="23">
        <v>3710.9504517528012</v>
      </c>
      <c r="G63" s="23">
        <v>4270.2210905349793</v>
      </c>
      <c r="H63" s="23">
        <v>4175.1456468310125</v>
      </c>
      <c r="I63" s="23">
        <v>4313.0642969563423</v>
      </c>
      <c r="J63" s="23">
        <v>4086.0814802506648</v>
      </c>
      <c r="K63" s="23">
        <v>3784.669486185167</v>
      </c>
      <c r="L63" s="23">
        <v>4056.7895996034586</v>
      </c>
      <c r="M63" s="23">
        <v>4511.7731572904713</v>
      </c>
      <c r="N63" s="23">
        <v>5810.8696808003815</v>
      </c>
      <c r="O63" s="23">
        <v>6207.1826928755227</v>
      </c>
      <c r="P63" s="23">
        <v>7357.6626756870683</v>
      </c>
      <c r="Q63" s="23">
        <v>7947.4394043177799</v>
      </c>
      <c r="R63" s="23">
        <v>8162.1792050650729</v>
      </c>
      <c r="S63" s="23">
        <v>9630.8798040000001</v>
      </c>
      <c r="T63" s="23">
        <v>10588.128116900529</v>
      </c>
      <c r="U63" s="23">
        <v>11536.859433462761</v>
      </c>
      <c r="V63" s="23">
        <v>13070.941944081067</v>
      </c>
      <c r="W63" s="23">
        <v>13184.595388223031</v>
      </c>
      <c r="X63" s="23">
        <v>13424.134794211228</v>
      </c>
      <c r="Y63" s="23">
        <v>13146.439139547909</v>
      </c>
      <c r="Z63" s="23">
        <v>16013.697154574495</v>
      </c>
      <c r="AA63" s="23">
        <v>24589.200000000001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2082.2897225690863</v>
      </c>
      <c r="E64" s="23">
        <v>1923.944956692183</v>
      </c>
      <c r="F64" s="23">
        <v>2006.9425912540657</v>
      </c>
      <c r="G64" s="23">
        <v>1988.8617969821676</v>
      </c>
      <c r="H64" s="23">
        <v>1952.2699188202876</v>
      </c>
      <c r="I64" s="23">
        <v>1908.0458183006854</v>
      </c>
      <c r="J64" s="23">
        <v>2075.5957747816183</v>
      </c>
      <c r="K64" s="23">
        <v>2168.5081192438197</v>
      </c>
      <c r="L64" s="23">
        <v>1726.2571118576857</v>
      </c>
      <c r="M64" s="23">
        <v>1423.9880597014926</v>
      </c>
      <c r="N64" s="23">
        <v>1360.579094807051</v>
      </c>
      <c r="O64" s="23">
        <v>1085.0873708187455</v>
      </c>
      <c r="P64" s="23">
        <v>1208.6406298516363</v>
      </c>
      <c r="Q64" s="23">
        <v>1168.8125955599046</v>
      </c>
      <c r="R64" s="23">
        <v>1501.6290749208586</v>
      </c>
      <c r="S64" s="23">
        <v>1492.6456439999999</v>
      </c>
      <c r="T64" s="23">
        <v>1394.1439985700242</v>
      </c>
      <c r="U64" s="23">
        <v>1416.776526650194</v>
      </c>
      <c r="V64" s="23">
        <v>1302.7981041451083</v>
      </c>
      <c r="W64" s="23">
        <v>1350.303830119854</v>
      </c>
      <c r="X64" s="23">
        <v>1343.7821876778664</v>
      </c>
      <c r="Y64" s="23">
        <v>1229.1587662396328</v>
      </c>
      <c r="Z64" s="23">
        <v>1103.2775217103599</v>
      </c>
      <c r="AA64" s="23">
        <v>1277.4000000000001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1921.3914028991801</v>
      </c>
      <c r="E65" s="23">
        <v>1618.0028024262972</v>
      </c>
      <c r="F65" s="23">
        <v>1675.3768341163714</v>
      </c>
      <c r="G65" s="23">
        <v>1586.0907750342935</v>
      </c>
      <c r="H65" s="23">
        <v>1545.1769345348923</v>
      </c>
      <c r="I65" s="23">
        <v>1608.0140959829534</v>
      </c>
      <c r="J65" s="23">
        <v>1741.4112668533987</v>
      </c>
      <c r="K65" s="23">
        <v>1847.3954920019387</v>
      </c>
      <c r="L65" s="23">
        <v>1697.2256209726277</v>
      </c>
      <c r="M65" s="23">
        <v>1257.0737083811712</v>
      </c>
      <c r="N65" s="23">
        <v>1019.6767603620774</v>
      </c>
      <c r="O65" s="23">
        <v>1237.0096638123762</v>
      </c>
      <c r="P65" s="23">
        <v>1190.7384758536309</v>
      </c>
      <c r="Q65" s="23">
        <v>1174.7691028071679</v>
      </c>
      <c r="R65" s="23">
        <v>1274.7487302145621</v>
      </c>
      <c r="S65" s="23">
        <v>1300.1616180000003</v>
      </c>
      <c r="T65" s="23">
        <v>1498.7166413441771</v>
      </c>
      <c r="U65" s="23">
        <v>1600.0126456053656</v>
      </c>
      <c r="V65" s="23">
        <v>1649.5123806548611</v>
      </c>
      <c r="W65" s="23">
        <v>1686.7001563314227</v>
      </c>
      <c r="X65" s="23">
        <v>1629.430488089351</v>
      </c>
      <c r="Y65" s="23">
        <v>1588.5971992844622</v>
      </c>
      <c r="Z65" s="23">
        <v>1487.8268309818882</v>
      </c>
      <c r="AA65" s="23">
        <v>1612.6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835.08494082197717</v>
      </c>
      <c r="E66" s="23">
        <v>757.51087860567372</v>
      </c>
      <c r="F66" s="23">
        <v>638.81053487531631</v>
      </c>
      <c r="G66" s="23">
        <v>541.52177640603566</v>
      </c>
      <c r="H66" s="23">
        <v>557.05123631488789</v>
      </c>
      <c r="I66" s="23">
        <v>510.54483643671767</v>
      </c>
      <c r="J66" s="23">
        <v>583.72592575009492</v>
      </c>
      <c r="K66" s="23">
        <v>665.6239457101309</v>
      </c>
      <c r="L66" s="23">
        <v>595.07988103761636</v>
      </c>
      <c r="M66" s="23">
        <v>327.04780711825492</v>
      </c>
      <c r="N66" s="23">
        <v>300.37283468318248</v>
      </c>
      <c r="O66" s="23">
        <v>370.24770742818572</v>
      </c>
      <c r="P66" s="23">
        <v>361.72160475421805</v>
      </c>
      <c r="Q66" s="23">
        <v>368.81720384074367</v>
      </c>
      <c r="R66" s="23">
        <v>394.31396412240593</v>
      </c>
      <c r="S66" s="23">
        <v>481.09080599999999</v>
      </c>
      <c r="T66" s="23">
        <v>474.54425775315042</v>
      </c>
      <c r="U66" s="23">
        <v>478.61227497352633</v>
      </c>
      <c r="V66" s="23">
        <v>452.42836753421722</v>
      </c>
      <c r="W66" s="23">
        <v>524.67699322563828</v>
      </c>
      <c r="X66" s="23">
        <v>429.64086010469055</v>
      </c>
      <c r="Y66" s="23">
        <v>435.07565726469471</v>
      </c>
      <c r="Z66" s="23">
        <v>573.26783272198486</v>
      </c>
      <c r="AA66" s="23">
        <v>613.1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3306.5090300776369</v>
      </c>
      <c r="E67" s="23">
        <v>3419.5393081344528</v>
      </c>
      <c r="F67" s="23">
        <v>3490.6762649078423</v>
      </c>
      <c r="G67" s="23">
        <v>3321.9899519890259</v>
      </c>
      <c r="H67" s="23">
        <v>3309.5919453340284</v>
      </c>
      <c r="I67" s="23">
        <v>3187.8731458388825</v>
      </c>
      <c r="J67" s="23">
        <v>3404.1242760159516</v>
      </c>
      <c r="K67" s="23">
        <v>3315.0439893359185</v>
      </c>
      <c r="L67" s="23">
        <v>3439.6405309247125</v>
      </c>
      <c r="M67" s="23">
        <v>2947.4727210103329</v>
      </c>
      <c r="N67" s="23">
        <v>2600.8322915674134</v>
      </c>
      <c r="O67" s="23">
        <v>2375.4207533639851</v>
      </c>
      <c r="P67" s="23">
        <v>2527.0239160609085</v>
      </c>
      <c r="Q67" s="23">
        <v>2845.3870436058955</v>
      </c>
      <c r="R67" s="23">
        <v>2931.9460499472393</v>
      </c>
      <c r="S67" s="23">
        <v>2829.5390339999999</v>
      </c>
      <c r="T67" s="23">
        <v>2990.9196979175981</v>
      </c>
      <c r="U67" s="23">
        <v>3040.7607130250612</v>
      </c>
      <c r="V67" s="23">
        <v>2893.6321787687684</v>
      </c>
      <c r="W67" s="23">
        <v>3046.6712089630009</v>
      </c>
      <c r="X67" s="23">
        <v>2927.3665130210038</v>
      </c>
      <c r="Y67" s="23">
        <v>2809.028593498726</v>
      </c>
      <c r="Z67" s="23">
        <v>2934.4415115148645</v>
      </c>
      <c r="AA67" s="23">
        <v>3372.1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2939.7126594820561</v>
      </c>
      <c r="E68" s="23">
        <v>3022.9359269462029</v>
      </c>
      <c r="F68" s="23">
        <v>2975.779580773401</v>
      </c>
      <c r="G68" s="23">
        <v>3061.1506515775036</v>
      </c>
      <c r="H68" s="23">
        <v>2831.8868325016756</v>
      </c>
      <c r="I68" s="23">
        <v>2704.6170464175889</v>
      </c>
      <c r="J68" s="23">
        <v>2986.145939755032</v>
      </c>
      <c r="K68" s="23">
        <v>3129.2308531265148</v>
      </c>
      <c r="L68" s="23">
        <v>2535.460658699124</v>
      </c>
      <c r="M68" s="23">
        <v>2349.1890929965557</v>
      </c>
      <c r="N68" s="23">
        <v>2509.67248213435</v>
      </c>
      <c r="O68" s="23">
        <v>2578.0257318513518</v>
      </c>
      <c r="P68" s="23">
        <v>2562.2151365912337</v>
      </c>
      <c r="Q68" s="23">
        <v>2583.4222860987097</v>
      </c>
      <c r="R68" s="23">
        <v>2467.518508617658</v>
      </c>
      <c r="S68" s="23">
        <v>2534.1344910000003</v>
      </c>
      <c r="T68" s="23">
        <v>2636.9359728304585</v>
      </c>
      <c r="U68" s="23">
        <v>3005.0957377338514</v>
      </c>
      <c r="V68" s="23">
        <v>2922.1563553117135</v>
      </c>
      <c r="W68" s="23">
        <v>2990.9695935383011</v>
      </c>
      <c r="X68" s="23">
        <v>2558.7055004525391</v>
      </c>
      <c r="Y68" s="23">
        <v>2973.0169913087475</v>
      </c>
      <c r="Z68" s="23">
        <v>2994.554742784318</v>
      </c>
      <c r="AA68" s="23">
        <v>3610.2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1474.3077420055376</v>
      </c>
      <c r="E69" s="23">
        <v>1442.0505257860302</v>
      </c>
      <c r="F69" s="23">
        <v>1309.022840621612</v>
      </c>
      <c r="G69" s="23">
        <v>1165.5972222222224</v>
      </c>
      <c r="H69" s="23">
        <v>1235.0460974156549</v>
      </c>
      <c r="I69" s="23">
        <v>1078.5548439429526</v>
      </c>
      <c r="J69" s="23">
        <v>1160.3746700531713</v>
      </c>
      <c r="K69" s="23">
        <v>1243.4339796412989</v>
      </c>
      <c r="L69" s="23">
        <v>1434.6285608856087</v>
      </c>
      <c r="M69" s="23">
        <v>1069.2950631458095</v>
      </c>
      <c r="N69" s="23">
        <v>1137.477455931396</v>
      </c>
      <c r="O69" s="23">
        <v>1180.919148352807</v>
      </c>
      <c r="P69" s="23">
        <v>1103.3122032469334</v>
      </c>
      <c r="Q69" s="23">
        <v>993.88578068619665</v>
      </c>
      <c r="R69" s="23">
        <v>1059.7337601125573</v>
      </c>
      <c r="S69" s="23">
        <v>1214.2951380000002</v>
      </c>
      <c r="T69" s="23">
        <v>1227.7515148806865</v>
      </c>
      <c r="U69" s="23">
        <v>1148.7630074126369</v>
      </c>
      <c r="V69" s="23">
        <v>1239.6956401194916</v>
      </c>
      <c r="W69" s="23">
        <v>1241.0872329338197</v>
      </c>
      <c r="X69" s="23">
        <v>1073.8239575266157</v>
      </c>
      <c r="Y69" s="23">
        <v>1181.7508194351587</v>
      </c>
      <c r="Z69" s="23">
        <v>1170.1133023438201</v>
      </c>
      <c r="AA69" s="23">
        <v>1220.5999999999999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6308.0558526521518</v>
      </c>
      <c r="E70" s="23">
        <v>6356.5523998092867</v>
      </c>
      <c r="F70" s="23">
        <v>6971.5009938561625</v>
      </c>
      <c r="G70" s="23">
        <v>5689.9927297668046</v>
      </c>
      <c r="H70" s="23">
        <v>5863.767345646831</v>
      </c>
      <c r="I70" s="23">
        <v>5418.1859536550528</v>
      </c>
      <c r="J70" s="23">
        <v>6558.9902214679068</v>
      </c>
      <c r="K70" s="23">
        <v>7261.3020843431896</v>
      </c>
      <c r="L70" s="23">
        <v>7088.9383444401601</v>
      </c>
      <c r="M70" s="23">
        <v>5990.0083811710683</v>
      </c>
      <c r="N70" s="23">
        <v>5667.8169604573613</v>
      </c>
      <c r="O70" s="23">
        <v>6375.5800027418063</v>
      </c>
      <c r="P70" s="23">
        <v>6139.8257338501562</v>
      </c>
      <c r="Q70" s="23">
        <v>6874.0524860864789</v>
      </c>
      <c r="R70" s="23">
        <v>6566.8256559971869</v>
      </c>
      <c r="S70" s="23">
        <v>5873.8635270000004</v>
      </c>
      <c r="T70" s="23">
        <v>6891.1358298328723</v>
      </c>
      <c r="U70" s="23">
        <v>7593.1317066713736</v>
      </c>
      <c r="V70" s="23">
        <v>7481.0183181365574</v>
      </c>
      <c r="W70" s="23">
        <v>8351.7897342365814</v>
      </c>
      <c r="X70" s="23">
        <v>6431.0370960969649</v>
      </c>
      <c r="Y70" s="23">
        <v>7663.3868556095622</v>
      </c>
      <c r="Z70" s="23">
        <v>5963.7781401390439</v>
      </c>
      <c r="AA70" s="23">
        <v>6289.8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631.93867202345393</v>
      </c>
      <c r="E71" s="23">
        <v>576.34637114931252</v>
      </c>
      <c r="F71" s="23">
        <v>563.69257318395375</v>
      </c>
      <c r="G71" s="23">
        <v>512.4386488340192</v>
      </c>
      <c r="H71" s="23">
        <v>498.57788039025849</v>
      </c>
      <c r="I71" s="23">
        <v>610.45915397467252</v>
      </c>
      <c r="J71" s="23">
        <v>635.38935031333074</v>
      </c>
      <c r="K71" s="23">
        <v>538.858095007271</v>
      </c>
      <c r="L71" s="23">
        <v>544.76738778432559</v>
      </c>
      <c r="M71" s="23">
        <v>346.34727898966713</v>
      </c>
      <c r="N71" s="23">
        <v>408.32524059075752</v>
      </c>
      <c r="O71" s="23">
        <v>470.35544353988274</v>
      </c>
      <c r="P71" s="23">
        <v>402.79846495512072</v>
      </c>
      <c r="Q71" s="23">
        <v>350.09675249220231</v>
      </c>
      <c r="R71" s="23">
        <v>359.19724938445307</v>
      </c>
      <c r="S71" s="23">
        <v>416.690946</v>
      </c>
      <c r="T71" s="23">
        <v>455.59564751094825</v>
      </c>
      <c r="U71" s="23">
        <v>461.30599188139786</v>
      </c>
      <c r="V71" s="23">
        <v>405.97470859285005</v>
      </c>
      <c r="W71" s="23">
        <v>404.18196977592493</v>
      </c>
      <c r="X71" s="23">
        <v>300.67070810745241</v>
      </c>
      <c r="Y71" s="23">
        <v>349.09488101476245</v>
      </c>
      <c r="Z71" s="23">
        <v>294.91531775143579</v>
      </c>
      <c r="AA71" s="23">
        <v>386.8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476.3820470709594</v>
      </c>
      <c r="E72" s="23">
        <v>514.74727968638251</v>
      </c>
      <c r="F72" s="23">
        <v>471.95014456089626</v>
      </c>
      <c r="G72" s="23">
        <v>525.31399176954733</v>
      </c>
      <c r="H72" s="23">
        <v>359.27806285841962</v>
      </c>
      <c r="I72" s="23">
        <v>321.97821981161763</v>
      </c>
      <c r="J72" s="23">
        <v>315.50074890808958</v>
      </c>
      <c r="K72" s="23">
        <v>286.1522297624818</v>
      </c>
      <c r="L72" s="23">
        <v>366.50615189733992</v>
      </c>
      <c r="M72" s="23">
        <v>254.0227784156142</v>
      </c>
      <c r="N72" s="23">
        <v>301.50917579799915</v>
      </c>
      <c r="O72" s="23">
        <v>327.73964862698784</v>
      </c>
      <c r="P72" s="23">
        <v>231.13397456328846</v>
      </c>
      <c r="Q72" s="23">
        <v>202.27812366216133</v>
      </c>
      <c r="R72" s="23">
        <v>187.44894829405564</v>
      </c>
      <c r="S72" s="23">
        <v>236.49059700000009</v>
      </c>
      <c r="T72" s="23">
        <v>267.76754848511928</v>
      </c>
      <c r="U72" s="23">
        <v>266.02563536886692</v>
      </c>
      <c r="V72" s="23">
        <v>254.1562342581565</v>
      </c>
      <c r="W72" s="23">
        <v>274.48006774361653</v>
      </c>
      <c r="X72" s="23">
        <v>283.97914400082107</v>
      </c>
      <c r="Y72" s="23">
        <v>323.99021827512064</v>
      </c>
      <c r="Z72" s="23">
        <v>283.61364055977185</v>
      </c>
      <c r="AA72" s="23">
        <v>375.2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2849.8750665074103</v>
      </c>
      <c r="E73" s="23">
        <v>2918.2174714592215</v>
      </c>
      <c r="F73" s="23">
        <v>2711.6352728586917</v>
      </c>
      <c r="G73" s="23">
        <v>2552.6503429355284</v>
      </c>
      <c r="H73" s="23">
        <v>2640.0350115439041</v>
      </c>
      <c r="I73" s="23">
        <v>2698.5528826363834</v>
      </c>
      <c r="J73" s="23">
        <v>2757.5529790163314</v>
      </c>
      <c r="K73" s="23">
        <v>2494.98868153175</v>
      </c>
      <c r="L73" s="23">
        <v>2437.7256848598336</v>
      </c>
      <c r="M73" s="23">
        <v>2396.9161653272104</v>
      </c>
      <c r="N73" s="23">
        <v>2502.6019151977134</v>
      </c>
      <c r="O73" s="23">
        <v>2722.4022155903317</v>
      </c>
      <c r="P73" s="23">
        <v>2737.1902992977662</v>
      </c>
      <c r="Q73" s="23">
        <v>2827.882205981286</v>
      </c>
      <c r="R73" s="23">
        <v>2964.4260147731275</v>
      </c>
      <c r="S73" s="23">
        <v>2967.16392</v>
      </c>
      <c r="T73" s="23">
        <v>3302.2690499597825</v>
      </c>
      <c r="U73" s="23">
        <v>2992.1160254147549</v>
      </c>
      <c r="V73" s="23">
        <v>2977.4583302419123</v>
      </c>
      <c r="W73" s="23">
        <v>2994.3070870244919</v>
      </c>
      <c r="X73" s="23">
        <v>3038.3097757830797</v>
      </c>
      <c r="Y73" s="23">
        <v>3595.569529118407</v>
      </c>
      <c r="Z73" s="23">
        <v>3446.3295456959163</v>
      </c>
      <c r="AA73" s="23">
        <v>4633.7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813.07068380476926</v>
      </c>
      <c r="E74" s="23">
        <v>842.80192832357818</v>
      </c>
      <c r="F74" s="23">
        <v>854.77467473798026</v>
      </c>
      <c r="G74" s="23">
        <v>824.93079561042407</v>
      </c>
      <c r="H74" s="23">
        <v>734.09967602591678</v>
      </c>
      <c r="I74" s="23">
        <v>728.71034770818335</v>
      </c>
      <c r="J74" s="23">
        <v>821.51922236992323</v>
      </c>
      <c r="K74" s="23">
        <v>806.42901114881033</v>
      </c>
      <c r="L74" s="23">
        <v>963.16240348075303</v>
      </c>
      <c r="M74" s="23">
        <v>816.31549942594552</v>
      </c>
      <c r="N74" s="23">
        <v>728.64717484516086</v>
      </c>
      <c r="O74" s="23">
        <v>832.30276078795316</v>
      </c>
      <c r="P74" s="23">
        <v>1028.8833849127666</v>
      </c>
      <c r="Q74" s="23">
        <v>937.84598801296454</v>
      </c>
      <c r="R74" s="23">
        <v>692.5064087231849</v>
      </c>
      <c r="S74" s="23">
        <v>1020.6185219999949</v>
      </c>
      <c r="T74" s="23">
        <v>1033.4098310841005</v>
      </c>
      <c r="U74" s="23">
        <v>1009.494202259079</v>
      </c>
      <c r="V74" s="23">
        <v>1004.1674395220354</v>
      </c>
      <c r="W74" s="23">
        <v>985.82652423136346</v>
      </c>
      <c r="X74" s="23">
        <v>936.3967463820112</v>
      </c>
      <c r="Y74" s="23">
        <v>1048.1466057134692</v>
      </c>
      <c r="Z74" s="23">
        <v>1108.2463625446285</v>
      </c>
      <c r="AA74" s="23">
        <v>1333.0000000000045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40767.004735599105</v>
      </c>
      <c r="E75" s="30">
        <f t="shared" ref="E75:S75" si="9">SUM(E56:E74)</f>
        <v>40828.351660795161</v>
      </c>
      <c r="F75" s="30">
        <f t="shared" si="9"/>
        <v>40723.32498192988</v>
      </c>
      <c r="G75" s="30">
        <f t="shared" si="9"/>
        <v>38830.368072702331</v>
      </c>
      <c r="H75" s="30">
        <f t="shared" si="9"/>
        <v>38311.298700379833</v>
      </c>
      <c r="I75" s="30">
        <f t="shared" si="9"/>
        <v>37103.152940749169</v>
      </c>
      <c r="J75" s="30">
        <f t="shared" si="9"/>
        <v>38641.410700721623</v>
      </c>
      <c r="K75" s="30">
        <f t="shared" si="9"/>
        <v>38511.492971400869</v>
      </c>
      <c r="L75" s="30">
        <f t="shared" si="9"/>
        <v>37652.004578950269</v>
      </c>
      <c r="M75" s="30">
        <f t="shared" si="9"/>
        <v>33804.459402985078</v>
      </c>
      <c r="N75" s="30">
        <f t="shared" si="9"/>
        <v>33430.271777036687</v>
      </c>
      <c r="O75" s="30">
        <f t="shared" si="9"/>
        <v>34231.815210697263</v>
      </c>
      <c r="P75" s="30">
        <f t="shared" si="9"/>
        <v>34950.277156311378</v>
      </c>
      <c r="Q75" s="30">
        <f t="shared" si="9"/>
        <v>37227.319365788033</v>
      </c>
      <c r="R75" s="30">
        <f t="shared" si="9"/>
        <v>37661.298255364061</v>
      </c>
      <c r="S75" s="30">
        <f t="shared" si="9"/>
        <v>40526.593380000006</v>
      </c>
      <c r="T75" s="30">
        <f t="shared" ref="T75:Y75" si="10">SUM(T56:T74)</f>
        <v>43256.834891411214</v>
      </c>
      <c r="U75" s="30">
        <f t="shared" si="10"/>
        <v>44796.378309212836</v>
      </c>
      <c r="V75" s="30">
        <f t="shared" si="10"/>
        <v>45574.997878634051</v>
      </c>
      <c r="W75" s="30">
        <f t="shared" si="10"/>
        <v>47591.160995310049</v>
      </c>
      <c r="X75" s="30">
        <f t="shared" si="10"/>
        <v>44585.393270693159</v>
      </c>
      <c r="Y75" s="30">
        <f t="shared" si="10"/>
        <v>46439.854981659832</v>
      </c>
      <c r="Z75" s="30">
        <f t="shared" ref="Z75:AA75" si="11">SUM(Z56:Z74)</f>
        <v>47549.273649382805</v>
      </c>
      <c r="AA75" s="30">
        <f t="shared" si="11"/>
        <v>61193.4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5330020</v>
      </c>
      <c r="E3" s="42">
        <v>5349212</v>
      </c>
      <c r="F3" s="42">
        <v>5368354</v>
      </c>
      <c r="G3" s="42">
        <v>5383507</v>
      </c>
      <c r="H3" s="42">
        <v>5397640</v>
      </c>
      <c r="I3" s="42">
        <v>5411405</v>
      </c>
      <c r="J3" s="42">
        <v>5427459</v>
      </c>
      <c r="K3" s="42">
        <v>5447084</v>
      </c>
      <c r="L3" s="42">
        <v>5475791</v>
      </c>
      <c r="M3" s="42">
        <v>5511451</v>
      </c>
      <c r="N3" s="42">
        <v>5534738</v>
      </c>
      <c r="O3" s="42">
        <v>5560628</v>
      </c>
      <c r="P3" s="42">
        <v>5580516</v>
      </c>
      <c r="Q3" s="42">
        <v>5602628</v>
      </c>
      <c r="R3" s="42">
        <v>5627235</v>
      </c>
      <c r="S3" s="42">
        <v>5659715</v>
      </c>
      <c r="T3" s="42">
        <v>5707251</v>
      </c>
      <c r="U3" s="42">
        <v>5748769</v>
      </c>
      <c r="V3" s="42">
        <v>5781190</v>
      </c>
      <c r="W3" s="42">
        <v>5806081</v>
      </c>
      <c r="X3" s="42">
        <v>5822763</v>
      </c>
      <c r="Y3" s="42">
        <v>5840045</v>
      </c>
      <c r="Z3" s="42">
        <v>5873420</v>
      </c>
      <c r="AA3" s="42">
        <v>5932654</v>
      </c>
    </row>
    <row r="4" spans="1:27" x14ac:dyDescent="0.25">
      <c r="A4" s="43" t="s">
        <v>239</v>
      </c>
      <c r="B4" s="44"/>
      <c r="C4" s="44"/>
      <c r="D4" s="45">
        <v>2564398</v>
      </c>
      <c r="E4" s="45">
        <v>2594213</v>
      </c>
      <c r="F4" s="45">
        <v>2624484</v>
      </c>
      <c r="G4" s="45">
        <v>2653281</v>
      </c>
      <c r="H4" s="45">
        <v>2673422</v>
      </c>
      <c r="I4" s="45">
        <v>2690903</v>
      </c>
      <c r="J4" s="45">
        <v>2693528</v>
      </c>
      <c r="K4" s="45">
        <v>2707298</v>
      </c>
      <c r="L4" s="45">
        <v>2728077</v>
      </c>
      <c r="M4" s="45">
        <v>2748661</v>
      </c>
      <c r="N4" s="45">
        <v>2764328</v>
      </c>
      <c r="O4" s="45">
        <v>2783097</v>
      </c>
      <c r="P4" s="45">
        <v>2801464</v>
      </c>
      <c r="Q4" s="45">
        <v>2819642</v>
      </c>
      <c r="R4" s="45">
        <v>2832026</v>
      </c>
      <c r="S4" s="45">
        <v>2851242</v>
      </c>
      <c r="T4" s="45">
        <v>2872295</v>
      </c>
      <c r="U4" s="45">
        <v>2894647</v>
      </c>
      <c r="V4" s="45">
        <v>2910972</v>
      </c>
      <c r="W4" s="45">
        <v>2938300</v>
      </c>
      <c r="X4" s="45">
        <v>2942275</v>
      </c>
      <c r="Y4" s="45">
        <v>2967503</v>
      </c>
      <c r="Z4" s="45">
        <v>3007384</v>
      </c>
      <c r="AA4" s="45">
        <v>3036159</v>
      </c>
    </row>
    <row r="5" spans="1:27" x14ac:dyDescent="0.25">
      <c r="A5" s="46" t="s">
        <v>240</v>
      </c>
      <c r="B5" s="47"/>
      <c r="C5" s="47"/>
      <c r="D5" s="48">
        <f>D3/D4</f>
        <v>2.0784683188802986</v>
      </c>
      <c r="E5" s="48">
        <f t="shared" ref="E5:S5" si="0">E3/E4</f>
        <v>2.0619787195577235</v>
      </c>
      <c r="F5" s="48">
        <f t="shared" si="0"/>
        <v>2.0454893228535589</v>
      </c>
      <c r="G5" s="48">
        <f t="shared" si="0"/>
        <v>2.0289999438431137</v>
      </c>
      <c r="H5" s="48">
        <f t="shared" si="0"/>
        <v>2.0190003673194878</v>
      </c>
      <c r="I5" s="48">
        <f t="shared" si="0"/>
        <v>2.0109996532762424</v>
      </c>
      <c r="J5" s="48">
        <f t="shared" si="0"/>
        <v>2.0150000297008237</v>
      </c>
      <c r="K5" s="48">
        <f t="shared" si="0"/>
        <v>2.0120001566137158</v>
      </c>
      <c r="L5" s="48">
        <f t="shared" si="0"/>
        <v>2.0071981106105143</v>
      </c>
      <c r="M5" s="48">
        <f t="shared" si="0"/>
        <v>2.005140321050868</v>
      </c>
      <c r="N5" s="48">
        <f t="shared" si="0"/>
        <v>2.0022001730619521</v>
      </c>
      <c r="O5" s="48">
        <f t="shared" si="0"/>
        <v>1.9980000697065177</v>
      </c>
      <c r="P5" s="48">
        <f t="shared" si="0"/>
        <v>1.9919998971966086</v>
      </c>
      <c r="Q5" s="48">
        <f t="shared" si="0"/>
        <v>1.986999768055661</v>
      </c>
      <c r="R5" s="48">
        <f t="shared" si="0"/>
        <v>1.986999766245084</v>
      </c>
      <c r="S5" s="48">
        <f t="shared" si="0"/>
        <v>1.9849998702319902</v>
      </c>
      <c r="T5" s="48">
        <f t="shared" ref="T5:Y5" si="1">T3/T4</f>
        <v>1.9870002907083013</v>
      </c>
      <c r="U5" s="48">
        <f t="shared" si="1"/>
        <v>1.9860000200369856</v>
      </c>
      <c r="V5" s="48">
        <f t="shared" si="1"/>
        <v>1.9859998653370765</v>
      </c>
      <c r="W5" s="48">
        <f t="shared" si="1"/>
        <v>1.976000068066569</v>
      </c>
      <c r="X5" s="48">
        <f t="shared" si="1"/>
        <v>1.9790002634016195</v>
      </c>
      <c r="Y5" s="48">
        <f t="shared" si="1"/>
        <v>1.967999695366778</v>
      </c>
      <c r="Z5" s="48">
        <f t="shared" ref="Z5:AA5" si="2">Z3/Z4</f>
        <v>1.9529996834458121</v>
      </c>
      <c r="AA5" s="48">
        <f t="shared" si="2"/>
        <v>1.9539997740566288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3825.95</v>
      </c>
      <c r="E8" s="42">
        <v>3805.25</v>
      </c>
      <c r="F8" s="42">
        <v>3612.22</v>
      </c>
      <c r="G8" s="42">
        <v>3495.54</v>
      </c>
      <c r="H8" s="42">
        <v>3600.9</v>
      </c>
      <c r="I8" s="42">
        <v>4079.64</v>
      </c>
      <c r="J8" s="42">
        <v>3939.33</v>
      </c>
      <c r="K8" s="42">
        <v>4080.54</v>
      </c>
      <c r="L8" s="42">
        <v>3366.66</v>
      </c>
      <c r="M8" s="42">
        <v>3163.28</v>
      </c>
      <c r="N8" s="42">
        <v>3095.48</v>
      </c>
      <c r="O8" s="42">
        <v>3514.22</v>
      </c>
      <c r="P8" s="42">
        <v>3146.92</v>
      </c>
      <c r="Q8" s="42">
        <v>3604.03</v>
      </c>
      <c r="R8" s="42">
        <v>3429.72</v>
      </c>
      <c r="S8" s="42">
        <v>3552.34</v>
      </c>
      <c r="T8" s="42">
        <v>4046.26</v>
      </c>
      <c r="U8" s="42">
        <v>3501.2</v>
      </c>
      <c r="V8" s="42">
        <v>3481.75</v>
      </c>
      <c r="W8" s="42">
        <v>3207.92</v>
      </c>
      <c r="X8" s="42">
        <v>3112.07</v>
      </c>
      <c r="Y8" s="42">
        <v>3494.43</v>
      </c>
      <c r="Z8" s="42">
        <v>3189.34</v>
      </c>
      <c r="AA8" s="42">
        <v>3325.61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3555.2961904761914</v>
      </c>
      <c r="E9" s="45">
        <f t="shared" si="3"/>
        <v>3555.2961904761914</v>
      </c>
      <c r="F9" s="45">
        <f t="shared" si="3"/>
        <v>3555.2961904761914</v>
      </c>
      <c r="G9" s="45">
        <f t="shared" si="3"/>
        <v>3555.2961904761914</v>
      </c>
      <c r="H9" s="45">
        <f t="shared" si="3"/>
        <v>3555.2961904761914</v>
      </c>
      <c r="I9" s="45">
        <f t="shared" si="3"/>
        <v>3555.2961904761914</v>
      </c>
      <c r="J9" s="45">
        <f t="shared" si="3"/>
        <v>3555.2961904761914</v>
      </c>
      <c r="K9" s="45">
        <f t="shared" si="3"/>
        <v>3555.2961904761914</v>
      </c>
      <c r="L9" s="45">
        <f t="shared" si="3"/>
        <v>3555.2961904761914</v>
      </c>
      <c r="M9" s="45">
        <f t="shared" si="3"/>
        <v>3555.2961904761914</v>
      </c>
      <c r="N9" s="45">
        <f t="shared" si="3"/>
        <v>3555.2961904761914</v>
      </c>
      <c r="O9" s="45">
        <f t="shared" si="3"/>
        <v>3555.2961904761914</v>
      </c>
      <c r="P9" s="45">
        <f t="shared" si="3"/>
        <v>3555.2961904761914</v>
      </c>
      <c r="Q9" s="45">
        <f t="shared" si="3"/>
        <v>3555.2961904761914</v>
      </c>
      <c r="R9" s="45">
        <f t="shared" si="3"/>
        <v>3555.2961904761914</v>
      </c>
      <c r="S9" s="45">
        <f t="shared" si="3"/>
        <v>3555.2961904761914</v>
      </c>
      <c r="T9" s="45">
        <f t="shared" si="3"/>
        <v>3555.2961904761914</v>
      </c>
      <c r="U9" s="45">
        <f t="shared" si="3"/>
        <v>3555.2961904761914</v>
      </c>
      <c r="V9" s="45">
        <f t="shared" si="3"/>
        <v>3555.2961904761914</v>
      </c>
      <c r="W9" s="45">
        <f t="shared" si="3"/>
        <v>3555.2961904761914</v>
      </c>
      <c r="X9" s="45">
        <f>AVERAGE($D8:$X8)</f>
        <v>3555.2961904761914</v>
      </c>
      <c r="Y9" s="45">
        <f t="shared" ref="Y9:AA9" si="4">AVERAGE($D8:$X8)</f>
        <v>3555.2961904761914</v>
      </c>
      <c r="Z9" s="45">
        <f t="shared" si="4"/>
        <v>3555.2961904761914</v>
      </c>
      <c r="AA9" s="45">
        <f t="shared" si="4"/>
        <v>3555.2961904761914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1.0761269371167519</v>
      </c>
      <c r="E10" s="53">
        <f t="shared" si="5"/>
        <v>1.0703046374007816</v>
      </c>
      <c r="F10" s="53">
        <f t="shared" si="5"/>
        <v>1.0160109893730638</v>
      </c>
      <c r="G10" s="53">
        <f t="shared" si="5"/>
        <v>0.98319234537019329</v>
      </c>
      <c r="H10" s="53">
        <f t="shared" si="5"/>
        <v>1.0128270071129293</v>
      </c>
      <c r="I10" s="53">
        <f t="shared" si="5"/>
        <v>1.1474824547469218</v>
      </c>
      <c r="J10" s="53">
        <f t="shared" si="5"/>
        <v>1.1080173884112794</v>
      </c>
      <c r="K10" s="53">
        <f t="shared" si="5"/>
        <v>1.1477355982128337</v>
      </c>
      <c r="L10" s="53">
        <f t="shared" si="5"/>
        <v>0.94694220105162996</v>
      </c>
      <c r="M10" s="53">
        <f t="shared" si="5"/>
        <v>0.8897374031659272</v>
      </c>
      <c r="N10" s="53">
        <f t="shared" si="5"/>
        <v>0.87066726206724165</v>
      </c>
      <c r="O10" s="53">
        <f t="shared" si="5"/>
        <v>0.98844647864045054</v>
      </c>
      <c r="P10" s="53">
        <f t="shared" si="5"/>
        <v>0.88513581749668679</v>
      </c>
      <c r="Q10" s="53">
        <f t="shared" si="5"/>
        <v>1.0137073838332669</v>
      </c>
      <c r="R10" s="53">
        <f t="shared" si="5"/>
        <v>0.96467911989651356</v>
      </c>
      <c r="S10" s="53">
        <f t="shared" si="5"/>
        <v>0.99916851077440183</v>
      </c>
      <c r="T10" s="53">
        <f t="shared" ref="T10:Y10" si="6">IF(T8=0,0,T8/T9)</f>
        <v>1.1380936448667727</v>
      </c>
      <c r="U10" s="53">
        <f t="shared" si="6"/>
        <v>0.98478433650026043</v>
      </c>
      <c r="V10" s="53">
        <f t="shared" si="6"/>
        <v>0.97931362493138985</v>
      </c>
      <c r="W10" s="53">
        <f t="shared" si="6"/>
        <v>0.9022933190751502</v>
      </c>
      <c r="X10" s="53">
        <f t="shared" si="6"/>
        <v>0.8753335399555483</v>
      </c>
      <c r="Y10" s="53">
        <f t="shared" si="6"/>
        <v>0.98288013509556871</v>
      </c>
      <c r="Z10" s="53">
        <f t="shared" ref="Z10:AA10" si="7">IF(Z8=0,0,Z8/Z9)</f>
        <v>0.89706731285666086</v>
      </c>
      <c r="AA10" s="53">
        <f t="shared" si="7"/>
        <v>0.93539604630087725</v>
      </c>
    </row>
    <row r="11" spans="1:27" x14ac:dyDescent="0.25">
      <c r="A11" s="43" t="s">
        <v>251</v>
      </c>
      <c r="B11" s="44"/>
      <c r="C11" s="44"/>
      <c r="D11" s="45">
        <v>0</v>
      </c>
      <c r="E11" s="45">
        <v>0</v>
      </c>
      <c r="F11" s="45">
        <v>0.52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0.45</v>
      </c>
      <c r="N11" s="45">
        <v>0.06</v>
      </c>
      <c r="O11" s="45">
        <v>0.05</v>
      </c>
      <c r="P11" s="45">
        <v>0.14000000000000001</v>
      </c>
      <c r="Q11" s="45">
        <v>0</v>
      </c>
      <c r="R11" s="45">
        <v>10.77</v>
      </c>
      <c r="S11" s="45">
        <v>0.03</v>
      </c>
      <c r="T11" s="45">
        <v>0.11</v>
      </c>
      <c r="U11" s="45">
        <v>1.53</v>
      </c>
      <c r="V11" s="45">
        <v>0</v>
      </c>
      <c r="W11" s="45">
        <v>0.09</v>
      </c>
      <c r="X11" s="45">
        <v>0.65</v>
      </c>
      <c r="Y11" s="45">
        <v>0.38</v>
      </c>
      <c r="Z11" s="45">
        <v>0.76</v>
      </c>
      <c r="AA11" s="45">
        <v>0.13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0.68571428571428561</v>
      </c>
      <c r="E12" s="45">
        <f t="shared" ref="E12" si="9">AVERAGE($D11:$X11)</f>
        <v>0.68571428571428561</v>
      </c>
      <c r="F12" s="45">
        <f t="shared" ref="F12" si="10">AVERAGE($D11:$X11)</f>
        <v>0.68571428571428561</v>
      </c>
      <c r="G12" s="45">
        <f t="shared" ref="G12" si="11">AVERAGE($D11:$X11)</f>
        <v>0.68571428571428561</v>
      </c>
      <c r="H12" s="45">
        <f t="shared" ref="H12" si="12">AVERAGE($D11:$X11)</f>
        <v>0.68571428571428561</v>
      </c>
      <c r="I12" s="45">
        <f t="shared" ref="I12" si="13">AVERAGE($D11:$X11)</f>
        <v>0.68571428571428561</v>
      </c>
      <c r="J12" s="45">
        <f t="shared" ref="J12" si="14">AVERAGE($D11:$X11)</f>
        <v>0.68571428571428561</v>
      </c>
      <c r="K12" s="45">
        <f t="shared" ref="K12" si="15">AVERAGE($D11:$X11)</f>
        <v>0.68571428571428561</v>
      </c>
      <c r="L12" s="45">
        <f t="shared" ref="L12" si="16">AVERAGE($D11:$X11)</f>
        <v>0.68571428571428561</v>
      </c>
      <c r="M12" s="45">
        <f t="shared" ref="M12" si="17">AVERAGE($D11:$X11)</f>
        <v>0.68571428571428561</v>
      </c>
      <c r="N12" s="45">
        <f t="shared" ref="N12" si="18">AVERAGE($D11:$X11)</f>
        <v>0.68571428571428561</v>
      </c>
      <c r="O12" s="45">
        <f t="shared" ref="O12" si="19">AVERAGE($D11:$X11)</f>
        <v>0.68571428571428561</v>
      </c>
      <c r="P12" s="45">
        <f t="shared" ref="P12" si="20">AVERAGE($D11:$X11)</f>
        <v>0.68571428571428561</v>
      </c>
      <c r="Q12" s="45">
        <f t="shared" ref="Q12" si="21">AVERAGE($D11:$X11)</f>
        <v>0.68571428571428561</v>
      </c>
      <c r="R12" s="45">
        <f t="shared" ref="R12" si="22">AVERAGE($D11:$X11)</f>
        <v>0.68571428571428561</v>
      </c>
      <c r="S12" s="45">
        <f t="shared" ref="S12" si="23">AVERAGE($D11:$X11)</f>
        <v>0.68571428571428561</v>
      </c>
      <c r="T12" s="45">
        <f t="shared" ref="T12" si="24">AVERAGE($D11:$X11)</f>
        <v>0.68571428571428561</v>
      </c>
      <c r="U12" s="45">
        <f t="shared" ref="U12" si="25">AVERAGE($D11:$X11)</f>
        <v>0.68571428571428561</v>
      </c>
      <c r="V12" s="45">
        <f t="shared" ref="V12" si="26">AVERAGE($D11:$X11)</f>
        <v>0.68571428571428561</v>
      </c>
      <c r="W12" s="45">
        <f t="shared" ref="W12" si="27">AVERAGE($D11:$X11)</f>
        <v>0.68571428571428561</v>
      </c>
      <c r="X12" s="45">
        <f>AVERAGE($D11:$X11)</f>
        <v>0.68571428571428561</v>
      </c>
      <c r="Y12" s="45">
        <f t="shared" ref="Y12:AA12" si="28">AVERAGE($D11:$X11)</f>
        <v>0.68571428571428561</v>
      </c>
      <c r="Z12" s="45">
        <f t="shared" si="28"/>
        <v>0.68571428571428561</v>
      </c>
      <c r="AA12" s="45">
        <f t="shared" si="28"/>
        <v>0.68571428571428561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</v>
      </c>
      <c r="E13" s="55">
        <f t="shared" si="29"/>
        <v>0</v>
      </c>
      <c r="F13" s="55">
        <f t="shared" ref="F13" si="30">IF(F11=0,0,F11/F12)</f>
        <v>0.75833333333333353</v>
      </c>
      <c r="G13" s="55">
        <f t="shared" ref="G13" si="31">IF(G11=0,0,G11/G12)</f>
        <v>0</v>
      </c>
      <c r="H13" s="55">
        <f t="shared" ref="H13" si="32">IF(H11=0,0,H11/H12)</f>
        <v>0</v>
      </c>
      <c r="I13" s="55">
        <f t="shared" ref="I13" si="33">IF(I11=0,0,I11/I12)</f>
        <v>0</v>
      </c>
      <c r="J13" s="55">
        <f t="shared" ref="J13" si="34">IF(J11=0,0,J11/J12)</f>
        <v>0</v>
      </c>
      <c r="K13" s="55">
        <f t="shared" ref="K13" si="35">IF(K11=0,0,K11/K12)</f>
        <v>0</v>
      </c>
      <c r="L13" s="55">
        <f t="shared" ref="L13" si="36">IF(L11=0,0,L11/L12)</f>
        <v>0</v>
      </c>
      <c r="M13" s="55">
        <f t="shared" ref="M13" si="37">IF(M11=0,0,M11/M12)</f>
        <v>0.65625000000000011</v>
      </c>
      <c r="N13" s="55">
        <f t="shared" ref="N13" si="38">IF(N11=0,0,N11/N12)</f>
        <v>8.7500000000000008E-2</v>
      </c>
      <c r="O13" s="55">
        <f t="shared" ref="O13" si="39">IF(O11=0,0,O11/O12)</f>
        <v>7.2916666666666685E-2</v>
      </c>
      <c r="P13" s="55">
        <f t="shared" ref="P13" si="40">IF(P11=0,0,P11/P12)</f>
        <v>0.20416666666666672</v>
      </c>
      <c r="Q13" s="55">
        <f t="shared" ref="Q13" si="41">IF(Q11=0,0,Q11/Q12)</f>
        <v>0</v>
      </c>
      <c r="R13" s="55">
        <f t="shared" ref="R13" si="42">IF(R11=0,0,R11/R12)</f>
        <v>15.706250000000002</v>
      </c>
      <c r="S13" s="55">
        <f t="shared" ref="S13:Y13" si="43">IF(S11=0,0,S11/S12)</f>
        <v>4.3750000000000004E-2</v>
      </c>
      <c r="T13" s="55">
        <f t="shared" si="43"/>
        <v>0.16041666666666668</v>
      </c>
      <c r="U13" s="55">
        <f t="shared" si="43"/>
        <v>2.2312500000000002</v>
      </c>
      <c r="V13" s="55">
        <f t="shared" si="43"/>
        <v>0</v>
      </c>
      <c r="W13" s="55">
        <f t="shared" si="43"/>
        <v>0.13125000000000001</v>
      </c>
      <c r="X13" s="55">
        <f t="shared" si="43"/>
        <v>0.94791666666666685</v>
      </c>
      <c r="Y13" s="55">
        <f t="shared" si="43"/>
        <v>0.55416666666666681</v>
      </c>
      <c r="Z13" s="55">
        <f t="shared" ref="Z13:AA13" si="44">IF(Z11=0,0,Z11/Z12)</f>
        <v>1.1083333333333336</v>
      </c>
      <c r="AA13" s="55">
        <f t="shared" si="44"/>
        <v>0.18958333333333338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280411.01254535269</v>
      </c>
      <c r="E16" s="42">
        <v>283074.06263967842</v>
      </c>
      <c r="F16" s="42">
        <v>284364.73394013103</v>
      </c>
      <c r="G16" s="42">
        <v>285621.26579834241</v>
      </c>
      <c r="H16" s="42">
        <v>293551.75147089432</v>
      </c>
      <c r="I16" s="42">
        <v>300478.33227436303</v>
      </c>
      <c r="J16" s="42">
        <v>311945.37215698644</v>
      </c>
      <c r="K16" s="42">
        <v>315026.12305211823</v>
      </c>
      <c r="L16" s="42">
        <v>313709.68978562835</v>
      </c>
      <c r="M16" s="42">
        <v>298103.46210656647</v>
      </c>
      <c r="N16" s="42">
        <v>302822.8594742826</v>
      </c>
      <c r="O16" s="42">
        <v>306791.28513278783</v>
      </c>
      <c r="P16" s="42">
        <v>306777.13710811891</v>
      </c>
      <c r="Q16" s="42">
        <v>311048.0429203136</v>
      </c>
      <c r="R16" s="42">
        <v>315022.69360931311</v>
      </c>
      <c r="S16" s="42">
        <v>321653.19003</v>
      </c>
      <c r="T16" s="42">
        <v>331536.43443528912</v>
      </c>
      <c r="U16" s="42">
        <v>341671.65692591795</v>
      </c>
      <c r="V16" s="42">
        <v>348027.23202751228</v>
      </c>
      <c r="W16" s="42">
        <v>353982.0490684738</v>
      </c>
      <c r="X16" s="42">
        <v>347680.43841955432</v>
      </c>
      <c r="Y16" s="42">
        <v>370281.86007155507</v>
      </c>
      <c r="Z16" s="42">
        <v>371924.79324991524</v>
      </c>
      <c r="AA16" s="42">
        <v>374173.6</v>
      </c>
    </row>
    <row r="17" spans="1:27" x14ac:dyDescent="0.25">
      <c r="A17" s="46" t="s">
        <v>141</v>
      </c>
      <c r="B17" s="47"/>
      <c r="C17" s="47"/>
      <c r="D17" s="57">
        <v>124860.63040743498</v>
      </c>
      <c r="E17" s="57">
        <v>125489.7302077062</v>
      </c>
      <c r="F17" s="57">
        <v>127330.71302341564</v>
      </c>
      <c r="G17" s="57">
        <v>129002.84671532846</v>
      </c>
      <c r="H17" s="57">
        <v>135236.9064446071</v>
      </c>
      <c r="I17" s="57">
        <v>140483.75680752282</v>
      </c>
      <c r="J17" s="57">
        <v>144390.24257357026</v>
      </c>
      <c r="K17" s="57">
        <v>147143.07267709292</v>
      </c>
      <c r="L17" s="57">
        <v>147427.7263608104</v>
      </c>
      <c r="M17" s="57">
        <v>142126.55532132226</v>
      </c>
      <c r="N17" s="57">
        <v>143980.11610137112</v>
      </c>
      <c r="O17" s="57">
        <v>144325.70236439497</v>
      </c>
      <c r="P17" s="57">
        <v>144843.04168060073</v>
      </c>
      <c r="Q17" s="57">
        <v>147030.16146101049</v>
      </c>
      <c r="R17" s="57">
        <v>146686.4338135907</v>
      </c>
      <c r="S17" s="57">
        <v>149576.5062</v>
      </c>
      <c r="T17" s="57">
        <v>154484.66066191872</v>
      </c>
      <c r="U17" s="57">
        <v>158678.21323514896</v>
      </c>
      <c r="V17" s="57">
        <v>164636.22936619649</v>
      </c>
      <c r="W17" s="57">
        <v>167551.49445520158</v>
      </c>
      <c r="X17" s="57">
        <v>165416.02105263158</v>
      </c>
      <c r="Y17" s="57">
        <v>174706.66205303447</v>
      </c>
      <c r="Z17" s="57">
        <v>170888.59645236743</v>
      </c>
      <c r="AA17" s="57">
        <v>166545.70000000001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52609.748658607787</v>
      </c>
      <c r="E20" s="42">
        <f t="shared" ref="E20:S20" si="45">1000000*E16/E$3</f>
        <v>52918.834145978588</v>
      </c>
      <c r="F20" s="42">
        <f t="shared" si="45"/>
        <v>52970.563032939157</v>
      </c>
      <c r="G20" s="42">
        <f t="shared" si="45"/>
        <v>53054.870328643097</v>
      </c>
      <c r="H20" s="42">
        <f t="shared" si="45"/>
        <v>54385.203805903016</v>
      </c>
      <c r="I20" s="42">
        <f t="shared" si="45"/>
        <v>55526.860819761787</v>
      </c>
      <c r="J20" s="42">
        <f t="shared" si="45"/>
        <v>57475.399106098535</v>
      </c>
      <c r="K20" s="42">
        <f t="shared" si="45"/>
        <v>57833.902148767709</v>
      </c>
      <c r="L20" s="42">
        <f t="shared" si="45"/>
        <v>57290.296467784901</v>
      </c>
      <c r="M20" s="42">
        <f t="shared" si="45"/>
        <v>54088.018219987163</v>
      </c>
      <c r="N20" s="42">
        <f t="shared" si="45"/>
        <v>54713.133570962636</v>
      </c>
      <c r="O20" s="42">
        <f t="shared" si="45"/>
        <v>55172.057028952098</v>
      </c>
      <c r="P20" s="42">
        <f t="shared" si="45"/>
        <v>54972.898045291673</v>
      </c>
      <c r="Q20" s="42">
        <f t="shared" si="45"/>
        <v>55518.239461965633</v>
      </c>
      <c r="R20" s="42">
        <f t="shared" si="45"/>
        <v>55981.790987814282</v>
      </c>
      <c r="S20" s="42">
        <f t="shared" si="45"/>
        <v>56832.047202023423</v>
      </c>
      <c r="T20" s="42">
        <f t="shared" ref="T20:Y20" si="46">1000000*T16/T$3</f>
        <v>58090.389652617196</v>
      </c>
      <c r="U20" s="42">
        <f t="shared" si="46"/>
        <v>59433.881745103688</v>
      </c>
      <c r="V20" s="42">
        <f t="shared" si="46"/>
        <v>60199.929777003053</v>
      </c>
      <c r="W20" s="42">
        <f t="shared" si="46"/>
        <v>60967.466535253952</v>
      </c>
      <c r="X20" s="42">
        <f t="shared" si="46"/>
        <v>59710.559818346432</v>
      </c>
      <c r="Y20" s="42">
        <f t="shared" si="46"/>
        <v>63403.939536691076</v>
      </c>
      <c r="Z20" s="42">
        <f t="shared" ref="Z20:AA20" si="47">1000000*Z16/Z$3</f>
        <v>63323.377733912304</v>
      </c>
      <c r="AA20" s="42">
        <f t="shared" si="47"/>
        <v>63070.187474273742</v>
      </c>
    </row>
    <row r="21" spans="1:27" x14ac:dyDescent="0.25">
      <c r="A21" s="46" t="s">
        <v>141</v>
      </c>
      <c r="B21" s="47"/>
      <c r="C21" s="47"/>
      <c r="D21" s="57">
        <f>1000000*D17/D$3</f>
        <v>23425.921555160203</v>
      </c>
      <c r="E21" s="57">
        <f t="shared" ref="E21:S21" si="48">1000000*E17/E$3</f>
        <v>23459.47967807337</v>
      </c>
      <c r="F21" s="57">
        <f t="shared" si="48"/>
        <v>23718.762403413715</v>
      </c>
      <c r="G21" s="57">
        <f t="shared" si="48"/>
        <v>23962.604063731775</v>
      </c>
      <c r="H21" s="57">
        <f t="shared" si="48"/>
        <v>25054.821448745581</v>
      </c>
      <c r="I21" s="57">
        <f t="shared" si="48"/>
        <v>25960.680600975684</v>
      </c>
      <c r="J21" s="57">
        <f t="shared" si="48"/>
        <v>26603.654228170173</v>
      </c>
      <c r="K21" s="57">
        <f t="shared" si="48"/>
        <v>27013.182223202897</v>
      </c>
      <c r="L21" s="57">
        <f t="shared" si="48"/>
        <v>26923.548828070758</v>
      </c>
      <c r="M21" s="57">
        <f t="shared" si="48"/>
        <v>25787.502296822066</v>
      </c>
      <c r="N21" s="57">
        <f t="shared" si="48"/>
        <v>26013.899140550307</v>
      </c>
      <c r="O21" s="57">
        <f t="shared" si="48"/>
        <v>25954.928537639087</v>
      </c>
      <c r="P21" s="57">
        <f t="shared" si="48"/>
        <v>25955.134199167376</v>
      </c>
      <c r="Q21" s="57">
        <f t="shared" si="48"/>
        <v>26243.070477106547</v>
      </c>
      <c r="R21" s="57">
        <f t="shared" si="48"/>
        <v>26067.230853801324</v>
      </c>
      <c r="S21" s="57">
        <f t="shared" si="48"/>
        <v>26428.275310682606</v>
      </c>
      <c r="T21" s="57">
        <f t="shared" ref="T21:Y21" si="49">1000000*T17/T$3</f>
        <v>27068.138524469789</v>
      </c>
      <c r="U21" s="57">
        <f t="shared" si="49"/>
        <v>27602.120251335364</v>
      </c>
      <c r="V21" s="57">
        <f t="shared" si="49"/>
        <v>28477.913607094128</v>
      </c>
      <c r="W21" s="57">
        <f t="shared" si="49"/>
        <v>28857.932649441434</v>
      </c>
      <c r="X21" s="57">
        <f t="shared" si="49"/>
        <v>28408.510023957973</v>
      </c>
      <c r="Y21" s="57">
        <f t="shared" si="49"/>
        <v>29915.29381246796</v>
      </c>
      <c r="Z21" s="57">
        <f t="shared" ref="Z21:AA21" si="50">1000000*Z17/Z$3</f>
        <v>29095.245436622517</v>
      </c>
      <c r="AA21" s="57">
        <f t="shared" si="50"/>
        <v>28072.714168060367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248048.39272354633</v>
      </c>
      <c r="E23" s="60">
        <v>250496.81204010276</v>
      </c>
      <c r="F23" s="60">
        <v>251266.96504336828</v>
      </c>
      <c r="G23" s="60">
        <v>252398.98295610427</v>
      </c>
      <c r="H23" s="60">
        <v>257668.39414984733</v>
      </c>
      <c r="I23" s="60">
        <v>261921.05188019079</v>
      </c>
      <c r="J23" s="60">
        <v>271731.35407448729</v>
      </c>
      <c r="K23" s="60">
        <v>273375.16795928258</v>
      </c>
      <c r="L23" s="60">
        <v>273864.56265572505</v>
      </c>
      <c r="M23" s="60">
        <v>261393.87265212403</v>
      </c>
      <c r="N23" s="60">
        <v>265354.46306812769</v>
      </c>
      <c r="O23" s="60">
        <v>269214.10052094318</v>
      </c>
      <c r="P23" s="60">
        <v>269209.64900216943</v>
      </c>
      <c r="Q23" s="60">
        <v>273087.62308115716</v>
      </c>
      <c r="R23" s="60">
        <v>276177.38061906438</v>
      </c>
      <c r="S23" s="60">
        <v>281573.59973399999</v>
      </c>
      <c r="T23" s="60">
        <v>289965.3716686031</v>
      </c>
      <c r="U23" s="60">
        <v>299278.95672432054</v>
      </c>
      <c r="V23" s="60">
        <v>303952.57741472562</v>
      </c>
      <c r="W23" s="60">
        <v>309065.47696717037</v>
      </c>
      <c r="X23" s="60">
        <v>301744.86589626118</v>
      </c>
      <c r="Y23" s="60">
        <v>322243.23543537571</v>
      </c>
      <c r="Z23" s="60">
        <v>326660.85212855472</v>
      </c>
      <c r="AA23" s="60">
        <v>331373.40000000002</v>
      </c>
    </row>
    <row r="24" spans="1:27" x14ac:dyDescent="0.25">
      <c r="A24" s="61" t="s">
        <v>33</v>
      </c>
      <c r="B24" s="62"/>
      <c r="C24" s="62"/>
      <c r="D24" s="63">
        <v>6189.7292211846461</v>
      </c>
      <c r="E24" s="63">
        <v>6718.0916827801757</v>
      </c>
      <c r="F24" s="63">
        <v>5131.2648626671489</v>
      </c>
      <c r="G24" s="63">
        <v>4654.9666323731144</v>
      </c>
      <c r="H24" s="63">
        <v>4796.5915915692258</v>
      </c>
      <c r="I24" s="63">
        <v>3483.1401680428103</v>
      </c>
      <c r="J24" s="63">
        <v>3667.3954258450435</v>
      </c>
      <c r="K24" s="63">
        <v>3768.840959767329</v>
      </c>
      <c r="L24" s="63">
        <v>2683.6394900038554</v>
      </c>
      <c r="M24" s="63">
        <v>2444.1216303099886</v>
      </c>
      <c r="N24" s="63">
        <v>3652.7053835159604</v>
      </c>
      <c r="O24" s="63">
        <v>3957.5254270890455</v>
      </c>
      <c r="P24" s="63">
        <v>5043.8705801914439</v>
      </c>
      <c r="Q24" s="63">
        <v>3964.6025992294053</v>
      </c>
      <c r="R24" s="63">
        <v>4308.928765388674</v>
      </c>
      <c r="S24" s="63">
        <v>2948.5595160000003</v>
      </c>
      <c r="T24" s="63">
        <v>3104.8482169988383</v>
      </c>
      <c r="U24" s="63">
        <v>4336.5101923755738</v>
      </c>
      <c r="V24" s="63">
        <v>3494.2698391159192</v>
      </c>
      <c r="W24" s="63">
        <v>4407.5629494528403</v>
      </c>
      <c r="X24" s="63">
        <v>4645.3735679695446</v>
      </c>
      <c r="Y24" s="63">
        <v>3998.8603129573748</v>
      </c>
      <c r="Z24" s="63">
        <v>3716.3032310243698</v>
      </c>
      <c r="AA24" s="63">
        <v>3883.4</v>
      </c>
    </row>
    <row r="25" spans="1:27" x14ac:dyDescent="0.25">
      <c r="A25" s="64" t="s">
        <v>56</v>
      </c>
      <c r="B25" s="65"/>
      <c r="C25" s="65"/>
      <c r="D25" s="66">
        <v>7455.6362031574536</v>
      </c>
      <c r="E25" s="66">
        <v>6314.1455899486009</v>
      </c>
      <c r="F25" s="66">
        <v>6136.2754607878578</v>
      </c>
      <c r="G25" s="66">
        <v>5968.1799288364373</v>
      </c>
      <c r="H25" s="66">
        <v>7484.067663997298</v>
      </c>
      <c r="I25" s="66">
        <v>10182.653984269678</v>
      </c>
      <c r="J25" s="66">
        <v>11217.669179161579</v>
      </c>
      <c r="K25" s="66">
        <v>10808.95659234125</v>
      </c>
      <c r="L25" s="66">
        <v>11691.152152888691</v>
      </c>
      <c r="M25" s="66">
        <v>7199.6158208955221</v>
      </c>
      <c r="N25" s="66">
        <v>7786.5880990948081</v>
      </c>
      <c r="O25" s="66">
        <v>8864.1878949255497</v>
      </c>
      <c r="P25" s="66">
        <v>8689.2152587935434</v>
      </c>
      <c r="Q25" s="66">
        <v>7105.3837777505987</v>
      </c>
      <c r="R25" s="66">
        <v>5634.0154484699278</v>
      </c>
      <c r="S25" s="66">
        <v>2974.5579780000016</v>
      </c>
      <c r="T25" s="66">
        <v>2652.1761122314588</v>
      </c>
      <c r="U25" s="66">
        <v>2889.408728446067</v>
      </c>
      <c r="V25" s="66">
        <v>3421.3876574184351</v>
      </c>
      <c r="W25" s="66">
        <v>2581.0672200522063</v>
      </c>
      <c r="X25" s="66">
        <v>1055.3519599152771</v>
      </c>
      <c r="Y25" s="66">
        <v>1543.2570552565123</v>
      </c>
      <c r="Z25" s="66">
        <v>2947.1071842296592</v>
      </c>
      <c r="AA25" s="66">
        <v>1963.321390438419</v>
      </c>
    </row>
    <row r="26" spans="1:27" x14ac:dyDescent="0.25">
      <c r="A26" s="67" t="s">
        <v>146</v>
      </c>
      <c r="B26" s="44"/>
      <c r="C26" s="44"/>
      <c r="D26" s="45">
        <v>176254.57959893587</v>
      </c>
      <c r="E26" s="45">
        <v>179837.1038380409</v>
      </c>
      <c r="F26" s="45">
        <v>182547.26809721719</v>
      </c>
      <c r="G26" s="45">
        <v>185370.68304040949</v>
      </c>
      <c r="H26" s="45">
        <v>189017.39771947273</v>
      </c>
      <c r="I26" s="45">
        <v>192914.89469515401</v>
      </c>
      <c r="J26" s="45">
        <v>198192.20557158533</v>
      </c>
      <c r="K26" s="45">
        <v>201232.04789142025</v>
      </c>
      <c r="L26" s="45">
        <v>202089.25896458668</v>
      </c>
      <c r="M26" s="45">
        <v>201678.69864523542</v>
      </c>
      <c r="N26" s="45">
        <v>205047.83002382092</v>
      </c>
      <c r="O26" s="45">
        <v>206401.27512338129</v>
      </c>
      <c r="P26" s="45">
        <v>205548.22157803844</v>
      </c>
      <c r="Q26" s="45">
        <v>210014.53252400472</v>
      </c>
      <c r="R26" s="45">
        <v>213057.90240590923</v>
      </c>
      <c r="S26" s="45">
        <v>218558.21746500002</v>
      </c>
      <c r="T26" s="45">
        <v>222734.95728882775</v>
      </c>
      <c r="U26" s="45">
        <v>228003.2320092477</v>
      </c>
      <c r="V26" s="45">
        <v>231814.81851240803</v>
      </c>
      <c r="W26" s="45">
        <v>234776.93182447055</v>
      </c>
      <c r="X26" s="45">
        <v>232594.94283821483</v>
      </c>
      <c r="Y26" s="45">
        <v>250244.93034103126</v>
      </c>
      <c r="Z26" s="45">
        <v>249833.21971864349</v>
      </c>
      <c r="AA26" s="45">
        <v>243054.32826854361</v>
      </c>
    </row>
    <row r="27" spans="1:27" x14ac:dyDescent="0.25">
      <c r="A27" s="68" t="s">
        <v>148</v>
      </c>
      <c r="B27" s="69"/>
      <c r="C27" s="69"/>
      <c r="D27" s="70">
        <v>77278.135607253353</v>
      </c>
      <c r="E27" s="70">
        <v>79339.155965088867</v>
      </c>
      <c r="F27" s="70">
        <v>80257.692717744838</v>
      </c>
      <c r="G27" s="70">
        <v>81011.506275720181</v>
      </c>
      <c r="H27" s="70">
        <v>82929.281913309023</v>
      </c>
      <c r="I27" s="70">
        <v>83285.514140778221</v>
      </c>
      <c r="J27" s="70">
        <v>83160.137505934326</v>
      </c>
      <c r="K27" s="70">
        <v>83971.846679592811</v>
      </c>
      <c r="L27" s="70">
        <v>83497.58916230654</v>
      </c>
      <c r="M27" s="70">
        <v>83787.613915040216</v>
      </c>
      <c r="N27" s="70">
        <v>86791.082887089098</v>
      </c>
      <c r="O27" s="70">
        <v>84702.589227865174</v>
      </c>
      <c r="P27" s="70">
        <v>84080.16383648121</v>
      </c>
      <c r="Q27" s="70">
        <v>86379.687801969325</v>
      </c>
      <c r="R27" s="70">
        <v>87962.456475553961</v>
      </c>
      <c r="S27" s="70">
        <v>88377.716763000033</v>
      </c>
      <c r="T27" s="70">
        <v>87580.713397086438</v>
      </c>
      <c r="U27" s="70">
        <v>89211.901456053645</v>
      </c>
      <c r="V27" s="70">
        <v>89406.295381416319</v>
      </c>
      <c r="W27" s="70">
        <v>91670.473241271451</v>
      </c>
      <c r="X27" s="70">
        <v>87707.15892342286</v>
      </c>
      <c r="Y27" s="70">
        <v>100319.74074227996</v>
      </c>
      <c r="Z27" s="70">
        <v>113452.86077103429</v>
      </c>
      <c r="AA27" s="70">
        <v>94015.000000000058</v>
      </c>
    </row>
    <row r="28" spans="1:27" x14ac:dyDescent="0.25">
      <c r="A28" s="68" t="s">
        <v>150</v>
      </c>
      <c r="B28" s="71"/>
      <c r="C28" s="71"/>
      <c r="D28" s="70">
        <v>66132.608644606109</v>
      </c>
      <c r="E28" s="70">
        <v>68216.413349932438</v>
      </c>
      <c r="F28" s="70">
        <v>69119.915594506689</v>
      </c>
      <c r="G28" s="70">
        <v>71107.186591220845</v>
      </c>
      <c r="H28" s="70">
        <v>72683.417651001728</v>
      </c>
      <c r="I28" s="70">
        <v>75747.181021332246</v>
      </c>
      <c r="J28" s="70">
        <v>77783.885847892147</v>
      </c>
      <c r="K28" s="70">
        <v>79166.443698497344</v>
      </c>
      <c r="L28" s="70">
        <v>80966.726251032669</v>
      </c>
      <c r="M28" s="70">
        <v>82542.145970149271</v>
      </c>
      <c r="N28" s="70">
        <v>82658.967813244395</v>
      </c>
      <c r="O28" s="70">
        <v>83882.233998397089</v>
      </c>
      <c r="P28" s="70">
        <v>83596.315208562533</v>
      </c>
      <c r="Q28" s="70">
        <v>85346.416136627755</v>
      </c>
      <c r="R28" s="70">
        <v>86082.214083714396</v>
      </c>
      <c r="S28" s="70">
        <v>89505.668385000012</v>
      </c>
      <c r="T28" s="70">
        <v>94248.137197247299</v>
      </c>
      <c r="U28" s="70">
        <v>96518.660951288388</v>
      </c>
      <c r="V28" s="70">
        <v>99096.598491711746</v>
      </c>
      <c r="W28" s="70">
        <v>100752.36844710786</v>
      </c>
      <c r="X28" s="70">
        <v>99253.60403273211</v>
      </c>
      <c r="Y28" s="70">
        <v>103469.67557143631</v>
      </c>
      <c r="Z28" s="70">
        <v>95418.306820688347</v>
      </c>
      <c r="AA28" s="70">
        <v>105656.4</v>
      </c>
    </row>
    <row r="29" spans="1:27" x14ac:dyDescent="0.25">
      <c r="A29" s="68" t="s">
        <v>152</v>
      </c>
      <c r="B29" s="71"/>
      <c r="C29" s="71"/>
      <c r="D29" s="70">
        <v>32843.835347076427</v>
      </c>
      <c r="E29" s="70">
        <v>32281.534523019571</v>
      </c>
      <c r="F29" s="70">
        <v>33169.659784965661</v>
      </c>
      <c r="G29" s="70">
        <v>33251.990173468483</v>
      </c>
      <c r="H29" s="70">
        <v>33404.698155161983</v>
      </c>
      <c r="I29" s="70">
        <v>33882.199533043546</v>
      </c>
      <c r="J29" s="70">
        <v>37248.182217758877</v>
      </c>
      <c r="K29" s="70">
        <v>38093.7575133301</v>
      </c>
      <c r="L29" s="70">
        <v>37624.943551247459</v>
      </c>
      <c r="M29" s="70">
        <v>35348.93876004593</v>
      </c>
      <c r="N29" s="70">
        <v>35597.779323487375</v>
      </c>
      <c r="O29" s="70">
        <v>37816.451897118997</v>
      </c>
      <c r="P29" s="70">
        <v>37871.7425329947</v>
      </c>
      <c r="Q29" s="70">
        <v>38288.428585407622</v>
      </c>
      <c r="R29" s="70">
        <v>39013.231846640891</v>
      </c>
      <c r="S29" s="70">
        <v>40674.832317</v>
      </c>
      <c r="T29" s="70">
        <v>40906.106694493981</v>
      </c>
      <c r="U29" s="70">
        <v>42272.669601905705</v>
      </c>
      <c r="V29" s="70">
        <v>43311.924639279932</v>
      </c>
      <c r="W29" s="70">
        <v>42354.090136091225</v>
      </c>
      <c r="X29" s="70">
        <v>45634.179882059827</v>
      </c>
      <c r="Y29" s="70">
        <v>46455.514027314988</v>
      </c>
      <c r="Z29" s="70">
        <v>40962.05212692084</v>
      </c>
      <c r="AA29" s="70">
        <v>43382.928268543546</v>
      </c>
    </row>
    <row r="30" spans="1:27" x14ac:dyDescent="0.25">
      <c r="A30" s="64" t="s">
        <v>154</v>
      </c>
      <c r="B30" s="65"/>
      <c r="C30" s="65"/>
      <c r="D30" s="66">
        <v>4705.4395307151481</v>
      </c>
      <c r="E30" s="66">
        <v>4949.8232668956844</v>
      </c>
      <c r="F30" s="66">
        <v>4831.1008764004346</v>
      </c>
      <c r="G30" s="66">
        <v>4895.4505081203197</v>
      </c>
      <c r="H30" s="66">
        <v>5071.8840728493615</v>
      </c>
      <c r="I30" s="66">
        <v>4822.2691139853678</v>
      </c>
      <c r="J30" s="66">
        <v>5240.7554500696679</v>
      </c>
      <c r="K30" s="66">
        <v>4296.1373485215699</v>
      </c>
      <c r="L30" s="66">
        <v>4540.2099003139283</v>
      </c>
      <c r="M30" s="66">
        <v>3811.9064982778423</v>
      </c>
      <c r="N30" s="66">
        <v>4071.2576941400666</v>
      </c>
      <c r="O30" s="66">
        <v>3479.6241742945112</v>
      </c>
      <c r="P30" s="66">
        <v>2825.5673015174107</v>
      </c>
      <c r="Q30" s="66">
        <v>3304.889031251912</v>
      </c>
      <c r="R30" s="66">
        <v>3306.9637988040809</v>
      </c>
      <c r="S30" s="66">
        <v>4194.1005120000018</v>
      </c>
      <c r="T30" s="66">
        <v>3734.1323510187817</v>
      </c>
      <c r="U30" s="66">
        <v>3832.4768408448344</v>
      </c>
      <c r="V30" s="66">
        <v>3489.0307046488465</v>
      </c>
      <c r="W30" s="66">
        <v>3943.5856089425465</v>
      </c>
      <c r="X30" s="66">
        <v>3590.1328851483113</v>
      </c>
      <c r="Y30" s="66">
        <v>3954.3048764477121</v>
      </c>
      <c r="Z30" s="66">
        <v>7998.9568889034108</v>
      </c>
      <c r="AA30" s="66">
        <v>5524.6503410180394</v>
      </c>
    </row>
    <row r="31" spans="1:27" x14ac:dyDescent="0.25">
      <c r="A31" s="64" t="s">
        <v>37</v>
      </c>
      <c r="B31" s="65"/>
      <c r="C31" s="65"/>
      <c r="D31" s="66">
        <v>13580.854145176176</v>
      </c>
      <c r="E31" s="66">
        <v>12847.833068895186</v>
      </c>
      <c r="F31" s="66">
        <v>12972.009974701845</v>
      </c>
      <c r="G31" s="66">
        <v>13585.30449245542</v>
      </c>
      <c r="H31" s="66">
        <v>13943.452830118418</v>
      </c>
      <c r="I31" s="66">
        <v>14256.993434465725</v>
      </c>
      <c r="J31" s="66">
        <v>15871.004025826052</v>
      </c>
      <c r="K31" s="66">
        <v>15796.181168201649</v>
      </c>
      <c r="L31" s="66">
        <v>16609.034163132677</v>
      </c>
      <c r="M31" s="66">
        <v>13511.19513203215</v>
      </c>
      <c r="N31" s="66">
        <v>11865.042620295379</v>
      </c>
      <c r="O31" s="66">
        <v>12616.341546800522</v>
      </c>
      <c r="P31" s="66">
        <v>12430.225749272575</v>
      </c>
      <c r="Q31" s="66">
        <v>12459.189740688644</v>
      </c>
      <c r="R31" s="66">
        <v>12766.783517411186</v>
      </c>
      <c r="S31" s="66">
        <v>14098.560461999999</v>
      </c>
      <c r="T31" s="66">
        <v>15926.780623826973</v>
      </c>
      <c r="U31" s="66">
        <v>16825.799867631486</v>
      </c>
      <c r="V31" s="66">
        <v>17248.511342913487</v>
      </c>
      <c r="W31" s="66">
        <v>16937.434184471076</v>
      </c>
      <c r="X31" s="66">
        <v>16313.110709786979</v>
      </c>
      <c r="Y31" s="66">
        <v>17241.623780785285</v>
      </c>
      <c r="Z31" s="66">
        <v>16462.646538188175</v>
      </c>
      <c r="AA31" s="66">
        <v>17991.400000000001</v>
      </c>
    </row>
    <row r="32" spans="1:27" x14ac:dyDescent="0.25">
      <c r="A32" s="64" t="s">
        <v>58</v>
      </c>
      <c r="B32" s="65"/>
      <c r="C32" s="65"/>
      <c r="D32" s="66">
        <v>39862.154024376992</v>
      </c>
      <c r="E32" s="66">
        <v>39829.814593542236</v>
      </c>
      <c r="F32" s="66">
        <v>39649.045771593796</v>
      </c>
      <c r="G32" s="66">
        <v>37924.39835390947</v>
      </c>
      <c r="H32" s="66">
        <v>37355.000271840327</v>
      </c>
      <c r="I32" s="66">
        <v>36261.100484273229</v>
      </c>
      <c r="J32" s="66">
        <v>37542.324421999612</v>
      </c>
      <c r="K32" s="66">
        <v>37473.003999030538</v>
      </c>
      <c r="L32" s="66">
        <v>36251.267984799248</v>
      </c>
      <c r="M32" s="66">
        <v>32748.334925373139</v>
      </c>
      <c r="N32" s="66">
        <v>32931.039247260604</v>
      </c>
      <c r="O32" s="66">
        <v>33895.14635445227</v>
      </c>
      <c r="P32" s="66">
        <v>34672.548534356007</v>
      </c>
      <c r="Q32" s="66">
        <v>36239.025408231915</v>
      </c>
      <c r="R32" s="66">
        <v>37102.786683081249</v>
      </c>
      <c r="S32" s="66">
        <v>38799.603801000005</v>
      </c>
      <c r="T32" s="66">
        <v>41812.477075699346</v>
      </c>
      <c r="U32" s="66">
        <v>43391.529085774811</v>
      </c>
      <c r="V32" s="66">
        <v>44484.559358220919</v>
      </c>
      <c r="W32" s="66">
        <v>46418.895179781131</v>
      </c>
      <c r="X32" s="66">
        <v>43545.953935226229</v>
      </c>
      <c r="Y32" s="66">
        <v>45260.259068897598</v>
      </c>
      <c r="Z32" s="66">
        <v>45702.61856756558</v>
      </c>
      <c r="AA32" s="66">
        <v>58956.299999999996</v>
      </c>
    </row>
    <row r="33" spans="1:27" x14ac:dyDescent="0.25">
      <c r="A33" s="72" t="s">
        <v>158</v>
      </c>
      <c r="B33" s="65"/>
      <c r="C33" s="65"/>
      <c r="D33" s="66">
        <v>835.08494082197717</v>
      </c>
      <c r="E33" s="66">
        <v>757.51087860567372</v>
      </c>
      <c r="F33" s="66">
        <v>638.81053487531631</v>
      </c>
      <c r="G33" s="66">
        <v>541.52177640603566</v>
      </c>
      <c r="H33" s="66">
        <v>557.05123631488789</v>
      </c>
      <c r="I33" s="66">
        <v>510.54483643671767</v>
      </c>
      <c r="J33" s="66">
        <v>583.72592575009492</v>
      </c>
      <c r="K33" s="66">
        <v>665.6239457101309</v>
      </c>
      <c r="L33" s="66">
        <v>595.07988103761636</v>
      </c>
      <c r="M33" s="66">
        <v>327.04780711825492</v>
      </c>
      <c r="N33" s="66">
        <v>300.37283468318248</v>
      </c>
      <c r="O33" s="66">
        <v>370.24770742818572</v>
      </c>
      <c r="P33" s="66">
        <v>361.72160475421805</v>
      </c>
      <c r="Q33" s="66">
        <v>368.81720384074367</v>
      </c>
      <c r="R33" s="66">
        <v>394.31396412240593</v>
      </c>
      <c r="S33" s="66">
        <v>481.09080599999999</v>
      </c>
      <c r="T33" s="66">
        <v>474.54425775315042</v>
      </c>
      <c r="U33" s="66">
        <v>478.61227497352633</v>
      </c>
      <c r="V33" s="66">
        <v>452.42836753421722</v>
      </c>
      <c r="W33" s="66">
        <v>524.67699322563828</v>
      </c>
      <c r="X33" s="66">
        <v>429.64086010469055</v>
      </c>
      <c r="Y33" s="66">
        <v>435.07565726469471</v>
      </c>
      <c r="Z33" s="66">
        <v>573.26783272198486</v>
      </c>
      <c r="AA33" s="66">
        <v>613.1</v>
      </c>
    </row>
    <row r="34" spans="1:27" x14ac:dyDescent="0.25">
      <c r="A34" s="73" t="s">
        <v>5</v>
      </c>
      <c r="B34" s="65"/>
      <c r="C34" s="65"/>
      <c r="D34" s="66">
        <v>835.08494082197717</v>
      </c>
      <c r="E34" s="66">
        <v>757.51087860567372</v>
      </c>
      <c r="F34" s="66">
        <v>638.81053487531631</v>
      </c>
      <c r="G34" s="66">
        <v>541.52177640603566</v>
      </c>
      <c r="H34" s="66">
        <v>557.05123631488789</v>
      </c>
      <c r="I34" s="66">
        <v>510.54483643671767</v>
      </c>
      <c r="J34" s="66">
        <v>583.72592575009492</v>
      </c>
      <c r="K34" s="66">
        <v>665.6239457101309</v>
      </c>
      <c r="L34" s="66">
        <v>595.07988103761636</v>
      </c>
      <c r="M34" s="66">
        <v>327.04780711825492</v>
      </c>
      <c r="N34" s="66">
        <v>300.37283468318248</v>
      </c>
      <c r="O34" s="66">
        <v>370.24770742818572</v>
      </c>
      <c r="P34" s="66">
        <v>361.72160475421805</v>
      </c>
      <c r="Q34" s="66">
        <v>368.81720384074367</v>
      </c>
      <c r="R34" s="66">
        <v>394.31396412240593</v>
      </c>
      <c r="S34" s="66">
        <v>481.09080599999999</v>
      </c>
      <c r="T34" s="66">
        <v>474.54425775315042</v>
      </c>
      <c r="U34" s="66">
        <v>478.61227497352633</v>
      </c>
      <c r="V34" s="66">
        <v>452.42836753421722</v>
      </c>
      <c r="W34" s="66">
        <v>524.67699322563828</v>
      </c>
      <c r="X34" s="66">
        <v>429.6408601046906</v>
      </c>
      <c r="Y34" s="66">
        <v>435.07565726469477</v>
      </c>
      <c r="Z34" s="66">
        <v>573.26783272198486</v>
      </c>
      <c r="AA34" s="66">
        <v>613.1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835.08494082197717</v>
      </c>
      <c r="E36" s="45">
        <v>757.51087860567372</v>
      </c>
      <c r="F36" s="45">
        <v>638.81053487531631</v>
      </c>
      <c r="G36" s="45">
        <v>541.52177640603566</v>
      </c>
      <c r="H36" s="45">
        <v>557.05123631488789</v>
      </c>
      <c r="I36" s="45">
        <v>510.54483643671767</v>
      </c>
      <c r="J36" s="45">
        <v>583.72592575009492</v>
      </c>
      <c r="K36" s="45">
        <v>665.6239457101309</v>
      </c>
      <c r="L36" s="45">
        <v>595.07988103761636</v>
      </c>
      <c r="M36" s="45">
        <v>327.04780711825492</v>
      </c>
      <c r="N36" s="45">
        <v>300.37283468318248</v>
      </c>
      <c r="O36" s="45">
        <v>370.24770742818572</v>
      </c>
      <c r="P36" s="45">
        <v>361.72160475421805</v>
      </c>
      <c r="Q36" s="45">
        <v>368.81720384074367</v>
      </c>
      <c r="R36" s="45">
        <v>394.31396412240593</v>
      </c>
      <c r="S36" s="45">
        <v>481.09080599999999</v>
      </c>
      <c r="T36" s="45">
        <v>474.54425775315042</v>
      </c>
      <c r="U36" s="45">
        <v>478.61227497352633</v>
      </c>
      <c r="V36" s="45">
        <v>452.42836753421722</v>
      </c>
      <c r="W36" s="45">
        <v>524.67699322563828</v>
      </c>
      <c r="X36" s="45">
        <v>429.6408601046906</v>
      </c>
      <c r="Y36" s="45">
        <v>435.07565726469477</v>
      </c>
      <c r="Z36" s="45">
        <v>573.26783272198486</v>
      </c>
      <c r="AA36" s="45">
        <v>613.1</v>
      </c>
    </row>
    <row r="37" spans="1:27" x14ac:dyDescent="0.25">
      <c r="A37" s="73" t="s">
        <v>263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</row>
    <row r="43" spans="1:27" x14ac:dyDescent="0.25">
      <c r="A43" s="72" t="s">
        <v>265</v>
      </c>
      <c r="B43" s="65"/>
      <c r="C43" s="65"/>
      <c r="D43" s="66">
        <v>5744.2642556599167</v>
      </c>
      <c r="E43" s="66">
        <v>6179.0206592853538</v>
      </c>
      <c r="F43" s="66">
        <v>5517.1679978315869</v>
      </c>
      <c r="G43" s="66">
        <v>6129.1176611796982</v>
      </c>
      <c r="H43" s="66">
        <v>5980.5660236836229</v>
      </c>
      <c r="I43" s="66">
        <v>6157.2920107024383</v>
      </c>
      <c r="J43" s="66">
        <v>5862.7371107102172</v>
      </c>
      <c r="K43" s="66">
        <v>5456.2995152690255</v>
      </c>
      <c r="L43" s="66">
        <v>5874.0821104808065</v>
      </c>
      <c r="M43" s="66">
        <v>6454.890929965557</v>
      </c>
      <c r="N43" s="66">
        <v>7860.1977513101483</v>
      </c>
      <c r="O43" s="66">
        <v>8187.454568270975</v>
      </c>
      <c r="P43" s="66">
        <v>9744.9026495717699</v>
      </c>
      <c r="Q43" s="66">
        <v>10241.788746865637</v>
      </c>
      <c r="R43" s="66">
        <v>10689.983404854029</v>
      </c>
      <c r="S43" s="66">
        <v>12512.535021</v>
      </c>
      <c r="T43" s="66">
        <v>13605.102153901154</v>
      </c>
      <c r="U43" s="66">
        <v>14638.776809036359</v>
      </c>
      <c r="V43" s="66">
        <v>16098.113839154968</v>
      </c>
      <c r="W43" s="66">
        <v>16459.136842105261</v>
      </c>
      <c r="X43" s="66">
        <v>16753.879279296092</v>
      </c>
      <c r="Y43" s="66">
        <v>16669.065077787614</v>
      </c>
      <c r="Z43" s="66">
        <v>19254.940230542372</v>
      </c>
      <c r="AA43" s="66">
        <v>28098.7</v>
      </c>
    </row>
    <row r="44" spans="1:27" x14ac:dyDescent="0.25">
      <c r="A44" s="73" t="s">
        <v>266</v>
      </c>
      <c r="B44" s="65"/>
      <c r="C44" s="65"/>
      <c r="D44" s="66">
        <v>2006.2110402301971</v>
      </c>
      <c r="E44" s="66">
        <v>1992.0198500781394</v>
      </c>
      <c r="F44" s="66">
        <v>1806.217546078786</v>
      </c>
      <c r="G44" s="66">
        <v>1858.8965706447191</v>
      </c>
      <c r="H44" s="66">
        <v>1805.4203768526104</v>
      </c>
      <c r="I44" s="66">
        <v>1844.2277137460956</v>
      </c>
      <c r="J44" s="66">
        <v>1776.655630459552</v>
      </c>
      <c r="K44" s="66">
        <v>1671.6300290838585</v>
      </c>
      <c r="L44" s="66">
        <v>1817.2925108773477</v>
      </c>
      <c r="M44" s="66">
        <v>1943.1177726750861</v>
      </c>
      <c r="N44" s="66">
        <v>2049.3280705097668</v>
      </c>
      <c r="O44" s="66">
        <v>1980.2718753954525</v>
      </c>
      <c r="P44" s="66">
        <v>2387.2399738847021</v>
      </c>
      <c r="Q44" s="66">
        <v>2294.3493425478568</v>
      </c>
      <c r="R44" s="66">
        <v>2527.8041997889554</v>
      </c>
      <c r="S44" s="66">
        <v>2881.6552170000004</v>
      </c>
      <c r="T44" s="66">
        <v>3016.9740370006257</v>
      </c>
      <c r="U44" s="66">
        <v>3101.9173755735969</v>
      </c>
      <c r="V44" s="66">
        <v>3027.1718950739014</v>
      </c>
      <c r="W44" s="66">
        <v>3274.5414538822301</v>
      </c>
      <c r="X44" s="66">
        <v>3329.7444850848628</v>
      </c>
      <c r="Y44" s="66">
        <v>3522.6259382397052</v>
      </c>
      <c r="Z44" s="66">
        <v>3241.2430759678778</v>
      </c>
      <c r="AA44" s="66">
        <v>3509.5</v>
      </c>
    </row>
    <row r="45" spans="1:27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</row>
    <row r="46" spans="1:27" x14ac:dyDescent="0.25">
      <c r="A46" s="74" t="s">
        <v>12</v>
      </c>
      <c r="B46" s="44"/>
      <c r="C46" s="44"/>
      <c r="D46" s="45">
        <v>2006.2110402301971</v>
      </c>
      <c r="E46" s="45">
        <v>1992.0198500781394</v>
      </c>
      <c r="F46" s="45">
        <v>1806.217546078786</v>
      </c>
      <c r="G46" s="45">
        <v>1858.8965706447191</v>
      </c>
      <c r="H46" s="45">
        <v>1805.4203768526104</v>
      </c>
      <c r="I46" s="45">
        <v>1844.2277137460956</v>
      </c>
      <c r="J46" s="45">
        <v>1776.655630459552</v>
      </c>
      <c r="K46" s="45">
        <v>1671.6300290838585</v>
      </c>
      <c r="L46" s="45">
        <v>1817.2925108773477</v>
      </c>
      <c r="M46" s="45">
        <v>1943.1177726750861</v>
      </c>
      <c r="N46" s="45">
        <v>2049.3280705097668</v>
      </c>
      <c r="O46" s="45">
        <v>1980.2718753954525</v>
      </c>
      <c r="P46" s="45">
        <v>2387.2399738847021</v>
      </c>
      <c r="Q46" s="45">
        <v>2294.3493425478568</v>
      </c>
      <c r="R46" s="45">
        <v>2527.8041997889554</v>
      </c>
      <c r="S46" s="45">
        <v>2881.6552170000004</v>
      </c>
      <c r="T46" s="45">
        <v>3016.9740370006257</v>
      </c>
      <c r="U46" s="45">
        <v>3101.9173755735969</v>
      </c>
      <c r="V46" s="45">
        <v>3027.1718950739014</v>
      </c>
      <c r="W46" s="45">
        <v>3274.5414538822301</v>
      </c>
      <c r="X46" s="45">
        <v>3329.7444850848628</v>
      </c>
      <c r="Y46" s="45">
        <v>3522.6259382397052</v>
      </c>
      <c r="Z46" s="45">
        <v>3241.2430759678778</v>
      </c>
      <c r="AA46" s="45">
        <v>3509.5</v>
      </c>
    </row>
    <row r="47" spans="1:27" x14ac:dyDescent="0.25">
      <c r="A47" s="73" t="s">
        <v>11</v>
      </c>
      <c r="B47" s="65"/>
      <c r="C47" s="65"/>
      <c r="D47" s="66">
        <v>3738.0532154297193</v>
      </c>
      <c r="E47" s="66">
        <v>4187.0008092072148</v>
      </c>
      <c r="F47" s="66">
        <v>3710.9504517528012</v>
      </c>
      <c r="G47" s="66">
        <v>4270.2210905349793</v>
      </c>
      <c r="H47" s="66">
        <v>4175.1456468310125</v>
      </c>
      <c r="I47" s="66">
        <v>4313.0642969563423</v>
      </c>
      <c r="J47" s="66">
        <v>4086.0814802506648</v>
      </c>
      <c r="K47" s="66">
        <v>3784.669486185167</v>
      </c>
      <c r="L47" s="66">
        <v>4056.7895996034586</v>
      </c>
      <c r="M47" s="66">
        <v>4511.7731572904713</v>
      </c>
      <c r="N47" s="66">
        <v>5810.8696808003815</v>
      </c>
      <c r="O47" s="66">
        <v>6207.1826928755227</v>
      </c>
      <c r="P47" s="66">
        <v>7357.6626756870683</v>
      </c>
      <c r="Q47" s="66">
        <v>7947.4394043177799</v>
      </c>
      <c r="R47" s="66">
        <v>8162.1792050650729</v>
      </c>
      <c r="S47" s="66">
        <v>9630.8798040000001</v>
      </c>
      <c r="T47" s="66">
        <v>10588.128116900529</v>
      </c>
      <c r="U47" s="66">
        <v>11536.859433462761</v>
      </c>
      <c r="V47" s="66">
        <v>13070.941944081067</v>
      </c>
      <c r="W47" s="66">
        <v>13184.595388223031</v>
      </c>
      <c r="X47" s="66">
        <v>13424.134794211228</v>
      </c>
      <c r="Y47" s="66">
        <v>13146.439139547909</v>
      </c>
      <c r="Z47" s="66">
        <v>16013.697154574495</v>
      </c>
      <c r="AA47" s="66">
        <v>24589.200000000001</v>
      </c>
    </row>
    <row r="48" spans="1:27" x14ac:dyDescent="0.25">
      <c r="A48" s="72" t="s">
        <v>4</v>
      </c>
      <c r="B48" s="65"/>
      <c r="C48" s="65"/>
      <c r="D48" s="66">
        <v>1921.3914028991801</v>
      </c>
      <c r="E48" s="66">
        <v>1618.0028024262972</v>
      </c>
      <c r="F48" s="66">
        <v>1675.3768341163714</v>
      </c>
      <c r="G48" s="66">
        <v>1586.0907750342935</v>
      </c>
      <c r="H48" s="66">
        <v>1545.1769345348923</v>
      </c>
      <c r="I48" s="66">
        <v>1608.0140959829534</v>
      </c>
      <c r="J48" s="66">
        <v>1741.4112668533987</v>
      </c>
      <c r="K48" s="66">
        <v>1847.3954920019387</v>
      </c>
      <c r="L48" s="66">
        <v>1697.2256209726277</v>
      </c>
      <c r="M48" s="66">
        <v>1257.0737083811712</v>
      </c>
      <c r="N48" s="66">
        <v>1019.6767603620774</v>
      </c>
      <c r="O48" s="66">
        <v>1237.0096638123762</v>
      </c>
      <c r="P48" s="66">
        <v>1190.7384758536309</v>
      </c>
      <c r="Q48" s="66">
        <v>1174.7691028071679</v>
      </c>
      <c r="R48" s="66">
        <v>1274.7487302145621</v>
      </c>
      <c r="S48" s="66">
        <v>1300.1616180000003</v>
      </c>
      <c r="T48" s="66">
        <v>1498.7166413441771</v>
      </c>
      <c r="U48" s="66">
        <v>1600.0126456053656</v>
      </c>
      <c r="V48" s="66">
        <v>1649.5123806548611</v>
      </c>
      <c r="W48" s="66">
        <v>1686.7001563314227</v>
      </c>
      <c r="X48" s="66">
        <v>1629.430488089351</v>
      </c>
      <c r="Y48" s="66">
        <v>1588.5971992844622</v>
      </c>
      <c r="Z48" s="66">
        <v>1487.8268309818882</v>
      </c>
      <c r="AA48" s="66">
        <v>1612.6</v>
      </c>
    </row>
    <row r="49" spans="1:27" x14ac:dyDescent="0.25">
      <c r="A49" s="77" t="s">
        <v>10</v>
      </c>
      <c r="B49" s="44"/>
      <c r="C49" s="44"/>
      <c r="D49" s="45">
        <v>714.49638636598161</v>
      </c>
      <c r="E49" s="45">
        <v>675.9741868675236</v>
      </c>
      <c r="F49" s="45">
        <v>702.15580479019036</v>
      </c>
      <c r="G49" s="45">
        <v>629.07359076208468</v>
      </c>
      <c r="H49" s="45">
        <v>640.99184299861952</v>
      </c>
      <c r="I49" s="45">
        <v>621.30349932094703</v>
      </c>
      <c r="J49" s="45">
        <v>859.94512815594317</v>
      </c>
      <c r="K49" s="45">
        <v>831.23681606831792</v>
      </c>
      <c r="L49" s="45">
        <v>910.87318890415781</v>
      </c>
      <c r="M49" s="45">
        <v>605.95691051154517</v>
      </c>
      <c r="N49" s="45">
        <v>476.26091430261897</v>
      </c>
      <c r="O49" s="45">
        <v>598.48378843523119</v>
      </c>
      <c r="P49" s="45">
        <v>613.87407962388227</v>
      </c>
      <c r="Q49" s="45">
        <v>594.80980116116837</v>
      </c>
      <c r="R49" s="45">
        <v>647.34282505951114</v>
      </c>
      <c r="S49" s="45">
        <v>705.71521355322966</v>
      </c>
      <c r="T49" s="45">
        <v>835.22992318224021</v>
      </c>
      <c r="U49" s="45">
        <v>928.09177927959865</v>
      </c>
      <c r="V49" s="45">
        <v>978.96159855808673</v>
      </c>
      <c r="W49" s="45">
        <v>1031.2029621585916</v>
      </c>
      <c r="X49" s="45">
        <v>985.7689475684042</v>
      </c>
      <c r="Y49" s="45">
        <v>969.40157213708756</v>
      </c>
      <c r="Z49" s="45">
        <v>919.2329812504953</v>
      </c>
      <c r="AA49" s="45">
        <v>986.53117921180126</v>
      </c>
    </row>
    <row r="50" spans="1:27" x14ac:dyDescent="0.25">
      <c r="A50" s="77" t="s">
        <v>18</v>
      </c>
      <c r="B50" s="44"/>
      <c r="C50" s="44"/>
      <c r="D50" s="45">
        <v>174.05581350097177</v>
      </c>
      <c r="E50" s="45">
        <v>165.90670021219654</v>
      </c>
      <c r="F50" s="45">
        <v>166.50094259125697</v>
      </c>
      <c r="G50" s="45">
        <v>148.31798873149097</v>
      </c>
      <c r="H50" s="45">
        <v>140.47685763986067</v>
      </c>
      <c r="I50" s="45">
        <v>132.19191998139743</v>
      </c>
      <c r="J50" s="45">
        <v>179.16979916918893</v>
      </c>
      <c r="K50" s="45">
        <v>195.81365386512601</v>
      </c>
      <c r="L50" s="45">
        <v>221.34729103844231</v>
      </c>
      <c r="M50" s="45">
        <v>162.4405149268072</v>
      </c>
      <c r="N50" s="45">
        <v>139.50245008908323</v>
      </c>
      <c r="O50" s="45">
        <v>149.52954227726977</v>
      </c>
      <c r="P50" s="45">
        <v>135.06109297082378</v>
      </c>
      <c r="Q50" s="45">
        <v>145.76353737278629</v>
      </c>
      <c r="R50" s="45">
        <v>163.50489592289014</v>
      </c>
      <c r="S50" s="45">
        <v>135.99902417554765</v>
      </c>
      <c r="T50" s="45">
        <v>144.13005095911109</v>
      </c>
      <c r="U50" s="45">
        <v>143.16612746911517</v>
      </c>
      <c r="V50" s="45">
        <v>142.12483334913318</v>
      </c>
      <c r="W50" s="45">
        <v>120.71333735880557</v>
      </c>
      <c r="X50" s="45">
        <v>112.96864318541967</v>
      </c>
      <c r="Y50" s="45">
        <v>114.69652850061709</v>
      </c>
      <c r="Z50" s="45">
        <v>107.78664280918846</v>
      </c>
      <c r="AA50" s="45">
        <v>105.64289263339815</v>
      </c>
    </row>
    <row r="51" spans="1:27" x14ac:dyDescent="0.25">
      <c r="A51" s="77" t="s">
        <v>9</v>
      </c>
      <c r="B51" s="44"/>
      <c r="C51" s="44"/>
      <c r="D51" s="45">
        <v>1032.8392030322268</v>
      </c>
      <c r="E51" s="45">
        <v>776.121915346577</v>
      </c>
      <c r="F51" s="45">
        <v>806.72008673492405</v>
      </c>
      <c r="G51" s="45">
        <v>808.69919554071794</v>
      </c>
      <c r="H51" s="45">
        <v>763.70823389641214</v>
      </c>
      <c r="I51" s="45">
        <v>854.51867668060902</v>
      </c>
      <c r="J51" s="45">
        <v>702.29633952826657</v>
      </c>
      <c r="K51" s="45">
        <v>820.3450220684947</v>
      </c>
      <c r="L51" s="45">
        <v>565.00514103002752</v>
      </c>
      <c r="M51" s="45">
        <v>488.67628294281883</v>
      </c>
      <c r="N51" s="45">
        <v>403.91339597037518</v>
      </c>
      <c r="O51" s="45">
        <v>488.99633309987519</v>
      </c>
      <c r="P51" s="45">
        <v>441.80330325892487</v>
      </c>
      <c r="Q51" s="45">
        <v>434.19576427321323</v>
      </c>
      <c r="R51" s="45">
        <v>463.90100923216085</v>
      </c>
      <c r="S51" s="45">
        <v>458.44738027122298</v>
      </c>
      <c r="T51" s="45">
        <v>519.35666720282575</v>
      </c>
      <c r="U51" s="45">
        <v>528.75473885665178</v>
      </c>
      <c r="V51" s="45">
        <v>528.4259487476412</v>
      </c>
      <c r="W51" s="45">
        <v>534.78385681402551</v>
      </c>
      <c r="X51" s="45">
        <v>530.69289733552716</v>
      </c>
      <c r="Y51" s="45">
        <v>504.4990986467576</v>
      </c>
      <c r="Z51" s="45">
        <v>460.80720692220439</v>
      </c>
      <c r="AA51" s="45">
        <v>520.42592815480054</v>
      </c>
    </row>
    <row r="52" spans="1:27" x14ac:dyDescent="0.25">
      <c r="A52" s="72" t="s">
        <v>3</v>
      </c>
      <c r="B52" s="65"/>
      <c r="C52" s="65"/>
      <c r="D52" s="66">
        <v>2391.6224075682712</v>
      </c>
      <c r="E52" s="66">
        <v>2184.7144438852542</v>
      </c>
      <c r="F52" s="66">
        <v>2112.2308818214678</v>
      </c>
      <c r="G52" s="66">
        <v>2019.7626200274349</v>
      </c>
      <c r="H52" s="66">
        <v>1887.2830751470917</v>
      </c>
      <c r="I52" s="66">
        <v>1696.2332405142984</v>
      </c>
      <c r="J52" s="66">
        <v>1665.4023381124198</v>
      </c>
      <c r="K52" s="66">
        <v>1567.2993940862823</v>
      </c>
      <c r="L52" s="66">
        <v>1562.3145750950048</v>
      </c>
      <c r="M52" s="66">
        <v>1341.4436969001149</v>
      </c>
      <c r="N52" s="66">
        <v>1158.0578561219629</v>
      </c>
      <c r="O52" s="66">
        <v>1170.9838328341841</v>
      </c>
      <c r="P52" s="66">
        <v>1022.6298927627721</v>
      </c>
      <c r="Q52" s="66">
        <v>980.75715246773893</v>
      </c>
      <c r="R52" s="66">
        <v>1045.8308969398524</v>
      </c>
      <c r="S52" s="66">
        <v>966.23641799999996</v>
      </c>
      <c r="T52" s="66">
        <v>893.426972919832</v>
      </c>
      <c r="U52" s="66">
        <v>979.09127250264726</v>
      </c>
      <c r="V52" s="66">
        <v>903.22678212312326</v>
      </c>
      <c r="W52" s="66">
        <v>933.46240229286104</v>
      </c>
      <c r="X52" s="66">
        <v>928.9411810810559</v>
      </c>
      <c r="Y52" s="66">
        <v>736.97808214227621</v>
      </c>
      <c r="Z52" s="66">
        <v>689.20745218819184</v>
      </c>
      <c r="AA52" s="66">
        <v>747.8</v>
      </c>
    </row>
    <row r="53" spans="1:27" x14ac:dyDescent="0.25">
      <c r="A53" s="73" t="s">
        <v>21</v>
      </c>
      <c r="B53" s="65"/>
      <c r="C53" s="65"/>
      <c r="D53" s="66">
        <v>905.33631983278121</v>
      </c>
      <c r="E53" s="66">
        <v>892.2391478822874</v>
      </c>
      <c r="F53" s="66">
        <v>885.25286411275761</v>
      </c>
      <c r="G53" s="66">
        <v>845.98576817558308</v>
      </c>
      <c r="H53" s="66">
        <v>758.08115364563946</v>
      </c>
      <c r="I53" s="66">
        <v>660.84946729945034</v>
      </c>
      <c r="J53" s="66">
        <v>647.42055877326243</v>
      </c>
      <c r="K53" s="66">
        <v>624.05685894328644</v>
      </c>
      <c r="L53" s="66">
        <v>564.866112243212</v>
      </c>
      <c r="M53" s="66">
        <v>537.38597014925381</v>
      </c>
      <c r="N53" s="66">
        <v>490.64684135302531</v>
      </c>
      <c r="O53" s="66">
        <v>514.87571814232081</v>
      </c>
      <c r="P53" s="66">
        <v>469.37976372852427</v>
      </c>
      <c r="Q53" s="66">
        <v>445.88711393798548</v>
      </c>
      <c r="R53" s="66">
        <v>476.89217727752379</v>
      </c>
      <c r="S53" s="66">
        <v>488.48486400000002</v>
      </c>
      <c r="T53" s="66">
        <v>428.23859147376896</v>
      </c>
      <c r="U53" s="66">
        <v>476.15665372396751</v>
      </c>
      <c r="V53" s="66">
        <v>442.64864986235045</v>
      </c>
      <c r="W53" s="66">
        <v>495.33006774361638</v>
      </c>
      <c r="X53" s="66">
        <v>545.92542338088879</v>
      </c>
      <c r="Y53" s="66">
        <v>454.25432665377735</v>
      </c>
      <c r="Z53" s="66">
        <v>432.67886558775234</v>
      </c>
      <c r="AA53" s="66">
        <v>481.7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1.2167702327774612</v>
      </c>
      <c r="M54" s="45">
        <v>1.1548392555653655</v>
      </c>
      <c r="N54" s="45">
        <v>1.4171095200645221</v>
      </c>
      <c r="O54" s="45">
        <v>1.0597739773446986</v>
      </c>
      <c r="P54" s="45">
        <v>0.85656876629998491</v>
      </c>
      <c r="Q54" s="45">
        <v>0.80657608074636666</v>
      </c>
      <c r="R54" s="45">
        <v>0.79519347114257877</v>
      </c>
      <c r="S54" s="45">
        <v>0.88363219028536444</v>
      </c>
      <c r="T54" s="45">
        <v>2.4913336547101768</v>
      </c>
      <c r="U54" s="45">
        <v>2.7701032087141142</v>
      </c>
      <c r="V54" s="45">
        <v>2.4926031686186909</v>
      </c>
      <c r="W54" s="45">
        <v>2.7892580193202647</v>
      </c>
      <c r="X54" s="45">
        <v>3.0741660243894589</v>
      </c>
      <c r="Y54" s="45">
        <v>2.5579560094175289</v>
      </c>
      <c r="Z54" s="45">
        <v>2.436462218271195</v>
      </c>
      <c r="AA54" s="45">
        <v>2.7125056107072698</v>
      </c>
    </row>
    <row r="55" spans="1:27" x14ac:dyDescent="0.25">
      <c r="A55" s="74" t="s">
        <v>17</v>
      </c>
      <c r="B55" s="44"/>
      <c r="C55" s="44"/>
      <c r="D55" s="45">
        <v>905.33631983278121</v>
      </c>
      <c r="E55" s="45">
        <v>892.2391478822874</v>
      </c>
      <c r="F55" s="45">
        <v>885.25286411275761</v>
      </c>
      <c r="G55" s="45">
        <v>845.98576817558308</v>
      </c>
      <c r="H55" s="45">
        <v>758.08115364563946</v>
      </c>
      <c r="I55" s="45">
        <v>660.84946729945034</v>
      </c>
      <c r="J55" s="45">
        <v>647.42055877326243</v>
      </c>
      <c r="K55" s="45">
        <v>624.05685894328644</v>
      </c>
      <c r="L55" s="45">
        <v>563.64934201043457</v>
      </c>
      <c r="M55" s="45">
        <v>536.23113089368849</v>
      </c>
      <c r="N55" s="45">
        <v>489.22973183296079</v>
      </c>
      <c r="O55" s="45">
        <v>513.81594416497614</v>
      </c>
      <c r="P55" s="45">
        <v>468.5231949622243</v>
      </c>
      <c r="Q55" s="45">
        <v>445.08053785723911</v>
      </c>
      <c r="R55" s="45">
        <v>476.09698380638122</v>
      </c>
      <c r="S55" s="45">
        <v>487.60123180971465</v>
      </c>
      <c r="T55" s="45">
        <v>425.7472578190588</v>
      </c>
      <c r="U55" s="45">
        <v>473.38655051525342</v>
      </c>
      <c r="V55" s="45">
        <v>440.15604669373175</v>
      </c>
      <c r="W55" s="45">
        <v>492.54080972429614</v>
      </c>
      <c r="X55" s="45">
        <v>542.85125735649933</v>
      </c>
      <c r="Y55" s="45">
        <v>451.69637064435983</v>
      </c>
      <c r="Z55" s="45">
        <v>430.24240336948117</v>
      </c>
      <c r="AA55" s="45">
        <v>478.98749438929269</v>
      </c>
    </row>
    <row r="56" spans="1:27" x14ac:dyDescent="0.25">
      <c r="A56" s="73" t="s">
        <v>16</v>
      </c>
      <c r="B56" s="65"/>
      <c r="C56" s="65"/>
      <c r="D56" s="66">
        <v>1486.2860877354901</v>
      </c>
      <c r="E56" s="66">
        <v>1292.4752960029668</v>
      </c>
      <c r="F56" s="66">
        <v>1226.97801770871</v>
      </c>
      <c r="G56" s="66">
        <v>1173.7768518518517</v>
      </c>
      <c r="H56" s="66">
        <v>1129.2019215014523</v>
      </c>
      <c r="I56" s="66">
        <v>1035.3837732148481</v>
      </c>
      <c r="J56" s="66">
        <v>1017.9817793391572</v>
      </c>
      <c r="K56" s="66">
        <v>943.24253514299585</v>
      </c>
      <c r="L56" s="66">
        <v>997.44846285179267</v>
      </c>
      <c r="M56" s="66">
        <v>804.05772675086121</v>
      </c>
      <c r="N56" s="66">
        <v>667.41101476893755</v>
      </c>
      <c r="O56" s="66">
        <v>656.10811469186331</v>
      </c>
      <c r="P56" s="66">
        <v>553.25012903424783</v>
      </c>
      <c r="Q56" s="66">
        <v>534.87003852975351</v>
      </c>
      <c r="R56" s="66">
        <v>568.93871966232859</v>
      </c>
      <c r="S56" s="66">
        <v>477.75155399999989</v>
      </c>
      <c r="T56" s="66">
        <v>465.18838144606309</v>
      </c>
      <c r="U56" s="66">
        <v>502.93461877867975</v>
      </c>
      <c r="V56" s="66">
        <v>460.57813226077275</v>
      </c>
      <c r="W56" s="66">
        <v>438.13233454924466</v>
      </c>
      <c r="X56" s="66">
        <v>383.01575770016706</v>
      </c>
      <c r="Y56" s="66">
        <v>282.72375548849885</v>
      </c>
      <c r="Z56" s="66">
        <v>256.5285866004395</v>
      </c>
      <c r="AA56" s="66">
        <v>266.09999999999991</v>
      </c>
    </row>
    <row r="57" spans="1:27" x14ac:dyDescent="0.25">
      <c r="A57" s="72" t="s">
        <v>2</v>
      </c>
      <c r="B57" s="65"/>
      <c r="C57" s="65"/>
      <c r="D57" s="66">
        <v>6623.7014495900967</v>
      </c>
      <c r="E57" s="66">
        <v>6846.1862037453975</v>
      </c>
      <c r="F57" s="66">
        <v>7266.7392121431158</v>
      </c>
      <c r="G57" s="66">
        <v>6929.5095679012347</v>
      </c>
      <c r="H57" s="66">
        <v>6846.7118604304769</v>
      </c>
      <c r="I57" s="66">
        <v>6634.1951766386601</v>
      </c>
      <c r="J57" s="66">
        <v>6042.6390630934302</v>
      </c>
      <c r="K57" s="66">
        <v>5782.0918807561793</v>
      </c>
      <c r="L57" s="66">
        <v>5448.3306989040038</v>
      </c>
      <c r="M57" s="66">
        <v>5447.4063375430542</v>
      </c>
      <c r="N57" s="66">
        <v>5026.0367508337304</v>
      </c>
      <c r="O57" s="66">
        <v>4714.244331842915</v>
      </c>
      <c r="P57" s="66">
        <v>4404.5429709750051</v>
      </c>
      <c r="Q57" s="66">
        <v>4554.1752553360657</v>
      </c>
      <c r="R57" s="66">
        <v>4542.0414280689411</v>
      </c>
      <c r="S57" s="66">
        <v>4807.688067</v>
      </c>
      <c r="T57" s="66">
        <v>5047.6729108946292</v>
      </c>
      <c r="U57" s="66">
        <v>4595.8705700670671</v>
      </c>
      <c r="V57" s="66">
        <v>4667.4866841087924</v>
      </c>
      <c r="W57" s="66">
        <v>4911.5244658676384</v>
      </c>
      <c r="X57" s="66">
        <v>4654.2757354930818</v>
      </c>
      <c r="Y57" s="66">
        <v>4436.3063675622925</v>
      </c>
      <c r="Z57" s="66">
        <v>4273.787686978686</v>
      </c>
      <c r="AA57" s="66">
        <v>5484.6</v>
      </c>
    </row>
    <row r="58" spans="1:27" x14ac:dyDescent="0.25">
      <c r="A58" s="72" t="s">
        <v>269</v>
      </c>
      <c r="B58" s="65"/>
      <c r="C58" s="65"/>
      <c r="D58" s="66">
        <v>1108.3207190944133</v>
      </c>
      <c r="E58" s="66">
        <v>1091.0936508356951</v>
      </c>
      <c r="F58" s="66">
        <v>1035.64271774485</v>
      </c>
      <c r="G58" s="66">
        <v>1037.7526406035665</v>
      </c>
      <c r="H58" s="66">
        <v>857.85594324867805</v>
      </c>
      <c r="I58" s="66">
        <v>932.43737378629021</v>
      </c>
      <c r="J58" s="66">
        <v>950.89009922142043</v>
      </c>
      <c r="K58" s="66">
        <v>825.01032476975274</v>
      </c>
      <c r="L58" s="66">
        <v>911.27353968166551</v>
      </c>
      <c r="M58" s="66">
        <v>600.37005740528127</v>
      </c>
      <c r="N58" s="66">
        <v>709.83441638875661</v>
      </c>
      <c r="O58" s="66">
        <v>798.09509216687059</v>
      </c>
      <c r="P58" s="66">
        <v>633.93243951840918</v>
      </c>
      <c r="Q58" s="66">
        <v>552.37487615436362</v>
      </c>
      <c r="R58" s="66">
        <v>546.64619767850866</v>
      </c>
      <c r="S58" s="66">
        <v>653.18154300000003</v>
      </c>
      <c r="T58" s="66">
        <v>723.36319599606759</v>
      </c>
      <c r="U58" s="66">
        <v>727.33162725026477</v>
      </c>
      <c r="V58" s="66">
        <v>660.13094285100658</v>
      </c>
      <c r="W58" s="66">
        <v>678.6620375195414</v>
      </c>
      <c r="X58" s="66">
        <v>584.64985210827354</v>
      </c>
      <c r="Y58" s="66">
        <v>673.08509928988315</v>
      </c>
      <c r="Z58" s="66">
        <v>578.5289583112077</v>
      </c>
      <c r="AA58" s="66">
        <v>762</v>
      </c>
    </row>
    <row r="59" spans="1:27" x14ac:dyDescent="0.25">
      <c r="A59" s="72" t="s">
        <v>270</v>
      </c>
      <c r="B59" s="65"/>
      <c r="C59" s="65"/>
      <c r="D59" s="66">
        <v>14028.585284217383</v>
      </c>
      <c r="E59" s="66">
        <v>14241.078160675974</v>
      </c>
      <c r="F59" s="66">
        <v>14746.979680159018</v>
      </c>
      <c r="G59" s="66">
        <v>13238.730555555556</v>
      </c>
      <c r="H59" s="66">
        <v>13240.292220898191</v>
      </c>
      <c r="I59" s="66">
        <v>12389.230989854477</v>
      </c>
      <c r="J59" s="66">
        <v>14109.635107292062</v>
      </c>
      <c r="K59" s="66">
        <v>14949.010906446922</v>
      </c>
      <c r="L59" s="66">
        <v>14498.668094949606</v>
      </c>
      <c r="M59" s="66">
        <v>12355.965258323766</v>
      </c>
      <c r="N59" s="66">
        <v>11915.799190090522</v>
      </c>
      <c r="O59" s="66">
        <v>12509.945636309951</v>
      </c>
      <c r="P59" s="66">
        <v>12332.376989749231</v>
      </c>
      <c r="Q59" s="66">
        <v>13296.74759647728</v>
      </c>
      <c r="R59" s="66">
        <v>13026.023974674641</v>
      </c>
      <c r="S59" s="66">
        <v>12451.832189999999</v>
      </c>
      <c r="T59" s="66">
        <v>13746.743015461616</v>
      </c>
      <c r="U59" s="66">
        <v>14787.751164842924</v>
      </c>
      <c r="V59" s="66">
        <v>14536.502492336531</v>
      </c>
      <c r="W59" s="66">
        <v>15630.517769671704</v>
      </c>
      <c r="X59" s="66">
        <v>12990.933067097125</v>
      </c>
      <c r="Y59" s="66">
        <v>14627.183259852194</v>
      </c>
      <c r="Z59" s="66">
        <v>13062.887696782045</v>
      </c>
      <c r="AA59" s="66">
        <v>14492.699999999999</v>
      </c>
    </row>
    <row r="60" spans="1:27" x14ac:dyDescent="0.25">
      <c r="A60" s="72" t="s">
        <v>1</v>
      </c>
      <c r="B60" s="65"/>
      <c r="C60" s="65"/>
      <c r="D60" s="66">
        <v>1108.8063277050871</v>
      </c>
      <c r="E60" s="66">
        <v>973.73948427939501</v>
      </c>
      <c r="F60" s="66">
        <v>903.87842428623071</v>
      </c>
      <c r="G60" s="66">
        <v>835.6854938271606</v>
      </c>
      <c r="H60" s="66">
        <v>759.85755939524836</v>
      </c>
      <c r="I60" s="66">
        <v>628.65164531828862</v>
      </c>
      <c r="J60" s="66">
        <v>653.93156570451958</v>
      </c>
      <c r="K60" s="66">
        <v>616.07377605428985</v>
      </c>
      <c r="L60" s="66">
        <v>560.66245745442529</v>
      </c>
      <c r="M60" s="66">
        <v>464.10013777267511</v>
      </c>
      <c r="N60" s="66">
        <v>412.61808480228683</v>
      </c>
      <c r="O60" s="66">
        <v>423.31989918589449</v>
      </c>
      <c r="P60" s="66">
        <v>373.61550158850923</v>
      </c>
      <c r="Q60" s="66">
        <v>438.95811571157731</v>
      </c>
      <c r="R60" s="66">
        <v>448.48718958846291</v>
      </c>
      <c r="S60" s="66">
        <v>476.439705</v>
      </c>
      <c r="T60" s="66">
        <v>459.03008311734749</v>
      </c>
      <c r="U60" s="66">
        <v>487.38235086480768</v>
      </c>
      <c r="V60" s="66">
        <v>561.40236444930395</v>
      </c>
      <c r="W60" s="66">
        <v>542.0549765502866</v>
      </c>
      <c r="X60" s="66">
        <v>501.08075448107263</v>
      </c>
      <c r="Y60" s="66">
        <v>494.33559077028713</v>
      </c>
      <c r="Z60" s="66">
        <v>454.01565269960054</v>
      </c>
      <c r="AA60" s="66">
        <v>455.7</v>
      </c>
    </row>
    <row r="61" spans="1:27" x14ac:dyDescent="0.25">
      <c r="A61" s="72" t="s">
        <v>0</v>
      </c>
      <c r="B61" s="65"/>
      <c r="C61" s="65"/>
      <c r="D61" s="66">
        <v>1168.2124477441771</v>
      </c>
      <c r="E61" s="66">
        <v>1096.3058816517892</v>
      </c>
      <c r="F61" s="66">
        <v>1033.6416245030721</v>
      </c>
      <c r="G61" s="66">
        <v>1064.7151234567903</v>
      </c>
      <c r="H61" s="66">
        <v>1087.900487823043</v>
      </c>
      <c r="I61" s="66">
        <v>1097.9024141020363</v>
      </c>
      <c r="J61" s="66">
        <v>1098.8031914641094</v>
      </c>
      <c r="K61" s="66">
        <v>1100.701963160446</v>
      </c>
      <c r="L61" s="66">
        <v>939.64820950597561</v>
      </c>
      <c r="M61" s="66">
        <v>679.13276693455794</v>
      </c>
      <c r="N61" s="66">
        <v>665.26459266317295</v>
      </c>
      <c r="O61" s="66">
        <v>676.35603619184201</v>
      </c>
      <c r="P61" s="66">
        <v>662.25708043306156</v>
      </c>
      <c r="Q61" s="66">
        <v>633.94255703015108</v>
      </c>
      <c r="R61" s="66">
        <v>668.65580724586709</v>
      </c>
      <c r="S61" s="66">
        <v>690.62886900000001</v>
      </c>
      <c r="T61" s="66">
        <v>667.4647957815713</v>
      </c>
      <c r="U61" s="66">
        <v>687.80781856689032</v>
      </c>
      <c r="V61" s="66">
        <v>675.49907062108298</v>
      </c>
      <c r="W61" s="66">
        <v>707.54861907243344</v>
      </c>
      <c r="X61" s="66">
        <v>691.03075401453725</v>
      </c>
      <c r="Y61" s="66">
        <v>774.90443958585547</v>
      </c>
      <c r="Z61" s="66">
        <v>778.54915895332783</v>
      </c>
      <c r="AA61" s="66">
        <v>778</v>
      </c>
    </row>
    <row r="62" spans="1:27" x14ac:dyDescent="0.25">
      <c r="A62" s="78" t="s">
        <v>271</v>
      </c>
      <c r="B62" s="79"/>
      <c r="C62" s="79"/>
      <c r="D62" s="80">
        <v>4932.1647890764962</v>
      </c>
      <c r="E62" s="80">
        <v>4842.162428151405</v>
      </c>
      <c r="F62" s="80">
        <v>4718.5778641127572</v>
      </c>
      <c r="G62" s="80">
        <v>4541.512139917696</v>
      </c>
      <c r="H62" s="80">
        <v>4592.3049303641919</v>
      </c>
      <c r="I62" s="80">
        <v>4606.5987009370692</v>
      </c>
      <c r="J62" s="80">
        <v>4833.1487537979501</v>
      </c>
      <c r="K62" s="80">
        <v>4663.4968007755697</v>
      </c>
      <c r="L62" s="80">
        <v>4163.9827967175188</v>
      </c>
      <c r="M62" s="80">
        <v>3820.904225028703</v>
      </c>
      <c r="N62" s="80">
        <v>3863.1810100047642</v>
      </c>
      <c r="O62" s="80">
        <v>3807.4895864090772</v>
      </c>
      <c r="P62" s="80">
        <v>3945.8309291494024</v>
      </c>
      <c r="Q62" s="80">
        <v>3996.6948015411908</v>
      </c>
      <c r="R62" s="80">
        <v>4466.0550896939858</v>
      </c>
      <c r="S62" s="80">
        <v>4459.8095640000001</v>
      </c>
      <c r="T62" s="80">
        <v>4696.4130485298065</v>
      </c>
      <c r="U62" s="80">
        <v>4408.8925520649491</v>
      </c>
      <c r="V62" s="80">
        <v>4280.2564343870208</v>
      </c>
      <c r="W62" s="80">
        <v>4344.6109171443459</v>
      </c>
      <c r="X62" s="80">
        <v>4382.0919634609463</v>
      </c>
      <c r="Y62" s="80">
        <v>4824.7282953580398</v>
      </c>
      <c r="Z62" s="80">
        <v>4549.6070674062757</v>
      </c>
      <c r="AA62" s="80">
        <v>5911.1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2.4953716301976576E-2</v>
      </c>
      <c r="E66" s="83">
        <f t="shared" ref="E66:S66" si="55">E24/E$23</f>
        <v>2.681907058244181E-2</v>
      </c>
      <c r="F66" s="83">
        <f t="shared" si="55"/>
        <v>2.042156581061701E-2</v>
      </c>
      <c r="G66" s="83">
        <f t="shared" si="55"/>
        <v>1.8442889816171242E-2</v>
      </c>
      <c r="H66" s="83">
        <f t="shared" si="55"/>
        <v>1.8615366496132092E-2</v>
      </c>
      <c r="I66" s="83">
        <f t="shared" si="55"/>
        <v>1.3298435322549351E-2</v>
      </c>
      <c r="J66" s="83">
        <f t="shared" si="55"/>
        <v>1.3496401393707894E-2</v>
      </c>
      <c r="K66" s="83">
        <f t="shared" si="55"/>
        <v>1.378633248916256E-2</v>
      </c>
      <c r="L66" s="83">
        <f t="shared" si="55"/>
        <v>9.7991483964920897E-3</v>
      </c>
      <c r="M66" s="83">
        <f t="shared" si="55"/>
        <v>9.3503401801722699E-3</v>
      </c>
      <c r="N66" s="83">
        <f t="shared" si="55"/>
        <v>1.3765381374339865E-2</v>
      </c>
      <c r="O66" s="83">
        <f t="shared" si="55"/>
        <v>1.4700290287288182E-2</v>
      </c>
      <c r="P66" s="83">
        <f t="shared" si="55"/>
        <v>1.8735846203457581E-2</v>
      </c>
      <c r="Q66" s="83">
        <f t="shared" si="55"/>
        <v>1.451769419096372E-2</v>
      </c>
      <c r="R66" s="83">
        <f t="shared" si="55"/>
        <v>1.5602033576138678E-2</v>
      </c>
      <c r="S66" s="83">
        <f t="shared" si="55"/>
        <v>1.0471718651128789E-2</v>
      </c>
      <c r="T66" s="83">
        <f t="shared" ref="T66:Y66" si="56">T24/T$23</f>
        <v>1.0707651741764948E-2</v>
      </c>
      <c r="U66" s="83">
        <f t="shared" si="56"/>
        <v>1.4489860028381917E-2</v>
      </c>
      <c r="V66" s="83">
        <f t="shared" si="56"/>
        <v>1.1496102019718001E-2</v>
      </c>
      <c r="W66" s="83">
        <f t="shared" si="56"/>
        <v>1.426093587903712E-2</v>
      </c>
      <c r="X66" s="83">
        <f t="shared" si="56"/>
        <v>1.5395037639402977E-2</v>
      </c>
      <c r="Y66" s="83">
        <f t="shared" si="56"/>
        <v>1.2409446881187756E-2</v>
      </c>
      <c r="Z66" s="83">
        <f t="shared" ref="Z66:AA66" si="57">Z24/Z$23</f>
        <v>1.1376640962051519E-2</v>
      </c>
      <c r="AA66" s="83">
        <f t="shared" si="57"/>
        <v>1.1719105999455599E-2</v>
      </c>
    </row>
    <row r="67" spans="1:27" x14ac:dyDescent="0.25">
      <c r="A67" s="64" t="s">
        <v>56</v>
      </c>
      <c r="B67" s="65"/>
      <c r="C67" s="65"/>
      <c r="D67" s="83">
        <f t="shared" si="51"/>
        <v>3.0057184089343696E-2</v>
      </c>
      <c r="E67" s="83">
        <f t="shared" ref="E67:S67" si="58">E25/E$23</f>
        <v>2.5206490807307164E-2</v>
      </c>
      <c r="F67" s="83">
        <f t="shared" si="58"/>
        <v>2.4421337917337228E-2</v>
      </c>
      <c r="G67" s="83">
        <f t="shared" si="58"/>
        <v>2.3645816076344441E-2</v>
      </c>
      <c r="H67" s="83">
        <f t="shared" si="58"/>
        <v>2.9045346010286889E-2</v>
      </c>
      <c r="I67" s="83">
        <f t="shared" si="58"/>
        <v>3.8876806240559378E-2</v>
      </c>
      <c r="J67" s="83">
        <f t="shared" si="58"/>
        <v>4.1282203952388137E-2</v>
      </c>
      <c r="K67" s="83">
        <f t="shared" si="58"/>
        <v>3.9538911573530969E-2</v>
      </c>
      <c r="L67" s="83">
        <f t="shared" si="58"/>
        <v>4.2689539820402508E-2</v>
      </c>
      <c r="M67" s="83">
        <f t="shared" si="58"/>
        <v>2.7543169806727372E-2</v>
      </c>
      <c r="N67" s="83">
        <f t="shared" si="58"/>
        <v>2.9344100751362387E-2</v>
      </c>
      <c r="O67" s="83">
        <f t="shared" si="58"/>
        <v>3.2926165003143923E-2</v>
      </c>
      <c r="P67" s="83">
        <f t="shared" si="58"/>
        <v>3.2276760104997283E-2</v>
      </c>
      <c r="Q67" s="83">
        <f t="shared" si="58"/>
        <v>2.6018695748942805E-2</v>
      </c>
      <c r="R67" s="83">
        <f t="shared" si="58"/>
        <v>2.0399988716820406E-2</v>
      </c>
      <c r="S67" s="83">
        <f t="shared" si="58"/>
        <v>1.0564051391217215E-2</v>
      </c>
      <c r="T67" s="83">
        <f t="shared" ref="T67:Y67" si="59">T25/T$23</f>
        <v>9.1465270386237342E-3</v>
      </c>
      <c r="U67" s="83">
        <f t="shared" si="59"/>
        <v>9.6545669634488622E-3</v>
      </c>
      <c r="V67" s="83">
        <f t="shared" si="59"/>
        <v>1.1256320596190078E-2</v>
      </c>
      <c r="W67" s="83">
        <f t="shared" si="59"/>
        <v>8.3511987342616504E-3</v>
      </c>
      <c r="X67" s="83">
        <f t="shared" si="59"/>
        <v>3.4974976518013182E-3</v>
      </c>
      <c r="Y67" s="83">
        <f t="shared" si="59"/>
        <v>4.7891061333574679E-3</v>
      </c>
      <c r="Z67" s="83">
        <f t="shared" ref="Z67:AA67" si="60">Z25/Z$23</f>
        <v>9.021917272994345E-3</v>
      </c>
      <c r="AA67" s="83">
        <f t="shared" si="60"/>
        <v>5.9248008151481651E-3</v>
      </c>
    </row>
    <row r="68" spans="1:27" x14ac:dyDescent="0.25">
      <c r="A68" s="64" t="s">
        <v>146</v>
      </c>
      <c r="B68" s="65"/>
      <c r="C68" s="65"/>
      <c r="D68" s="83">
        <f t="shared" si="51"/>
        <v>0.71056529600405138</v>
      </c>
      <c r="E68" s="83">
        <f t="shared" ref="E68:S68" si="61">E26/E$23</f>
        <v>0.71792172672141741</v>
      </c>
      <c r="F68" s="83">
        <f t="shared" si="61"/>
        <v>0.72650723530532479</v>
      </c>
      <c r="G68" s="83">
        <f t="shared" si="61"/>
        <v>0.73443514260375631</v>
      </c>
      <c r="H68" s="83">
        <f t="shared" si="61"/>
        <v>0.73356842364434294</v>
      </c>
      <c r="I68" s="83">
        <f t="shared" si="61"/>
        <v>0.73653833210550057</v>
      </c>
      <c r="J68" s="83">
        <f t="shared" si="61"/>
        <v>0.72936818883718757</v>
      </c>
      <c r="K68" s="83">
        <f t="shared" si="61"/>
        <v>0.73610214634195459</v>
      </c>
      <c r="L68" s="83">
        <f t="shared" si="61"/>
        <v>0.73791678998145138</v>
      </c>
      <c r="M68" s="83">
        <f t="shared" si="61"/>
        <v>0.77155098013196144</v>
      </c>
      <c r="N68" s="83">
        <f t="shared" si="61"/>
        <v>0.77273179298731631</v>
      </c>
      <c r="O68" s="83">
        <f t="shared" si="61"/>
        <v>0.76668077461018636</v>
      </c>
      <c r="P68" s="83">
        <f t="shared" si="61"/>
        <v>0.76352471889438867</v>
      </c>
      <c r="Q68" s="83">
        <f t="shared" si="61"/>
        <v>0.76903716892944596</v>
      </c>
      <c r="R68" s="83">
        <f t="shared" si="61"/>
        <v>0.7714531216435252</v>
      </c>
      <c r="S68" s="83">
        <f t="shared" si="61"/>
        <v>0.77620280335752345</v>
      </c>
      <c r="T68" s="83">
        <f t="shared" ref="T68:Y68" si="62">T26/T$23</f>
        <v>0.7681432993433025</v>
      </c>
      <c r="U68" s="83">
        <f t="shared" si="62"/>
        <v>0.76184184315796</v>
      </c>
      <c r="V68" s="83">
        <f t="shared" si="62"/>
        <v>0.76266771772134112</v>
      </c>
      <c r="W68" s="83">
        <f t="shared" si="62"/>
        <v>0.75963492955704359</v>
      </c>
      <c r="X68" s="83">
        <f t="shared" si="62"/>
        <v>0.77083314126106839</v>
      </c>
      <c r="Y68" s="83">
        <f t="shared" si="62"/>
        <v>0.77657155472303663</v>
      </c>
      <c r="Z68" s="83">
        <f t="shared" ref="Z68:AA68" si="63">Z26/Z$23</f>
        <v>0.76480918386976982</v>
      </c>
      <c r="AA68" s="83">
        <f t="shared" si="63"/>
        <v>0.73347567507996603</v>
      </c>
    </row>
    <row r="69" spans="1:27" x14ac:dyDescent="0.25">
      <c r="A69" s="68" t="s">
        <v>148</v>
      </c>
      <c r="B69" s="69"/>
      <c r="C69" s="69"/>
      <c r="D69" s="84">
        <f t="shared" si="51"/>
        <v>0.31154459320920092</v>
      </c>
      <c r="E69" s="84">
        <f t="shared" ref="E69:S69" si="64">E27/E$23</f>
        <v>0.31672720829831252</v>
      </c>
      <c r="F69" s="84">
        <f t="shared" si="64"/>
        <v>0.31941203533816109</v>
      </c>
      <c r="G69" s="84">
        <f t="shared" si="64"/>
        <v>0.32096605670478956</v>
      </c>
      <c r="H69" s="84">
        <f t="shared" si="64"/>
        <v>0.32184499067852851</v>
      </c>
      <c r="I69" s="84">
        <f t="shared" si="64"/>
        <v>0.31797945809592687</v>
      </c>
      <c r="J69" s="84">
        <f t="shared" si="64"/>
        <v>0.30603806391491495</v>
      </c>
      <c r="K69" s="84">
        <f t="shared" si="64"/>
        <v>0.30716706022143114</v>
      </c>
      <c r="L69" s="84">
        <f t="shared" si="64"/>
        <v>0.30488643128052789</v>
      </c>
      <c r="M69" s="84">
        <f t="shared" si="64"/>
        <v>0.32054161432677858</v>
      </c>
      <c r="N69" s="84">
        <f t="shared" si="64"/>
        <v>0.32707602458831136</v>
      </c>
      <c r="O69" s="84">
        <f t="shared" si="64"/>
        <v>0.31462909655906318</v>
      </c>
      <c r="P69" s="84">
        <f t="shared" si="64"/>
        <v>0.3123222519999781</v>
      </c>
      <c r="Q69" s="84">
        <f t="shared" si="64"/>
        <v>0.31630758958379707</v>
      </c>
      <c r="R69" s="84">
        <f t="shared" si="64"/>
        <v>0.31849985787533375</v>
      </c>
      <c r="S69" s="84">
        <f t="shared" si="64"/>
        <v>0.3138707494114848</v>
      </c>
      <c r="T69" s="84">
        <f t="shared" ref="T69:Y69" si="65">T27/T$23</f>
        <v>0.30203852581811413</v>
      </c>
      <c r="U69" s="84">
        <f t="shared" si="65"/>
        <v>0.29808945617994381</v>
      </c>
      <c r="V69" s="84">
        <f t="shared" si="65"/>
        <v>0.2941455411954827</v>
      </c>
      <c r="W69" s="84">
        <f t="shared" si="65"/>
        <v>0.29660534764615232</v>
      </c>
      <c r="X69" s="84">
        <f t="shared" si="65"/>
        <v>0.29066661552934681</v>
      </c>
      <c r="Y69" s="84">
        <f t="shared" si="65"/>
        <v>0.31131682440669445</v>
      </c>
      <c r="Z69" s="84">
        <f t="shared" ref="Z69:AA69" si="66">Z27/Z$23</f>
        <v>0.34731085782628718</v>
      </c>
      <c r="AA69" s="84">
        <f t="shared" si="66"/>
        <v>0.28371317673657587</v>
      </c>
    </row>
    <row r="70" spans="1:27" x14ac:dyDescent="0.25">
      <c r="A70" s="68" t="s">
        <v>150</v>
      </c>
      <c r="B70" s="71"/>
      <c r="C70" s="71"/>
      <c r="D70" s="84">
        <f t="shared" si="51"/>
        <v>0.26661172006992967</v>
      </c>
      <c r="E70" s="84">
        <f t="shared" ref="E70:S70" si="67">E28/E$23</f>
        <v>0.27232447708361046</v>
      </c>
      <c r="F70" s="84">
        <f t="shared" si="67"/>
        <v>0.27508556718777855</v>
      </c>
      <c r="G70" s="84">
        <f t="shared" si="67"/>
        <v>0.28172532931159783</v>
      </c>
      <c r="H70" s="84">
        <f t="shared" si="67"/>
        <v>0.28208123037679433</v>
      </c>
      <c r="I70" s="84">
        <f t="shared" si="67"/>
        <v>0.28919852175907146</v>
      </c>
      <c r="J70" s="84">
        <f t="shared" si="67"/>
        <v>0.28625289162092771</v>
      </c>
      <c r="K70" s="84">
        <f t="shared" si="67"/>
        <v>0.28958900799025267</v>
      </c>
      <c r="L70" s="84">
        <f t="shared" si="67"/>
        <v>0.29564513738426201</v>
      </c>
      <c r="M70" s="84">
        <f t="shared" si="67"/>
        <v>0.31577689688235527</v>
      </c>
      <c r="N70" s="84">
        <f t="shared" si="67"/>
        <v>0.31150396664714225</v>
      </c>
      <c r="O70" s="84">
        <f t="shared" si="67"/>
        <v>0.31158187418891004</v>
      </c>
      <c r="P70" s="84">
        <f t="shared" si="67"/>
        <v>0.31052495896196081</v>
      </c>
      <c r="Q70" s="84">
        <f t="shared" si="67"/>
        <v>0.31252392610727803</v>
      </c>
      <c r="R70" s="84">
        <f t="shared" si="67"/>
        <v>0.31169176089206557</v>
      </c>
      <c r="S70" s="84">
        <f t="shared" si="67"/>
        <v>0.31787663498834834</v>
      </c>
      <c r="T70" s="84">
        <f t="shared" ref="T70:Y70" si="68">T28/T$23</f>
        <v>0.3250323880223947</v>
      </c>
      <c r="U70" s="84">
        <f t="shared" si="68"/>
        <v>0.32250400097523768</v>
      </c>
      <c r="V70" s="84">
        <f t="shared" si="68"/>
        <v>0.32602651155183393</v>
      </c>
      <c r="W70" s="84">
        <f t="shared" si="68"/>
        <v>0.32599036759388694</v>
      </c>
      <c r="X70" s="84">
        <f t="shared" si="68"/>
        <v>0.32893220482119206</v>
      </c>
      <c r="Y70" s="84">
        <f t="shared" si="68"/>
        <v>0.32109184675867819</v>
      </c>
      <c r="Z70" s="84">
        <f t="shared" ref="Z70:AA70" si="69">Z28/Z$23</f>
        <v>0.29210205691601288</v>
      </c>
      <c r="AA70" s="84">
        <f t="shared" si="69"/>
        <v>0.31884393859012217</v>
      </c>
    </row>
    <row r="71" spans="1:27" x14ac:dyDescent="0.25">
      <c r="A71" s="68" t="s">
        <v>152</v>
      </c>
      <c r="B71" s="71"/>
      <c r="C71" s="71"/>
      <c r="D71" s="84">
        <f t="shared" si="51"/>
        <v>0.13240898272492085</v>
      </c>
      <c r="E71" s="84">
        <f t="shared" ref="E71:S71" si="70">E29/E$23</f>
        <v>0.12887004133949428</v>
      </c>
      <c r="F71" s="84">
        <f t="shared" si="70"/>
        <v>0.13200963277938518</v>
      </c>
      <c r="G71" s="84">
        <f t="shared" si="70"/>
        <v>0.13174375658736895</v>
      </c>
      <c r="H71" s="84">
        <f t="shared" si="70"/>
        <v>0.12964220258902007</v>
      </c>
      <c r="I71" s="84">
        <f t="shared" si="70"/>
        <v>0.12936035225050221</v>
      </c>
      <c r="J71" s="84">
        <f t="shared" si="70"/>
        <v>0.137077233301345</v>
      </c>
      <c r="K71" s="84">
        <f t="shared" si="70"/>
        <v>0.13934607813027083</v>
      </c>
      <c r="L71" s="84">
        <f t="shared" si="70"/>
        <v>0.13738522131666137</v>
      </c>
      <c r="M71" s="84">
        <f t="shared" si="70"/>
        <v>0.13523246892282764</v>
      </c>
      <c r="N71" s="84">
        <f t="shared" si="70"/>
        <v>0.13415180175186245</v>
      </c>
      <c r="O71" s="84">
        <f t="shared" si="70"/>
        <v>0.14046980386221306</v>
      </c>
      <c r="P71" s="84">
        <f t="shared" si="70"/>
        <v>0.14067750793244974</v>
      </c>
      <c r="Q71" s="84">
        <f t="shared" si="70"/>
        <v>0.14020565323837078</v>
      </c>
      <c r="R71" s="84">
        <f t="shared" si="70"/>
        <v>0.14126150287612593</v>
      </c>
      <c r="S71" s="84">
        <f t="shared" si="70"/>
        <v>0.14445541895769043</v>
      </c>
      <c r="T71" s="84">
        <f t="shared" ref="T71:Y71" si="71">T29/T$23</f>
        <v>0.14107238550279352</v>
      </c>
      <c r="U71" s="84">
        <f t="shared" si="71"/>
        <v>0.14124838600277861</v>
      </c>
      <c r="V71" s="84">
        <f t="shared" si="71"/>
        <v>0.14249566497402433</v>
      </c>
      <c r="W71" s="84">
        <f t="shared" si="71"/>
        <v>0.13703921431700433</v>
      </c>
      <c r="X71" s="84">
        <f t="shared" si="71"/>
        <v>0.15123432091052941</v>
      </c>
      <c r="Y71" s="84">
        <f t="shared" si="71"/>
        <v>0.14416288355766405</v>
      </c>
      <c r="Z71" s="84">
        <f t="shared" ref="Z71:AA71" si="72">Z29/Z$23</f>
        <v>0.12539626912746973</v>
      </c>
      <c r="AA71" s="84">
        <f t="shared" si="72"/>
        <v>0.13091855975326788</v>
      </c>
    </row>
    <row r="72" spans="1:27" x14ac:dyDescent="0.25">
      <c r="A72" s="64" t="s">
        <v>154</v>
      </c>
      <c r="B72" s="65"/>
      <c r="C72" s="65"/>
      <c r="D72" s="83">
        <f t="shared" si="51"/>
        <v>1.8969844872002178E-2</v>
      </c>
      <c r="E72" s="83">
        <f t="shared" ref="E72:S72" si="73">E30/E$23</f>
        <v>1.9760024994263211E-2</v>
      </c>
      <c r="F72" s="83">
        <f t="shared" si="73"/>
        <v>1.9226963940789408E-2</v>
      </c>
      <c r="G72" s="83">
        <f t="shared" si="73"/>
        <v>1.939568238661131E-2</v>
      </c>
      <c r="H72" s="83">
        <f t="shared" si="73"/>
        <v>1.9683764823324828E-2</v>
      </c>
      <c r="I72" s="83">
        <f t="shared" si="73"/>
        <v>1.8411155114752647E-2</v>
      </c>
      <c r="J72" s="83">
        <f t="shared" si="73"/>
        <v>1.9286531979055558E-2</v>
      </c>
      <c r="K72" s="83">
        <f t="shared" si="73"/>
        <v>1.5715170403339088E-2</v>
      </c>
      <c r="L72" s="83">
        <f t="shared" si="73"/>
        <v>1.6578303728991117E-2</v>
      </c>
      <c r="M72" s="83">
        <f t="shared" si="73"/>
        <v>1.4582998674000737E-2</v>
      </c>
      <c r="N72" s="83">
        <f t="shared" si="73"/>
        <v>1.5342714221071167E-2</v>
      </c>
      <c r="O72" s="83">
        <f t="shared" si="73"/>
        <v>1.2925118586141138E-2</v>
      </c>
      <c r="P72" s="83">
        <f t="shared" si="73"/>
        <v>1.0495787621247709E-2</v>
      </c>
      <c r="Q72" s="83">
        <f t="shared" si="73"/>
        <v>1.210193634542622E-2</v>
      </c>
      <c r="R72" s="83">
        <f t="shared" si="73"/>
        <v>1.1974057366288898E-2</v>
      </c>
      <c r="S72" s="83">
        <f t="shared" si="73"/>
        <v>1.4895219281786824E-2</v>
      </c>
      <c r="T72" s="83">
        <f t="shared" ref="T72:Y72" si="74">T30/T$23</f>
        <v>1.2877856171344706E-2</v>
      </c>
      <c r="U72" s="83">
        <f t="shared" si="74"/>
        <v>1.2805701018181185E-2</v>
      </c>
      <c r="V72" s="83">
        <f t="shared" si="74"/>
        <v>1.1478865335918067E-2</v>
      </c>
      <c r="W72" s="83">
        <f t="shared" si="74"/>
        <v>1.2759709197030256E-2</v>
      </c>
      <c r="X72" s="83">
        <f t="shared" si="74"/>
        <v>1.1897908766350267E-2</v>
      </c>
      <c r="Y72" s="83">
        <f t="shared" si="74"/>
        <v>1.2271180405401337E-2</v>
      </c>
      <c r="Z72" s="83">
        <f t="shared" ref="Z72:AA72" si="75">Z30/Z$23</f>
        <v>2.4487038580783126E-2</v>
      </c>
      <c r="AA72" s="83">
        <f t="shared" si="75"/>
        <v>1.6671978924735778E-2</v>
      </c>
    </row>
    <row r="73" spans="1:27" x14ac:dyDescent="0.25">
      <c r="A73" s="64" t="s">
        <v>37</v>
      </c>
      <c r="B73" s="65"/>
      <c r="C73" s="65"/>
      <c r="D73" s="83">
        <f t="shared" si="51"/>
        <v>5.4750825014666563E-2</v>
      </c>
      <c r="E73" s="83">
        <f t="shared" ref="E73:S73" si="76">E31/E$23</f>
        <v>5.1289407494887959E-2</v>
      </c>
      <c r="F73" s="83">
        <f t="shared" si="76"/>
        <v>5.1626404499544525E-2</v>
      </c>
      <c r="G73" s="83">
        <f t="shared" si="76"/>
        <v>5.382471962978589E-2</v>
      </c>
      <c r="H73" s="83">
        <f t="shared" si="76"/>
        <v>5.411394314045978E-2</v>
      </c>
      <c r="I73" s="83">
        <f t="shared" si="76"/>
        <v>5.443240752174143E-2</v>
      </c>
      <c r="J73" s="83">
        <f t="shared" si="76"/>
        <v>5.8406966247536808E-2</v>
      </c>
      <c r="K73" s="83">
        <f t="shared" si="76"/>
        <v>5.7782062965405785E-2</v>
      </c>
      <c r="L73" s="83">
        <f t="shared" si="76"/>
        <v>6.0646890572738622E-2</v>
      </c>
      <c r="M73" s="83">
        <f t="shared" si="76"/>
        <v>5.1689027730246452E-2</v>
      </c>
      <c r="N73" s="83">
        <f t="shared" si="76"/>
        <v>4.4713936532694086E-2</v>
      </c>
      <c r="O73" s="83">
        <f t="shared" si="76"/>
        <v>4.6863598609386548E-2</v>
      </c>
      <c r="P73" s="83">
        <f t="shared" si="76"/>
        <v>4.6173032041553624E-2</v>
      </c>
      <c r="Q73" s="83">
        <f t="shared" si="76"/>
        <v>4.5623414199866458E-2</v>
      </c>
      <c r="R73" s="83">
        <f t="shared" si="76"/>
        <v>4.6226752852800077E-2</v>
      </c>
      <c r="S73" s="83">
        <f t="shared" si="76"/>
        <v>5.0070604898040091E-2</v>
      </c>
      <c r="T73" s="83">
        <f t="shared" ref="T73:Y73" si="77">T31/T$23</f>
        <v>5.4926491850307707E-2</v>
      </c>
      <c r="U73" s="83">
        <f t="shared" si="77"/>
        <v>5.6221125774407507E-2</v>
      </c>
      <c r="V73" s="83">
        <f t="shared" si="77"/>
        <v>5.6747376480966297E-2</v>
      </c>
      <c r="W73" s="83">
        <f t="shared" si="77"/>
        <v>5.4802090322984241E-2</v>
      </c>
      <c r="X73" s="83">
        <f t="shared" si="77"/>
        <v>5.4062595767231277E-2</v>
      </c>
      <c r="Y73" s="83">
        <f t="shared" si="77"/>
        <v>5.3504998351603897E-2</v>
      </c>
      <c r="Z73" s="83">
        <f t="shared" ref="Z73:AA73" si="78">Z31/Z$23</f>
        <v>5.0396753791940259E-2</v>
      </c>
      <c r="AA73" s="83">
        <f t="shared" si="78"/>
        <v>5.4293434536387047E-2</v>
      </c>
    </row>
    <row r="74" spans="1:27" x14ac:dyDescent="0.25">
      <c r="A74" s="64" t="s">
        <v>58</v>
      </c>
      <c r="B74" s="65"/>
      <c r="C74" s="65"/>
      <c r="D74" s="83">
        <f t="shared" si="51"/>
        <v>0.16070313371795947</v>
      </c>
      <c r="E74" s="83">
        <f t="shared" ref="E74:S74" si="79">E32/E$23</f>
        <v>0.15900327939968262</v>
      </c>
      <c r="F74" s="83">
        <f t="shared" si="79"/>
        <v>0.15779649252638694</v>
      </c>
      <c r="G74" s="83">
        <f t="shared" si="79"/>
        <v>0.15025574948733075</v>
      </c>
      <c r="H74" s="83">
        <f t="shared" si="79"/>
        <v>0.14497315588545365</v>
      </c>
      <c r="I74" s="83">
        <f t="shared" si="79"/>
        <v>0.13844286369489672</v>
      </c>
      <c r="J74" s="83">
        <f t="shared" si="79"/>
        <v>0.138159707590124</v>
      </c>
      <c r="K74" s="83">
        <f t="shared" si="79"/>
        <v>0.13707537622660698</v>
      </c>
      <c r="L74" s="83">
        <f t="shared" si="79"/>
        <v>0.13236932749992444</v>
      </c>
      <c r="M74" s="83">
        <f t="shared" si="79"/>
        <v>0.1252834834768918</v>
      </c>
      <c r="N74" s="83">
        <f t="shared" si="79"/>
        <v>0.12410207413321635</v>
      </c>
      <c r="O74" s="83">
        <f t="shared" si="79"/>
        <v>0.1259040529038539</v>
      </c>
      <c r="P74" s="83">
        <f t="shared" si="79"/>
        <v>0.12879385513435515</v>
      </c>
      <c r="Q74" s="83">
        <f t="shared" si="79"/>
        <v>0.13270109058535498</v>
      </c>
      <c r="R74" s="83">
        <f t="shared" si="79"/>
        <v>0.13434404584442663</v>
      </c>
      <c r="S74" s="83">
        <f t="shared" si="79"/>
        <v>0.13779560242030373</v>
      </c>
      <c r="T74" s="83">
        <f t="shared" ref="T74:Y74" si="80">T32/T$23</f>
        <v>0.14419817385465661</v>
      </c>
      <c r="U74" s="83">
        <f t="shared" si="80"/>
        <v>0.14498690305762033</v>
      </c>
      <c r="V74" s="83">
        <f t="shared" si="80"/>
        <v>0.14635361784586653</v>
      </c>
      <c r="W74" s="83">
        <f t="shared" si="80"/>
        <v>0.15019113630964306</v>
      </c>
      <c r="X74" s="83">
        <f t="shared" si="80"/>
        <v>0.14431381891414574</v>
      </c>
      <c r="Y74" s="83">
        <f t="shared" si="80"/>
        <v>0.14045371350541297</v>
      </c>
      <c r="Z74" s="83">
        <f t="shared" ref="Z74:AA74" si="81">Z32/Z$23</f>
        <v>0.13990846552246086</v>
      </c>
      <c r="AA74" s="83">
        <f t="shared" si="81"/>
        <v>0.17791500464430757</v>
      </c>
    </row>
    <row r="75" spans="1:27" x14ac:dyDescent="0.25">
      <c r="A75" s="85" t="s">
        <v>158</v>
      </c>
      <c r="B75" s="86"/>
      <c r="C75" s="86"/>
      <c r="D75" s="87">
        <f t="shared" si="51"/>
        <v>3.3666210518553609E-3</v>
      </c>
      <c r="E75" s="87">
        <f t="shared" ref="E75:S75" si="82">E33/E$23</f>
        <v>3.0240340084024767E-3</v>
      </c>
      <c r="F75" s="87">
        <f t="shared" si="82"/>
        <v>2.5423578255305414E-3</v>
      </c>
      <c r="G75" s="87">
        <f t="shared" si="82"/>
        <v>2.1454990430774196E-3</v>
      </c>
      <c r="H75" s="87">
        <f t="shared" si="82"/>
        <v>2.161891985832512E-3</v>
      </c>
      <c r="I75" s="87">
        <f t="shared" si="82"/>
        <v>1.9492317733599115E-3</v>
      </c>
      <c r="J75" s="87">
        <f t="shared" si="82"/>
        <v>2.1481728810363318E-3</v>
      </c>
      <c r="K75" s="87">
        <f t="shared" si="82"/>
        <v>2.4348368971437492E-3</v>
      </c>
      <c r="L75" s="87">
        <f t="shared" si="82"/>
        <v>2.1728984402618417E-3</v>
      </c>
      <c r="M75" s="87">
        <f t="shared" si="82"/>
        <v>1.2511686054458759E-3</v>
      </c>
      <c r="N75" s="87">
        <f t="shared" si="82"/>
        <v>1.1319682782424659E-3</v>
      </c>
      <c r="O75" s="87">
        <f t="shared" si="82"/>
        <v>1.3752909179412865E-3</v>
      </c>
      <c r="P75" s="87">
        <f t="shared" si="82"/>
        <v>1.3436427932466235E-3</v>
      </c>
      <c r="Q75" s="87">
        <f t="shared" si="82"/>
        <v>1.350545292677498E-3</v>
      </c>
      <c r="R75" s="87">
        <f t="shared" si="82"/>
        <v>1.4277561878475815E-3</v>
      </c>
      <c r="S75" s="87">
        <f t="shared" si="82"/>
        <v>1.7085792363150598E-3</v>
      </c>
      <c r="T75" s="87">
        <f t="shared" ref="T75:Y75" si="83">T33/T$23</f>
        <v>1.6365549273086983E-3</v>
      </c>
      <c r="U75" s="87">
        <f t="shared" si="83"/>
        <v>1.5992179343715029E-3</v>
      </c>
      <c r="V75" s="87">
        <f t="shared" si="83"/>
        <v>1.4884834054784311E-3</v>
      </c>
      <c r="W75" s="87">
        <f t="shared" si="83"/>
        <v>1.69762407103583E-3</v>
      </c>
      <c r="X75" s="87">
        <f t="shared" si="83"/>
        <v>1.4238547483767282E-3</v>
      </c>
      <c r="Y75" s="87">
        <f t="shared" si="83"/>
        <v>1.3501467507203793E-3</v>
      </c>
      <c r="Z75" s="87">
        <f t="shared" ref="Z75:AA75" si="84">Z33/Z$23</f>
        <v>1.7549327658533749E-3</v>
      </c>
      <c r="AA75" s="87">
        <f t="shared" si="84"/>
        <v>1.8501786806062283E-3</v>
      </c>
    </row>
    <row r="76" spans="1:27" x14ac:dyDescent="0.25">
      <c r="A76" s="88" t="s">
        <v>5</v>
      </c>
      <c r="B76" s="44"/>
      <c r="C76" s="44"/>
      <c r="D76" s="89">
        <f t="shared" si="51"/>
        <v>3.3666210518553609E-3</v>
      </c>
      <c r="E76" s="89">
        <f t="shared" ref="E76:S76" si="85">E34/E$23</f>
        <v>3.0240340084024767E-3</v>
      </c>
      <c r="F76" s="89">
        <f t="shared" si="85"/>
        <v>2.5423578255305414E-3</v>
      </c>
      <c r="G76" s="89">
        <f t="shared" si="85"/>
        <v>2.1454990430774196E-3</v>
      </c>
      <c r="H76" s="89">
        <f t="shared" si="85"/>
        <v>2.161891985832512E-3</v>
      </c>
      <c r="I76" s="89">
        <f t="shared" si="85"/>
        <v>1.9492317733599115E-3</v>
      </c>
      <c r="J76" s="89">
        <f t="shared" si="85"/>
        <v>2.1481728810363318E-3</v>
      </c>
      <c r="K76" s="89">
        <f t="shared" si="85"/>
        <v>2.4348368971437492E-3</v>
      </c>
      <c r="L76" s="89">
        <f t="shared" si="85"/>
        <v>2.1728984402618417E-3</v>
      </c>
      <c r="M76" s="89">
        <f t="shared" si="85"/>
        <v>1.2511686054458759E-3</v>
      </c>
      <c r="N76" s="89">
        <f t="shared" si="85"/>
        <v>1.1319682782424659E-3</v>
      </c>
      <c r="O76" s="89">
        <f t="shared" si="85"/>
        <v>1.3752909179412865E-3</v>
      </c>
      <c r="P76" s="89">
        <f t="shared" si="85"/>
        <v>1.3436427932466235E-3</v>
      </c>
      <c r="Q76" s="89">
        <f t="shared" si="85"/>
        <v>1.350545292677498E-3</v>
      </c>
      <c r="R76" s="89">
        <f t="shared" si="85"/>
        <v>1.4277561878475815E-3</v>
      </c>
      <c r="S76" s="89">
        <f t="shared" si="85"/>
        <v>1.7085792363150598E-3</v>
      </c>
      <c r="T76" s="89">
        <f t="shared" ref="T76:Y76" si="86">T34/T$23</f>
        <v>1.6365549273086983E-3</v>
      </c>
      <c r="U76" s="89">
        <f t="shared" si="86"/>
        <v>1.5992179343715029E-3</v>
      </c>
      <c r="V76" s="89">
        <f t="shared" si="86"/>
        <v>1.4884834054784311E-3</v>
      </c>
      <c r="W76" s="89">
        <f t="shared" si="86"/>
        <v>1.69762407103583E-3</v>
      </c>
      <c r="X76" s="89">
        <f t="shared" si="86"/>
        <v>1.4238547483767284E-3</v>
      </c>
      <c r="Y76" s="89">
        <f t="shared" si="86"/>
        <v>1.3501467507203795E-3</v>
      </c>
      <c r="Z76" s="89">
        <f t="shared" ref="Z76:AA76" si="87">Z34/Z$23</f>
        <v>1.7549327658533749E-3</v>
      </c>
      <c r="AA76" s="89">
        <f t="shared" si="87"/>
        <v>1.8501786806062283E-3</v>
      </c>
    </row>
    <row r="77" spans="1:27" x14ac:dyDescent="0.25">
      <c r="A77" s="88" t="s">
        <v>263</v>
      </c>
      <c r="B77" s="44"/>
      <c r="C77" s="44"/>
      <c r="D77" s="89">
        <f>D37/D$23</f>
        <v>0</v>
      </c>
      <c r="E77" s="89">
        <f t="shared" ref="E77:S77" si="88">E37/E$23</f>
        <v>0</v>
      </c>
      <c r="F77" s="89">
        <f t="shared" si="88"/>
        <v>0</v>
      </c>
      <c r="G77" s="89">
        <f t="shared" si="88"/>
        <v>0</v>
      </c>
      <c r="H77" s="89">
        <f t="shared" si="88"/>
        <v>0</v>
      </c>
      <c r="I77" s="89">
        <f t="shared" si="88"/>
        <v>0</v>
      </c>
      <c r="J77" s="89">
        <f t="shared" si="88"/>
        <v>0</v>
      </c>
      <c r="K77" s="89">
        <f t="shared" si="88"/>
        <v>0</v>
      </c>
      <c r="L77" s="89">
        <f t="shared" si="88"/>
        <v>0</v>
      </c>
      <c r="M77" s="89">
        <f t="shared" si="88"/>
        <v>0</v>
      </c>
      <c r="N77" s="89">
        <f t="shared" si="88"/>
        <v>0</v>
      </c>
      <c r="O77" s="89">
        <f t="shared" si="88"/>
        <v>0</v>
      </c>
      <c r="P77" s="89">
        <f t="shared" si="88"/>
        <v>0</v>
      </c>
      <c r="Q77" s="89">
        <f t="shared" si="88"/>
        <v>0</v>
      </c>
      <c r="R77" s="89">
        <f t="shared" si="88"/>
        <v>0</v>
      </c>
      <c r="S77" s="89">
        <f t="shared" si="88"/>
        <v>0</v>
      </c>
      <c r="T77" s="89">
        <f t="shared" ref="T77:Y77" si="89">T37/T$23</f>
        <v>0</v>
      </c>
      <c r="U77" s="89">
        <f t="shared" si="89"/>
        <v>0</v>
      </c>
      <c r="V77" s="89">
        <f t="shared" si="89"/>
        <v>0</v>
      </c>
      <c r="W77" s="89">
        <f t="shared" si="89"/>
        <v>0</v>
      </c>
      <c r="X77" s="89">
        <f t="shared" si="89"/>
        <v>0</v>
      </c>
      <c r="Y77" s="89">
        <f t="shared" si="89"/>
        <v>0</v>
      </c>
      <c r="Z77" s="89">
        <f t="shared" ref="Z77:AA77" si="90">Z37/Z$23</f>
        <v>0</v>
      </c>
      <c r="AA77" s="89">
        <f t="shared" si="90"/>
        <v>0</v>
      </c>
    </row>
    <row r="78" spans="1:27" x14ac:dyDescent="0.25">
      <c r="A78" s="68" t="s">
        <v>265</v>
      </c>
      <c r="B78" s="44"/>
      <c r="C78" s="44"/>
      <c r="D78" s="89">
        <f>D43/D$23</f>
        <v>2.3157837035702889E-2</v>
      </c>
      <c r="E78" s="89">
        <f t="shared" ref="E78:S78" si="91">E43/E$23</f>
        <v>2.4667063061449807E-2</v>
      </c>
      <c r="F78" s="89">
        <f t="shared" si="91"/>
        <v>2.1957394983774855E-2</v>
      </c>
      <c r="G78" s="89">
        <f t="shared" si="91"/>
        <v>2.4283448330081576E-2</v>
      </c>
      <c r="H78" s="89">
        <f t="shared" si="91"/>
        <v>2.3210320549464123E-2</v>
      </c>
      <c r="I78" s="89">
        <f t="shared" si="91"/>
        <v>2.3508198239517369E-2</v>
      </c>
      <c r="J78" s="89">
        <f t="shared" si="91"/>
        <v>2.1575489993337749E-2</v>
      </c>
      <c r="K78" s="89">
        <f t="shared" si="91"/>
        <v>1.9959016599787532E-2</v>
      </c>
      <c r="L78" s="89">
        <f t="shared" si="91"/>
        <v>2.1448857981180687E-2</v>
      </c>
      <c r="M78" s="89">
        <f t="shared" si="91"/>
        <v>2.469411721274755E-2</v>
      </c>
      <c r="N78" s="89">
        <f t="shared" si="91"/>
        <v>2.9621501972974557E-2</v>
      </c>
      <c r="O78" s="89">
        <f t="shared" si="91"/>
        <v>3.0412428444230179E-2</v>
      </c>
      <c r="P78" s="89">
        <f t="shared" si="91"/>
        <v>3.6198192322197335E-2</v>
      </c>
      <c r="Q78" s="89">
        <f t="shared" si="91"/>
        <v>3.7503672379256621E-2</v>
      </c>
      <c r="R78" s="89">
        <f t="shared" si="91"/>
        <v>3.8706947617838709E-2</v>
      </c>
      <c r="S78" s="89">
        <f t="shared" si="91"/>
        <v>4.4437884207967217E-2</v>
      </c>
      <c r="T78" s="89">
        <f t="shared" ref="T78:Y78" si="92">T43/T$23</f>
        <v>4.6919747953387395E-2</v>
      </c>
      <c r="U78" s="89">
        <f t="shared" si="92"/>
        <v>4.891348516200824E-2</v>
      </c>
      <c r="V78" s="89">
        <f t="shared" si="92"/>
        <v>5.2962583755919362E-2</v>
      </c>
      <c r="W78" s="89">
        <f t="shared" si="92"/>
        <v>5.3254530410892793E-2</v>
      </c>
      <c r="X78" s="89">
        <f t="shared" si="92"/>
        <v>5.5523328390468842E-2</v>
      </c>
      <c r="Y78" s="89">
        <f t="shared" si="92"/>
        <v>5.1728207902538001E-2</v>
      </c>
      <c r="Z78" s="89">
        <f t="shared" ref="Z78:AA78" si="93">Z43/Z$23</f>
        <v>5.8944743776535385E-2</v>
      </c>
      <c r="AA78" s="89">
        <f t="shared" si="93"/>
        <v>8.4794675734383027E-2</v>
      </c>
    </row>
    <row r="79" spans="1:27" x14ac:dyDescent="0.25">
      <c r="A79" s="88" t="s">
        <v>266</v>
      </c>
      <c r="B79" s="44"/>
      <c r="C79" s="44"/>
      <c r="D79" s="89">
        <f>D44/D$23</f>
        <v>8.0879824223096235E-3</v>
      </c>
      <c r="E79" s="89">
        <f t="shared" ref="E79:S79" si="94">E44/E$23</f>
        <v>7.9522762539558037E-3</v>
      </c>
      <c r="F79" s="89">
        <f t="shared" si="94"/>
        <v>7.1884401746446676E-3</v>
      </c>
      <c r="G79" s="89">
        <f t="shared" si="94"/>
        <v>7.3649130787821256E-3</v>
      </c>
      <c r="H79" s="89">
        <f t="shared" si="94"/>
        <v>7.0067591440907042E-3</v>
      </c>
      <c r="I79" s="89">
        <f t="shared" si="94"/>
        <v>7.0411587785990234E-3</v>
      </c>
      <c r="J79" s="89">
        <f t="shared" si="94"/>
        <v>6.538279826083424E-3</v>
      </c>
      <c r="K79" s="89">
        <f t="shared" si="94"/>
        <v>6.1147837294894198E-3</v>
      </c>
      <c r="L79" s="89">
        <f t="shared" si="94"/>
        <v>6.6357344420711522E-3</v>
      </c>
      <c r="M79" s="89">
        <f t="shared" si="94"/>
        <v>7.4336775876192168E-3</v>
      </c>
      <c r="N79" s="89">
        <f t="shared" si="94"/>
        <v>7.7229832383999431E-3</v>
      </c>
      <c r="O79" s="89">
        <f t="shared" si="94"/>
        <v>7.3557509490161333E-3</v>
      </c>
      <c r="P79" s="89">
        <f t="shared" si="94"/>
        <v>8.8675869632944115E-3</v>
      </c>
      <c r="Q79" s="89">
        <f t="shared" si="94"/>
        <v>8.4015134653906073E-3</v>
      </c>
      <c r="R79" s="89">
        <f t="shared" si="94"/>
        <v>9.1528284978399221E-3</v>
      </c>
      <c r="S79" s="89">
        <f t="shared" si="94"/>
        <v>1.0234110086038868E-2</v>
      </c>
      <c r="T79" s="89">
        <f t="shared" ref="T79:Y79" si="95">T44/T$23</f>
        <v>1.0404601141299997E-2</v>
      </c>
      <c r="U79" s="89">
        <f t="shared" si="95"/>
        <v>1.0364635754965271E-2</v>
      </c>
      <c r="V79" s="89">
        <f t="shared" si="95"/>
        <v>9.9593558995997641E-3</v>
      </c>
      <c r="W79" s="89">
        <f t="shared" si="95"/>
        <v>1.0594976462641473E-2</v>
      </c>
      <c r="X79" s="89">
        <f t="shared" si="95"/>
        <v>1.1034966494606795E-2</v>
      </c>
      <c r="Y79" s="89">
        <f t="shared" si="95"/>
        <v>1.093157450917585E-2</v>
      </c>
      <c r="Z79" s="89">
        <f t="shared" ref="Z79:AA79" si="96">Z44/Z$23</f>
        <v>9.9223492954469885E-3</v>
      </c>
      <c r="AA79" s="89">
        <f t="shared" si="96"/>
        <v>1.059077161896519E-2</v>
      </c>
    </row>
    <row r="80" spans="1:27" x14ac:dyDescent="0.25">
      <c r="A80" s="88" t="s">
        <v>11</v>
      </c>
      <c r="B80" s="44"/>
      <c r="C80" s="44"/>
      <c r="D80" s="89">
        <f>D47/D$23</f>
        <v>1.5069854613393266E-2</v>
      </c>
      <c r="E80" s="89">
        <f t="shared" ref="E80:S80" si="97">E47/E$23</f>
        <v>1.6714786807494005E-2</v>
      </c>
      <c r="F80" s="89">
        <f t="shared" si="97"/>
        <v>1.4768954809130189E-2</v>
      </c>
      <c r="G80" s="89">
        <f t="shared" si="97"/>
        <v>1.6918535251299452E-2</v>
      </c>
      <c r="H80" s="89">
        <f t="shared" si="97"/>
        <v>1.6203561405373421E-2</v>
      </c>
      <c r="I80" s="89">
        <f t="shared" si="97"/>
        <v>1.6467039460918344E-2</v>
      </c>
      <c r="J80" s="89">
        <f t="shared" si="97"/>
        <v>1.5037210167254324E-2</v>
      </c>
      <c r="K80" s="89">
        <f t="shared" si="97"/>
        <v>1.3844232870298111E-2</v>
      </c>
      <c r="L80" s="89">
        <f t="shared" si="97"/>
        <v>1.4813123539109534E-2</v>
      </c>
      <c r="M80" s="89">
        <f t="shared" si="97"/>
        <v>1.7260439625128333E-2</v>
      </c>
      <c r="N80" s="89">
        <f t="shared" si="97"/>
        <v>2.1898518734574612E-2</v>
      </c>
      <c r="O80" s="89">
        <f t="shared" si="97"/>
        <v>2.3056677495214048E-2</v>
      </c>
      <c r="P80" s="89">
        <f t="shared" si="97"/>
        <v>2.7330605358902929E-2</v>
      </c>
      <c r="Q80" s="89">
        <f t="shared" si="97"/>
        <v>2.9102158913866014E-2</v>
      </c>
      <c r="R80" s="89">
        <f t="shared" si="97"/>
        <v>2.9554119119998785E-2</v>
      </c>
      <c r="S80" s="89">
        <f t="shared" si="97"/>
        <v>3.4203774121928349E-2</v>
      </c>
      <c r="T80" s="89">
        <f t="shared" ref="T80:Y80" si="98">T47/T$23</f>
        <v>3.6515146812087396E-2</v>
      </c>
      <c r="U80" s="89">
        <f t="shared" si="98"/>
        <v>3.8548849407042965E-2</v>
      </c>
      <c r="V80" s="89">
        <f t="shared" si="98"/>
        <v>4.3003227856319597E-2</v>
      </c>
      <c r="W80" s="89">
        <f t="shared" si="98"/>
        <v>4.2659553948251328E-2</v>
      </c>
      <c r="X80" s="89">
        <f t="shared" si="98"/>
        <v>4.4488361895862041E-2</v>
      </c>
      <c r="Y80" s="89">
        <f t="shared" si="98"/>
        <v>4.0796633393362147E-2</v>
      </c>
      <c r="Z80" s="89">
        <f t="shared" ref="Z80:AA80" si="99">Z47/Z$23</f>
        <v>4.9022394481088402E-2</v>
      </c>
      <c r="AA80" s="89">
        <f t="shared" si="99"/>
        <v>7.4203904115417829E-2</v>
      </c>
    </row>
    <row r="81" spans="1:27" x14ac:dyDescent="0.25">
      <c r="A81" s="68" t="s">
        <v>4</v>
      </c>
      <c r="B81" s="44"/>
      <c r="C81" s="44"/>
      <c r="D81" s="89">
        <f>D48/D$23</f>
        <v>7.7460344806208831E-3</v>
      </c>
      <c r="E81" s="89">
        <f t="shared" ref="E81:S81" si="100">E48/E$23</f>
        <v>6.4591752256203021E-3</v>
      </c>
      <c r="F81" s="89">
        <f t="shared" si="100"/>
        <v>6.6677162826685316E-3</v>
      </c>
      <c r="G81" s="89">
        <f t="shared" si="100"/>
        <v>6.2840616727450798E-3</v>
      </c>
      <c r="H81" s="89">
        <f t="shared" si="100"/>
        <v>5.9967654924580815E-3</v>
      </c>
      <c r="I81" s="89">
        <f t="shared" si="100"/>
        <v>6.1393083314223214E-3</v>
      </c>
      <c r="J81" s="89">
        <f t="shared" si="100"/>
        <v>6.4085768563021299E-3</v>
      </c>
      <c r="K81" s="89">
        <f t="shared" si="100"/>
        <v>6.7577297008815955E-3</v>
      </c>
      <c r="L81" s="89">
        <f t="shared" si="100"/>
        <v>6.1973174057799105E-3</v>
      </c>
      <c r="M81" s="89">
        <f t="shared" si="100"/>
        <v>4.8091169683007352E-3</v>
      </c>
      <c r="N81" s="89">
        <f t="shared" si="100"/>
        <v>3.8426968537562654E-3</v>
      </c>
      <c r="O81" s="89">
        <f t="shared" si="100"/>
        <v>4.5948918032848157E-3</v>
      </c>
      <c r="P81" s="89">
        <f t="shared" si="100"/>
        <v>4.423089886514563E-3</v>
      </c>
      <c r="Q81" s="89">
        <f t="shared" si="100"/>
        <v>4.301802804362341E-3</v>
      </c>
      <c r="R81" s="89">
        <f t="shared" si="100"/>
        <v>4.6156883932969234E-3</v>
      </c>
      <c r="S81" s="89">
        <f t="shared" si="100"/>
        <v>4.6174840937795699E-3</v>
      </c>
      <c r="T81" s="89">
        <f t="shared" ref="T81:Y81" si="101">T48/T$23</f>
        <v>5.1686055914877899E-3</v>
      </c>
      <c r="U81" s="89">
        <f t="shared" si="101"/>
        <v>5.3462250173479785E-3</v>
      </c>
      <c r="V81" s="89">
        <f t="shared" si="101"/>
        <v>5.4268741350536314E-3</v>
      </c>
      <c r="W81" s="89">
        <f t="shared" si="101"/>
        <v>5.4574201327267221E-3</v>
      </c>
      <c r="X81" s="89">
        <f t="shared" si="101"/>
        <v>5.4000272158716478E-3</v>
      </c>
      <c r="Y81" s="89">
        <f t="shared" si="101"/>
        <v>4.9298077495347377E-3</v>
      </c>
      <c r="Z81" s="89">
        <f t="shared" ref="Z81:AA81" si="102">Z48/Z$23</f>
        <v>4.5546530026082405E-3</v>
      </c>
      <c r="AA81" s="89">
        <f t="shared" si="102"/>
        <v>4.8664135383226286E-3</v>
      </c>
    </row>
    <row r="82" spans="1:27" x14ac:dyDescent="0.25">
      <c r="A82" s="68" t="s">
        <v>3</v>
      </c>
      <c r="B82" s="44"/>
      <c r="C82" s="44"/>
      <c r="D82" s="89">
        <f>D52/D$23</f>
        <v>9.6417573252884185E-3</v>
      </c>
      <c r="E82" s="89">
        <f t="shared" ref="E82:S82" si="103">E52/E$23</f>
        <v>8.7215259391624396E-3</v>
      </c>
      <c r="F82" s="89">
        <f t="shared" si="103"/>
        <v>8.4063214655253227E-3</v>
      </c>
      <c r="G82" s="89">
        <f t="shared" si="103"/>
        <v>8.0022613259844236E-3</v>
      </c>
      <c r="H82" s="89">
        <f t="shared" si="103"/>
        <v>7.3244647694336168E-3</v>
      </c>
      <c r="I82" s="89">
        <f t="shared" si="103"/>
        <v>6.4761241157896606E-3</v>
      </c>
      <c r="J82" s="89">
        <f t="shared" si="103"/>
        <v>6.1288559937617577E-3</v>
      </c>
      <c r="K82" s="89">
        <f t="shared" si="103"/>
        <v>5.7331446955698664E-3</v>
      </c>
      <c r="L82" s="89">
        <f t="shared" si="103"/>
        <v>5.7046978256145879E-3</v>
      </c>
      <c r="M82" s="89">
        <f t="shared" si="103"/>
        <v>5.1318865407582633E-3</v>
      </c>
      <c r="N82" s="89">
        <f t="shared" si="103"/>
        <v>4.3641921177132812E-3</v>
      </c>
      <c r="O82" s="89">
        <f t="shared" si="103"/>
        <v>4.3496378182579214E-3</v>
      </c>
      <c r="P82" s="89">
        <f t="shared" si="103"/>
        <v>3.7986375917548601E-3</v>
      </c>
      <c r="Q82" s="89">
        <f t="shared" si="103"/>
        <v>3.5913643445359441E-3</v>
      </c>
      <c r="R82" s="89">
        <f t="shared" si="103"/>
        <v>3.7868086611422486E-3</v>
      </c>
      <c r="S82" s="89">
        <f t="shared" si="103"/>
        <v>3.4315589917264782E-3</v>
      </c>
      <c r="T82" s="89">
        <f t="shared" ref="T82:Y82" si="104">T52/T$23</f>
        <v>3.0811505793902718E-3</v>
      </c>
      <c r="U82" s="89">
        <f t="shared" si="104"/>
        <v>3.2715005532598564E-3</v>
      </c>
      <c r="V82" s="89">
        <f t="shared" si="104"/>
        <v>2.9716042871079946E-3</v>
      </c>
      <c r="W82" s="89">
        <f t="shared" si="104"/>
        <v>3.0202739285307349E-3</v>
      </c>
      <c r="X82" s="89">
        <f t="shared" si="104"/>
        <v>3.0785649933822655E-3</v>
      </c>
      <c r="Y82" s="89">
        <f t="shared" si="104"/>
        <v>2.2870242137016821E-3</v>
      </c>
      <c r="Z82" s="89">
        <f t="shared" ref="Z82:AA82" si="105">Z52/Z$23</f>
        <v>2.1098562857999278E-3</v>
      </c>
      <c r="AA82" s="89">
        <f t="shared" si="105"/>
        <v>2.2566687609808147E-3</v>
      </c>
    </row>
    <row r="83" spans="1:27" x14ac:dyDescent="0.25">
      <c r="A83" s="88" t="s">
        <v>21</v>
      </c>
      <c r="B83" s="44"/>
      <c r="C83" s="44"/>
      <c r="D83" s="89">
        <f>D53/D$23</f>
        <v>3.6498374768418359E-3</v>
      </c>
      <c r="E83" s="89">
        <f t="shared" ref="E83:S83" si="106">E53/E$23</f>
        <v>3.5618782555182629E-3</v>
      </c>
      <c r="F83" s="89">
        <f t="shared" si="106"/>
        <v>3.5231565914761787E-3</v>
      </c>
      <c r="G83" s="89">
        <f t="shared" si="106"/>
        <v>3.3517796239405286E-3</v>
      </c>
      <c r="H83" s="89">
        <f t="shared" si="106"/>
        <v>2.9420804835100442E-3</v>
      </c>
      <c r="I83" s="89">
        <f t="shared" si="106"/>
        <v>2.5230864894423962E-3</v>
      </c>
      <c r="J83" s="89">
        <f t="shared" si="106"/>
        <v>2.3825758384724009E-3</v>
      </c>
      <c r="K83" s="89">
        <f t="shared" si="106"/>
        <v>2.2827854614660375E-3</v>
      </c>
      <c r="L83" s="89">
        <f t="shared" si="106"/>
        <v>2.0625746783942424E-3</v>
      </c>
      <c r="M83" s="89">
        <f t="shared" si="106"/>
        <v>2.055847616843084E-3</v>
      </c>
      <c r="N83" s="89">
        <f t="shared" si="106"/>
        <v>1.8490242661833639E-3</v>
      </c>
      <c r="O83" s="89">
        <f t="shared" si="106"/>
        <v>1.9125139327621017E-3</v>
      </c>
      <c r="P83" s="89">
        <f t="shared" si="106"/>
        <v>1.7435473262874829E-3</v>
      </c>
      <c r="Q83" s="89">
        <f t="shared" si="106"/>
        <v>1.6327620743378588E-3</v>
      </c>
      <c r="R83" s="89">
        <f t="shared" si="106"/>
        <v>1.7267604472478806E-3</v>
      </c>
      <c r="S83" s="89">
        <f t="shared" si="106"/>
        <v>1.7348390064319495E-3</v>
      </c>
      <c r="T83" s="89">
        <f t="shared" ref="T83:Y83" si="107">T53/T$23</f>
        <v>1.4768611472793247E-3</v>
      </c>
      <c r="U83" s="89">
        <f t="shared" si="107"/>
        <v>1.5910128093722842E-3</v>
      </c>
      <c r="V83" s="89">
        <f t="shared" si="107"/>
        <v>1.4563082623852276E-3</v>
      </c>
      <c r="W83" s="89">
        <f t="shared" si="107"/>
        <v>1.6026703228204018E-3</v>
      </c>
      <c r="X83" s="89">
        <f t="shared" si="107"/>
        <v>1.8092285406724237E-3</v>
      </c>
      <c r="Y83" s="89">
        <f t="shared" si="107"/>
        <v>1.4096628779190488E-3</v>
      </c>
      <c r="Z83" s="89">
        <f t="shared" ref="Z83:AA83" si="108">Z53/Z$23</f>
        <v>1.3245507160358325E-3</v>
      </c>
      <c r="AA83" s="89">
        <f t="shared" si="108"/>
        <v>1.4536471545392598E-3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5.9919198484465822E-3</v>
      </c>
      <c r="E84" s="89">
        <f t="shared" ref="E84:S84" si="110">E56/E$23</f>
        <v>5.1596476836441767E-3</v>
      </c>
      <c r="F84" s="89">
        <f t="shared" si="110"/>
        <v>4.8831648740491436E-3</v>
      </c>
      <c r="G84" s="89">
        <f t="shared" si="110"/>
        <v>4.6504817020438941E-3</v>
      </c>
      <c r="H84" s="89">
        <f t="shared" si="110"/>
        <v>4.3823842859235726E-3</v>
      </c>
      <c r="I84" s="89">
        <f t="shared" si="110"/>
        <v>3.9530376263472644E-3</v>
      </c>
      <c r="J84" s="89">
        <f t="shared" si="110"/>
        <v>3.7462801552893563E-3</v>
      </c>
      <c r="K84" s="89">
        <f t="shared" si="110"/>
        <v>3.4503592341038288E-3</v>
      </c>
      <c r="L84" s="89">
        <f t="shared" si="110"/>
        <v>3.642123147220345E-3</v>
      </c>
      <c r="M84" s="89">
        <f t="shared" si="110"/>
        <v>3.0760389239151802E-3</v>
      </c>
      <c r="N84" s="89">
        <f t="shared" si="110"/>
        <v>2.5151678515299173E-3</v>
      </c>
      <c r="O84" s="89">
        <f t="shared" si="110"/>
        <v>2.4371238854958201E-3</v>
      </c>
      <c r="P84" s="89">
        <f t="shared" si="110"/>
        <v>2.0550902654673771E-3</v>
      </c>
      <c r="Q84" s="89">
        <f t="shared" si="110"/>
        <v>1.9586022701980855E-3</v>
      </c>
      <c r="R84" s="89">
        <f t="shared" si="110"/>
        <v>2.060048213894368E-3</v>
      </c>
      <c r="S84" s="89">
        <f t="shared" si="110"/>
        <v>1.6967199852945284E-3</v>
      </c>
      <c r="T84" s="89">
        <f t="shared" ref="T84:Y84" si="111">T56/T$23</f>
        <v>1.6042894321109476E-3</v>
      </c>
      <c r="U84" s="89">
        <f t="shared" si="111"/>
        <v>1.680487743887572E-3</v>
      </c>
      <c r="V84" s="89">
        <f t="shared" si="111"/>
        <v>1.5152960247227668E-3</v>
      </c>
      <c r="W84" s="89">
        <f t="shared" si="111"/>
        <v>1.4176036057103332E-3</v>
      </c>
      <c r="X84" s="89">
        <f t="shared" si="111"/>
        <v>1.2693364527098417E-3</v>
      </c>
      <c r="Y84" s="89">
        <f t="shared" si="111"/>
        <v>8.7736133578263337E-4</v>
      </c>
      <c r="Z84" s="89">
        <f t="shared" ref="Z84:AA84" si="112">Z56/Z$23</f>
        <v>7.853055697640952E-4</v>
      </c>
      <c r="AA84" s="89">
        <f t="shared" si="112"/>
        <v>8.0302160644155475E-4</v>
      </c>
    </row>
    <row r="85" spans="1:27" x14ac:dyDescent="0.25">
      <c r="A85" s="68" t="s">
        <v>2</v>
      </c>
      <c r="B85" s="44"/>
      <c r="C85" s="44"/>
      <c r="D85" s="89">
        <f t="shared" si="109"/>
        <v>2.6703262927296252E-2</v>
      </c>
      <c r="E85" s="89">
        <f t="shared" ref="E85:S85" si="113">E57/E$23</f>
        <v>2.7330432463345569E-2</v>
      </c>
      <c r="F85" s="89">
        <f t="shared" si="113"/>
        <v>2.8920392344011031E-2</v>
      </c>
      <c r="G85" s="89">
        <f t="shared" si="113"/>
        <v>2.7454585936688872E-2</v>
      </c>
      <c r="H85" s="89">
        <f t="shared" si="113"/>
        <v>2.6571795438942211E-2</v>
      </c>
      <c r="I85" s="89">
        <f t="shared" si="113"/>
        <v>2.5328987987087447E-2</v>
      </c>
      <c r="J85" s="89">
        <f t="shared" si="113"/>
        <v>2.22375481242294E-2</v>
      </c>
      <c r="K85" s="89">
        <f t="shared" si="113"/>
        <v>2.1150757488029723E-2</v>
      </c>
      <c r="L85" s="89">
        <f t="shared" si="113"/>
        <v>1.9894252275907257E-2</v>
      </c>
      <c r="M85" s="89">
        <f t="shared" si="113"/>
        <v>2.0839839443339721E-2</v>
      </c>
      <c r="N85" s="89">
        <f t="shared" si="113"/>
        <v>1.8940841215635912E-2</v>
      </c>
      <c r="O85" s="89">
        <f t="shared" si="113"/>
        <v>1.7511134530920219E-2</v>
      </c>
      <c r="P85" s="89">
        <f t="shared" si="113"/>
        <v>1.6361014500410834E-2</v>
      </c>
      <c r="Q85" s="89">
        <f t="shared" si="113"/>
        <v>1.6676608056977519E-2</v>
      </c>
      <c r="R85" s="89">
        <f t="shared" si="113"/>
        <v>1.6446102203908752E-2</v>
      </c>
      <c r="S85" s="89">
        <f t="shared" si="113"/>
        <v>1.707435665680937E-2</v>
      </c>
      <c r="T85" s="89">
        <f t="shared" ref="T85:Y85" si="114">T57/T$23</f>
        <v>1.7407847295171287E-2</v>
      </c>
      <c r="U85" s="89">
        <f t="shared" si="114"/>
        <v>1.535647751639462E-2</v>
      </c>
      <c r="V85" s="89">
        <f t="shared" si="114"/>
        <v>1.5355970078649072E-2</v>
      </c>
      <c r="W85" s="89">
        <f t="shared" si="114"/>
        <v>1.5891533774862056E-2</v>
      </c>
      <c r="X85" s="89">
        <f t="shared" si="114"/>
        <v>1.5424539939291644E-2</v>
      </c>
      <c r="Y85" s="89">
        <f t="shared" si="114"/>
        <v>1.3766949557741676E-2</v>
      </c>
      <c r="Z85" s="89">
        <f t="shared" ref="Z85:AA85" si="115">Z57/Z$23</f>
        <v>1.3083256408382758E-2</v>
      </c>
      <c r="AA85" s="89">
        <f t="shared" si="115"/>
        <v>1.6551117259261002E-2</v>
      </c>
    </row>
    <row r="86" spans="1:27" x14ac:dyDescent="0.25">
      <c r="A86" s="68" t="s">
        <v>269</v>
      </c>
      <c r="B86" s="44"/>
      <c r="C86" s="44"/>
      <c r="D86" s="89">
        <f t="shared" si="109"/>
        <v>4.4681632762267219E-3</v>
      </c>
      <c r="E86" s="89">
        <f t="shared" ref="E86:S86" si="116">E58/E$23</f>
        <v>4.355718709350356E-3</v>
      </c>
      <c r="F86" s="89">
        <f t="shared" si="116"/>
        <v>4.1216827590769825E-3</v>
      </c>
      <c r="G86" s="89">
        <f t="shared" si="116"/>
        <v>4.111556348006546E-3</v>
      </c>
      <c r="H86" s="89">
        <f t="shared" si="116"/>
        <v>3.3293021679243712E-3</v>
      </c>
      <c r="I86" s="89">
        <f t="shared" si="116"/>
        <v>3.5599940023637745E-3</v>
      </c>
      <c r="J86" s="89">
        <f t="shared" si="116"/>
        <v>3.4993757067900283E-3</v>
      </c>
      <c r="K86" s="89">
        <f t="shared" si="116"/>
        <v>3.0178685611000067E-3</v>
      </c>
      <c r="L86" s="89">
        <f t="shared" si="116"/>
        <v>3.3274605916327584E-3</v>
      </c>
      <c r="M86" s="89">
        <f t="shared" si="116"/>
        <v>2.2968023363129234E-3</v>
      </c>
      <c r="N86" s="89">
        <f t="shared" si="116"/>
        <v>2.6750423120130906E-3</v>
      </c>
      <c r="O86" s="89">
        <f t="shared" si="116"/>
        <v>2.9645367409155592E-3</v>
      </c>
      <c r="P86" s="89">
        <f t="shared" si="116"/>
        <v>2.3547909291813706E-3</v>
      </c>
      <c r="Q86" s="89">
        <f t="shared" si="116"/>
        <v>2.0227019808591136E-3</v>
      </c>
      <c r="R86" s="89">
        <f t="shared" si="116"/>
        <v>1.9793300829096718E-3</v>
      </c>
      <c r="S86" s="89">
        <f t="shared" si="116"/>
        <v>2.3197542085517061E-3</v>
      </c>
      <c r="T86" s="89">
        <f t="shared" ref="T86:Y86" si="117">T58/T$23</f>
        <v>2.4946537299729296E-3</v>
      </c>
      <c r="U86" s="89">
        <f t="shared" si="117"/>
        <v>2.4302798807209255E-3</v>
      </c>
      <c r="V86" s="89">
        <f t="shared" si="117"/>
        <v>2.1718221587912257E-3</v>
      </c>
      <c r="W86" s="89">
        <f t="shared" si="117"/>
        <v>2.1958519734367821E-3</v>
      </c>
      <c r="X86" s="89">
        <f t="shared" si="117"/>
        <v>1.9375635451881197E-3</v>
      </c>
      <c r="Y86" s="89">
        <f t="shared" si="117"/>
        <v>2.0887485764611714E-3</v>
      </c>
      <c r="Z86" s="89">
        <f t="shared" ref="Z86:AA86" si="118">Z58/Z$23</f>
        <v>1.7710385390274203E-3</v>
      </c>
      <c r="AA86" s="89">
        <f t="shared" si="118"/>
        <v>2.2995207219408675E-3</v>
      </c>
    </row>
    <row r="87" spans="1:27" x14ac:dyDescent="0.25">
      <c r="A87" s="68" t="s">
        <v>270</v>
      </c>
      <c r="B87" s="44"/>
      <c r="C87" s="44"/>
      <c r="D87" s="89">
        <f t="shared" si="109"/>
        <v>5.6555840294649488E-2</v>
      </c>
      <c r="E87" s="89">
        <f t="shared" ref="E87:S87" si="119">E59/E$23</f>
        <v>5.6851334931943477E-2</v>
      </c>
      <c r="F87" s="89">
        <f t="shared" si="119"/>
        <v>5.8690483556458416E-2</v>
      </c>
      <c r="G87" s="89">
        <f t="shared" si="119"/>
        <v>5.2451600242216338E-2</v>
      </c>
      <c r="H87" s="89">
        <f t="shared" si="119"/>
        <v>5.1385006937243086E-2</v>
      </c>
      <c r="I87" s="89">
        <f t="shared" si="119"/>
        <v>4.7301394450422488E-2</v>
      </c>
      <c r="J87" s="89">
        <f t="shared" si="119"/>
        <v>5.1924943131238049E-2</v>
      </c>
      <c r="K87" s="89">
        <f t="shared" si="119"/>
        <v>5.4683133870716001E-2</v>
      </c>
      <c r="L87" s="89">
        <f t="shared" si="119"/>
        <v>5.2941015640551752E-2</v>
      </c>
      <c r="M87" s="89">
        <f t="shared" si="119"/>
        <v>4.7269529055746835E-2</v>
      </c>
      <c r="N87" s="89">
        <f t="shared" si="119"/>
        <v>4.4905214905057896E-2</v>
      </c>
      <c r="O87" s="89">
        <f t="shared" si="119"/>
        <v>4.64683893306575E-2</v>
      </c>
      <c r="P87" s="89">
        <f t="shared" si="119"/>
        <v>4.5809565279177088E-2</v>
      </c>
      <c r="Q87" s="89">
        <f t="shared" si="119"/>
        <v>4.869040730024482E-2</v>
      </c>
      <c r="R87" s="89">
        <f t="shared" si="119"/>
        <v>4.7165426601831782E-2</v>
      </c>
      <c r="S87" s="89">
        <f t="shared" si="119"/>
        <v>4.4222299966201133E-2</v>
      </c>
      <c r="T87" s="89">
        <f t="shared" ref="T87:Y87" si="120">T59/T$23</f>
        <v>4.7408223045241948E-2</v>
      </c>
      <c r="U87" s="89">
        <f t="shared" si="120"/>
        <v>4.9411262745294164E-2</v>
      </c>
      <c r="V87" s="89">
        <f t="shared" si="120"/>
        <v>4.7824902871286788E-2</v>
      </c>
      <c r="W87" s="89">
        <f t="shared" si="120"/>
        <v>5.0573483402457181E-2</v>
      </c>
      <c r="X87" s="89">
        <f t="shared" si="120"/>
        <v>4.3052706227529852E-2</v>
      </c>
      <c r="Y87" s="89">
        <f t="shared" si="120"/>
        <v>4.539174651747066E-2</v>
      </c>
      <c r="Z87" s="89">
        <f t="shared" ref="Z87:AA87" si="121">Z59/Z$23</f>
        <v>3.9989143515860456E-2</v>
      </c>
      <c r="AA87" s="89">
        <f t="shared" si="121"/>
        <v>4.3735254549701327E-2</v>
      </c>
    </row>
    <row r="88" spans="1:27" x14ac:dyDescent="0.25">
      <c r="A88" s="68" t="s">
        <v>1</v>
      </c>
      <c r="B88" s="44"/>
      <c r="C88" s="44"/>
      <c r="D88" s="89">
        <f t="shared" si="109"/>
        <v>4.4701209934501305E-3</v>
      </c>
      <c r="E88" s="89">
        <f t="shared" ref="E88:S88" si="122">E60/E$23</f>
        <v>3.8872330404089383E-3</v>
      </c>
      <c r="F88" s="89">
        <f t="shared" si="122"/>
        <v>3.5972831690398404E-3</v>
      </c>
      <c r="G88" s="89">
        <f t="shared" si="122"/>
        <v>3.3109701316526227E-3</v>
      </c>
      <c r="H88" s="89">
        <f t="shared" si="122"/>
        <v>2.9489746381286966E-3</v>
      </c>
      <c r="I88" s="89">
        <f t="shared" si="122"/>
        <v>2.4001569969482619E-3</v>
      </c>
      <c r="J88" s="89">
        <f t="shared" si="122"/>
        <v>2.4065370296769773E-3</v>
      </c>
      <c r="K88" s="89">
        <f t="shared" si="122"/>
        <v>2.2535835301107157E-3</v>
      </c>
      <c r="L88" s="89">
        <f t="shared" si="122"/>
        <v>2.0472252854387505E-3</v>
      </c>
      <c r="M88" s="89">
        <f t="shared" si="122"/>
        <v>1.7754820840438087E-3</v>
      </c>
      <c r="N88" s="89">
        <f t="shared" si="122"/>
        <v>1.5549694549375278E-3</v>
      </c>
      <c r="O88" s="89">
        <f t="shared" si="122"/>
        <v>1.5724284068581425E-3</v>
      </c>
      <c r="P88" s="89">
        <f t="shared" si="122"/>
        <v>1.3878235901771056E-3</v>
      </c>
      <c r="Q88" s="89">
        <f t="shared" si="122"/>
        <v>1.6073892722012018E-3</v>
      </c>
      <c r="R88" s="89">
        <f t="shared" si="122"/>
        <v>1.6239099255093163E-3</v>
      </c>
      <c r="S88" s="89">
        <f t="shared" si="122"/>
        <v>1.6920609938221773E-3</v>
      </c>
      <c r="T88" s="89">
        <f t="shared" ref="T88:Y88" si="123">T60/T$23</f>
        <v>1.5830513846390106E-3</v>
      </c>
      <c r="U88" s="89">
        <f t="shared" si="123"/>
        <v>1.628521952225855E-3</v>
      </c>
      <c r="V88" s="89">
        <f t="shared" si="123"/>
        <v>1.8470064285169823E-3</v>
      </c>
      <c r="W88" s="89">
        <f t="shared" si="123"/>
        <v>1.7538515846849659E-3</v>
      </c>
      <c r="X88" s="89">
        <f t="shared" si="123"/>
        <v>1.6606107049832702E-3</v>
      </c>
      <c r="Y88" s="89">
        <f t="shared" si="123"/>
        <v>1.5340448965589649E-3</v>
      </c>
      <c r="Z88" s="89">
        <f t="shared" ref="Z88:AA88" si="124">Z60/Z$23</f>
        <v>1.3898685739083493E-3</v>
      </c>
      <c r="AA88" s="89">
        <f t="shared" si="124"/>
        <v>1.3751858175701489E-3</v>
      </c>
    </row>
    <row r="89" spans="1:27" x14ac:dyDescent="0.25">
      <c r="A89" s="68" t="s">
        <v>0</v>
      </c>
      <c r="B89" s="44"/>
      <c r="C89" s="44"/>
      <c r="D89" s="89">
        <f t="shared" si="109"/>
        <v>4.7096150671138088E-3</v>
      </c>
      <c r="E89" s="89">
        <f t="shared" ref="E89:S89" si="125">E61/E$23</f>
        <v>4.3765262828026662E-3</v>
      </c>
      <c r="F89" s="89">
        <f t="shared" si="125"/>
        <v>4.1137187466114659E-3</v>
      </c>
      <c r="G89" s="89">
        <f t="shared" si="125"/>
        <v>4.2183811954660654E-3</v>
      </c>
      <c r="H89" s="89">
        <f t="shared" si="125"/>
        <v>4.2220951910398969E-3</v>
      </c>
      <c r="I89" s="89">
        <f t="shared" si="125"/>
        <v>4.1917303180511213E-3</v>
      </c>
      <c r="J89" s="89">
        <f t="shared" si="125"/>
        <v>4.0437114635026783E-3</v>
      </c>
      <c r="K89" s="89">
        <f t="shared" si="125"/>
        <v>4.026342156008801E-3</v>
      </c>
      <c r="L89" s="89">
        <f t="shared" si="125"/>
        <v>3.4310689940823293E-3</v>
      </c>
      <c r="M89" s="89">
        <f t="shared" si="125"/>
        <v>2.5981204534139238E-3</v>
      </c>
      <c r="N89" s="89">
        <f t="shared" si="125"/>
        <v>2.5070789651364237E-3</v>
      </c>
      <c r="O89" s="89">
        <f t="shared" si="125"/>
        <v>2.5123351075707332E-3</v>
      </c>
      <c r="P89" s="89">
        <f t="shared" si="125"/>
        <v>2.460004991974581E-3</v>
      </c>
      <c r="Q89" s="89">
        <f t="shared" si="125"/>
        <v>2.3213888270643222E-3</v>
      </c>
      <c r="R89" s="89">
        <f t="shared" si="125"/>
        <v>2.4211099610947288E-3</v>
      </c>
      <c r="S89" s="89">
        <f t="shared" si="125"/>
        <v>2.4527472378533741E-3</v>
      </c>
      <c r="T89" s="89">
        <f t="shared" ref="T89:Y89" si="126">T61/T$23</f>
        <v>2.3018776067661156E-3</v>
      </c>
      <c r="U89" s="89">
        <f t="shared" si="126"/>
        <v>2.2982164402573129E-3</v>
      </c>
      <c r="V89" s="89">
        <f t="shared" si="126"/>
        <v>2.2223830979376884E-3</v>
      </c>
      <c r="W89" s="89">
        <f t="shared" si="126"/>
        <v>2.289316251091968E-3</v>
      </c>
      <c r="X89" s="89">
        <f t="shared" si="126"/>
        <v>2.2901160288576745E-3</v>
      </c>
      <c r="Y89" s="89">
        <f t="shared" si="126"/>
        <v>2.4047190270383777E-3</v>
      </c>
      <c r="Z89" s="89">
        <f t="shared" ref="Z89:AA89" si="127">Z61/Z$23</f>
        <v>2.3833561746999183E-3</v>
      </c>
      <c r="AA89" s="89">
        <f t="shared" si="127"/>
        <v>2.3478046216141666E-3</v>
      </c>
    </row>
    <row r="90" spans="1:27" x14ac:dyDescent="0.25">
      <c r="A90" s="90" t="s">
        <v>272</v>
      </c>
      <c r="B90" s="47"/>
      <c r="C90" s="47"/>
      <c r="D90" s="91">
        <f t="shared" si="109"/>
        <v>1.9883881265755542E-2</v>
      </c>
      <c r="E90" s="91">
        <f t="shared" ref="E90:S90" si="128">E62/E$23</f>
        <v>1.9330235737196565E-2</v>
      </c>
      <c r="F90" s="91">
        <f t="shared" si="128"/>
        <v>1.8779141393689927E-2</v>
      </c>
      <c r="G90" s="91">
        <f t="shared" si="128"/>
        <v>1.7993385261411806E-2</v>
      </c>
      <c r="H90" s="91">
        <f t="shared" si="128"/>
        <v>1.782253871498703E-2</v>
      </c>
      <c r="I90" s="91">
        <f t="shared" si="128"/>
        <v>1.7587737479934383E-2</v>
      </c>
      <c r="J90" s="91">
        <f t="shared" si="128"/>
        <v>1.7786496410248934E-2</v>
      </c>
      <c r="K90" s="91">
        <f t="shared" si="128"/>
        <v>1.7058962727258997E-2</v>
      </c>
      <c r="L90" s="91">
        <f t="shared" si="128"/>
        <v>1.5204533059474579E-2</v>
      </c>
      <c r="M90" s="91">
        <f t="shared" si="128"/>
        <v>1.4617420776782141E-2</v>
      </c>
      <c r="N90" s="91">
        <f t="shared" si="128"/>
        <v>1.4558568057748938E-2</v>
      </c>
      <c r="O90" s="91">
        <f t="shared" si="128"/>
        <v>1.4142979803217545E-2</v>
      </c>
      <c r="P90" s="91">
        <f t="shared" si="128"/>
        <v>1.4657093249720796E-2</v>
      </c>
      <c r="Q90" s="91">
        <f t="shared" si="128"/>
        <v>1.4635210327175607E-2</v>
      </c>
      <c r="R90" s="91">
        <f t="shared" si="128"/>
        <v>1.6170966209046941E-2</v>
      </c>
      <c r="S90" s="91">
        <f t="shared" si="128"/>
        <v>1.5838876827277634E-2</v>
      </c>
      <c r="T90" s="91">
        <f t="shared" ref="T90:Y90" si="129">T62/T$23</f>
        <v>1.6196461741291177E-2</v>
      </c>
      <c r="U90" s="91">
        <f t="shared" si="129"/>
        <v>1.4731715855739836E-2</v>
      </c>
      <c r="V90" s="91">
        <f t="shared" si="129"/>
        <v>1.4081987627125332E-2</v>
      </c>
      <c r="W90" s="91">
        <f t="shared" si="129"/>
        <v>1.4057250779924023E-2</v>
      </c>
      <c r="X90" s="91">
        <f t="shared" si="129"/>
        <v>1.4522507120195689E-2</v>
      </c>
      <c r="Y90" s="91">
        <f t="shared" si="129"/>
        <v>1.4972318313647317E-2</v>
      </c>
      <c r="Z90" s="91">
        <f t="shared" ref="Z90:AA90" si="130">Z62/Z$23</f>
        <v>1.3927616479785019E-2</v>
      </c>
      <c r="AA90" s="91">
        <f t="shared" si="130"/>
        <v>1.7838184959927381E-2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9.4969525988035652E-3</v>
      </c>
      <c r="F93" s="92">
        <f t="shared" ref="F93:F94" si="132">IF(E16=0,"",F16/E16-1)</f>
        <v>4.5594827318937714E-3</v>
      </c>
      <c r="G93" s="92">
        <f t="shared" ref="G93:G94" si="133">IF(F16=0,"",G16/F16-1)</f>
        <v>4.4187330855025575E-3</v>
      </c>
      <c r="H93" s="92">
        <f t="shared" ref="H93:H94" si="134">IF(G16=0,"",H16/G16-1)</f>
        <v>2.7765739537584322E-2</v>
      </c>
      <c r="I93" s="92">
        <f t="shared" ref="I93:I94" si="135">IF(H16=0,"",I16/H16-1)</f>
        <v>2.3595774062875829E-2</v>
      </c>
      <c r="J93" s="92">
        <f t="shared" ref="J93:J94" si="136">IF(I16=0,"",J16/I16-1)</f>
        <v>3.8162618235490608E-2</v>
      </c>
      <c r="K93" s="92">
        <f t="shared" ref="K93:K94" si="137">IF(J16=0,"",K16/J16-1)</f>
        <v>9.8759307561755438E-3</v>
      </c>
      <c r="L93" s="92">
        <f t="shared" ref="L93:L94" si="138">IF(K16=0,"",L16/K16-1)</f>
        <v>-4.17880667715953E-3</v>
      </c>
      <c r="M93" s="92">
        <f t="shared" ref="M93:M94" si="139">IF(L16=0,"",M16/L16-1)</f>
        <v>-4.9747356193320935E-2</v>
      </c>
      <c r="N93" s="92">
        <f t="shared" ref="N93:N94" si="140">IF(M16=0,"",N16/M16-1)</f>
        <v>1.5831407439438117E-2</v>
      </c>
      <c r="O93" s="92">
        <f t="shared" ref="O93:O94" si="141">IF(N16=0,"",O16/N16-1)</f>
        <v>1.3104775727283746E-2</v>
      </c>
      <c r="P93" s="92">
        <f t="shared" ref="P93:P94" si="142">IF(O16=0,"",P16/O16-1)</f>
        <v>-4.6116123092576622E-5</v>
      </c>
      <c r="Q93" s="92">
        <f t="shared" ref="Q93:Q94" si="143">IF(P16=0,"",Q16/P16-1)</f>
        <v>1.3921851714423727E-2</v>
      </c>
      <c r="R93" s="92">
        <f t="shared" ref="R93:R94" si="144">IF(Q16=0,"",R16/Q16-1)</f>
        <v>1.2778253326023226E-2</v>
      </c>
      <c r="S93" s="92">
        <f t="shared" ref="S93:S94" si="145">IF(R16=0,"",S16/R16-1)</f>
        <v>2.1047678644097845E-2</v>
      </c>
      <c r="T93" s="92">
        <f t="shared" ref="T93:T94" si="146">IF(S16=0,"",T16/S16-1)</f>
        <v>3.0726399462624121E-2</v>
      </c>
      <c r="U93" s="92">
        <f t="shared" ref="U93:U94" si="147">IF(T16=0,"",U16/T16-1)</f>
        <v>3.05704635687849E-2</v>
      </c>
      <c r="V93" s="92">
        <f t="shared" ref="V93:V94" si="148">IF(U16=0,"",V16/U16-1)</f>
        <v>1.8601411538716972E-2</v>
      </c>
      <c r="W93" s="92">
        <f t="shared" ref="W93:W94" si="149">IF(V16=0,"",W16/V16-1)</f>
        <v>1.7110204297147602E-2</v>
      </c>
      <c r="X93" s="92">
        <f t="shared" ref="X93:X94" si="150">IF(W16=0,"",X16/W16-1)</f>
        <v>-1.7802062747256708E-2</v>
      </c>
      <c r="Y93" s="92">
        <f t="shared" ref="Y93:Y94" si="151">IF(X16=0,"",Y16/X16-1)</f>
        <v>6.500630796124085E-2</v>
      </c>
      <c r="Z93" s="92">
        <f t="shared" ref="Z93:Z94" si="152">IF(Y16=0,"",Z16/Y16-1)</f>
        <v>4.4369799213028749E-3</v>
      </c>
      <c r="AA93" s="92">
        <f t="shared" ref="AA93:AA94" si="153">IF(Z16=0,"",AA16/Z16-1)</f>
        <v>6.0464018288064469E-3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5.0384160180707571E-3</v>
      </c>
      <c r="F94" s="93">
        <f t="shared" si="132"/>
        <v>1.4670386275134284E-2</v>
      </c>
      <c r="G94" s="93">
        <f t="shared" si="133"/>
        <v>1.3132210228064434E-2</v>
      </c>
      <c r="H94" s="93">
        <f t="shared" si="134"/>
        <v>4.8324977998628116E-2</v>
      </c>
      <c r="I94" s="93">
        <f t="shared" si="135"/>
        <v>3.8797474009543587E-2</v>
      </c>
      <c r="J94" s="93">
        <f t="shared" si="136"/>
        <v>2.7807383962543897E-2</v>
      </c>
      <c r="K94" s="93">
        <f t="shared" si="137"/>
        <v>1.9065208662697675E-2</v>
      </c>
      <c r="L94" s="93">
        <f t="shared" si="138"/>
        <v>1.9345367643786027E-3</v>
      </c>
      <c r="M94" s="93">
        <f t="shared" si="139"/>
        <v>-3.5957761612047112E-2</v>
      </c>
      <c r="N94" s="93">
        <f t="shared" si="140"/>
        <v>1.3041621784600999E-2</v>
      </c>
      <c r="O94" s="93">
        <f t="shared" si="141"/>
        <v>2.4002360352350927E-3</v>
      </c>
      <c r="P94" s="93">
        <f t="shared" si="142"/>
        <v>3.5845265793308378E-3</v>
      </c>
      <c r="Q94" s="93">
        <f t="shared" si="143"/>
        <v>1.5099929931274625E-2</v>
      </c>
      <c r="R94" s="93">
        <f t="shared" si="144"/>
        <v>-2.3378036452128548E-3</v>
      </c>
      <c r="S94" s="93">
        <f t="shared" si="145"/>
        <v>1.9702383589760064E-2</v>
      </c>
      <c r="T94" s="93">
        <f t="shared" si="146"/>
        <v>3.281367232468968E-2</v>
      </c>
      <c r="U94" s="93">
        <f t="shared" si="147"/>
        <v>2.7145430201692244E-2</v>
      </c>
      <c r="V94" s="93">
        <f t="shared" si="148"/>
        <v>3.7547789388189035E-2</v>
      </c>
      <c r="W94" s="93">
        <f t="shared" si="149"/>
        <v>1.7707312055360136E-2</v>
      </c>
      <c r="X94" s="93">
        <f t="shared" si="150"/>
        <v>-1.2745176696355665E-2</v>
      </c>
      <c r="Y94" s="93">
        <f t="shared" si="151"/>
        <v>5.6165303344147155E-2</v>
      </c>
      <c r="Z94" s="93">
        <f t="shared" si="152"/>
        <v>-2.1854150012367679E-2</v>
      </c>
      <c r="AA94" s="93">
        <f t="shared" si="153"/>
        <v>-2.5413611806320513E-2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5.8750610913673729E-3</v>
      </c>
      <c r="F95" s="92">
        <f t="shared" ref="F95:F96" si="155">IF(E20=0,"",F20/E20-1)</f>
        <v>9.7751373013754694E-4</v>
      </c>
      <c r="G95" s="92">
        <f t="shared" ref="G95:G96" si="156">IF(F20=0,"",G20/F20-1)</f>
        <v>1.5915876833614284E-3</v>
      </c>
      <c r="H95" s="92">
        <f t="shared" ref="H95:H96" si="157">IF(G20=0,"",H20/G20-1)</f>
        <v>2.5074672108692297E-2</v>
      </c>
      <c r="I95" s="92">
        <f t="shared" ref="I95:I96" si="158">IF(H20=0,"",I20/H20-1)</f>
        <v>2.0992051770795328E-2</v>
      </c>
      <c r="J95" s="92">
        <f t="shared" ref="J95:J96" si="159">IF(I20=0,"",J20/I20-1)</f>
        <v>3.5091814260158394E-2</v>
      </c>
      <c r="K95" s="92">
        <f t="shared" ref="K95:K96" si="160">IF(J20=0,"",K20/J20-1)</f>
        <v>6.2375041886595373E-3</v>
      </c>
      <c r="L95" s="92">
        <f t="shared" ref="L95:L96" si="161">IF(K20=0,"",L20/K20-1)</f>
        <v>-9.3994294139876367E-3</v>
      </c>
      <c r="M95" s="92">
        <f t="shared" ref="M95:M96" si="162">IF(L20=0,"",M20/L20-1)</f>
        <v>-5.58956480457109E-2</v>
      </c>
      <c r="N95" s="92">
        <f t="shared" ref="N95:N96" si="163">IF(M20=0,"",N20/M20-1)</f>
        <v>1.1557372067747096E-2</v>
      </c>
      <c r="O95" s="92">
        <f t="shared" ref="O95:O96" si="164">IF(N20=0,"",O20/N20-1)</f>
        <v>8.387811628340458E-3</v>
      </c>
      <c r="P95" s="92">
        <f t="shared" ref="P95:P96" si="165">IF(O20=0,"",P20/O20-1)</f>
        <v>-3.6097799209464654E-3</v>
      </c>
      <c r="Q95" s="92">
        <f t="shared" ref="Q95:Q96" si="166">IF(P20=0,"",Q20/P20-1)</f>
        <v>9.9201867841252067E-3</v>
      </c>
      <c r="R95" s="92">
        <f t="shared" ref="R95:R96" si="167">IF(Q20=0,"",R20/Q20-1)</f>
        <v>8.3495357623186717E-3</v>
      </c>
      <c r="S95" s="92">
        <f t="shared" ref="S95:S96" si="168">IF(R20=0,"",S20/R20-1)</f>
        <v>1.5188085254260963E-2</v>
      </c>
      <c r="T95" s="92">
        <f t="shared" ref="T95:T96" si="169">IF(S20=0,"",T20/S20-1)</f>
        <v>2.2141423942035443E-2</v>
      </c>
      <c r="U95" s="92">
        <f t="shared" ref="U95:U96" si="170">IF(T20=0,"",U20/T20-1)</f>
        <v>2.3127613715807849E-2</v>
      </c>
      <c r="V95" s="92">
        <f t="shared" ref="V95:V96" si="171">IF(U20=0,"",V20/U20-1)</f>
        <v>1.2889079585693963E-2</v>
      </c>
      <c r="W95" s="92">
        <f t="shared" ref="W95:W96" si="172">IF(V20=0,"",W20/V20-1)</f>
        <v>1.2749794909961976E-2</v>
      </c>
      <c r="X95" s="92">
        <f t="shared" ref="X95:X96" si="173">IF(W20=0,"",X20/W20-1)</f>
        <v>-2.0616023402919681E-2</v>
      </c>
      <c r="Y95" s="92">
        <f t="shared" ref="Y95:Y96" si="174">IF(X20=0,"",Y20/X20-1)</f>
        <v>6.1854715976215502E-2</v>
      </c>
      <c r="Z95" s="92">
        <f t="shared" ref="Z95:Z96" si="175">IF(Y20=0,"",Z20/Y20-1)</f>
        <v>-1.2706119425299756E-3</v>
      </c>
      <c r="AA95" s="92">
        <f t="shared" ref="AA95:AA96" si="176">IF(Z20=0,"",AA20/Z20-1)</f>
        <v>-3.9983694600512765E-3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1.432520929183001E-3</v>
      </c>
      <c r="F96" s="93">
        <f t="shared" si="155"/>
        <v>1.1052364711340301E-2</v>
      </c>
      <c r="G96" s="93">
        <f t="shared" si="156"/>
        <v>1.0280538932459837E-2</v>
      </c>
      <c r="H96" s="93">
        <f t="shared" si="157"/>
        <v>4.5580078947551117E-2</v>
      </c>
      <c r="I96" s="93">
        <f t="shared" si="158"/>
        <v>3.615508312774085E-2</v>
      </c>
      <c r="J96" s="93">
        <f t="shared" si="159"/>
        <v>2.4767209961757519E-2</v>
      </c>
      <c r="K96" s="93">
        <f t="shared" si="160"/>
        <v>1.5393674550133074E-2</v>
      </c>
      <c r="L96" s="93">
        <f t="shared" si="161"/>
        <v>-3.3181353604148089E-3</v>
      </c>
      <c r="M96" s="93">
        <f t="shared" si="162"/>
        <v>-4.2195274423267648E-2</v>
      </c>
      <c r="N96" s="93">
        <f t="shared" si="163"/>
        <v>8.779324229324148E-3</v>
      </c>
      <c r="O96" s="93">
        <f t="shared" si="164"/>
        <v>-2.2668882735574769E-3</v>
      </c>
      <c r="P96" s="93">
        <f t="shared" si="165"/>
        <v>7.9237948196198005E-6</v>
      </c>
      <c r="Q96" s="93">
        <f t="shared" si="166"/>
        <v>1.1093615456952977E-2</v>
      </c>
      <c r="R96" s="93">
        <f t="shared" si="167"/>
        <v>-6.7004211057779539E-3</v>
      </c>
      <c r="S96" s="93">
        <f t="shared" si="168"/>
        <v>1.385051058573139E-2</v>
      </c>
      <c r="T96" s="93">
        <f t="shared" si="169"/>
        <v>2.4211311796367596E-2</v>
      </c>
      <c r="U96" s="93">
        <f t="shared" si="170"/>
        <v>1.972731617221668E-2</v>
      </c>
      <c r="V96" s="93">
        <f t="shared" si="171"/>
        <v>3.1729205864770238E-2</v>
      </c>
      <c r="W96" s="93">
        <f t="shared" si="172"/>
        <v>1.3344342833199629E-2</v>
      </c>
      <c r="X96" s="93">
        <f t="shared" si="173"/>
        <v>-1.5573625142969449E-2</v>
      </c>
      <c r="Y96" s="93">
        <f t="shared" si="174"/>
        <v>5.3039873870162735E-2</v>
      </c>
      <c r="Z96" s="93">
        <f t="shared" si="175"/>
        <v>-2.7412345704713292E-2</v>
      </c>
      <c r="AA96" s="93">
        <f t="shared" si="176"/>
        <v>-3.5144273685180139E-2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9.8707324392350859E-3</v>
      </c>
      <c r="F97" s="89">
        <f t="shared" ref="F97:F106" si="178">IF(E23=0,"",F23/E23-1)</f>
        <v>3.0745022141926981E-3</v>
      </c>
      <c r="G97" s="89">
        <f t="shared" ref="G97:G106" si="179">IF(F23=0,"",G23/F23-1)</f>
        <v>4.505239725964838E-3</v>
      </c>
      <c r="H97" s="89">
        <f t="shared" ref="H97:H106" si="180">IF(G23=0,"",H23/G23-1)</f>
        <v>2.087730755499706E-2</v>
      </c>
      <c r="I97" s="89">
        <f t="shared" ref="I97:I106" si="181">IF(H23=0,"",I23/H23-1)</f>
        <v>1.6504382481113744E-2</v>
      </c>
      <c r="J97" s="89">
        <f t="shared" ref="J97:J106" si="182">IF(I23=0,"",J23/I23-1)</f>
        <v>3.7455187828063563E-2</v>
      </c>
      <c r="K97" s="89">
        <f t="shared" ref="K97:K106" si="183">IF(J23=0,"",K23/J23-1)</f>
        <v>6.0494082119970649E-3</v>
      </c>
      <c r="L97" s="89">
        <f t="shared" ref="L97:L106" si="184">IF(K23=0,"",L23/K23-1)</f>
        <v>1.7901944060820796E-3</v>
      </c>
      <c r="M97" s="89">
        <f t="shared" ref="M97:M106" si="185">IF(L23=0,"",M23/L23-1)</f>
        <v>-4.5535975456882705E-2</v>
      </c>
      <c r="N97" s="89">
        <f t="shared" ref="N97:N106" si="186">IF(M23=0,"",N23/M23-1)</f>
        <v>1.5151810468314375E-2</v>
      </c>
      <c r="O97" s="89">
        <f t="shared" ref="O97:O106" si="187">IF(N23=0,"",O23/N23-1)</f>
        <v>1.454521400615949E-2</v>
      </c>
      <c r="P97" s="89">
        <f t="shared" ref="P97:P106" si="188">IF(O23=0,"",P23/O23-1)</f>
        <v>-1.6535236323500513E-5</v>
      </c>
      <c r="Q97" s="89">
        <f t="shared" ref="Q97:Q106" si="189">IF(P23=0,"",Q23/P23-1)</f>
        <v>1.440503374734714E-2</v>
      </c>
      <c r="R97" s="89">
        <f t="shared" ref="R97:R106" si="190">IF(Q23=0,"",R23/Q23-1)</f>
        <v>1.131416174430222E-2</v>
      </c>
      <c r="S97" s="89">
        <f t="shared" ref="S97:S106" si="191">IF(R23=0,"",S23/R23-1)</f>
        <v>1.9538961166333468E-2</v>
      </c>
      <c r="T97" s="89">
        <f t="shared" ref="T97:T106" si="192">IF(S23=0,"",T23/S23-1)</f>
        <v>2.9803120543015149E-2</v>
      </c>
      <c r="U97" s="89">
        <f t="shared" ref="U97:U106" si="193">IF(T23=0,"",U23/T23-1)</f>
        <v>3.2119645880894332E-2</v>
      </c>
      <c r="V97" s="89">
        <f t="shared" ref="V97:V106" si="194">IF(U23=0,"",V23/U23-1)</f>
        <v>1.5616268987164839E-2</v>
      </c>
      <c r="W97" s="89">
        <f t="shared" ref="W97:W106" si="195">IF(V23=0,"",W23/V23-1)</f>
        <v>1.6821372583620153E-2</v>
      </c>
      <c r="X97" s="89">
        <f t="shared" ref="X97:X106" si="196">IF(W23=0,"",X23/W23-1)</f>
        <v>-2.3686278851800746E-2</v>
      </c>
      <c r="Y97" s="89">
        <f t="shared" ref="Y97:Y106" si="197">IF(X23=0,"",Y23/X23-1)</f>
        <v>6.7932786455965122E-2</v>
      </c>
      <c r="Z97" s="89">
        <f t="shared" ref="Z97:Z108" si="198">IF(Y23=0,"",Z23/Y23-1)</f>
        <v>1.3708950902291184E-2</v>
      </c>
      <c r="AA97" s="89">
        <f t="shared" ref="AA97:AA108" si="199">IF(Z23=0,"",AA23/Z23-1)</f>
        <v>1.4426423738069127E-2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8.5361159222794969E-2</v>
      </c>
      <c r="F98" s="83">
        <f t="shared" si="178"/>
        <v>-0.23620201912105254</v>
      </c>
      <c r="G98" s="83">
        <f t="shared" si="179"/>
        <v>-9.2822772365420692E-2</v>
      </c>
      <c r="H98" s="83">
        <f t="shared" si="180"/>
        <v>3.0424484294081955E-2</v>
      </c>
      <c r="I98" s="83">
        <f t="shared" si="181"/>
        <v>-0.27383015594552929</v>
      </c>
      <c r="J98" s="83">
        <f t="shared" si="182"/>
        <v>5.2899179738082891E-2</v>
      </c>
      <c r="K98" s="83">
        <f t="shared" si="183"/>
        <v>2.7661466011375202E-2</v>
      </c>
      <c r="L98" s="83">
        <f t="shared" si="184"/>
        <v>-0.28794037247739657</v>
      </c>
      <c r="M98" s="83">
        <f t="shared" si="185"/>
        <v>-8.9251131005499751E-2</v>
      </c>
      <c r="N98" s="83">
        <f t="shared" si="186"/>
        <v>0.49448592828528204</v>
      </c>
      <c r="O98" s="83">
        <f t="shared" si="187"/>
        <v>8.3450487123512884E-2</v>
      </c>
      <c r="P98" s="83">
        <f t="shared" si="188"/>
        <v>0.27450111771017949</v>
      </c>
      <c r="Q98" s="83">
        <f t="shared" si="189"/>
        <v>-0.21397614466965054</v>
      </c>
      <c r="R98" s="83">
        <f t="shared" si="190"/>
        <v>8.6850108564776374E-2</v>
      </c>
      <c r="S98" s="83">
        <f t="shared" si="191"/>
        <v>-0.31570938473520249</v>
      </c>
      <c r="T98" s="83">
        <f t="shared" si="192"/>
        <v>5.3005103051424474E-2</v>
      </c>
      <c r="U98" s="83">
        <f t="shared" si="193"/>
        <v>0.39668991502820261</v>
      </c>
      <c r="V98" s="83">
        <f t="shared" si="194"/>
        <v>-0.1942207710569841</v>
      </c>
      <c r="W98" s="83">
        <f t="shared" si="195"/>
        <v>0.2613687987439437</v>
      </c>
      <c r="X98" s="83">
        <f t="shared" si="196"/>
        <v>5.3955126958816546E-2</v>
      </c>
      <c r="Y98" s="83">
        <f t="shared" si="197"/>
        <v>-0.13917357679691533</v>
      </c>
      <c r="Z98" s="83">
        <f t="shared" si="198"/>
        <v>-7.0659402884728051E-2</v>
      </c>
      <c r="AA98" s="83">
        <f t="shared" si="199"/>
        <v>4.4963168661985575E-2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-0.15310438735267595</v>
      </c>
      <c r="F99" s="83">
        <f t="shared" si="178"/>
        <v>-2.8170102609590075E-2</v>
      </c>
      <c r="G99" s="83">
        <f t="shared" si="179"/>
        <v>-2.7393739577955323E-2</v>
      </c>
      <c r="H99" s="83">
        <f t="shared" si="180"/>
        <v>0.25399497891083178</v>
      </c>
      <c r="I99" s="83">
        <f t="shared" si="181"/>
        <v>0.36057748826271907</v>
      </c>
      <c r="J99" s="83">
        <f t="shared" si="182"/>
        <v>0.10164493426672538</v>
      </c>
      <c r="K99" s="83">
        <f t="shared" si="183"/>
        <v>-3.6434715651944116E-2</v>
      </c>
      <c r="L99" s="83">
        <f t="shared" si="184"/>
        <v>8.1617087922485121E-2</v>
      </c>
      <c r="M99" s="83">
        <f t="shared" si="185"/>
        <v>-0.38418252309575707</v>
      </c>
      <c r="N99" s="83">
        <f t="shared" si="186"/>
        <v>8.1528277730557486E-2</v>
      </c>
      <c r="O99" s="83">
        <f t="shared" si="187"/>
        <v>0.13839178111347805</v>
      </c>
      <c r="P99" s="83">
        <f t="shared" si="188"/>
        <v>-1.9739274280520691E-2</v>
      </c>
      <c r="Q99" s="83">
        <f t="shared" si="189"/>
        <v>-0.18227554892717113</v>
      </c>
      <c r="R99" s="83">
        <f t="shared" si="190"/>
        <v>-0.2070779531836171</v>
      </c>
      <c r="S99" s="83">
        <f t="shared" si="191"/>
        <v>-0.47203588538121155</v>
      </c>
      <c r="T99" s="83">
        <f t="shared" si="192"/>
        <v>-0.1083797552957102</v>
      </c>
      <c r="U99" s="83">
        <f t="shared" si="193"/>
        <v>8.9448289320051222E-2</v>
      </c>
      <c r="V99" s="83">
        <f t="shared" si="194"/>
        <v>0.18411342214587556</v>
      </c>
      <c r="W99" s="83">
        <f t="shared" si="195"/>
        <v>-0.2456080752919656</v>
      </c>
      <c r="X99" s="83">
        <f t="shared" si="196"/>
        <v>-0.59111798727429854</v>
      </c>
      <c r="Y99" s="83">
        <f t="shared" si="197"/>
        <v>0.46231505116113469</v>
      </c>
      <c r="Z99" s="83">
        <f t="shared" si="198"/>
        <v>0.90966707340910613</v>
      </c>
      <c r="AA99" s="83">
        <f t="shared" si="199"/>
        <v>-0.33381405299936207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2.0325850524037348E-2</v>
      </c>
      <c r="F100" s="83">
        <f t="shared" si="178"/>
        <v>1.507010623134275E-2</v>
      </c>
      <c r="G100" s="83">
        <f t="shared" si="179"/>
        <v>1.5466760870333385E-2</v>
      </c>
      <c r="H100" s="83">
        <f t="shared" si="180"/>
        <v>1.9672553497946055E-2</v>
      </c>
      <c r="I100" s="83">
        <f t="shared" si="181"/>
        <v>2.0619779039946939E-2</v>
      </c>
      <c r="J100" s="83">
        <f t="shared" si="182"/>
        <v>2.7355642418231074E-2</v>
      </c>
      <c r="K100" s="83">
        <f t="shared" si="183"/>
        <v>1.5337849998026121E-2</v>
      </c>
      <c r="L100" s="83">
        <f t="shared" si="184"/>
        <v>4.2598138922134154E-3</v>
      </c>
      <c r="M100" s="83">
        <f t="shared" si="185"/>
        <v>-2.0315791222887958E-3</v>
      </c>
      <c r="N100" s="83">
        <f t="shared" si="186"/>
        <v>1.6705439896317564E-2</v>
      </c>
      <c r="O100" s="83">
        <f t="shared" si="187"/>
        <v>6.6006311766535486E-3</v>
      </c>
      <c r="P100" s="83">
        <f t="shared" si="188"/>
        <v>-4.132985829825464E-3</v>
      </c>
      <c r="Q100" s="83">
        <f t="shared" si="189"/>
        <v>2.1728774453398048E-2</v>
      </c>
      <c r="R100" s="83">
        <f t="shared" si="190"/>
        <v>1.4491234703277733E-2</v>
      </c>
      <c r="S100" s="83">
        <f t="shared" si="191"/>
        <v>2.5816057498828648E-2</v>
      </c>
      <c r="T100" s="83">
        <f t="shared" si="192"/>
        <v>1.9110422258529658E-2</v>
      </c>
      <c r="U100" s="83">
        <f t="shared" si="193"/>
        <v>2.3652662269750602E-2</v>
      </c>
      <c r="V100" s="83">
        <f t="shared" si="194"/>
        <v>1.6717247687987769E-2</v>
      </c>
      <c r="W100" s="83">
        <f t="shared" si="195"/>
        <v>1.2777929086116524E-2</v>
      </c>
      <c r="X100" s="83">
        <f t="shared" si="196"/>
        <v>-9.293881512545954E-3</v>
      </c>
      <c r="Y100" s="83">
        <f t="shared" si="197"/>
        <v>7.5882937468219946E-2</v>
      </c>
      <c r="Z100" s="83">
        <f t="shared" si="198"/>
        <v>-1.6452306219617574E-3</v>
      </c>
      <c r="AA100" s="83">
        <f t="shared" si="199"/>
        <v>-2.713366724302757E-2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2.667016150997914E-2</v>
      </c>
      <c r="F101" s="84">
        <f t="shared" si="178"/>
        <v>1.1577344647580423E-2</v>
      </c>
      <c r="G101" s="84">
        <f t="shared" si="179"/>
        <v>9.3924150128064099E-3</v>
      </c>
      <c r="H101" s="84">
        <f t="shared" si="180"/>
        <v>2.3672879640846967E-2</v>
      </c>
      <c r="I101" s="84">
        <f t="shared" si="181"/>
        <v>4.2956145193875361E-3</v>
      </c>
      <c r="J101" s="84">
        <f t="shared" si="182"/>
        <v>-1.5053834527810617E-3</v>
      </c>
      <c r="K101" s="84">
        <f t="shared" si="183"/>
        <v>9.7607964344763598E-3</v>
      </c>
      <c r="L101" s="84">
        <f t="shared" si="184"/>
        <v>-5.6478157387186423E-3</v>
      </c>
      <c r="M101" s="84">
        <f t="shared" si="185"/>
        <v>3.4734506186748781E-3</v>
      </c>
      <c r="N101" s="84">
        <f t="shared" si="186"/>
        <v>3.5846216782045692E-2</v>
      </c>
      <c r="O101" s="84">
        <f t="shared" si="187"/>
        <v>-2.4063458937837567E-2</v>
      </c>
      <c r="P101" s="84">
        <f t="shared" si="188"/>
        <v>-7.3483632207456129E-3</v>
      </c>
      <c r="Q101" s="84">
        <f t="shared" si="189"/>
        <v>2.7349185117671926E-2</v>
      </c>
      <c r="R101" s="84">
        <f t="shared" si="190"/>
        <v>1.8323389605357621E-2</v>
      </c>
      <c r="S101" s="84">
        <f t="shared" si="191"/>
        <v>4.7208809767775861E-3</v>
      </c>
      <c r="T101" s="84">
        <f t="shared" si="192"/>
        <v>-9.0181484100895215E-3</v>
      </c>
      <c r="U101" s="84">
        <f t="shared" si="193"/>
        <v>1.8624968850978529E-2</v>
      </c>
      <c r="V101" s="84">
        <f t="shared" si="194"/>
        <v>2.1790133624539632E-3</v>
      </c>
      <c r="W101" s="84">
        <f t="shared" si="195"/>
        <v>2.5324590960803306E-2</v>
      </c>
      <c r="X101" s="84">
        <f t="shared" si="196"/>
        <v>-4.323436083303922E-2</v>
      </c>
      <c r="Y101" s="84">
        <f t="shared" si="197"/>
        <v>0.1438033334299329</v>
      </c>
      <c r="Z101" s="84">
        <f t="shared" si="198"/>
        <v>0.13091261930683351</v>
      </c>
      <c r="AA101" s="84">
        <f t="shared" si="199"/>
        <v>-0.17132984253489114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3.1509489010551617E-2</v>
      </c>
      <c r="F102" s="84">
        <f t="shared" si="178"/>
        <v>1.3244645976028036E-2</v>
      </c>
      <c r="G102" s="84">
        <f t="shared" si="179"/>
        <v>2.875106226073143E-2</v>
      </c>
      <c r="H102" s="84">
        <f t="shared" si="180"/>
        <v>2.216697264148948E-2</v>
      </c>
      <c r="I102" s="84">
        <f t="shared" si="181"/>
        <v>4.2152164404837933E-2</v>
      </c>
      <c r="J102" s="84">
        <f t="shared" si="182"/>
        <v>2.6888193053498766E-2</v>
      </c>
      <c r="K102" s="84">
        <f t="shared" si="183"/>
        <v>1.7774347932537182E-2</v>
      </c>
      <c r="L102" s="84">
        <f t="shared" si="184"/>
        <v>2.2740475237104762E-2</v>
      </c>
      <c r="M102" s="84">
        <f t="shared" si="185"/>
        <v>1.9457619099382928E-2</v>
      </c>
      <c r="N102" s="84">
        <f t="shared" si="186"/>
        <v>1.4152993203904174E-3</v>
      </c>
      <c r="O102" s="84">
        <f t="shared" si="187"/>
        <v>1.479895306600576E-2</v>
      </c>
      <c r="P102" s="84">
        <f t="shared" si="188"/>
        <v>-3.4085738565333701E-3</v>
      </c>
      <c r="Q102" s="84">
        <f t="shared" si="189"/>
        <v>2.0935144374473191E-2</v>
      </c>
      <c r="R102" s="84">
        <f t="shared" si="190"/>
        <v>8.6213104239636351E-3</v>
      </c>
      <c r="S102" s="84">
        <f t="shared" si="191"/>
        <v>3.976958931326191E-2</v>
      </c>
      <c r="T102" s="84">
        <f t="shared" si="192"/>
        <v>5.2985122594113365E-2</v>
      </c>
      <c r="U102" s="84">
        <f t="shared" si="193"/>
        <v>2.4090913853174856E-2</v>
      </c>
      <c r="V102" s="84">
        <f t="shared" si="194"/>
        <v>2.6709213690028433E-2</v>
      </c>
      <c r="W102" s="84">
        <f t="shared" si="195"/>
        <v>1.6708645711331904E-2</v>
      </c>
      <c r="X102" s="84">
        <f t="shared" si="196"/>
        <v>-1.4875723890923287E-2</v>
      </c>
      <c r="Y102" s="84">
        <f t="shared" si="197"/>
        <v>4.2477767732381988E-2</v>
      </c>
      <c r="Z102" s="84">
        <f t="shared" si="198"/>
        <v>-7.7813801060864773E-2</v>
      </c>
      <c r="AA102" s="84">
        <f t="shared" si="199"/>
        <v>0.10729694877683427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-1.7120437309308012E-2</v>
      </c>
      <c r="F103" s="84">
        <f t="shared" si="178"/>
        <v>2.7511866305883981E-2</v>
      </c>
      <c r="G103" s="84">
        <f t="shared" si="179"/>
        <v>2.4820992749565729E-3</v>
      </c>
      <c r="H103" s="84">
        <f t="shared" si="180"/>
        <v>4.5924463737916366E-3</v>
      </c>
      <c r="I103" s="84">
        <f t="shared" si="181"/>
        <v>1.4294437736380949E-2</v>
      </c>
      <c r="J103" s="84">
        <f t="shared" si="182"/>
        <v>9.9343688754110149E-2</v>
      </c>
      <c r="K103" s="84">
        <f t="shared" si="183"/>
        <v>2.270111573842315E-2</v>
      </c>
      <c r="L103" s="84">
        <f t="shared" si="184"/>
        <v>-1.2306844813578466E-2</v>
      </c>
      <c r="M103" s="84">
        <f t="shared" si="185"/>
        <v>-6.0491912449023966E-2</v>
      </c>
      <c r="N103" s="84">
        <f t="shared" si="186"/>
        <v>7.0395483477061482E-3</v>
      </c>
      <c r="O103" s="84">
        <f t="shared" si="187"/>
        <v>6.2326151119425077E-2</v>
      </c>
      <c r="P103" s="84">
        <f t="shared" si="188"/>
        <v>1.4620788863566325E-3</v>
      </c>
      <c r="Q103" s="84">
        <f t="shared" si="189"/>
        <v>1.1002558227942494E-2</v>
      </c>
      <c r="R103" s="84">
        <f t="shared" si="190"/>
        <v>1.8930086399772117E-2</v>
      </c>
      <c r="S103" s="84">
        <f t="shared" si="191"/>
        <v>4.2590690176368406E-2</v>
      </c>
      <c r="T103" s="84">
        <f t="shared" si="192"/>
        <v>5.6859331512799649E-3</v>
      </c>
      <c r="U103" s="84">
        <f t="shared" si="193"/>
        <v>3.3407308048596596E-2</v>
      </c>
      <c r="V103" s="84">
        <f t="shared" si="194"/>
        <v>2.4584561305477148E-2</v>
      </c>
      <c r="W103" s="84">
        <f t="shared" si="195"/>
        <v>-2.2114798895822796E-2</v>
      </c>
      <c r="X103" s="84">
        <f t="shared" si="196"/>
        <v>7.7444462516585544E-2</v>
      </c>
      <c r="Y103" s="84">
        <f t="shared" si="197"/>
        <v>1.799822298500553E-2</v>
      </c>
      <c r="Z103" s="84">
        <f t="shared" si="198"/>
        <v>-0.11825209591188879</v>
      </c>
      <c r="AA103" s="84">
        <f t="shared" si="199"/>
        <v>5.9100460448652026E-2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5.1936431142149742E-2</v>
      </c>
      <c r="F104" s="83">
        <f t="shared" si="178"/>
        <v>-2.3985177670738822E-2</v>
      </c>
      <c r="G104" s="83">
        <f t="shared" si="179"/>
        <v>1.3319869190525191E-2</v>
      </c>
      <c r="H104" s="83">
        <f t="shared" si="180"/>
        <v>3.6040312211589765E-2</v>
      </c>
      <c r="I104" s="83">
        <f t="shared" si="181"/>
        <v>-4.9215430652333692E-2</v>
      </c>
      <c r="J104" s="83">
        <f t="shared" si="182"/>
        <v>8.6782036877747215E-2</v>
      </c>
      <c r="K104" s="83">
        <f t="shared" si="183"/>
        <v>-0.18024464422119535</v>
      </c>
      <c r="L104" s="83">
        <f t="shared" si="184"/>
        <v>5.681209234996909E-2</v>
      </c>
      <c r="M104" s="83">
        <f t="shared" si="185"/>
        <v>-0.16041183514130664</v>
      </c>
      <c r="N104" s="83">
        <f t="shared" si="186"/>
        <v>6.8037134693465173E-2</v>
      </c>
      <c r="O104" s="83">
        <f t="shared" si="187"/>
        <v>-0.14531959514552928</v>
      </c>
      <c r="P104" s="83">
        <f t="shared" si="188"/>
        <v>-0.18796767697181249</v>
      </c>
      <c r="Q104" s="83">
        <f t="shared" si="189"/>
        <v>0.16963734308402123</v>
      </c>
      <c r="R104" s="83">
        <f t="shared" si="190"/>
        <v>6.2778735762369919E-4</v>
      </c>
      <c r="S104" s="83">
        <f t="shared" si="191"/>
        <v>0.26826320672658777</v>
      </c>
      <c r="T104" s="83">
        <f t="shared" si="192"/>
        <v>-0.1096702760616195</v>
      </c>
      <c r="U104" s="83">
        <f t="shared" si="193"/>
        <v>2.6336637425082632E-2</v>
      </c>
      <c r="V104" s="83">
        <f t="shared" si="194"/>
        <v>-8.9614667083096733E-2</v>
      </c>
      <c r="W104" s="83">
        <f t="shared" si="195"/>
        <v>0.13028114189079587</v>
      </c>
      <c r="X104" s="83">
        <f t="shared" si="196"/>
        <v>-8.9627247597399484E-2</v>
      </c>
      <c r="Y104" s="83">
        <f t="shared" si="197"/>
        <v>0.10143691137615285</v>
      </c>
      <c r="Z104" s="83">
        <f t="shared" si="198"/>
        <v>1.0228477921735637</v>
      </c>
      <c r="AA104" s="83">
        <f t="shared" si="199"/>
        <v>-0.30932865150428102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-5.3974593088561562E-2</v>
      </c>
      <c r="F105" s="83">
        <f t="shared" si="178"/>
        <v>9.6652023061611914E-3</v>
      </c>
      <c r="G105" s="83">
        <f t="shared" si="179"/>
        <v>4.7278295264159498E-2</v>
      </c>
      <c r="H105" s="83">
        <f t="shared" si="180"/>
        <v>2.6362923102820179E-2</v>
      </c>
      <c r="I105" s="83">
        <f t="shared" si="181"/>
        <v>2.2486582639706487E-2</v>
      </c>
      <c r="J105" s="83">
        <f t="shared" si="182"/>
        <v>0.11320834219215681</v>
      </c>
      <c r="K105" s="83">
        <f t="shared" si="183"/>
        <v>-4.7144375681997808E-3</v>
      </c>
      <c r="L105" s="83">
        <f t="shared" si="184"/>
        <v>5.1458829591505051E-2</v>
      </c>
      <c r="M105" s="83">
        <f t="shared" si="185"/>
        <v>-0.1865153024958458</v>
      </c>
      <c r="N105" s="83">
        <f t="shared" si="186"/>
        <v>-0.12183618811292984</v>
      </c>
      <c r="O105" s="83">
        <f t="shared" si="187"/>
        <v>6.3320373179278189E-2</v>
      </c>
      <c r="P105" s="83">
        <f t="shared" si="188"/>
        <v>-1.4751962511283301E-2</v>
      </c>
      <c r="Q105" s="83">
        <f t="shared" si="189"/>
        <v>2.3301259365915428E-3</v>
      </c>
      <c r="R105" s="83">
        <f t="shared" si="190"/>
        <v>2.4688104373113084E-2</v>
      </c>
      <c r="S105" s="83">
        <f t="shared" si="191"/>
        <v>0.10431577717069862</v>
      </c>
      <c r="T105" s="83">
        <f t="shared" si="192"/>
        <v>0.12967424346298295</v>
      </c>
      <c r="U105" s="83">
        <f t="shared" si="193"/>
        <v>5.6447016194820288E-2</v>
      </c>
      <c r="V105" s="83">
        <f t="shared" si="194"/>
        <v>2.5122816068624987E-2</v>
      </c>
      <c r="W105" s="83">
        <f t="shared" si="195"/>
        <v>-1.8035014863483689E-2</v>
      </c>
      <c r="X105" s="83">
        <f t="shared" si="196"/>
        <v>-3.6860569781962726E-2</v>
      </c>
      <c r="Y105" s="83">
        <f t="shared" si="197"/>
        <v>5.6918210604752995E-2</v>
      </c>
      <c r="Z105" s="83">
        <f t="shared" si="198"/>
        <v>-4.518003944995197E-2</v>
      </c>
      <c r="AA105" s="83">
        <f t="shared" si="199"/>
        <v>9.2861950128467985E-2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-8.1128156835130749E-4</v>
      </c>
      <c r="F106" s="83">
        <f t="shared" si="178"/>
        <v>-4.5385303394746002E-3</v>
      </c>
      <c r="G106" s="83">
        <f t="shared" si="179"/>
        <v>-4.3497829118498865E-2</v>
      </c>
      <c r="H106" s="83">
        <f t="shared" si="180"/>
        <v>-1.5014030723850547E-2</v>
      </c>
      <c r="I106" s="83">
        <f t="shared" si="181"/>
        <v>-2.9283891837948217E-2</v>
      </c>
      <c r="J106" s="83">
        <f t="shared" si="182"/>
        <v>3.5333288858181877E-2</v>
      </c>
      <c r="K106" s="83">
        <f t="shared" si="183"/>
        <v>-1.8464606024355401E-3</v>
      </c>
      <c r="L106" s="83">
        <f t="shared" si="184"/>
        <v>-3.260309779976267E-2</v>
      </c>
      <c r="M106" s="83">
        <f t="shared" si="185"/>
        <v>-9.6629256137880315E-2</v>
      </c>
      <c r="N106" s="83">
        <f t="shared" si="186"/>
        <v>5.5790415697105633E-3</v>
      </c>
      <c r="O106" s="83">
        <f t="shared" si="187"/>
        <v>2.9276546663247638E-2</v>
      </c>
      <c r="P106" s="83">
        <f t="shared" si="188"/>
        <v>2.2935501495529698E-2</v>
      </c>
      <c r="Q106" s="83">
        <f t="shared" si="189"/>
        <v>4.51791673843569E-2</v>
      </c>
      <c r="R106" s="83">
        <f t="shared" si="190"/>
        <v>2.3835113254815132E-2</v>
      </c>
      <c r="S106" s="83">
        <f t="shared" si="191"/>
        <v>4.5732875333930112E-2</v>
      </c>
      <c r="T106" s="83">
        <f t="shared" si="192"/>
        <v>7.7652165989944733E-2</v>
      </c>
      <c r="U106" s="83">
        <f t="shared" si="193"/>
        <v>3.7765091200329337E-2</v>
      </c>
      <c r="V106" s="83">
        <f t="shared" si="194"/>
        <v>2.5189945952018622E-2</v>
      </c>
      <c r="W106" s="83">
        <f t="shared" si="195"/>
        <v>4.3483308578681878E-2</v>
      </c>
      <c r="X106" s="83">
        <f t="shared" si="196"/>
        <v>-6.189163342703341E-2</v>
      </c>
      <c r="Y106" s="83">
        <f t="shared" si="197"/>
        <v>3.9367724868798692E-2</v>
      </c>
      <c r="Z106" s="83">
        <f t="shared" si="198"/>
        <v>9.7736846356668572E-3</v>
      </c>
      <c r="AA106" s="83">
        <f t="shared" si="199"/>
        <v>0.28999829436119762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-9.2893618869413497E-2</v>
      </c>
      <c r="F107" s="87">
        <f t="shared" ref="F107:F108" si="201">IF(E33=0,"",F33/E33-1)</f>
        <v>-0.15669787336763452</v>
      </c>
      <c r="G107" s="87">
        <f t="shared" ref="G107:G108" si="202">IF(F33=0,"",G33/F33-1)</f>
        <v>-0.15229673456820736</v>
      </c>
      <c r="H107" s="87">
        <f t="shared" ref="H107:H108" si="203">IF(G33=0,"",H33/G33-1)</f>
        <v>2.8677443060402652E-2</v>
      </c>
      <c r="I107" s="87">
        <f t="shared" ref="I107:I108" si="204">IF(H33=0,"",I33/H33-1)</f>
        <v>-8.3486754622121073E-2</v>
      </c>
      <c r="J107" s="87">
        <f t="shared" ref="J107:J108" si="205">IF(I33=0,"",J33/I33-1)</f>
        <v>0.14333920175186821</v>
      </c>
      <c r="K107" s="87">
        <f t="shared" ref="K107:K108" si="206">IF(J33=0,"",K33/J33-1)</f>
        <v>0.14030218009384465</v>
      </c>
      <c r="L107" s="87">
        <f t="shared" ref="L107:L108" si="207">IF(K33=0,"",L33/K33-1)</f>
        <v>-0.10598186127041076</v>
      </c>
      <c r="M107" s="87">
        <f t="shared" ref="M107:M108" si="208">IF(L33=0,"",M33/L33-1)</f>
        <v>-0.45041360405598807</v>
      </c>
      <c r="N107" s="87">
        <f t="shared" ref="N107:N108" si="209">IF(M33=0,"",N33/M33-1)</f>
        <v>-8.1562914823114063E-2</v>
      </c>
      <c r="O107" s="87">
        <f t="shared" ref="O107:O108" si="210">IF(N33=0,"",O33/N33-1)</f>
        <v>0.23262713759952236</v>
      </c>
      <c r="P107" s="87">
        <f t="shared" ref="P107:P108" si="211">IF(O33=0,"",P33/O33-1)</f>
        <v>-2.3028103896150176E-2</v>
      </c>
      <c r="Q107" s="87">
        <f t="shared" ref="Q107:Q108" si="212">IF(P33=0,"",Q33/P33-1)</f>
        <v>1.9616188232237208E-2</v>
      </c>
      <c r="R107" s="87">
        <f t="shared" ref="R107:R108" si="213">IF(Q33=0,"",R33/Q33-1)</f>
        <v>6.9131157701287194E-2</v>
      </c>
      <c r="S107" s="87">
        <f t="shared" ref="S107:S108" si="214">IF(R33=0,"",S33/R33-1)</f>
        <v>0.2200704255319148</v>
      </c>
      <c r="T107" s="87">
        <f t="shared" ref="T107:T108" si="215">IF(S33=0,"",T33/S33-1)</f>
        <v>-1.3607718470615593E-2</v>
      </c>
      <c r="U107" s="87">
        <f t="shared" ref="U107:U108" si="216">IF(T33=0,"",U33/T33-1)</f>
        <v>8.5724717008208717E-3</v>
      </c>
      <c r="V107" s="87">
        <f t="shared" ref="V107:V108" si="217">IF(U33=0,"",V33/U33-1)</f>
        <v>-5.4707973047196545E-2</v>
      </c>
      <c r="W107" s="87">
        <f t="shared" ref="W107:W108" si="218">IF(V33=0,"",W33/V33-1)</f>
        <v>0.15969075079262551</v>
      </c>
      <c r="X107" s="87">
        <f t="shared" ref="X107:X108" si="219">IF(W33=0,"",X33/W33-1)</f>
        <v>-0.18113264798724893</v>
      </c>
      <c r="Y107" s="87">
        <f t="shared" ref="Y107:Y108" si="220">IF(X33=0,"",Y33/X33-1)</f>
        <v>1.2649628246903299E-2</v>
      </c>
      <c r="Z107" s="87">
        <f t="shared" si="198"/>
        <v>0.31762791861557926</v>
      </c>
      <c r="AA107" s="87">
        <f t="shared" si="199"/>
        <v>6.9482648431335114E-2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-9.2893618869413497E-2</v>
      </c>
      <c r="F108" s="89">
        <f t="shared" si="201"/>
        <v>-0.15669787336763452</v>
      </c>
      <c r="G108" s="89">
        <f t="shared" si="202"/>
        <v>-0.15229673456820736</v>
      </c>
      <c r="H108" s="89">
        <f t="shared" si="203"/>
        <v>2.8677443060402652E-2</v>
      </c>
      <c r="I108" s="89">
        <f t="shared" si="204"/>
        <v>-8.3486754622121073E-2</v>
      </c>
      <c r="J108" s="89">
        <f t="shared" si="205"/>
        <v>0.14333920175186821</v>
      </c>
      <c r="K108" s="89">
        <f t="shared" si="206"/>
        <v>0.14030218009384465</v>
      </c>
      <c r="L108" s="89">
        <f t="shared" si="207"/>
        <v>-0.10598186127041076</v>
      </c>
      <c r="M108" s="89">
        <f t="shared" si="208"/>
        <v>-0.45041360405598807</v>
      </c>
      <c r="N108" s="89">
        <f t="shared" si="209"/>
        <v>-8.1562914823114063E-2</v>
      </c>
      <c r="O108" s="89">
        <f t="shared" si="210"/>
        <v>0.23262713759952236</v>
      </c>
      <c r="P108" s="89">
        <f t="shared" si="211"/>
        <v>-2.3028103896150176E-2</v>
      </c>
      <c r="Q108" s="89">
        <f t="shared" si="212"/>
        <v>1.9616188232237208E-2</v>
      </c>
      <c r="R108" s="89">
        <f t="shared" si="213"/>
        <v>6.9131157701287194E-2</v>
      </c>
      <c r="S108" s="89">
        <f t="shared" si="214"/>
        <v>0.2200704255319148</v>
      </c>
      <c r="T108" s="89">
        <f t="shared" si="215"/>
        <v>-1.3607718470615593E-2</v>
      </c>
      <c r="U108" s="89">
        <f t="shared" si="216"/>
        <v>8.5724717008208717E-3</v>
      </c>
      <c r="V108" s="89">
        <f t="shared" si="217"/>
        <v>-5.4707973047196545E-2</v>
      </c>
      <c r="W108" s="89">
        <f t="shared" si="218"/>
        <v>0.15969075079262551</v>
      </c>
      <c r="X108" s="89">
        <f t="shared" si="219"/>
        <v>-0.18113264798724882</v>
      </c>
      <c r="Y108" s="89">
        <f t="shared" si="220"/>
        <v>1.2649628246903299E-2</v>
      </c>
      <c r="Z108" s="89">
        <f t="shared" si="198"/>
        <v>0.31762791861557926</v>
      </c>
      <c r="AA108" s="89">
        <f t="shared" si="199"/>
        <v>6.9482648431335114E-2</v>
      </c>
    </row>
    <row r="109" spans="1:27" x14ac:dyDescent="0.25">
      <c r="A109" s="88" t="s">
        <v>263</v>
      </c>
      <c r="B109" s="44"/>
      <c r="C109" s="44"/>
      <c r="D109" s="89"/>
      <c r="E109" s="89" t="str">
        <f t="shared" ref="E109" si="221">IF(D37=0,"",E37/D37-1)</f>
        <v/>
      </c>
      <c r="F109" s="89" t="str">
        <f t="shared" ref="F109" si="222">IF(E37=0,"",F37/E37-1)</f>
        <v/>
      </c>
      <c r="G109" s="89" t="str">
        <f t="shared" ref="G109" si="223">IF(F37=0,"",G37/F37-1)</f>
        <v/>
      </c>
      <c r="H109" s="89" t="str">
        <f t="shared" ref="H109" si="224">IF(G37=0,"",H37/G37-1)</f>
        <v/>
      </c>
      <c r="I109" s="89" t="str">
        <f t="shared" ref="I109" si="225">IF(H37=0,"",I37/H37-1)</f>
        <v/>
      </c>
      <c r="J109" s="89" t="str">
        <f t="shared" ref="J109" si="226">IF(I37=0,"",J37/I37-1)</f>
        <v/>
      </c>
      <c r="K109" s="89" t="str">
        <f t="shared" ref="K109" si="227">IF(J37=0,"",K37/J37-1)</f>
        <v/>
      </c>
      <c r="L109" s="89" t="str">
        <f t="shared" ref="L109" si="228">IF(K37=0,"",L37/K37-1)</f>
        <v/>
      </c>
      <c r="M109" s="89" t="str">
        <f t="shared" ref="M109" si="229">IF(L37=0,"",M37/L37-1)</f>
        <v/>
      </c>
      <c r="N109" s="89" t="str">
        <f t="shared" ref="N109" si="230">IF(M37=0,"",N37/M37-1)</f>
        <v/>
      </c>
      <c r="O109" s="89" t="str">
        <f t="shared" ref="O109" si="231">IF(N37=0,"",O37/N37-1)</f>
        <v/>
      </c>
      <c r="P109" s="89" t="str">
        <f t="shared" ref="P109" si="232">IF(O37=0,"",P37/O37-1)</f>
        <v/>
      </c>
      <c r="Q109" s="89" t="str">
        <f t="shared" ref="Q109" si="233">IF(P37=0,"",Q37/P37-1)</f>
        <v/>
      </c>
      <c r="R109" s="89" t="str">
        <f t="shared" ref="R109" si="234">IF(Q37=0,"",R37/Q37-1)</f>
        <v/>
      </c>
      <c r="S109" s="89" t="str">
        <f t="shared" ref="S109" si="235">IF(R37=0,"",S37/R37-1)</f>
        <v/>
      </c>
      <c r="T109" s="89" t="str">
        <f t="shared" ref="T109" si="236">IF(S37=0,"",T37/S37-1)</f>
        <v/>
      </c>
      <c r="U109" s="89" t="str">
        <f t="shared" ref="U109" si="237">IF(T37=0,"",U37/T37-1)</f>
        <v/>
      </c>
      <c r="V109" s="89" t="str">
        <f t="shared" ref="V109" si="238">IF(U37=0,"",V37/U37-1)</f>
        <v/>
      </c>
      <c r="W109" s="89" t="str">
        <f t="shared" ref="W109" si="239">IF(V37=0,"",W37/V37-1)</f>
        <v/>
      </c>
      <c r="X109" s="89" t="str">
        <f t="shared" ref="X109" si="240">IF(W37=0,"",X37/W37-1)</f>
        <v/>
      </c>
      <c r="Y109" s="89" t="str">
        <f t="shared" ref="Y109" si="241">IF(X37=0,"",Y37/X37-1)</f>
        <v/>
      </c>
      <c r="Z109" s="89" t="str">
        <f t="shared" ref="Z109" si="242">IF(Y37=0,"",Z37/Y37-1)</f>
        <v/>
      </c>
      <c r="AA109" s="89" t="str">
        <f t="shared" ref="AA109" si="243">IF(Z37=0,"",AA37/Z37-1)</f>
        <v/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7.5685306990719514E-2</v>
      </c>
      <c r="F110" s="89">
        <f t="shared" ref="F110:F111" si="245">IF(E43=0,"",F43/E43-1)</f>
        <v>-0.10711287402141723</v>
      </c>
      <c r="G110" s="89">
        <f t="shared" ref="G110:G111" si="246">IF(F43=0,"",G43/F43-1)</f>
        <v>0.11091735172621631</v>
      </c>
      <c r="H110" s="89">
        <f t="shared" ref="H110:H111" si="247">IF(G43=0,"",H43/G43-1)</f>
        <v>-2.4237034710063443E-2</v>
      </c>
      <c r="I110" s="89">
        <f t="shared" ref="I110:I111" si="248">IF(H43=0,"",I43/H43-1)</f>
        <v>2.955004364452507E-2</v>
      </c>
      <c r="J110" s="89">
        <f t="shared" ref="J110:J111" si="249">IF(I43=0,"",J43/I43-1)</f>
        <v>-4.7838384062382278E-2</v>
      </c>
      <c r="K110" s="89">
        <f t="shared" ref="K110:K111" si="250">IF(J43=0,"",K43/J43-1)</f>
        <v>-6.9325570593758989E-2</v>
      </c>
      <c r="L110" s="89">
        <f t="shared" ref="L110:L111" si="251">IF(K43=0,"",L43/K43-1)</f>
        <v>7.6568852945599675E-2</v>
      </c>
      <c r="M110" s="89">
        <f t="shared" ref="M110:M111" si="252">IF(L43=0,"",M43/L43-1)</f>
        <v>9.887652378036127E-2</v>
      </c>
      <c r="N110" s="89">
        <f t="shared" ref="N110:N111" si="253">IF(M43=0,"",N43/M43-1)</f>
        <v>0.21771193914690823</v>
      </c>
      <c r="O110" s="89">
        <f t="shared" ref="O110:O111" si="254">IF(N43=0,"",O43/N43-1)</f>
        <v>4.1634679853478129E-2</v>
      </c>
      <c r="P110" s="89">
        <f t="shared" ref="P110:P111" si="255">IF(O43=0,"",P43/O43-1)</f>
        <v>0.19022372195339043</v>
      </c>
      <c r="Q110" s="89">
        <f t="shared" ref="Q110:Q111" si="256">IF(P43=0,"",Q43/P43-1)</f>
        <v>5.0989334133132891E-2</v>
      </c>
      <c r="R110" s="89">
        <f t="shared" ref="R110:R111" si="257">IF(Q43=0,"",R43/Q43-1)</f>
        <v>4.3761365232763305E-2</v>
      </c>
      <c r="S110" s="89">
        <f t="shared" ref="S110:S111" si="258">IF(R43=0,"",S43/R43-1)</f>
        <v>0.17049152904375897</v>
      </c>
      <c r="T110" s="89">
        <f t="shared" ref="T110:T111" si="259">IF(S43=0,"",T43/S43-1)</f>
        <v>8.7317808187348245E-2</v>
      </c>
      <c r="U110" s="89">
        <f t="shared" ref="U110:U111" si="260">IF(T43=0,"",U43/T43-1)</f>
        <v>7.5976985945585662E-2</v>
      </c>
      <c r="V110" s="89">
        <f t="shared" ref="V110:V111" si="261">IF(U43=0,"",V43/U43-1)</f>
        <v>9.9689820341941182E-2</v>
      </c>
      <c r="W110" s="89">
        <f t="shared" ref="W110:W111" si="262">IF(V43=0,"",W43/V43-1)</f>
        <v>2.2426416321655429E-2</v>
      </c>
      <c r="X110" s="89">
        <f t="shared" ref="X110:X111" si="263">IF(W43=0,"",X43/W43-1)</f>
        <v>1.7907526987492428E-2</v>
      </c>
      <c r="Y110" s="89">
        <f t="shared" ref="Y110:Y111" si="264">IF(X43=0,"",Y43/X43-1)</f>
        <v>-5.0623619816390075E-3</v>
      </c>
      <c r="Z110" s="89">
        <f t="shared" ref="Z110:Z111" si="265">IF(Y43=0,"",Z43/Y43-1)</f>
        <v>0.15513018520760169</v>
      </c>
      <c r="AA110" s="89">
        <f t="shared" ref="AA110:AA111" si="266">IF(Z43=0,"",AA43/Z43-1)</f>
        <v>0.45929821975918528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-7.0736277826630722E-3</v>
      </c>
      <c r="F111" s="89">
        <f t="shared" si="245"/>
        <v>-9.3273319536482102E-2</v>
      </c>
      <c r="G111" s="89">
        <f t="shared" si="246"/>
        <v>2.9165381922181322E-2</v>
      </c>
      <c r="H111" s="89">
        <f t="shared" si="247"/>
        <v>-2.8767708024530658E-2</v>
      </c>
      <c r="I111" s="89">
        <f t="shared" si="248"/>
        <v>2.1494903564309054E-2</v>
      </c>
      <c r="J111" s="89">
        <f t="shared" si="249"/>
        <v>-3.6639772183711283E-2</v>
      </c>
      <c r="K111" s="89">
        <f t="shared" si="250"/>
        <v>-5.9114214130808973E-2</v>
      </c>
      <c r="L111" s="89">
        <f t="shared" si="251"/>
        <v>8.7137990619443384E-2</v>
      </c>
      <c r="M111" s="89">
        <f t="shared" si="252"/>
        <v>6.923775949365063E-2</v>
      </c>
      <c r="N111" s="89">
        <f t="shared" si="253"/>
        <v>5.4659732584536602E-2</v>
      </c>
      <c r="O111" s="89">
        <f t="shared" si="254"/>
        <v>-3.3696993716158197E-2</v>
      </c>
      <c r="P111" s="89">
        <f t="shared" si="255"/>
        <v>0.20551122476956829</v>
      </c>
      <c r="Q111" s="89">
        <f t="shared" si="256"/>
        <v>-3.8911308604507977E-2</v>
      </c>
      <c r="R111" s="89">
        <f t="shared" si="257"/>
        <v>0.10175209716836275</v>
      </c>
      <c r="S111" s="89">
        <f t="shared" si="258"/>
        <v>0.13998355459674761</v>
      </c>
      <c r="T111" s="89">
        <f t="shared" si="259"/>
        <v>4.6958712896090882E-2</v>
      </c>
      <c r="U111" s="89">
        <f t="shared" si="260"/>
        <v>2.81551440387664E-2</v>
      </c>
      <c r="V111" s="89">
        <f t="shared" si="261"/>
        <v>-2.4096541412833017E-2</v>
      </c>
      <c r="W111" s="89">
        <f t="shared" si="262"/>
        <v>8.1716389878907059E-2</v>
      </c>
      <c r="X111" s="89">
        <f t="shared" si="263"/>
        <v>1.6858247782200131E-2</v>
      </c>
      <c r="Y111" s="89">
        <f t="shared" si="264"/>
        <v>5.7926803098204305E-2</v>
      </c>
      <c r="Z111" s="89">
        <f t="shared" si="265"/>
        <v>-7.9878723203985036E-2</v>
      </c>
      <c r="AA111" s="89">
        <f t="shared" si="266"/>
        <v>8.276359339449324E-2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0.12010198033681152</v>
      </c>
      <c r="F112" s="89">
        <f t="shared" ref="F112:F113" si="268">IF(E47=0,"",F47/E47-1)</f>
        <v>-0.11369722126816384</v>
      </c>
      <c r="G112" s="89">
        <f t="shared" ref="G112:G113" si="269">IF(F47=0,"",G47/F47-1)</f>
        <v>0.15070819350822018</v>
      </c>
      <c r="H112" s="89">
        <f t="shared" ref="H112:H113" si="270">IF(G47=0,"",H47/G47-1)</f>
        <v>-2.2264759057722627E-2</v>
      </c>
      <c r="I112" s="89">
        <f t="shared" ref="I112:I113" si="271">IF(H47=0,"",I47/H47-1)</f>
        <v>3.3033254835076686E-2</v>
      </c>
      <c r="J112" s="89">
        <f t="shared" ref="J112:J113" si="272">IF(I47=0,"",J47/I47-1)</f>
        <v>-5.2626810332008223E-2</v>
      </c>
      <c r="K112" s="89">
        <f t="shared" ref="K112:K113" si="273">IF(J47=0,"",K47/J47-1)</f>
        <v>-7.3765536865164849E-2</v>
      </c>
      <c r="L112" s="89">
        <f t="shared" ref="L112:L113" si="274">IF(K47=0,"",L47/K47-1)</f>
        <v>7.1900628155665114E-2</v>
      </c>
      <c r="M112" s="89">
        <f t="shared" ref="M112:M113" si="275">IF(L47=0,"",M47/L47-1)</f>
        <v>0.11215359991346019</v>
      </c>
      <c r="N112" s="89">
        <f t="shared" ref="N112:N113" si="276">IF(M47=0,"",N47/M47-1)</f>
        <v>0.28793480483626044</v>
      </c>
      <c r="O112" s="89">
        <f t="shared" ref="O112:O113" si="277">IF(N47=0,"",O47/N47-1)</f>
        <v>6.8202013441222675E-2</v>
      </c>
      <c r="P112" s="89">
        <f t="shared" ref="P112:P113" si="278">IF(O47=0,"",P47/O47-1)</f>
        <v>0.1853465637691063</v>
      </c>
      <c r="Q112" s="89">
        <f t="shared" ref="Q112:Q113" si="279">IF(P47=0,"",Q47/P47-1)</f>
        <v>8.0158163621660838E-2</v>
      </c>
      <c r="R112" s="89">
        <f t="shared" ref="R112:R113" si="280">IF(Q47=0,"",R47/Q47-1)</f>
        <v>2.7019998495443343E-2</v>
      </c>
      <c r="S112" s="89">
        <f t="shared" ref="S112:S113" si="281">IF(R47=0,"",S47/R47-1)</f>
        <v>0.17993976388358623</v>
      </c>
      <c r="T112" s="89">
        <f t="shared" ref="T112:T113" si="282">IF(S47=0,"",T47/S47-1)</f>
        <v>9.9393651710091291E-2</v>
      </c>
      <c r="U112" s="89">
        <f t="shared" ref="U112:U113" si="283">IF(T47=0,"",U47/T47-1)</f>
        <v>8.9603309110690699E-2</v>
      </c>
      <c r="V112" s="89">
        <f t="shared" ref="V112:V113" si="284">IF(U47=0,"",V47/U47-1)</f>
        <v>0.1329722806684015</v>
      </c>
      <c r="W112" s="89">
        <f t="shared" ref="W112:W113" si="285">IF(V47=0,"",W47/V47-1)</f>
        <v>8.6951227102214368E-3</v>
      </c>
      <c r="X112" s="89">
        <f t="shared" ref="X112:X113" si="286">IF(W47=0,"",X47/W47-1)</f>
        <v>1.8168127191992678E-2</v>
      </c>
      <c r="Y112" s="89">
        <f t="shared" ref="Y112:Y113" si="287">IF(X47=0,"",Y47/X47-1)</f>
        <v>-2.0686298142884252E-2</v>
      </c>
      <c r="Z112" s="89">
        <f t="shared" ref="Z112:Z113" si="288">IF(Y47=0,"",Z47/Y47-1)</f>
        <v>0.21810149384110611</v>
      </c>
      <c r="AA112" s="89">
        <f t="shared" ref="AA112:AA113" si="289">IF(Z47=0,"",AA47/Z47-1)</f>
        <v>0.53551049221483593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-0.15790046734626839</v>
      </c>
      <c r="F113" s="89">
        <f t="shared" si="268"/>
        <v>3.5459785115352194E-2</v>
      </c>
      <c r="G113" s="89">
        <f t="shared" si="269"/>
        <v>-5.3293120248477766E-2</v>
      </c>
      <c r="H113" s="89">
        <f t="shared" si="270"/>
        <v>-2.5795396545646332E-2</v>
      </c>
      <c r="I113" s="89">
        <f t="shared" si="271"/>
        <v>4.0666644734103308E-2</v>
      </c>
      <c r="J113" s="89">
        <f t="shared" si="272"/>
        <v>8.2957712375588244E-2</v>
      </c>
      <c r="K113" s="89">
        <f t="shared" si="273"/>
        <v>6.0861111424899361E-2</v>
      </c>
      <c r="L113" s="89">
        <f t="shared" si="274"/>
        <v>-8.1287343007738322E-2</v>
      </c>
      <c r="M113" s="89">
        <f t="shared" si="275"/>
        <v>-0.25933612311321286</v>
      </c>
      <c r="N113" s="89">
        <f t="shared" si="276"/>
        <v>-0.18884886895360153</v>
      </c>
      <c r="O113" s="89">
        <f t="shared" si="277"/>
        <v>0.21313901806796687</v>
      </c>
      <c r="P113" s="89">
        <f t="shared" si="278"/>
        <v>-3.7405680256482943E-2</v>
      </c>
      <c r="Q113" s="89">
        <f t="shared" si="279"/>
        <v>-1.3411318581113885E-2</v>
      </c>
      <c r="R113" s="89">
        <f t="shared" si="280"/>
        <v>8.5105768587621311E-2</v>
      </c>
      <c r="S113" s="89">
        <f t="shared" si="281"/>
        <v>1.9935605490786212E-2</v>
      </c>
      <c r="T113" s="89">
        <f t="shared" si="282"/>
        <v>0.1527156474974305</v>
      </c>
      <c r="U113" s="89">
        <f t="shared" si="283"/>
        <v>6.7588496362019246E-2</v>
      </c>
      <c r="V113" s="89">
        <f t="shared" si="284"/>
        <v>3.0937089894540915E-2</v>
      </c>
      <c r="W113" s="89">
        <f t="shared" si="285"/>
        <v>2.2544708431832428E-2</v>
      </c>
      <c r="X113" s="89">
        <f t="shared" si="286"/>
        <v>-3.3953674591833405E-2</v>
      </c>
      <c r="Y113" s="89">
        <f t="shared" si="287"/>
        <v>-2.5059853183899472E-2</v>
      </c>
      <c r="Z113" s="89">
        <f t="shared" si="288"/>
        <v>-6.343355530776662E-2</v>
      </c>
      <c r="AA113" s="89">
        <f t="shared" si="289"/>
        <v>8.3862695859415304E-2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-8.6513641546532738E-2</v>
      </c>
      <c r="F114" s="89">
        <f t="shared" ref="F114:F115" si="291">IF(E52=0,"",F52/E52-1)</f>
        <v>-3.3177590905145049E-2</v>
      </c>
      <c r="G114" s="89">
        <f t="shared" ref="G114:G115" si="292">IF(F52=0,"",G52/F52-1)</f>
        <v>-4.3777535206896312E-2</v>
      </c>
      <c r="H114" s="89">
        <f t="shared" ref="H114:H115" si="293">IF(G52=0,"",H52/G52-1)</f>
        <v>-6.5591641100152476E-2</v>
      </c>
      <c r="I114" s="89">
        <f t="shared" ref="I114:I115" si="294">IF(H52=0,"",I52/H52-1)</f>
        <v>-0.10123008951262025</v>
      </c>
      <c r="J114" s="89">
        <f t="shared" ref="J114:J115" si="295">IF(I52=0,"",J52/I52-1)</f>
        <v>-1.8176098466582746E-2</v>
      </c>
      <c r="K114" s="89">
        <f t="shared" ref="K114:K115" si="296">IF(J52=0,"",K52/J52-1)</f>
        <v>-5.8906452681775523E-2</v>
      </c>
      <c r="L114" s="89">
        <f t="shared" ref="L114:L115" si="297">IF(K52=0,"",L52/K52-1)</f>
        <v>-3.1805148461654387E-3</v>
      </c>
      <c r="M114" s="89">
        <f t="shared" ref="M114:M115" si="298">IF(L52=0,"",M52/L52-1)</f>
        <v>-0.14137413918797925</v>
      </c>
      <c r="N114" s="89">
        <f t="shared" ref="N114:N115" si="299">IF(M52=0,"",N52/M52-1)</f>
        <v>-0.13670781800378984</v>
      </c>
      <c r="O114" s="89">
        <f t="shared" ref="O114:O115" si="300">IF(N52=0,"",O52/N52-1)</f>
        <v>1.116177110140848E-2</v>
      </c>
      <c r="P114" s="89">
        <f t="shared" ref="P114:P115" si="301">IF(O52=0,"",P52/O52-1)</f>
        <v>-0.12669170650490058</v>
      </c>
      <c r="Q114" s="89">
        <f t="shared" ref="Q114:Q115" si="302">IF(P52=0,"",Q52/P52-1)</f>
        <v>-4.0946133680786811E-2</v>
      </c>
      <c r="R114" s="89">
        <f t="shared" ref="R114:R115" si="303">IF(Q52=0,"",R52/Q52-1)</f>
        <v>6.6350517361385197E-2</v>
      </c>
      <c r="S114" s="89">
        <f t="shared" ref="S114:S115" si="304">IF(R52=0,"",S52/R52-1)</f>
        <v>-7.6106451982581036E-2</v>
      </c>
      <c r="T114" s="89">
        <f t="shared" ref="T114:T115" si="305">IF(S52=0,"",T52/S52-1)</f>
        <v>-7.5353654368436329E-2</v>
      </c>
      <c r="U114" s="89">
        <f t="shared" ref="U114:U115" si="306">IF(T52=0,"",U52/T52-1)</f>
        <v>9.5882822188425143E-2</v>
      </c>
      <c r="V114" s="89">
        <f t="shared" ref="V114:V115" si="307">IF(U52=0,"",V52/U52-1)</f>
        <v>-7.7484594654395611E-2</v>
      </c>
      <c r="W114" s="89">
        <f t="shared" ref="W114:W115" si="308">IF(V52=0,"",W52/V52-1)</f>
        <v>3.3475114742131495E-2</v>
      </c>
      <c r="X114" s="89">
        <f t="shared" ref="X114:X115" si="309">IF(W52=0,"",X52/W52-1)</f>
        <v>-4.8434957859038175E-3</v>
      </c>
      <c r="Y114" s="89">
        <f t="shared" ref="Y114:Y115" si="310">IF(X52=0,"",Y52/X52-1)</f>
        <v>-0.20664720527879121</v>
      </c>
      <c r="Z114" s="89">
        <f t="shared" ref="Z114:Z115" si="311">IF(Y52=0,"",Z52/Y52-1)</f>
        <v>-6.4819607409792757E-2</v>
      </c>
      <c r="AA114" s="89">
        <f t="shared" ref="AA114:AA115" si="312">IF(Z52=0,"",AA52/Z52-1)</f>
        <v>8.5014385183706853E-2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-1.4466637053634268E-2</v>
      </c>
      <c r="F115" s="89">
        <f t="shared" si="291"/>
        <v>-7.8300574303554749E-3</v>
      </c>
      <c r="G115" s="89">
        <f t="shared" si="292"/>
        <v>-4.4356926172195887E-2</v>
      </c>
      <c r="H115" s="89">
        <f t="shared" si="293"/>
        <v>-0.10390791173652358</v>
      </c>
      <c r="I115" s="89">
        <f t="shared" si="294"/>
        <v>-0.12826026063119822</v>
      </c>
      <c r="J115" s="89">
        <f t="shared" si="295"/>
        <v>-2.0320676932773951E-2</v>
      </c>
      <c r="K115" s="89">
        <f t="shared" si="296"/>
        <v>-3.6087361628190706E-2</v>
      </c>
      <c r="L115" s="89">
        <f t="shared" si="297"/>
        <v>-9.4848323276667368E-2</v>
      </c>
      <c r="M115" s="89">
        <f t="shared" si="298"/>
        <v>-4.8648947951273391E-2</v>
      </c>
      <c r="N115" s="89">
        <f t="shared" si="299"/>
        <v>-8.6974970305322974E-2</v>
      </c>
      <c r="O115" s="89">
        <f t="shared" si="300"/>
        <v>4.9381499578150967E-2</v>
      </c>
      <c r="P115" s="89">
        <f t="shared" si="301"/>
        <v>-8.8362983164066544E-2</v>
      </c>
      <c r="Q115" s="89">
        <f t="shared" si="302"/>
        <v>-5.0050410362655229E-2</v>
      </c>
      <c r="R115" s="89">
        <f t="shared" si="303"/>
        <v>6.9535679256814253E-2</v>
      </c>
      <c r="S115" s="89">
        <f t="shared" si="304"/>
        <v>2.4308821311887385E-2</v>
      </c>
      <c r="T115" s="89">
        <f t="shared" si="305"/>
        <v>-0.12333293611781393</v>
      </c>
      <c r="U115" s="89">
        <f t="shared" si="306"/>
        <v>0.11189571235345719</v>
      </c>
      <c r="V115" s="89">
        <f t="shared" si="307"/>
        <v>-7.0371806420334027E-2</v>
      </c>
      <c r="W115" s="89">
        <f t="shared" si="308"/>
        <v>0.11901407108696294</v>
      </c>
      <c r="X115" s="89">
        <f t="shared" si="309"/>
        <v>0.10214472920602247</v>
      </c>
      <c r="Y115" s="89">
        <f t="shared" si="310"/>
        <v>-0.16791871710131567</v>
      </c>
      <c r="Z115" s="89">
        <f t="shared" si="311"/>
        <v>-4.7496434926572184E-2</v>
      </c>
      <c r="AA115" s="89">
        <f t="shared" si="312"/>
        <v>0.11329680812039933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-0.13039938497157977</v>
      </c>
      <c r="F116" s="89">
        <f t="shared" ref="F116:F122" si="314">IF(E56=0,"",F56/E56-1)</f>
        <v>-5.0675845408271969E-2</v>
      </c>
      <c r="G116" s="89">
        <f t="shared" ref="G116:G122" si="315">IF(F56=0,"",G56/F56-1)</f>
        <v>-4.3359510186015804E-2</v>
      </c>
      <c r="H116" s="89">
        <f t="shared" ref="H116:H122" si="316">IF(G56=0,"",H56/G56-1)</f>
        <v>-3.7975642712730462E-2</v>
      </c>
      <c r="I116" s="89">
        <f t="shared" ref="I116:I122" si="317">IF(H56=0,"",I56/H56-1)</f>
        <v>-8.3083588949138587E-2</v>
      </c>
      <c r="J116" s="89">
        <f t="shared" ref="J116:J122" si="318">IF(I56=0,"",J56/I56-1)</f>
        <v>-1.6807288587938785E-2</v>
      </c>
      <c r="K116" s="89">
        <f t="shared" ref="K116:K122" si="319">IF(J56=0,"",K56/J56-1)</f>
        <v>-7.3419039233373895E-2</v>
      </c>
      <c r="L116" s="89">
        <f t="shared" ref="L116:L122" si="320">IF(K56=0,"",L56/K56-1)</f>
        <v>5.7467645583411997E-2</v>
      </c>
      <c r="M116" s="89">
        <f t="shared" ref="M116:M122" si="321">IF(L56=0,"",M56/L56-1)</f>
        <v>-0.19388544200871327</v>
      </c>
      <c r="N116" s="89">
        <f t="shared" ref="N116:N122" si="322">IF(M56=0,"",N56/M56-1)</f>
        <v>-0.1699463949362231</v>
      </c>
      <c r="O116" s="89">
        <f t="shared" ref="O116:O122" si="323">IF(N56=0,"",O56/N56-1)</f>
        <v>-1.693544132019964E-2</v>
      </c>
      <c r="P116" s="89">
        <f t="shared" ref="P116:P122" si="324">IF(O56=0,"",P56/O56-1)</f>
        <v>-0.15676987276086662</v>
      </c>
      <c r="Q116" s="89">
        <f t="shared" ref="Q116:Q122" si="325">IF(P56=0,"",Q56/P56-1)</f>
        <v>-3.3222026602286681E-2</v>
      </c>
      <c r="R116" s="89">
        <f t="shared" ref="R116:R122" si="326">IF(Q56=0,"",R56/Q56-1)</f>
        <v>6.3695250581286667E-2</v>
      </c>
      <c r="S116" s="89">
        <f t="shared" ref="S116:S122" si="327">IF(R56=0,"",S56/R56-1)</f>
        <v>-0.1602759005687806</v>
      </c>
      <c r="T116" s="89">
        <f t="shared" ref="T116:T122" si="328">IF(S56=0,"",T56/S56-1)</f>
        <v>-2.6296455655143269E-2</v>
      </c>
      <c r="U116" s="89">
        <f t="shared" ref="U116:U122" si="329">IF(T56=0,"",U56/T56-1)</f>
        <v>8.1141831649536256E-2</v>
      </c>
      <c r="V116" s="89">
        <f t="shared" ref="V116:V122" si="330">IF(U56=0,"",V56/U56-1)</f>
        <v>-8.4218673633493335E-2</v>
      </c>
      <c r="W116" s="89">
        <f t="shared" ref="W116:W122" si="331">IF(V56=0,"",W56/V56-1)</f>
        <v>-4.8733963120115353E-2</v>
      </c>
      <c r="X116" s="89">
        <f t="shared" ref="X116:X122" si="332">IF(W56=0,"",X56/W56-1)</f>
        <v>-0.12579892535387083</v>
      </c>
      <c r="Y116" s="89">
        <f t="shared" ref="Y116:Y122" si="333">IF(X56=0,"",Y56/X56-1)</f>
        <v>-0.26184824043239219</v>
      </c>
      <c r="Z116" s="89">
        <f t="shared" ref="Z116:Z122" si="334">IF(Y56=0,"",Z56/Y56-1)</f>
        <v>-9.2652875393503975E-2</v>
      </c>
      <c r="AA116" s="89">
        <f t="shared" ref="AA116:AA122" si="335">IF(Z56=0,"",AA56/Z56-1)</f>
        <v>3.7311293553683011E-2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3.3589188137256532E-2</v>
      </c>
      <c r="F117" s="89">
        <f t="shared" si="314"/>
        <v>6.1428800777817427E-2</v>
      </c>
      <c r="G117" s="89">
        <f t="shared" si="315"/>
        <v>-4.6407285908699136E-2</v>
      </c>
      <c r="H117" s="89">
        <f t="shared" si="316"/>
        <v>-1.1948566728920085E-2</v>
      </c>
      <c r="I117" s="89">
        <f t="shared" si="317"/>
        <v>-3.103923286446808E-2</v>
      </c>
      <c r="J117" s="89">
        <f t="shared" si="318"/>
        <v>-8.9167728382232081E-2</v>
      </c>
      <c r="K117" s="89">
        <f t="shared" si="319"/>
        <v>-4.3118111079742061E-2</v>
      </c>
      <c r="L117" s="89">
        <f t="shared" si="320"/>
        <v>-5.7723258076024631E-2</v>
      </c>
      <c r="M117" s="89">
        <f t="shared" si="321"/>
        <v>-1.696595548312807E-4</v>
      </c>
      <c r="N117" s="89">
        <f t="shared" si="322"/>
        <v>-7.7352332578034644E-2</v>
      </c>
      <c r="O117" s="89">
        <f t="shared" si="323"/>
        <v>-6.2035443520999878E-2</v>
      </c>
      <c r="P117" s="89">
        <f t="shared" si="324"/>
        <v>-6.5694804738056445E-2</v>
      </c>
      <c r="Q117" s="89">
        <f t="shared" si="325"/>
        <v>3.3972261219178845E-2</v>
      </c>
      <c r="R117" s="89">
        <f t="shared" si="326"/>
        <v>-2.6643303313608202E-3</v>
      </c>
      <c r="S117" s="89">
        <f t="shared" si="327"/>
        <v>5.8486177006095597E-2</v>
      </c>
      <c r="T117" s="89">
        <f t="shared" si="328"/>
        <v>4.9916891559975918E-2</v>
      </c>
      <c r="U117" s="89">
        <f t="shared" si="329"/>
        <v>-8.9507055786522183E-2</v>
      </c>
      <c r="V117" s="89">
        <f t="shared" si="330"/>
        <v>1.5582709075438572E-2</v>
      </c>
      <c r="W117" s="89">
        <f t="shared" si="331"/>
        <v>5.2284623026287669E-2</v>
      </c>
      <c r="X117" s="89">
        <f t="shared" si="332"/>
        <v>-5.2376554807431419E-2</v>
      </c>
      <c r="Y117" s="89">
        <f t="shared" si="333"/>
        <v>-4.6832070190550801E-2</v>
      </c>
      <c r="Z117" s="89">
        <f t="shared" si="334"/>
        <v>-3.6633782051646024E-2</v>
      </c>
      <c r="AA117" s="89">
        <f t="shared" si="335"/>
        <v>0.28331129239536157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-1.5543396385113262E-2</v>
      </c>
      <c r="F118" s="89">
        <f t="shared" si="314"/>
        <v>-5.0821424034842466E-2</v>
      </c>
      <c r="G118" s="89">
        <f t="shared" si="315"/>
        <v>2.0373076762525422E-3</v>
      </c>
      <c r="H118" s="89">
        <f t="shared" si="316"/>
        <v>-0.17335219426689086</v>
      </c>
      <c r="I118" s="89">
        <f t="shared" si="317"/>
        <v>8.6939341184924634E-2</v>
      </c>
      <c r="J118" s="89">
        <f t="shared" si="318"/>
        <v>1.9789774577782415E-2</v>
      </c>
      <c r="K118" s="89">
        <f t="shared" si="319"/>
        <v>-0.13238099182517182</v>
      </c>
      <c r="L118" s="89">
        <f t="shared" si="320"/>
        <v>0.10456016406338597</v>
      </c>
      <c r="M118" s="89">
        <f t="shared" si="321"/>
        <v>-0.34117470631814018</v>
      </c>
      <c r="N118" s="89">
        <f t="shared" si="322"/>
        <v>0.18232814517193874</v>
      </c>
      <c r="O118" s="89">
        <f t="shared" si="323"/>
        <v>0.12433980903199271</v>
      </c>
      <c r="P118" s="89">
        <f t="shared" si="324"/>
        <v>-0.20569309880449338</v>
      </c>
      <c r="Q118" s="89">
        <f t="shared" si="325"/>
        <v>-0.12865339944742982</v>
      </c>
      <c r="R118" s="89">
        <f t="shared" si="326"/>
        <v>-1.0370997529319359E-2</v>
      </c>
      <c r="S118" s="89">
        <f t="shared" si="327"/>
        <v>0.19488902652926998</v>
      </c>
      <c r="T118" s="89">
        <f t="shared" si="328"/>
        <v>0.10744586056998795</v>
      </c>
      <c r="U118" s="89">
        <f t="shared" si="329"/>
        <v>5.4860839978632114E-3</v>
      </c>
      <c r="V118" s="89">
        <f t="shared" si="330"/>
        <v>-9.2393458336626599E-2</v>
      </c>
      <c r="W118" s="89">
        <f t="shared" si="331"/>
        <v>2.8071846758920049E-2</v>
      </c>
      <c r="X118" s="89">
        <f t="shared" si="332"/>
        <v>-0.13852577603261162</v>
      </c>
      <c r="Y118" s="89">
        <f t="shared" si="333"/>
        <v>0.15126189951593783</v>
      </c>
      <c r="Z118" s="89">
        <f t="shared" si="334"/>
        <v>-0.14048170295024187</v>
      </c>
      <c r="AA118" s="89">
        <f t="shared" si="335"/>
        <v>0.31713372174897736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1.5147135092634878E-2</v>
      </c>
      <c r="F119" s="89">
        <f t="shared" si="314"/>
        <v>3.552410244331039E-2</v>
      </c>
      <c r="G119" s="89">
        <f t="shared" si="315"/>
        <v>-0.10227512055452959</v>
      </c>
      <c r="H119" s="89">
        <f t="shared" si="316"/>
        <v>1.1796186470314218E-4</v>
      </c>
      <c r="I119" s="89">
        <f t="shared" si="317"/>
        <v>-6.4278130485701634E-2</v>
      </c>
      <c r="J119" s="89">
        <f t="shared" si="318"/>
        <v>0.1388628655682036</v>
      </c>
      <c r="K119" s="89">
        <f t="shared" si="319"/>
        <v>5.9489546878576549E-2</v>
      </c>
      <c r="L119" s="89">
        <f t="shared" si="320"/>
        <v>-3.0125258073301686E-2</v>
      </c>
      <c r="M119" s="89">
        <f t="shared" si="321"/>
        <v>-0.1477861843993945</v>
      </c>
      <c r="N119" s="89">
        <f t="shared" si="322"/>
        <v>-3.5623770302908531E-2</v>
      </c>
      <c r="O119" s="89">
        <f t="shared" si="323"/>
        <v>4.9862072760804566E-2</v>
      </c>
      <c r="P119" s="89">
        <f t="shared" si="324"/>
        <v>-1.4194198098297806E-2</v>
      </c>
      <c r="Q119" s="89">
        <f t="shared" si="325"/>
        <v>7.8198274957831826E-2</v>
      </c>
      <c r="R119" s="89">
        <f t="shared" si="326"/>
        <v>-2.0360138435233766E-2</v>
      </c>
      <c r="S119" s="89">
        <f t="shared" si="327"/>
        <v>-4.408035681425071E-2</v>
      </c>
      <c r="T119" s="89">
        <f t="shared" si="328"/>
        <v>0.10399359754474946</v>
      </c>
      <c r="U119" s="89">
        <f t="shared" si="329"/>
        <v>7.5727621314404248E-2</v>
      </c>
      <c r="V119" s="89">
        <f t="shared" si="330"/>
        <v>-1.6990323255081763E-2</v>
      </c>
      <c r="W119" s="89">
        <f t="shared" si="331"/>
        <v>7.5259869278179181E-2</v>
      </c>
      <c r="X119" s="89">
        <f t="shared" si="332"/>
        <v>-0.16887378533910324</v>
      </c>
      <c r="Y119" s="89">
        <f t="shared" si="333"/>
        <v>0.12595324633757787</v>
      </c>
      <c r="Z119" s="89">
        <f t="shared" si="334"/>
        <v>-0.10694441542711319</v>
      </c>
      <c r="AA119" s="89">
        <f t="shared" si="335"/>
        <v>0.10945606640790295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-0.12181283606600801</v>
      </c>
      <c r="F120" s="89">
        <f t="shared" si="314"/>
        <v>-7.1745123948490419E-2</v>
      </c>
      <c r="G120" s="89">
        <f t="shared" si="315"/>
        <v>-7.5444803888222389E-2</v>
      </c>
      <c r="H120" s="89">
        <f t="shared" si="316"/>
        <v>-9.0737406586592351E-2</v>
      </c>
      <c r="I120" s="89">
        <f t="shared" si="317"/>
        <v>-0.17267172308107748</v>
      </c>
      <c r="J120" s="89">
        <f t="shared" si="318"/>
        <v>4.0212923285091629E-2</v>
      </c>
      <c r="K120" s="89">
        <f t="shared" si="319"/>
        <v>-5.7892586373993526E-2</v>
      </c>
      <c r="L120" s="89">
        <f t="shared" si="320"/>
        <v>-8.9942667183064096E-2</v>
      </c>
      <c r="M120" s="89">
        <f t="shared" si="321"/>
        <v>-0.1722289737753655</v>
      </c>
      <c r="N120" s="89">
        <f t="shared" si="322"/>
        <v>-0.11092876036939503</v>
      </c>
      <c r="O120" s="89">
        <f t="shared" si="323"/>
        <v>2.5936367740002408E-2</v>
      </c>
      <c r="P120" s="89">
        <f t="shared" si="324"/>
        <v>-0.11741568892219334</v>
      </c>
      <c r="Q120" s="89">
        <f t="shared" si="325"/>
        <v>0.17489267400643027</v>
      </c>
      <c r="R120" s="89">
        <f t="shared" si="326"/>
        <v>2.1708389788940075E-2</v>
      </c>
      <c r="S120" s="89">
        <f t="shared" si="327"/>
        <v>6.2326229289150215E-2</v>
      </c>
      <c r="T120" s="89">
        <f t="shared" si="328"/>
        <v>-3.6541081064292324E-2</v>
      </c>
      <c r="U120" s="89">
        <f t="shared" si="329"/>
        <v>6.1765598356681384E-2</v>
      </c>
      <c r="V120" s="89">
        <f t="shared" si="330"/>
        <v>0.15187257694735079</v>
      </c>
      <c r="W120" s="89">
        <f t="shared" si="331"/>
        <v>-3.4462604941102759E-2</v>
      </c>
      <c r="X120" s="89">
        <f t="shared" si="332"/>
        <v>-7.5590528344522623E-2</v>
      </c>
      <c r="Y120" s="89">
        <f t="shared" si="333"/>
        <v>-1.346123085044626E-2</v>
      </c>
      <c r="Z120" s="89">
        <f t="shared" si="334"/>
        <v>-8.1563898743076457E-2</v>
      </c>
      <c r="AA120" s="89">
        <f t="shared" si="335"/>
        <v>3.7098881732033906E-3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-6.1552645010109042E-2</v>
      </c>
      <c r="F121" s="89">
        <f t="shared" si="314"/>
        <v>-5.7159464523077852E-2</v>
      </c>
      <c r="G121" s="89">
        <f t="shared" si="315"/>
        <v>3.0062159085995521E-2</v>
      </c>
      <c r="H121" s="89">
        <f t="shared" si="316"/>
        <v>2.1776120067664051E-2</v>
      </c>
      <c r="I121" s="89">
        <f t="shared" si="317"/>
        <v>9.1937878426802122E-3</v>
      </c>
      <c r="J121" s="89">
        <f t="shared" si="318"/>
        <v>8.2045302979838475E-4</v>
      </c>
      <c r="K121" s="89">
        <f t="shared" si="319"/>
        <v>1.7280362043783359E-3</v>
      </c>
      <c r="L121" s="89">
        <f t="shared" si="320"/>
        <v>-0.14631913001412</v>
      </c>
      <c r="M121" s="89">
        <f t="shared" si="321"/>
        <v>-0.27724784651948087</v>
      </c>
      <c r="N121" s="89">
        <f t="shared" si="322"/>
        <v>-2.0420416959091248E-2</v>
      </c>
      <c r="O121" s="89">
        <f t="shared" si="323"/>
        <v>1.6672228840960868E-2</v>
      </c>
      <c r="P121" s="89">
        <f t="shared" si="324"/>
        <v>-2.0845464525109048E-2</v>
      </c>
      <c r="Q121" s="89">
        <f t="shared" si="325"/>
        <v>-4.2754580116221796E-2</v>
      </c>
      <c r="R121" s="89">
        <f t="shared" si="326"/>
        <v>5.4757721864167275E-2</v>
      </c>
      <c r="S121" s="89">
        <f t="shared" si="327"/>
        <v>3.2861543287327377E-2</v>
      </c>
      <c r="T121" s="89">
        <f t="shared" si="328"/>
        <v>-3.354055160185998E-2</v>
      </c>
      <c r="U121" s="89">
        <f t="shared" si="329"/>
        <v>3.0478046054096763E-2</v>
      </c>
      <c r="V121" s="89">
        <f t="shared" si="330"/>
        <v>-1.7895620860277073E-2</v>
      </c>
      <c r="W121" s="89">
        <f t="shared" si="331"/>
        <v>4.7445732859236589E-2</v>
      </c>
      <c r="X121" s="89">
        <f t="shared" si="332"/>
        <v>-2.3345201464106347E-2</v>
      </c>
      <c r="Y121" s="89">
        <f t="shared" si="333"/>
        <v>0.12137475081109605</v>
      </c>
      <c r="Z121" s="89">
        <f t="shared" si="334"/>
        <v>4.7034436522523926E-3</v>
      </c>
      <c r="AA121" s="89">
        <f t="shared" si="335"/>
        <v>-7.0536195051074113E-4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-1.8248044170061761E-2</v>
      </c>
      <c r="F122" s="91">
        <f t="shared" si="314"/>
        <v>-2.552259777989907E-2</v>
      </c>
      <c r="G122" s="91">
        <f t="shared" si="315"/>
        <v>-3.7525230968792123E-2</v>
      </c>
      <c r="H122" s="91">
        <f t="shared" si="316"/>
        <v>1.1184114207259732E-2</v>
      </c>
      <c r="I122" s="91">
        <f t="shared" si="317"/>
        <v>3.1125482278773209E-3</v>
      </c>
      <c r="J122" s="91">
        <f t="shared" si="318"/>
        <v>4.9179463541027868E-2</v>
      </c>
      <c r="K122" s="91">
        <f t="shared" si="319"/>
        <v>-3.5101744569534632E-2</v>
      </c>
      <c r="L122" s="91">
        <f t="shared" si="320"/>
        <v>-0.10711147136950505</v>
      </c>
      <c r="M122" s="91">
        <f t="shared" si="321"/>
        <v>-8.2391928218163102E-2</v>
      </c>
      <c r="N122" s="91">
        <f t="shared" si="322"/>
        <v>1.1064602116726441E-2</v>
      </c>
      <c r="O122" s="91">
        <f t="shared" si="323"/>
        <v>-1.4415949822557783E-2</v>
      </c>
      <c r="P122" s="91">
        <f t="shared" si="324"/>
        <v>3.6334004230540229E-2</v>
      </c>
      <c r="Q122" s="91">
        <f t="shared" si="325"/>
        <v>1.2890535176263374E-2</v>
      </c>
      <c r="R122" s="91">
        <f t="shared" si="326"/>
        <v>0.11743711027717252</v>
      </c>
      <c r="S122" s="91">
        <f t="shared" si="327"/>
        <v>-1.3984434962296399E-3</v>
      </c>
      <c r="T122" s="91">
        <f t="shared" si="328"/>
        <v>5.3052373903964778E-2</v>
      </c>
      <c r="U122" s="91">
        <f t="shared" si="329"/>
        <v>-6.1221296656363E-2</v>
      </c>
      <c r="V122" s="91">
        <f t="shared" si="330"/>
        <v>-2.9176514546193744E-2</v>
      </c>
      <c r="W122" s="91">
        <f t="shared" si="331"/>
        <v>1.5035193274942404E-2</v>
      </c>
      <c r="X122" s="91">
        <f t="shared" si="332"/>
        <v>8.6270202398783802E-3</v>
      </c>
      <c r="Y122" s="91">
        <f t="shared" si="333"/>
        <v>0.10101027901466098</v>
      </c>
      <c r="Z122" s="91">
        <f t="shared" si="334"/>
        <v>-5.7023154695874378E-2</v>
      </c>
      <c r="AA122" s="91">
        <f t="shared" si="335"/>
        <v>0.29925505926601037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2025-11-06T10:21:42Z</dcterms:created>
  <dcterms:modified xsi:type="dcterms:W3CDTF">2025-11-06T10:21:42Z</dcterms:modified>
</cp:coreProperties>
</file>