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RO\"/>
    </mc:Choice>
  </mc:AlternateContent>
  <bookViews>
    <workbookView xWindow="0" yWindow="0" windowWidth="22260" windowHeight="12645" tabRatio="752"/>
  </bookViews>
  <sheets>
    <sheet name="cover" sheetId="2" r:id="rId1"/>
    <sheet name="index" sheetId="1" r:id="rId2"/>
    <sheet name="Transport" sheetId="3" r:id="rId3"/>
    <sheet name="TrRoad_act" sheetId="4" r:id="rId4"/>
    <sheet name="TrRoad_ene" sheetId="5" r:id="rId5"/>
    <sheet name="TrRoad_emi" sheetId="6" r:id="rId6"/>
    <sheet name="TrRoad_tech" sheetId="7" r:id="rId7"/>
    <sheet name="TrRail_act" sheetId="8" r:id="rId8"/>
    <sheet name="TrRail_ene" sheetId="9" r:id="rId9"/>
    <sheet name="TrRail_emi" sheetId="10" r:id="rId10"/>
    <sheet name="TrAvia_act" sheetId="11" r:id="rId11"/>
    <sheet name="TrAvia_ene" sheetId="12" r:id="rId12"/>
    <sheet name="TrAvia_emi" sheetId="13" r:id="rId13"/>
    <sheet name="TrAvia_png" sheetId="14" r:id="rId14"/>
    <sheet name="TrNavi_act" sheetId="15" r:id="rId15"/>
    <sheet name="TrNavi_ene" sheetId="16" r:id="rId16"/>
    <sheet name="TrNavi_emi" sheetId="17" r:id="rId17"/>
    <sheet name="MBunk_act" sheetId="18" r:id="rId18"/>
    <sheet name="MBunk_ene" sheetId="19" r:id="rId19"/>
    <sheet name="MBunk_emi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52" i="6" l="1"/>
  <c r="X52" i="6"/>
  <c r="Y218" i="7"/>
  <c r="X218" i="7"/>
  <c r="Y211" i="7"/>
  <c r="X211" i="7"/>
  <c r="Y205" i="7"/>
  <c r="X205" i="7"/>
  <c r="Y32" i="8"/>
  <c r="X32" i="8"/>
  <c r="X28" i="8"/>
  <c r="X88" i="8"/>
  <c r="X87" i="8"/>
  <c r="X86" i="8"/>
  <c r="X84" i="8"/>
  <c r="Y12" i="3"/>
  <c r="X12" i="3"/>
  <c r="X17" i="9"/>
  <c r="X51" i="3" s="1"/>
  <c r="Y49" i="9"/>
  <c r="X27" i="9"/>
  <c r="Y40" i="3"/>
  <c r="X25" i="9"/>
  <c r="X5" i="9"/>
  <c r="Y57" i="10"/>
  <c r="X68" i="10"/>
  <c r="Y32" i="10"/>
  <c r="X54" i="10"/>
  <c r="Y53" i="10"/>
  <c r="X53" i="10"/>
  <c r="Y41" i="10"/>
  <c r="Y70" i="3"/>
  <c r="X28" i="10"/>
  <c r="Y24" i="10"/>
  <c r="X24" i="10"/>
  <c r="X102" i="11"/>
  <c r="Y44" i="11"/>
  <c r="Y67" i="11"/>
  <c r="X48" i="13"/>
  <c r="X101" i="11"/>
  <c r="X25" i="3"/>
  <c r="Y24" i="3"/>
  <c r="X24" i="3"/>
  <c r="Y23" i="3"/>
  <c r="X8" i="11"/>
  <c r="X16" i="3"/>
  <c r="X15" i="3"/>
  <c r="Y14" i="3"/>
  <c r="Y25" i="12"/>
  <c r="Y75" i="12" s="1"/>
  <c r="X35" i="12"/>
  <c r="Y44" i="12"/>
  <c r="X54" i="3"/>
  <c r="Y53" i="3"/>
  <c r="X4" i="12"/>
  <c r="X41" i="12"/>
  <c r="Y45" i="3"/>
  <c r="X45" i="3"/>
  <c r="Y76" i="3"/>
  <c r="X76" i="3"/>
  <c r="Y24" i="13"/>
  <c r="X5" i="13"/>
  <c r="Y23" i="13"/>
  <c r="Y7" i="15"/>
  <c r="X28" i="3"/>
  <c r="Y27" i="3"/>
  <c r="X27" i="3"/>
  <c r="Y15" i="17"/>
  <c r="X88" i="3"/>
  <c r="Y14" i="17"/>
  <c r="X14" i="17"/>
  <c r="X31" i="3"/>
  <c r="Y3" i="18"/>
  <c r="Y17" i="18" s="1"/>
  <c r="X10" i="19"/>
  <c r="Y4" i="19"/>
  <c r="Y90" i="3"/>
  <c r="X90" i="3"/>
  <c r="Y85" i="3"/>
  <c r="X85" i="3"/>
  <c r="X84" i="3"/>
  <c r="X83" i="3"/>
  <c r="X53" i="3"/>
  <c r="Y44" i="3"/>
  <c r="X44" i="3"/>
  <c r="Y42" i="3"/>
  <c r="Y31" i="3"/>
  <c r="Y30" i="3"/>
  <c r="Y25" i="3"/>
  <c r="Y10" i="3"/>
  <c r="X15" i="10" l="1"/>
  <c r="X81" i="3" s="1"/>
  <c r="Y41" i="12"/>
  <c r="Y58" i="11"/>
  <c r="X55" i="3"/>
  <c r="X207" i="3" s="1"/>
  <c r="X90" i="8"/>
  <c r="X75" i="3"/>
  <c r="X227" i="3" s="1"/>
  <c r="X29" i="9"/>
  <c r="Y57" i="8"/>
  <c r="Y79" i="8" s="1"/>
  <c r="Y29" i="9"/>
  <c r="X91" i="8"/>
  <c r="Y54" i="3"/>
  <c r="Y206" i="3" s="1"/>
  <c r="Y91" i="8"/>
  <c r="Y15" i="14"/>
  <c r="Y27" i="14" s="1"/>
  <c r="Y18" i="11"/>
  <c r="Y120" i="11" s="1"/>
  <c r="X31" i="9"/>
  <c r="Y53" i="9"/>
  <c r="X46" i="3"/>
  <c r="X43" i="3" s="1"/>
  <c r="Y55" i="3"/>
  <c r="Y207" i="3" s="1"/>
  <c r="Y75" i="3"/>
  <c r="Y43" i="9"/>
  <c r="Y69" i="11"/>
  <c r="X19" i="12"/>
  <c r="X69" i="12" s="1"/>
  <c r="X3" i="20"/>
  <c r="X22" i="20" s="1"/>
  <c r="Y7" i="18"/>
  <c r="Y21" i="18" s="1"/>
  <c r="Y39" i="12"/>
  <c r="X240" i="3"/>
  <c r="X98" i="11"/>
  <c r="X43" i="8"/>
  <c r="X88" i="11"/>
  <c r="Y88" i="11"/>
  <c r="Y25" i="9"/>
  <c r="Y31" i="9"/>
  <c r="Y42" i="9"/>
  <c r="Y48" i="11"/>
  <c r="Y43" i="11" s="1"/>
  <c r="X15" i="14"/>
  <c r="X27" i="14" s="1"/>
  <c r="X72" i="3"/>
  <c r="X164" i="3" s="1"/>
  <c r="X25" i="12"/>
  <c r="X75" i="12" s="1"/>
  <c r="Y103" i="11"/>
  <c r="X31" i="10"/>
  <c r="X54" i="11"/>
  <c r="Y31" i="10"/>
  <c r="X49" i="9"/>
  <c r="Y98" i="11"/>
  <c r="Y92" i="11"/>
  <c r="X32" i="10"/>
  <c r="X95" i="8"/>
  <c r="X43" i="10"/>
  <c r="X65" i="10"/>
  <c r="X53" i="8"/>
  <c r="X75" i="8" s="1"/>
  <c r="X47" i="13"/>
  <c r="X77" i="11"/>
  <c r="Y68" i="10"/>
  <c r="Y53" i="8"/>
  <c r="Y75" i="8" s="1"/>
  <c r="Y88" i="8"/>
  <c r="Y3" i="15"/>
  <c r="Y19" i="15" s="1"/>
  <c r="Y13" i="14"/>
  <c r="Y19" i="14" s="1"/>
  <c r="Y99" i="11"/>
  <c r="X112" i="11"/>
  <c r="X87" i="3"/>
  <c r="X239" i="3" s="1"/>
  <c r="X38" i="13"/>
  <c r="X78" i="11"/>
  <c r="X67" i="8"/>
  <c r="X87" i="11"/>
  <c r="Y14" i="14"/>
  <c r="Y26" i="14" s="1"/>
  <c r="Y77" i="11"/>
  <c r="Y88" i="3"/>
  <c r="Y28" i="13"/>
  <c r="X99" i="8"/>
  <c r="Y23" i="12"/>
  <c r="Y73" i="12" s="1"/>
  <c r="Y89" i="11"/>
  <c r="Y19" i="12"/>
  <c r="Y69" i="12" s="1"/>
  <c r="Y45" i="13"/>
  <c r="X79" i="11"/>
  <c r="Y5" i="9"/>
  <c r="Y4" i="9" s="1"/>
  <c r="Y55" i="8"/>
  <c r="Y77" i="8" s="1"/>
  <c r="Y67" i="8"/>
  <c r="X99" i="11"/>
  <c r="Y16" i="3"/>
  <c r="Y228" i="3" s="1"/>
  <c r="X40" i="3"/>
  <c r="X91" i="3"/>
  <c r="X243" i="3" s="1"/>
  <c r="Y39" i="13"/>
  <c r="Y79" i="11"/>
  <c r="X4" i="9"/>
  <c r="X57" i="8"/>
  <c r="X79" i="8" s="1"/>
  <c r="X7" i="15"/>
  <c r="X21" i="15" s="1"/>
  <c r="X13" i="14"/>
  <c r="X19" i="14" s="1"/>
  <c r="Y15" i="3"/>
  <c r="Y197" i="3" s="1"/>
  <c r="X23" i="3"/>
  <c r="X205" i="3" s="1"/>
  <c r="X14" i="20"/>
  <c r="Y15" i="18"/>
  <c r="Y29" i="13"/>
  <c r="X18" i="11"/>
  <c r="X120" i="11" s="1"/>
  <c r="X237" i="3"/>
  <c r="Y194" i="3"/>
  <c r="Y196" i="3"/>
  <c r="Y65" i="10"/>
  <c r="X46" i="10"/>
  <c r="X36" i="9"/>
  <c r="X47" i="9"/>
  <c r="X10" i="8"/>
  <c r="X21" i="3" s="1"/>
  <c r="X203" i="3" s="1"/>
  <c r="X26" i="8"/>
  <c r="X61" i="8" s="1"/>
  <c r="Y43" i="8"/>
  <c r="X35" i="10"/>
  <c r="X50" i="10"/>
  <c r="X38" i="9"/>
  <c r="X39" i="8"/>
  <c r="X37" i="8" s="1"/>
  <c r="X51" i="8"/>
  <c r="X73" i="8" s="1"/>
  <c r="Y43" i="10"/>
  <c r="X70" i="3"/>
  <c r="X162" i="3" s="1"/>
  <c r="Y35" i="10"/>
  <c r="Y36" i="9"/>
  <c r="Y38" i="9"/>
  <c r="X6" i="8"/>
  <c r="X11" i="3" s="1"/>
  <c r="Y39" i="8"/>
  <c r="Y37" i="8" s="1"/>
  <c r="Y39" i="10"/>
  <c r="Y54" i="10"/>
  <c r="X40" i="9"/>
  <c r="X51" i="9"/>
  <c r="Y90" i="8"/>
  <c r="X55" i="8"/>
  <c r="X77" i="8" s="1"/>
  <c r="X42" i="3"/>
  <c r="X194" i="3" s="1"/>
  <c r="Y72" i="3"/>
  <c r="Y164" i="3" s="1"/>
  <c r="X61" i="10"/>
  <c r="Y40" i="9"/>
  <c r="Y51" i="9"/>
  <c r="X10" i="3"/>
  <c r="X42" i="10"/>
  <c r="X64" i="10"/>
  <c r="X13" i="9"/>
  <c r="X48" i="9" s="1"/>
  <c r="X42" i="9"/>
  <c r="X53" i="9"/>
  <c r="Y99" i="8"/>
  <c r="Y86" i="8"/>
  <c r="X10" i="16"/>
  <c r="X58" i="3" s="1"/>
  <c r="X210" i="3" s="1"/>
  <c r="X18" i="17"/>
  <c r="Y4" i="16"/>
  <c r="Y24" i="16" s="1"/>
  <c r="X4" i="16"/>
  <c r="X20" i="16" s="1"/>
  <c r="X4" i="19"/>
  <c r="X10" i="20" s="1"/>
  <c r="Y10" i="19"/>
  <c r="Y25" i="19" s="1"/>
  <c r="X15" i="20"/>
  <c r="Y14" i="20"/>
  <c r="X14" i="3"/>
  <c r="X196" i="3" s="1"/>
  <c r="X206" i="3"/>
  <c r="Y74" i="3"/>
  <c r="Y6" i="13"/>
  <c r="Y25" i="13"/>
  <c r="X44" i="13"/>
  <c r="Y45" i="12"/>
  <c r="X31" i="12"/>
  <c r="Y14" i="11"/>
  <c r="Y116" i="11" s="1"/>
  <c r="Y24" i="11"/>
  <c r="Y96" i="11" s="1"/>
  <c r="Y102" i="11"/>
  <c r="X44" i="11"/>
  <c r="Y97" i="11"/>
  <c r="X28" i="13"/>
  <c r="Y44" i="13"/>
  <c r="Y31" i="12"/>
  <c r="Y33" i="13"/>
  <c r="Y21" i="12"/>
  <c r="Y71" i="12" s="1"/>
  <c r="Y40" i="12"/>
  <c r="Y78" i="11"/>
  <c r="Y46" i="3"/>
  <c r="X34" i="13"/>
  <c r="Y4" i="12"/>
  <c r="Y72" i="11"/>
  <c r="Y34" i="13"/>
  <c r="X93" i="11"/>
  <c r="X21" i="12"/>
  <c r="X71" i="12" s="1"/>
  <c r="X28" i="11"/>
  <c r="X90" i="11" s="1"/>
  <c r="X68" i="11"/>
  <c r="X73" i="11"/>
  <c r="X24" i="13"/>
  <c r="Y35" i="13"/>
  <c r="X89" i="11"/>
  <c r="Y35" i="12"/>
  <c r="Y68" i="11"/>
  <c r="Y73" i="11"/>
  <c r="Y29" i="12"/>
  <c r="X14" i="11"/>
  <c r="X119" i="11" s="1"/>
  <c r="X92" i="11"/>
  <c r="X48" i="11"/>
  <c r="X236" i="3"/>
  <c r="Y47" i="13"/>
  <c r="Y27" i="13"/>
  <c r="Y83" i="3"/>
  <c r="Y235" i="3" s="1"/>
  <c r="Y10" i="13"/>
  <c r="Y37" i="13"/>
  <c r="X228" i="3"/>
  <c r="Y20" i="19"/>
  <c r="Y60" i="3"/>
  <c r="Y24" i="19"/>
  <c r="Y18" i="17"/>
  <c r="Y87" i="3"/>
  <c r="Y239" i="3" s="1"/>
  <c r="Y3" i="17"/>
  <c r="Y23" i="17" s="1"/>
  <c r="Y10" i="17"/>
  <c r="Y23" i="15"/>
  <c r="Y21" i="15"/>
  <c r="Y162" i="3"/>
  <c r="X43" i="13"/>
  <c r="X33" i="13"/>
  <c r="X23" i="13"/>
  <c r="X6" i="13"/>
  <c r="X4" i="13"/>
  <c r="X74" i="3"/>
  <c r="X25" i="19"/>
  <c r="X21" i="19"/>
  <c r="X61" i="3"/>
  <c r="X22" i="15"/>
  <c r="X3" i="18"/>
  <c r="X18" i="18" s="1"/>
  <c r="X30" i="3"/>
  <c r="X14" i="18"/>
  <c r="X18" i="20"/>
  <c r="X14" i="14"/>
  <c r="X20" i="14" s="1"/>
  <c r="X4" i="14"/>
  <c r="Y91" i="3"/>
  <c r="Y243" i="3" s="1"/>
  <c r="Y19" i="20"/>
  <c r="Y3" i="20"/>
  <c r="Y23" i="20" s="1"/>
  <c r="Y15" i="20"/>
  <c r="Y28" i="11"/>
  <c r="Y101" i="11"/>
  <c r="X4" i="10"/>
  <c r="X23" i="10"/>
  <c r="X7" i="18"/>
  <c r="X110" i="11"/>
  <c r="X111" i="11"/>
  <c r="Y28" i="3"/>
  <c r="Y84" i="3"/>
  <c r="Y192" i="3"/>
  <c r="Y237" i="3"/>
  <c r="Y242" i="3"/>
  <c r="Y19" i="18"/>
  <c r="X19" i="17"/>
  <c r="X15" i="17"/>
  <c r="Y10" i="16"/>
  <c r="Y43" i="13"/>
  <c r="X4" i="11"/>
  <c r="X107" i="11" s="1"/>
  <c r="X91" i="11"/>
  <c r="X81" i="11"/>
  <c r="X24" i="11"/>
  <c r="X97" i="11"/>
  <c r="X58" i="11"/>
  <c r="X69" i="11"/>
  <c r="X113" i="11"/>
  <c r="Y4" i="10"/>
  <c r="Y50" i="10"/>
  <c r="Y61" i="10"/>
  <c r="X15" i="18"/>
  <c r="X14" i="15"/>
  <c r="Y38" i="13"/>
  <c r="Y48" i="13"/>
  <c r="Y91" i="11"/>
  <c r="Y8" i="11"/>
  <c r="Y113" i="11" s="1"/>
  <c r="X52" i="9"/>
  <c r="Y29" i="3"/>
  <c r="Y123" i="3" s="1"/>
  <c r="Y222" i="3"/>
  <c r="Y10" i="20"/>
  <c r="Y14" i="15"/>
  <c r="Y5" i="13"/>
  <c r="X49" i="13"/>
  <c r="X29" i="13"/>
  <c r="X39" i="13"/>
  <c r="X43" i="12"/>
  <c r="X23" i="12"/>
  <c r="X73" i="12" s="1"/>
  <c r="X10" i="12"/>
  <c r="X45" i="12"/>
  <c r="X103" i="11"/>
  <c r="X38" i="11"/>
  <c r="X71" i="11"/>
  <c r="X82" i="11"/>
  <c r="X26" i="3"/>
  <c r="X82" i="3"/>
  <c r="Y205" i="3"/>
  <c r="Y18" i="20"/>
  <c r="Y14" i="18"/>
  <c r="Y15" i="15"/>
  <c r="X45" i="13"/>
  <c r="X35" i="13"/>
  <c r="X25" i="13"/>
  <c r="Y43" i="12"/>
  <c r="Y38" i="11"/>
  <c r="Y71" i="11"/>
  <c r="Y82" i="11"/>
  <c r="Y87" i="8"/>
  <c r="Y17" i="8"/>
  <c r="Y34" i="10"/>
  <c r="Y15" i="10"/>
  <c r="Y45" i="10"/>
  <c r="Y22" i="3"/>
  <c r="X3" i="17"/>
  <c r="X23" i="17" s="1"/>
  <c r="Y19" i="17"/>
  <c r="Y4" i="14"/>
  <c r="Y4" i="13"/>
  <c r="X39" i="12"/>
  <c r="X6" i="12"/>
  <c r="X29" i="12"/>
  <c r="X34" i="12"/>
  <c r="X24" i="12"/>
  <c r="X74" i="12" s="1"/>
  <c r="X33" i="12"/>
  <c r="X44" i="12"/>
  <c r="X67" i="11"/>
  <c r="X30" i="10"/>
  <c r="X52" i="10"/>
  <c r="X197" i="3"/>
  <c r="Y22" i="15"/>
  <c r="Y33" i="12"/>
  <c r="Y28" i="10"/>
  <c r="Y56" i="10"/>
  <c r="X50" i="9"/>
  <c r="X39" i="9"/>
  <c r="X28" i="9"/>
  <c r="X41" i="10"/>
  <c r="X19" i="20"/>
  <c r="X11" i="20"/>
  <c r="Y18" i="18"/>
  <c r="X3" i="15"/>
  <c r="X15" i="15"/>
  <c r="X37" i="13"/>
  <c r="X27" i="13"/>
  <c r="X10" i="13"/>
  <c r="X30" i="12"/>
  <c r="X20" i="12"/>
  <c r="X70" i="12" s="1"/>
  <c r="X5" i="12"/>
  <c r="X19" i="13" s="1"/>
  <c r="X40" i="12"/>
  <c r="X11" i="10"/>
  <c r="X9" i="10" s="1"/>
  <c r="X34" i="10"/>
  <c r="X45" i="10"/>
  <c r="X56" i="10"/>
  <c r="Y28" i="9"/>
  <c r="Y39" i="9"/>
  <c r="Y13" i="9"/>
  <c r="Y50" i="9"/>
  <c r="Y30" i="12"/>
  <c r="Y20" i="12"/>
  <c r="Y70" i="12" s="1"/>
  <c r="Y5" i="12"/>
  <c r="Y34" i="12"/>
  <c r="Y24" i="12"/>
  <c r="Y74" i="12" s="1"/>
  <c r="Y87" i="11"/>
  <c r="Y4" i="11"/>
  <c r="Y81" i="11"/>
  <c r="Y30" i="10"/>
  <c r="Y11" i="10"/>
  <c r="Y32" i="9"/>
  <c r="Y54" i="8"/>
  <c r="Y76" i="8" s="1"/>
  <c r="Y98" i="8"/>
  <c r="Y58" i="8"/>
  <c r="Y80" i="8" s="1"/>
  <c r="Y102" i="8"/>
  <c r="Y101" i="8"/>
  <c r="Y49" i="13"/>
  <c r="Y93" i="11"/>
  <c r="X34" i="11"/>
  <c r="X72" i="11"/>
  <c r="Y54" i="11"/>
  <c r="X83" i="11"/>
  <c r="Y17" i="9"/>
  <c r="Y27" i="9"/>
  <c r="Y6" i="12"/>
  <c r="Y10" i="12"/>
  <c r="Y83" i="11"/>
  <c r="Y34" i="11"/>
  <c r="X39" i="10"/>
  <c r="Y52" i="10"/>
  <c r="Y6" i="8"/>
  <c r="Y10" i="8"/>
  <c r="Y84" i="8"/>
  <c r="Y21" i="8"/>
  <c r="Y124" i="8" s="1"/>
  <c r="X63" i="8"/>
  <c r="Y95" i="8"/>
  <c r="Y54" i="9"/>
  <c r="X54" i="9"/>
  <c r="X43" i="9"/>
  <c r="X32" i="9"/>
  <c r="Y97" i="8"/>
  <c r="Y28" i="8"/>
  <c r="Y63" i="8" s="1"/>
  <c r="X98" i="8"/>
  <c r="X54" i="8"/>
  <c r="X76" i="8" s="1"/>
  <c r="X102" i="8"/>
  <c r="X58" i="8"/>
  <c r="X80" i="8" s="1"/>
  <c r="Y42" i="10"/>
  <c r="Y46" i="10"/>
  <c r="Y64" i="10"/>
  <c r="Y51" i="8"/>
  <c r="Y73" i="8" s="1"/>
  <c r="X57" i="10"/>
  <c r="Y47" i="9"/>
  <c r="X17" i="8"/>
  <c r="X21" i="8"/>
  <c r="X123" i="8" s="1"/>
  <c r="X97" i="8"/>
  <c r="X101" i="8"/>
  <c r="Y3" i="19" l="1"/>
  <c r="Y28" i="19" s="1"/>
  <c r="Y11" i="20"/>
  <c r="X21" i="20"/>
  <c r="X23" i="15"/>
  <c r="Y22" i="18"/>
  <c r="X25" i="8"/>
  <c r="Y3" i="16"/>
  <c r="Y121" i="11"/>
  <c r="Y122" i="11"/>
  <c r="Y123" i="11"/>
  <c r="X23" i="20"/>
  <c r="X116" i="11"/>
  <c r="X117" i="11"/>
  <c r="X235" i="3"/>
  <c r="X55" i="10"/>
  <c r="X118" i="11"/>
  <c r="X22" i="10"/>
  <c r="X3" i="16"/>
  <c r="X28" i="16" s="1"/>
  <c r="Y25" i="14"/>
  <c r="Y13" i="18"/>
  <c r="Y80" i="11"/>
  <c r="X52" i="3"/>
  <c r="X11" i="17"/>
  <c r="Y23" i="18"/>
  <c r="Y52" i="3"/>
  <c r="Y204" i="3" s="1"/>
  <c r="X80" i="11"/>
  <c r="Y20" i="16"/>
  <c r="Y53" i="11"/>
  <c r="X13" i="11"/>
  <c r="X60" i="3"/>
  <c r="X212" i="3" s="1"/>
  <c r="X20" i="19"/>
  <c r="X3" i="19"/>
  <c r="X29" i="19" s="1"/>
  <c r="X24" i="19"/>
  <c r="X86" i="3"/>
  <c r="X238" i="3" s="1"/>
  <c r="Y57" i="3"/>
  <c r="Y209" i="3" s="1"/>
  <c r="X25" i="14"/>
  <c r="Y227" i="3"/>
  <c r="X198" i="3"/>
  <c r="Y3" i="12"/>
  <c r="Y51" i="12" s="1"/>
  <c r="Y21" i="14"/>
  <c r="X22" i="3"/>
  <c r="X122" i="11"/>
  <c r="X43" i="11"/>
  <c r="Y20" i="14"/>
  <c r="X36" i="8"/>
  <c r="X41" i="9"/>
  <c r="X4" i="8"/>
  <c r="X108" i="8" s="1"/>
  <c r="X96" i="8"/>
  <c r="X192" i="3"/>
  <c r="Y22" i="13"/>
  <c r="Y73" i="3"/>
  <c r="X89" i="3"/>
  <c r="X181" i="3" s="1"/>
  <c r="X112" i="8"/>
  <c r="Y36" i="8"/>
  <c r="X233" i="3"/>
  <c r="X22" i="17"/>
  <c r="X13" i="20"/>
  <c r="X44" i="10"/>
  <c r="Y13" i="15"/>
  <c r="Y18" i="15"/>
  <c r="Y13" i="3"/>
  <c r="X100" i="8"/>
  <c r="Y17" i="15"/>
  <c r="Y198" i="3"/>
  <c r="X111" i="8"/>
  <c r="X76" i="11"/>
  <c r="X41" i="3"/>
  <c r="X193" i="3" s="1"/>
  <c r="X11" i="9"/>
  <c r="X10" i="9" s="1"/>
  <c r="X57" i="9" s="1"/>
  <c r="X113" i="8"/>
  <c r="X224" i="3"/>
  <c r="Y111" i="11"/>
  <c r="Y42" i="13"/>
  <c r="Y12" i="14"/>
  <c r="Y24" i="14" s="1"/>
  <c r="X13" i="3"/>
  <c r="X195" i="3" s="1"/>
  <c r="X37" i="9"/>
  <c r="X3" i="12"/>
  <c r="X51" i="12" s="1"/>
  <c r="Y23" i="10"/>
  <c r="Y22" i="10"/>
  <c r="Y117" i="11"/>
  <c r="Y29" i="19"/>
  <c r="X121" i="11"/>
  <c r="Y119" i="11"/>
  <c r="Y118" i="11"/>
  <c r="X53" i="11"/>
  <c r="Y76" i="11"/>
  <c r="X21" i="16"/>
  <c r="X10" i="17"/>
  <c r="X123" i="11"/>
  <c r="Y112" i="11"/>
  <c r="X21" i="14"/>
  <c r="Y13" i="11"/>
  <c r="X25" i="16"/>
  <c r="X57" i="3"/>
  <c r="X209" i="3" s="1"/>
  <c r="Y32" i="13"/>
  <c r="X24" i="16"/>
  <c r="X17" i="20"/>
  <c r="Y43" i="3"/>
  <c r="X9" i="3"/>
  <c r="X222" i="3"/>
  <c r="Y226" i="3"/>
  <c r="Y123" i="8"/>
  <c r="Y224" i="3"/>
  <c r="Y21" i="19"/>
  <c r="Y61" i="3"/>
  <c r="Y213" i="3" s="1"/>
  <c r="X70" i="11"/>
  <c r="X100" i="11"/>
  <c r="Y19" i="13"/>
  <c r="Y27" i="16"/>
  <c r="Y23" i="16"/>
  <c r="Y19" i="16"/>
  <c r="Y28" i="16"/>
  <c r="X85" i="8"/>
  <c r="X15" i="8"/>
  <c r="X49" i="10"/>
  <c r="X8" i="10"/>
  <c r="X60" i="10" s="1"/>
  <c r="Y44" i="10"/>
  <c r="Y55" i="10"/>
  <c r="Y33" i="10"/>
  <c r="Y81" i="3"/>
  <c r="X110" i="8"/>
  <c r="X17" i="17"/>
  <c r="X13" i="17"/>
  <c r="X21" i="17"/>
  <c r="X29" i="3"/>
  <c r="X122" i="3" s="1"/>
  <c r="X242" i="3"/>
  <c r="Y89" i="3"/>
  <c r="Y183" i="3" s="1"/>
  <c r="Y122" i="8"/>
  <c r="Y89" i="8"/>
  <c r="X13" i="15"/>
  <c r="X19" i="15"/>
  <c r="X17" i="15"/>
  <c r="Y85" i="8"/>
  <c r="Y15" i="8"/>
  <c r="Y118" i="8" s="1"/>
  <c r="Y240" i="3"/>
  <c r="Y122" i="3"/>
  <c r="Y32" i="12"/>
  <c r="Y22" i="12"/>
  <c r="Y72" i="12" s="1"/>
  <c r="Y42" i="12"/>
  <c r="Y41" i="9"/>
  <c r="Y30" i="9"/>
  <c r="Y52" i="9"/>
  <c r="Y51" i="3"/>
  <c r="X18" i="15"/>
  <c r="Y70" i="11"/>
  <c r="X12" i="14"/>
  <c r="X18" i="14" s="1"/>
  <c r="X18" i="13"/>
  <c r="X3" i="13"/>
  <c r="X52" i="13" s="1"/>
  <c r="X26" i="14"/>
  <c r="X66" i="11"/>
  <c r="X26" i="13"/>
  <c r="X46" i="13"/>
  <c r="X36" i="13"/>
  <c r="Y66" i="11"/>
  <c r="Y40" i="10"/>
  <c r="Y51" i="10"/>
  <c r="Y29" i="10"/>
  <c r="Y71" i="3"/>
  <c r="X30" i="9"/>
  <c r="X106" i="11"/>
  <c r="X108" i="11"/>
  <c r="X86" i="11"/>
  <c r="X109" i="11"/>
  <c r="Y236" i="3"/>
  <c r="Y100" i="11"/>
  <c r="Y23" i="11"/>
  <c r="Y95" i="11" s="1"/>
  <c r="X213" i="3"/>
  <c r="X73" i="3"/>
  <c r="X226" i="3"/>
  <c r="X13" i="18"/>
  <c r="X17" i="18"/>
  <c r="X19" i="18"/>
  <c r="Y27" i="19"/>
  <c r="Y23" i="19"/>
  <c r="Y19" i="19"/>
  <c r="Y112" i="8"/>
  <c r="Y100" i="8"/>
  <c r="Y56" i="8"/>
  <c r="Y78" i="8" s="1"/>
  <c r="Y111" i="8"/>
  <c r="Y21" i="3"/>
  <c r="Y28" i="12"/>
  <c r="Y18" i="12"/>
  <c r="Y68" i="12" s="1"/>
  <c r="Y38" i="12"/>
  <c r="Y113" i="8"/>
  <c r="Y106" i="11"/>
  <c r="Y107" i="11"/>
  <c r="Y109" i="11"/>
  <c r="Y86" i="11"/>
  <c r="Y48" i="9"/>
  <c r="Y26" i="9"/>
  <c r="Y37" i="9"/>
  <c r="Y41" i="3"/>
  <c r="Y11" i="9"/>
  <c r="X40" i="10"/>
  <c r="X71" i="3"/>
  <c r="X51" i="10"/>
  <c r="X29" i="10"/>
  <c r="X52" i="8"/>
  <c r="X74" i="8" s="1"/>
  <c r="Y9" i="10"/>
  <c r="Y108" i="11"/>
  <c r="X38" i="12"/>
  <c r="X28" i="12"/>
  <c r="X18" i="12"/>
  <c r="X68" i="12" s="1"/>
  <c r="Y26" i="3"/>
  <c r="X42" i="13"/>
  <c r="X32" i="13"/>
  <c r="X22" i="13"/>
  <c r="Y212" i="3"/>
  <c r="X89" i="8"/>
  <c r="X122" i="8"/>
  <c r="X124" i="8"/>
  <c r="Y96" i="8"/>
  <c r="Y52" i="8"/>
  <c r="Y74" i="8" s="1"/>
  <c r="Y4" i="8"/>
  <c r="Y107" i="8" s="1"/>
  <c r="Y11" i="3"/>
  <c r="X26" i="9"/>
  <c r="Y36" i="13"/>
  <c r="Y26" i="13"/>
  <c r="Y46" i="13"/>
  <c r="Y18" i="13"/>
  <c r="Y3" i="13"/>
  <c r="Y56" i="13" s="1"/>
  <c r="X32" i="12"/>
  <c r="X22" i="12"/>
  <c r="X72" i="12" s="1"/>
  <c r="X42" i="12"/>
  <c r="Y121" i="3"/>
  <c r="X96" i="11"/>
  <c r="X23" i="11"/>
  <c r="Y21" i="16"/>
  <c r="Y11" i="17"/>
  <c r="Y29" i="16"/>
  <c r="Y25" i="16"/>
  <c r="Y58" i="3"/>
  <c r="Y21" i="20"/>
  <c r="Y13" i="20"/>
  <c r="Y17" i="20"/>
  <c r="Y9" i="20"/>
  <c r="Y22" i="20"/>
  <c r="Y13" i="17"/>
  <c r="Y21" i="17"/>
  <c r="Y17" i="17"/>
  <c r="Y9" i="17"/>
  <c r="X33" i="10"/>
  <c r="Y82" i="3"/>
  <c r="Y234" i="3" s="1"/>
  <c r="Y26" i="8"/>
  <c r="X56" i="8"/>
  <c r="X78" i="8" s="1"/>
  <c r="Y110" i="11"/>
  <c r="Y90" i="11"/>
  <c r="X21" i="18"/>
  <c r="X22" i="18"/>
  <c r="X23" i="19"/>
  <c r="X27" i="19"/>
  <c r="X19" i="19"/>
  <c r="Y86" i="3"/>
  <c r="X46" i="9"/>
  <c r="Y22" i="17"/>
  <c r="X23" i="18"/>
  <c r="X35" i="9" l="1"/>
  <c r="X29" i="16"/>
  <c r="X109" i="8"/>
  <c r="X204" i="3"/>
  <c r="X19" i="16"/>
  <c r="X27" i="16"/>
  <c r="X23" i="16"/>
  <c r="X9" i="17"/>
  <c r="X106" i="8"/>
  <c r="X105" i="8"/>
  <c r="X94" i="8"/>
  <c r="X59" i="3"/>
  <c r="X153" i="3" s="1"/>
  <c r="X28" i="19"/>
  <c r="X9" i="20"/>
  <c r="Y55" i="12"/>
  <c r="Y47" i="12"/>
  <c r="Y48" i="12"/>
  <c r="Y56" i="3"/>
  <c r="Y208" i="3" s="1"/>
  <c r="Y53" i="12"/>
  <c r="X107" i="8"/>
  <c r="X39" i="3"/>
  <c r="X191" i="3" s="1"/>
  <c r="Y225" i="3"/>
  <c r="X182" i="3"/>
  <c r="X183" i="3"/>
  <c r="X95" i="11"/>
  <c r="Y50" i="12"/>
  <c r="Y17" i="12"/>
  <c r="Y67" i="12" s="1"/>
  <c r="X38" i="10"/>
  <c r="Y52" i="12"/>
  <c r="X24" i="9"/>
  <c r="X234" i="3"/>
  <c r="Y54" i="12"/>
  <c r="Y49" i="12"/>
  <c r="Y195" i="3"/>
  <c r="X49" i="12"/>
  <c r="Y37" i="12"/>
  <c r="Y18" i="14"/>
  <c r="X56" i="3"/>
  <c r="X208" i="3" s="1"/>
  <c r="X62" i="10"/>
  <c r="X225" i="3"/>
  <c r="X53" i="12"/>
  <c r="X50" i="12"/>
  <c r="X54" i="12"/>
  <c r="X52" i="12"/>
  <c r="X55" i="12"/>
  <c r="X17" i="12"/>
  <c r="X67" i="12" s="1"/>
  <c r="X118" i="8"/>
  <c r="X48" i="12"/>
  <c r="X47" i="12"/>
  <c r="Y59" i="3"/>
  <c r="Y152" i="3" s="1"/>
  <c r="X50" i="8"/>
  <c r="X72" i="8" s="1"/>
  <c r="X27" i="10"/>
  <c r="X56" i="13"/>
  <c r="Y75" i="11"/>
  <c r="Y238" i="3"/>
  <c r="Y203" i="3"/>
  <c r="Y55" i="13"/>
  <c r="Y41" i="13"/>
  <c r="Y51" i="13"/>
  <c r="Y59" i="13"/>
  <c r="Y57" i="13"/>
  <c r="Y21" i="13"/>
  <c r="Y54" i="13"/>
  <c r="Y52" i="13"/>
  <c r="Y58" i="13"/>
  <c r="Y53" i="13"/>
  <c r="X37" i="12"/>
  <c r="X24" i="14"/>
  <c r="X69" i="3"/>
  <c r="X223" i="3"/>
  <c r="X59" i="10"/>
  <c r="X48" i="10"/>
  <c r="X63" i="10"/>
  <c r="X67" i="10"/>
  <c r="X66" i="10"/>
  <c r="X75" i="11"/>
  <c r="Y241" i="3"/>
  <c r="Y117" i="8"/>
  <c r="Y116" i="8"/>
  <c r="Y83" i="8"/>
  <c r="Y14" i="8"/>
  <c r="Y121" i="8"/>
  <c r="Y119" i="8"/>
  <c r="Y120" i="8"/>
  <c r="Y69" i="3"/>
  <c r="X14" i="8"/>
  <c r="X82" i="8" s="1"/>
  <c r="X83" i="8"/>
  <c r="X116" i="8"/>
  <c r="X120" i="8"/>
  <c r="X121" i="8"/>
  <c r="X117" i="8"/>
  <c r="X119" i="8"/>
  <c r="Y223" i="3"/>
  <c r="Y9" i="3"/>
  <c r="X60" i="9"/>
  <c r="X64" i="9"/>
  <c r="X56" i="9"/>
  <c r="X62" i="9"/>
  <c r="X45" i="9"/>
  <c r="X58" i="9"/>
  <c r="X61" i="9"/>
  <c r="X63" i="9"/>
  <c r="X59" i="9"/>
  <c r="X65" i="9"/>
  <c r="X152" i="3"/>
  <c r="Y109" i="8"/>
  <c r="Y94" i="8"/>
  <c r="Y108" i="8"/>
  <c r="Y50" i="8"/>
  <c r="Y105" i="8"/>
  <c r="Y110" i="8"/>
  <c r="Y106" i="8"/>
  <c r="Y10" i="9"/>
  <c r="Y46" i="9"/>
  <c r="Y24" i="9"/>
  <c r="Y35" i="9"/>
  <c r="X41" i="13"/>
  <c r="X51" i="13"/>
  <c r="X21" i="13"/>
  <c r="X58" i="13"/>
  <c r="X59" i="13"/>
  <c r="X54" i="13"/>
  <c r="X55" i="13"/>
  <c r="X57" i="13"/>
  <c r="X53" i="13"/>
  <c r="Y49" i="10"/>
  <c r="Y38" i="10"/>
  <c r="Y8" i="10"/>
  <c r="Y27" i="10"/>
  <c r="Y39" i="3"/>
  <c r="Y193" i="3"/>
  <c r="Y233" i="3"/>
  <c r="Y181" i="3"/>
  <c r="Y182" i="3"/>
  <c r="Y61" i="8"/>
  <c r="Y25" i="8"/>
  <c r="Y210" i="3"/>
  <c r="X241" i="3"/>
  <c r="X121" i="3"/>
  <c r="X123" i="3"/>
  <c r="X211" i="3" l="1"/>
  <c r="X151" i="3"/>
  <c r="Y153" i="3"/>
  <c r="Y151" i="3"/>
  <c r="Y72" i="8"/>
  <c r="Y211" i="3"/>
  <c r="X23" i="9"/>
  <c r="Y191" i="3"/>
  <c r="Y221" i="3"/>
  <c r="Y82" i="8"/>
  <c r="X26" i="10"/>
  <c r="X221" i="3"/>
  <c r="Y26" i="10"/>
  <c r="Y59" i="10"/>
  <c r="Y48" i="10"/>
  <c r="Y67" i="10"/>
  <c r="Y63" i="10"/>
  <c r="Y66" i="10"/>
  <c r="Y62" i="10"/>
  <c r="Y23" i="9"/>
  <c r="Y45" i="9"/>
  <c r="Y56" i="9"/>
  <c r="Y60" i="9"/>
  <c r="Y58" i="9"/>
  <c r="Y64" i="9"/>
  <c r="Y62" i="9"/>
  <c r="Y65" i="9"/>
  <c r="Y61" i="9"/>
  <c r="Y59" i="9"/>
  <c r="Y63" i="9"/>
  <c r="Y60" i="10"/>
  <c r="Y57" i="9"/>
  <c r="A236" i="3" l="1"/>
  <c r="A61" i="3"/>
  <c r="A60" i="3"/>
  <c r="A207" i="3"/>
  <c r="K29" i="13"/>
  <c r="Q23" i="13"/>
  <c r="W91" i="3"/>
  <c r="T91" i="3"/>
  <c r="S91" i="3"/>
  <c r="R91" i="3"/>
  <c r="Q91" i="3"/>
  <c r="P91" i="3"/>
  <c r="O91" i="3"/>
  <c r="N91" i="3"/>
  <c r="L91" i="3"/>
  <c r="K91" i="3"/>
  <c r="J91" i="3"/>
  <c r="I91" i="3"/>
  <c r="H91" i="3"/>
  <c r="E91" i="3"/>
  <c r="D91" i="3"/>
  <c r="C91" i="3"/>
  <c r="B91" i="3"/>
  <c r="W90" i="3"/>
  <c r="V90" i="3"/>
  <c r="U90" i="3"/>
  <c r="S90" i="3"/>
  <c r="R90" i="3"/>
  <c r="Q90" i="3"/>
  <c r="P90" i="3"/>
  <c r="O90" i="3"/>
  <c r="N90" i="3"/>
  <c r="L90" i="3"/>
  <c r="J90" i="3"/>
  <c r="I90" i="3"/>
  <c r="H90" i="3"/>
  <c r="G90" i="3"/>
  <c r="F90" i="3"/>
  <c r="E3" i="20"/>
  <c r="E22" i="20" s="1"/>
  <c r="C90" i="3"/>
  <c r="B90" i="3"/>
  <c r="M15" i="20"/>
  <c r="G15" i="20"/>
  <c r="E15" i="20"/>
  <c r="W14" i="18"/>
  <c r="W31" i="3"/>
  <c r="U31" i="3"/>
  <c r="T31" i="3"/>
  <c r="S31" i="3"/>
  <c r="R31" i="3"/>
  <c r="Q31" i="3"/>
  <c r="P31" i="3"/>
  <c r="O31" i="3"/>
  <c r="M31" i="3"/>
  <c r="L31" i="3"/>
  <c r="K31" i="3"/>
  <c r="H31" i="3"/>
  <c r="F31" i="3"/>
  <c r="E31" i="3"/>
  <c r="D31" i="3"/>
  <c r="C31" i="3"/>
  <c r="B31" i="3"/>
  <c r="W30" i="3"/>
  <c r="S30" i="3"/>
  <c r="Q14" i="18"/>
  <c r="P18" i="20"/>
  <c r="N30" i="3"/>
  <c r="M30" i="3"/>
  <c r="K30" i="3"/>
  <c r="J30" i="3"/>
  <c r="I30" i="3"/>
  <c r="H30" i="3"/>
  <c r="G30" i="3"/>
  <c r="C30" i="3"/>
  <c r="B30" i="3"/>
  <c r="C18" i="20"/>
  <c r="B25" i="1"/>
  <c r="B26" i="1"/>
  <c r="B24" i="1"/>
  <c r="S242" i="3" l="1"/>
  <c r="C242" i="3"/>
  <c r="O14" i="18"/>
  <c r="I15" i="18"/>
  <c r="E3" i="18"/>
  <c r="E13" i="18" s="1"/>
  <c r="I7" i="18"/>
  <c r="I23" i="18" s="1"/>
  <c r="U3" i="18"/>
  <c r="U17" i="18" s="1"/>
  <c r="I23" i="13"/>
  <c r="C29" i="13"/>
  <c r="F3" i="18"/>
  <c r="F17" i="18" s="1"/>
  <c r="V3" i="18"/>
  <c r="V19" i="18" s="1"/>
  <c r="R7" i="18"/>
  <c r="R21" i="18" s="1"/>
  <c r="O25" i="13"/>
  <c r="W3" i="20"/>
  <c r="W22" i="20" s="1"/>
  <c r="J15" i="18"/>
  <c r="F15" i="18"/>
  <c r="I24" i="13"/>
  <c r="U27" i="13"/>
  <c r="F23" i="13"/>
  <c r="N7" i="18"/>
  <c r="N21" i="18" s="1"/>
  <c r="E27" i="13"/>
  <c r="D14" i="18"/>
  <c r="L14" i="18"/>
  <c r="T14" i="18"/>
  <c r="N15" i="18"/>
  <c r="V15" i="18"/>
  <c r="S29" i="13"/>
  <c r="N23" i="13"/>
  <c r="U14" i="20"/>
  <c r="G15" i="18"/>
  <c r="O243" i="3"/>
  <c r="W243" i="3"/>
  <c r="B23" i="13"/>
  <c r="J23" i="13"/>
  <c r="R23" i="13"/>
  <c r="D24" i="13"/>
  <c r="L24" i="13"/>
  <c r="T24" i="13"/>
  <c r="D29" i="13"/>
  <c r="L29" i="13"/>
  <c r="T29" i="13"/>
  <c r="V23" i="13"/>
  <c r="Q24" i="13"/>
  <c r="M27" i="13"/>
  <c r="E24" i="13"/>
  <c r="M24" i="13"/>
  <c r="U24" i="13"/>
  <c r="G25" i="13"/>
  <c r="W25" i="13"/>
  <c r="T7" i="18"/>
  <c r="T21" i="18" s="1"/>
  <c r="K14" i="18"/>
  <c r="S14" i="18"/>
  <c r="M4" i="19"/>
  <c r="M10" i="20" s="1"/>
  <c r="H25" i="13"/>
  <c r="P25" i="13"/>
  <c r="B27" i="13"/>
  <c r="J27" i="13"/>
  <c r="R27" i="13"/>
  <c r="H29" i="13"/>
  <c r="P29" i="13"/>
  <c r="N242" i="3"/>
  <c r="H243" i="3"/>
  <c r="C25" i="13"/>
  <c r="O28" i="13"/>
  <c r="M15" i="18"/>
  <c r="H242" i="3"/>
  <c r="H23" i="13"/>
  <c r="P23" i="13"/>
  <c r="B24" i="13"/>
  <c r="J24" i="13"/>
  <c r="R24" i="13"/>
  <c r="D25" i="13"/>
  <c r="L25" i="13"/>
  <c r="T25" i="13"/>
  <c r="F27" i="13"/>
  <c r="N27" i="13"/>
  <c r="V27" i="13"/>
  <c r="H28" i="13"/>
  <c r="P28" i="13"/>
  <c r="B29" i="13"/>
  <c r="J29" i="13"/>
  <c r="R29" i="13"/>
  <c r="W23" i="13"/>
  <c r="G28" i="13"/>
  <c r="C243" i="3"/>
  <c r="K243" i="3"/>
  <c r="S243" i="3"/>
  <c r="E7" i="18"/>
  <c r="E21" i="18" s="1"/>
  <c r="M7" i="18"/>
  <c r="M21" i="18" s="1"/>
  <c r="U7" i="18"/>
  <c r="U21" i="18" s="1"/>
  <c r="I4" i="19"/>
  <c r="I60" i="3" s="1"/>
  <c r="I212" i="3" s="1"/>
  <c r="K4" i="19"/>
  <c r="K24" i="19" s="1"/>
  <c r="W4" i="19"/>
  <c r="W20" i="19" s="1"/>
  <c r="G10" i="19"/>
  <c r="G11" i="20" s="1"/>
  <c r="O10" i="19"/>
  <c r="O61" i="3" s="1"/>
  <c r="O213" i="3" s="1"/>
  <c r="Q10" i="19"/>
  <c r="Q61" i="3" s="1"/>
  <c r="Q213" i="3" s="1"/>
  <c r="D3" i="20"/>
  <c r="D22" i="20" s="1"/>
  <c r="T3" i="20"/>
  <c r="T22" i="20" s="1"/>
  <c r="F3" i="20"/>
  <c r="F23" i="20" s="1"/>
  <c r="C24" i="13"/>
  <c r="K24" i="13"/>
  <c r="S24" i="13"/>
  <c r="E25" i="13"/>
  <c r="M25" i="13"/>
  <c r="U25" i="13"/>
  <c r="G27" i="13"/>
  <c r="O27" i="13"/>
  <c r="W27" i="13"/>
  <c r="I28" i="13"/>
  <c r="Q28" i="13"/>
  <c r="Q15" i="18"/>
  <c r="R18" i="20"/>
  <c r="T243" i="3"/>
  <c r="M14" i="20"/>
  <c r="F25" i="13"/>
  <c r="N25" i="13"/>
  <c r="V25" i="13"/>
  <c r="H27" i="13"/>
  <c r="P27" i="13"/>
  <c r="B28" i="13"/>
  <c r="J28" i="13"/>
  <c r="R28" i="13"/>
  <c r="R30" i="3"/>
  <c r="R242" i="3" s="1"/>
  <c r="K25" i="13"/>
  <c r="I29" i="13"/>
  <c r="B242" i="3"/>
  <c r="L243" i="3"/>
  <c r="H89" i="3"/>
  <c r="H181" i="3" s="1"/>
  <c r="C23" i="13"/>
  <c r="K23" i="13"/>
  <c r="S23" i="13"/>
  <c r="I27" i="13"/>
  <c r="Q27" i="13"/>
  <c r="C28" i="13"/>
  <c r="K28" i="13"/>
  <c r="S28" i="13"/>
  <c r="E29" i="13"/>
  <c r="M29" i="13"/>
  <c r="U29" i="13"/>
  <c r="O23" i="13"/>
  <c r="S25" i="13"/>
  <c r="Q29" i="13"/>
  <c r="D243" i="3"/>
  <c r="M3" i="18"/>
  <c r="M18" i="18" s="1"/>
  <c r="G14" i="18"/>
  <c r="D23" i="13"/>
  <c r="L23" i="13"/>
  <c r="T23" i="13"/>
  <c r="F24" i="13"/>
  <c r="N24" i="13"/>
  <c r="V24" i="13"/>
  <c r="D28" i="13"/>
  <c r="L28" i="13"/>
  <c r="T28" i="13"/>
  <c r="F29" i="13"/>
  <c r="N29" i="13"/>
  <c r="V29" i="13"/>
  <c r="C7" i="18"/>
  <c r="C21" i="18" s="1"/>
  <c r="E23" i="13"/>
  <c r="M23" i="13"/>
  <c r="U23" i="13"/>
  <c r="G24" i="13"/>
  <c r="O24" i="13"/>
  <c r="W24" i="13"/>
  <c r="I25" i="13"/>
  <c r="Q25" i="13"/>
  <c r="C27" i="13"/>
  <c r="K27" i="13"/>
  <c r="S27" i="13"/>
  <c r="E28" i="13"/>
  <c r="M28" i="13"/>
  <c r="U28" i="13"/>
  <c r="G29" i="13"/>
  <c r="O29" i="13"/>
  <c r="W29" i="13"/>
  <c r="G23" i="13"/>
  <c r="W28" i="13"/>
  <c r="L15" i="20"/>
  <c r="F4" i="19"/>
  <c r="F60" i="3" s="1"/>
  <c r="N4" i="19"/>
  <c r="N60" i="3" s="1"/>
  <c r="N212" i="3" s="1"/>
  <c r="V4" i="19"/>
  <c r="V60" i="3" s="1"/>
  <c r="H4" i="19"/>
  <c r="H60" i="3" s="1"/>
  <c r="H212" i="3" s="1"/>
  <c r="P4" i="19"/>
  <c r="P20" i="19" s="1"/>
  <c r="J10" i="19"/>
  <c r="J61" i="3" s="1"/>
  <c r="S19" i="20"/>
  <c r="H24" i="13"/>
  <c r="P24" i="13"/>
  <c r="B25" i="13"/>
  <c r="J25" i="13"/>
  <c r="R25" i="13"/>
  <c r="D27" i="13"/>
  <c r="L27" i="13"/>
  <c r="T27" i="13"/>
  <c r="F28" i="13"/>
  <c r="N28" i="13"/>
  <c r="V28" i="13"/>
  <c r="R243" i="3"/>
  <c r="I242" i="3"/>
  <c r="E243" i="3"/>
  <c r="G242" i="3"/>
  <c r="W242" i="3"/>
  <c r="Q243" i="3"/>
  <c r="K15" i="18"/>
  <c r="L19" i="20"/>
  <c r="D7" i="18"/>
  <c r="D21" i="18" s="1"/>
  <c r="K14" i="20"/>
  <c r="M3" i="20"/>
  <c r="M21" i="20" s="1"/>
  <c r="U19" i="20"/>
  <c r="Q30" i="3"/>
  <c r="Q242" i="3" s="1"/>
  <c r="A242" i="3"/>
  <c r="N31" i="3"/>
  <c r="N243" i="3" s="1"/>
  <c r="V31" i="3"/>
  <c r="J242" i="3"/>
  <c r="A243" i="3"/>
  <c r="H10" i="19"/>
  <c r="H11" i="20" s="1"/>
  <c r="E14" i="20"/>
  <c r="L7" i="18"/>
  <c r="L21" i="18" s="1"/>
  <c r="G3" i="20"/>
  <c r="G22" i="20" s="1"/>
  <c r="C4" i="19"/>
  <c r="C20" i="19" s="1"/>
  <c r="S4" i="19"/>
  <c r="S20" i="19" s="1"/>
  <c r="U4" i="19"/>
  <c r="U20" i="19" s="1"/>
  <c r="Q4" i="19"/>
  <c r="Q60" i="3" s="1"/>
  <c r="D30" i="3"/>
  <c r="L30" i="3"/>
  <c r="L242" i="3" s="1"/>
  <c r="T30" i="3"/>
  <c r="G31" i="3"/>
  <c r="G29" i="3" s="1"/>
  <c r="G122" i="3" s="1"/>
  <c r="M91" i="3"/>
  <c r="M243" i="3" s="1"/>
  <c r="U91" i="3"/>
  <c r="U243" i="3" s="1"/>
  <c r="P10" i="19"/>
  <c r="P61" i="3" s="1"/>
  <c r="P213" i="3" s="1"/>
  <c r="U3" i="20"/>
  <c r="U22" i="20" s="1"/>
  <c r="H7" i="18"/>
  <c r="H23" i="18" s="1"/>
  <c r="D4" i="19"/>
  <c r="D60" i="3" s="1"/>
  <c r="L4" i="19"/>
  <c r="L60" i="3" s="1"/>
  <c r="T4" i="19"/>
  <c r="T60" i="3" s="1"/>
  <c r="R10" i="19"/>
  <c r="R61" i="3" s="1"/>
  <c r="R213" i="3" s="1"/>
  <c r="E30" i="3"/>
  <c r="E29" i="3" s="1"/>
  <c r="U30" i="3"/>
  <c r="U242" i="3" s="1"/>
  <c r="K90" i="3"/>
  <c r="K242" i="3" s="1"/>
  <c r="F91" i="3"/>
  <c r="F243" i="3" s="1"/>
  <c r="V91" i="3"/>
  <c r="V89" i="3" s="1"/>
  <c r="B243" i="3"/>
  <c r="B10" i="19"/>
  <c r="B61" i="3" s="1"/>
  <c r="B213" i="3" s="1"/>
  <c r="O15" i="20"/>
  <c r="V3" i="20"/>
  <c r="V22" i="20" s="1"/>
  <c r="O15" i="18"/>
  <c r="W15" i="18"/>
  <c r="E4" i="19"/>
  <c r="E60" i="3" s="1"/>
  <c r="G4" i="19"/>
  <c r="G60" i="3" s="1"/>
  <c r="G212" i="3" s="1"/>
  <c r="W10" i="19"/>
  <c r="W25" i="19" s="1"/>
  <c r="F30" i="3"/>
  <c r="F242" i="3" s="1"/>
  <c r="V30" i="3"/>
  <c r="V242" i="3" s="1"/>
  <c r="I31" i="3"/>
  <c r="I243" i="3" s="1"/>
  <c r="D90" i="3"/>
  <c r="D89" i="3" s="1"/>
  <c r="D183" i="3" s="1"/>
  <c r="T90" i="3"/>
  <c r="T89" i="3" s="1"/>
  <c r="T183" i="3" s="1"/>
  <c r="G91" i="3"/>
  <c r="G89" i="3" s="1"/>
  <c r="O30" i="3"/>
  <c r="O29" i="3" s="1"/>
  <c r="J31" i="3"/>
  <c r="J29" i="3" s="1"/>
  <c r="J122" i="3" s="1"/>
  <c r="E90" i="3"/>
  <c r="E89" i="3" s="1"/>
  <c r="M90" i="3"/>
  <c r="M242" i="3" s="1"/>
  <c r="G3" i="18"/>
  <c r="G17" i="18" s="1"/>
  <c r="W3" i="18"/>
  <c r="W18" i="18" s="1"/>
  <c r="C14" i="18"/>
  <c r="K7" i="18"/>
  <c r="K21" i="18" s="1"/>
  <c r="S7" i="18"/>
  <c r="S21" i="18" s="1"/>
  <c r="E15" i="18"/>
  <c r="O4" i="19"/>
  <c r="O24" i="19" s="1"/>
  <c r="I10" i="19"/>
  <c r="I61" i="3" s="1"/>
  <c r="B18" i="20"/>
  <c r="J18" i="20"/>
  <c r="D19" i="20"/>
  <c r="L3" i="20"/>
  <c r="L23" i="20" s="1"/>
  <c r="T19" i="20"/>
  <c r="P30" i="3"/>
  <c r="P242" i="3" s="1"/>
  <c r="O89" i="3"/>
  <c r="O181" i="3" s="1"/>
  <c r="A212" i="3"/>
  <c r="A213" i="3"/>
  <c r="K29" i="3"/>
  <c r="K123" i="3" s="1"/>
  <c r="P243" i="3"/>
  <c r="H29" i="3"/>
  <c r="C29" i="3"/>
  <c r="S29" i="3"/>
  <c r="S121" i="3" s="1"/>
  <c r="A182" i="3"/>
  <c r="A183" i="3"/>
  <c r="W89" i="3"/>
  <c r="N89" i="3"/>
  <c r="N181" i="3" s="1"/>
  <c r="A122" i="3"/>
  <c r="A91" i="3"/>
  <c r="B89" i="3"/>
  <c r="B181" i="3" s="1"/>
  <c r="J89" i="3"/>
  <c r="R89" i="3"/>
  <c r="R182" i="3" s="1"/>
  <c r="A123" i="3"/>
  <c r="I89" i="3"/>
  <c r="I181" i="3" s="1"/>
  <c r="Q89" i="3"/>
  <c r="Q181" i="3" s="1"/>
  <c r="A152" i="3"/>
  <c r="A153" i="3"/>
  <c r="M29" i="3"/>
  <c r="C89" i="3"/>
  <c r="C181" i="3" s="1"/>
  <c r="S89" i="3"/>
  <c r="S181" i="3" s="1"/>
  <c r="A90" i="3"/>
  <c r="P89" i="3"/>
  <c r="P182" i="3" s="1"/>
  <c r="A237" i="3"/>
  <c r="L89" i="3"/>
  <c r="L183" i="3" s="1"/>
  <c r="B29" i="3"/>
  <c r="W29" i="3"/>
  <c r="N29" i="3"/>
  <c r="A117" i="3"/>
  <c r="A147" i="3"/>
  <c r="A54" i="3"/>
  <c r="A176" i="3"/>
  <c r="A55" i="3"/>
  <c r="A177" i="3"/>
  <c r="A84" i="3"/>
  <c r="A206" i="3"/>
  <c r="A85" i="3"/>
  <c r="A146" i="3"/>
  <c r="A116" i="3"/>
  <c r="E17" i="18"/>
  <c r="E18" i="18"/>
  <c r="I21" i="18"/>
  <c r="N3" i="18"/>
  <c r="N17" i="18" s="1"/>
  <c r="U14" i="18"/>
  <c r="E21" i="20"/>
  <c r="F22" i="20"/>
  <c r="P14" i="18"/>
  <c r="J14" i="20"/>
  <c r="O3" i="20"/>
  <c r="O23" i="20" s="1"/>
  <c r="O3" i="18"/>
  <c r="O18" i="18" s="1"/>
  <c r="N3" i="20"/>
  <c r="F24" i="19"/>
  <c r="F20" i="19"/>
  <c r="L10" i="20"/>
  <c r="Q25" i="19"/>
  <c r="Q21" i="19"/>
  <c r="Q14" i="20"/>
  <c r="Q3" i="20"/>
  <c r="Q22" i="20" s="1"/>
  <c r="C19" i="20"/>
  <c r="E14" i="18"/>
  <c r="M14" i="18"/>
  <c r="E19" i="18"/>
  <c r="H18" i="20"/>
  <c r="E19" i="20"/>
  <c r="P3" i="18"/>
  <c r="P18" i="18" s="1"/>
  <c r="F7" i="18"/>
  <c r="F21" i="18" s="1"/>
  <c r="V7" i="18"/>
  <c r="V21" i="18" s="1"/>
  <c r="F14" i="18"/>
  <c r="N14" i="18"/>
  <c r="V14" i="18"/>
  <c r="H15" i="18"/>
  <c r="P15" i="18"/>
  <c r="B4" i="19"/>
  <c r="B60" i="3" s="1"/>
  <c r="J4" i="19"/>
  <c r="J60" i="3" s="1"/>
  <c r="J212" i="3" s="1"/>
  <c r="R4" i="19"/>
  <c r="R60" i="3" s="1"/>
  <c r="I18" i="20"/>
  <c r="J19" i="20"/>
  <c r="H3" i="18"/>
  <c r="H18" i="18" s="1"/>
  <c r="I3" i="18"/>
  <c r="I19" i="18" s="1"/>
  <c r="G7" i="18"/>
  <c r="G21" i="18" s="1"/>
  <c r="O7" i="18"/>
  <c r="O21" i="18" s="1"/>
  <c r="W7" i="18"/>
  <c r="W21" i="18" s="1"/>
  <c r="C10" i="19"/>
  <c r="C61" i="3" s="1"/>
  <c r="C213" i="3" s="1"/>
  <c r="K10" i="19"/>
  <c r="S10" i="19"/>
  <c r="S61" i="3" s="1"/>
  <c r="S213" i="3" s="1"/>
  <c r="E10" i="19"/>
  <c r="E61" i="3" s="1"/>
  <c r="E213" i="3" s="1"/>
  <c r="M10" i="19"/>
  <c r="M61" i="3" s="1"/>
  <c r="M213" i="3" s="1"/>
  <c r="U10" i="19"/>
  <c r="U61" i="3" s="1"/>
  <c r="U213" i="3" s="1"/>
  <c r="K18" i="20"/>
  <c r="K19" i="20"/>
  <c r="I14" i="20"/>
  <c r="I3" i="20"/>
  <c r="I23" i="20" s="1"/>
  <c r="B3" i="18"/>
  <c r="B18" i="18" s="1"/>
  <c r="R3" i="18"/>
  <c r="R19" i="18" s="1"/>
  <c r="P7" i="18"/>
  <c r="P21" i="18" s="1"/>
  <c r="H14" i="18"/>
  <c r="B15" i="18"/>
  <c r="R15" i="18"/>
  <c r="D10" i="19"/>
  <c r="L10" i="19"/>
  <c r="T10" i="19"/>
  <c r="M22" i="20"/>
  <c r="W23" i="20"/>
  <c r="R14" i="20"/>
  <c r="M19" i="20"/>
  <c r="K15" i="20"/>
  <c r="K3" i="20"/>
  <c r="K22" i="20" s="1"/>
  <c r="Q3" i="18"/>
  <c r="Q18" i="18" s="1"/>
  <c r="C3" i="18"/>
  <c r="C19" i="18" s="1"/>
  <c r="U18" i="18"/>
  <c r="Q7" i="18"/>
  <c r="Q21" i="18" s="1"/>
  <c r="E23" i="18"/>
  <c r="I14" i="18"/>
  <c r="C15" i="18"/>
  <c r="S15" i="18"/>
  <c r="F18" i="20"/>
  <c r="F14" i="20"/>
  <c r="N18" i="20"/>
  <c r="N14" i="20"/>
  <c r="V18" i="20"/>
  <c r="V14" i="20"/>
  <c r="H19" i="20"/>
  <c r="H15" i="20"/>
  <c r="P19" i="20"/>
  <c r="P15" i="20"/>
  <c r="S14" i="20"/>
  <c r="T15" i="20"/>
  <c r="Q18" i="20"/>
  <c r="R19" i="20"/>
  <c r="C15" i="20"/>
  <c r="C3" i="20"/>
  <c r="C23" i="20" s="1"/>
  <c r="J3" i="18"/>
  <c r="J18" i="18" s="1"/>
  <c r="K3" i="18"/>
  <c r="K19" i="18" s="1"/>
  <c r="S3" i="18"/>
  <c r="S18" i="18" s="1"/>
  <c r="D3" i="18"/>
  <c r="D18" i="18" s="1"/>
  <c r="L3" i="18"/>
  <c r="T3" i="18"/>
  <c r="T18" i="18" s="1"/>
  <c r="B7" i="18"/>
  <c r="B22" i="18" s="1"/>
  <c r="J7" i="18"/>
  <c r="J21" i="18" s="1"/>
  <c r="D14" i="20"/>
  <c r="L14" i="20"/>
  <c r="T14" i="20"/>
  <c r="F15" i="20"/>
  <c r="N15" i="20"/>
  <c r="V15" i="20"/>
  <c r="B14" i="18"/>
  <c r="J14" i="18"/>
  <c r="R14" i="18"/>
  <c r="D15" i="18"/>
  <c r="L15" i="18"/>
  <c r="T15" i="18"/>
  <c r="F10" i="19"/>
  <c r="F61" i="3" s="1"/>
  <c r="N10" i="19"/>
  <c r="V10" i="19"/>
  <c r="E17" i="20"/>
  <c r="E13" i="20"/>
  <c r="G18" i="20"/>
  <c r="G14" i="20"/>
  <c r="O18" i="20"/>
  <c r="O14" i="20"/>
  <c r="W18" i="20"/>
  <c r="W14" i="20"/>
  <c r="I19" i="20"/>
  <c r="I15" i="20"/>
  <c r="Q19" i="20"/>
  <c r="Q15" i="20"/>
  <c r="B14" i="20"/>
  <c r="U15" i="20"/>
  <c r="S18" i="20"/>
  <c r="S15" i="20"/>
  <c r="S3" i="20"/>
  <c r="S23" i="20" s="1"/>
  <c r="G18" i="18"/>
  <c r="E22" i="18"/>
  <c r="U15" i="18"/>
  <c r="H14" i="20"/>
  <c r="H3" i="20"/>
  <c r="H22" i="20" s="1"/>
  <c r="P14" i="20"/>
  <c r="P3" i="20"/>
  <c r="P22" i="20" s="1"/>
  <c r="B15" i="20"/>
  <c r="B3" i="20"/>
  <c r="J15" i="20"/>
  <c r="J3" i="20"/>
  <c r="J23" i="20" s="1"/>
  <c r="R15" i="20"/>
  <c r="C14" i="20"/>
  <c r="D15" i="20"/>
  <c r="W15" i="20"/>
  <c r="B19" i="20"/>
  <c r="D18" i="20"/>
  <c r="L18" i="20"/>
  <c r="T18" i="20"/>
  <c r="F19" i="20"/>
  <c r="N19" i="20"/>
  <c r="V19" i="20"/>
  <c r="E18" i="20"/>
  <c r="M18" i="20"/>
  <c r="U18" i="20"/>
  <c r="G19" i="20"/>
  <c r="O19" i="20"/>
  <c r="W19" i="20"/>
  <c r="E23" i="20"/>
  <c r="R3" i="20"/>
  <c r="I22" i="18" l="1"/>
  <c r="R25" i="19"/>
  <c r="N13" i="20"/>
  <c r="J11" i="20"/>
  <c r="U19" i="18"/>
  <c r="W24" i="19"/>
  <c r="L20" i="19"/>
  <c r="M23" i="20"/>
  <c r="P10" i="20"/>
  <c r="R21" i="19"/>
  <c r="H20" i="19"/>
  <c r="H25" i="19"/>
  <c r="K23" i="18"/>
  <c r="F18" i="18"/>
  <c r="Q10" i="20"/>
  <c r="G25" i="19"/>
  <c r="D21" i="20"/>
  <c r="O11" i="20"/>
  <c r="N20" i="19"/>
  <c r="U24" i="19"/>
  <c r="Q24" i="19"/>
  <c r="G23" i="20"/>
  <c r="O21" i="19"/>
  <c r="P24" i="19"/>
  <c r="N23" i="18"/>
  <c r="T23" i="18"/>
  <c r="R23" i="18"/>
  <c r="W17" i="20"/>
  <c r="R22" i="18"/>
  <c r="N24" i="19"/>
  <c r="N10" i="20"/>
  <c r="W10" i="20"/>
  <c r="T22" i="18"/>
  <c r="K20" i="19"/>
  <c r="T20" i="19"/>
  <c r="H3" i="19"/>
  <c r="H29" i="19" s="1"/>
  <c r="M24" i="19"/>
  <c r="R212" i="3"/>
  <c r="L23" i="18"/>
  <c r="F19" i="18"/>
  <c r="N22" i="18"/>
  <c r="Q11" i="20"/>
  <c r="F89" i="3"/>
  <c r="F181" i="3" s="1"/>
  <c r="U29" i="3"/>
  <c r="U123" i="3" s="1"/>
  <c r="M23" i="18"/>
  <c r="S23" i="18"/>
  <c r="S22" i="18"/>
  <c r="N241" i="3"/>
  <c r="D23" i="20"/>
  <c r="I213" i="3"/>
  <c r="M22" i="18"/>
  <c r="G24" i="19"/>
  <c r="L21" i="20"/>
  <c r="W3" i="19"/>
  <c r="W28" i="19" s="1"/>
  <c r="S10" i="20"/>
  <c r="R29" i="3"/>
  <c r="R123" i="3" s="1"/>
  <c r="J21" i="19"/>
  <c r="T24" i="19"/>
  <c r="W19" i="18"/>
  <c r="G19" i="18"/>
  <c r="H19" i="18"/>
  <c r="V17" i="18"/>
  <c r="V17" i="20"/>
  <c r="Q212" i="3"/>
  <c r="V18" i="18"/>
  <c r="W17" i="18"/>
  <c r="Q20" i="19"/>
  <c r="P3" i="19"/>
  <c r="P23" i="19" s="1"/>
  <c r="F10" i="20"/>
  <c r="W21" i="20"/>
  <c r="K10" i="20"/>
  <c r="O25" i="19"/>
  <c r="Q3" i="19"/>
  <c r="Q29" i="19" s="1"/>
  <c r="M20" i="19"/>
  <c r="G20" i="19"/>
  <c r="F23" i="18"/>
  <c r="R11" i="20"/>
  <c r="F59" i="3"/>
  <c r="F151" i="3" s="1"/>
  <c r="M3" i="19"/>
  <c r="M23" i="19" s="1"/>
  <c r="G21" i="20"/>
  <c r="Q29" i="3"/>
  <c r="Q123" i="3" s="1"/>
  <c r="R18" i="18"/>
  <c r="C22" i="20"/>
  <c r="W11" i="20"/>
  <c r="B11" i="20"/>
  <c r="B25" i="19"/>
  <c r="M13" i="20"/>
  <c r="J25" i="19"/>
  <c r="I25" i="19"/>
  <c r="W60" i="3"/>
  <c r="W212" i="3" s="1"/>
  <c r="B21" i="19"/>
  <c r="M17" i="18"/>
  <c r="T10" i="20"/>
  <c r="L24" i="19"/>
  <c r="M60" i="3"/>
  <c r="M212" i="3" s="1"/>
  <c r="K60" i="3"/>
  <c r="K212" i="3" s="1"/>
  <c r="P29" i="3"/>
  <c r="P123" i="3" s="1"/>
  <c r="T212" i="3"/>
  <c r="G61" i="3"/>
  <c r="G213" i="3" s="1"/>
  <c r="K122" i="3"/>
  <c r="G21" i="19"/>
  <c r="H10" i="20"/>
  <c r="E24" i="19"/>
  <c r="C22" i="18"/>
  <c r="D10" i="20"/>
  <c r="V20" i="19"/>
  <c r="H183" i="3"/>
  <c r="D24" i="19"/>
  <c r="I20" i="19"/>
  <c r="O23" i="18"/>
  <c r="N17" i="20"/>
  <c r="D20" i="19"/>
  <c r="V24" i="19"/>
  <c r="T29" i="3"/>
  <c r="T122" i="3" s="1"/>
  <c r="G3" i="19"/>
  <c r="G9" i="20" s="1"/>
  <c r="M19" i="18"/>
  <c r="E20" i="19"/>
  <c r="N23" i="20"/>
  <c r="C23" i="18"/>
  <c r="L17" i="20"/>
  <c r="U23" i="18"/>
  <c r="L22" i="20"/>
  <c r="F17" i="20"/>
  <c r="C10" i="20"/>
  <c r="H22" i="18"/>
  <c r="M13" i="18"/>
  <c r="I24" i="19"/>
  <c r="E10" i="20"/>
  <c r="V10" i="20"/>
  <c r="I10" i="20"/>
  <c r="N21" i="20"/>
  <c r="U13" i="18"/>
  <c r="H21" i="18"/>
  <c r="G17" i="20"/>
  <c r="K22" i="18"/>
  <c r="F21" i="20"/>
  <c r="U22" i="18"/>
  <c r="F13" i="20"/>
  <c r="T23" i="20"/>
  <c r="T21" i="20"/>
  <c r="T13" i="20"/>
  <c r="M17" i="20"/>
  <c r="H24" i="19"/>
  <c r="G10" i="20"/>
  <c r="M89" i="3"/>
  <c r="M241" i="3" s="1"/>
  <c r="H182" i="3"/>
  <c r="Q183" i="3"/>
  <c r="S19" i="18"/>
  <c r="O242" i="3"/>
  <c r="P60" i="3"/>
  <c r="P212" i="3" s="1"/>
  <c r="G243" i="3"/>
  <c r="F13" i="18"/>
  <c r="Q59" i="3"/>
  <c r="Q153" i="3" s="1"/>
  <c r="J241" i="3"/>
  <c r="S122" i="3"/>
  <c r="J243" i="3"/>
  <c r="S22" i="20"/>
  <c r="Q19" i="18"/>
  <c r="S123" i="3"/>
  <c r="J121" i="3"/>
  <c r="N22" i="20"/>
  <c r="U89" i="3"/>
  <c r="U183" i="3" s="1"/>
  <c r="J123" i="3"/>
  <c r="D242" i="3"/>
  <c r="V181" i="3"/>
  <c r="V182" i="3"/>
  <c r="Q23" i="20"/>
  <c r="O17" i="20"/>
  <c r="L13" i="20"/>
  <c r="P25" i="19"/>
  <c r="I21" i="19"/>
  <c r="V21" i="20"/>
  <c r="D22" i="18"/>
  <c r="D11" i="20"/>
  <c r="D61" i="3"/>
  <c r="D213" i="3" s="1"/>
  <c r="N13" i="18"/>
  <c r="I3" i="19"/>
  <c r="I27" i="19" s="1"/>
  <c r="F29" i="3"/>
  <c r="F122" i="3" s="1"/>
  <c r="R59" i="3"/>
  <c r="R153" i="3" s="1"/>
  <c r="S182" i="3"/>
  <c r="T242" i="3"/>
  <c r="V243" i="3"/>
  <c r="B212" i="3"/>
  <c r="B59" i="3"/>
  <c r="B152" i="3" s="1"/>
  <c r="D23" i="18"/>
  <c r="E59" i="3"/>
  <c r="E211" i="3" s="1"/>
  <c r="F213" i="3"/>
  <c r="O10" i="20"/>
  <c r="O60" i="3"/>
  <c r="U21" i="20"/>
  <c r="G23" i="18"/>
  <c r="N3" i="19"/>
  <c r="N28" i="19" s="1"/>
  <c r="N61" i="3"/>
  <c r="G13" i="18"/>
  <c r="O17" i="18"/>
  <c r="K11" i="20"/>
  <c r="K61" i="3"/>
  <c r="D29" i="3"/>
  <c r="D241" i="3" s="1"/>
  <c r="E242" i="3"/>
  <c r="U13" i="20"/>
  <c r="L29" i="3"/>
  <c r="L241" i="3" s="1"/>
  <c r="K89" i="3"/>
  <c r="K181" i="3" s="1"/>
  <c r="W21" i="19"/>
  <c r="W61" i="3"/>
  <c r="W213" i="3" s="1"/>
  <c r="H21" i="19"/>
  <c r="H61" i="3"/>
  <c r="V23" i="20"/>
  <c r="N122" i="3"/>
  <c r="O3" i="19"/>
  <c r="O19" i="19" s="1"/>
  <c r="S11" i="20"/>
  <c r="U17" i="20"/>
  <c r="N18" i="18"/>
  <c r="C11" i="20"/>
  <c r="P11" i="20"/>
  <c r="D13" i="20"/>
  <c r="E3" i="19"/>
  <c r="E9" i="20" s="1"/>
  <c r="E11" i="20"/>
  <c r="I29" i="3"/>
  <c r="I241" i="3" s="1"/>
  <c r="U10" i="20"/>
  <c r="U60" i="3"/>
  <c r="V3" i="19"/>
  <c r="V28" i="19" s="1"/>
  <c r="V61" i="3"/>
  <c r="U23" i="20"/>
  <c r="O19" i="18"/>
  <c r="V23" i="18"/>
  <c r="L22" i="18"/>
  <c r="T3" i="19"/>
  <c r="T23" i="19" s="1"/>
  <c r="T61" i="3"/>
  <c r="T59" i="3" s="1"/>
  <c r="N19" i="18"/>
  <c r="C18" i="18"/>
  <c r="O20" i="19"/>
  <c r="P21" i="19"/>
  <c r="I11" i="20"/>
  <c r="V29" i="3"/>
  <c r="V123" i="3" s="1"/>
  <c r="I59" i="3"/>
  <c r="I152" i="3" s="1"/>
  <c r="Q182" i="3"/>
  <c r="L212" i="3"/>
  <c r="E212" i="3"/>
  <c r="F212" i="3"/>
  <c r="S24" i="19"/>
  <c r="S60" i="3"/>
  <c r="J213" i="3"/>
  <c r="L11" i="20"/>
  <c r="L61" i="3"/>
  <c r="J59" i="3"/>
  <c r="J151" i="3" s="1"/>
  <c r="D212" i="3"/>
  <c r="C24" i="19"/>
  <c r="C60" i="3"/>
  <c r="V212" i="3"/>
  <c r="H121" i="3"/>
  <c r="H241" i="3"/>
  <c r="H122" i="3"/>
  <c r="G121" i="3"/>
  <c r="G241" i="3"/>
  <c r="K121" i="3"/>
  <c r="V183" i="3"/>
  <c r="B121" i="3"/>
  <c r="B241" i="3"/>
  <c r="I183" i="3"/>
  <c r="O121" i="3"/>
  <c r="O241" i="3"/>
  <c r="E121" i="3"/>
  <c r="E241" i="3"/>
  <c r="S241" i="3"/>
  <c r="B182" i="3"/>
  <c r="N182" i="3"/>
  <c r="O182" i="3"/>
  <c r="O183" i="3"/>
  <c r="W121" i="3"/>
  <c r="W241" i="3"/>
  <c r="B122" i="3"/>
  <c r="C123" i="3"/>
  <c r="C241" i="3"/>
  <c r="B183" i="3"/>
  <c r="H123" i="3"/>
  <c r="F183" i="3"/>
  <c r="C122" i="3"/>
  <c r="C182" i="3"/>
  <c r="F182" i="3"/>
  <c r="E181" i="3"/>
  <c r="E182" i="3"/>
  <c r="C121" i="3"/>
  <c r="G181" i="3"/>
  <c r="G183" i="3"/>
  <c r="G182" i="3"/>
  <c r="T181" i="3"/>
  <c r="T182" i="3"/>
  <c r="S183" i="3"/>
  <c r="N183" i="3"/>
  <c r="J183" i="3"/>
  <c r="J181" i="3"/>
  <c r="P181" i="3"/>
  <c r="P183" i="3"/>
  <c r="L181" i="3"/>
  <c r="L182" i="3"/>
  <c r="W181" i="3"/>
  <c r="W182" i="3"/>
  <c r="W183" i="3"/>
  <c r="E183" i="3"/>
  <c r="D181" i="3"/>
  <c r="D182" i="3"/>
  <c r="R183" i="3"/>
  <c r="R181" i="3"/>
  <c r="I182" i="3"/>
  <c r="C183" i="3"/>
  <c r="J182" i="3"/>
  <c r="M123" i="3"/>
  <c r="M121" i="3"/>
  <c r="O123" i="3"/>
  <c r="E123" i="3"/>
  <c r="W123" i="3"/>
  <c r="G123" i="3"/>
  <c r="B123" i="3"/>
  <c r="W122" i="3"/>
  <c r="M122" i="3"/>
  <c r="N123" i="3"/>
  <c r="N121" i="3"/>
  <c r="E122" i="3"/>
  <c r="O122" i="3"/>
  <c r="P23" i="20"/>
  <c r="D17" i="20"/>
  <c r="J22" i="18"/>
  <c r="P19" i="18"/>
  <c r="O21" i="20"/>
  <c r="O22" i="20"/>
  <c r="J23" i="18"/>
  <c r="B19" i="18"/>
  <c r="V13" i="20"/>
  <c r="T17" i="20"/>
  <c r="L18" i="18"/>
  <c r="J17" i="18"/>
  <c r="J13" i="18"/>
  <c r="C25" i="19"/>
  <c r="C21" i="19"/>
  <c r="C3" i="19"/>
  <c r="C9" i="20" s="1"/>
  <c r="J19" i="18"/>
  <c r="T11" i="20"/>
  <c r="W22" i="18"/>
  <c r="L3" i="19"/>
  <c r="L29" i="19" s="1"/>
  <c r="F21" i="19"/>
  <c r="F11" i="20"/>
  <c r="F25" i="19"/>
  <c r="W23" i="18"/>
  <c r="K21" i="20"/>
  <c r="K17" i="20"/>
  <c r="K13" i="20"/>
  <c r="T25" i="19"/>
  <c r="T21" i="19"/>
  <c r="Q22" i="18"/>
  <c r="K25" i="19"/>
  <c r="K21" i="19"/>
  <c r="K3" i="19"/>
  <c r="P21" i="20"/>
  <c r="P17" i="20"/>
  <c r="P13" i="20"/>
  <c r="C21" i="20"/>
  <c r="C17" i="20"/>
  <c r="C13" i="20"/>
  <c r="L25" i="19"/>
  <c r="L21" i="19"/>
  <c r="R17" i="18"/>
  <c r="R13" i="18"/>
  <c r="I13" i="18"/>
  <c r="I17" i="18"/>
  <c r="W13" i="18"/>
  <c r="F22" i="18"/>
  <c r="R21" i="20"/>
  <c r="R17" i="20"/>
  <c r="R13" i="20"/>
  <c r="R22" i="20"/>
  <c r="J21" i="20"/>
  <c r="J17" i="20"/>
  <c r="J13" i="20"/>
  <c r="T17" i="18"/>
  <c r="T19" i="18"/>
  <c r="T13" i="18"/>
  <c r="D25" i="19"/>
  <c r="D21" i="19"/>
  <c r="B17" i="18"/>
  <c r="B13" i="18"/>
  <c r="U21" i="19"/>
  <c r="U25" i="19"/>
  <c r="H17" i="18"/>
  <c r="H13" i="18"/>
  <c r="R24" i="19"/>
  <c r="R20" i="19"/>
  <c r="R3" i="19"/>
  <c r="R9" i="20" s="1"/>
  <c r="P13" i="18"/>
  <c r="P17" i="18"/>
  <c r="R10" i="20"/>
  <c r="P23" i="18"/>
  <c r="O13" i="18"/>
  <c r="B21" i="20"/>
  <c r="B17" i="20"/>
  <c r="B13" i="20"/>
  <c r="J22" i="20"/>
  <c r="L17" i="18"/>
  <c r="L13" i="18"/>
  <c r="I21" i="20"/>
  <c r="I17" i="20"/>
  <c r="I13" i="20"/>
  <c r="M21" i="19"/>
  <c r="M25" i="19"/>
  <c r="J24" i="19"/>
  <c r="J20" i="19"/>
  <c r="J3" i="19"/>
  <c r="J9" i="20" s="1"/>
  <c r="J10" i="20"/>
  <c r="Q21" i="20"/>
  <c r="Q17" i="20"/>
  <c r="Q13" i="20"/>
  <c r="D3" i="19"/>
  <c r="D29" i="19" s="1"/>
  <c r="P22" i="18"/>
  <c r="K23" i="20"/>
  <c r="I22" i="20"/>
  <c r="K18" i="18"/>
  <c r="K17" i="18"/>
  <c r="K13" i="18"/>
  <c r="B22" i="20"/>
  <c r="R23" i="20"/>
  <c r="B23" i="20"/>
  <c r="V21" i="19"/>
  <c r="V11" i="20"/>
  <c r="V25" i="19"/>
  <c r="B21" i="18"/>
  <c r="B23" i="18"/>
  <c r="D17" i="18"/>
  <c r="D13" i="18"/>
  <c r="D19" i="18"/>
  <c r="C17" i="18"/>
  <c r="C13" i="18"/>
  <c r="E21" i="19"/>
  <c r="E25" i="19"/>
  <c r="U11" i="20"/>
  <c r="B24" i="19"/>
  <c r="B20" i="19"/>
  <c r="B3" i="19"/>
  <c r="B9" i="20" s="1"/>
  <c r="G13" i="20"/>
  <c r="B10" i="20"/>
  <c r="Q23" i="18"/>
  <c r="O22" i="18"/>
  <c r="G22" i="18"/>
  <c r="F3" i="19"/>
  <c r="H21" i="20"/>
  <c r="H17" i="20"/>
  <c r="H13" i="20"/>
  <c r="H23" i="20"/>
  <c r="S21" i="20"/>
  <c r="S17" i="20"/>
  <c r="S13" i="20"/>
  <c r="N21" i="19"/>
  <c r="N25" i="19"/>
  <c r="N11" i="20"/>
  <c r="S17" i="18"/>
  <c r="S13" i="18"/>
  <c r="U3" i="19"/>
  <c r="Q13" i="18"/>
  <c r="Q17" i="18"/>
  <c r="O13" i="20"/>
  <c r="L19" i="18"/>
  <c r="S25" i="19"/>
  <c r="S21" i="19"/>
  <c r="S3" i="19"/>
  <c r="S9" i="20" s="1"/>
  <c r="W13" i="20"/>
  <c r="M11" i="20"/>
  <c r="V22" i="18"/>
  <c r="V13" i="18"/>
  <c r="I18" i="18"/>
  <c r="Q9" i="20" l="1"/>
  <c r="N19" i="19"/>
  <c r="E23" i="19"/>
  <c r="U122" i="3"/>
  <c r="N27" i="19"/>
  <c r="E27" i="19"/>
  <c r="U121" i="3"/>
  <c r="N9" i="20"/>
  <c r="M28" i="19"/>
  <c r="W9" i="20"/>
  <c r="N29" i="19"/>
  <c r="M9" i="20"/>
  <c r="H23" i="19"/>
  <c r="M29" i="19"/>
  <c r="M27" i="19"/>
  <c r="M19" i="19"/>
  <c r="W29" i="19"/>
  <c r="Q23" i="19"/>
  <c r="H27" i="19"/>
  <c r="H19" i="19"/>
  <c r="H28" i="19"/>
  <c r="G27" i="19"/>
  <c r="P9" i="20"/>
  <c r="H9" i="20"/>
  <c r="G28" i="19"/>
  <c r="W27" i="19"/>
  <c r="P27" i="19"/>
  <c r="W19" i="19"/>
  <c r="W23" i="19"/>
  <c r="R241" i="3"/>
  <c r="R121" i="3"/>
  <c r="R122" i="3"/>
  <c r="F241" i="3"/>
  <c r="Q122" i="3"/>
  <c r="L121" i="3"/>
  <c r="P121" i="3"/>
  <c r="Q121" i="3"/>
  <c r="T123" i="3"/>
  <c r="P122" i="3"/>
  <c r="Q241" i="3"/>
  <c r="U182" i="3"/>
  <c r="T241" i="3"/>
  <c r="K183" i="3"/>
  <c r="E28" i="19"/>
  <c r="M182" i="3"/>
  <c r="F152" i="3"/>
  <c r="D123" i="3"/>
  <c r="F153" i="3"/>
  <c r="Q27" i="19"/>
  <c r="E153" i="3"/>
  <c r="Q28" i="19"/>
  <c r="P59" i="3"/>
  <c r="P211" i="3" s="1"/>
  <c r="Q19" i="19"/>
  <c r="L123" i="3"/>
  <c r="M59" i="3"/>
  <c r="M152" i="3" s="1"/>
  <c r="O9" i="20"/>
  <c r="Q151" i="3"/>
  <c r="P29" i="19"/>
  <c r="P28" i="19"/>
  <c r="Q152" i="3"/>
  <c r="G59" i="3"/>
  <c r="M181" i="3"/>
  <c r="O27" i="19"/>
  <c r="E152" i="3"/>
  <c r="T121" i="3"/>
  <c r="E151" i="3"/>
  <c r="I122" i="3"/>
  <c r="M183" i="3"/>
  <c r="Q211" i="3"/>
  <c r="P19" i="19"/>
  <c r="I121" i="3"/>
  <c r="R211" i="3"/>
  <c r="O23" i="19"/>
  <c r="K182" i="3"/>
  <c r="E29" i="19"/>
  <c r="O28" i="19"/>
  <c r="E19" i="19"/>
  <c r="P241" i="3"/>
  <c r="F121" i="3"/>
  <c r="D122" i="3"/>
  <c r="J211" i="3"/>
  <c r="V19" i="19"/>
  <c r="J153" i="3"/>
  <c r="D121" i="3"/>
  <c r="F211" i="3"/>
  <c r="J152" i="3"/>
  <c r="G29" i="19"/>
  <c r="F123" i="3"/>
  <c r="V27" i="19"/>
  <c r="U181" i="3"/>
  <c r="G19" i="19"/>
  <c r="I153" i="3"/>
  <c r="U241" i="3"/>
  <c r="I211" i="3"/>
  <c r="G23" i="19"/>
  <c r="I23" i="19"/>
  <c r="I151" i="3"/>
  <c r="I28" i="19"/>
  <c r="T19" i="19"/>
  <c r="T27" i="19"/>
  <c r="I123" i="3"/>
  <c r="W59" i="3"/>
  <c r="W211" i="3" s="1"/>
  <c r="K241" i="3"/>
  <c r="L122" i="3"/>
  <c r="T151" i="3"/>
  <c r="T152" i="3"/>
  <c r="T211" i="3"/>
  <c r="O29" i="19"/>
  <c r="I19" i="19"/>
  <c r="V121" i="3"/>
  <c r="C212" i="3"/>
  <c r="C59" i="3"/>
  <c r="T29" i="19"/>
  <c r="T28" i="19"/>
  <c r="V241" i="3"/>
  <c r="R152" i="3"/>
  <c r="R151" i="3"/>
  <c r="I9" i="20"/>
  <c r="T9" i="20"/>
  <c r="V122" i="3"/>
  <c r="V59" i="3"/>
  <c r="V213" i="3"/>
  <c r="H213" i="3"/>
  <c r="H59" i="3"/>
  <c r="N59" i="3"/>
  <c r="N213" i="3"/>
  <c r="L59" i="3"/>
  <c r="L213" i="3"/>
  <c r="V23" i="19"/>
  <c r="N23" i="19"/>
  <c r="T213" i="3"/>
  <c r="T153" i="3"/>
  <c r="U212" i="3"/>
  <c r="U59" i="3"/>
  <c r="B151" i="3"/>
  <c r="B211" i="3"/>
  <c r="B153" i="3"/>
  <c r="D59" i="3"/>
  <c r="I29" i="19"/>
  <c r="V29" i="19"/>
  <c r="V9" i="20"/>
  <c r="S59" i="3"/>
  <c r="S212" i="3"/>
  <c r="K59" i="3"/>
  <c r="K213" i="3"/>
  <c r="O59" i="3"/>
  <c r="O212" i="3"/>
  <c r="C29" i="19"/>
  <c r="K27" i="19"/>
  <c r="K23" i="19"/>
  <c r="K19" i="19"/>
  <c r="K28" i="19"/>
  <c r="F27" i="19"/>
  <c r="F23" i="19"/>
  <c r="F19" i="19"/>
  <c r="F28" i="19"/>
  <c r="F9" i="20"/>
  <c r="K29" i="19"/>
  <c r="U27" i="19"/>
  <c r="U23" i="19"/>
  <c r="U19" i="19"/>
  <c r="U9" i="20"/>
  <c r="U28" i="19"/>
  <c r="K9" i="20"/>
  <c r="U29" i="19"/>
  <c r="D27" i="19"/>
  <c r="D23" i="19"/>
  <c r="D19" i="19"/>
  <c r="D28" i="19"/>
  <c r="D9" i="20"/>
  <c r="L27" i="19"/>
  <c r="L23" i="19"/>
  <c r="L19" i="19"/>
  <c r="L9" i="20"/>
  <c r="L28" i="19"/>
  <c r="B19" i="19"/>
  <c r="B27" i="19"/>
  <c r="B23" i="19"/>
  <c r="B29" i="19"/>
  <c r="B28" i="19"/>
  <c r="R19" i="19"/>
  <c r="R27" i="19"/>
  <c r="R23" i="19"/>
  <c r="R29" i="19"/>
  <c r="C27" i="19"/>
  <c r="C19" i="19"/>
  <c r="C23" i="19"/>
  <c r="C28" i="19"/>
  <c r="J19" i="19"/>
  <c r="J27" i="19"/>
  <c r="J23" i="19"/>
  <c r="J29" i="19"/>
  <c r="S27" i="19"/>
  <c r="S19" i="19"/>
  <c r="S23" i="19"/>
  <c r="S28" i="19"/>
  <c r="S29" i="19"/>
  <c r="J28" i="19"/>
  <c r="R28" i="19"/>
  <c r="F29" i="19"/>
  <c r="M211" i="3" l="1"/>
  <c r="M151" i="3"/>
  <c r="P153" i="3"/>
  <c r="P151" i="3"/>
  <c r="P152" i="3"/>
  <c r="M153" i="3"/>
  <c r="G211" i="3"/>
  <c r="G152" i="3"/>
  <c r="G151" i="3"/>
  <c r="G153" i="3"/>
  <c r="W153" i="3"/>
  <c r="W151" i="3"/>
  <c r="W152" i="3"/>
  <c r="N152" i="3"/>
  <c r="N151" i="3"/>
  <c r="N211" i="3"/>
  <c r="N153" i="3"/>
  <c r="H153" i="3"/>
  <c r="H211" i="3"/>
  <c r="H151" i="3"/>
  <c r="H152" i="3"/>
  <c r="C153" i="3"/>
  <c r="C151" i="3"/>
  <c r="C211" i="3"/>
  <c r="C152" i="3"/>
  <c r="O152" i="3"/>
  <c r="O151" i="3"/>
  <c r="O153" i="3"/>
  <c r="O211" i="3"/>
  <c r="D151" i="3"/>
  <c r="D211" i="3"/>
  <c r="D152" i="3"/>
  <c r="D153" i="3"/>
  <c r="V151" i="3"/>
  <c r="V211" i="3"/>
  <c r="V153" i="3"/>
  <c r="V152" i="3"/>
  <c r="K152" i="3"/>
  <c r="K151" i="3"/>
  <c r="K211" i="3"/>
  <c r="K153" i="3"/>
  <c r="L153" i="3"/>
  <c r="L152" i="3"/>
  <c r="L151" i="3"/>
  <c r="L211" i="3"/>
  <c r="S152" i="3"/>
  <c r="S151" i="3"/>
  <c r="S211" i="3"/>
  <c r="S153" i="3"/>
  <c r="U152" i="3"/>
  <c r="U153" i="3"/>
  <c r="U151" i="3"/>
  <c r="U211" i="3"/>
  <c r="W35" i="10" l="1"/>
  <c r="V35" i="10"/>
  <c r="U35" i="10"/>
  <c r="S35" i="10"/>
  <c r="R35" i="10"/>
  <c r="Q35" i="10"/>
  <c r="P35" i="10"/>
  <c r="O35" i="10"/>
  <c r="N35" i="10"/>
  <c r="M35" i="10"/>
  <c r="K35" i="10"/>
  <c r="J35" i="10"/>
  <c r="I35" i="10"/>
  <c r="H35" i="10"/>
  <c r="G35" i="10"/>
  <c r="F35" i="10"/>
  <c r="E35" i="10"/>
  <c r="C35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D31" i="10"/>
  <c r="C31" i="10"/>
  <c r="V11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35" i="10"/>
  <c r="B32" i="10"/>
  <c r="B31" i="10"/>
  <c r="B28" i="10"/>
  <c r="W24" i="10"/>
  <c r="V24" i="10"/>
  <c r="U24" i="10"/>
  <c r="T24" i="10"/>
  <c r="S24" i="10"/>
  <c r="Q24" i="10"/>
  <c r="P24" i="10"/>
  <c r="O24" i="10"/>
  <c r="N24" i="10"/>
  <c r="M24" i="10"/>
  <c r="L24" i="10"/>
  <c r="K24" i="10"/>
  <c r="I24" i="10"/>
  <c r="H24" i="10"/>
  <c r="G24" i="10"/>
  <c r="F24" i="10"/>
  <c r="E24" i="10"/>
  <c r="D24" i="10"/>
  <c r="C24" i="10"/>
  <c r="S4" i="10"/>
  <c r="K4" i="10"/>
  <c r="C4" i="10"/>
  <c r="B24" i="10"/>
  <c r="P17" i="9" l="1"/>
  <c r="T4" i="10"/>
  <c r="H17" i="9"/>
  <c r="Q17" i="9"/>
  <c r="E4" i="10"/>
  <c r="M4" i="10"/>
  <c r="U4" i="10"/>
  <c r="I17" i="9"/>
  <c r="F17" i="9"/>
  <c r="N17" i="9"/>
  <c r="G11" i="10"/>
  <c r="G9" i="10" s="1"/>
  <c r="O11" i="10"/>
  <c r="O9" i="10" s="1"/>
  <c r="V17" i="9"/>
  <c r="I11" i="10"/>
  <c r="Q11" i="10"/>
  <c r="Q9" i="10" s="1"/>
  <c r="G15" i="10"/>
  <c r="O15" i="10"/>
  <c r="W15" i="10"/>
  <c r="V9" i="10"/>
  <c r="F15" i="10"/>
  <c r="C11" i="10"/>
  <c r="C9" i="10" s="1"/>
  <c r="K11" i="10"/>
  <c r="K9" i="10" s="1"/>
  <c r="S11" i="10"/>
  <c r="S9" i="10" s="1"/>
  <c r="J15" i="10"/>
  <c r="D15" i="10"/>
  <c r="D35" i="10"/>
  <c r="L15" i="10"/>
  <c r="L35" i="10"/>
  <c r="T15" i="10"/>
  <c r="T35" i="10"/>
  <c r="R15" i="10"/>
  <c r="H11" i="10"/>
  <c r="H31" i="10"/>
  <c r="J11" i="10"/>
  <c r="R11" i="10"/>
  <c r="F11" i="10"/>
  <c r="N11" i="10"/>
  <c r="P11" i="10"/>
  <c r="M17" i="9"/>
  <c r="U17" i="9"/>
  <c r="J17" i="9"/>
  <c r="R17" i="9"/>
  <c r="C15" i="10"/>
  <c r="K15" i="10"/>
  <c r="S15" i="10"/>
  <c r="D4" i="10"/>
  <c r="L4" i="10"/>
  <c r="W11" i="10"/>
  <c r="E15" i="10"/>
  <c r="M15" i="10"/>
  <c r="U15" i="10"/>
  <c r="H15" i="10"/>
  <c r="P15" i="10"/>
  <c r="E17" i="9"/>
  <c r="N15" i="10"/>
  <c r="V15" i="10"/>
  <c r="J4" i="10"/>
  <c r="R4" i="10"/>
  <c r="D11" i="10"/>
  <c r="L11" i="10"/>
  <c r="T11" i="10"/>
  <c r="J24" i="10"/>
  <c r="R24" i="10"/>
  <c r="F4" i="10"/>
  <c r="N4" i="10"/>
  <c r="V4" i="10"/>
  <c r="I4" i="10"/>
  <c r="Q4" i="10"/>
  <c r="C17" i="9"/>
  <c r="O4" i="10"/>
  <c r="M11" i="10"/>
  <c r="I15" i="10"/>
  <c r="Q15" i="10"/>
  <c r="K17" i="9"/>
  <c r="S17" i="9"/>
  <c r="G4" i="10"/>
  <c r="W4" i="10"/>
  <c r="E11" i="10"/>
  <c r="E9" i="10" s="1"/>
  <c r="U11" i="10"/>
  <c r="D17" i="9"/>
  <c r="L17" i="9"/>
  <c r="T17" i="9"/>
  <c r="G17" i="9"/>
  <c r="O17" i="9"/>
  <c r="W17" i="9"/>
  <c r="H4" i="10"/>
  <c r="P4" i="10"/>
  <c r="O8" i="10" l="1"/>
  <c r="N9" i="10"/>
  <c r="N8" i="10" s="1"/>
  <c r="M9" i="10"/>
  <c r="G8" i="10"/>
  <c r="F9" i="10"/>
  <c r="W9" i="10"/>
  <c r="R9" i="10"/>
  <c r="E8" i="10"/>
  <c r="Q8" i="10"/>
  <c r="T9" i="10"/>
  <c r="J9" i="10"/>
  <c r="V8" i="10"/>
  <c r="L9" i="10"/>
  <c r="S8" i="10"/>
  <c r="I9" i="10"/>
  <c r="U9" i="10"/>
  <c r="U8" i="10" s="1"/>
  <c r="H9" i="10"/>
  <c r="D9" i="10"/>
  <c r="P9" i="10"/>
  <c r="K8" i="10"/>
  <c r="C8" i="10"/>
  <c r="M8" i="10" l="1"/>
  <c r="J8" i="10"/>
  <c r="D8" i="10"/>
  <c r="H8" i="10"/>
  <c r="R8" i="10"/>
  <c r="L8" i="10"/>
  <c r="W8" i="10"/>
  <c r="P8" i="10"/>
  <c r="I8" i="10"/>
  <c r="T8" i="10"/>
  <c r="F8" i="10"/>
  <c r="W30" i="10" l="1"/>
  <c r="W34" i="10" l="1"/>
  <c r="U30" i="10" l="1"/>
  <c r="U34" i="10"/>
  <c r="V34" i="10" l="1"/>
  <c r="T30" i="10" l="1"/>
  <c r="T34" i="10"/>
  <c r="S34" i="10" l="1"/>
  <c r="S30" i="10" l="1"/>
  <c r="V30" i="10" l="1"/>
  <c r="I34" i="10" l="1"/>
  <c r="I30" i="10"/>
  <c r="J34" i="10" l="1"/>
  <c r="H30" i="10" l="1"/>
  <c r="H34" i="10"/>
  <c r="K34" i="10" l="1"/>
  <c r="J30" i="10"/>
  <c r="K30" i="10" l="1"/>
  <c r="G30" i="10"/>
  <c r="G34" i="10" l="1"/>
  <c r="F30" i="10" l="1"/>
  <c r="F34" i="10"/>
  <c r="L34" i="10" l="1"/>
  <c r="M34" i="10"/>
  <c r="L30" i="10"/>
  <c r="E34" i="10" l="1"/>
  <c r="M30" i="10"/>
  <c r="E30" i="10" l="1"/>
  <c r="N34" i="10" l="1"/>
  <c r="D34" i="10" l="1"/>
  <c r="D30" i="10"/>
  <c r="N30" i="10"/>
  <c r="C30" i="10" l="1"/>
  <c r="C34" i="10"/>
  <c r="O34" i="10"/>
  <c r="O30" i="10" l="1"/>
  <c r="B30" i="10" l="1"/>
  <c r="P30" i="10" l="1"/>
  <c r="B34" i="10"/>
  <c r="P34" i="10" l="1"/>
  <c r="Q30" i="10" l="1"/>
  <c r="Q34" i="10"/>
  <c r="R34" i="10" l="1"/>
  <c r="R30" i="10" l="1"/>
  <c r="Q15" i="17" l="1"/>
  <c r="I15" i="17"/>
  <c r="G14" i="17" l="1"/>
  <c r="O14" i="17"/>
  <c r="W14" i="17"/>
  <c r="F14" i="17"/>
  <c r="N14" i="17"/>
  <c r="V14" i="17"/>
  <c r="H15" i="17"/>
  <c r="P15" i="17"/>
  <c r="H14" i="17"/>
  <c r="P14" i="17"/>
  <c r="B15" i="17"/>
  <c r="J15" i="17"/>
  <c r="R15" i="17"/>
  <c r="I14" i="17"/>
  <c r="Q14" i="17"/>
  <c r="C15" i="17"/>
  <c r="K15" i="17"/>
  <c r="S15" i="17"/>
  <c r="B14" i="17"/>
  <c r="J14" i="17"/>
  <c r="R14" i="17"/>
  <c r="D15" i="17"/>
  <c r="L15" i="17"/>
  <c r="T15" i="17"/>
  <c r="C14" i="17"/>
  <c r="K14" i="17"/>
  <c r="S14" i="17"/>
  <c r="E15" i="17"/>
  <c r="M15" i="17"/>
  <c r="U15" i="17"/>
  <c r="D14" i="17"/>
  <c r="L14" i="17"/>
  <c r="T14" i="17"/>
  <c r="F15" i="17"/>
  <c r="N15" i="17"/>
  <c r="V15" i="17"/>
  <c r="E14" i="17"/>
  <c r="M14" i="17"/>
  <c r="U14" i="17"/>
  <c r="G15" i="17"/>
  <c r="O15" i="17"/>
  <c r="W15" i="17"/>
  <c r="W99" i="8"/>
  <c r="W98" i="8"/>
  <c r="W97" i="8"/>
  <c r="W90" i="8"/>
  <c r="W87" i="8"/>
  <c r="W58" i="8"/>
  <c r="W80" i="8" s="1"/>
  <c r="W53" i="8"/>
  <c r="W75" i="8" s="1"/>
  <c r="W51" i="8"/>
  <c r="W73" i="8" s="1"/>
  <c r="W43" i="8"/>
  <c r="W39" i="8"/>
  <c r="W37" i="8" s="1"/>
  <c r="W32" i="8"/>
  <c r="W67" i="8" s="1"/>
  <c r="W28" i="8"/>
  <c r="W21" i="8"/>
  <c r="W86" i="8"/>
  <c r="W17" i="8"/>
  <c r="W29" i="10" s="1"/>
  <c r="W84" i="8"/>
  <c r="W57" i="8"/>
  <c r="W79" i="8" s="1"/>
  <c r="W55" i="8"/>
  <c r="W77" i="8" s="1"/>
  <c r="W54" i="8"/>
  <c r="W76" i="8" s="1"/>
  <c r="W6" i="8"/>
  <c r="W4" i="8" s="1"/>
  <c r="W105" i="8" s="1"/>
  <c r="W218" i="7"/>
  <c r="W211" i="7"/>
  <c r="W205" i="7"/>
  <c r="W52" i="6"/>
  <c r="W88" i="3"/>
  <c r="W87" i="3"/>
  <c r="W85" i="3"/>
  <c r="W84" i="3"/>
  <c r="W83" i="3"/>
  <c r="W76" i="3"/>
  <c r="W75" i="3"/>
  <c r="W74" i="3"/>
  <c r="W72" i="3"/>
  <c r="W164" i="3" s="1"/>
  <c r="W70" i="3"/>
  <c r="W162" i="3" s="1"/>
  <c r="W55" i="3"/>
  <c r="W54" i="3"/>
  <c r="W53" i="3"/>
  <c r="W46" i="3"/>
  <c r="W45" i="3"/>
  <c r="W44" i="3"/>
  <c r="W42" i="3"/>
  <c r="W40" i="3"/>
  <c r="W28" i="3"/>
  <c r="W27" i="3"/>
  <c r="W25" i="3"/>
  <c r="W24" i="3"/>
  <c r="W23" i="3"/>
  <c r="W16" i="3"/>
  <c r="W15" i="3"/>
  <c r="W14" i="3"/>
  <c r="W12" i="3"/>
  <c r="W10" i="3"/>
  <c r="W53" i="9"/>
  <c r="W51" i="9"/>
  <c r="W50" i="9"/>
  <c r="W49" i="9"/>
  <c r="W47" i="9"/>
  <c r="W42" i="9"/>
  <c r="W40" i="9"/>
  <c r="W38" i="9"/>
  <c r="W31" i="9"/>
  <c r="W28" i="9"/>
  <c r="W51" i="3"/>
  <c r="W29" i="9"/>
  <c r="W27" i="9"/>
  <c r="W13" i="9"/>
  <c r="W36" i="9"/>
  <c r="W5" i="9"/>
  <c r="W68" i="10"/>
  <c r="W43" i="10"/>
  <c r="W42" i="10"/>
  <c r="W41" i="10"/>
  <c r="W46" i="10"/>
  <c r="W56" i="10"/>
  <c r="W54" i="10"/>
  <c r="W64" i="10"/>
  <c r="W39" i="10"/>
  <c r="W101" i="11"/>
  <c r="W92" i="11"/>
  <c r="W82" i="11"/>
  <c r="W73" i="11"/>
  <c r="W71" i="11"/>
  <c r="W58" i="11"/>
  <c r="W54" i="11"/>
  <c r="W48" i="11"/>
  <c r="W44" i="11"/>
  <c r="W38" i="11"/>
  <c r="W72" i="11"/>
  <c r="W69" i="11"/>
  <c r="W68" i="11"/>
  <c r="W28" i="11"/>
  <c r="W102" i="11"/>
  <c r="W99" i="11"/>
  <c r="W98" i="11"/>
  <c r="W97" i="11"/>
  <c r="W83" i="11"/>
  <c r="W81" i="11"/>
  <c r="W18" i="11"/>
  <c r="W79" i="11"/>
  <c r="W14" i="11"/>
  <c r="W117" i="11" s="1"/>
  <c r="W93" i="11"/>
  <c r="W8" i="11"/>
  <c r="W4" i="11"/>
  <c r="W44" i="12"/>
  <c r="W35" i="12"/>
  <c r="W33" i="12"/>
  <c r="W29" i="12"/>
  <c r="W25" i="12"/>
  <c r="W75" i="12" s="1"/>
  <c r="W23" i="12"/>
  <c r="W73" i="12" s="1"/>
  <c r="W19" i="12"/>
  <c r="W69" i="12" s="1"/>
  <c r="W45" i="12"/>
  <c r="W41" i="12"/>
  <c r="W6" i="12"/>
  <c r="W4" i="12"/>
  <c r="W39" i="13"/>
  <c r="W37" i="13"/>
  <c r="W47" i="13"/>
  <c r="W45" i="13"/>
  <c r="W34" i="13"/>
  <c r="W43" i="13"/>
  <c r="W6" i="13"/>
  <c r="W4" i="13"/>
  <c r="W15" i="14"/>
  <c r="W14" i="14"/>
  <c r="W20" i="14" s="1"/>
  <c r="W4" i="14"/>
  <c r="W14" i="15"/>
  <c r="W10" i="16"/>
  <c r="W58" i="3" s="1"/>
  <c r="W4" i="16"/>
  <c r="W57" i="3" s="1"/>
  <c r="W19" i="17"/>
  <c r="W37" i="9" l="1"/>
  <c r="W11" i="3"/>
  <c r="W22" i="13"/>
  <c r="W80" i="11"/>
  <c r="W53" i="11"/>
  <c r="W70" i="11"/>
  <c r="W100" i="11"/>
  <c r="W122" i="8"/>
  <c r="W33" i="10"/>
  <c r="W224" i="3"/>
  <c r="W240" i="3"/>
  <c r="W36" i="8"/>
  <c r="W43" i="11"/>
  <c r="W239" i="3"/>
  <c r="W226" i="3"/>
  <c r="W73" i="3"/>
  <c r="W82" i="3"/>
  <c r="W86" i="3"/>
  <c r="W235" i="3"/>
  <c r="W209" i="3"/>
  <c r="W210" i="3"/>
  <c r="W192" i="3"/>
  <c r="W11" i="9"/>
  <c r="W35" i="9" s="1"/>
  <c r="W194" i="3"/>
  <c r="W123" i="8"/>
  <c r="W4" i="9"/>
  <c r="W22" i="10" s="1"/>
  <c r="W23" i="10"/>
  <c r="W41" i="3"/>
  <c r="W107" i="8"/>
  <c r="W124" i="8"/>
  <c r="W108" i="8"/>
  <c r="W110" i="8"/>
  <c r="W85" i="8"/>
  <c r="W106" i="8"/>
  <c r="W96" i="8"/>
  <c r="W227" i="3"/>
  <c r="W26" i="3"/>
  <c r="W18" i="13"/>
  <c r="W43" i="3"/>
  <c r="W122" i="11"/>
  <c r="W207" i="3"/>
  <c r="W22" i="3"/>
  <c r="W121" i="11"/>
  <c r="W63" i="8"/>
  <c r="W26" i="8"/>
  <c r="W94" i="8" s="1"/>
  <c r="W88" i="8"/>
  <c r="W52" i="8"/>
  <c r="W89" i="8"/>
  <c r="W109" i="8"/>
  <c r="W15" i="8"/>
  <c r="W91" i="8"/>
  <c r="W101" i="8"/>
  <c r="W102" i="8"/>
  <c r="W95" i="8"/>
  <c r="W9" i="3"/>
  <c r="W10" i="8"/>
  <c r="W113" i="8" s="1"/>
  <c r="W52" i="3"/>
  <c r="W196" i="3"/>
  <c r="W206" i="3"/>
  <c r="W228" i="3"/>
  <c r="W236" i="3"/>
  <c r="W197" i="3"/>
  <c r="W205" i="3"/>
  <c r="W198" i="3"/>
  <c r="W56" i="3"/>
  <c r="W237" i="3"/>
  <c r="W13" i="3"/>
  <c r="W222" i="3"/>
  <c r="W21" i="14"/>
  <c r="W27" i="14"/>
  <c r="W108" i="11"/>
  <c r="W109" i="11"/>
  <c r="W90" i="11"/>
  <c r="W113" i="11"/>
  <c r="W111" i="11"/>
  <c r="W110" i="11"/>
  <c r="W106" i="11"/>
  <c r="W112" i="11"/>
  <c r="W52" i="9"/>
  <c r="W30" i="9"/>
  <c r="W20" i="16"/>
  <c r="W3" i="16"/>
  <c r="W29" i="16" s="1"/>
  <c r="W24" i="16"/>
  <c r="W10" i="17"/>
  <c r="W25" i="16"/>
  <c r="W21" i="16"/>
  <c r="W11" i="17"/>
  <c r="W119" i="11"/>
  <c r="W13" i="11"/>
  <c r="W116" i="11"/>
  <c r="W3" i="15"/>
  <c r="W19" i="15" s="1"/>
  <c r="W15" i="15"/>
  <c r="W44" i="13"/>
  <c r="W5" i="13"/>
  <c r="W3" i="13" s="1"/>
  <c r="W5" i="12"/>
  <c r="W24" i="12"/>
  <c r="W74" i="12" s="1"/>
  <c r="W34" i="12"/>
  <c r="W43" i="12"/>
  <c r="W24" i="11"/>
  <c r="W86" i="11" s="1"/>
  <c r="W34" i="11"/>
  <c r="W91" i="11"/>
  <c r="W120" i="11"/>
  <c r="W57" i="10"/>
  <c r="W39" i="9"/>
  <c r="W48" i="9"/>
  <c r="W3" i="17"/>
  <c r="W7" i="15"/>
  <c r="W21" i="15" s="1"/>
  <c r="W38" i="13"/>
  <c r="W18" i="12"/>
  <c r="W68" i="12" s="1"/>
  <c r="W28" i="12"/>
  <c r="W71" i="3"/>
  <c r="W13" i="14"/>
  <c r="W25" i="14" s="1"/>
  <c r="W67" i="11"/>
  <c r="W103" i="11"/>
  <c r="W123" i="11"/>
  <c r="W52" i="10"/>
  <c r="W32" i="9"/>
  <c r="W18" i="17"/>
  <c r="W26" i="14"/>
  <c r="W32" i="13"/>
  <c r="W49" i="13"/>
  <c r="W20" i="12"/>
  <c r="W70" i="12" s="1"/>
  <c r="W30" i="12"/>
  <c r="W39" i="12"/>
  <c r="W77" i="11"/>
  <c r="W87" i="11"/>
  <c r="W53" i="10"/>
  <c r="W25" i="9"/>
  <c r="W43" i="9"/>
  <c r="W10" i="13"/>
  <c r="W26" i="13" s="1"/>
  <c r="W33" i="13"/>
  <c r="W10" i="12"/>
  <c r="W21" i="12"/>
  <c r="W71" i="12" s="1"/>
  <c r="W31" i="12"/>
  <c r="W40" i="12"/>
  <c r="W78" i="11"/>
  <c r="W88" i="11"/>
  <c r="W107" i="11"/>
  <c r="W45" i="10"/>
  <c r="W26" i="9"/>
  <c r="W50" i="10"/>
  <c r="W48" i="13"/>
  <c r="W89" i="11"/>
  <c r="W118" i="11"/>
  <c r="W81" i="3"/>
  <c r="W54" i="9"/>
  <c r="W35" i="13"/>
  <c r="V218" i="7"/>
  <c r="U218" i="7"/>
  <c r="T218" i="7"/>
  <c r="S218" i="7"/>
  <c r="R218" i="7"/>
  <c r="Q218" i="7"/>
  <c r="P218" i="7"/>
  <c r="O218" i="7"/>
  <c r="N218" i="7"/>
  <c r="M218" i="7"/>
  <c r="L218" i="7"/>
  <c r="J218" i="7"/>
  <c r="I218" i="7"/>
  <c r="H218" i="7"/>
  <c r="G218" i="7"/>
  <c r="F218" i="7"/>
  <c r="E218" i="7"/>
  <c r="D218" i="7"/>
  <c r="C218" i="7"/>
  <c r="B218" i="7"/>
  <c r="V211" i="7"/>
  <c r="U211" i="7"/>
  <c r="T211" i="7"/>
  <c r="S211" i="7"/>
  <c r="R211" i="7"/>
  <c r="Q211" i="7"/>
  <c r="P211" i="7"/>
  <c r="O211" i="7"/>
  <c r="N211" i="7"/>
  <c r="M211" i="7"/>
  <c r="L211" i="7"/>
  <c r="J211" i="7"/>
  <c r="I211" i="7"/>
  <c r="H211" i="7"/>
  <c r="G211" i="7"/>
  <c r="F211" i="7"/>
  <c r="E211" i="7"/>
  <c r="D211" i="7"/>
  <c r="C211" i="7"/>
  <c r="B211" i="7"/>
  <c r="V205" i="7"/>
  <c r="U205" i="7"/>
  <c r="T205" i="7"/>
  <c r="S205" i="7"/>
  <c r="R205" i="7"/>
  <c r="Q205" i="7"/>
  <c r="P205" i="7"/>
  <c r="O205" i="7"/>
  <c r="N205" i="7"/>
  <c r="M205" i="7"/>
  <c r="L205" i="7"/>
  <c r="J205" i="7"/>
  <c r="I205" i="7"/>
  <c r="H205" i="7"/>
  <c r="G205" i="7"/>
  <c r="F205" i="7"/>
  <c r="E205" i="7"/>
  <c r="D205" i="7"/>
  <c r="C205" i="7"/>
  <c r="B205" i="7"/>
  <c r="K205" i="7"/>
  <c r="K211" i="7"/>
  <c r="W10" i="9" l="1"/>
  <c r="W38" i="12"/>
  <c r="W42" i="13"/>
  <c r="W21" i="13"/>
  <c r="W23" i="17"/>
  <c r="W13" i="17"/>
  <c r="W118" i="8"/>
  <c r="W27" i="10"/>
  <c r="W234" i="3"/>
  <c r="W39" i="3"/>
  <c r="W191" i="3" s="1"/>
  <c r="W195" i="3"/>
  <c r="W238" i="3"/>
  <c r="W41" i="9"/>
  <c r="W24" i="9"/>
  <c r="W46" i="9"/>
  <c r="W69" i="3"/>
  <c r="W223" i="3"/>
  <c r="W60" i="9"/>
  <c r="W58" i="9"/>
  <c r="W64" i="9"/>
  <c r="W61" i="9"/>
  <c r="W62" i="9"/>
  <c r="W59" i="9"/>
  <c r="W65" i="9"/>
  <c r="W193" i="3"/>
  <c r="W57" i="9"/>
  <c r="W63" i="9"/>
  <c r="W120" i="8"/>
  <c r="W121" i="8"/>
  <c r="W119" i="8"/>
  <c r="W117" i="8"/>
  <c r="W112" i="8"/>
  <c r="W74" i="8"/>
  <c r="W50" i="8"/>
  <c r="W28" i="16"/>
  <c r="W54" i="13"/>
  <c r="W52" i="13"/>
  <c r="W12" i="14"/>
  <c r="W24" i="14" s="1"/>
  <c r="W116" i="8"/>
  <c r="W83" i="8"/>
  <c r="W14" i="8"/>
  <c r="W56" i="8"/>
  <c r="W78" i="8" s="1"/>
  <c r="W21" i="3"/>
  <c r="W203" i="3" s="1"/>
  <c r="W111" i="8"/>
  <c r="W100" i="8"/>
  <c r="W25" i="8"/>
  <c r="W45" i="9" s="1"/>
  <c r="W61" i="8"/>
  <c r="W208" i="3"/>
  <c r="W225" i="3"/>
  <c r="W204" i="3"/>
  <c r="W19" i="14"/>
  <c r="W55" i="10"/>
  <c r="W44" i="10"/>
  <c r="W38" i="10"/>
  <c r="W49" i="10"/>
  <c r="W59" i="13"/>
  <c r="W46" i="13"/>
  <c r="W56" i="13"/>
  <c r="W36" i="13"/>
  <c r="W42" i="12"/>
  <c r="W32" i="12"/>
  <c r="W22" i="12"/>
  <c r="W72" i="12" s="1"/>
  <c r="W3" i="12"/>
  <c r="W62" i="10"/>
  <c r="W51" i="10"/>
  <c r="W40" i="10"/>
  <c r="W66" i="11"/>
  <c r="W19" i="13"/>
  <c r="W23" i="15"/>
  <c r="W53" i="13"/>
  <c r="W51" i="13"/>
  <c r="W57" i="13"/>
  <c r="W55" i="13"/>
  <c r="W23" i="11"/>
  <c r="W95" i="11" s="1"/>
  <c r="W96" i="11"/>
  <c r="W76" i="11"/>
  <c r="W22" i="17"/>
  <c r="W21" i="17"/>
  <c r="W17" i="17"/>
  <c r="W9" i="17"/>
  <c r="W58" i="13"/>
  <c r="W56" i="9"/>
  <c r="W13" i="15"/>
  <c r="W18" i="15"/>
  <c r="W17" i="15"/>
  <c r="W19" i="16"/>
  <c r="W27" i="16"/>
  <c r="W23" i="16"/>
  <c r="W22" i="15"/>
  <c r="K218" i="7"/>
  <c r="V52" i="6"/>
  <c r="U52" i="6"/>
  <c r="M52" i="6"/>
  <c r="E52" i="6"/>
  <c r="D52" i="6"/>
  <c r="T52" i="6"/>
  <c r="S52" i="6"/>
  <c r="R52" i="6"/>
  <c r="Q52" i="6"/>
  <c r="P52" i="6"/>
  <c r="O52" i="6"/>
  <c r="N52" i="6"/>
  <c r="K52" i="6"/>
  <c r="J52" i="6"/>
  <c r="I52" i="6"/>
  <c r="H52" i="6"/>
  <c r="G52" i="6"/>
  <c r="F52" i="6"/>
  <c r="C52" i="6"/>
  <c r="B52" i="6"/>
  <c r="W52" i="12" l="1"/>
  <c r="W23" i="9"/>
  <c r="W26" i="10"/>
  <c r="W18" i="14"/>
  <c r="W60" i="10"/>
  <c r="W65" i="10"/>
  <c r="W61" i="10"/>
  <c r="W63" i="10"/>
  <c r="W67" i="10"/>
  <c r="W221" i="3"/>
  <c r="W66" i="10"/>
  <c r="W72" i="8"/>
  <c r="W82" i="8"/>
  <c r="W41" i="13"/>
  <c r="W233" i="3"/>
  <c r="W48" i="10"/>
  <c r="W59" i="10"/>
  <c r="W51" i="12"/>
  <c r="W17" i="12"/>
  <c r="W67" i="12" s="1"/>
  <c r="W53" i="12"/>
  <c r="W55" i="12"/>
  <c r="W47" i="12"/>
  <c r="W37" i="12"/>
  <c r="W54" i="12"/>
  <c r="W50" i="12"/>
  <c r="W48" i="12"/>
  <c r="W49" i="12"/>
  <c r="W75" i="11"/>
  <c r="L52" i="6" l="1"/>
  <c r="B15" i="10" l="1"/>
  <c r="P13" i="9"/>
  <c r="P11" i="9" s="1"/>
  <c r="O13" i="9"/>
  <c r="O11" i="9" s="1"/>
  <c r="V13" i="9"/>
  <c r="V11" i="9" s="1"/>
  <c r="T13" i="9"/>
  <c r="S13" i="9"/>
  <c r="L13" i="9"/>
  <c r="L11" i="9" s="1"/>
  <c r="K13" i="9"/>
  <c r="F13" i="9"/>
  <c r="F11" i="9" s="1"/>
  <c r="E13" i="9"/>
  <c r="E11" i="9" s="1"/>
  <c r="D13" i="9"/>
  <c r="D11" i="9" s="1"/>
  <c r="C13" i="9"/>
  <c r="N13" i="9"/>
  <c r="N11" i="9" s="1"/>
  <c r="N10" i="9" s="1"/>
  <c r="H13" i="9"/>
  <c r="G13" i="9"/>
  <c r="G11" i="9" s="1"/>
  <c r="B13" i="9"/>
  <c r="B11" i="9" s="1"/>
  <c r="U5" i="9"/>
  <c r="M5" i="9"/>
  <c r="L5" i="9"/>
  <c r="J5" i="9"/>
  <c r="E5" i="9"/>
  <c r="D5" i="9"/>
  <c r="C5" i="9"/>
  <c r="R5" i="9"/>
  <c r="Q5" i="9"/>
  <c r="B5" i="9"/>
  <c r="R43" i="8"/>
  <c r="Q43" i="8"/>
  <c r="P43" i="8"/>
  <c r="J43" i="8"/>
  <c r="I43" i="8"/>
  <c r="H43" i="8"/>
  <c r="T43" i="8"/>
  <c r="S43" i="8"/>
  <c r="O43" i="8"/>
  <c r="L43" i="8"/>
  <c r="K43" i="8"/>
  <c r="G43" i="8"/>
  <c r="D43" i="8"/>
  <c r="U39" i="8"/>
  <c r="T39" i="8"/>
  <c r="R39" i="8"/>
  <c r="R37" i="8" s="1"/>
  <c r="M39" i="8"/>
  <c r="L39" i="8"/>
  <c r="J39" i="8"/>
  <c r="J37" i="8" s="1"/>
  <c r="H39" i="8"/>
  <c r="E39" i="8"/>
  <c r="D39" i="8"/>
  <c r="S39" i="8"/>
  <c r="P39" i="8"/>
  <c r="O39" i="8"/>
  <c r="K39" i="8"/>
  <c r="G39" i="8"/>
  <c r="C43" i="8"/>
  <c r="C39" i="8"/>
  <c r="R32" i="8"/>
  <c r="R67" i="8" s="1"/>
  <c r="V32" i="8"/>
  <c r="V67" i="8" s="1"/>
  <c r="U32" i="8"/>
  <c r="T32" i="8"/>
  <c r="N32" i="8"/>
  <c r="N67" i="8" s="1"/>
  <c r="M32" i="8"/>
  <c r="L32" i="8"/>
  <c r="G32" i="8"/>
  <c r="G67" i="8" s="1"/>
  <c r="F32" i="8"/>
  <c r="F67" i="8" s="1"/>
  <c r="E32" i="8"/>
  <c r="D32" i="8"/>
  <c r="Q32" i="8"/>
  <c r="Q67" i="8" s="1"/>
  <c r="P32" i="8"/>
  <c r="O32" i="8"/>
  <c r="O67" i="8" s="1"/>
  <c r="J32" i="8"/>
  <c r="J67" i="8" s="1"/>
  <c r="I32" i="8"/>
  <c r="I67" i="8" s="1"/>
  <c r="H32" i="8"/>
  <c r="O28" i="8"/>
  <c r="T28" i="8"/>
  <c r="S28" i="8"/>
  <c r="S26" i="8" s="1"/>
  <c r="L28" i="8"/>
  <c r="L26" i="8" s="1"/>
  <c r="K28" i="8"/>
  <c r="K26" i="8" s="1"/>
  <c r="J28" i="8"/>
  <c r="I28" i="8"/>
  <c r="H28" i="8"/>
  <c r="D28" i="8"/>
  <c r="D26" i="8" s="1"/>
  <c r="C28" i="8"/>
  <c r="C26" i="8" s="1"/>
  <c r="R28" i="8"/>
  <c r="R63" i="8" s="1"/>
  <c r="Q28" i="8"/>
  <c r="Q26" i="8" s="1"/>
  <c r="Q25" i="8" s="1"/>
  <c r="P28" i="8"/>
  <c r="P26" i="8" s="1"/>
  <c r="G28" i="8"/>
  <c r="G63" i="8" s="1"/>
  <c r="G26" i="8"/>
  <c r="B28" i="8"/>
  <c r="B63" i="8" s="1"/>
  <c r="N21" i="8"/>
  <c r="N33" i="10" s="1"/>
  <c r="S21" i="8"/>
  <c r="S33" i="10" s="1"/>
  <c r="K21" i="8"/>
  <c r="K33" i="10" s="1"/>
  <c r="I21" i="8"/>
  <c r="I33" i="10" s="1"/>
  <c r="H21" i="8"/>
  <c r="H33" i="10" s="1"/>
  <c r="E21" i="8"/>
  <c r="E33" i="10" s="1"/>
  <c r="C21" i="8"/>
  <c r="C33" i="10" s="1"/>
  <c r="P21" i="8"/>
  <c r="P33" i="10" s="1"/>
  <c r="O21" i="8"/>
  <c r="O33" i="10" s="1"/>
  <c r="G21" i="8"/>
  <c r="G33" i="10" s="1"/>
  <c r="P17" i="8"/>
  <c r="N17" i="8"/>
  <c r="N29" i="10" s="1"/>
  <c r="H17" i="8"/>
  <c r="H29" i="10" s="1"/>
  <c r="U17" i="8"/>
  <c r="U29" i="10" s="1"/>
  <c r="T17" i="8"/>
  <c r="T29" i="10" s="1"/>
  <c r="S17" i="8"/>
  <c r="R17" i="8"/>
  <c r="R29" i="10" s="1"/>
  <c r="M17" i="8"/>
  <c r="M29" i="10" s="1"/>
  <c r="L17" i="8"/>
  <c r="L29" i="10" s="1"/>
  <c r="K17" i="8"/>
  <c r="J17" i="8"/>
  <c r="J29" i="10" s="1"/>
  <c r="E17" i="8"/>
  <c r="E29" i="10" s="1"/>
  <c r="D17" i="8"/>
  <c r="D29" i="10" s="1"/>
  <c r="C17" i="8"/>
  <c r="V17" i="8"/>
  <c r="V29" i="10" s="1"/>
  <c r="Q17" i="8"/>
  <c r="O17" i="8"/>
  <c r="I17" i="8"/>
  <c r="G17" i="8"/>
  <c r="G29" i="10" s="1"/>
  <c r="F17" i="8"/>
  <c r="I10" i="8"/>
  <c r="U10" i="8"/>
  <c r="T10" i="8"/>
  <c r="S10" i="8"/>
  <c r="R10" i="8"/>
  <c r="P10" i="8"/>
  <c r="M10" i="8"/>
  <c r="L10" i="8"/>
  <c r="K10" i="8"/>
  <c r="J10" i="8"/>
  <c r="H10" i="8"/>
  <c r="E10" i="8"/>
  <c r="D10" i="8"/>
  <c r="C10" i="8"/>
  <c r="Q10" i="8"/>
  <c r="R6" i="8"/>
  <c r="R4" i="8" s="1"/>
  <c r="Q6" i="8"/>
  <c r="S6" i="8"/>
  <c r="S4" i="8" s="1"/>
  <c r="K6" i="8"/>
  <c r="K4" i="8" s="1"/>
  <c r="J6" i="8"/>
  <c r="J4" i="8" s="1"/>
  <c r="I6" i="8"/>
  <c r="C6" i="8"/>
  <c r="C4" i="8" s="1"/>
  <c r="B10" i="8"/>
  <c r="J36" i="8" l="1"/>
  <c r="F15" i="8"/>
  <c r="F27" i="10" s="1"/>
  <c r="F29" i="10"/>
  <c r="I15" i="8"/>
  <c r="I27" i="10" s="1"/>
  <c r="I29" i="10"/>
  <c r="K15" i="8"/>
  <c r="K27" i="10" s="1"/>
  <c r="K29" i="10"/>
  <c r="S15" i="8"/>
  <c r="S27" i="10" s="1"/>
  <c r="S29" i="10"/>
  <c r="O15" i="8"/>
  <c r="O27" i="10" s="1"/>
  <c r="O29" i="10"/>
  <c r="P15" i="8"/>
  <c r="P27" i="10" s="1"/>
  <c r="P29" i="10"/>
  <c r="Q15" i="8"/>
  <c r="Q27" i="10" s="1"/>
  <c r="Q29" i="10"/>
  <c r="C15" i="8"/>
  <c r="C29" i="10"/>
  <c r="L25" i="8"/>
  <c r="R36" i="8"/>
  <c r="E10" i="9"/>
  <c r="D25" i="8"/>
  <c r="J4" i="9"/>
  <c r="J23" i="10"/>
  <c r="L4" i="9"/>
  <c r="L23" i="10"/>
  <c r="B4" i="9"/>
  <c r="B23" i="10"/>
  <c r="M4" i="9"/>
  <c r="M23" i="10"/>
  <c r="E4" i="9"/>
  <c r="E23" i="10"/>
  <c r="Q4" i="9"/>
  <c r="Q23" i="10"/>
  <c r="U4" i="9"/>
  <c r="U23" i="10"/>
  <c r="R4" i="9"/>
  <c r="R23" i="10"/>
  <c r="C4" i="9"/>
  <c r="C23" i="10"/>
  <c r="O14" i="8"/>
  <c r="O26" i="10" s="1"/>
  <c r="D4" i="9"/>
  <c r="D23" i="10"/>
  <c r="O10" i="9"/>
  <c r="P10" i="9"/>
  <c r="P25" i="8"/>
  <c r="V15" i="8"/>
  <c r="V27" i="10" s="1"/>
  <c r="V10" i="9"/>
  <c r="O63" i="8"/>
  <c r="O26" i="8"/>
  <c r="O25" i="8" s="1"/>
  <c r="F10" i="9"/>
  <c r="H63" i="8"/>
  <c r="H26" i="8"/>
  <c r="H25" i="8" s="1"/>
  <c r="J63" i="8"/>
  <c r="J26" i="8"/>
  <c r="J25" i="8" s="1"/>
  <c r="G10" i="9"/>
  <c r="Q4" i="8"/>
  <c r="P37" i="8"/>
  <c r="H15" i="8"/>
  <c r="G6" i="8"/>
  <c r="O6" i="8"/>
  <c r="O4" i="8" s="1"/>
  <c r="D21" i="8"/>
  <c r="D33" i="10" s="1"/>
  <c r="L21" i="8"/>
  <c r="L33" i="10" s="1"/>
  <c r="T21" i="8"/>
  <c r="T33" i="10" s="1"/>
  <c r="P67" i="8"/>
  <c r="K37" i="8"/>
  <c r="K36" i="8" s="1"/>
  <c r="S37" i="8"/>
  <c r="S36" i="8" s="1"/>
  <c r="K11" i="9"/>
  <c r="K10" i="9" s="1"/>
  <c r="S11" i="9"/>
  <c r="S10" i="9" s="1"/>
  <c r="I4" i="8"/>
  <c r="H6" i="8"/>
  <c r="H4" i="8" s="1"/>
  <c r="P6" i="8"/>
  <c r="P4" i="8" s="1"/>
  <c r="M21" i="8"/>
  <c r="M33" i="10" s="1"/>
  <c r="U21" i="8"/>
  <c r="U33" i="10" s="1"/>
  <c r="Q21" i="8"/>
  <c r="B11" i="10"/>
  <c r="D15" i="8"/>
  <c r="D27" i="10" s="1"/>
  <c r="L15" i="8"/>
  <c r="L27" i="10" s="1"/>
  <c r="T15" i="8"/>
  <c r="T27" i="10" s="1"/>
  <c r="F21" i="8"/>
  <c r="F33" i="10" s="1"/>
  <c r="V21" i="8"/>
  <c r="V33" i="10" s="1"/>
  <c r="F28" i="8"/>
  <c r="F63" i="8" s="1"/>
  <c r="N28" i="8"/>
  <c r="N63" i="8" s="1"/>
  <c r="V28" i="8"/>
  <c r="V63" i="8" s="1"/>
  <c r="E37" i="8"/>
  <c r="G5" i="9"/>
  <c r="O5" i="9"/>
  <c r="B32" i="8"/>
  <c r="B67" i="8" s="1"/>
  <c r="R26" i="8"/>
  <c r="R25" i="8" s="1"/>
  <c r="C32" i="8"/>
  <c r="C25" i="8" s="1"/>
  <c r="K32" i="8"/>
  <c r="K67" i="8" s="1"/>
  <c r="S32" i="8"/>
  <c r="S67" i="8" s="1"/>
  <c r="F39" i="8"/>
  <c r="F37" i="8" s="1"/>
  <c r="N39" i="8"/>
  <c r="N37" i="8" s="1"/>
  <c r="V39" i="8"/>
  <c r="V37" i="8" s="1"/>
  <c r="H5" i="9"/>
  <c r="P5" i="9"/>
  <c r="N15" i="8"/>
  <c r="K25" i="8"/>
  <c r="S25" i="8"/>
  <c r="P63" i="8"/>
  <c r="H67" i="8"/>
  <c r="I5" i="9"/>
  <c r="I13" i="9"/>
  <c r="I11" i="9" s="1"/>
  <c r="Q13" i="9"/>
  <c r="Q11" i="9" s="1"/>
  <c r="G15" i="8"/>
  <c r="G25" i="8"/>
  <c r="H37" i="8"/>
  <c r="H36" i="8" s="1"/>
  <c r="H11" i="9"/>
  <c r="H10" i="9" s="1"/>
  <c r="J13" i="9"/>
  <c r="J11" i="9" s="1"/>
  <c r="J10" i="9" s="1"/>
  <c r="R13" i="9"/>
  <c r="R11" i="9" s="1"/>
  <c r="R10" i="9" s="1"/>
  <c r="C11" i="9"/>
  <c r="C10" i="9" s="1"/>
  <c r="I26" i="8"/>
  <c r="I63" i="8"/>
  <c r="D6" i="8"/>
  <c r="D4" i="8" s="1"/>
  <c r="L6" i="8"/>
  <c r="L4" i="8" s="1"/>
  <c r="T6" i="8"/>
  <c r="T4" i="8" s="1"/>
  <c r="G10" i="8"/>
  <c r="O10" i="8"/>
  <c r="J21" i="8"/>
  <c r="J33" i="10" s="1"/>
  <c r="R21" i="8"/>
  <c r="R33" i="10" s="1"/>
  <c r="O37" i="8"/>
  <c r="O36" i="8" s="1"/>
  <c r="F43" i="8"/>
  <c r="N43" i="8"/>
  <c r="V43" i="8"/>
  <c r="P61" i="8"/>
  <c r="E6" i="8"/>
  <c r="E4" i="8" s="1"/>
  <c r="M6" i="8"/>
  <c r="M4" i="8" s="1"/>
  <c r="U6" i="8"/>
  <c r="U4" i="8" s="1"/>
  <c r="B21" i="8"/>
  <c r="B33" i="10" s="1"/>
  <c r="B26" i="8"/>
  <c r="E28" i="8"/>
  <c r="E26" i="8" s="1"/>
  <c r="E61" i="8" s="1"/>
  <c r="M28" i="8"/>
  <c r="M26" i="8" s="1"/>
  <c r="M61" i="8" s="1"/>
  <c r="U28" i="8"/>
  <c r="U26" i="8" s="1"/>
  <c r="U61" i="8" s="1"/>
  <c r="Q61" i="8"/>
  <c r="F6" i="8"/>
  <c r="F4" i="8" s="1"/>
  <c r="N6" i="8"/>
  <c r="N4" i="8" s="1"/>
  <c r="V6" i="8"/>
  <c r="V4" i="8" s="1"/>
  <c r="G61" i="8"/>
  <c r="C63" i="8"/>
  <c r="K63" i="8"/>
  <c r="S63" i="8"/>
  <c r="D67" i="8"/>
  <c r="L67" i="8"/>
  <c r="T67" i="8"/>
  <c r="M13" i="9"/>
  <c r="M11" i="9" s="1"/>
  <c r="M10" i="9" s="1"/>
  <c r="U13" i="9"/>
  <c r="U11" i="9" s="1"/>
  <c r="U10" i="9" s="1"/>
  <c r="C37" i="8"/>
  <c r="C36" i="8" s="1"/>
  <c r="I39" i="8"/>
  <c r="I37" i="8" s="1"/>
  <c r="I36" i="8" s="1"/>
  <c r="Q39" i="8"/>
  <c r="Q37" i="8" s="1"/>
  <c r="Q36" i="8" s="1"/>
  <c r="D63" i="8"/>
  <c r="L63" i="8"/>
  <c r="T63" i="8"/>
  <c r="E67" i="8"/>
  <c r="M67" i="8"/>
  <c r="U67" i="8"/>
  <c r="B17" i="9"/>
  <c r="B10" i="9" s="1"/>
  <c r="M37" i="8"/>
  <c r="U37" i="8"/>
  <c r="C61" i="8"/>
  <c r="K61" i="8"/>
  <c r="S61" i="8"/>
  <c r="Q63" i="8"/>
  <c r="G37" i="8"/>
  <c r="G36" i="8" s="1"/>
  <c r="D61" i="8"/>
  <c r="L61" i="8"/>
  <c r="T11" i="9"/>
  <c r="T10" i="9" s="1"/>
  <c r="B6" i="8"/>
  <c r="B4" i="8" s="1"/>
  <c r="B17" i="8"/>
  <c r="B15" i="8" s="1"/>
  <c r="E15" i="8"/>
  <c r="M15" i="8"/>
  <c r="U15" i="8"/>
  <c r="U27" i="10" s="1"/>
  <c r="K5" i="9"/>
  <c r="S5" i="9"/>
  <c r="F10" i="8"/>
  <c r="N10" i="8"/>
  <c r="V10" i="8"/>
  <c r="E43" i="8"/>
  <c r="M43" i="8"/>
  <c r="U43" i="8"/>
  <c r="T5" i="9"/>
  <c r="D10" i="9"/>
  <c r="L10" i="9"/>
  <c r="F5" i="9"/>
  <c r="N5" i="9"/>
  <c r="V5" i="9"/>
  <c r="P36" i="8"/>
  <c r="D37" i="8"/>
  <c r="D36" i="8" s="1"/>
  <c r="L37" i="8"/>
  <c r="L36" i="8" s="1"/>
  <c r="T37" i="8"/>
  <c r="T36" i="8" s="1"/>
  <c r="T26" i="8"/>
  <c r="T25" i="8" s="1"/>
  <c r="J15" i="8"/>
  <c r="J27" i="10" s="1"/>
  <c r="R15" i="8"/>
  <c r="R27" i="10" s="1"/>
  <c r="G4" i="8"/>
  <c r="E36" i="8" l="1"/>
  <c r="O61" i="8"/>
  <c r="H61" i="8"/>
  <c r="E25" i="8"/>
  <c r="K14" i="8"/>
  <c r="K26" i="10" s="1"/>
  <c r="J61" i="8"/>
  <c r="P14" i="8"/>
  <c r="P26" i="10" s="1"/>
  <c r="I14" i="8"/>
  <c r="I26" i="10" s="1"/>
  <c r="F14" i="8"/>
  <c r="F26" i="10" s="1"/>
  <c r="M25" i="8"/>
  <c r="M14" i="8"/>
  <c r="M26" i="10" s="1"/>
  <c r="M27" i="10"/>
  <c r="S14" i="8"/>
  <c r="S26" i="10" s="1"/>
  <c r="B9" i="10"/>
  <c r="B29" i="10"/>
  <c r="Q14" i="8"/>
  <c r="Q26" i="10" s="1"/>
  <c r="Q33" i="10"/>
  <c r="H14" i="8"/>
  <c r="H26" i="10" s="1"/>
  <c r="H27" i="10"/>
  <c r="C14" i="8"/>
  <c r="C26" i="10" s="1"/>
  <c r="C27" i="10"/>
  <c r="G14" i="8"/>
  <c r="G26" i="10" s="1"/>
  <c r="G27" i="10"/>
  <c r="N14" i="8"/>
  <c r="N26" i="10" s="1"/>
  <c r="N27" i="10"/>
  <c r="E14" i="8"/>
  <c r="E26" i="10" s="1"/>
  <c r="E27" i="10"/>
  <c r="N36" i="8"/>
  <c r="B14" i="8"/>
  <c r="F36" i="8"/>
  <c r="V14" i="8"/>
  <c r="V26" i="10" s="1"/>
  <c r="R14" i="8"/>
  <c r="R26" i="10" s="1"/>
  <c r="U14" i="8"/>
  <c r="U26" i="10" s="1"/>
  <c r="R61" i="8"/>
  <c r="U25" i="8"/>
  <c r="O4" i="9"/>
  <c r="O23" i="10"/>
  <c r="G4" i="9"/>
  <c r="G23" i="10"/>
  <c r="N4" i="9"/>
  <c r="N23" i="10"/>
  <c r="I10" i="9"/>
  <c r="P4" i="9"/>
  <c r="P23" i="10"/>
  <c r="I4" i="9"/>
  <c r="I23" i="10"/>
  <c r="H4" i="9"/>
  <c r="H23" i="10"/>
  <c r="K4" i="9"/>
  <c r="K23" i="10"/>
  <c r="V4" i="9"/>
  <c r="V23" i="10"/>
  <c r="Q10" i="9"/>
  <c r="F4" i="9"/>
  <c r="F23" i="10"/>
  <c r="T4" i="9"/>
  <c r="T23" i="10"/>
  <c r="S4" i="9"/>
  <c r="S23" i="10"/>
  <c r="C67" i="8"/>
  <c r="V36" i="8"/>
  <c r="N26" i="8"/>
  <c r="N25" i="8" s="1"/>
  <c r="L14" i="8"/>
  <c r="L26" i="10" s="1"/>
  <c r="U36" i="8"/>
  <c r="J14" i="8"/>
  <c r="J26" i="10" s="1"/>
  <c r="F26" i="8"/>
  <c r="F25" i="8" s="1"/>
  <c r="D14" i="8"/>
  <c r="D26" i="10" s="1"/>
  <c r="V26" i="8"/>
  <c r="V25" i="8" s="1"/>
  <c r="M36" i="8"/>
  <c r="B25" i="8"/>
  <c r="T61" i="8"/>
  <c r="U63" i="8"/>
  <c r="T14" i="8"/>
  <c r="T26" i="10" s="1"/>
  <c r="M63" i="8"/>
  <c r="E63" i="8"/>
  <c r="B61" i="8"/>
  <c r="I61" i="8"/>
  <c r="I25" i="8"/>
  <c r="B8" i="10" l="1"/>
  <c r="B26" i="10" s="1"/>
  <c r="B27" i="10"/>
  <c r="V61" i="8"/>
  <c r="F61" i="8"/>
  <c r="N61" i="8"/>
  <c r="Q10" i="16"/>
  <c r="G10" i="16"/>
  <c r="O10" i="16"/>
  <c r="S10" i="16"/>
  <c r="K4" i="16"/>
  <c r="J10" i="16"/>
  <c r="I10" i="16"/>
  <c r="M10" i="16"/>
  <c r="J4" i="16"/>
  <c r="F10" i="16"/>
  <c r="L4" i="16"/>
  <c r="M4" i="16"/>
  <c r="L10" i="16"/>
  <c r="I4" i="16"/>
  <c r="F4" i="16"/>
  <c r="O4" i="16"/>
  <c r="Q4" i="16"/>
  <c r="Q3" i="16" s="1"/>
  <c r="P10" i="16"/>
  <c r="P4" i="16"/>
  <c r="S4" i="16"/>
  <c r="S3" i="16" s="1"/>
  <c r="K10" i="16"/>
  <c r="K3" i="16" s="1"/>
  <c r="G4" i="16"/>
  <c r="O3" i="16" l="1"/>
  <c r="F3" i="16"/>
  <c r="P3" i="16"/>
  <c r="G3" i="16"/>
  <c r="B4" i="16"/>
  <c r="E10" i="16"/>
  <c r="J3" i="16"/>
  <c r="I3" i="16"/>
  <c r="M3" i="16"/>
  <c r="R10" i="16"/>
  <c r="L3" i="16"/>
  <c r="T10" i="16"/>
  <c r="R4" i="16"/>
  <c r="H10" i="16"/>
  <c r="B10" i="16"/>
  <c r="T4" i="16"/>
  <c r="N10" i="16"/>
  <c r="H4" i="16"/>
  <c r="E4" i="16"/>
  <c r="N4" i="16"/>
  <c r="R3" i="16" l="1"/>
  <c r="H3" i="16"/>
  <c r="E3" i="16"/>
  <c r="B3" i="16"/>
  <c r="T3" i="16"/>
  <c r="D10" i="16"/>
  <c r="N3" i="16"/>
  <c r="D4" i="16"/>
  <c r="U10" i="16"/>
  <c r="C4" i="16"/>
  <c r="C10" i="16"/>
  <c r="U4" i="16"/>
  <c r="D3" i="16" l="1"/>
  <c r="U3" i="16"/>
  <c r="C3" i="16"/>
  <c r="V10" i="16"/>
  <c r="V4" i="16"/>
  <c r="V3" i="16" s="1"/>
  <c r="V68" i="10" l="1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V67" i="10"/>
  <c r="U67" i="10"/>
  <c r="T67" i="10"/>
  <c r="S67" i="10"/>
  <c r="R67" i="10"/>
  <c r="Q67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V63" i="10"/>
  <c r="U63" i="10"/>
  <c r="T63" i="10"/>
  <c r="S63" i="10"/>
  <c r="R63" i="10"/>
  <c r="Q63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V65" i="9"/>
  <c r="U65" i="9"/>
  <c r="T65" i="9"/>
  <c r="S65" i="9"/>
  <c r="R65" i="9"/>
  <c r="V64" i="9"/>
  <c r="U64" i="9"/>
  <c r="T64" i="9"/>
  <c r="S64" i="9"/>
  <c r="R64" i="9"/>
  <c r="V62" i="9"/>
  <c r="U62" i="9"/>
  <c r="T62" i="9"/>
  <c r="S62" i="9"/>
  <c r="R62" i="9"/>
  <c r="V61" i="9"/>
  <c r="U61" i="9"/>
  <c r="T61" i="9"/>
  <c r="S61" i="9"/>
  <c r="R61" i="9"/>
  <c r="V60" i="9"/>
  <c r="U60" i="9"/>
  <c r="T60" i="9"/>
  <c r="S60" i="9"/>
  <c r="R60" i="9"/>
  <c r="V58" i="9"/>
  <c r="U58" i="9"/>
  <c r="T58" i="9"/>
  <c r="S58" i="9"/>
  <c r="R58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V58" i="8"/>
  <c r="V80" i="8" s="1"/>
  <c r="U58" i="8"/>
  <c r="U80" i="8" s="1"/>
  <c r="T58" i="8"/>
  <c r="T80" i="8" s="1"/>
  <c r="S58" i="8"/>
  <c r="S80" i="8" s="1"/>
  <c r="R58" i="8"/>
  <c r="R80" i="8" s="1"/>
  <c r="Q58" i="8"/>
  <c r="Q80" i="8" s="1"/>
  <c r="P58" i="8"/>
  <c r="P80" i="8" s="1"/>
  <c r="O58" i="8"/>
  <c r="O80" i="8" s="1"/>
  <c r="N58" i="8"/>
  <c r="M58" i="8"/>
  <c r="M80" i="8" s="1"/>
  <c r="L58" i="8"/>
  <c r="L80" i="8" s="1"/>
  <c r="K58" i="8"/>
  <c r="K80" i="8" s="1"/>
  <c r="V57" i="8"/>
  <c r="V79" i="8" s="1"/>
  <c r="U57" i="8"/>
  <c r="U79" i="8" s="1"/>
  <c r="T57" i="8"/>
  <c r="T79" i="8" s="1"/>
  <c r="S57" i="8"/>
  <c r="S79" i="8" s="1"/>
  <c r="R57" i="8"/>
  <c r="Q57" i="8"/>
  <c r="Q79" i="8" s="1"/>
  <c r="P57" i="8"/>
  <c r="P79" i="8" s="1"/>
  <c r="O57" i="8"/>
  <c r="O79" i="8" s="1"/>
  <c r="N57" i="8"/>
  <c r="N79" i="8" s="1"/>
  <c r="M57" i="8"/>
  <c r="M79" i="8" s="1"/>
  <c r="L57" i="8"/>
  <c r="L79" i="8" s="1"/>
  <c r="K57" i="8"/>
  <c r="V55" i="8"/>
  <c r="U55" i="8"/>
  <c r="U77" i="8" s="1"/>
  <c r="T55" i="8"/>
  <c r="T77" i="8" s="1"/>
  <c r="S55" i="8"/>
  <c r="S77" i="8" s="1"/>
  <c r="R55" i="8"/>
  <c r="R77" i="8" s="1"/>
  <c r="Q55" i="8"/>
  <c r="Q77" i="8" s="1"/>
  <c r="P55" i="8"/>
  <c r="P77" i="8" s="1"/>
  <c r="O55" i="8"/>
  <c r="O77" i="8" s="1"/>
  <c r="N55" i="8"/>
  <c r="N77" i="8" s="1"/>
  <c r="M55" i="8"/>
  <c r="M77" i="8" s="1"/>
  <c r="L55" i="8"/>
  <c r="L77" i="8" s="1"/>
  <c r="K55" i="8"/>
  <c r="K77" i="8" s="1"/>
  <c r="V54" i="8"/>
  <c r="V76" i="8" s="1"/>
  <c r="U54" i="8"/>
  <c r="U76" i="8" s="1"/>
  <c r="T54" i="8"/>
  <c r="T76" i="8" s="1"/>
  <c r="S54" i="8"/>
  <c r="R54" i="8"/>
  <c r="R76" i="8" s="1"/>
  <c r="Q54" i="8"/>
  <c r="Q76" i="8" s="1"/>
  <c r="P54" i="8"/>
  <c r="P76" i="8" s="1"/>
  <c r="O54" i="8"/>
  <c r="O76" i="8" s="1"/>
  <c r="N54" i="8"/>
  <c r="N76" i="8" s="1"/>
  <c r="M54" i="8"/>
  <c r="M76" i="8" s="1"/>
  <c r="L54" i="8"/>
  <c r="L76" i="8" s="1"/>
  <c r="K54" i="8"/>
  <c r="K76" i="8" s="1"/>
  <c r="V53" i="8"/>
  <c r="V75" i="8" s="1"/>
  <c r="U53" i="8"/>
  <c r="U75" i="8" s="1"/>
  <c r="T53" i="8"/>
  <c r="T75" i="8" s="1"/>
  <c r="S53" i="8"/>
  <c r="S75" i="8" s="1"/>
  <c r="R53" i="8"/>
  <c r="R75" i="8" s="1"/>
  <c r="Q53" i="8"/>
  <c r="Q75" i="8" s="1"/>
  <c r="P53" i="8"/>
  <c r="P75" i="8" s="1"/>
  <c r="O53" i="8"/>
  <c r="O75" i="8" s="1"/>
  <c r="N53" i="8"/>
  <c r="N75" i="8" s="1"/>
  <c r="M53" i="8"/>
  <c r="M75" i="8" s="1"/>
  <c r="L53" i="8"/>
  <c r="L75" i="8" s="1"/>
  <c r="K53" i="8"/>
  <c r="K75" i="8" s="1"/>
  <c r="V51" i="8"/>
  <c r="V73" i="8" s="1"/>
  <c r="U51" i="8"/>
  <c r="U73" i="8" s="1"/>
  <c r="T51" i="8"/>
  <c r="T73" i="8" s="1"/>
  <c r="S51" i="8"/>
  <c r="S73" i="8" s="1"/>
  <c r="R51" i="8"/>
  <c r="Q51" i="8"/>
  <c r="Q73" i="8" s="1"/>
  <c r="P51" i="8"/>
  <c r="P73" i="8" s="1"/>
  <c r="O51" i="8"/>
  <c r="O73" i="8" s="1"/>
  <c r="N51" i="8"/>
  <c r="N73" i="8" s="1"/>
  <c r="M51" i="8"/>
  <c r="M73" i="8" s="1"/>
  <c r="L51" i="8"/>
  <c r="L73" i="8" s="1"/>
  <c r="K51" i="8"/>
  <c r="K73" i="8" s="1"/>
  <c r="V124" i="8"/>
  <c r="U124" i="8"/>
  <c r="T124" i="8"/>
  <c r="S124" i="8"/>
  <c r="R124" i="8"/>
  <c r="V123" i="8"/>
  <c r="U123" i="8"/>
  <c r="T123" i="8"/>
  <c r="S123" i="8"/>
  <c r="R123" i="8"/>
  <c r="V121" i="8"/>
  <c r="U121" i="8"/>
  <c r="T121" i="8"/>
  <c r="S121" i="8"/>
  <c r="R121" i="8"/>
  <c r="V120" i="8"/>
  <c r="U120" i="8"/>
  <c r="T120" i="8"/>
  <c r="S120" i="8"/>
  <c r="R120" i="8"/>
  <c r="V119" i="8"/>
  <c r="U119" i="8"/>
  <c r="T119" i="8"/>
  <c r="S119" i="8"/>
  <c r="R119" i="8"/>
  <c r="V117" i="8"/>
  <c r="U117" i="8"/>
  <c r="T117" i="8"/>
  <c r="S117" i="8"/>
  <c r="R117" i="8"/>
  <c r="V113" i="8"/>
  <c r="U113" i="8"/>
  <c r="T113" i="8"/>
  <c r="S113" i="8"/>
  <c r="R113" i="8"/>
  <c r="V112" i="8"/>
  <c r="U112" i="8"/>
  <c r="T112" i="8"/>
  <c r="S112" i="8"/>
  <c r="R112" i="8"/>
  <c r="V110" i="8"/>
  <c r="U110" i="8"/>
  <c r="T110" i="8"/>
  <c r="S110" i="8"/>
  <c r="R110" i="8"/>
  <c r="V109" i="8"/>
  <c r="U109" i="8"/>
  <c r="T109" i="8"/>
  <c r="S109" i="8"/>
  <c r="R109" i="8"/>
  <c r="V108" i="8"/>
  <c r="U108" i="8"/>
  <c r="T108" i="8"/>
  <c r="S108" i="8"/>
  <c r="R108" i="8"/>
  <c r="V106" i="8"/>
  <c r="U106" i="8"/>
  <c r="T106" i="8"/>
  <c r="S106" i="8"/>
  <c r="R106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V99" i="8"/>
  <c r="U99" i="8"/>
  <c r="T99" i="8"/>
  <c r="S99" i="8"/>
  <c r="R99" i="8"/>
  <c r="Q99" i="8"/>
  <c r="P99" i="8"/>
  <c r="O99" i="8"/>
  <c r="N99" i="8"/>
  <c r="M99" i="8"/>
  <c r="L99" i="8"/>
  <c r="K99" i="8"/>
  <c r="V98" i="8"/>
  <c r="U98" i="8"/>
  <c r="T98" i="8"/>
  <c r="S98" i="8"/>
  <c r="R98" i="8"/>
  <c r="Q98" i="8"/>
  <c r="P98" i="8"/>
  <c r="O98" i="8"/>
  <c r="N98" i="8"/>
  <c r="M98" i="8"/>
  <c r="L98" i="8"/>
  <c r="K98" i="8"/>
  <c r="V97" i="8"/>
  <c r="U97" i="8"/>
  <c r="T97" i="8"/>
  <c r="S97" i="8"/>
  <c r="R97" i="8"/>
  <c r="Q97" i="8"/>
  <c r="P97" i="8"/>
  <c r="O97" i="8"/>
  <c r="N97" i="8"/>
  <c r="M97" i="8"/>
  <c r="L97" i="8"/>
  <c r="K97" i="8"/>
  <c r="V95" i="8"/>
  <c r="U95" i="8"/>
  <c r="T95" i="8"/>
  <c r="S95" i="8"/>
  <c r="R95" i="8"/>
  <c r="Q95" i="8"/>
  <c r="P95" i="8"/>
  <c r="O95" i="8"/>
  <c r="N95" i="8"/>
  <c r="M95" i="8"/>
  <c r="L95" i="8"/>
  <c r="K95" i="8"/>
  <c r="V91" i="8"/>
  <c r="U91" i="8"/>
  <c r="T91" i="8"/>
  <c r="S91" i="8"/>
  <c r="R91" i="8"/>
  <c r="Q91" i="8"/>
  <c r="P91" i="8"/>
  <c r="O91" i="8"/>
  <c r="N91" i="8"/>
  <c r="M91" i="8"/>
  <c r="L91" i="8"/>
  <c r="K91" i="8"/>
  <c r="V90" i="8"/>
  <c r="U90" i="8"/>
  <c r="T90" i="8"/>
  <c r="S90" i="8"/>
  <c r="R90" i="8"/>
  <c r="Q90" i="8"/>
  <c r="P90" i="8"/>
  <c r="O90" i="8"/>
  <c r="N90" i="8"/>
  <c r="M90" i="8"/>
  <c r="L90" i="8"/>
  <c r="K90" i="8"/>
  <c r="V88" i="8"/>
  <c r="U88" i="8"/>
  <c r="T88" i="8"/>
  <c r="S88" i="8"/>
  <c r="R88" i="8"/>
  <c r="Q88" i="8"/>
  <c r="P88" i="8"/>
  <c r="O88" i="8"/>
  <c r="N88" i="8"/>
  <c r="M88" i="8"/>
  <c r="L88" i="8"/>
  <c r="K88" i="8"/>
  <c r="V87" i="8"/>
  <c r="U87" i="8"/>
  <c r="T87" i="8"/>
  <c r="S87" i="8"/>
  <c r="R87" i="8"/>
  <c r="Q87" i="8"/>
  <c r="P87" i="8"/>
  <c r="O87" i="8"/>
  <c r="N87" i="8"/>
  <c r="M87" i="8"/>
  <c r="L87" i="8"/>
  <c r="K87" i="8"/>
  <c r="V86" i="8"/>
  <c r="U86" i="8"/>
  <c r="T86" i="8"/>
  <c r="S86" i="8"/>
  <c r="R86" i="8"/>
  <c r="Q86" i="8"/>
  <c r="P86" i="8"/>
  <c r="O86" i="8"/>
  <c r="N86" i="8"/>
  <c r="M86" i="8"/>
  <c r="L86" i="8"/>
  <c r="K86" i="8"/>
  <c r="V84" i="8"/>
  <c r="U84" i="8"/>
  <c r="T84" i="8"/>
  <c r="S84" i="8"/>
  <c r="R84" i="8"/>
  <c r="Q84" i="8"/>
  <c r="P84" i="8"/>
  <c r="O84" i="8"/>
  <c r="N84" i="8"/>
  <c r="M84" i="8"/>
  <c r="L84" i="8"/>
  <c r="K84" i="8"/>
  <c r="N80" i="8"/>
  <c r="R79" i="8"/>
  <c r="K79" i="8"/>
  <c r="V77" i="8"/>
  <c r="S76" i="8"/>
  <c r="R73" i="8"/>
  <c r="B57" i="10"/>
  <c r="B56" i="10"/>
  <c r="B54" i="10"/>
  <c r="B53" i="10"/>
  <c r="B52" i="10"/>
  <c r="B50" i="10"/>
  <c r="B46" i="10"/>
  <c r="B45" i="10"/>
  <c r="B43" i="10"/>
  <c r="B42" i="10"/>
  <c r="B41" i="10"/>
  <c r="B39" i="10"/>
  <c r="V22" i="10"/>
  <c r="U22" i="10"/>
  <c r="T22" i="10"/>
  <c r="S22" i="10"/>
  <c r="R22" i="10"/>
  <c r="Q22" i="10"/>
  <c r="B4" i="10"/>
  <c r="B54" i="9"/>
  <c r="B53" i="9"/>
  <c r="B51" i="9"/>
  <c r="B50" i="9"/>
  <c r="B49" i="9"/>
  <c r="B47" i="9"/>
  <c r="B43" i="9"/>
  <c r="B42" i="9"/>
  <c r="B40" i="9"/>
  <c r="B39" i="9"/>
  <c r="B38" i="9"/>
  <c r="B36" i="9"/>
  <c r="B32" i="9"/>
  <c r="B31" i="9"/>
  <c r="B29" i="9"/>
  <c r="B28" i="9"/>
  <c r="B27" i="9"/>
  <c r="B25" i="9"/>
  <c r="P22" i="10"/>
  <c r="H22" i="10"/>
  <c r="G22" i="10" l="1"/>
  <c r="O22" i="10"/>
  <c r="B22" i="10"/>
  <c r="J22" i="10"/>
  <c r="I22" i="10"/>
  <c r="C22" i="10"/>
  <c r="K22" i="10"/>
  <c r="D22" i="10"/>
  <c r="L22" i="10"/>
  <c r="E22" i="10"/>
  <c r="M22" i="10"/>
  <c r="F22" i="10"/>
  <c r="N22" i="10"/>
  <c r="L50" i="8"/>
  <c r="L72" i="8" s="1"/>
  <c r="L109" i="8"/>
  <c r="L105" i="8"/>
  <c r="L110" i="8"/>
  <c r="L108" i="8"/>
  <c r="L106" i="8"/>
  <c r="L85" i="8"/>
  <c r="L118" i="8"/>
  <c r="L123" i="8"/>
  <c r="L89" i="8"/>
  <c r="L124" i="8"/>
  <c r="L122" i="8"/>
  <c r="L121" i="8"/>
  <c r="L119" i="8"/>
  <c r="L117" i="8"/>
  <c r="L120" i="8"/>
  <c r="L116" i="8"/>
  <c r="L56" i="8"/>
  <c r="L78" i="8" s="1"/>
  <c r="L113" i="8"/>
  <c r="L111" i="8"/>
  <c r="L112" i="8"/>
  <c r="L100" i="8"/>
  <c r="L52" i="8"/>
  <c r="L74" i="8" s="1"/>
  <c r="L107" i="8"/>
  <c r="L96" i="8"/>
  <c r="J102" i="8"/>
  <c r="I102" i="8"/>
  <c r="H102" i="8"/>
  <c r="G102" i="8"/>
  <c r="F102" i="8"/>
  <c r="E102" i="8"/>
  <c r="D102" i="8"/>
  <c r="C102" i="8"/>
  <c r="B102" i="8"/>
  <c r="J101" i="8"/>
  <c r="I101" i="8"/>
  <c r="H101" i="8"/>
  <c r="G101" i="8"/>
  <c r="F101" i="8"/>
  <c r="E101" i="8"/>
  <c r="D101" i="8"/>
  <c r="C101" i="8"/>
  <c r="B101" i="8"/>
  <c r="J99" i="8"/>
  <c r="I99" i="8"/>
  <c r="H99" i="8"/>
  <c r="G99" i="8"/>
  <c r="F99" i="8"/>
  <c r="E99" i="8"/>
  <c r="D99" i="8"/>
  <c r="C99" i="8"/>
  <c r="B99" i="8"/>
  <c r="J98" i="8"/>
  <c r="I98" i="8"/>
  <c r="H98" i="8"/>
  <c r="G98" i="8"/>
  <c r="F98" i="8"/>
  <c r="E98" i="8"/>
  <c r="D98" i="8"/>
  <c r="C98" i="8"/>
  <c r="B98" i="8"/>
  <c r="J97" i="8"/>
  <c r="I97" i="8"/>
  <c r="H97" i="8"/>
  <c r="G97" i="8"/>
  <c r="F97" i="8"/>
  <c r="E97" i="8"/>
  <c r="D97" i="8"/>
  <c r="C97" i="8"/>
  <c r="B97" i="8"/>
  <c r="J95" i="8"/>
  <c r="I95" i="8"/>
  <c r="H95" i="8"/>
  <c r="G95" i="8"/>
  <c r="F95" i="8"/>
  <c r="E95" i="8"/>
  <c r="D95" i="8"/>
  <c r="C95" i="8"/>
  <c r="B95" i="8"/>
  <c r="J91" i="8"/>
  <c r="I91" i="8"/>
  <c r="H91" i="8"/>
  <c r="G91" i="8"/>
  <c r="F91" i="8"/>
  <c r="E91" i="8"/>
  <c r="D91" i="8"/>
  <c r="C91" i="8"/>
  <c r="B91" i="8"/>
  <c r="J90" i="8"/>
  <c r="I90" i="8"/>
  <c r="H90" i="8"/>
  <c r="G90" i="8"/>
  <c r="F90" i="8"/>
  <c r="E90" i="8"/>
  <c r="D90" i="8"/>
  <c r="C90" i="8"/>
  <c r="B90" i="8"/>
  <c r="J88" i="8"/>
  <c r="I88" i="8"/>
  <c r="H88" i="8"/>
  <c r="G88" i="8"/>
  <c r="F88" i="8"/>
  <c r="E88" i="8"/>
  <c r="D88" i="8"/>
  <c r="C88" i="8"/>
  <c r="B88" i="8"/>
  <c r="J87" i="8"/>
  <c r="I87" i="8"/>
  <c r="H87" i="8"/>
  <c r="G87" i="8"/>
  <c r="F87" i="8"/>
  <c r="E87" i="8"/>
  <c r="D87" i="8"/>
  <c r="C87" i="8"/>
  <c r="B87" i="8"/>
  <c r="J86" i="8"/>
  <c r="I86" i="8"/>
  <c r="H86" i="8"/>
  <c r="G86" i="8"/>
  <c r="F86" i="8"/>
  <c r="E86" i="8"/>
  <c r="D86" i="8"/>
  <c r="C86" i="8"/>
  <c r="B86" i="8"/>
  <c r="J84" i="8"/>
  <c r="I84" i="8"/>
  <c r="H84" i="8"/>
  <c r="G84" i="8"/>
  <c r="F84" i="8"/>
  <c r="E84" i="8"/>
  <c r="D84" i="8"/>
  <c r="C84" i="8"/>
  <c r="B84" i="8"/>
  <c r="L83" i="8" l="1"/>
  <c r="L94" i="8"/>
  <c r="L82" i="8" l="1"/>
  <c r="S51" i="3" l="1"/>
  <c r="V81" i="3"/>
  <c r="U81" i="3"/>
  <c r="T81" i="3"/>
  <c r="S81" i="3"/>
  <c r="V72" i="3"/>
  <c r="V164" i="3" s="1"/>
  <c r="U72" i="3"/>
  <c r="U164" i="3" s="1"/>
  <c r="T72" i="3"/>
  <c r="T164" i="3" s="1"/>
  <c r="S72" i="3"/>
  <c r="S164" i="3" s="1"/>
  <c r="R72" i="3"/>
  <c r="R164" i="3" s="1"/>
  <c r="T71" i="3"/>
  <c r="S71" i="3"/>
  <c r="R71" i="3"/>
  <c r="V70" i="3"/>
  <c r="V162" i="3" s="1"/>
  <c r="U70" i="3"/>
  <c r="U162" i="3" s="1"/>
  <c r="T70" i="3"/>
  <c r="T162" i="3" s="1"/>
  <c r="S70" i="3"/>
  <c r="S162" i="3" s="1"/>
  <c r="R70" i="3"/>
  <c r="R162" i="3" s="1"/>
  <c r="U51" i="3"/>
  <c r="T51" i="3"/>
  <c r="R51" i="3"/>
  <c r="V42" i="3"/>
  <c r="U42" i="3"/>
  <c r="T42" i="3"/>
  <c r="S42" i="3"/>
  <c r="R42" i="3"/>
  <c r="V41" i="3"/>
  <c r="T41" i="3"/>
  <c r="R41" i="3"/>
  <c r="V40" i="3"/>
  <c r="U40" i="3"/>
  <c r="T40" i="3"/>
  <c r="S40" i="3"/>
  <c r="R40" i="3"/>
  <c r="V21" i="3"/>
  <c r="T21" i="3"/>
  <c r="S21" i="3"/>
  <c r="S233" i="3" s="1"/>
  <c r="V12" i="3"/>
  <c r="U12" i="3"/>
  <c r="T12" i="3"/>
  <c r="T224" i="3" s="1"/>
  <c r="S12" i="3"/>
  <c r="S224" i="3" s="1"/>
  <c r="R12" i="3"/>
  <c r="V11" i="3"/>
  <c r="U11" i="3"/>
  <c r="T11" i="3"/>
  <c r="S11" i="3"/>
  <c r="V10" i="3"/>
  <c r="U10" i="3"/>
  <c r="T10" i="3"/>
  <c r="S10" i="3"/>
  <c r="R10" i="3"/>
  <c r="Q72" i="3"/>
  <c r="Q164" i="3" s="1"/>
  <c r="P72" i="3"/>
  <c r="P164" i="3" s="1"/>
  <c r="O72" i="3"/>
  <c r="O164" i="3" s="1"/>
  <c r="N72" i="3"/>
  <c r="N164" i="3" s="1"/>
  <c r="M72" i="3"/>
  <c r="M164" i="3" s="1"/>
  <c r="L72" i="3"/>
  <c r="L164" i="3" s="1"/>
  <c r="K72" i="3"/>
  <c r="K164" i="3" s="1"/>
  <c r="J72" i="3"/>
  <c r="J164" i="3" s="1"/>
  <c r="I72" i="3"/>
  <c r="I164" i="3" s="1"/>
  <c r="H72" i="3"/>
  <c r="H164" i="3" s="1"/>
  <c r="G72" i="3"/>
  <c r="G164" i="3" s="1"/>
  <c r="F72" i="3"/>
  <c r="F164" i="3" s="1"/>
  <c r="E72" i="3"/>
  <c r="E164" i="3" s="1"/>
  <c r="D72" i="3"/>
  <c r="D164" i="3" s="1"/>
  <c r="C72" i="3"/>
  <c r="C164" i="3" s="1"/>
  <c r="B72" i="3"/>
  <c r="B164" i="3" s="1"/>
  <c r="Q70" i="3"/>
  <c r="Q162" i="3" s="1"/>
  <c r="P70" i="3"/>
  <c r="P162" i="3" s="1"/>
  <c r="O70" i="3"/>
  <c r="O162" i="3" s="1"/>
  <c r="N70" i="3"/>
  <c r="N162" i="3" s="1"/>
  <c r="M70" i="3"/>
  <c r="M162" i="3" s="1"/>
  <c r="L70" i="3"/>
  <c r="L162" i="3" s="1"/>
  <c r="K70" i="3"/>
  <c r="K162" i="3" s="1"/>
  <c r="J70" i="3"/>
  <c r="J162" i="3" s="1"/>
  <c r="I70" i="3"/>
  <c r="I162" i="3" s="1"/>
  <c r="H70" i="3"/>
  <c r="H162" i="3" s="1"/>
  <c r="G70" i="3"/>
  <c r="G162" i="3" s="1"/>
  <c r="F70" i="3"/>
  <c r="F162" i="3" s="1"/>
  <c r="E70" i="3"/>
  <c r="E162" i="3" s="1"/>
  <c r="D70" i="3"/>
  <c r="D162" i="3" s="1"/>
  <c r="C70" i="3"/>
  <c r="C162" i="3" s="1"/>
  <c r="B70" i="3"/>
  <c r="B162" i="3" s="1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A28" i="3"/>
  <c r="A27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11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10" i="3"/>
  <c r="A20" i="3"/>
  <c r="A19" i="3"/>
  <c r="A8" i="3"/>
  <c r="A7" i="3"/>
  <c r="A6" i="3"/>
  <c r="G58" i="8"/>
  <c r="G80" i="8" s="1"/>
  <c r="J57" i="8"/>
  <c r="G57" i="8"/>
  <c r="J55" i="8"/>
  <c r="J77" i="8" s="1"/>
  <c r="G55" i="8"/>
  <c r="G77" i="8" s="1"/>
  <c r="G54" i="8"/>
  <c r="G76" i="8" s="1"/>
  <c r="J53" i="8"/>
  <c r="G53" i="8"/>
  <c r="J51" i="8"/>
  <c r="G51" i="8"/>
  <c r="G73" i="8" s="1"/>
  <c r="J58" i="8"/>
  <c r="J80" i="8" s="1"/>
  <c r="H58" i="8"/>
  <c r="H57" i="8"/>
  <c r="B55" i="8"/>
  <c r="J54" i="8"/>
  <c r="J76" i="8" s="1"/>
  <c r="H54" i="8"/>
  <c r="H53" i="8"/>
  <c r="L51" i="3"/>
  <c r="D51" i="3"/>
  <c r="B51" i="3"/>
  <c r="L41" i="3"/>
  <c r="D41" i="3"/>
  <c r="B68" i="10"/>
  <c r="B81" i="3"/>
  <c r="B65" i="10"/>
  <c r="B64" i="10"/>
  <c r="G71" i="3"/>
  <c r="B71" i="3"/>
  <c r="B61" i="10"/>
  <c r="A234" i="3"/>
  <c r="A233" i="3"/>
  <c r="A230" i="3"/>
  <c r="A225" i="3"/>
  <c r="A221" i="3"/>
  <c r="A217" i="3"/>
  <c r="A204" i="3"/>
  <c r="A203" i="3"/>
  <c r="A200" i="3"/>
  <c r="A195" i="3"/>
  <c r="A191" i="3"/>
  <c r="A187" i="3"/>
  <c r="A174" i="3"/>
  <c r="A173" i="3"/>
  <c r="A170" i="3"/>
  <c r="A165" i="3"/>
  <c r="A161" i="3"/>
  <c r="A157" i="3"/>
  <c r="A144" i="3"/>
  <c r="A143" i="3"/>
  <c r="A140" i="3"/>
  <c r="A135" i="3"/>
  <c r="A131" i="3"/>
  <c r="A127" i="3"/>
  <c r="A114" i="3"/>
  <c r="A113" i="3"/>
  <c r="A110" i="3"/>
  <c r="A105" i="3"/>
  <c r="A101" i="3"/>
  <c r="A97" i="3"/>
  <c r="A82" i="3"/>
  <c r="A81" i="3"/>
  <c r="A78" i="3"/>
  <c r="A75" i="3"/>
  <c r="A73" i="3"/>
  <c r="A69" i="3"/>
  <c r="A65" i="3"/>
  <c r="A52" i="3"/>
  <c r="A51" i="3"/>
  <c r="A48" i="3"/>
  <c r="A44" i="3"/>
  <c r="A43" i="3"/>
  <c r="A39" i="3"/>
  <c r="A35" i="3"/>
  <c r="A137" i="3"/>
  <c r="A74" i="3"/>
  <c r="B16" i="1"/>
  <c r="B9" i="1"/>
  <c r="B22" i="1"/>
  <c r="B15" i="1"/>
  <c r="B8" i="1"/>
  <c r="B4" i="1"/>
  <c r="B21" i="1"/>
  <c r="B12" i="1"/>
  <c r="B20" i="1"/>
  <c r="B11" i="1"/>
  <c r="B6" i="1"/>
  <c r="B7" i="1"/>
  <c r="B17" i="1"/>
  <c r="B18" i="1"/>
  <c r="B13" i="1"/>
  <c r="A71" i="3" l="1"/>
  <c r="A42" i="3"/>
  <c r="A66" i="3"/>
  <c r="A67" i="3"/>
  <c r="A100" i="3"/>
  <c r="A49" i="3"/>
  <c r="A192" i="3"/>
  <c r="A134" i="3"/>
  <c r="G222" i="3"/>
  <c r="O222" i="3"/>
  <c r="T222" i="3"/>
  <c r="E224" i="3"/>
  <c r="M224" i="3"/>
  <c r="V233" i="3"/>
  <c r="V222" i="3"/>
  <c r="V224" i="3"/>
  <c r="B224" i="3"/>
  <c r="J224" i="3"/>
  <c r="A149" i="3"/>
  <c r="A120" i="3"/>
  <c r="T193" i="3"/>
  <c r="T203" i="3"/>
  <c r="R222" i="3"/>
  <c r="N222" i="3"/>
  <c r="S222" i="3"/>
  <c r="R224" i="3"/>
  <c r="F222" i="3"/>
  <c r="V192" i="3"/>
  <c r="V194" i="3"/>
  <c r="S223" i="3"/>
  <c r="V193" i="3"/>
  <c r="S203" i="3"/>
  <c r="T223" i="3"/>
  <c r="R192" i="3"/>
  <c r="R194" i="3"/>
  <c r="S192" i="3"/>
  <c r="S194" i="3"/>
  <c r="T192" i="3"/>
  <c r="T194" i="3"/>
  <c r="T233" i="3"/>
  <c r="U192" i="3"/>
  <c r="U194" i="3"/>
  <c r="U222" i="3"/>
  <c r="U224" i="3"/>
  <c r="D222" i="3"/>
  <c r="L222" i="3"/>
  <c r="D224" i="3"/>
  <c r="L224" i="3"/>
  <c r="Q49" i="10"/>
  <c r="Q38" i="10"/>
  <c r="Q60" i="10"/>
  <c r="S57" i="9"/>
  <c r="S46" i="9"/>
  <c r="S35" i="9"/>
  <c r="S24" i="9"/>
  <c r="G67" i="10"/>
  <c r="G63" i="10"/>
  <c r="G59" i="10"/>
  <c r="F57" i="9"/>
  <c r="N57" i="9"/>
  <c r="L64" i="9"/>
  <c r="L62" i="9"/>
  <c r="L60" i="9"/>
  <c r="L58" i="9"/>
  <c r="L56" i="9"/>
  <c r="L65" i="9"/>
  <c r="L61" i="9"/>
  <c r="L23" i="9"/>
  <c r="L45" i="9"/>
  <c r="M67" i="10"/>
  <c r="M63" i="10"/>
  <c r="M59" i="10"/>
  <c r="K65" i="9"/>
  <c r="K61" i="9"/>
  <c r="K64" i="9"/>
  <c r="K62" i="9"/>
  <c r="K60" i="9"/>
  <c r="K58" i="9"/>
  <c r="K56" i="9"/>
  <c r="N51" i="3"/>
  <c r="R24" i="9"/>
  <c r="R57" i="9"/>
  <c r="R46" i="9"/>
  <c r="R35" i="9"/>
  <c r="C67" i="10"/>
  <c r="C59" i="10"/>
  <c r="C63" i="10"/>
  <c r="N67" i="10"/>
  <c r="N63" i="10"/>
  <c r="N59" i="10"/>
  <c r="H71" i="3"/>
  <c r="H62" i="10"/>
  <c r="P71" i="3"/>
  <c r="F81" i="3"/>
  <c r="F66" i="10"/>
  <c r="N81" i="3"/>
  <c r="N66" i="10"/>
  <c r="O24" i="9"/>
  <c r="F41" i="3"/>
  <c r="U62" i="10"/>
  <c r="U51" i="10"/>
  <c r="U40" i="10"/>
  <c r="T30" i="9"/>
  <c r="T41" i="9"/>
  <c r="T52" i="9"/>
  <c r="T63" i="9"/>
  <c r="E81" i="3"/>
  <c r="E66" i="10"/>
  <c r="F63" i="9"/>
  <c r="T62" i="10"/>
  <c r="T51" i="10"/>
  <c r="T40" i="10"/>
  <c r="S63" i="9"/>
  <c r="S52" i="9"/>
  <c r="S30" i="9"/>
  <c r="S41" i="9"/>
  <c r="I60" i="10"/>
  <c r="I62" i="10"/>
  <c r="Q40" i="10"/>
  <c r="Q62" i="10"/>
  <c r="Q51" i="10"/>
  <c r="G66" i="10"/>
  <c r="C57" i="9"/>
  <c r="H41" i="3"/>
  <c r="H39" i="3" s="1"/>
  <c r="H59" i="9"/>
  <c r="P41" i="3"/>
  <c r="H63" i="9"/>
  <c r="P59" i="9"/>
  <c r="H222" i="3"/>
  <c r="P222" i="3"/>
  <c r="F224" i="3"/>
  <c r="N224" i="3"/>
  <c r="V51" i="10"/>
  <c r="V40" i="10"/>
  <c r="V62" i="10"/>
  <c r="R59" i="9"/>
  <c r="R26" i="9"/>
  <c r="R48" i="9"/>
  <c r="R37" i="9"/>
  <c r="U63" i="9"/>
  <c r="U30" i="9"/>
  <c r="U41" i="9"/>
  <c r="U52" i="9"/>
  <c r="P60" i="10"/>
  <c r="F67" i="10"/>
  <c r="F63" i="10"/>
  <c r="F59" i="10"/>
  <c r="H81" i="3"/>
  <c r="P81" i="3"/>
  <c r="P66" i="10"/>
  <c r="Q51" i="3"/>
  <c r="N41" i="3"/>
  <c r="O71" i="3"/>
  <c r="R66" i="10"/>
  <c r="R55" i="10"/>
  <c r="R44" i="10"/>
  <c r="S59" i="9"/>
  <c r="S37" i="9"/>
  <c r="S48" i="9"/>
  <c r="S26" i="9"/>
  <c r="V30" i="9"/>
  <c r="V41" i="9"/>
  <c r="V52" i="9"/>
  <c r="V63" i="9"/>
  <c r="P57" i="9"/>
  <c r="C60" i="10"/>
  <c r="L62" i="10"/>
  <c r="L38" i="10"/>
  <c r="L49" i="10"/>
  <c r="C71" i="3"/>
  <c r="C62" i="10"/>
  <c r="K71" i="3"/>
  <c r="I81" i="3"/>
  <c r="I66" i="10"/>
  <c r="Q66" i="10"/>
  <c r="Q55" i="10"/>
  <c r="Q44" i="10"/>
  <c r="E57" i="9"/>
  <c r="J46" i="9"/>
  <c r="J51" i="3"/>
  <c r="G81" i="3"/>
  <c r="V51" i="3"/>
  <c r="S66" i="10"/>
  <c r="S55" i="10"/>
  <c r="S44" i="10"/>
  <c r="T48" i="9"/>
  <c r="T26" i="9"/>
  <c r="T37" i="9"/>
  <c r="T59" i="9"/>
  <c r="L57" i="9"/>
  <c r="L24" i="9"/>
  <c r="L35" i="9"/>
  <c r="L46" i="9"/>
  <c r="H60" i="10"/>
  <c r="D60" i="10"/>
  <c r="M60" i="10"/>
  <c r="D71" i="3"/>
  <c r="D62" i="10"/>
  <c r="L71" i="3"/>
  <c r="L51" i="10"/>
  <c r="L40" i="10"/>
  <c r="J81" i="3"/>
  <c r="C59" i="9"/>
  <c r="K59" i="9"/>
  <c r="C63" i="9"/>
  <c r="K63" i="9"/>
  <c r="Q52" i="9"/>
  <c r="O81" i="3"/>
  <c r="R60" i="10"/>
  <c r="R49" i="10"/>
  <c r="R38" i="10"/>
  <c r="T66" i="10"/>
  <c r="T55" i="10"/>
  <c r="T44" i="10"/>
  <c r="U41" i="3"/>
  <c r="U59" i="9"/>
  <c r="U26" i="9"/>
  <c r="U37" i="9"/>
  <c r="U48" i="9"/>
  <c r="G62" i="10"/>
  <c r="M81" i="3"/>
  <c r="M66" i="10"/>
  <c r="I67" i="10"/>
  <c r="I63" i="10"/>
  <c r="I59" i="10"/>
  <c r="E60" i="10"/>
  <c r="N60" i="10"/>
  <c r="E71" i="3"/>
  <c r="E62" i="10"/>
  <c r="M71" i="3"/>
  <c r="M62" i="10"/>
  <c r="C81" i="3"/>
  <c r="C66" i="10"/>
  <c r="K81" i="3"/>
  <c r="C65" i="9"/>
  <c r="C61" i="9"/>
  <c r="C64" i="9"/>
  <c r="C62" i="9"/>
  <c r="C60" i="9"/>
  <c r="C58" i="9"/>
  <c r="C56" i="9"/>
  <c r="H57" i="9"/>
  <c r="L59" i="9"/>
  <c r="L26" i="9"/>
  <c r="L48" i="9"/>
  <c r="L37" i="9"/>
  <c r="L63" i="9"/>
  <c r="L30" i="9"/>
  <c r="L52" i="9"/>
  <c r="L41" i="9"/>
  <c r="Q48" i="9"/>
  <c r="R51" i="10"/>
  <c r="R62" i="10"/>
  <c r="R40" i="10"/>
  <c r="U66" i="10"/>
  <c r="U55" i="10"/>
  <c r="U44" i="10"/>
  <c r="V26" i="9"/>
  <c r="V59" i="9"/>
  <c r="V37" i="9"/>
  <c r="V48" i="9"/>
  <c r="G60" i="10"/>
  <c r="F59" i="9"/>
  <c r="Q63" i="9"/>
  <c r="F60" i="10"/>
  <c r="O38" i="10"/>
  <c r="F71" i="3"/>
  <c r="F62" i="10"/>
  <c r="N71" i="3"/>
  <c r="N62" i="10"/>
  <c r="D81" i="3"/>
  <c r="D66" i="10"/>
  <c r="L81" i="3"/>
  <c r="L44" i="10"/>
  <c r="L55" i="10"/>
  <c r="D63" i="9"/>
  <c r="K57" i="9"/>
  <c r="E41" i="3"/>
  <c r="M41" i="3"/>
  <c r="E51" i="3"/>
  <c r="M51" i="3"/>
  <c r="S41" i="3"/>
  <c r="S62" i="10"/>
  <c r="S51" i="10"/>
  <c r="S40" i="10"/>
  <c r="V66" i="10"/>
  <c r="V55" i="10"/>
  <c r="V44" i="10"/>
  <c r="R63" i="9"/>
  <c r="R52" i="9"/>
  <c r="R30" i="9"/>
  <c r="R41" i="9"/>
  <c r="O120" i="8"/>
  <c r="O116" i="8"/>
  <c r="O121" i="8"/>
  <c r="O119" i="8"/>
  <c r="O117" i="8"/>
  <c r="O83" i="8"/>
  <c r="M48" i="10"/>
  <c r="P23" i="9"/>
  <c r="H49" i="10"/>
  <c r="H46" i="9"/>
  <c r="E49" i="10"/>
  <c r="E46" i="9"/>
  <c r="G44" i="10"/>
  <c r="G41" i="9"/>
  <c r="K85" i="8"/>
  <c r="K26" i="9"/>
  <c r="N51" i="10"/>
  <c r="N48" i="9"/>
  <c r="R100" i="8"/>
  <c r="R56" i="8"/>
  <c r="R78" i="8" s="1"/>
  <c r="R111" i="8"/>
  <c r="T85" i="8"/>
  <c r="T118" i="8"/>
  <c r="C40" i="10"/>
  <c r="C37" i="9"/>
  <c r="K40" i="10"/>
  <c r="K37" i="9"/>
  <c r="K52" i="8"/>
  <c r="K74" i="8" s="1"/>
  <c r="K96" i="8"/>
  <c r="H100" i="8"/>
  <c r="H44" i="10"/>
  <c r="H41" i="9"/>
  <c r="Q112" i="8"/>
  <c r="Q41" i="9"/>
  <c r="Q56" i="8"/>
  <c r="Q78" i="8" s="1"/>
  <c r="Q113" i="8"/>
  <c r="Q111" i="8"/>
  <c r="Q100" i="8"/>
  <c r="D85" i="8"/>
  <c r="D26" i="9"/>
  <c r="M26" i="9"/>
  <c r="M85" i="8"/>
  <c r="E30" i="9"/>
  <c r="N123" i="8"/>
  <c r="N89" i="8"/>
  <c r="N30" i="9"/>
  <c r="N124" i="8"/>
  <c r="N122" i="8"/>
  <c r="F51" i="10"/>
  <c r="F48" i="9"/>
  <c r="O51" i="10"/>
  <c r="O48" i="9"/>
  <c r="G55" i="10"/>
  <c r="G52" i="9"/>
  <c r="P55" i="10"/>
  <c r="P52" i="9"/>
  <c r="S56" i="8"/>
  <c r="S78" i="8" s="1"/>
  <c r="S111" i="8"/>
  <c r="S100" i="8"/>
  <c r="U118" i="8"/>
  <c r="U85" i="8"/>
  <c r="J96" i="8"/>
  <c r="J40" i="10"/>
  <c r="J37" i="9"/>
  <c r="D30" i="9"/>
  <c r="E51" i="10"/>
  <c r="E48" i="9"/>
  <c r="F55" i="10"/>
  <c r="F52" i="9"/>
  <c r="D38" i="10"/>
  <c r="D35" i="9"/>
  <c r="D96" i="8"/>
  <c r="D40" i="10"/>
  <c r="D37" i="9"/>
  <c r="M40" i="10"/>
  <c r="M37" i="9"/>
  <c r="M52" i="8"/>
  <c r="M74" i="8" s="1"/>
  <c r="M96" i="8"/>
  <c r="I100" i="8"/>
  <c r="I44" i="10"/>
  <c r="I41" i="9"/>
  <c r="K118" i="8"/>
  <c r="E26" i="9"/>
  <c r="N85" i="8"/>
  <c r="N26" i="9"/>
  <c r="N118" i="8"/>
  <c r="F89" i="8"/>
  <c r="F30" i="9"/>
  <c r="O30" i="9"/>
  <c r="O124" i="8"/>
  <c r="O122" i="8"/>
  <c r="O123" i="8"/>
  <c r="O89" i="8"/>
  <c r="F49" i="10"/>
  <c r="F46" i="9"/>
  <c r="G51" i="10"/>
  <c r="G48" i="9"/>
  <c r="P51" i="10"/>
  <c r="P48" i="9"/>
  <c r="H55" i="10"/>
  <c r="H52" i="9"/>
  <c r="T56" i="8"/>
  <c r="T78" i="8" s="1"/>
  <c r="T111" i="8"/>
  <c r="T100" i="8"/>
  <c r="V85" i="8"/>
  <c r="V118" i="8"/>
  <c r="B96" i="8"/>
  <c r="B40" i="10"/>
  <c r="B37" i="9"/>
  <c r="P112" i="8"/>
  <c r="P100" i="8"/>
  <c r="P44" i="10"/>
  <c r="P41" i="9"/>
  <c r="P56" i="8"/>
  <c r="P78" i="8" s="1"/>
  <c r="P113" i="8"/>
  <c r="P111" i="8"/>
  <c r="G48" i="10"/>
  <c r="B41" i="9"/>
  <c r="B44" i="10"/>
  <c r="B24" i="9"/>
  <c r="F85" i="8"/>
  <c r="F26" i="9"/>
  <c r="G30" i="9"/>
  <c r="P30" i="9"/>
  <c r="P124" i="8"/>
  <c r="P122" i="8"/>
  <c r="P123" i="8"/>
  <c r="P89" i="8"/>
  <c r="H38" i="10"/>
  <c r="H35" i="9"/>
  <c r="F40" i="10"/>
  <c r="F37" i="9"/>
  <c r="O96" i="8"/>
  <c r="O40" i="10"/>
  <c r="O37" i="9"/>
  <c r="O52" i="8"/>
  <c r="O74" i="8" s="1"/>
  <c r="O107" i="8"/>
  <c r="C44" i="10"/>
  <c r="C41" i="9"/>
  <c r="K44" i="10"/>
  <c r="K41" i="9"/>
  <c r="K56" i="8"/>
  <c r="K78" i="8" s="1"/>
  <c r="K113" i="8"/>
  <c r="K111" i="8"/>
  <c r="K112" i="8"/>
  <c r="K100" i="8"/>
  <c r="D24" i="9"/>
  <c r="G85" i="8"/>
  <c r="G26" i="9"/>
  <c r="P26" i="9"/>
  <c r="P118" i="8"/>
  <c r="P85" i="8"/>
  <c r="H30" i="9"/>
  <c r="Q30" i="9"/>
  <c r="Q124" i="8"/>
  <c r="Q122" i="8"/>
  <c r="Q123" i="8"/>
  <c r="Q89" i="8"/>
  <c r="Q83" i="8"/>
  <c r="I51" i="10"/>
  <c r="I48" i="9"/>
  <c r="B55" i="10"/>
  <c r="B52" i="9"/>
  <c r="J55" i="10"/>
  <c r="J52" i="9"/>
  <c r="S52" i="8"/>
  <c r="S74" i="8" s="1"/>
  <c r="S107" i="8"/>
  <c r="S96" i="8"/>
  <c r="V56" i="8"/>
  <c r="V78" i="8" s="1"/>
  <c r="V111" i="8"/>
  <c r="V100" i="8"/>
  <c r="S89" i="8"/>
  <c r="S122" i="8"/>
  <c r="M49" i="10"/>
  <c r="M46" i="9"/>
  <c r="N121" i="8"/>
  <c r="N119" i="8"/>
  <c r="N117" i="8"/>
  <c r="N83" i="8"/>
  <c r="N24" i="9"/>
  <c r="N120" i="8"/>
  <c r="N116" i="8"/>
  <c r="P49" i="10"/>
  <c r="P46" i="9"/>
  <c r="H51" i="10"/>
  <c r="H48" i="9"/>
  <c r="I55" i="10"/>
  <c r="I52" i="9"/>
  <c r="G96" i="8"/>
  <c r="G40" i="10"/>
  <c r="G37" i="9"/>
  <c r="P96" i="8"/>
  <c r="P40" i="10"/>
  <c r="P37" i="9"/>
  <c r="P52" i="8"/>
  <c r="P74" i="8" s="1"/>
  <c r="P107" i="8"/>
  <c r="D44" i="10"/>
  <c r="D41" i="9"/>
  <c r="M44" i="10"/>
  <c r="M41" i="9"/>
  <c r="M56" i="8"/>
  <c r="M78" i="8" s="1"/>
  <c r="M113" i="8"/>
  <c r="M111" i="8"/>
  <c r="M112" i="8"/>
  <c r="M100" i="8"/>
  <c r="P24" i="9"/>
  <c r="P120" i="8"/>
  <c r="P116" i="8"/>
  <c r="P121" i="8"/>
  <c r="P119" i="8"/>
  <c r="P117" i="8"/>
  <c r="P83" i="8"/>
  <c r="H85" i="8"/>
  <c r="H26" i="9"/>
  <c r="Q26" i="9"/>
  <c r="Q118" i="8"/>
  <c r="Q85" i="8"/>
  <c r="I89" i="8"/>
  <c r="I30" i="9"/>
  <c r="P82" i="8"/>
  <c r="I49" i="10"/>
  <c r="B51" i="10"/>
  <c r="B48" i="9"/>
  <c r="J51" i="10"/>
  <c r="J48" i="9"/>
  <c r="C55" i="10"/>
  <c r="C52" i="9"/>
  <c r="K55" i="10"/>
  <c r="K52" i="9"/>
  <c r="T52" i="8"/>
  <c r="T74" i="8" s="1"/>
  <c r="T107" i="8"/>
  <c r="T96" i="8"/>
  <c r="T89" i="8"/>
  <c r="T122" i="8"/>
  <c r="D49" i="10"/>
  <c r="D46" i="9"/>
  <c r="O55" i="10"/>
  <c r="O52" i="9"/>
  <c r="G94" i="8"/>
  <c r="G38" i="10"/>
  <c r="N40" i="10"/>
  <c r="N37" i="9"/>
  <c r="N52" i="8"/>
  <c r="N74" i="8" s="1"/>
  <c r="N96" i="8"/>
  <c r="O26" i="9"/>
  <c r="O118" i="8"/>
  <c r="O85" i="8"/>
  <c r="G49" i="10"/>
  <c r="R21" i="3"/>
  <c r="R203" i="3" s="1"/>
  <c r="U56" i="8"/>
  <c r="U78" i="8" s="1"/>
  <c r="U111" i="8"/>
  <c r="U100" i="8"/>
  <c r="A40" i="3"/>
  <c r="O110" i="8"/>
  <c r="O108" i="8"/>
  <c r="O106" i="8"/>
  <c r="O94" i="8"/>
  <c r="O50" i="8"/>
  <c r="O72" i="8" s="1"/>
  <c r="O109" i="8"/>
  <c r="O105" i="8"/>
  <c r="H96" i="8"/>
  <c r="H40" i="10"/>
  <c r="H37" i="9"/>
  <c r="Q37" i="9"/>
  <c r="Q52" i="8"/>
  <c r="Q74" i="8" s="1"/>
  <c r="Q96" i="8"/>
  <c r="E44" i="10"/>
  <c r="E41" i="9"/>
  <c r="N44" i="10"/>
  <c r="N41" i="9"/>
  <c r="N56" i="8"/>
  <c r="N78" i="8" s="1"/>
  <c r="N113" i="8"/>
  <c r="N111" i="8"/>
  <c r="N112" i="8"/>
  <c r="N100" i="8"/>
  <c r="G83" i="8"/>
  <c r="Q120" i="8"/>
  <c r="Q116" i="8"/>
  <c r="Q121" i="8"/>
  <c r="Q119" i="8"/>
  <c r="Q117" i="8"/>
  <c r="I85" i="8"/>
  <c r="I26" i="9"/>
  <c r="B30" i="9"/>
  <c r="J30" i="9"/>
  <c r="B46" i="9"/>
  <c r="J49" i="10"/>
  <c r="C51" i="10"/>
  <c r="C48" i="9"/>
  <c r="K51" i="10"/>
  <c r="K48" i="9"/>
  <c r="D55" i="10"/>
  <c r="D52" i="9"/>
  <c r="M55" i="10"/>
  <c r="M52" i="9"/>
  <c r="U52" i="8"/>
  <c r="U74" i="8" s="1"/>
  <c r="U107" i="8"/>
  <c r="U96" i="8"/>
  <c r="R118" i="8"/>
  <c r="R85" i="8"/>
  <c r="U122" i="8"/>
  <c r="U89" i="8"/>
  <c r="C85" i="8"/>
  <c r="C26" i="9"/>
  <c r="M123" i="8"/>
  <c r="M30" i="9"/>
  <c r="M124" i="8"/>
  <c r="M122" i="8"/>
  <c r="M89" i="8"/>
  <c r="E40" i="10"/>
  <c r="E37" i="9"/>
  <c r="J44" i="10"/>
  <c r="J41" i="9"/>
  <c r="R96" i="8"/>
  <c r="R52" i="8"/>
  <c r="R74" i="8" s="1"/>
  <c r="R107" i="8"/>
  <c r="R122" i="8"/>
  <c r="R89" i="8"/>
  <c r="P110" i="8"/>
  <c r="P108" i="8"/>
  <c r="P106" i="8"/>
  <c r="P94" i="8"/>
  <c r="P38" i="10"/>
  <c r="P35" i="9"/>
  <c r="P50" i="8"/>
  <c r="P72" i="8" s="1"/>
  <c r="P109" i="8"/>
  <c r="P105" i="8"/>
  <c r="I40" i="10"/>
  <c r="I37" i="9"/>
  <c r="F100" i="8"/>
  <c r="F44" i="10"/>
  <c r="F41" i="9"/>
  <c r="O112" i="8"/>
  <c r="O100" i="8"/>
  <c r="O44" i="10"/>
  <c r="O41" i="9"/>
  <c r="O56" i="8"/>
  <c r="O78" i="8" s="1"/>
  <c r="O113" i="8"/>
  <c r="O111" i="8"/>
  <c r="H24" i="9"/>
  <c r="B26" i="9"/>
  <c r="J85" i="8"/>
  <c r="J26" i="9"/>
  <c r="C30" i="9"/>
  <c r="K123" i="8"/>
  <c r="K89" i="8"/>
  <c r="K30" i="9"/>
  <c r="K124" i="8"/>
  <c r="K122" i="8"/>
  <c r="D51" i="10"/>
  <c r="D48" i="9"/>
  <c r="M51" i="10"/>
  <c r="M48" i="9"/>
  <c r="E55" i="10"/>
  <c r="E52" i="9"/>
  <c r="N55" i="10"/>
  <c r="N52" i="9"/>
  <c r="R11" i="3"/>
  <c r="R223" i="3" s="1"/>
  <c r="V52" i="8"/>
  <c r="V74" i="8" s="1"/>
  <c r="V107" i="8"/>
  <c r="V96" i="8"/>
  <c r="S85" i="8"/>
  <c r="S118" i="8"/>
  <c r="V89" i="8"/>
  <c r="V122" i="8"/>
  <c r="A104" i="3"/>
  <c r="I222" i="3"/>
  <c r="Q222" i="3"/>
  <c r="G224" i="3"/>
  <c r="O224" i="3"/>
  <c r="A194" i="3"/>
  <c r="E222" i="3"/>
  <c r="M222" i="3"/>
  <c r="C224" i="3"/>
  <c r="K224" i="3"/>
  <c r="B222" i="3"/>
  <c r="J222" i="3"/>
  <c r="H224" i="3"/>
  <c r="P224" i="3"/>
  <c r="I192" i="3"/>
  <c r="Q192" i="3"/>
  <c r="E194" i="3"/>
  <c r="M194" i="3"/>
  <c r="H192" i="3"/>
  <c r="P192" i="3"/>
  <c r="D194" i="3"/>
  <c r="L194" i="3"/>
  <c r="A88" i="3"/>
  <c r="B192" i="3"/>
  <c r="J192" i="3"/>
  <c r="F194" i="3"/>
  <c r="N194" i="3"/>
  <c r="C192" i="3"/>
  <c r="K192" i="3"/>
  <c r="G194" i="3"/>
  <c r="O194" i="3"/>
  <c r="D192" i="3"/>
  <c r="L192" i="3"/>
  <c r="H194" i="3"/>
  <c r="P194" i="3"/>
  <c r="E192" i="3"/>
  <c r="M192" i="3"/>
  <c r="I194" i="3"/>
  <c r="Q194" i="3"/>
  <c r="F192" i="3"/>
  <c r="N192" i="3"/>
  <c r="B194" i="3"/>
  <c r="J194" i="3"/>
  <c r="T39" i="3"/>
  <c r="C222" i="3"/>
  <c r="K222" i="3"/>
  <c r="I224" i="3"/>
  <c r="Q224" i="3"/>
  <c r="G192" i="3"/>
  <c r="O192" i="3"/>
  <c r="C194" i="3"/>
  <c r="K194" i="3"/>
  <c r="Q81" i="3"/>
  <c r="U71" i="3"/>
  <c r="V71" i="3"/>
  <c r="T69" i="3"/>
  <c r="I71" i="3"/>
  <c r="Q71" i="3"/>
  <c r="R81" i="3"/>
  <c r="J71" i="3"/>
  <c r="M11" i="3"/>
  <c r="N11" i="3"/>
  <c r="U21" i="3"/>
  <c r="U233" i="3" s="1"/>
  <c r="Q11" i="3"/>
  <c r="Q9" i="3" s="1"/>
  <c r="M21" i="3"/>
  <c r="C111" i="8"/>
  <c r="C100" i="8"/>
  <c r="G122" i="8"/>
  <c r="G89" i="8"/>
  <c r="D111" i="8"/>
  <c r="D100" i="8"/>
  <c r="H122" i="8"/>
  <c r="H89" i="8"/>
  <c r="I11" i="3"/>
  <c r="I9" i="3" s="1"/>
  <c r="I96" i="8"/>
  <c r="E21" i="3"/>
  <c r="E100" i="8"/>
  <c r="H116" i="8"/>
  <c r="H83" i="8"/>
  <c r="D105" i="8"/>
  <c r="D94" i="8"/>
  <c r="I116" i="8"/>
  <c r="I83" i="8"/>
  <c r="B85" i="8"/>
  <c r="B89" i="8"/>
  <c r="J122" i="8"/>
  <c r="J89" i="8"/>
  <c r="C96" i="8"/>
  <c r="G111" i="8"/>
  <c r="G100" i="8"/>
  <c r="D82" i="8"/>
  <c r="J116" i="8"/>
  <c r="J83" i="8"/>
  <c r="C122" i="8"/>
  <c r="C89" i="8"/>
  <c r="H50" i="8"/>
  <c r="H72" i="8" s="1"/>
  <c r="H94" i="8"/>
  <c r="B116" i="8"/>
  <c r="B83" i="8"/>
  <c r="D122" i="8"/>
  <c r="D89" i="8"/>
  <c r="E11" i="3"/>
  <c r="E96" i="8"/>
  <c r="E85" i="8"/>
  <c r="E89" i="8"/>
  <c r="F11" i="3"/>
  <c r="F96" i="8"/>
  <c r="B111" i="8"/>
  <c r="B100" i="8"/>
  <c r="J111" i="8"/>
  <c r="J100" i="8"/>
  <c r="I82" i="8"/>
  <c r="D116" i="8"/>
  <c r="D83" i="8"/>
  <c r="B56" i="9"/>
  <c r="F51" i="3"/>
  <c r="G41" i="3"/>
  <c r="O41" i="3"/>
  <c r="G51" i="3"/>
  <c r="O51" i="3"/>
  <c r="H51" i="3"/>
  <c r="P51" i="3"/>
  <c r="I41" i="3"/>
  <c r="Q41" i="3"/>
  <c r="I51" i="3"/>
  <c r="I46" i="9"/>
  <c r="B41" i="3"/>
  <c r="J41" i="3"/>
  <c r="M45" i="9"/>
  <c r="C41" i="3"/>
  <c r="K41" i="3"/>
  <c r="C51" i="3"/>
  <c r="K51" i="3"/>
  <c r="B50" i="8"/>
  <c r="M118" i="8"/>
  <c r="Q107" i="8"/>
  <c r="G107" i="8"/>
  <c r="I123" i="8"/>
  <c r="T82" i="8"/>
  <c r="S82" i="8"/>
  <c r="C105" i="8"/>
  <c r="C110" i="8"/>
  <c r="I109" i="8"/>
  <c r="C112" i="8"/>
  <c r="G123" i="8"/>
  <c r="I111" i="8"/>
  <c r="C116" i="8"/>
  <c r="I122" i="8"/>
  <c r="G11" i="3"/>
  <c r="O11" i="3"/>
  <c r="F21" i="3"/>
  <c r="N21" i="3"/>
  <c r="D106" i="8"/>
  <c r="G52" i="8"/>
  <c r="G74" i="8" s="1"/>
  <c r="I108" i="8"/>
  <c r="G116" i="8"/>
  <c r="C120" i="8"/>
  <c r="H11" i="3"/>
  <c r="P11" i="3"/>
  <c r="P9" i="3" s="1"/>
  <c r="G21" i="3"/>
  <c r="O21" i="3"/>
  <c r="E108" i="8"/>
  <c r="M107" i="8"/>
  <c r="I106" i="8"/>
  <c r="D107" i="8"/>
  <c r="G108" i="8"/>
  <c r="I110" i="8"/>
  <c r="G112" i="8"/>
  <c r="G119" i="8"/>
  <c r="I124" i="8"/>
  <c r="I112" i="8"/>
  <c r="G117" i="8"/>
  <c r="G120" i="8"/>
  <c r="H21" i="3"/>
  <c r="P21" i="3"/>
  <c r="J106" i="8"/>
  <c r="G118" i="8"/>
  <c r="I119" i="8"/>
  <c r="G50" i="8"/>
  <c r="G105" i="8"/>
  <c r="I117" i="8"/>
  <c r="E123" i="8"/>
  <c r="B11" i="3"/>
  <c r="J11" i="3"/>
  <c r="J9" i="3" s="1"/>
  <c r="I21" i="3"/>
  <c r="Q21" i="3"/>
  <c r="C121" i="8"/>
  <c r="G121" i="8"/>
  <c r="C11" i="3"/>
  <c r="K11" i="3"/>
  <c r="B21" i="3"/>
  <c r="B233" i="3" s="1"/>
  <c r="J21" i="3"/>
  <c r="G113" i="8"/>
  <c r="G56" i="8"/>
  <c r="G106" i="8"/>
  <c r="E113" i="8"/>
  <c r="I118" i="8"/>
  <c r="I121" i="8"/>
  <c r="C124" i="8"/>
  <c r="D11" i="3"/>
  <c r="D9" i="3" s="1"/>
  <c r="L11" i="3"/>
  <c r="C21" i="3"/>
  <c r="K21" i="3"/>
  <c r="G109" i="8"/>
  <c r="C117" i="8"/>
  <c r="B118" i="8"/>
  <c r="I120" i="8"/>
  <c r="J56" i="8"/>
  <c r="G110" i="8"/>
  <c r="G124" i="8"/>
  <c r="D21" i="3"/>
  <c r="L21" i="3"/>
  <c r="U9" i="3"/>
  <c r="B106" i="8"/>
  <c r="I107" i="8"/>
  <c r="I113" i="8"/>
  <c r="C118" i="8"/>
  <c r="B122" i="8"/>
  <c r="V39" i="3"/>
  <c r="S9" i="3"/>
  <c r="R69" i="3"/>
  <c r="T9" i="3"/>
  <c r="S69" i="3"/>
  <c r="V9" i="3"/>
  <c r="R39" i="3"/>
  <c r="V82" i="8"/>
  <c r="A198" i="3"/>
  <c r="A228" i="3"/>
  <c r="A168" i="3"/>
  <c r="A189" i="3"/>
  <c r="A219" i="3"/>
  <c r="A141" i="3"/>
  <c r="A231" i="3"/>
  <c r="A171" i="3"/>
  <c r="A111" i="3"/>
  <c r="A37" i="3"/>
  <c r="A45" i="3"/>
  <c r="B69" i="3"/>
  <c r="A70" i="3"/>
  <c r="A79" i="3"/>
  <c r="A190" i="3"/>
  <c r="A220" i="3"/>
  <c r="A160" i="3"/>
  <c r="A232" i="3"/>
  <c r="A172" i="3"/>
  <c r="A202" i="3"/>
  <c r="A142" i="3"/>
  <c r="A38" i="3"/>
  <c r="A46" i="3"/>
  <c r="A57" i="3"/>
  <c r="A80" i="3"/>
  <c r="A98" i="3"/>
  <c r="A106" i="3"/>
  <c r="A119" i="3"/>
  <c r="A129" i="3"/>
  <c r="A136" i="3"/>
  <c r="A201" i="3"/>
  <c r="A132" i="3"/>
  <c r="A222" i="3"/>
  <c r="A162" i="3"/>
  <c r="A58" i="3"/>
  <c r="A72" i="3"/>
  <c r="A99" i="3"/>
  <c r="A107" i="3"/>
  <c r="A112" i="3"/>
  <c r="A159" i="3"/>
  <c r="A180" i="3"/>
  <c r="A108" i="3"/>
  <c r="A138" i="3"/>
  <c r="A36" i="3"/>
  <c r="A223" i="3"/>
  <c r="A193" i="3"/>
  <c r="A164" i="3"/>
  <c r="A224" i="3"/>
  <c r="A209" i="3"/>
  <c r="A239" i="3"/>
  <c r="A179" i="3"/>
  <c r="A41" i="3"/>
  <c r="A50" i="3"/>
  <c r="A130" i="3"/>
  <c r="A133" i="3"/>
  <c r="A163" i="3"/>
  <c r="A188" i="3"/>
  <c r="A218" i="3"/>
  <c r="A158" i="3"/>
  <c r="A196" i="3"/>
  <c r="A226" i="3"/>
  <c r="A166" i="3"/>
  <c r="D39" i="3"/>
  <c r="A102" i="3"/>
  <c r="A150" i="3"/>
  <c r="A240" i="3"/>
  <c r="A210" i="3"/>
  <c r="L39" i="3"/>
  <c r="G69" i="3"/>
  <c r="A197" i="3"/>
  <c r="A227" i="3"/>
  <c r="A68" i="3"/>
  <c r="A76" i="3"/>
  <c r="A87" i="3"/>
  <c r="A103" i="3"/>
  <c r="A128" i="3"/>
  <c r="A167" i="3"/>
  <c r="H80" i="8"/>
  <c r="G75" i="8"/>
  <c r="B57" i="9"/>
  <c r="B58" i="9"/>
  <c r="B59" i="9"/>
  <c r="B60" i="9"/>
  <c r="B61" i="9"/>
  <c r="B62" i="9"/>
  <c r="B63" i="9"/>
  <c r="B64" i="9"/>
  <c r="B65" i="9"/>
  <c r="G79" i="8"/>
  <c r="J73" i="8"/>
  <c r="B53" i="8"/>
  <c r="B75" i="8" s="1"/>
  <c r="B57" i="8"/>
  <c r="B79" i="8" s="1"/>
  <c r="B105" i="8"/>
  <c r="B107" i="8"/>
  <c r="E51" i="8"/>
  <c r="E73" i="8" s="1"/>
  <c r="E52" i="8"/>
  <c r="E53" i="8"/>
  <c r="E75" i="8" s="1"/>
  <c r="E54" i="8"/>
  <c r="E76" i="8" s="1"/>
  <c r="E55" i="8"/>
  <c r="E77" i="8" s="1"/>
  <c r="E111" i="8"/>
  <c r="E56" i="8"/>
  <c r="E57" i="8"/>
  <c r="E79" i="8" s="1"/>
  <c r="E112" i="8"/>
  <c r="E58" i="8"/>
  <c r="E80" i="8" s="1"/>
  <c r="E116" i="8"/>
  <c r="E117" i="8"/>
  <c r="E118" i="8"/>
  <c r="E120" i="8"/>
  <c r="E121" i="8"/>
  <c r="E122" i="8"/>
  <c r="E124" i="8"/>
  <c r="B112" i="8"/>
  <c r="F105" i="8"/>
  <c r="F50" i="8"/>
  <c r="F106" i="8"/>
  <c r="F51" i="8"/>
  <c r="F107" i="8"/>
  <c r="F52" i="8"/>
  <c r="F53" i="8"/>
  <c r="F75" i="8" s="1"/>
  <c r="F108" i="8"/>
  <c r="F54" i="8"/>
  <c r="F76" i="8" s="1"/>
  <c r="F109" i="8"/>
  <c r="F55" i="8"/>
  <c r="F77" i="8" s="1"/>
  <c r="F110" i="8"/>
  <c r="F111" i="8"/>
  <c r="F56" i="8"/>
  <c r="F57" i="8"/>
  <c r="F79" i="8" s="1"/>
  <c r="F112" i="8"/>
  <c r="F58" i="8"/>
  <c r="F80" i="8" s="1"/>
  <c r="F113" i="8"/>
  <c r="F116" i="8"/>
  <c r="F117" i="8"/>
  <c r="F118" i="8"/>
  <c r="F119" i="8"/>
  <c r="F120" i="8"/>
  <c r="F121" i="8"/>
  <c r="F122" i="8"/>
  <c r="F123" i="8"/>
  <c r="F124" i="8"/>
  <c r="B52" i="8"/>
  <c r="B56" i="8"/>
  <c r="B77" i="8"/>
  <c r="E119" i="8"/>
  <c r="H105" i="8"/>
  <c r="H106" i="8"/>
  <c r="H107" i="8"/>
  <c r="H108" i="8"/>
  <c r="H109" i="8"/>
  <c r="H110" i="8"/>
  <c r="H111" i="8"/>
  <c r="H112" i="8"/>
  <c r="H113" i="8"/>
  <c r="H117" i="8"/>
  <c r="H118" i="8"/>
  <c r="H119" i="8"/>
  <c r="H120" i="8"/>
  <c r="H121" i="8"/>
  <c r="H123" i="8"/>
  <c r="H124" i="8"/>
  <c r="B51" i="8"/>
  <c r="H52" i="8"/>
  <c r="H56" i="8"/>
  <c r="B108" i="8"/>
  <c r="J52" i="8"/>
  <c r="B109" i="8"/>
  <c r="B110" i="8"/>
  <c r="J110" i="8"/>
  <c r="J112" i="8"/>
  <c r="B113" i="8"/>
  <c r="J113" i="8"/>
  <c r="B117" i="8"/>
  <c r="J117" i="8"/>
  <c r="J118" i="8"/>
  <c r="B119" i="8"/>
  <c r="J119" i="8"/>
  <c r="B120" i="8"/>
  <c r="J120" i="8"/>
  <c r="B121" i="8"/>
  <c r="J121" i="8"/>
  <c r="B123" i="8"/>
  <c r="J123" i="8"/>
  <c r="B124" i="8"/>
  <c r="J124" i="8"/>
  <c r="H51" i="8"/>
  <c r="H73" i="8" s="1"/>
  <c r="B54" i="8"/>
  <c r="B76" i="8" s="1"/>
  <c r="H55" i="8"/>
  <c r="H77" i="8" s="1"/>
  <c r="B58" i="8"/>
  <c r="B80" i="8" s="1"/>
  <c r="H76" i="8"/>
  <c r="I50" i="8"/>
  <c r="I51" i="8"/>
  <c r="I52" i="8"/>
  <c r="I53" i="8"/>
  <c r="I75" i="8" s="1"/>
  <c r="I54" i="8"/>
  <c r="I55" i="8"/>
  <c r="I77" i="8" s="1"/>
  <c r="I56" i="8"/>
  <c r="I57" i="8"/>
  <c r="I79" i="8" s="1"/>
  <c r="I58" i="8"/>
  <c r="C109" i="8"/>
  <c r="C113" i="8"/>
  <c r="C119" i="8"/>
  <c r="C123" i="8"/>
  <c r="C50" i="8"/>
  <c r="C51" i="8"/>
  <c r="C52" i="8"/>
  <c r="C53" i="8"/>
  <c r="C54" i="8"/>
  <c r="C76" i="8" s="1"/>
  <c r="C55" i="8"/>
  <c r="C56" i="8"/>
  <c r="C57" i="8"/>
  <c r="C79" i="8" s="1"/>
  <c r="C58" i="8"/>
  <c r="D50" i="8"/>
  <c r="D51" i="8"/>
  <c r="D52" i="8"/>
  <c r="D53" i="8"/>
  <c r="D54" i="8"/>
  <c r="D76" i="8" s="1"/>
  <c r="D55" i="8"/>
  <c r="D56" i="8"/>
  <c r="D57" i="8"/>
  <c r="D79" i="8" s="1"/>
  <c r="D58" i="8"/>
  <c r="D108" i="8"/>
  <c r="D109" i="8"/>
  <c r="D110" i="8"/>
  <c r="D112" i="8"/>
  <c r="D113" i="8"/>
  <c r="D117" i="8"/>
  <c r="D118" i="8"/>
  <c r="D119" i="8"/>
  <c r="D120" i="8"/>
  <c r="D121" i="8"/>
  <c r="D123" i="8"/>
  <c r="D124" i="8"/>
  <c r="H193" i="3" l="1"/>
  <c r="M223" i="3"/>
  <c r="I233" i="3"/>
  <c r="P233" i="3"/>
  <c r="J69" i="3"/>
  <c r="J221" i="3" s="1"/>
  <c r="M69" i="3"/>
  <c r="N69" i="3"/>
  <c r="D69" i="3"/>
  <c r="D221" i="3" s="1"/>
  <c r="P69" i="3"/>
  <c r="P221" i="3" s="1"/>
  <c r="Q69" i="3"/>
  <c r="Q221" i="3" s="1"/>
  <c r="E69" i="3"/>
  <c r="K69" i="3"/>
  <c r="I69" i="3"/>
  <c r="F69" i="3"/>
  <c r="H69" i="3"/>
  <c r="U223" i="3"/>
  <c r="L69" i="3"/>
  <c r="C69" i="3"/>
  <c r="V69" i="3"/>
  <c r="V221" i="3" s="1"/>
  <c r="O69" i="3"/>
  <c r="K39" i="3"/>
  <c r="O233" i="3"/>
  <c r="M39" i="3"/>
  <c r="U193" i="3"/>
  <c r="E39" i="3"/>
  <c r="V203" i="3"/>
  <c r="P39" i="3"/>
  <c r="P191" i="3" s="1"/>
  <c r="N39" i="3"/>
  <c r="F39" i="3"/>
  <c r="S193" i="3"/>
  <c r="E223" i="3"/>
  <c r="C223" i="3"/>
  <c r="C233" i="3"/>
  <c r="J233" i="3"/>
  <c r="K223" i="3"/>
  <c r="U39" i="3"/>
  <c r="N223" i="3"/>
  <c r="D233" i="3"/>
  <c r="E233" i="3"/>
  <c r="G233" i="3"/>
  <c r="U69" i="3"/>
  <c r="D223" i="3"/>
  <c r="P223" i="3"/>
  <c r="R9" i="3"/>
  <c r="R191" i="3" s="1"/>
  <c r="S39" i="3"/>
  <c r="M9" i="3"/>
  <c r="M221" i="3" s="1"/>
  <c r="F223" i="3"/>
  <c r="T191" i="3"/>
  <c r="V191" i="3"/>
  <c r="N233" i="3"/>
  <c r="M233" i="3"/>
  <c r="U203" i="3"/>
  <c r="N9" i="3"/>
  <c r="H233" i="3"/>
  <c r="R193" i="3"/>
  <c r="S221" i="3"/>
  <c r="R233" i="3"/>
  <c r="V223" i="3"/>
  <c r="F233" i="3"/>
  <c r="K233" i="3"/>
  <c r="L66" i="10"/>
  <c r="L223" i="3"/>
  <c r="L233" i="3"/>
  <c r="L60" i="10"/>
  <c r="O35" i="9"/>
  <c r="O46" i="9"/>
  <c r="D57" i="9"/>
  <c r="P63" i="9"/>
  <c r="O61" i="9"/>
  <c r="Q24" i="9"/>
  <c r="J24" i="9"/>
  <c r="J65" i="9"/>
  <c r="R48" i="10"/>
  <c r="R59" i="10"/>
  <c r="S23" i="9"/>
  <c r="S56" i="9"/>
  <c r="S45" i="9"/>
  <c r="O60" i="9"/>
  <c r="O56" i="9"/>
  <c r="O65" i="9"/>
  <c r="E59" i="9"/>
  <c r="N59" i="9"/>
  <c r="M57" i="9"/>
  <c r="B49" i="10"/>
  <c r="K59" i="10"/>
  <c r="K67" i="10"/>
  <c r="K63" i="10"/>
  <c r="K62" i="10"/>
  <c r="L63" i="10"/>
  <c r="L59" i="10"/>
  <c r="L67" i="10"/>
  <c r="L48" i="10"/>
  <c r="H66" i="10"/>
  <c r="M65" i="9"/>
  <c r="M64" i="9"/>
  <c r="M62" i="9"/>
  <c r="M60" i="9"/>
  <c r="M58" i="9"/>
  <c r="M56" i="9"/>
  <c r="M61" i="9"/>
  <c r="R45" i="9"/>
  <c r="R23" i="9"/>
  <c r="R56" i="9"/>
  <c r="G24" i="9"/>
  <c r="G46" i="9"/>
  <c r="M63" i="9"/>
  <c r="Q59" i="9"/>
  <c r="E61" i="9"/>
  <c r="E64" i="9"/>
  <c r="E62" i="9"/>
  <c r="E60" i="9"/>
  <c r="E58" i="9"/>
  <c r="E56" i="9"/>
  <c r="E65" i="9"/>
  <c r="N65" i="9"/>
  <c r="N64" i="9"/>
  <c r="N62" i="9"/>
  <c r="N60" i="9"/>
  <c r="N58" i="9"/>
  <c r="N56" i="9"/>
  <c r="N61" i="9"/>
  <c r="S38" i="10"/>
  <c r="S60" i="10"/>
  <c r="S49" i="10"/>
  <c r="J61" i="9"/>
  <c r="V49" i="10"/>
  <c r="V38" i="10"/>
  <c r="V60" i="10"/>
  <c r="I24" i="9"/>
  <c r="N23" i="9"/>
  <c r="D64" i="9"/>
  <c r="D62" i="9"/>
  <c r="D60" i="9"/>
  <c r="D58" i="9"/>
  <c r="D56" i="9"/>
  <c r="D65" i="9"/>
  <c r="D61" i="9"/>
  <c r="Q57" i="9"/>
  <c r="D67" i="10"/>
  <c r="D63" i="10"/>
  <c r="D59" i="10"/>
  <c r="P65" i="9"/>
  <c r="P61" i="9"/>
  <c r="P62" i="9"/>
  <c r="P58" i="9"/>
  <c r="P56" i="9"/>
  <c r="P60" i="9"/>
  <c r="P64" i="9"/>
  <c r="E67" i="10"/>
  <c r="E63" i="10"/>
  <c r="E59" i="10"/>
  <c r="T23" i="9"/>
  <c r="T45" i="9"/>
  <c r="T56" i="9"/>
  <c r="Q58" i="9"/>
  <c r="Q65" i="9"/>
  <c r="Q61" i="9"/>
  <c r="Q56" i="9"/>
  <c r="Q64" i="9"/>
  <c r="Q62" i="9"/>
  <c r="Q60" i="9"/>
  <c r="G35" i="9"/>
  <c r="E63" i="9"/>
  <c r="D59" i="9"/>
  <c r="H67" i="10"/>
  <c r="H63" i="10"/>
  <c r="H59" i="10"/>
  <c r="P67" i="10"/>
  <c r="P63" i="10"/>
  <c r="P59" i="10"/>
  <c r="N63" i="9"/>
  <c r="I223" i="3"/>
  <c r="V57" i="9"/>
  <c r="V24" i="9"/>
  <c r="V35" i="9"/>
  <c r="V46" i="9"/>
  <c r="U46" i="9"/>
  <c r="U57" i="9"/>
  <c r="U24" i="9"/>
  <c r="U35" i="9"/>
  <c r="Q59" i="10"/>
  <c r="Q48" i="10"/>
  <c r="O49" i="10"/>
  <c r="K66" i="10"/>
  <c r="K60" i="10"/>
  <c r="H65" i="9"/>
  <c r="H61" i="9"/>
  <c r="H64" i="9"/>
  <c r="H60" i="9"/>
  <c r="H58" i="9"/>
  <c r="H62" i="9"/>
  <c r="H56" i="9"/>
  <c r="F64" i="9"/>
  <c r="F62" i="9"/>
  <c r="F60" i="9"/>
  <c r="F58" i="9"/>
  <c r="F56" i="9"/>
  <c r="F65" i="9"/>
  <c r="F61" i="9"/>
  <c r="O57" i="9"/>
  <c r="P62" i="10"/>
  <c r="G57" i="9"/>
  <c r="U60" i="10"/>
  <c r="U49" i="10"/>
  <c r="U38" i="10"/>
  <c r="T49" i="10"/>
  <c r="T60" i="10"/>
  <c r="T38" i="10"/>
  <c r="M59" i="9"/>
  <c r="T46" i="9"/>
  <c r="T35" i="9"/>
  <c r="T24" i="9"/>
  <c r="T57" i="9"/>
  <c r="J94" i="8"/>
  <c r="J38" i="10"/>
  <c r="J35" i="9"/>
  <c r="J107" i="8"/>
  <c r="U116" i="8"/>
  <c r="U83" i="8"/>
  <c r="N38" i="10"/>
  <c r="N35" i="9"/>
  <c r="N50" i="8"/>
  <c r="N72" i="8" s="1"/>
  <c r="N109" i="8"/>
  <c r="N105" i="8"/>
  <c r="N110" i="8"/>
  <c r="N108" i="8"/>
  <c r="N106" i="8"/>
  <c r="N94" i="8"/>
  <c r="B23" i="9"/>
  <c r="C24" i="9"/>
  <c r="S83" i="8"/>
  <c r="S116" i="8"/>
  <c r="F48" i="10"/>
  <c r="F45" i="9"/>
  <c r="J109" i="8"/>
  <c r="J105" i="8"/>
  <c r="U50" i="8"/>
  <c r="U72" i="8" s="1"/>
  <c r="U105" i="8"/>
  <c r="U94" i="8"/>
  <c r="F94" i="8"/>
  <c r="F38" i="10"/>
  <c r="F35" i="9"/>
  <c r="H23" i="9"/>
  <c r="I48" i="10"/>
  <c r="I45" i="9"/>
  <c r="C49" i="10"/>
  <c r="C46" i="9"/>
  <c r="J50" i="8"/>
  <c r="J72" i="8" s="1"/>
  <c r="T50" i="8"/>
  <c r="T72" i="8" s="1"/>
  <c r="T105" i="8"/>
  <c r="T94" i="8"/>
  <c r="I38" i="10"/>
  <c r="I35" i="9"/>
  <c r="K38" i="10"/>
  <c r="K35" i="9"/>
  <c r="K50" i="8"/>
  <c r="K72" i="8" s="1"/>
  <c r="K109" i="8"/>
  <c r="K105" i="8"/>
  <c r="K110" i="8"/>
  <c r="K108" i="8"/>
  <c r="K94" i="8"/>
  <c r="K106" i="8"/>
  <c r="P48" i="10"/>
  <c r="P45" i="9"/>
  <c r="O48" i="10"/>
  <c r="O45" i="9"/>
  <c r="N49" i="10"/>
  <c r="N46" i="9"/>
  <c r="J108" i="8"/>
  <c r="R94" i="8"/>
  <c r="R50" i="8"/>
  <c r="R72" i="8" s="1"/>
  <c r="R105" i="8"/>
  <c r="B94" i="8"/>
  <c r="B35" i="9"/>
  <c r="B38" i="10"/>
  <c r="B45" i="9"/>
  <c r="Q23" i="9"/>
  <c r="Q82" i="8"/>
  <c r="T83" i="8"/>
  <c r="T116" i="8"/>
  <c r="E48" i="10"/>
  <c r="E45" i="9"/>
  <c r="S50" i="8"/>
  <c r="S72" i="8" s="1"/>
  <c r="S105" i="8"/>
  <c r="S94" i="8"/>
  <c r="Q110" i="8"/>
  <c r="Q108" i="8"/>
  <c r="Q106" i="8"/>
  <c r="Q35" i="9"/>
  <c r="Q50" i="8"/>
  <c r="Q72" i="8" s="1"/>
  <c r="Q109" i="8"/>
  <c r="Q105" i="8"/>
  <c r="Q94" i="8"/>
  <c r="C94" i="8"/>
  <c r="C38" i="10"/>
  <c r="C35" i="9"/>
  <c r="D48" i="10"/>
  <c r="D45" i="9"/>
  <c r="N107" i="8"/>
  <c r="F83" i="8"/>
  <c r="F24" i="9"/>
  <c r="H48" i="10"/>
  <c r="H45" i="9"/>
  <c r="E38" i="10"/>
  <c r="E35" i="9"/>
  <c r="Q45" i="9"/>
  <c r="Q46" i="9"/>
  <c r="R116" i="8"/>
  <c r="R83" i="8"/>
  <c r="O82" i="8"/>
  <c r="O23" i="9"/>
  <c r="M121" i="8"/>
  <c r="M119" i="8"/>
  <c r="M117" i="8"/>
  <c r="M24" i="9"/>
  <c r="M120" i="8"/>
  <c r="M116" i="8"/>
  <c r="M83" i="8"/>
  <c r="D23" i="9"/>
  <c r="E107" i="8"/>
  <c r="V50" i="8"/>
  <c r="V72" i="8" s="1"/>
  <c r="V105" i="8"/>
  <c r="V94" i="8"/>
  <c r="V83" i="8"/>
  <c r="V116" i="8"/>
  <c r="G23" i="9"/>
  <c r="M38" i="10"/>
  <c r="M35" i="9"/>
  <c r="M50" i="8"/>
  <c r="M72" i="8" s="1"/>
  <c r="M109" i="8"/>
  <c r="M105" i="8"/>
  <c r="M110" i="8"/>
  <c r="M108" i="8"/>
  <c r="M106" i="8"/>
  <c r="M94" i="8"/>
  <c r="E83" i="8"/>
  <c r="E24" i="9"/>
  <c r="K49" i="10"/>
  <c r="K46" i="9"/>
  <c r="K121" i="8"/>
  <c r="K119" i="8"/>
  <c r="K117" i="8"/>
  <c r="K83" i="8"/>
  <c r="K24" i="9"/>
  <c r="K120" i="8"/>
  <c r="K116" i="8"/>
  <c r="K107" i="8"/>
  <c r="J223" i="3"/>
  <c r="F9" i="3"/>
  <c r="Q233" i="3"/>
  <c r="G203" i="3"/>
  <c r="Q223" i="3"/>
  <c r="M193" i="3"/>
  <c r="N193" i="3"/>
  <c r="H203" i="3"/>
  <c r="F193" i="3"/>
  <c r="O203" i="3"/>
  <c r="E203" i="3"/>
  <c r="E9" i="3"/>
  <c r="J39" i="3"/>
  <c r="J193" i="3"/>
  <c r="P203" i="3"/>
  <c r="O39" i="3"/>
  <c r="O193" i="3"/>
  <c r="N203" i="3"/>
  <c r="E193" i="3"/>
  <c r="J203" i="3"/>
  <c r="K203" i="3"/>
  <c r="B39" i="3"/>
  <c r="B193" i="3"/>
  <c r="I203" i="3"/>
  <c r="G39" i="3"/>
  <c r="G193" i="3"/>
  <c r="D193" i="3"/>
  <c r="B203" i="3"/>
  <c r="C203" i="3"/>
  <c r="Q39" i="3"/>
  <c r="Q193" i="3"/>
  <c r="L203" i="3"/>
  <c r="L193" i="3"/>
  <c r="P193" i="3"/>
  <c r="B9" i="3"/>
  <c r="B221" i="3" s="1"/>
  <c r="B223" i="3"/>
  <c r="K193" i="3"/>
  <c r="I39" i="3"/>
  <c r="I193" i="3"/>
  <c r="F203" i="3"/>
  <c r="Q203" i="3"/>
  <c r="D203" i="3"/>
  <c r="O9" i="3"/>
  <c r="O223" i="3"/>
  <c r="C39" i="3"/>
  <c r="C193" i="3"/>
  <c r="H9" i="3"/>
  <c r="H223" i="3"/>
  <c r="G9" i="3"/>
  <c r="G223" i="3"/>
  <c r="M203" i="3"/>
  <c r="D191" i="3"/>
  <c r="T221" i="3"/>
  <c r="B60" i="10"/>
  <c r="J82" i="8"/>
  <c r="G82" i="8"/>
  <c r="E110" i="8"/>
  <c r="E94" i="8"/>
  <c r="C107" i="8"/>
  <c r="C106" i="8"/>
  <c r="I105" i="8"/>
  <c r="I94" i="8"/>
  <c r="C83" i="8"/>
  <c r="C108" i="8"/>
  <c r="B82" i="8"/>
  <c r="H82" i="8"/>
  <c r="I23" i="9"/>
  <c r="E50" i="8"/>
  <c r="E72" i="8" s="1"/>
  <c r="E105" i="8"/>
  <c r="G78" i="8"/>
  <c r="E106" i="8"/>
  <c r="F78" i="8"/>
  <c r="K9" i="3"/>
  <c r="E109" i="8"/>
  <c r="C9" i="3"/>
  <c r="L9" i="3"/>
  <c r="R82" i="8"/>
  <c r="U82" i="8"/>
  <c r="B72" i="8"/>
  <c r="H74" i="8"/>
  <c r="D80" i="8"/>
  <c r="C80" i="8"/>
  <c r="C72" i="8"/>
  <c r="H78" i="8"/>
  <c r="F73" i="8"/>
  <c r="G72" i="8"/>
  <c r="J78" i="8"/>
  <c r="J79" i="8"/>
  <c r="D75" i="8"/>
  <c r="C75" i="8"/>
  <c r="B73" i="8"/>
  <c r="B78" i="8"/>
  <c r="J75" i="8"/>
  <c r="H79" i="8"/>
  <c r="I78" i="8"/>
  <c r="I74" i="8"/>
  <c r="B74" i="8"/>
  <c r="F74" i="8"/>
  <c r="D74" i="8"/>
  <c r="C78" i="8"/>
  <c r="C74" i="8"/>
  <c r="E74" i="8"/>
  <c r="H75" i="8"/>
  <c r="I73" i="8"/>
  <c r="J74" i="8"/>
  <c r="D78" i="8"/>
  <c r="D72" i="8"/>
  <c r="D77" i="8"/>
  <c r="D73" i="8"/>
  <c r="C77" i="8"/>
  <c r="C73" i="8"/>
  <c r="I80" i="8"/>
  <c r="I76" i="8"/>
  <c r="I72" i="8"/>
  <c r="F72" i="8"/>
  <c r="E78" i="8"/>
  <c r="K221" i="3" l="1"/>
  <c r="F221" i="3"/>
  <c r="H221" i="3"/>
  <c r="N221" i="3"/>
  <c r="E221" i="3"/>
  <c r="M191" i="3"/>
  <c r="O221" i="3"/>
  <c r="U221" i="3"/>
  <c r="I221" i="3"/>
  <c r="S191" i="3"/>
  <c r="U191" i="3"/>
  <c r="I191" i="3"/>
  <c r="N191" i="3"/>
  <c r="R221" i="3"/>
  <c r="J45" i="9"/>
  <c r="J59" i="9"/>
  <c r="J56" i="9"/>
  <c r="O58" i="9"/>
  <c r="J60" i="9"/>
  <c r="J23" i="9"/>
  <c r="J63" i="9"/>
  <c r="O62" i="9"/>
  <c r="J64" i="9"/>
  <c r="J57" i="9"/>
  <c r="O64" i="9"/>
  <c r="O59" i="9"/>
  <c r="J58" i="9"/>
  <c r="J62" i="9"/>
  <c r="O63" i="9"/>
  <c r="U23" i="9"/>
  <c r="U56" i="9"/>
  <c r="U45" i="9"/>
  <c r="V48" i="10"/>
  <c r="V59" i="10"/>
  <c r="O67" i="10"/>
  <c r="O63" i="10"/>
  <c r="O59" i="10"/>
  <c r="O66" i="10"/>
  <c r="O62" i="10"/>
  <c r="V56" i="9"/>
  <c r="V45" i="9"/>
  <c r="V23" i="9"/>
  <c r="S59" i="10"/>
  <c r="S48" i="10"/>
  <c r="G64" i="9"/>
  <c r="G62" i="9"/>
  <c r="G60" i="9"/>
  <c r="G58" i="9"/>
  <c r="G56" i="9"/>
  <c r="G65" i="9"/>
  <c r="G61" i="9"/>
  <c r="G59" i="9"/>
  <c r="G45" i="9"/>
  <c r="G63" i="9"/>
  <c r="O60" i="10"/>
  <c r="T48" i="10"/>
  <c r="T59" i="10"/>
  <c r="B48" i="10"/>
  <c r="U48" i="10"/>
  <c r="U59" i="10"/>
  <c r="J67" i="10"/>
  <c r="J59" i="10"/>
  <c r="J63" i="10"/>
  <c r="J62" i="10"/>
  <c r="J48" i="10"/>
  <c r="J66" i="10"/>
  <c r="J60" i="10"/>
  <c r="I62" i="9"/>
  <c r="I65" i="9"/>
  <c r="I61" i="9"/>
  <c r="I64" i="9"/>
  <c r="I60" i="9"/>
  <c r="I58" i="9"/>
  <c r="I56" i="9"/>
  <c r="I59" i="9"/>
  <c r="I63" i="9"/>
  <c r="I57" i="9"/>
  <c r="N48" i="10"/>
  <c r="N45" i="9"/>
  <c r="N82" i="8"/>
  <c r="F23" i="9"/>
  <c r="F82" i="8"/>
  <c r="C23" i="9"/>
  <c r="K48" i="10"/>
  <c r="K45" i="9"/>
  <c r="E23" i="9"/>
  <c r="F191" i="3"/>
  <c r="C48" i="10"/>
  <c r="C45" i="9"/>
  <c r="M23" i="9"/>
  <c r="M82" i="8"/>
  <c r="K23" i="9"/>
  <c r="K82" i="8"/>
  <c r="G191" i="3"/>
  <c r="C191" i="3"/>
  <c r="B191" i="3"/>
  <c r="H191" i="3"/>
  <c r="Q191" i="3"/>
  <c r="G221" i="3"/>
  <c r="J191" i="3"/>
  <c r="O191" i="3"/>
  <c r="E191" i="3"/>
  <c r="L221" i="3"/>
  <c r="K191" i="3"/>
  <c r="C221" i="3"/>
  <c r="L191" i="3"/>
  <c r="B59" i="10"/>
  <c r="B67" i="10"/>
  <c r="B63" i="10"/>
  <c r="B66" i="10"/>
  <c r="B62" i="10"/>
  <c r="C82" i="8"/>
  <c r="E82" i="8"/>
  <c r="Q28" i="3" l="1"/>
  <c r="D28" i="3"/>
  <c r="K28" i="3"/>
  <c r="N28" i="3"/>
  <c r="E28" i="3"/>
  <c r="M28" i="3"/>
  <c r="L28" i="3"/>
  <c r="J28" i="3"/>
  <c r="S28" i="3"/>
  <c r="G28" i="3"/>
  <c r="R28" i="3"/>
  <c r="T28" i="3"/>
  <c r="H28" i="3"/>
  <c r="B28" i="3"/>
  <c r="O28" i="3"/>
  <c r="I28" i="3"/>
  <c r="C28" i="3"/>
  <c r="F28" i="3"/>
  <c r="P28" i="3"/>
  <c r="U28" i="3" l="1"/>
  <c r="V28" i="3" l="1"/>
  <c r="O15" i="15" l="1"/>
  <c r="N15" i="15" l="1"/>
  <c r="P15" i="15"/>
  <c r="Q15" i="15"/>
  <c r="M15" i="15" l="1"/>
  <c r="L15" i="15" l="1"/>
  <c r="K15" i="15" l="1"/>
  <c r="J15" i="15" l="1"/>
  <c r="I15" i="15"/>
  <c r="H15" i="15" l="1"/>
  <c r="G15" i="15" l="1"/>
  <c r="F15" i="15" l="1"/>
  <c r="E15" i="15" l="1"/>
  <c r="D15" i="15"/>
  <c r="C15" i="15" l="1"/>
  <c r="B15" i="15"/>
  <c r="R15" i="15" l="1"/>
  <c r="S15" i="15" l="1"/>
  <c r="L14" i="15" l="1"/>
  <c r="E27" i="3"/>
  <c r="Q7" i="15"/>
  <c r="G14" i="15"/>
  <c r="M14" i="15"/>
  <c r="R14" i="15"/>
  <c r="P7" i="15"/>
  <c r="P21" i="15" s="1"/>
  <c r="J14" i="15"/>
  <c r="I7" i="15"/>
  <c r="I22" i="15" s="1"/>
  <c r="H7" i="15"/>
  <c r="H22" i="15" s="1"/>
  <c r="B7" i="15"/>
  <c r="F7" i="15"/>
  <c r="F22" i="15" s="1"/>
  <c r="J3" i="15"/>
  <c r="J27" i="3"/>
  <c r="J18" i="15"/>
  <c r="P27" i="3"/>
  <c r="P3" i="15"/>
  <c r="N7" i="15"/>
  <c r="U27" i="3"/>
  <c r="U3" i="15"/>
  <c r="U14" i="15"/>
  <c r="S27" i="3"/>
  <c r="S3" i="15"/>
  <c r="S18" i="15" s="1"/>
  <c r="S14" i="15"/>
  <c r="I27" i="3"/>
  <c r="I3" i="15"/>
  <c r="L3" i="15"/>
  <c r="L18" i="15" s="1"/>
  <c r="L27" i="3"/>
  <c r="S7" i="15"/>
  <c r="S22" i="15" s="1"/>
  <c r="O3" i="15"/>
  <c r="O27" i="3"/>
  <c r="O14" i="15"/>
  <c r="B27" i="3"/>
  <c r="B3" i="15"/>
  <c r="B18" i="15"/>
  <c r="T3" i="15"/>
  <c r="T27" i="3"/>
  <c r="T14" i="15"/>
  <c r="N3" i="15"/>
  <c r="N27" i="3"/>
  <c r="N14" i="15"/>
  <c r="T15" i="15"/>
  <c r="M3" i="15"/>
  <c r="M18" i="15" s="1"/>
  <c r="M27" i="3"/>
  <c r="H3" i="15"/>
  <c r="H27" i="3"/>
  <c r="H18" i="15"/>
  <c r="T7" i="15"/>
  <c r="T21" i="15" s="1"/>
  <c r="G27" i="3"/>
  <c r="G3" i="15"/>
  <c r="Q27" i="3"/>
  <c r="Q3" i="15"/>
  <c r="J7" i="15"/>
  <c r="J22" i="15" s="1"/>
  <c r="F3" i="15"/>
  <c r="F18" i="15" s="1"/>
  <c r="F27" i="3"/>
  <c r="K27" i="3"/>
  <c r="K3" i="15"/>
  <c r="K18" i="15" s="1"/>
  <c r="K14" i="15"/>
  <c r="O7" i="15"/>
  <c r="O22" i="15" s="1"/>
  <c r="R27" i="3"/>
  <c r="R3" i="15"/>
  <c r="K7" i="15"/>
  <c r="K22" i="15" s="1"/>
  <c r="V27" i="3"/>
  <c r="V3" i="15"/>
  <c r="U7" i="15"/>
  <c r="P23" i="15" l="1"/>
  <c r="I14" i="15"/>
  <c r="H14" i="15"/>
  <c r="Q14" i="15"/>
  <c r="M7" i="15"/>
  <c r="M22" i="15" s="1"/>
  <c r="L7" i="15"/>
  <c r="L22" i="15" s="1"/>
  <c r="G7" i="15"/>
  <c r="G22" i="15" s="1"/>
  <c r="P22" i="15"/>
  <c r="P14" i="15"/>
  <c r="F14" i="15"/>
  <c r="B22" i="15"/>
  <c r="B14" i="15"/>
  <c r="R7" i="15"/>
  <c r="R22" i="15" s="1"/>
  <c r="E3" i="15"/>
  <c r="E17" i="15" s="1"/>
  <c r="U21" i="15"/>
  <c r="U22" i="15"/>
  <c r="Q17" i="15"/>
  <c r="Q13" i="15"/>
  <c r="Q19" i="15"/>
  <c r="K26" i="3"/>
  <c r="Q18" i="15"/>
  <c r="M26" i="3"/>
  <c r="Q23" i="15"/>
  <c r="Q21" i="15"/>
  <c r="I17" i="15"/>
  <c r="I13" i="15"/>
  <c r="I19" i="15"/>
  <c r="S17" i="15"/>
  <c r="S13" i="15"/>
  <c r="S19" i="15"/>
  <c r="N23" i="15"/>
  <c r="N21" i="15"/>
  <c r="E26" i="3"/>
  <c r="Q26" i="3"/>
  <c r="M17" i="15"/>
  <c r="M19" i="15"/>
  <c r="T18" i="15"/>
  <c r="T17" i="15"/>
  <c r="T13" i="15"/>
  <c r="T19" i="15"/>
  <c r="B21" i="15"/>
  <c r="B23" i="15"/>
  <c r="S26" i="3"/>
  <c r="P18" i="15"/>
  <c r="P17" i="15"/>
  <c r="P13" i="15"/>
  <c r="P19" i="15"/>
  <c r="U23" i="15"/>
  <c r="U15" i="15"/>
  <c r="F21" i="15"/>
  <c r="F23" i="15"/>
  <c r="F26" i="3"/>
  <c r="H21" i="15"/>
  <c r="H23" i="15"/>
  <c r="P26" i="3"/>
  <c r="I23" i="15"/>
  <c r="I21" i="15"/>
  <c r="I26" i="3"/>
  <c r="K21" i="15"/>
  <c r="K23" i="15"/>
  <c r="O23" i="15"/>
  <c r="O21" i="15"/>
  <c r="F17" i="15"/>
  <c r="F13" i="15"/>
  <c r="F19" i="15"/>
  <c r="G18" i="15"/>
  <c r="G17" i="15"/>
  <c r="G19" i="15"/>
  <c r="T23" i="15"/>
  <c r="O26" i="3"/>
  <c r="L26" i="3"/>
  <c r="U18" i="15"/>
  <c r="U17" i="15"/>
  <c r="U13" i="15"/>
  <c r="U19" i="15"/>
  <c r="T26" i="3"/>
  <c r="V18" i="15"/>
  <c r="V17" i="15"/>
  <c r="V19" i="15"/>
  <c r="G26" i="3"/>
  <c r="H26" i="3"/>
  <c r="B17" i="15"/>
  <c r="B13" i="15"/>
  <c r="B19" i="15"/>
  <c r="O18" i="15"/>
  <c r="O17" i="15"/>
  <c r="O13" i="15"/>
  <c r="O19" i="15"/>
  <c r="L17" i="15"/>
  <c r="L19" i="15"/>
  <c r="U26" i="3"/>
  <c r="S21" i="15"/>
  <c r="S23" i="15"/>
  <c r="V26" i="3"/>
  <c r="R18" i="15"/>
  <c r="R17" i="15"/>
  <c r="R19" i="15"/>
  <c r="J21" i="15"/>
  <c r="J23" i="15"/>
  <c r="H17" i="15"/>
  <c r="H13" i="15"/>
  <c r="H19" i="15"/>
  <c r="N26" i="3"/>
  <c r="B26" i="3"/>
  <c r="J26" i="3"/>
  <c r="R26" i="3"/>
  <c r="K17" i="15"/>
  <c r="K13" i="15"/>
  <c r="K19" i="15"/>
  <c r="T22" i="15"/>
  <c r="N18" i="15"/>
  <c r="N17" i="15"/>
  <c r="N13" i="15"/>
  <c r="N19" i="15"/>
  <c r="Q22" i="15"/>
  <c r="I18" i="15"/>
  <c r="N22" i="15"/>
  <c r="J17" i="15"/>
  <c r="J13" i="15"/>
  <c r="J19" i="15"/>
  <c r="V15" i="15"/>
  <c r="M23" i="15" l="1"/>
  <c r="M21" i="15"/>
  <c r="G13" i="15"/>
  <c r="M13" i="15"/>
  <c r="G23" i="15"/>
  <c r="G21" i="15"/>
  <c r="L21" i="15"/>
  <c r="E18" i="15"/>
  <c r="R21" i="15"/>
  <c r="L23" i="15"/>
  <c r="R23" i="15"/>
  <c r="R13" i="15"/>
  <c r="L13" i="15"/>
  <c r="E19" i="15"/>
  <c r="C14" i="15"/>
  <c r="D7" i="15"/>
  <c r="C27" i="3"/>
  <c r="C3" i="15"/>
  <c r="V7" i="15"/>
  <c r="V22" i="15" s="1"/>
  <c r="V14" i="15"/>
  <c r="D27" i="3"/>
  <c r="D3" i="15"/>
  <c r="D18" i="15" s="1"/>
  <c r="D14" i="15" l="1"/>
  <c r="C7" i="15"/>
  <c r="C22" i="15" s="1"/>
  <c r="E7" i="15"/>
  <c r="E14" i="15"/>
  <c r="D23" i="15"/>
  <c r="D21" i="15"/>
  <c r="C21" i="15"/>
  <c r="C23" i="15"/>
  <c r="V23" i="15"/>
  <c r="V21" i="15"/>
  <c r="V13" i="15"/>
  <c r="D17" i="15"/>
  <c r="D13" i="15"/>
  <c r="D19" i="15"/>
  <c r="C18" i="15"/>
  <c r="C17" i="15"/>
  <c r="C19" i="15"/>
  <c r="D26" i="3"/>
  <c r="C26" i="3"/>
  <c r="D22" i="15"/>
  <c r="C13" i="15" l="1"/>
  <c r="E13" i="15"/>
  <c r="E21" i="15"/>
  <c r="E23" i="15"/>
  <c r="E22" i="15"/>
  <c r="G88" i="3" l="1"/>
  <c r="L19" i="17"/>
  <c r="L88" i="3"/>
  <c r="L87" i="3"/>
  <c r="L18" i="17"/>
  <c r="S87" i="3"/>
  <c r="S18" i="17"/>
  <c r="K19" i="17"/>
  <c r="L10" i="17"/>
  <c r="K88" i="3" l="1"/>
  <c r="G19" i="17"/>
  <c r="L3" i="17"/>
  <c r="E18" i="17"/>
  <c r="G240" i="3"/>
  <c r="J21" i="16"/>
  <c r="J25" i="16"/>
  <c r="J58" i="3"/>
  <c r="Q11" i="17"/>
  <c r="Q21" i="16"/>
  <c r="Q25" i="16"/>
  <c r="Q58" i="3"/>
  <c r="S239" i="3"/>
  <c r="K87" i="3"/>
  <c r="K3" i="17"/>
  <c r="K18" i="17"/>
  <c r="F19" i="17"/>
  <c r="F88" i="3"/>
  <c r="F11" i="17"/>
  <c r="O58" i="3"/>
  <c r="O25" i="16"/>
  <c r="O21" i="16"/>
  <c r="Q19" i="17"/>
  <c r="Q88" i="3"/>
  <c r="S58" i="3"/>
  <c r="S21" i="16"/>
  <c r="S25" i="16"/>
  <c r="I58" i="3"/>
  <c r="I21" i="16"/>
  <c r="I25" i="16"/>
  <c r="F18" i="17"/>
  <c r="F3" i="17"/>
  <c r="F87" i="3"/>
  <c r="I18" i="17"/>
  <c r="I3" i="17"/>
  <c r="I87" i="3"/>
  <c r="O87" i="3"/>
  <c r="O3" i="17"/>
  <c r="O18" i="17"/>
  <c r="M18" i="17"/>
  <c r="M87" i="3"/>
  <c r="M3" i="17"/>
  <c r="L86" i="3"/>
  <c r="L239" i="3"/>
  <c r="L240" i="3"/>
  <c r="K21" i="16"/>
  <c r="K58" i="3"/>
  <c r="K25" i="16"/>
  <c r="J18" i="17"/>
  <c r="J3" i="17"/>
  <c r="J87" i="3"/>
  <c r="P3" i="17"/>
  <c r="P18" i="17"/>
  <c r="P87" i="3"/>
  <c r="P25" i="16"/>
  <c r="P21" i="16"/>
  <c r="P58" i="3"/>
  <c r="M11" i="17"/>
  <c r="M25" i="16"/>
  <c r="M21" i="16"/>
  <c r="M58" i="3"/>
  <c r="K11" i="17"/>
  <c r="L20" i="16"/>
  <c r="L57" i="3"/>
  <c r="L24" i="16"/>
  <c r="M88" i="3"/>
  <c r="M19" i="17"/>
  <c r="J19" i="17"/>
  <c r="J88" i="3"/>
  <c r="J11" i="17"/>
  <c r="I19" i="17"/>
  <c r="I88" i="3"/>
  <c r="I11" i="17"/>
  <c r="P88" i="3"/>
  <c r="P19" i="17"/>
  <c r="P11" i="17"/>
  <c r="O88" i="3"/>
  <c r="O19" i="17"/>
  <c r="O11" i="17"/>
  <c r="G87" i="3"/>
  <c r="G3" i="17"/>
  <c r="G18" i="17"/>
  <c r="Q18" i="17"/>
  <c r="Q3" i="17"/>
  <c r="Q87" i="3"/>
  <c r="Q10" i="17"/>
  <c r="K10" i="17"/>
  <c r="F10" i="17"/>
  <c r="I23" i="17" l="1"/>
  <c r="I13" i="17"/>
  <c r="J23" i="17"/>
  <c r="J13" i="17"/>
  <c r="L22" i="17"/>
  <c r="L13" i="17"/>
  <c r="O23" i="17"/>
  <c r="O13" i="17"/>
  <c r="K22" i="17"/>
  <c r="K13" i="17"/>
  <c r="Q22" i="17"/>
  <c r="Q13" i="17"/>
  <c r="M22" i="17"/>
  <c r="M13" i="17"/>
  <c r="F23" i="17"/>
  <c r="F13" i="17"/>
  <c r="L17" i="17"/>
  <c r="P23" i="17"/>
  <c r="P13" i="17"/>
  <c r="G22" i="17"/>
  <c r="G13" i="17"/>
  <c r="L23" i="17"/>
  <c r="K240" i="3"/>
  <c r="E3" i="17"/>
  <c r="L21" i="17"/>
  <c r="E87" i="3"/>
  <c r="F22" i="17"/>
  <c r="R58" i="3"/>
  <c r="M23" i="17"/>
  <c r="E10" i="17"/>
  <c r="E20" i="16"/>
  <c r="E57" i="3"/>
  <c r="E28" i="16"/>
  <c r="E24" i="16"/>
  <c r="L29" i="16"/>
  <c r="L27" i="16"/>
  <c r="L23" i="16"/>
  <c r="L19" i="16"/>
  <c r="P86" i="3"/>
  <c r="P239" i="3"/>
  <c r="O86" i="3"/>
  <c r="O239" i="3"/>
  <c r="K86" i="3"/>
  <c r="K239" i="3"/>
  <c r="O10" i="17"/>
  <c r="O24" i="16"/>
  <c r="O20" i="16"/>
  <c r="O9" i="17"/>
  <c r="O57" i="3"/>
  <c r="M17" i="17"/>
  <c r="M21" i="17"/>
  <c r="L25" i="16"/>
  <c r="L21" i="16"/>
  <c r="L58" i="3"/>
  <c r="L11" i="17"/>
  <c r="J210" i="3"/>
  <c r="R21" i="16"/>
  <c r="T19" i="17"/>
  <c r="T11" i="17"/>
  <c r="T88" i="3"/>
  <c r="N19" i="17"/>
  <c r="N88" i="3"/>
  <c r="N11" i="17"/>
  <c r="Q24" i="16"/>
  <c r="Q20" i="16"/>
  <c r="Q57" i="3"/>
  <c r="Q28" i="16"/>
  <c r="Q86" i="3"/>
  <c r="Q239" i="3"/>
  <c r="G21" i="17"/>
  <c r="G17" i="17"/>
  <c r="G23" i="17"/>
  <c r="I240" i="3"/>
  <c r="L209" i="3"/>
  <c r="P210" i="3"/>
  <c r="J86" i="3"/>
  <c r="J239" i="3"/>
  <c r="K210" i="3"/>
  <c r="M86" i="3"/>
  <c r="M239" i="3"/>
  <c r="F86" i="3"/>
  <c r="F239" i="3"/>
  <c r="B3" i="17"/>
  <c r="B18" i="17"/>
  <c r="B87" i="3"/>
  <c r="G86" i="3"/>
  <c r="G239" i="3"/>
  <c r="P17" i="17"/>
  <c r="P21" i="17"/>
  <c r="I210" i="3"/>
  <c r="L9" i="17"/>
  <c r="E58" i="3"/>
  <c r="E21" i="16"/>
  <c r="E25" i="16"/>
  <c r="R18" i="17"/>
  <c r="R87" i="3"/>
  <c r="R3" i="17"/>
  <c r="N21" i="16"/>
  <c r="N25" i="16"/>
  <c r="N58" i="3"/>
  <c r="M24" i="16"/>
  <c r="M20" i="16"/>
  <c r="M57" i="3"/>
  <c r="Q21" i="17"/>
  <c r="Q17" i="17"/>
  <c r="Q9" i="17"/>
  <c r="M210" i="3"/>
  <c r="J22" i="17"/>
  <c r="J21" i="17"/>
  <c r="J17" i="17"/>
  <c r="I86" i="3"/>
  <c r="I239" i="3"/>
  <c r="F21" i="17"/>
  <c r="F17" i="17"/>
  <c r="F240" i="3"/>
  <c r="S19" i="17"/>
  <c r="S88" i="3"/>
  <c r="S11" i="17"/>
  <c r="S3" i="17"/>
  <c r="S13" i="17" s="1"/>
  <c r="R19" i="17"/>
  <c r="R88" i="3"/>
  <c r="B88" i="3"/>
  <c r="B19" i="17"/>
  <c r="H3" i="17"/>
  <c r="H13" i="17" s="1"/>
  <c r="H87" i="3"/>
  <c r="H18" i="17"/>
  <c r="H19" i="17"/>
  <c r="H88" i="3"/>
  <c r="K57" i="3"/>
  <c r="K9" i="17"/>
  <c r="K24" i="16"/>
  <c r="K20" i="16"/>
  <c r="P240" i="3"/>
  <c r="Q23" i="17"/>
  <c r="S24" i="16"/>
  <c r="S20" i="16"/>
  <c r="S57" i="3"/>
  <c r="S10" i="17"/>
  <c r="T25" i="16"/>
  <c r="T21" i="16"/>
  <c r="T58" i="3"/>
  <c r="G57" i="3"/>
  <c r="G20" i="16"/>
  <c r="G24" i="16"/>
  <c r="G28" i="16"/>
  <c r="P20" i="16"/>
  <c r="P57" i="3"/>
  <c r="P24" i="16"/>
  <c r="H11" i="17"/>
  <c r="H21" i="16"/>
  <c r="H58" i="3"/>
  <c r="H25" i="16"/>
  <c r="E19" i="17"/>
  <c r="E88" i="3"/>
  <c r="E11" i="17"/>
  <c r="G10" i="17"/>
  <c r="J240" i="3"/>
  <c r="M240" i="3"/>
  <c r="P10" i="17"/>
  <c r="L238" i="3"/>
  <c r="I22" i="17"/>
  <c r="I17" i="17"/>
  <c r="I21" i="17"/>
  <c r="Q240" i="3"/>
  <c r="O210" i="3"/>
  <c r="Q210" i="3"/>
  <c r="G58" i="3"/>
  <c r="G21" i="16"/>
  <c r="G25" i="16"/>
  <c r="G29" i="16"/>
  <c r="G11" i="17"/>
  <c r="F9" i="17"/>
  <c r="F24" i="16"/>
  <c r="F57" i="3"/>
  <c r="F20" i="16"/>
  <c r="N3" i="17"/>
  <c r="N87" i="3"/>
  <c r="N18" i="17"/>
  <c r="T3" i="17"/>
  <c r="T18" i="17"/>
  <c r="T87" i="3"/>
  <c r="O240" i="3"/>
  <c r="L28" i="16"/>
  <c r="P22" i="17"/>
  <c r="M10" i="17"/>
  <c r="O22" i="17"/>
  <c r="O17" i="17"/>
  <c r="O21" i="17"/>
  <c r="S210" i="3"/>
  <c r="F25" i="16"/>
  <c r="F58" i="3"/>
  <c r="F21" i="16"/>
  <c r="K23" i="17"/>
  <c r="K17" i="17"/>
  <c r="K21" i="17"/>
  <c r="R10" i="17"/>
  <c r="N10" i="17"/>
  <c r="E17" i="17" l="1"/>
  <c r="E13" i="17"/>
  <c r="E21" i="17"/>
  <c r="B23" i="17"/>
  <c r="B13" i="17"/>
  <c r="R22" i="17"/>
  <c r="R13" i="17"/>
  <c r="T23" i="17"/>
  <c r="T13" i="17"/>
  <c r="N22" i="17"/>
  <c r="N13" i="17"/>
  <c r="E239" i="3"/>
  <c r="E86" i="3"/>
  <c r="L56" i="3"/>
  <c r="L208" i="3" s="1"/>
  <c r="E22" i="17"/>
  <c r="E23" i="17"/>
  <c r="R23" i="17"/>
  <c r="R11" i="17"/>
  <c r="R25" i="16"/>
  <c r="F29" i="16"/>
  <c r="K28" i="16"/>
  <c r="C25" i="16"/>
  <c r="C21" i="16"/>
  <c r="C58" i="3"/>
  <c r="D19" i="17"/>
  <c r="D88" i="3"/>
  <c r="D11" i="17"/>
  <c r="P56" i="3"/>
  <c r="P209" i="3"/>
  <c r="S28" i="16"/>
  <c r="S23" i="16"/>
  <c r="S27" i="16"/>
  <c r="S19" i="16"/>
  <c r="S29" i="16"/>
  <c r="S240" i="3"/>
  <c r="S86" i="3"/>
  <c r="I238" i="3"/>
  <c r="R21" i="17"/>
  <c r="R17" i="17"/>
  <c r="E210" i="3"/>
  <c r="N240" i="3"/>
  <c r="K238" i="3"/>
  <c r="D3" i="17"/>
  <c r="D18" i="17"/>
  <c r="D87" i="3"/>
  <c r="U3" i="17"/>
  <c r="U18" i="17"/>
  <c r="U87" i="3"/>
  <c r="U21" i="16"/>
  <c r="U58" i="3"/>
  <c r="U25" i="16"/>
  <c r="P27" i="16"/>
  <c r="P23" i="16"/>
  <c r="P19" i="16"/>
  <c r="P29" i="16"/>
  <c r="S209" i="3"/>
  <c r="S56" i="3"/>
  <c r="M28" i="16"/>
  <c r="M23" i="16"/>
  <c r="M19" i="16"/>
  <c r="M27" i="16"/>
  <c r="M29" i="16"/>
  <c r="R86" i="3"/>
  <c r="R239" i="3"/>
  <c r="O238" i="3"/>
  <c r="T210" i="3"/>
  <c r="K19" i="16"/>
  <c r="K23" i="16"/>
  <c r="K27" i="16"/>
  <c r="K29" i="16"/>
  <c r="B240" i="3"/>
  <c r="M56" i="3"/>
  <c r="M209" i="3"/>
  <c r="B22" i="17"/>
  <c r="B21" i="17"/>
  <c r="B17" i="17"/>
  <c r="F238" i="3"/>
  <c r="Q19" i="16"/>
  <c r="Q27" i="16"/>
  <c r="Q23" i="16"/>
  <c r="Q29" i="16"/>
  <c r="R210" i="3"/>
  <c r="L210" i="3"/>
  <c r="M9" i="17"/>
  <c r="C19" i="17"/>
  <c r="C88" i="3"/>
  <c r="C11" i="17"/>
  <c r="D58" i="3"/>
  <c r="D25" i="16"/>
  <c r="D21" i="16"/>
  <c r="C87" i="3"/>
  <c r="C3" i="17"/>
  <c r="C18" i="17"/>
  <c r="N86" i="3"/>
  <c r="N239" i="3"/>
  <c r="F56" i="3"/>
  <c r="F209" i="3"/>
  <c r="G210" i="3"/>
  <c r="H210" i="3"/>
  <c r="K209" i="3"/>
  <c r="K56" i="3"/>
  <c r="N210" i="3"/>
  <c r="G238" i="3"/>
  <c r="J238" i="3"/>
  <c r="Q209" i="3"/>
  <c r="Q56" i="3"/>
  <c r="O209" i="3"/>
  <c r="O56" i="3"/>
  <c r="E29" i="16"/>
  <c r="E23" i="16"/>
  <c r="E27" i="16"/>
  <c r="E19" i="16"/>
  <c r="C10" i="17"/>
  <c r="G27" i="16"/>
  <c r="G19" i="16"/>
  <c r="G23" i="16"/>
  <c r="H86" i="3"/>
  <c r="H239" i="3"/>
  <c r="Q238" i="3"/>
  <c r="O28" i="16"/>
  <c r="O23" i="16"/>
  <c r="O27" i="16"/>
  <c r="O19" i="16"/>
  <c r="O29" i="16"/>
  <c r="E209" i="3"/>
  <c r="E56" i="3"/>
  <c r="I20" i="16"/>
  <c r="I57" i="3"/>
  <c r="I24" i="16"/>
  <c r="I10" i="17"/>
  <c r="E9" i="17"/>
  <c r="T86" i="3"/>
  <c r="T239" i="3"/>
  <c r="N21" i="17"/>
  <c r="N17" i="17"/>
  <c r="F28" i="16"/>
  <c r="F19" i="16"/>
  <c r="F27" i="16"/>
  <c r="F23" i="16"/>
  <c r="H22" i="17"/>
  <c r="H17" i="17"/>
  <c r="H21" i="17"/>
  <c r="R240" i="3"/>
  <c r="S17" i="17"/>
  <c r="S21" i="17"/>
  <c r="S9" i="17"/>
  <c r="S22" i="17"/>
  <c r="B25" i="16"/>
  <c r="B58" i="3"/>
  <c r="B21" i="16"/>
  <c r="T240" i="3"/>
  <c r="B24" i="16"/>
  <c r="B20" i="16"/>
  <c r="B57" i="3"/>
  <c r="B9" i="17"/>
  <c r="N20" i="16"/>
  <c r="N57" i="3"/>
  <c r="N24" i="16"/>
  <c r="E238" i="3"/>
  <c r="E240" i="3"/>
  <c r="P28" i="16"/>
  <c r="H23" i="17"/>
  <c r="B11" i="17"/>
  <c r="S23" i="17"/>
  <c r="B10" i="17"/>
  <c r="M238" i="3"/>
  <c r="G9" i="17"/>
  <c r="P238" i="3"/>
  <c r="R20" i="16"/>
  <c r="R24" i="16"/>
  <c r="R57" i="3"/>
  <c r="R9" i="17"/>
  <c r="U19" i="17"/>
  <c r="U88" i="3"/>
  <c r="U11" i="17"/>
  <c r="F210" i="3"/>
  <c r="T22" i="17"/>
  <c r="T17" i="17"/>
  <c r="T21" i="17"/>
  <c r="G56" i="3"/>
  <c r="G209" i="3"/>
  <c r="H240" i="3"/>
  <c r="P9" i="17"/>
  <c r="B86" i="3"/>
  <c r="B239" i="3"/>
  <c r="N23" i="17"/>
  <c r="J20" i="16"/>
  <c r="J57" i="3"/>
  <c r="J24" i="16"/>
  <c r="J10" i="17"/>
  <c r="U23" i="17" l="1"/>
  <c r="U13" i="17"/>
  <c r="C23" i="17"/>
  <c r="C13" i="17"/>
  <c r="D23" i="17"/>
  <c r="D13" i="17"/>
  <c r="R28" i="16"/>
  <c r="B29" i="16"/>
  <c r="D22" i="17"/>
  <c r="C22" i="17"/>
  <c r="G208" i="3"/>
  <c r="R209" i="3"/>
  <c r="R56" i="3"/>
  <c r="N209" i="3"/>
  <c r="N56" i="3"/>
  <c r="H10" i="17"/>
  <c r="H57" i="3"/>
  <c r="H20" i="16"/>
  <c r="H28" i="16"/>
  <c r="H24" i="16"/>
  <c r="H238" i="3"/>
  <c r="C24" i="16"/>
  <c r="C20" i="16"/>
  <c r="C28" i="16"/>
  <c r="C57" i="3"/>
  <c r="S208" i="3"/>
  <c r="U10" i="17"/>
  <c r="U20" i="16"/>
  <c r="U24" i="16"/>
  <c r="U57" i="3"/>
  <c r="U28" i="16"/>
  <c r="J28" i="16"/>
  <c r="J27" i="16"/>
  <c r="J23" i="16"/>
  <c r="J19" i="16"/>
  <c r="J29" i="16"/>
  <c r="J9" i="17"/>
  <c r="T238" i="3"/>
  <c r="D210" i="3"/>
  <c r="M208" i="3"/>
  <c r="R238" i="3"/>
  <c r="D86" i="3"/>
  <c r="D239" i="3"/>
  <c r="N27" i="16"/>
  <c r="N23" i="16"/>
  <c r="N19" i="16"/>
  <c r="N29" i="16"/>
  <c r="T24" i="16"/>
  <c r="T20" i="16"/>
  <c r="T57" i="3"/>
  <c r="T10" i="17"/>
  <c r="I209" i="3"/>
  <c r="I56" i="3"/>
  <c r="Q208" i="3"/>
  <c r="U210" i="3"/>
  <c r="V3" i="17"/>
  <c r="V18" i="17"/>
  <c r="V87" i="3"/>
  <c r="J209" i="3"/>
  <c r="J56" i="3"/>
  <c r="U240" i="3"/>
  <c r="N9" i="17"/>
  <c r="S238" i="3"/>
  <c r="C210" i="3"/>
  <c r="B28" i="16"/>
  <c r="B19" i="16"/>
  <c r="B23" i="16"/>
  <c r="B27" i="16"/>
  <c r="I28" i="16"/>
  <c r="I23" i="16"/>
  <c r="I19" i="16"/>
  <c r="I27" i="16"/>
  <c r="I29" i="16"/>
  <c r="I9" i="17"/>
  <c r="F208" i="3"/>
  <c r="U86" i="3"/>
  <c r="U239" i="3"/>
  <c r="D21" i="17"/>
  <c r="D17" i="17"/>
  <c r="D240" i="3"/>
  <c r="V19" i="17"/>
  <c r="V88" i="3"/>
  <c r="V11" i="17"/>
  <c r="B209" i="3"/>
  <c r="B56" i="3"/>
  <c r="B210" i="3"/>
  <c r="C17" i="17"/>
  <c r="C21" i="17"/>
  <c r="V25" i="16"/>
  <c r="V21" i="16"/>
  <c r="V58" i="3"/>
  <c r="N28" i="16"/>
  <c r="C86" i="3"/>
  <c r="C239" i="3"/>
  <c r="C240" i="3"/>
  <c r="P208" i="3"/>
  <c r="D10" i="17"/>
  <c r="D20" i="16"/>
  <c r="D57" i="3"/>
  <c r="D9" i="17"/>
  <c r="D24" i="16"/>
  <c r="B238" i="3"/>
  <c r="R27" i="16"/>
  <c r="R19" i="16"/>
  <c r="R23" i="16"/>
  <c r="R29" i="16"/>
  <c r="E208" i="3"/>
  <c r="O208" i="3"/>
  <c r="K208" i="3"/>
  <c r="N238" i="3"/>
  <c r="U22" i="17"/>
  <c r="U21" i="17"/>
  <c r="U17" i="17"/>
  <c r="U9" i="17"/>
  <c r="V23" i="17" l="1"/>
  <c r="V13" i="17"/>
  <c r="C9" i="17"/>
  <c r="D28" i="16"/>
  <c r="T27" i="16"/>
  <c r="T23" i="16"/>
  <c r="T19" i="16"/>
  <c r="T29" i="16"/>
  <c r="T9" i="17"/>
  <c r="V17" i="17"/>
  <c r="V21" i="17"/>
  <c r="T209" i="3"/>
  <c r="T56" i="3"/>
  <c r="D238" i="3"/>
  <c r="C19" i="16"/>
  <c r="C27" i="16"/>
  <c r="C23" i="16"/>
  <c r="C29" i="16"/>
  <c r="H27" i="16"/>
  <c r="H23" i="16"/>
  <c r="H19" i="16"/>
  <c r="H29" i="16"/>
  <c r="H9" i="17"/>
  <c r="R208" i="3"/>
  <c r="J208" i="3"/>
  <c r="V20" i="16"/>
  <c r="V24" i="16"/>
  <c r="V9" i="17"/>
  <c r="V57" i="3"/>
  <c r="C238" i="3"/>
  <c r="V210" i="3"/>
  <c r="H56" i="3"/>
  <c r="H209" i="3"/>
  <c r="I208" i="3"/>
  <c r="D27" i="16"/>
  <c r="D23" i="16"/>
  <c r="D19" i="16"/>
  <c r="D29" i="16"/>
  <c r="V22" i="17"/>
  <c r="U29" i="16"/>
  <c r="U23" i="16"/>
  <c r="U27" i="16"/>
  <c r="U19" i="16"/>
  <c r="D209" i="3"/>
  <c r="V240" i="3"/>
  <c r="U238" i="3"/>
  <c r="V10" i="17"/>
  <c r="D56" i="3"/>
  <c r="U209" i="3"/>
  <c r="U56" i="3"/>
  <c r="N208" i="3"/>
  <c r="B208" i="3"/>
  <c r="V86" i="3"/>
  <c r="V239" i="3"/>
  <c r="T28" i="16"/>
  <c r="C209" i="3"/>
  <c r="C56" i="3"/>
  <c r="V28" i="16" l="1"/>
  <c r="H208" i="3"/>
  <c r="V238" i="3"/>
  <c r="C208" i="3"/>
  <c r="U208" i="3"/>
  <c r="V209" i="3"/>
  <c r="V56" i="3"/>
  <c r="T208" i="3"/>
  <c r="V27" i="16"/>
  <c r="V23" i="16"/>
  <c r="V19" i="16"/>
  <c r="V29" i="16"/>
  <c r="D208" i="3"/>
  <c r="V208" i="3" l="1"/>
  <c r="S68" i="11" l="1"/>
  <c r="L68" i="11"/>
  <c r="M68" i="11"/>
  <c r="U68" i="11" l="1"/>
  <c r="R68" i="11"/>
  <c r="N68" i="11"/>
  <c r="Q68" i="11"/>
  <c r="V68" i="11"/>
  <c r="J68" i="11"/>
  <c r="O67" i="11"/>
  <c r="K67" i="11"/>
  <c r="O13" i="14" l="1"/>
  <c r="O19" i="14" s="1"/>
  <c r="N13" i="14"/>
  <c r="N19" i="14" s="1"/>
  <c r="T13" i="14"/>
  <c r="T19" i="14" s="1"/>
  <c r="M13" i="14"/>
  <c r="M19" i="14" s="1"/>
  <c r="Q14" i="14"/>
  <c r="T67" i="11"/>
  <c r="L14" i="14"/>
  <c r="L20" i="14" s="1"/>
  <c r="U14" i="14"/>
  <c r="U20" i="14" s="1"/>
  <c r="T14" i="14"/>
  <c r="R14" i="14"/>
  <c r="R20" i="14" s="1"/>
  <c r="N14" i="14"/>
  <c r="N20" i="14" s="1"/>
  <c r="U67" i="11"/>
  <c r="M67" i="11"/>
  <c r="S14" i="14"/>
  <c r="S20" i="14" s="1"/>
  <c r="S13" i="14"/>
  <c r="S19" i="14" s="1"/>
  <c r="R13" i="14"/>
  <c r="R19" i="14" s="1"/>
  <c r="P14" i="14"/>
  <c r="P20" i="14" s="1"/>
  <c r="P13" i="14"/>
  <c r="P19" i="14" s="1"/>
  <c r="Q67" i="11"/>
  <c r="P67" i="11"/>
  <c r="R67" i="11"/>
  <c r="L13" i="14"/>
  <c r="L19" i="14" s="1"/>
  <c r="U13" i="14"/>
  <c r="U19" i="14" s="1"/>
  <c r="N67" i="11"/>
  <c r="I68" i="11"/>
  <c r="S67" i="11"/>
  <c r="L67" i="11"/>
  <c r="V67" i="11"/>
  <c r="M14" i="14"/>
  <c r="M20" i="14" s="1"/>
  <c r="Q13" i="14"/>
  <c r="Q19" i="14" s="1"/>
  <c r="O14" i="14"/>
  <c r="P68" i="11"/>
  <c r="J67" i="11"/>
  <c r="T24" i="11"/>
  <c r="U34" i="11"/>
  <c r="R24" i="11"/>
  <c r="M24" i="11"/>
  <c r="J24" i="11"/>
  <c r="N24" i="11"/>
  <c r="R69" i="11" l="1"/>
  <c r="V14" i="14"/>
  <c r="T69" i="11"/>
  <c r="T20" i="14"/>
  <c r="T68" i="11"/>
  <c r="Q20" i="14"/>
  <c r="Q24" i="11"/>
  <c r="R34" i="11"/>
  <c r="K14" i="14"/>
  <c r="K20" i="14" s="1"/>
  <c r="I67" i="11"/>
  <c r="U24" i="11"/>
  <c r="O24" i="11"/>
  <c r="T34" i="11"/>
  <c r="S24" i="11"/>
  <c r="K68" i="11"/>
  <c r="P24" i="11"/>
  <c r="U69" i="11"/>
  <c r="O68" i="11"/>
  <c r="O20" i="14"/>
  <c r="U15" i="14"/>
  <c r="U21" i="14" s="1"/>
  <c r="R66" i="11" l="1"/>
  <c r="V20" i="14"/>
  <c r="K13" i="14"/>
  <c r="K19" i="14" s="1"/>
  <c r="N69" i="11"/>
  <c r="N34" i="11"/>
  <c r="I24" i="11"/>
  <c r="L24" i="11"/>
  <c r="S69" i="11"/>
  <c r="S34" i="11"/>
  <c r="V13" i="14"/>
  <c r="K24" i="11"/>
  <c r="H68" i="11"/>
  <c r="H24" i="11"/>
  <c r="U4" i="14"/>
  <c r="U12" i="14" s="1"/>
  <c r="U18" i="14" s="1"/>
  <c r="T66" i="11"/>
  <c r="U66" i="11"/>
  <c r="S15" i="14" l="1"/>
  <c r="S4" i="14"/>
  <c r="S12" i="14" s="1"/>
  <c r="S18" i="14" s="1"/>
  <c r="Q15" i="14"/>
  <c r="Q4" i="14"/>
  <c r="Q12" i="14" s="1"/>
  <c r="N15" i="14"/>
  <c r="N4" i="14"/>
  <c r="N12" i="14" s="1"/>
  <c r="N18" i="14" s="1"/>
  <c r="V24" i="11"/>
  <c r="L14" i="3"/>
  <c r="L87" i="11"/>
  <c r="I14" i="3"/>
  <c r="I87" i="11"/>
  <c r="S16" i="3"/>
  <c r="S89" i="11"/>
  <c r="U14" i="3"/>
  <c r="U87" i="11"/>
  <c r="S66" i="11"/>
  <c r="M15" i="14"/>
  <c r="M4" i="14"/>
  <c r="M12" i="14" s="1"/>
  <c r="O14" i="3"/>
  <c r="O87" i="11"/>
  <c r="H67" i="11"/>
  <c r="V69" i="11"/>
  <c r="V34" i="11"/>
  <c r="O15" i="14"/>
  <c r="O21" i="14" s="1"/>
  <c r="O4" i="14"/>
  <c r="O12" i="14" s="1"/>
  <c r="P15" i="14"/>
  <c r="P4" i="14"/>
  <c r="P12" i="14" s="1"/>
  <c r="R15" i="14"/>
  <c r="R21" i="14" s="1"/>
  <c r="R4" i="14"/>
  <c r="R12" i="14" s="1"/>
  <c r="M69" i="11"/>
  <c r="M34" i="11"/>
  <c r="K14" i="3"/>
  <c r="K87" i="11"/>
  <c r="M14" i="3"/>
  <c r="M87" i="11"/>
  <c r="J13" i="14"/>
  <c r="J19" i="14" s="1"/>
  <c r="J14" i="14"/>
  <c r="J20" i="14" s="1"/>
  <c r="R14" i="3"/>
  <c r="R87" i="11"/>
  <c r="T15" i="14"/>
  <c r="T21" i="14" s="1"/>
  <c r="T4" i="14"/>
  <c r="T12" i="14" s="1"/>
  <c r="T18" i="14" s="1"/>
  <c r="T14" i="3"/>
  <c r="T87" i="11"/>
  <c r="V14" i="3"/>
  <c r="V87" i="11"/>
  <c r="N66" i="11"/>
  <c r="S14" i="3"/>
  <c r="S87" i="11"/>
  <c r="N14" i="3"/>
  <c r="N87" i="11"/>
  <c r="P14" i="3"/>
  <c r="P87" i="11"/>
  <c r="O69" i="11"/>
  <c r="O34" i="11"/>
  <c r="G24" i="11"/>
  <c r="J14" i="3"/>
  <c r="J87" i="11"/>
  <c r="Q14" i="3"/>
  <c r="Q87" i="11"/>
  <c r="L69" i="11"/>
  <c r="L34" i="11"/>
  <c r="V19" i="14"/>
  <c r="U16" i="3" l="1"/>
  <c r="U89" i="11"/>
  <c r="L66" i="11"/>
  <c r="R18" i="14"/>
  <c r="I14" i="14"/>
  <c r="V15" i="14"/>
  <c r="V4" i="14"/>
  <c r="V12" i="14" s="1"/>
  <c r="V18" i="14" s="1"/>
  <c r="T16" i="3"/>
  <c r="T89" i="11"/>
  <c r="N21" i="14"/>
  <c r="E24" i="11"/>
  <c r="R16" i="3"/>
  <c r="R89" i="11"/>
  <c r="O18" i="14"/>
  <c r="O66" i="11"/>
  <c r="F24" i="11"/>
  <c r="G68" i="11"/>
  <c r="M16" i="3"/>
  <c r="M89" i="11"/>
  <c r="K69" i="11"/>
  <c r="K34" i="11"/>
  <c r="P69" i="11"/>
  <c r="P21" i="14"/>
  <c r="P34" i="11"/>
  <c r="V16" i="3"/>
  <c r="V89" i="11"/>
  <c r="M18" i="14"/>
  <c r="M66" i="11"/>
  <c r="L15" i="14"/>
  <c r="L21" i="14" s="1"/>
  <c r="L4" i="14"/>
  <c r="L12" i="14" s="1"/>
  <c r="L18" i="14" s="1"/>
  <c r="M21" i="14"/>
  <c r="V66" i="11"/>
  <c r="S21" i="14"/>
  <c r="L16" i="3" l="1"/>
  <c r="L89" i="11"/>
  <c r="U15" i="3"/>
  <c r="U88" i="11"/>
  <c r="U4" i="11"/>
  <c r="Q77" i="11"/>
  <c r="I13" i="14"/>
  <c r="I19" i="14" s="1"/>
  <c r="N77" i="11"/>
  <c r="P15" i="3"/>
  <c r="P88" i="11"/>
  <c r="M77" i="11"/>
  <c r="R15" i="3"/>
  <c r="R88" i="11"/>
  <c r="R4" i="11"/>
  <c r="K15" i="3"/>
  <c r="K88" i="11"/>
  <c r="O15" i="3"/>
  <c r="O88" i="11"/>
  <c r="J15" i="3"/>
  <c r="J88" i="11"/>
  <c r="P18" i="14"/>
  <c r="P66" i="11"/>
  <c r="L77" i="11"/>
  <c r="I77" i="11"/>
  <c r="T77" i="11"/>
  <c r="J77" i="11"/>
  <c r="Q15" i="3"/>
  <c r="Q88" i="11"/>
  <c r="Q69" i="11"/>
  <c r="Q34" i="11"/>
  <c r="I20" i="14"/>
  <c r="S15" i="3"/>
  <c r="S88" i="11"/>
  <c r="S4" i="11"/>
  <c r="O77" i="11"/>
  <c r="U72" i="11"/>
  <c r="K77" i="11"/>
  <c r="M15" i="3"/>
  <c r="M88" i="11"/>
  <c r="M4" i="11"/>
  <c r="N15" i="3"/>
  <c r="N88" i="11"/>
  <c r="N4" i="11"/>
  <c r="J69" i="11"/>
  <c r="J34" i="11"/>
  <c r="L15" i="3"/>
  <c r="L88" i="11"/>
  <c r="L4" i="11"/>
  <c r="S77" i="11"/>
  <c r="S79" i="11"/>
  <c r="R77" i="11"/>
  <c r="U77" i="11"/>
  <c r="Q21" i="14"/>
  <c r="N16" i="3"/>
  <c r="N109" i="11"/>
  <c r="N89" i="11"/>
  <c r="T15" i="3"/>
  <c r="T88" i="11"/>
  <c r="T4" i="11"/>
  <c r="T72" i="11"/>
  <c r="I15" i="3"/>
  <c r="I88" i="11"/>
  <c r="K66" i="11"/>
  <c r="V77" i="11"/>
  <c r="G67" i="11"/>
  <c r="P77" i="11"/>
  <c r="V21" i="14"/>
  <c r="U79" i="11"/>
  <c r="H14" i="3" l="1"/>
  <c r="H87" i="11"/>
  <c r="D24" i="11"/>
  <c r="V15" i="3"/>
  <c r="V88" i="11"/>
  <c r="V4" i="11"/>
  <c r="V108" i="11" s="1"/>
  <c r="R79" i="11"/>
  <c r="J66" i="11"/>
  <c r="M13" i="3"/>
  <c r="U106" i="11"/>
  <c r="U86" i="11"/>
  <c r="U107" i="11"/>
  <c r="U109" i="11"/>
  <c r="S72" i="11"/>
  <c r="L106" i="11"/>
  <c r="L86" i="11"/>
  <c r="L107" i="11"/>
  <c r="S107" i="11"/>
  <c r="S106" i="11"/>
  <c r="S86" i="11"/>
  <c r="S109" i="11"/>
  <c r="R13" i="3"/>
  <c r="U108" i="11"/>
  <c r="M79" i="11"/>
  <c r="O89" i="11"/>
  <c r="O16" i="3"/>
  <c r="V79" i="11"/>
  <c r="F68" i="11"/>
  <c r="T106" i="11"/>
  <c r="T86" i="11"/>
  <c r="T107" i="11"/>
  <c r="T109" i="11"/>
  <c r="L108" i="11"/>
  <c r="N106" i="11"/>
  <c r="N86" i="11"/>
  <c r="N107" i="11"/>
  <c r="S108" i="11"/>
  <c r="T108" i="11"/>
  <c r="U13" i="3"/>
  <c r="I69" i="11"/>
  <c r="I34" i="11"/>
  <c r="L13" i="3"/>
  <c r="N108" i="11"/>
  <c r="S13" i="3"/>
  <c r="L109" i="11"/>
  <c r="T13" i="3"/>
  <c r="N13" i="3"/>
  <c r="T79" i="11"/>
  <c r="M108" i="11"/>
  <c r="M106" i="11"/>
  <c r="M86" i="11"/>
  <c r="M107" i="11"/>
  <c r="M109" i="11"/>
  <c r="Q66" i="11"/>
  <c r="Q18" i="14"/>
  <c r="O4" i="11"/>
  <c r="O109" i="11" s="1"/>
  <c r="R109" i="11"/>
  <c r="R86" i="11"/>
  <c r="R106" i="11"/>
  <c r="R107" i="11"/>
  <c r="R108" i="11"/>
  <c r="T73" i="11"/>
  <c r="L78" i="11" l="1"/>
  <c r="O78" i="11"/>
  <c r="H13" i="14"/>
  <c r="H19" i="14" s="1"/>
  <c r="U73" i="11"/>
  <c r="N78" i="11"/>
  <c r="N14" i="11"/>
  <c r="H14" i="14"/>
  <c r="H20" i="14" s="1"/>
  <c r="C24" i="11"/>
  <c r="F67" i="11"/>
  <c r="V13" i="3"/>
  <c r="S78" i="11"/>
  <c r="S14" i="11"/>
  <c r="S118" i="11" s="1"/>
  <c r="O108" i="11"/>
  <c r="O106" i="11"/>
  <c r="O86" i="11"/>
  <c r="O107" i="11"/>
  <c r="I66" i="11"/>
  <c r="N79" i="11"/>
  <c r="Q78" i="11"/>
  <c r="M78" i="11"/>
  <c r="M14" i="11"/>
  <c r="M118" i="11" s="1"/>
  <c r="V78" i="11"/>
  <c r="V14" i="11"/>
  <c r="K16" i="3"/>
  <c r="K89" i="11"/>
  <c r="K4" i="11"/>
  <c r="K109" i="11" s="1"/>
  <c r="B24" i="11"/>
  <c r="J78" i="11"/>
  <c r="P78" i="11"/>
  <c r="E68" i="11"/>
  <c r="R72" i="11"/>
  <c r="R78" i="11"/>
  <c r="R14" i="11"/>
  <c r="R118" i="11" s="1"/>
  <c r="P16" i="3"/>
  <c r="P89" i="11"/>
  <c r="P4" i="11"/>
  <c r="U78" i="11"/>
  <c r="U14" i="11"/>
  <c r="U118" i="11" s="1"/>
  <c r="K78" i="11"/>
  <c r="T78" i="11"/>
  <c r="T14" i="11"/>
  <c r="I78" i="11"/>
  <c r="O13" i="3"/>
  <c r="V106" i="11"/>
  <c r="V86" i="11"/>
  <c r="V107" i="11"/>
  <c r="V109" i="11"/>
  <c r="O14" i="11"/>
  <c r="V72" i="11"/>
  <c r="Q72" i="11"/>
  <c r="O116" i="11" l="1"/>
  <c r="O76" i="11"/>
  <c r="O117" i="11"/>
  <c r="O118" i="11"/>
  <c r="S73" i="11"/>
  <c r="K13" i="3"/>
  <c r="H77" i="11"/>
  <c r="H15" i="3"/>
  <c r="H88" i="11"/>
  <c r="O79" i="11"/>
  <c r="O119" i="11"/>
  <c r="V118" i="11"/>
  <c r="V116" i="11"/>
  <c r="V76" i="11"/>
  <c r="V117" i="11"/>
  <c r="V119" i="11"/>
  <c r="N116" i="11"/>
  <c r="N76" i="11"/>
  <c r="N117" i="11"/>
  <c r="T116" i="11"/>
  <c r="T76" i="11"/>
  <c r="T117" i="11"/>
  <c r="T119" i="11"/>
  <c r="P109" i="11"/>
  <c r="P106" i="11"/>
  <c r="P86" i="11"/>
  <c r="P107" i="11"/>
  <c r="P108" i="11"/>
  <c r="J16" i="3"/>
  <c r="J89" i="11"/>
  <c r="J4" i="11"/>
  <c r="T118" i="11"/>
  <c r="M116" i="11"/>
  <c r="M76" i="11"/>
  <c r="M117" i="11"/>
  <c r="M119" i="11"/>
  <c r="N119" i="11"/>
  <c r="N118" i="11"/>
  <c r="K15" i="14"/>
  <c r="K21" i="14" s="1"/>
  <c r="K4" i="14"/>
  <c r="K12" i="14" s="1"/>
  <c r="G87" i="11"/>
  <c r="G14" i="3"/>
  <c r="P13" i="3"/>
  <c r="Q89" i="11"/>
  <c r="Q16" i="3"/>
  <c r="Q4" i="11"/>
  <c r="Q109" i="11" s="1"/>
  <c r="H69" i="11"/>
  <c r="H34" i="11"/>
  <c r="U119" i="11"/>
  <c r="U76" i="11"/>
  <c r="U116" i="11"/>
  <c r="U117" i="11"/>
  <c r="R116" i="11"/>
  <c r="R76" i="11"/>
  <c r="R117" i="11"/>
  <c r="R119" i="11"/>
  <c r="K106" i="11"/>
  <c r="K86" i="11"/>
  <c r="K107" i="11"/>
  <c r="K108" i="11"/>
  <c r="S116" i="11"/>
  <c r="S76" i="11"/>
  <c r="S117" i="11"/>
  <c r="S119" i="11"/>
  <c r="P72" i="11"/>
  <c r="I16" i="3" l="1"/>
  <c r="I89" i="11"/>
  <c r="I4" i="11"/>
  <c r="K18" i="14"/>
  <c r="L79" i="11"/>
  <c r="L14" i="11"/>
  <c r="H66" i="11"/>
  <c r="E67" i="11"/>
  <c r="K79" i="11"/>
  <c r="K14" i="11"/>
  <c r="D68" i="11"/>
  <c r="R73" i="11"/>
  <c r="Q108" i="11"/>
  <c r="Q86" i="11"/>
  <c r="Q106" i="11"/>
  <c r="Q107" i="11"/>
  <c r="J15" i="14"/>
  <c r="J21" i="14" s="1"/>
  <c r="J4" i="14"/>
  <c r="J12" i="14" s="1"/>
  <c r="P79" i="11"/>
  <c r="P14" i="11"/>
  <c r="Q13" i="3"/>
  <c r="J109" i="11"/>
  <c r="J86" i="11"/>
  <c r="J106" i="11"/>
  <c r="J107" i="11"/>
  <c r="J108" i="11"/>
  <c r="G13" i="14"/>
  <c r="G19" i="14" s="1"/>
  <c r="G14" i="14"/>
  <c r="G20" i="14" s="1"/>
  <c r="J13" i="3"/>
  <c r="O72" i="11"/>
  <c r="I15" i="14" l="1"/>
  <c r="I21" i="14" s="1"/>
  <c r="I4" i="14"/>
  <c r="I12" i="14" s="1"/>
  <c r="Q73" i="11"/>
  <c r="J18" i="14"/>
  <c r="F14" i="14"/>
  <c r="F14" i="3"/>
  <c r="F87" i="11"/>
  <c r="Q79" i="11"/>
  <c r="Q14" i="11"/>
  <c r="G77" i="11"/>
  <c r="G69" i="11"/>
  <c r="G34" i="11"/>
  <c r="K116" i="11"/>
  <c r="K76" i="11"/>
  <c r="K117" i="11"/>
  <c r="K118" i="11"/>
  <c r="I109" i="11"/>
  <c r="I86" i="11"/>
  <c r="I106" i="11"/>
  <c r="I107" i="11"/>
  <c r="I108" i="11"/>
  <c r="J79" i="11"/>
  <c r="J14" i="11"/>
  <c r="K119" i="11"/>
  <c r="P116" i="11"/>
  <c r="P76" i="11"/>
  <c r="P117" i="11"/>
  <c r="P118" i="11"/>
  <c r="L116" i="11"/>
  <c r="L76" i="11"/>
  <c r="L117" i="11"/>
  <c r="L118" i="11"/>
  <c r="I13" i="3"/>
  <c r="V73" i="11"/>
  <c r="L119" i="11"/>
  <c r="G15" i="3"/>
  <c r="G88" i="11"/>
  <c r="H78" i="11"/>
  <c r="P119" i="11"/>
  <c r="P73" i="11"/>
  <c r="H16" i="3" l="1"/>
  <c r="H89" i="11"/>
  <c r="H4" i="11"/>
  <c r="F20" i="14"/>
  <c r="D67" i="11"/>
  <c r="J76" i="11"/>
  <c r="J116" i="11"/>
  <c r="J117" i="11"/>
  <c r="J118" i="11"/>
  <c r="Q117" i="11"/>
  <c r="Q116" i="11"/>
  <c r="Q76" i="11"/>
  <c r="Q118" i="11"/>
  <c r="J119" i="11"/>
  <c r="F13" i="14"/>
  <c r="F19" i="14" s="1"/>
  <c r="Q119" i="11"/>
  <c r="N72" i="11"/>
  <c r="I79" i="11"/>
  <c r="I14" i="11"/>
  <c r="I18" i="14"/>
  <c r="G66" i="11"/>
  <c r="O73" i="11"/>
  <c r="F69" i="11" l="1"/>
  <c r="F34" i="11"/>
  <c r="F66" i="11" s="1"/>
  <c r="F77" i="11"/>
  <c r="I116" i="11"/>
  <c r="I76" i="11"/>
  <c r="I117" i="11"/>
  <c r="I118" i="11"/>
  <c r="G78" i="11"/>
  <c r="I119" i="11"/>
  <c r="H107" i="11"/>
  <c r="H86" i="11"/>
  <c r="H106" i="11"/>
  <c r="H108" i="11"/>
  <c r="H15" i="14"/>
  <c r="H21" i="14" s="1"/>
  <c r="H4" i="14"/>
  <c r="H12" i="14" s="1"/>
  <c r="H18" i="14" s="1"/>
  <c r="H109" i="11"/>
  <c r="C68" i="11"/>
  <c r="E14" i="3"/>
  <c r="E87" i="11"/>
  <c r="F15" i="3"/>
  <c r="F88" i="11"/>
  <c r="H13" i="3"/>
  <c r="L72" i="11"/>
  <c r="N73" i="11" l="1"/>
  <c r="M72" i="11"/>
  <c r="E14" i="14"/>
  <c r="E20" i="14" s="1"/>
  <c r="E15" i="3"/>
  <c r="E88" i="11"/>
  <c r="C67" i="11"/>
  <c r="G89" i="11"/>
  <c r="G16" i="3"/>
  <c r="G4" i="11"/>
  <c r="E13" i="14"/>
  <c r="E19" i="14" s="1"/>
  <c r="H79" i="11"/>
  <c r="H14" i="11"/>
  <c r="D14" i="3" l="1"/>
  <c r="D87" i="11"/>
  <c r="E69" i="11"/>
  <c r="E34" i="11"/>
  <c r="G15" i="14"/>
  <c r="G21" i="14" s="1"/>
  <c r="G4" i="14"/>
  <c r="G12" i="14" s="1"/>
  <c r="K72" i="11"/>
  <c r="H117" i="11"/>
  <c r="H116" i="11"/>
  <c r="H76" i="11"/>
  <c r="H118" i="11"/>
  <c r="G106" i="11"/>
  <c r="G86" i="11"/>
  <c r="G107" i="11"/>
  <c r="G108" i="11"/>
  <c r="H119" i="11"/>
  <c r="G109" i="11"/>
  <c r="G13" i="3"/>
  <c r="B68" i="11"/>
  <c r="F78" i="11"/>
  <c r="E77" i="11"/>
  <c r="E78" i="11"/>
  <c r="J72" i="11" l="1"/>
  <c r="D15" i="3"/>
  <c r="D88" i="11"/>
  <c r="B67" i="11"/>
  <c r="G79" i="11"/>
  <c r="G14" i="11"/>
  <c r="G119" i="11" s="1"/>
  <c r="D13" i="14"/>
  <c r="D19" i="14" s="1"/>
  <c r="L73" i="11"/>
  <c r="M73" i="11"/>
  <c r="G18" i="14"/>
  <c r="F16" i="3"/>
  <c r="F89" i="11"/>
  <c r="F4" i="11"/>
  <c r="D14" i="14"/>
  <c r="D20" i="14" s="1"/>
  <c r="E66" i="11"/>
  <c r="F109" i="11" l="1"/>
  <c r="F106" i="11"/>
  <c r="F86" i="11"/>
  <c r="F107" i="11"/>
  <c r="F108" i="11"/>
  <c r="F15" i="14"/>
  <c r="F21" i="14" s="1"/>
  <c r="F4" i="14"/>
  <c r="F12" i="14" s="1"/>
  <c r="F18" i="14" s="1"/>
  <c r="D77" i="11"/>
  <c r="F13" i="3"/>
  <c r="C14" i="14"/>
  <c r="C20" i="14" s="1"/>
  <c r="C87" i="11"/>
  <c r="C14" i="3"/>
  <c r="I72" i="11"/>
  <c r="K73" i="11"/>
  <c r="D69" i="11"/>
  <c r="D34" i="11"/>
  <c r="G116" i="11"/>
  <c r="G76" i="11"/>
  <c r="G117" i="11"/>
  <c r="G118" i="11"/>
  <c r="H72" i="11"/>
  <c r="C13" i="14" l="1"/>
  <c r="C19" i="14" s="1"/>
  <c r="J73" i="11"/>
  <c r="C15" i="3"/>
  <c r="C88" i="11"/>
  <c r="F79" i="11"/>
  <c r="F14" i="11"/>
  <c r="D66" i="11"/>
  <c r="D78" i="11"/>
  <c r="E16" i="3"/>
  <c r="E89" i="11"/>
  <c r="E4" i="11"/>
  <c r="B14" i="3" l="1"/>
  <c r="B87" i="11"/>
  <c r="E106" i="11"/>
  <c r="E86" i="11"/>
  <c r="E107" i="11"/>
  <c r="E108" i="11"/>
  <c r="F116" i="11"/>
  <c r="F76" i="11"/>
  <c r="F117" i="11"/>
  <c r="F118" i="11"/>
  <c r="I73" i="11"/>
  <c r="E109" i="11"/>
  <c r="E15" i="14"/>
  <c r="E21" i="14" s="1"/>
  <c r="E4" i="14"/>
  <c r="E12" i="14" s="1"/>
  <c r="E18" i="14" s="1"/>
  <c r="F119" i="11"/>
  <c r="E13" i="3"/>
  <c r="G72" i="11"/>
  <c r="C77" i="11"/>
  <c r="C69" i="11"/>
  <c r="C34" i="11"/>
  <c r="C66" i="11" s="1"/>
  <c r="H73" i="11" l="1"/>
  <c r="F72" i="11"/>
  <c r="D16" i="3"/>
  <c r="D89" i="11"/>
  <c r="D4" i="11"/>
  <c r="B13" i="14"/>
  <c r="B19" i="14" s="1"/>
  <c r="B14" i="14"/>
  <c r="C78" i="11"/>
  <c r="B15" i="3"/>
  <c r="B88" i="11"/>
  <c r="E79" i="11"/>
  <c r="E14" i="11"/>
  <c r="D13" i="3" l="1"/>
  <c r="B69" i="11"/>
  <c r="B34" i="11"/>
  <c r="G73" i="11"/>
  <c r="D15" i="14"/>
  <c r="D4" i="14"/>
  <c r="D12" i="14" s="1"/>
  <c r="E72" i="11"/>
  <c r="B77" i="11"/>
  <c r="E118" i="11"/>
  <c r="E76" i="11"/>
  <c r="E116" i="11"/>
  <c r="E117" i="11"/>
  <c r="D108" i="11"/>
  <c r="D86" i="11"/>
  <c r="D106" i="11"/>
  <c r="D107" i="11"/>
  <c r="E119" i="11"/>
  <c r="B20" i="14"/>
  <c r="D109" i="11"/>
  <c r="B78" i="11" l="1"/>
  <c r="C89" i="11"/>
  <c r="C16" i="3"/>
  <c r="C4" i="11"/>
  <c r="D79" i="11"/>
  <c r="D14" i="11"/>
  <c r="F73" i="11"/>
  <c r="D21" i="14"/>
  <c r="B66" i="11"/>
  <c r="D18" i="14"/>
  <c r="D72" i="11"/>
  <c r="B97" i="11"/>
  <c r="C72" i="11" l="1"/>
  <c r="C108" i="11"/>
  <c r="C86" i="11"/>
  <c r="C106" i="11"/>
  <c r="C107" i="11"/>
  <c r="C109" i="11"/>
  <c r="E73" i="11"/>
  <c r="D116" i="11"/>
  <c r="D76" i="11"/>
  <c r="D117" i="11"/>
  <c r="D118" i="11"/>
  <c r="C13" i="3"/>
  <c r="D119" i="11"/>
  <c r="C15" i="14"/>
  <c r="C21" i="14" s="1"/>
  <c r="C4" i="14"/>
  <c r="C12" i="14" s="1"/>
  <c r="C18" i="14" s="1"/>
  <c r="C97" i="11"/>
  <c r="B72" i="11" l="1"/>
  <c r="C79" i="11"/>
  <c r="C14" i="11"/>
  <c r="B16" i="3"/>
  <c r="B89" i="11"/>
  <c r="B4" i="11"/>
  <c r="B98" i="11"/>
  <c r="D73" i="11"/>
  <c r="C73" i="11"/>
  <c r="B13" i="3" l="1"/>
  <c r="E97" i="11"/>
  <c r="B15" i="14"/>
  <c r="B21" i="14" s="1"/>
  <c r="B4" i="14"/>
  <c r="B12" i="14" s="1"/>
  <c r="C119" i="11"/>
  <c r="C116" i="11"/>
  <c r="C76" i="11"/>
  <c r="C117" i="11"/>
  <c r="C118" i="11"/>
  <c r="D97" i="11"/>
  <c r="D98" i="11"/>
  <c r="C98" i="11"/>
  <c r="B106" i="11"/>
  <c r="B86" i="11"/>
  <c r="B107" i="11"/>
  <c r="B108" i="11"/>
  <c r="B109" i="11"/>
  <c r="B73" i="11"/>
  <c r="F97" i="11" l="1"/>
  <c r="B18" i="14"/>
  <c r="B79" i="11"/>
  <c r="B14" i="11"/>
  <c r="B99" i="11" l="1"/>
  <c r="B44" i="11"/>
  <c r="E98" i="11"/>
  <c r="G97" i="11"/>
  <c r="B119" i="11"/>
  <c r="B76" i="11"/>
  <c r="B116" i="11"/>
  <c r="B117" i="11"/>
  <c r="B118" i="11"/>
  <c r="H97" i="11" l="1"/>
  <c r="C99" i="11"/>
  <c r="C44" i="11"/>
  <c r="B96" i="11"/>
  <c r="F98" i="11"/>
  <c r="D99" i="11" l="1"/>
  <c r="D44" i="11"/>
  <c r="C96" i="11"/>
  <c r="B54" i="11"/>
  <c r="G98" i="11"/>
  <c r="I97" i="11"/>
  <c r="H98" i="11" l="1"/>
  <c r="J97" i="11"/>
  <c r="C54" i="11"/>
  <c r="E99" i="11"/>
  <c r="E44" i="11"/>
  <c r="D54" i="11"/>
  <c r="D96" i="11"/>
  <c r="E54" i="11" l="1"/>
  <c r="I98" i="11"/>
  <c r="F99" i="11"/>
  <c r="F44" i="11"/>
  <c r="K97" i="11"/>
  <c r="E96" i="11"/>
  <c r="F96" i="11" l="1"/>
  <c r="L97" i="11"/>
  <c r="G99" i="11"/>
  <c r="G44" i="11"/>
  <c r="F54" i="11"/>
  <c r="J98" i="11"/>
  <c r="M97" i="11" l="1"/>
  <c r="H99" i="11"/>
  <c r="H44" i="11"/>
  <c r="H96" i="11" s="1"/>
  <c r="G96" i="11"/>
  <c r="K98" i="11"/>
  <c r="G54" i="11" l="1"/>
  <c r="I99" i="11"/>
  <c r="I44" i="11"/>
  <c r="N97" i="11"/>
  <c r="L98" i="11"/>
  <c r="J99" i="11" l="1"/>
  <c r="J44" i="11"/>
  <c r="J96" i="11" s="1"/>
  <c r="H54" i="11"/>
  <c r="I96" i="11"/>
  <c r="O97" i="11"/>
  <c r="I54" i="11"/>
  <c r="M98" i="11"/>
  <c r="N98" i="11" l="1"/>
  <c r="K99" i="11"/>
  <c r="K44" i="11"/>
  <c r="P97" i="11"/>
  <c r="J54" i="11"/>
  <c r="K54" i="11" l="1"/>
  <c r="K96" i="11"/>
  <c r="Q97" i="11"/>
  <c r="L99" i="11"/>
  <c r="L44" i="11"/>
  <c r="O98" i="11"/>
  <c r="L54" i="11" l="1"/>
  <c r="L96" i="11"/>
  <c r="P98" i="11"/>
  <c r="M99" i="11"/>
  <c r="M44" i="11"/>
  <c r="R97" i="11"/>
  <c r="M54" i="11" l="1"/>
  <c r="Q98" i="11"/>
  <c r="N99" i="11"/>
  <c r="N44" i="11"/>
  <c r="M96" i="11"/>
  <c r="S97" i="11"/>
  <c r="N96" i="11" l="1"/>
  <c r="R98" i="11"/>
  <c r="T97" i="11"/>
  <c r="O99" i="11"/>
  <c r="O44" i="11"/>
  <c r="P99" i="11" l="1"/>
  <c r="P44" i="11"/>
  <c r="U97" i="11"/>
  <c r="O54" i="11"/>
  <c r="S98" i="11"/>
  <c r="N54" i="11"/>
  <c r="O96" i="11"/>
  <c r="T98" i="11" l="1"/>
  <c r="Q99" i="11"/>
  <c r="Q44" i="11"/>
  <c r="Q96" i="11" s="1"/>
  <c r="P54" i="11"/>
  <c r="P96" i="11"/>
  <c r="Q54" i="11" l="1"/>
  <c r="U98" i="11"/>
  <c r="R99" i="11"/>
  <c r="R44" i="11"/>
  <c r="R96" i="11" s="1"/>
  <c r="V97" i="11"/>
  <c r="R54" i="11" l="1"/>
  <c r="S99" i="11"/>
  <c r="S44" i="11"/>
  <c r="V98" i="11" l="1"/>
  <c r="T99" i="11"/>
  <c r="T44" i="11"/>
  <c r="S96" i="11"/>
  <c r="S54" i="11"/>
  <c r="U99" i="11" l="1"/>
  <c r="U44" i="11"/>
  <c r="T96" i="11"/>
  <c r="T54" i="11" l="1"/>
  <c r="U96" i="11"/>
  <c r="V99" i="11" l="1"/>
  <c r="V44" i="11"/>
  <c r="V54" i="11"/>
  <c r="U54" i="11"/>
  <c r="V96" i="11" l="1"/>
  <c r="U28" i="11" l="1"/>
  <c r="H28" i="11"/>
  <c r="K28" i="11"/>
  <c r="T28" i="11"/>
  <c r="E28" i="11"/>
  <c r="N28" i="11"/>
  <c r="O28" i="11"/>
  <c r="L28" i="11"/>
  <c r="L23" i="11" s="1"/>
  <c r="J28" i="11"/>
  <c r="R28" i="11"/>
  <c r="P28" i="11"/>
  <c r="M28" i="11"/>
  <c r="Q28" i="11"/>
  <c r="S28" i="11"/>
  <c r="F28" i="11"/>
  <c r="G28" i="11"/>
  <c r="I28" i="11"/>
  <c r="M23" i="11" l="1"/>
  <c r="F23" i="11"/>
  <c r="T23" i="11"/>
  <c r="P23" i="11"/>
  <c r="D28" i="11"/>
  <c r="R23" i="11"/>
  <c r="N23" i="11"/>
  <c r="H23" i="11"/>
  <c r="I23" i="11"/>
  <c r="S23" i="11"/>
  <c r="K23" i="11"/>
  <c r="Q23" i="11"/>
  <c r="J23" i="11"/>
  <c r="E23" i="11"/>
  <c r="U23" i="11"/>
  <c r="O23" i="11"/>
  <c r="V28" i="11"/>
  <c r="G23" i="11"/>
  <c r="I71" i="11" l="1"/>
  <c r="I38" i="11"/>
  <c r="I70" i="11" s="1"/>
  <c r="C28" i="11"/>
  <c r="V23" i="11"/>
  <c r="D23" i="11"/>
  <c r="M38" i="11"/>
  <c r="M70" i="11" s="1"/>
  <c r="M71" i="11"/>
  <c r="G71" i="11"/>
  <c r="G38" i="11"/>
  <c r="G70" i="11" s="1"/>
  <c r="L38" i="11"/>
  <c r="L70" i="11" s="1"/>
  <c r="L71" i="11"/>
  <c r="K71" i="11"/>
  <c r="K38" i="11"/>
  <c r="K70" i="11" s="1"/>
  <c r="R71" i="11"/>
  <c r="R38" i="11"/>
  <c r="R70" i="11" s="1"/>
  <c r="F38" i="11"/>
  <c r="F70" i="11" s="1"/>
  <c r="F71" i="11"/>
  <c r="H71" i="11"/>
  <c r="H38" i="11"/>
  <c r="H70" i="11" s="1"/>
  <c r="N71" i="11"/>
  <c r="N38" i="11"/>
  <c r="N70" i="11" s="1"/>
  <c r="F23" i="3" l="1"/>
  <c r="F91" i="11"/>
  <c r="M23" i="3"/>
  <c r="M91" i="11"/>
  <c r="J71" i="11"/>
  <c r="J38" i="11"/>
  <c r="J70" i="11" s="1"/>
  <c r="T71" i="11"/>
  <c r="T38" i="11"/>
  <c r="T70" i="11" s="1"/>
  <c r="S71" i="11"/>
  <c r="S38" i="11"/>
  <c r="S70" i="11" s="1"/>
  <c r="U71" i="11"/>
  <c r="U38" i="11"/>
  <c r="U70" i="11" s="1"/>
  <c r="P71" i="11"/>
  <c r="P38" i="11"/>
  <c r="P70" i="11" s="1"/>
  <c r="P23" i="3"/>
  <c r="P91" i="11"/>
  <c r="S23" i="3"/>
  <c r="S91" i="11"/>
  <c r="K23" i="3"/>
  <c r="K91" i="11"/>
  <c r="L91" i="11"/>
  <c r="L23" i="3"/>
  <c r="N23" i="3"/>
  <c r="N91" i="11"/>
  <c r="U23" i="3"/>
  <c r="U91" i="11"/>
  <c r="O71" i="11"/>
  <c r="O38" i="11"/>
  <c r="O70" i="11" s="1"/>
  <c r="Q23" i="3"/>
  <c r="Q91" i="11"/>
  <c r="E23" i="3"/>
  <c r="E91" i="11"/>
  <c r="O23" i="3"/>
  <c r="O91" i="11"/>
  <c r="Q38" i="11"/>
  <c r="Q70" i="11" s="1"/>
  <c r="Q71" i="11"/>
  <c r="G23" i="3"/>
  <c r="G91" i="11"/>
  <c r="R91" i="11"/>
  <c r="R23" i="3"/>
  <c r="E71" i="11"/>
  <c r="E38" i="11"/>
  <c r="E70" i="11" s="1"/>
  <c r="H91" i="11"/>
  <c r="H23" i="3"/>
  <c r="I23" i="3"/>
  <c r="I91" i="11"/>
  <c r="T23" i="3"/>
  <c r="T91" i="11"/>
  <c r="V38" i="11"/>
  <c r="V70" i="11" s="1"/>
  <c r="V71" i="11"/>
  <c r="J91" i="11"/>
  <c r="J23" i="3"/>
  <c r="C23" i="11"/>
  <c r="D23" i="3" l="1"/>
  <c r="D91" i="11"/>
  <c r="D38" i="11"/>
  <c r="D70" i="11" s="1"/>
  <c r="D71" i="11"/>
  <c r="B28" i="11"/>
  <c r="V23" i="3"/>
  <c r="V91" i="11"/>
  <c r="H81" i="11" l="1"/>
  <c r="M81" i="11"/>
  <c r="I24" i="3"/>
  <c r="I92" i="11"/>
  <c r="G92" i="11"/>
  <c r="G24" i="3"/>
  <c r="N24" i="3"/>
  <c r="N92" i="11"/>
  <c r="F81" i="11"/>
  <c r="R24" i="3"/>
  <c r="R92" i="11"/>
  <c r="P24" i="3"/>
  <c r="P92" i="11"/>
  <c r="U81" i="11"/>
  <c r="Q24" i="3"/>
  <c r="Q92" i="11"/>
  <c r="O24" i="3"/>
  <c r="O92" i="11"/>
  <c r="S92" i="11"/>
  <c r="S24" i="3"/>
  <c r="O81" i="11"/>
  <c r="E81" i="11"/>
  <c r="C71" i="11"/>
  <c r="C38" i="11"/>
  <c r="C70" i="11" s="1"/>
  <c r="L24" i="3"/>
  <c r="L92" i="11"/>
  <c r="J24" i="3"/>
  <c r="J92" i="11"/>
  <c r="P81" i="11"/>
  <c r="K92" i="11"/>
  <c r="K24" i="3"/>
  <c r="M92" i="11"/>
  <c r="M24" i="3"/>
  <c r="R81" i="11"/>
  <c r="C23" i="3"/>
  <c r="C91" i="11"/>
  <c r="J81" i="11"/>
  <c r="F24" i="3"/>
  <c r="F92" i="11"/>
  <c r="B23" i="11"/>
  <c r="T81" i="11"/>
  <c r="N81" i="11"/>
  <c r="U92" i="11"/>
  <c r="U24" i="3"/>
  <c r="G81" i="11"/>
  <c r="I81" i="11"/>
  <c r="E24" i="3"/>
  <c r="E92" i="11"/>
  <c r="S81" i="11"/>
  <c r="H24" i="3"/>
  <c r="H92" i="11"/>
  <c r="L81" i="11"/>
  <c r="T24" i="3"/>
  <c r="T92" i="11"/>
  <c r="Q81" i="11"/>
  <c r="K81" i="11"/>
  <c r="S8" i="11"/>
  <c r="H8" i="11"/>
  <c r="U8" i="11"/>
  <c r="L8" i="11"/>
  <c r="P8" i="11"/>
  <c r="P113" i="11" l="1"/>
  <c r="P110" i="11"/>
  <c r="P90" i="11"/>
  <c r="P111" i="11"/>
  <c r="P112" i="11"/>
  <c r="L113" i="11"/>
  <c r="L90" i="11"/>
  <c r="L110" i="11"/>
  <c r="L111" i="11"/>
  <c r="L112" i="11"/>
  <c r="U90" i="11"/>
  <c r="U110" i="11"/>
  <c r="U111" i="11"/>
  <c r="U112" i="11"/>
  <c r="H112" i="11"/>
  <c r="H110" i="11"/>
  <c r="H90" i="11"/>
  <c r="H111" i="11"/>
  <c r="S113" i="11"/>
  <c r="S90" i="11"/>
  <c r="S110" i="11"/>
  <c r="S111" i="11"/>
  <c r="S112" i="11"/>
  <c r="T25" i="3"/>
  <c r="T93" i="11"/>
  <c r="N25" i="3"/>
  <c r="N22" i="3" s="1"/>
  <c r="N93" i="11"/>
  <c r="U25" i="3"/>
  <c r="U22" i="3" s="1"/>
  <c r="U93" i="11"/>
  <c r="U113" i="11"/>
  <c r="R93" i="11"/>
  <c r="R25" i="3"/>
  <c r="T8" i="11"/>
  <c r="T113" i="11" s="1"/>
  <c r="G25" i="3"/>
  <c r="G22" i="3" s="1"/>
  <c r="G93" i="11"/>
  <c r="D81" i="11"/>
  <c r="G8" i="11"/>
  <c r="G113" i="11" s="1"/>
  <c r="I25" i="3"/>
  <c r="I93" i="11"/>
  <c r="H93" i="11"/>
  <c r="H25" i="3"/>
  <c r="H22" i="3" s="1"/>
  <c r="H113" i="11"/>
  <c r="P93" i="11"/>
  <c r="P25" i="3"/>
  <c r="D92" i="11"/>
  <c r="D24" i="3"/>
  <c r="S25" i="3"/>
  <c r="S22" i="3" s="1"/>
  <c r="S93" i="11"/>
  <c r="L25" i="3"/>
  <c r="L93" i="11"/>
  <c r="V24" i="3"/>
  <c r="V92" i="11"/>
  <c r="V81" i="11"/>
  <c r="N8" i="11"/>
  <c r="I8" i="11"/>
  <c r="I113" i="11" s="1"/>
  <c r="B38" i="11"/>
  <c r="B70" i="11" s="1"/>
  <c r="B71" i="11"/>
  <c r="R8" i="11"/>
  <c r="R113" i="11" s="1"/>
  <c r="T83" i="11"/>
  <c r="F83" i="11"/>
  <c r="V8" i="11"/>
  <c r="S83" i="11"/>
  <c r="V110" i="11" l="1"/>
  <c r="V90" i="11"/>
  <c r="V111" i="11"/>
  <c r="V112" i="11"/>
  <c r="P82" i="11"/>
  <c r="P18" i="11"/>
  <c r="P123" i="11" s="1"/>
  <c r="T82" i="11"/>
  <c r="T18" i="11"/>
  <c r="H83" i="11"/>
  <c r="S82" i="11"/>
  <c r="S18" i="11"/>
  <c r="J83" i="11"/>
  <c r="M83" i="11"/>
  <c r="K83" i="11"/>
  <c r="E83" i="11"/>
  <c r="L82" i="11"/>
  <c r="L18" i="11"/>
  <c r="L123" i="11" s="1"/>
  <c r="K25" i="3"/>
  <c r="K93" i="11"/>
  <c r="K8" i="11"/>
  <c r="K113" i="11" s="1"/>
  <c r="J25" i="3"/>
  <c r="J93" i="11"/>
  <c r="J8" i="11"/>
  <c r="J113" i="11" s="1"/>
  <c r="T22" i="3"/>
  <c r="C92" i="11"/>
  <c r="C24" i="3"/>
  <c r="N83" i="11"/>
  <c r="E25" i="3"/>
  <c r="E93" i="11"/>
  <c r="E8" i="11"/>
  <c r="F82" i="11"/>
  <c r="F18" i="11"/>
  <c r="F122" i="11" s="1"/>
  <c r="L83" i="11"/>
  <c r="H82" i="11"/>
  <c r="H18" i="11"/>
  <c r="N82" i="11"/>
  <c r="N18" i="11"/>
  <c r="N122" i="11" s="1"/>
  <c r="V25" i="3"/>
  <c r="V22" i="3" s="1"/>
  <c r="V113" i="11"/>
  <c r="V93" i="11"/>
  <c r="I83" i="11"/>
  <c r="Q82" i="11"/>
  <c r="Q18" i="11"/>
  <c r="Q122" i="11" s="1"/>
  <c r="O82" i="11"/>
  <c r="O18" i="11"/>
  <c r="O123" i="11" s="1"/>
  <c r="Q83" i="11"/>
  <c r="M25" i="3"/>
  <c r="M93" i="11"/>
  <c r="M8" i="11"/>
  <c r="O83" i="11"/>
  <c r="J82" i="11"/>
  <c r="J18" i="11"/>
  <c r="R82" i="11"/>
  <c r="R18" i="11"/>
  <c r="R123" i="11" s="1"/>
  <c r="R83" i="11"/>
  <c r="G82" i="11"/>
  <c r="G18" i="11"/>
  <c r="G123" i="11" s="1"/>
  <c r="U83" i="11"/>
  <c r="F25" i="3"/>
  <c r="F93" i="11"/>
  <c r="F8" i="11"/>
  <c r="I82" i="11"/>
  <c r="I18" i="11"/>
  <c r="I123" i="11" s="1"/>
  <c r="U82" i="11"/>
  <c r="U18" i="11"/>
  <c r="Q25" i="3"/>
  <c r="Q93" i="11"/>
  <c r="Q8" i="11"/>
  <c r="C81" i="11"/>
  <c r="P83" i="11"/>
  <c r="K82" i="11"/>
  <c r="K18" i="11"/>
  <c r="K123" i="11" s="1"/>
  <c r="I90" i="11"/>
  <c r="I110" i="11"/>
  <c r="I111" i="11"/>
  <c r="I112" i="11"/>
  <c r="L22" i="3"/>
  <c r="G110" i="11"/>
  <c r="G90" i="11"/>
  <c r="G111" i="11"/>
  <c r="G112" i="11"/>
  <c r="I22" i="3"/>
  <c r="G83" i="11"/>
  <c r="R110" i="11"/>
  <c r="R90" i="11"/>
  <c r="R111" i="11"/>
  <c r="R112" i="11"/>
  <c r="N113" i="11"/>
  <c r="N90" i="11"/>
  <c r="N110" i="11"/>
  <c r="N111" i="11"/>
  <c r="N112" i="11"/>
  <c r="R22" i="3"/>
  <c r="B23" i="3"/>
  <c r="B91" i="11"/>
  <c r="E82" i="11"/>
  <c r="E18" i="11"/>
  <c r="E122" i="11" s="1"/>
  <c r="M82" i="11"/>
  <c r="M18" i="11"/>
  <c r="O25" i="3"/>
  <c r="O93" i="11"/>
  <c r="O8" i="11"/>
  <c r="P22" i="3"/>
  <c r="T111" i="11"/>
  <c r="T90" i="11"/>
  <c r="T110" i="11"/>
  <c r="T112" i="11"/>
  <c r="D83" i="11"/>
  <c r="E123" i="11" l="1"/>
  <c r="K122" i="11"/>
  <c r="O111" i="11"/>
  <c r="O90" i="11"/>
  <c r="O110" i="11"/>
  <c r="O112" i="11"/>
  <c r="Q22" i="3"/>
  <c r="Q120" i="11"/>
  <c r="Q13" i="11"/>
  <c r="Q80" i="11"/>
  <c r="Q121" i="11"/>
  <c r="N121" i="11"/>
  <c r="N120" i="11"/>
  <c r="N80" i="11"/>
  <c r="N13" i="11"/>
  <c r="F123" i="11"/>
  <c r="F120" i="11"/>
  <c r="F80" i="11"/>
  <c r="F13" i="11"/>
  <c r="F121" i="11"/>
  <c r="K111" i="11"/>
  <c r="K110" i="11"/>
  <c r="K90" i="11"/>
  <c r="K112" i="11"/>
  <c r="O113" i="11"/>
  <c r="F110" i="11"/>
  <c r="F90" i="11"/>
  <c r="F111" i="11"/>
  <c r="F112" i="11"/>
  <c r="S123" i="11"/>
  <c r="S80" i="11"/>
  <c r="S120" i="11"/>
  <c r="S13" i="11"/>
  <c r="S121" i="11"/>
  <c r="P13" i="11"/>
  <c r="P75" i="11" s="1"/>
  <c r="P120" i="11"/>
  <c r="P80" i="11"/>
  <c r="P121" i="11"/>
  <c r="J22" i="3"/>
  <c r="S122" i="11"/>
  <c r="P122" i="11"/>
  <c r="O22" i="3"/>
  <c r="U120" i="11"/>
  <c r="U80" i="11"/>
  <c r="U13" i="11"/>
  <c r="U121" i="11"/>
  <c r="F113" i="11"/>
  <c r="R121" i="11"/>
  <c r="R80" i="11"/>
  <c r="R120" i="11"/>
  <c r="R13" i="11"/>
  <c r="M113" i="11"/>
  <c r="M90" i="11"/>
  <c r="M110" i="11"/>
  <c r="M111" i="11"/>
  <c r="M112" i="11"/>
  <c r="H120" i="11"/>
  <c r="H13" i="11"/>
  <c r="H80" i="11"/>
  <c r="H121" i="11"/>
  <c r="E110" i="11"/>
  <c r="E90" i="11"/>
  <c r="E111" i="11"/>
  <c r="E112" i="11"/>
  <c r="K22" i="3"/>
  <c r="D82" i="11"/>
  <c r="D18" i="11"/>
  <c r="D122" i="11" s="1"/>
  <c r="M120" i="11"/>
  <c r="M80" i="11"/>
  <c r="M13" i="11"/>
  <c r="M75" i="11" s="1"/>
  <c r="M121" i="11"/>
  <c r="F22" i="3"/>
  <c r="R122" i="11"/>
  <c r="E113" i="11"/>
  <c r="D25" i="3"/>
  <c r="D93" i="11"/>
  <c r="D8" i="11"/>
  <c r="U122" i="11"/>
  <c r="M22" i="3"/>
  <c r="Q123" i="11"/>
  <c r="H122" i="11"/>
  <c r="M123" i="11"/>
  <c r="H123" i="11"/>
  <c r="V82" i="11"/>
  <c r="V18" i="11"/>
  <c r="V123" i="11" s="1"/>
  <c r="M122" i="11"/>
  <c r="K120" i="11"/>
  <c r="K80" i="11"/>
  <c r="K13" i="11"/>
  <c r="K121" i="11"/>
  <c r="Q113" i="11"/>
  <c r="Q110" i="11"/>
  <c r="Q90" i="11"/>
  <c r="Q111" i="11"/>
  <c r="Q112" i="11"/>
  <c r="I120" i="11"/>
  <c r="I80" i="11"/>
  <c r="I13" i="11"/>
  <c r="I121" i="11"/>
  <c r="U123" i="11"/>
  <c r="J120" i="11"/>
  <c r="J80" i="11"/>
  <c r="J13" i="11"/>
  <c r="J75" i="11" s="1"/>
  <c r="J121" i="11"/>
  <c r="O122" i="11"/>
  <c r="O120" i="11"/>
  <c r="O80" i="11"/>
  <c r="O13" i="11"/>
  <c r="O121" i="11"/>
  <c r="E22" i="3"/>
  <c r="L120" i="11"/>
  <c r="L80" i="11"/>
  <c r="L13" i="11"/>
  <c r="L75" i="11" s="1"/>
  <c r="L121" i="11"/>
  <c r="T123" i="11"/>
  <c r="T120" i="11"/>
  <c r="T80" i="11"/>
  <c r="T13" i="11"/>
  <c r="T75" i="11" s="1"/>
  <c r="T121" i="11"/>
  <c r="V83" i="11"/>
  <c r="E120" i="11"/>
  <c r="E80" i="11"/>
  <c r="E13" i="11"/>
  <c r="E121" i="11"/>
  <c r="I122" i="11"/>
  <c r="G122" i="11"/>
  <c r="G120" i="11"/>
  <c r="G80" i="11"/>
  <c r="G13" i="11"/>
  <c r="G121" i="11"/>
  <c r="J122" i="11"/>
  <c r="N123" i="11"/>
  <c r="J111" i="11"/>
  <c r="J110" i="11"/>
  <c r="J90" i="11"/>
  <c r="J112" i="11"/>
  <c r="L122" i="11"/>
  <c r="J123" i="11"/>
  <c r="T122" i="11"/>
  <c r="T43" i="12" l="1"/>
  <c r="T23" i="12"/>
  <c r="T73" i="12" s="1"/>
  <c r="T53" i="3"/>
  <c r="T33" i="12"/>
  <c r="O75" i="11"/>
  <c r="K75" i="11"/>
  <c r="V120" i="11"/>
  <c r="V80" i="11"/>
  <c r="V13" i="11"/>
  <c r="V121" i="11"/>
  <c r="G53" i="3"/>
  <c r="G43" i="12"/>
  <c r="G23" i="12"/>
  <c r="G73" i="12" s="1"/>
  <c r="G33" i="12"/>
  <c r="U53" i="3"/>
  <c r="U23" i="12"/>
  <c r="U73" i="12" s="1"/>
  <c r="U43" i="12"/>
  <c r="U33" i="12"/>
  <c r="B81" i="11"/>
  <c r="V122" i="11"/>
  <c r="R75" i="11"/>
  <c r="N75" i="11"/>
  <c r="C83" i="11"/>
  <c r="C82" i="11"/>
  <c r="C18" i="11"/>
  <c r="C122" i="11" s="1"/>
  <c r="G75" i="11"/>
  <c r="H75" i="11"/>
  <c r="M53" i="3"/>
  <c r="M43" i="12"/>
  <c r="M23" i="12"/>
  <c r="M73" i="12" s="1"/>
  <c r="M33" i="12"/>
  <c r="E75" i="11"/>
  <c r="N53" i="3"/>
  <c r="N23" i="12"/>
  <c r="N73" i="12" s="1"/>
  <c r="N33" i="12"/>
  <c r="N43" i="12"/>
  <c r="D123" i="11"/>
  <c r="D80" i="11"/>
  <c r="D120" i="11"/>
  <c r="D13" i="11"/>
  <c r="D75" i="11" s="1"/>
  <c r="D121" i="11"/>
  <c r="S75" i="11"/>
  <c r="D113" i="11"/>
  <c r="D110" i="11"/>
  <c r="D90" i="11"/>
  <c r="D111" i="11"/>
  <c r="D112" i="11"/>
  <c r="F75" i="11"/>
  <c r="B24" i="3"/>
  <c r="B92" i="11"/>
  <c r="I75" i="11"/>
  <c r="L23" i="12"/>
  <c r="L73" i="12" s="1"/>
  <c r="L53" i="3"/>
  <c r="L33" i="12"/>
  <c r="L43" i="12"/>
  <c r="D22" i="3"/>
  <c r="C25" i="3"/>
  <c r="C93" i="11"/>
  <c r="C8" i="11"/>
  <c r="C113" i="11" s="1"/>
  <c r="U75" i="11"/>
  <c r="Q75" i="11"/>
  <c r="F53" i="3"/>
  <c r="F43" i="12"/>
  <c r="F23" i="12"/>
  <c r="F73" i="12" s="1"/>
  <c r="F33" i="12"/>
  <c r="B8" i="11"/>
  <c r="B112" i="11" l="1"/>
  <c r="B90" i="11"/>
  <c r="B110" i="11"/>
  <c r="B111" i="11"/>
  <c r="N33" i="13"/>
  <c r="N43" i="13"/>
  <c r="N74" i="3"/>
  <c r="M25" i="14"/>
  <c r="M19" i="12"/>
  <c r="M69" i="12" s="1"/>
  <c r="M4" i="12"/>
  <c r="M39" i="12"/>
  <c r="M29" i="12"/>
  <c r="M44" i="3"/>
  <c r="L19" i="12"/>
  <c r="L69" i="12" s="1"/>
  <c r="L29" i="12"/>
  <c r="L4" i="12"/>
  <c r="L39" i="12"/>
  <c r="L44" i="3"/>
  <c r="L25" i="14"/>
  <c r="B101" i="11"/>
  <c r="M4" i="13"/>
  <c r="M33" i="13"/>
  <c r="M43" i="13"/>
  <c r="M74" i="3"/>
  <c r="F205" i="3"/>
  <c r="C120" i="11"/>
  <c r="C80" i="11"/>
  <c r="C13" i="11"/>
  <c r="C75" i="11" s="1"/>
  <c r="C121" i="11"/>
  <c r="N25" i="14"/>
  <c r="N19" i="12"/>
  <c r="N69" i="12" s="1"/>
  <c r="N29" i="12"/>
  <c r="N39" i="12"/>
  <c r="N44" i="3"/>
  <c r="G205" i="3"/>
  <c r="U4" i="13"/>
  <c r="U33" i="13"/>
  <c r="U43" i="13"/>
  <c r="U74" i="3"/>
  <c r="C22" i="3"/>
  <c r="E53" i="3"/>
  <c r="E33" i="12"/>
  <c r="E23" i="12"/>
  <c r="E73" i="12" s="1"/>
  <c r="E43" i="12"/>
  <c r="G83" i="3"/>
  <c r="G37" i="13"/>
  <c r="G47" i="13"/>
  <c r="L83" i="3"/>
  <c r="L47" i="13"/>
  <c r="L37" i="13"/>
  <c r="O53" i="3"/>
  <c r="O23" i="12"/>
  <c r="O73" i="12" s="1"/>
  <c r="O43" i="12"/>
  <c r="O33" i="12"/>
  <c r="L205" i="3"/>
  <c r="N205" i="3"/>
  <c r="V53" i="3"/>
  <c r="V43" i="12"/>
  <c r="V23" i="12"/>
  <c r="V73" i="12" s="1"/>
  <c r="V33" i="12"/>
  <c r="U205" i="3"/>
  <c r="V75" i="11"/>
  <c r="F83" i="3"/>
  <c r="F37" i="13"/>
  <c r="F47" i="13"/>
  <c r="N4" i="12"/>
  <c r="C123" i="11"/>
  <c r="T205" i="3"/>
  <c r="U29" i="12"/>
  <c r="U25" i="14"/>
  <c r="U4" i="12"/>
  <c r="U19" i="12"/>
  <c r="U69" i="12" s="1"/>
  <c r="U39" i="12"/>
  <c r="U44" i="3"/>
  <c r="M83" i="3"/>
  <c r="M37" i="13"/>
  <c r="M47" i="13"/>
  <c r="N4" i="13"/>
  <c r="N37" i="13"/>
  <c r="N47" i="13"/>
  <c r="N83" i="3"/>
  <c r="H53" i="3"/>
  <c r="H33" i="12"/>
  <c r="H43" i="12"/>
  <c r="H23" i="12"/>
  <c r="H73" i="12" s="1"/>
  <c r="U83" i="3"/>
  <c r="U47" i="13"/>
  <c r="U37" i="13"/>
  <c r="L4" i="13"/>
  <c r="L43" i="13"/>
  <c r="L33" i="13"/>
  <c r="L74" i="3"/>
  <c r="T43" i="13"/>
  <c r="T33" i="13"/>
  <c r="T4" i="13"/>
  <c r="T74" i="3"/>
  <c r="B25" i="3"/>
  <c r="B22" i="3" s="1"/>
  <c r="B93" i="11"/>
  <c r="B113" i="11"/>
  <c r="T83" i="3"/>
  <c r="T47" i="13"/>
  <c r="T37" i="13"/>
  <c r="M205" i="3"/>
  <c r="C112" i="11"/>
  <c r="C110" i="11"/>
  <c r="C90" i="11"/>
  <c r="C111" i="11"/>
  <c r="U235" i="3" l="1"/>
  <c r="M235" i="3"/>
  <c r="T25" i="14"/>
  <c r="T29" i="12"/>
  <c r="T4" i="12"/>
  <c r="T18" i="13" s="1"/>
  <c r="T39" i="12"/>
  <c r="T44" i="3"/>
  <c r="T19" i="12"/>
  <c r="T69" i="12" s="1"/>
  <c r="D33" i="12"/>
  <c r="D23" i="12"/>
  <c r="D73" i="12" s="1"/>
  <c r="D53" i="3"/>
  <c r="D43" i="12"/>
  <c r="M18" i="13"/>
  <c r="O4" i="13"/>
  <c r="O33" i="13"/>
  <c r="O43" i="13"/>
  <c r="O74" i="3"/>
  <c r="U196" i="3"/>
  <c r="F235" i="3"/>
  <c r="L235" i="3"/>
  <c r="H37" i="13"/>
  <c r="H47" i="13"/>
  <c r="H83" i="3"/>
  <c r="V37" i="13"/>
  <c r="V83" i="3"/>
  <c r="V47" i="13"/>
  <c r="E83" i="3"/>
  <c r="E47" i="13"/>
  <c r="E37" i="13"/>
  <c r="E25" i="14"/>
  <c r="E4" i="12"/>
  <c r="E19" i="12"/>
  <c r="E69" i="12" s="1"/>
  <c r="E29" i="12"/>
  <c r="E39" i="12"/>
  <c r="E44" i="3"/>
  <c r="T235" i="3"/>
  <c r="G25" i="14"/>
  <c r="G29" i="12"/>
  <c r="G4" i="12"/>
  <c r="G19" i="12"/>
  <c r="G69" i="12" s="1"/>
  <c r="G39" i="12"/>
  <c r="G44" i="3"/>
  <c r="F33" i="13"/>
  <c r="F4" i="13"/>
  <c r="F43" i="13"/>
  <c r="F74" i="3"/>
  <c r="O83" i="3"/>
  <c r="O47" i="13"/>
  <c r="O37" i="13"/>
  <c r="G4" i="13"/>
  <c r="G43" i="13"/>
  <c r="G33" i="13"/>
  <c r="G74" i="3"/>
  <c r="B83" i="11"/>
  <c r="L18" i="13"/>
  <c r="I23" i="12"/>
  <c r="I73" i="12" s="1"/>
  <c r="I53" i="3"/>
  <c r="I33" i="12"/>
  <c r="I43" i="12"/>
  <c r="V4" i="12"/>
  <c r="V19" i="12"/>
  <c r="V69" i="12" s="1"/>
  <c r="V29" i="12"/>
  <c r="V39" i="12"/>
  <c r="V44" i="3"/>
  <c r="V25" i="14"/>
  <c r="E205" i="3"/>
  <c r="F44" i="12"/>
  <c r="F54" i="3"/>
  <c r="F24" i="12"/>
  <c r="F74" i="12" s="1"/>
  <c r="F34" i="12"/>
  <c r="U18" i="13"/>
  <c r="M196" i="3"/>
  <c r="N18" i="13"/>
  <c r="O205" i="3"/>
  <c r="H4" i="12"/>
  <c r="H25" i="14"/>
  <c r="H39" i="12"/>
  <c r="H19" i="12"/>
  <c r="H69" i="12" s="1"/>
  <c r="H29" i="12"/>
  <c r="H44" i="3"/>
  <c r="L196" i="3"/>
  <c r="N226" i="3"/>
  <c r="E4" i="13"/>
  <c r="E43" i="13"/>
  <c r="E33" i="13"/>
  <c r="E74" i="3"/>
  <c r="B82" i="11"/>
  <c r="B18" i="11"/>
  <c r="L226" i="3"/>
  <c r="H205" i="3"/>
  <c r="O25" i="14"/>
  <c r="O4" i="12"/>
  <c r="O19" i="12"/>
  <c r="O69" i="12" s="1"/>
  <c r="O39" i="12"/>
  <c r="O29" i="12"/>
  <c r="O44" i="3"/>
  <c r="F25" i="14"/>
  <c r="F19" i="12"/>
  <c r="F69" i="12" s="1"/>
  <c r="F39" i="12"/>
  <c r="F29" i="12"/>
  <c r="F44" i="3"/>
  <c r="F4" i="12"/>
  <c r="U226" i="3"/>
  <c r="N196" i="3"/>
  <c r="H43" i="13"/>
  <c r="H33" i="13"/>
  <c r="H4" i="13"/>
  <c r="H74" i="3"/>
  <c r="T226" i="3"/>
  <c r="V205" i="3"/>
  <c r="G235" i="3"/>
  <c r="M226" i="3"/>
  <c r="C101" i="11"/>
  <c r="V4" i="13"/>
  <c r="V43" i="13"/>
  <c r="V33" i="13"/>
  <c r="V74" i="3"/>
  <c r="N235" i="3"/>
  <c r="P53" i="3"/>
  <c r="P23" i="12"/>
  <c r="P73" i="12" s="1"/>
  <c r="P43" i="12"/>
  <c r="P33" i="12"/>
  <c r="I37" i="13" l="1"/>
  <c r="I83" i="3"/>
  <c r="I47" i="13"/>
  <c r="N84" i="3"/>
  <c r="N38" i="13"/>
  <c r="N48" i="13"/>
  <c r="N10" i="13"/>
  <c r="N26" i="13" s="1"/>
  <c r="T85" i="3"/>
  <c r="T49" i="13"/>
  <c r="T39" i="13"/>
  <c r="G196" i="3"/>
  <c r="V235" i="3"/>
  <c r="L44" i="13"/>
  <c r="L34" i="13"/>
  <c r="L75" i="3"/>
  <c r="L6" i="13"/>
  <c r="L22" i="13" s="1"/>
  <c r="G85" i="3"/>
  <c r="G39" i="13"/>
  <c r="G49" i="13"/>
  <c r="N34" i="13"/>
  <c r="N44" i="13"/>
  <c r="N75" i="3"/>
  <c r="F27" i="14"/>
  <c r="F21" i="12"/>
  <c r="F71" i="12" s="1"/>
  <c r="F31" i="12"/>
  <c r="F41" i="12"/>
  <c r="F46" i="3"/>
  <c r="K43" i="12"/>
  <c r="K33" i="12"/>
  <c r="K53" i="3"/>
  <c r="K23" i="12"/>
  <c r="K73" i="12" s="1"/>
  <c r="J53" i="3"/>
  <c r="J23" i="12"/>
  <c r="J73" i="12" s="1"/>
  <c r="J43" i="12"/>
  <c r="J33" i="12"/>
  <c r="H44" i="12"/>
  <c r="H34" i="12"/>
  <c r="H54" i="3"/>
  <c r="H24" i="12"/>
  <c r="H74" i="12" s="1"/>
  <c r="L35" i="13"/>
  <c r="L45" i="13"/>
  <c r="L76" i="3"/>
  <c r="U44" i="13"/>
  <c r="U34" i="13"/>
  <c r="U75" i="3"/>
  <c r="B103" i="11"/>
  <c r="V226" i="3"/>
  <c r="G5" i="12"/>
  <c r="G3" i="12" s="1"/>
  <c r="G20" i="12"/>
  <c r="G70" i="12" s="1"/>
  <c r="G30" i="12"/>
  <c r="G40" i="12"/>
  <c r="G26" i="14"/>
  <c r="G45" i="3"/>
  <c r="N21" i="12"/>
  <c r="N71" i="12" s="1"/>
  <c r="N31" i="12"/>
  <c r="N41" i="12"/>
  <c r="N46" i="3"/>
  <c r="N27" i="14"/>
  <c r="P83" i="3"/>
  <c r="P37" i="13"/>
  <c r="P47" i="13"/>
  <c r="M54" i="3"/>
  <c r="M24" i="12"/>
  <c r="M74" i="12" s="1"/>
  <c r="M34" i="12"/>
  <c r="M44" i="12"/>
  <c r="M10" i="12"/>
  <c r="U20" i="12"/>
  <c r="U70" i="12" s="1"/>
  <c r="U26" i="14"/>
  <c r="U40" i="12"/>
  <c r="U30" i="12"/>
  <c r="U45" i="3"/>
  <c r="U6" i="12"/>
  <c r="E18" i="13"/>
  <c r="L54" i="3"/>
  <c r="L24" i="12"/>
  <c r="L74" i="12" s="1"/>
  <c r="L44" i="12"/>
  <c r="L34" i="12"/>
  <c r="L10" i="12"/>
  <c r="T26" i="14"/>
  <c r="T20" i="12"/>
  <c r="T70" i="12" s="1"/>
  <c r="T40" i="12"/>
  <c r="T30" i="12"/>
  <c r="T45" i="3"/>
  <c r="F18" i="13"/>
  <c r="E235" i="3"/>
  <c r="L21" i="12"/>
  <c r="L71" i="12" s="1"/>
  <c r="L27" i="14"/>
  <c r="L41" i="12"/>
  <c r="L31" i="12"/>
  <c r="L46" i="3"/>
  <c r="O226" i="3"/>
  <c r="D83" i="3"/>
  <c r="D47" i="13"/>
  <c r="D37" i="13"/>
  <c r="P43" i="13"/>
  <c r="P33" i="13"/>
  <c r="P4" i="13"/>
  <c r="P74" i="3"/>
  <c r="T84" i="3"/>
  <c r="T48" i="13"/>
  <c r="T38" i="13"/>
  <c r="T10" i="13"/>
  <c r="T26" i="13" s="1"/>
  <c r="L84" i="3"/>
  <c r="L48" i="13"/>
  <c r="L38" i="13"/>
  <c r="U48" i="13"/>
  <c r="U38" i="13"/>
  <c r="U84" i="3"/>
  <c r="G34" i="13"/>
  <c r="G44" i="13"/>
  <c r="G75" i="3"/>
  <c r="L55" i="3"/>
  <c r="L25" i="12"/>
  <c r="L75" i="12" s="1"/>
  <c r="L35" i="12"/>
  <c r="L45" i="12"/>
  <c r="T55" i="3"/>
  <c r="T35" i="12"/>
  <c r="T45" i="12"/>
  <c r="T25" i="12"/>
  <c r="T75" i="12" s="1"/>
  <c r="B122" i="11"/>
  <c r="B120" i="11"/>
  <c r="B80" i="11"/>
  <c r="B13" i="11"/>
  <c r="B75" i="11" s="1"/>
  <c r="B121" i="11"/>
  <c r="N54" i="3"/>
  <c r="N24" i="12"/>
  <c r="N74" i="12" s="1"/>
  <c r="N44" i="12"/>
  <c r="N34" i="12"/>
  <c r="N10" i="12"/>
  <c r="V196" i="3"/>
  <c r="B123" i="11"/>
  <c r="O235" i="3"/>
  <c r="G6" i="12"/>
  <c r="E196" i="3"/>
  <c r="D33" i="13"/>
  <c r="D4" i="13"/>
  <c r="D43" i="13"/>
  <c r="D74" i="3"/>
  <c r="T44" i="13"/>
  <c r="T34" i="13"/>
  <c r="T75" i="3"/>
  <c r="T5" i="12"/>
  <c r="F84" i="3"/>
  <c r="F48" i="13"/>
  <c r="F38" i="13"/>
  <c r="L26" i="14"/>
  <c r="L40" i="12"/>
  <c r="L30" i="12"/>
  <c r="L5" i="12"/>
  <c r="L20" i="12"/>
  <c r="L70" i="12" s="1"/>
  <c r="L45" i="3"/>
  <c r="L6" i="12"/>
  <c r="H226" i="3"/>
  <c r="U27" i="14"/>
  <c r="U21" i="12"/>
  <c r="U71" i="12" s="1"/>
  <c r="U41" i="12"/>
  <c r="U31" i="12"/>
  <c r="U46" i="3"/>
  <c r="G18" i="13"/>
  <c r="H235" i="3"/>
  <c r="D205" i="3"/>
  <c r="T196" i="3"/>
  <c r="E54" i="3"/>
  <c r="E24" i="12"/>
  <c r="E74" i="12" s="1"/>
  <c r="E44" i="12"/>
  <c r="E34" i="12"/>
  <c r="N85" i="3"/>
  <c r="N49" i="13"/>
  <c r="N39" i="13"/>
  <c r="G84" i="3"/>
  <c r="G38" i="13"/>
  <c r="G48" i="13"/>
  <c r="G10" i="13"/>
  <c r="G26" i="13" s="1"/>
  <c r="C53" i="3"/>
  <c r="C43" i="12"/>
  <c r="C23" i="12"/>
  <c r="C73" i="12" s="1"/>
  <c r="C33" i="12"/>
  <c r="F196" i="3"/>
  <c r="O18" i="13"/>
  <c r="E226" i="3"/>
  <c r="F206" i="3"/>
  <c r="G226" i="3"/>
  <c r="F226" i="3"/>
  <c r="D101" i="11"/>
  <c r="B102" i="11"/>
  <c r="B48" i="11"/>
  <c r="P205" i="3"/>
  <c r="V18" i="13"/>
  <c r="T54" i="3"/>
  <c r="T24" i="12"/>
  <c r="T74" i="12" s="1"/>
  <c r="T44" i="12"/>
  <c r="T34" i="12"/>
  <c r="T10" i="12"/>
  <c r="H18" i="13"/>
  <c r="O196" i="3"/>
  <c r="Q43" i="12"/>
  <c r="Q33" i="12"/>
  <c r="Q53" i="3"/>
  <c r="Q23" i="12"/>
  <c r="Q73" i="12" s="1"/>
  <c r="G41" i="12"/>
  <c r="G21" i="12"/>
  <c r="G71" i="12" s="1"/>
  <c r="G31" i="12"/>
  <c r="G27" i="14"/>
  <c r="G46" i="3"/>
  <c r="H196" i="3"/>
  <c r="G54" i="3"/>
  <c r="G24" i="12"/>
  <c r="G74" i="12" s="1"/>
  <c r="G34" i="12"/>
  <c r="G44" i="12"/>
  <c r="G10" i="12"/>
  <c r="I205" i="3"/>
  <c r="G55" i="3"/>
  <c r="G45" i="12"/>
  <c r="G35" i="12"/>
  <c r="G25" i="12"/>
  <c r="G75" i="12" s="1"/>
  <c r="D19" i="12"/>
  <c r="D69" i="12" s="1"/>
  <c r="D25" i="14"/>
  <c r="D29" i="12"/>
  <c r="D39" i="12"/>
  <c r="D4" i="12"/>
  <c r="D44" i="3"/>
  <c r="N5" i="12"/>
  <c r="N26" i="14"/>
  <c r="N30" i="12"/>
  <c r="N20" i="12"/>
  <c r="N70" i="12" s="1"/>
  <c r="N40" i="12"/>
  <c r="N45" i="3"/>
  <c r="N6" i="12"/>
  <c r="U10" i="13"/>
  <c r="U26" i="13" s="1"/>
  <c r="L10" i="13"/>
  <c r="L26" i="13" s="1"/>
  <c r="N5" i="13"/>
  <c r="G50" i="12" l="1"/>
  <c r="G55" i="12"/>
  <c r="G54" i="12"/>
  <c r="U5" i="13"/>
  <c r="L36" i="13"/>
  <c r="L46" i="13"/>
  <c r="T3" i="12"/>
  <c r="N19" i="13"/>
  <c r="N3" i="13"/>
  <c r="N21" i="13" s="1"/>
  <c r="U36" i="13"/>
  <c r="U46" i="13"/>
  <c r="U3" i="13"/>
  <c r="U21" i="13" s="1"/>
  <c r="C102" i="11"/>
  <c r="U198" i="3"/>
  <c r="D18" i="13"/>
  <c r="N206" i="3"/>
  <c r="T236" i="3"/>
  <c r="T82" i="3"/>
  <c r="M42" i="12"/>
  <c r="M32" i="12"/>
  <c r="M22" i="12"/>
  <c r="M72" i="12" s="1"/>
  <c r="H206" i="3"/>
  <c r="K205" i="3"/>
  <c r="O55" i="3"/>
  <c r="O25" i="12"/>
  <c r="O75" i="12" s="1"/>
  <c r="O45" i="12"/>
  <c r="O35" i="12"/>
  <c r="L227" i="3"/>
  <c r="L73" i="3"/>
  <c r="C83" i="3"/>
  <c r="C47" i="13"/>
  <c r="C37" i="13"/>
  <c r="L85" i="3"/>
  <c r="L39" i="13"/>
  <c r="L49" i="13"/>
  <c r="F45" i="13"/>
  <c r="F35" i="13"/>
  <c r="F76" i="3"/>
  <c r="F85" i="3"/>
  <c r="F39" i="13"/>
  <c r="F49" i="13"/>
  <c r="I4" i="13"/>
  <c r="I43" i="13"/>
  <c r="I33" i="13"/>
  <c r="I74" i="3"/>
  <c r="C33" i="13"/>
  <c r="C4" i="13"/>
  <c r="C43" i="13"/>
  <c r="C74" i="3"/>
  <c r="N3" i="12"/>
  <c r="G236" i="3"/>
  <c r="G82" i="3"/>
  <c r="L38" i="12"/>
  <c r="L28" i="12"/>
  <c r="L18" i="12"/>
  <c r="L68" i="12" s="1"/>
  <c r="L24" i="14"/>
  <c r="F10" i="13"/>
  <c r="F26" i="13" s="1"/>
  <c r="L207" i="3"/>
  <c r="U28" i="12"/>
  <c r="U18" i="12"/>
  <c r="U68" i="12" s="1"/>
  <c r="U38" i="12"/>
  <c r="U24" i="14"/>
  <c r="S53" i="3"/>
  <c r="S23" i="12"/>
  <c r="S73" i="12" s="1"/>
  <c r="S43" i="12"/>
  <c r="S33" i="12"/>
  <c r="V40" i="12"/>
  <c r="V30" i="12"/>
  <c r="V20" i="12"/>
  <c r="V70" i="12" s="1"/>
  <c r="V45" i="3"/>
  <c r="V26" i="14"/>
  <c r="G197" i="3"/>
  <c r="F5" i="12"/>
  <c r="F40" i="12"/>
  <c r="F30" i="12"/>
  <c r="F20" i="12"/>
  <c r="F70" i="12" s="1"/>
  <c r="F45" i="3"/>
  <c r="F26" i="14"/>
  <c r="F6" i="12"/>
  <c r="U55" i="3"/>
  <c r="U35" i="12"/>
  <c r="U25" i="12"/>
  <c r="U75" i="12" s="1"/>
  <c r="U45" i="12"/>
  <c r="R53" i="3"/>
  <c r="R23" i="12"/>
  <c r="R73" i="12" s="1"/>
  <c r="R33" i="12"/>
  <c r="R43" i="12"/>
  <c r="N28" i="12"/>
  <c r="N18" i="12"/>
  <c r="N68" i="12" s="1"/>
  <c r="N38" i="12"/>
  <c r="N24" i="14"/>
  <c r="G32" i="12"/>
  <c r="G42" i="12"/>
  <c r="G22" i="12"/>
  <c r="G72" i="12" s="1"/>
  <c r="G52" i="12"/>
  <c r="L197" i="3"/>
  <c r="L43" i="3"/>
  <c r="U54" i="3"/>
  <c r="U24" i="12"/>
  <c r="U74" i="12" s="1"/>
  <c r="U34" i="12"/>
  <c r="U44" i="12"/>
  <c r="U10" i="12"/>
  <c r="G28" i="12"/>
  <c r="G48" i="12"/>
  <c r="G38" i="12"/>
  <c r="G18" i="12"/>
  <c r="G68" i="12" s="1"/>
  <c r="G24" i="14"/>
  <c r="B43" i="12"/>
  <c r="B23" i="12"/>
  <c r="B73" i="12" s="1"/>
  <c r="B33" i="12"/>
  <c r="B53" i="3"/>
  <c r="D235" i="3"/>
  <c r="U197" i="3"/>
  <c r="U43" i="3"/>
  <c r="M55" i="3"/>
  <c r="M45" i="12"/>
  <c r="M35" i="12"/>
  <c r="M25" i="12"/>
  <c r="M75" i="12" s="1"/>
  <c r="G43" i="3"/>
  <c r="I235" i="3"/>
  <c r="N45" i="13"/>
  <c r="N35" i="13"/>
  <c r="N55" i="13"/>
  <c r="N76" i="3"/>
  <c r="V84" i="3"/>
  <c r="V48" i="13"/>
  <c r="V38" i="13"/>
  <c r="J83" i="3"/>
  <c r="J47" i="13"/>
  <c r="J37" i="13"/>
  <c r="Q43" i="13"/>
  <c r="Q4" i="13"/>
  <c r="Q33" i="13"/>
  <c r="Q74" i="3"/>
  <c r="N197" i="3"/>
  <c r="N43" i="3"/>
  <c r="D196" i="3"/>
  <c r="G37" i="12"/>
  <c r="G17" i="12"/>
  <c r="G67" i="12" s="1"/>
  <c r="G47" i="12"/>
  <c r="G53" i="12"/>
  <c r="G49" i="12"/>
  <c r="N42" i="12"/>
  <c r="N22" i="12"/>
  <c r="N72" i="12" s="1"/>
  <c r="N32" i="12"/>
  <c r="T207" i="3"/>
  <c r="T36" i="13"/>
  <c r="T46" i="13"/>
  <c r="L198" i="3"/>
  <c r="L206" i="3"/>
  <c r="L52" i="3"/>
  <c r="N198" i="3"/>
  <c r="N6" i="13"/>
  <c r="N22" i="13" s="1"/>
  <c r="F5" i="13"/>
  <c r="F34" i="13"/>
  <c r="F44" i="13"/>
  <c r="F75" i="3"/>
  <c r="F6" i="13"/>
  <c r="F22" i="13" s="1"/>
  <c r="V45" i="13"/>
  <c r="V35" i="13"/>
  <c r="V76" i="3"/>
  <c r="O85" i="3"/>
  <c r="O39" i="13"/>
  <c r="O49" i="13"/>
  <c r="H45" i="13"/>
  <c r="H35" i="13"/>
  <c r="H76" i="3"/>
  <c r="Q83" i="3"/>
  <c r="Q47" i="13"/>
  <c r="Q37" i="13"/>
  <c r="M45" i="13"/>
  <c r="M35" i="13"/>
  <c r="M76" i="3"/>
  <c r="O84" i="3"/>
  <c r="O38" i="13"/>
  <c r="O48" i="13"/>
  <c r="O10" i="13"/>
  <c r="O26" i="13" s="1"/>
  <c r="G198" i="3"/>
  <c r="Q205" i="3"/>
  <c r="T206" i="3"/>
  <c r="T52" i="3"/>
  <c r="P4" i="12"/>
  <c r="P29" i="12"/>
  <c r="P19" i="12"/>
  <c r="P69" i="12" s="1"/>
  <c r="P25" i="14"/>
  <c r="P39" i="12"/>
  <c r="P44" i="3"/>
  <c r="G36" i="13"/>
  <c r="G46" i="13"/>
  <c r="T41" i="12"/>
  <c r="T27" i="14"/>
  <c r="T21" i="12"/>
  <c r="T71" i="12" s="1"/>
  <c r="T31" i="12"/>
  <c r="T46" i="3"/>
  <c r="G227" i="3"/>
  <c r="U236" i="3"/>
  <c r="V54" i="3"/>
  <c r="V34" i="12"/>
  <c r="V24" i="12"/>
  <c r="V74" i="12" s="1"/>
  <c r="V44" i="12"/>
  <c r="P235" i="3"/>
  <c r="N55" i="3"/>
  <c r="N45" i="12"/>
  <c r="N35" i="12"/>
  <c r="N25" i="12"/>
  <c r="N75" i="12" s="1"/>
  <c r="M26" i="14"/>
  <c r="M20" i="12"/>
  <c r="M70" i="12" s="1"/>
  <c r="M40" i="12"/>
  <c r="M30" i="12"/>
  <c r="M45" i="3"/>
  <c r="M6" i="12"/>
  <c r="J205" i="3"/>
  <c r="F198" i="3"/>
  <c r="N227" i="3"/>
  <c r="O20" i="12"/>
  <c r="O70" i="12" s="1"/>
  <c r="O40" i="12"/>
  <c r="O5" i="12"/>
  <c r="O30" i="12"/>
  <c r="O45" i="3"/>
  <c r="O26" i="14"/>
  <c r="O6" i="12"/>
  <c r="N236" i="3"/>
  <c r="N82" i="3"/>
  <c r="E44" i="13"/>
  <c r="E34" i="13"/>
  <c r="E75" i="3"/>
  <c r="M85" i="3"/>
  <c r="M49" i="13"/>
  <c r="M39" i="13"/>
  <c r="E101" i="11"/>
  <c r="G51" i="12"/>
  <c r="E30" i="12"/>
  <c r="E40" i="12"/>
  <c r="E20" i="12"/>
  <c r="E70" i="12" s="1"/>
  <c r="E26" i="14"/>
  <c r="E45" i="3"/>
  <c r="I4" i="12"/>
  <c r="I39" i="12"/>
  <c r="I29" i="12"/>
  <c r="I19" i="12"/>
  <c r="I69" i="12" s="1"/>
  <c r="I25" i="14"/>
  <c r="I44" i="3"/>
  <c r="E206" i="3"/>
  <c r="L3" i="12"/>
  <c r="D226" i="3"/>
  <c r="L236" i="3"/>
  <c r="L82" i="3"/>
  <c r="M206" i="3"/>
  <c r="M52" i="3"/>
  <c r="F55" i="3"/>
  <c r="F35" i="12"/>
  <c r="F45" i="12"/>
  <c r="F25" i="12"/>
  <c r="F75" i="12" s="1"/>
  <c r="F10" i="12"/>
  <c r="O54" i="3"/>
  <c r="O34" i="12"/>
  <c r="O24" i="12"/>
  <c r="O74" i="12" s="1"/>
  <c r="O44" i="12"/>
  <c r="O10" i="12"/>
  <c r="L5" i="13"/>
  <c r="O21" i="12"/>
  <c r="O71" i="12" s="1"/>
  <c r="O31" i="12"/>
  <c r="O27" i="14"/>
  <c r="O41" i="12"/>
  <c r="O46" i="3"/>
  <c r="U35" i="13"/>
  <c r="U45" i="13"/>
  <c r="U76" i="3"/>
  <c r="U73" i="3" s="1"/>
  <c r="O35" i="13"/>
  <c r="O45" i="13"/>
  <c r="O76" i="3"/>
  <c r="C103" i="11"/>
  <c r="V44" i="13"/>
  <c r="V34" i="13"/>
  <c r="V75" i="3"/>
  <c r="V6" i="13"/>
  <c r="V22" i="13" s="1"/>
  <c r="U85" i="3"/>
  <c r="U49" i="13"/>
  <c r="U39" i="13"/>
  <c r="G207" i="3"/>
  <c r="B43" i="11"/>
  <c r="B95" i="11" s="1"/>
  <c r="B100" i="11"/>
  <c r="C205" i="3"/>
  <c r="F236" i="3"/>
  <c r="M5" i="12"/>
  <c r="M21" i="12"/>
  <c r="M71" i="12" s="1"/>
  <c r="M41" i="12"/>
  <c r="M31" i="12"/>
  <c r="M46" i="3"/>
  <c r="M27" i="14"/>
  <c r="P226" i="3"/>
  <c r="L32" i="12"/>
  <c r="L22" i="12"/>
  <c r="L72" i="12" s="1"/>
  <c r="L42" i="12"/>
  <c r="U6" i="13"/>
  <c r="U22" i="13" s="1"/>
  <c r="M84" i="3"/>
  <c r="M48" i="13"/>
  <c r="M38" i="13"/>
  <c r="M10" i="13"/>
  <c r="M26" i="13" s="1"/>
  <c r="G237" i="3"/>
  <c r="T237" i="3"/>
  <c r="T6" i="12"/>
  <c r="K83" i="3"/>
  <c r="K47" i="13"/>
  <c r="K37" i="13"/>
  <c r="H44" i="13"/>
  <c r="H34" i="13"/>
  <c r="H75" i="3"/>
  <c r="H6" i="13"/>
  <c r="H22" i="13" s="1"/>
  <c r="G206" i="3"/>
  <c r="G52" i="3"/>
  <c r="T42" i="12"/>
  <c r="T32" i="12"/>
  <c r="T22" i="12"/>
  <c r="T72" i="12" s="1"/>
  <c r="N237" i="3"/>
  <c r="T227" i="3"/>
  <c r="T197" i="3"/>
  <c r="U5" i="12"/>
  <c r="U19" i="13" s="1"/>
  <c r="U227" i="3"/>
  <c r="L228" i="3"/>
  <c r="L32" i="13"/>
  <c r="L42" i="13"/>
  <c r="N36" i="13"/>
  <c r="N46" i="13"/>
  <c r="N56" i="13"/>
  <c r="H5" i="13"/>
  <c r="L52" i="12" l="1"/>
  <c r="N55" i="12"/>
  <c r="T51" i="12"/>
  <c r="N73" i="3"/>
  <c r="F82" i="3"/>
  <c r="F234" i="3" s="1"/>
  <c r="N52" i="3"/>
  <c r="N48" i="12"/>
  <c r="N52" i="12"/>
  <c r="H3" i="13"/>
  <c r="H21" i="13" s="1"/>
  <c r="S83" i="3"/>
  <c r="S37" i="13"/>
  <c r="S47" i="13"/>
  <c r="I34" i="13"/>
  <c r="I44" i="13"/>
  <c r="I75" i="3"/>
  <c r="K4" i="13"/>
  <c r="K43" i="13"/>
  <c r="K33" i="13"/>
  <c r="K74" i="3"/>
  <c r="I84" i="3"/>
  <c r="I48" i="13"/>
  <c r="I38" i="13"/>
  <c r="T28" i="12"/>
  <c r="T18" i="12"/>
  <c r="T68" i="12" s="1"/>
  <c r="T24" i="14"/>
  <c r="T38" i="12"/>
  <c r="T48" i="12"/>
  <c r="M236" i="3"/>
  <c r="M82" i="3"/>
  <c r="M198" i="3"/>
  <c r="O237" i="3"/>
  <c r="V21" i="12"/>
  <c r="V71" i="12" s="1"/>
  <c r="V41" i="12"/>
  <c r="V31" i="12"/>
  <c r="V46" i="3"/>
  <c r="V27" i="14"/>
  <c r="R205" i="3"/>
  <c r="F24" i="14"/>
  <c r="F18" i="12"/>
  <c r="F68" i="12" s="1"/>
  <c r="F38" i="12"/>
  <c r="F28" i="12"/>
  <c r="O207" i="3"/>
  <c r="E55" i="3"/>
  <c r="E25" i="12"/>
  <c r="E75" i="12" s="1"/>
  <c r="E45" i="12"/>
  <c r="E35" i="12"/>
  <c r="E10" i="12"/>
  <c r="U57" i="13"/>
  <c r="U51" i="13"/>
  <c r="U41" i="13"/>
  <c r="U53" i="13"/>
  <c r="U58" i="13"/>
  <c r="U54" i="13"/>
  <c r="D44" i="13"/>
  <c r="D34" i="13"/>
  <c r="D75" i="3"/>
  <c r="P5" i="12"/>
  <c r="B47" i="13"/>
  <c r="B37" i="13"/>
  <c r="B83" i="3"/>
  <c r="G204" i="3"/>
  <c r="E21" i="12"/>
  <c r="E71" i="12" s="1"/>
  <c r="E41" i="12"/>
  <c r="E27" i="14"/>
  <c r="E31" i="12"/>
  <c r="E46" i="3"/>
  <c r="O28" i="12"/>
  <c r="O24" i="14"/>
  <c r="O38" i="12"/>
  <c r="O18" i="12"/>
  <c r="O68" i="12" s="1"/>
  <c r="V228" i="3"/>
  <c r="F32" i="13"/>
  <c r="F42" i="13"/>
  <c r="U42" i="12"/>
  <c r="U32" i="12"/>
  <c r="U22" i="12"/>
  <c r="U72" i="12" s="1"/>
  <c r="V5" i="12"/>
  <c r="F46" i="13"/>
  <c r="F36" i="13"/>
  <c r="N47" i="12"/>
  <c r="N37" i="12"/>
  <c r="N17" i="12"/>
  <c r="N67" i="12" s="1"/>
  <c r="N53" i="12"/>
  <c r="N49" i="12"/>
  <c r="N51" i="12"/>
  <c r="N54" i="12"/>
  <c r="N50" i="12"/>
  <c r="F228" i="3"/>
  <c r="C235" i="3"/>
  <c r="L225" i="3"/>
  <c r="P84" i="3"/>
  <c r="P48" i="13"/>
  <c r="P38" i="13"/>
  <c r="P10" i="12"/>
  <c r="I54" i="3"/>
  <c r="I44" i="12"/>
  <c r="I24" i="12"/>
  <c r="I74" i="12" s="1"/>
  <c r="I34" i="12"/>
  <c r="O206" i="3"/>
  <c r="O52" i="3"/>
  <c r="F207" i="3"/>
  <c r="F52" i="3"/>
  <c r="V206" i="3"/>
  <c r="O236" i="3"/>
  <c r="O82" i="3"/>
  <c r="Q235" i="3"/>
  <c r="F227" i="3"/>
  <c r="F73" i="3"/>
  <c r="N32" i="13"/>
  <c r="N42" i="13"/>
  <c r="N52" i="13"/>
  <c r="L204" i="3"/>
  <c r="Q226" i="3"/>
  <c r="F197" i="3"/>
  <c r="F43" i="3"/>
  <c r="V6" i="12"/>
  <c r="O5" i="13"/>
  <c r="O34" i="13"/>
  <c r="O44" i="13"/>
  <c r="O75" i="3"/>
  <c r="O6" i="13"/>
  <c r="O22" i="13" s="1"/>
  <c r="I18" i="13"/>
  <c r="L237" i="3"/>
  <c r="G35" i="13"/>
  <c r="G45" i="13"/>
  <c r="G76" i="3"/>
  <c r="G6" i="13"/>
  <c r="G22" i="13" s="1"/>
  <c r="G5" i="13"/>
  <c r="P44" i="12"/>
  <c r="P34" i="12"/>
  <c r="P54" i="3"/>
  <c r="P24" i="12"/>
  <c r="P74" i="12" s="1"/>
  <c r="T52" i="12"/>
  <c r="T17" i="12"/>
  <c r="T67" i="12" s="1"/>
  <c r="T37" i="12"/>
  <c r="T47" i="12"/>
  <c r="T53" i="12"/>
  <c r="T49" i="12"/>
  <c r="T55" i="12"/>
  <c r="T50" i="12"/>
  <c r="T54" i="12"/>
  <c r="D84" i="3"/>
  <c r="D38" i="13"/>
  <c r="D48" i="13"/>
  <c r="R83" i="3"/>
  <c r="R47" i="13"/>
  <c r="R37" i="13"/>
  <c r="P44" i="13"/>
  <c r="P34" i="13"/>
  <c r="P75" i="3"/>
  <c r="P40" i="12"/>
  <c r="P20" i="12"/>
  <c r="P70" i="12" s="1"/>
  <c r="P26" i="14"/>
  <c r="P30" i="12"/>
  <c r="P45" i="3"/>
  <c r="H42" i="13"/>
  <c r="H32" i="13"/>
  <c r="M36" i="13"/>
  <c r="M46" i="13"/>
  <c r="U32" i="13"/>
  <c r="U42" i="13"/>
  <c r="U52" i="13"/>
  <c r="U237" i="3"/>
  <c r="H55" i="3"/>
  <c r="H35" i="12"/>
  <c r="H45" i="12"/>
  <c r="H25" i="12"/>
  <c r="H75" i="12" s="1"/>
  <c r="H10" i="12"/>
  <c r="M204" i="3"/>
  <c r="Q6" i="12"/>
  <c r="Q39" i="12"/>
  <c r="Q19" i="12"/>
  <c r="Q69" i="12" s="1"/>
  <c r="Q29" i="12"/>
  <c r="Q25" i="14"/>
  <c r="Q44" i="3"/>
  <c r="Q4" i="12"/>
  <c r="Q18" i="13" s="1"/>
  <c r="M237" i="3"/>
  <c r="O197" i="3"/>
  <c r="O43" i="3"/>
  <c r="N225" i="3"/>
  <c r="P196" i="3"/>
  <c r="M228" i="3"/>
  <c r="B205" i="3"/>
  <c r="H20" i="12"/>
  <c r="H70" i="12" s="1"/>
  <c r="H26" i="14"/>
  <c r="H5" i="12"/>
  <c r="H30" i="12"/>
  <c r="H40" i="12"/>
  <c r="H45" i="3"/>
  <c r="H6" i="12"/>
  <c r="P18" i="13"/>
  <c r="R4" i="12"/>
  <c r="R39" i="12"/>
  <c r="R29" i="12"/>
  <c r="R19" i="12"/>
  <c r="R69" i="12" s="1"/>
  <c r="R25" i="14"/>
  <c r="R44" i="3"/>
  <c r="C25" i="14"/>
  <c r="C19" i="12"/>
  <c r="C69" i="12" s="1"/>
  <c r="C39" i="12"/>
  <c r="C29" i="12"/>
  <c r="C4" i="12"/>
  <c r="C44" i="3"/>
  <c r="U56" i="13"/>
  <c r="H85" i="3"/>
  <c r="H49" i="13"/>
  <c r="H39" i="13"/>
  <c r="E85" i="3"/>
  <c r="E49" i="13"/>
  <c r="E39" i="13"/>
  <c r="B33" i="13"/>
  <c r="B4" i="13"/>
  <c r="B43" i="13"/>
  <c r="B74" i="3"/>
  <c r="E38" i="13"/>
  <c r="E48" i="13"/>
  <c r="E84" i="3"/>
  <c r="E10" i="13"/>
  <c r="E26" i="13" s="1"/>
  <c r="H227" i="3"/>
  <c r="H73" i="3"/>
  <c r="V42" i="13"/>
  <c r="V32" i="13"/>
  <c r="U228" i="3"/>
  <c r="V55" i="3"/>
  <c r="V45" i="12"/>
  <c r="V35" i="12"/>
  <c r="V25" i="12"/>
  <c r="V75" i="12" s="1"/>
  <c r="L19" i="13"/>
  <c r="L3" i="13"/>
  <c r="L21" i="13" s="1"/>
  <c r="L48" i="12"/>
  <c r="L37" i="12"/>
  <c r="L47" i="12"/>
  <c r="L17" i="12"/>
  <c r="L67" i="12" s="1"/>
  <c r="L53" i="12"/>
  <c r="L49" i="12"/>
  <c r="L54" i="12"/>
  <c r="L55" i="12"/>
  <c r="L51" i="12"/>
  <c r="L50" i="12"/>
  <c r="E5" i="12"/>
  <c r="M18" i="12"/>
  <c r="M68" i="12" s="1"/>
  <c r="M28" i="12"/>
  <c r="M38" i="12"/>
  <c r="M24" i="14"/>
  <c r="C54" i="3"/>
  <c r="C44" i="12"/>
  <c r="C34" i="12"/>
  <c r="C24" i="12"/>
  <c r="C74" i="12" s="1"/>
  <c r="V236" i="3"/>
  <c r="M207" i="3"/>
  <c r="V197" i="3"/>
  <c r="I226" i="3"/>
  <c r="T234" i="3"/>
  <c r="C48" i="11"/>
  <c r="R4" i="13"/>
  <c r="R33" i="13"/>
  <c r="R43" i="13"/>
  <c r="R74" i="3"/>
  <c r="D5" i="12"/>
  <c r="B58" i="11"/>
  <c r="B53" i="11" s="1"/>
  <c r="J4" i="13"/>
  <c r="J33" i="13"/>
  <c r="J43" i="13"/>
  <c r="J74" i="3"/>
  <c r="M3" i="12"/>
  <c r="V227" i="3"/>
  <c r="V73" i="3"/>
  <c r="O228" i="3"/>
  <c r="U55" i="13"/>
  <c r="O198" i="3"/>
  <c r="O22" i="12"/>
  <c r="O72" i="12" s="1"/>
  <c r="O42" i="12"/>
  <c r="O32" i="12"/>
  <c r="F32" i="12"/>
  <c r="F22" i="12"/>
  <c r="F72" i="12" s="1"/>
  <c r="F42" i="12"/>
  <c r="I196" i="3"/>
  <c r="E6" i="12"/>
  <c r="M197" i="3"/>
  <c r="M43" i="3"/>
  <c r="V10" i="12"/>
  <c r="U82" i="3"/>
  <c r="T198" i="3"/>
  <c r="T43" i="3"/>
  <c r="T204" i="3"/>
  <c r="O36" i="13"/>
  <c r="O46" i="13"/>
  <c r="N228" i="3"/>
  <c r="U195" i="3"/>
  <c r="U207" i="3"/>
  <c r="C226" i="3"/>
  <c r="I20" i="12"/>
  <c r="I70" i="12" s="1"/>
  <c r="I40" i="12"/>
  <c r="I30" i="12"/>
  <c r="I45" i="3"/>
  <c r="I26" i="14"/>
  <c r="D103" i="11"/>
  <c r="Q5" i="12"/>
  <c r="U3" i="12"/>
  <c r="H27" i="14"/>
  <c r="H41" i="12"/>
  <c r="H31" i="12"/>
  <c r="H21" i="12"/>
  <c r="H71" i="12" s="1"/>
  <c r="H46" i="3"/>
  <c r="L234" i="3"/>
  <c r="E197" i="3"/>
  <c r="E43" i="3"/>
  <c r="M34" i="13"/>
  <c r="M5" i="13"/>
  <c r="M44" i="13"/>
  <c r="M75" i="3"/>
  <c r="M6" i="13"/>
  <c r="M22" i="13" s="1"/>
  <c r="E227" i="3"/>
  <c r="N234" i="3"/>
  <c r="O3" i="12"/>
  <c r="P6" i="12"/>
  <c r="D26" i="14"/>
  <c r="D40" i="12"/>
  <c r="D30" i="12"/>
  <c r="D20" i="12"/>
  <c r="D70" i="12" s="1"/>
  <c r="D45" i="3"/>
  <c r="D6" i="12"/>
  <c r="J235" i="3"/>
  <c r="U206" i="3"/>
  <c r="U52" i="3"/>
  <c r="K19" i="12"/>
  <c r="K69" i="12" s="1"/>
  <c r="K39" i="12"/>
  <c r="K29" i="12"/>
  <c r="K4" i="12"/>
  <c r="K25" i="14"/>
  <c r="K44" i="3"/>
  <c r="H84" i="3"/>
  <c r="H48" i="13"/>
  <c r="H38" i="13"/>
  <c r="H10" i="13"/>
  <c r="H26" i="13" s="1"/>
  <c r="N51" i="13"/>
  <c r="N41" i="13"/>
  <c r="N57" i="13"/>
  <c r="N53" i="13"/>
  <c r="N54" i="13"/>
  <c r="N59" i="13"/>
  <c r="N58" i="13"/>
  <c r="Q44" i="13"/>
  <c r="Q34" i="13"/>
  <c r="Q75" i="3"/>
  <c r="C58" i="11"/>
  <c r="C53" i="11" s="1"/>
  <c r="U225" i="3"/>
  <c r="K235" i="3"/>
  <c r="U59" i="13"/>
  <c r="J4" i="12"/>
  <c r="J19" i="12"/>
  <c r="J69" i="12" s="1"/>
  <c r="J29" i="12"/>
  <c r="J39" i="12"/>
  <c r="J25" i="14"/>
  <c r="J44" i="3"/>
  <c r="N207" i="3"/>
  <c r="H228" i="3"/>
  <c r="T35" i="13"/>
  <c r="T45" i="13"/>
  <c r="T76" i="3"/>
  <c r="T6" i="13"/>
  <c r="T22" i="13" s="1"/>
  <c r="T5" i="13"/>
  <c r="F19" i="13"/>
  <c r="F3" i="13"/>
  <c r="N195" i="3"/>
  <c r="G195" i="3"/>
  <c r="L195" i="3"/>
  <c r="Q30" i="12"/>
  <c r="Q40" i="12"/>
  <c r="Q45" i="3"/>
  <c r="Q26" i="14"/>
  <c r="Q20" i="12"/>
  <c r="Q70" i="12" s="1"/>
  <c r="F3" i="12"/>
  <c r="S205" i="3"/>
  <c r="G234" i="3"/>
  <c r="F237" i="3"/>
  <c r="I6" i="13"/>
  <c r="I22" i="13" s="1"/>
  <c r="P6" i="13"/>
  <c r="P22" i="13" s="1"/>
  <c r="P10" i="13"/>
  <c r="P26" i="13" s="1"/>
  <c r="U52" i="12" l="1"/>
  <c r="O52" i="12"/>
  <c r="H58" i="13"/>
  <c r="H59" i="13"/>
  <c r="F52" i="13"/>
  <c r="F21" i="13"/>
  <c r="V43" i="3"/>
  <c r="V195" i="3" s="1"/>
  <c r="V52" i="3"/>
  <c r="V204" i="3" s="1"/>
  <c r="N204" i="3"/>
  <c r="I5" i="12"/>
  <c r="P3" i="12"/>
  <c r="P49" i="12" s="1"/>
  <c r="P32" i="13"/>
  <c r="P42" i="13"/>
  <c r="I32" i="13"/>
  <c r="I42" i="13"/>
  <c r="P46" i="13"/>
  <c r="P36" i="13"/>
  <c r="C34" i="13"/>
  <c r="C44" i="13"/>
  <c r="C75" i="3"/>
  <c r="D102" i="11"/>
  <c r="D48" i="11"/>
  <c r="K44" i="13"/>
  <c r="K75" i="3"/>
  <c r="K34" i="13"/>
  <c r="E102" i="11"/>
  <c r="G101" i="11"/>
  <c r="T42" i="13"/>
  <c r="T32" i="13"/>
  <c r="K196" i="3"/>
  <c r="D3" i="12"/>
  <c r="V32" i="12"/>
  <c r="V22" i="12"/>
  <c r="V72" i="12" s="1"/>
  <c r="V42" i="12"/>
  <c r="R226" i="3"/>
  <c r="E3" i="12"/>
  <c r="R235" i="3"/>
  <c r="F225" i="3"/>
  <c r="P55" i="3"/>
  <c r="P52" i="3" s="1"/>
  <c r="P45" i="12"/>
  <c r="P35" i="12"/>
  <c r="P25" i="12"/>
  <c r="P75" i="12" s="1"/>
  <c r="B235" i="3"/>
  <c r="D21" i="12"/>
  <c r="D71" i="12" s="1"/>
  <c r="D41" i="12"/>
  <c r="D31" i="12"/>
  <c r="D46" i="3"/>
  <c r="D43" i="3" s="1"/>
  <c r="D27" i="14"/>
  <c r="K226" i="3"/>
  <c r="J44" i="13"/>
  <c r="J34" i="13"/>
  <c r="J75" i="3"/>
  <c r="D85" i="3"/>
  <c r="D49" i="13"/>
  <c r="D39" i="13"/>
  <c r="Q197" i="3"/>
  <c r="T228" i="3"/>
  <c r="T73" i="3"/>
  <c r="M19" i="13"/>
  <c r="M3" i="13"/>
  <c r="M21" i="13" s="1"/>
  <c r="M195" i="3"/>
  <c r="Q54" i="3"/>
  <c r="Q44" i="12"/>
  <c r="Q34" i="12"/>
  <c r="Q24" i="12"/>
  <c r="Q74" i="12" s="1"/>
  <c r="Q10" i="12"/>
  <c r="P42" i="12"/>
  <c r="P32" i="12"/>
  <c r="P22" i="12"/>
  <c r="P72" i="12" s="1"/>
  <c r="G3" i="13"/>
  <c r="G19" i="13"/>
  <c r="J26" i="14"/>
  <c r="J20" i="12"/>
  <c r="J70" i="12" s="1"/>
  <c r="J40" i="12"/>
  <c r="J30" i="12"/>
  <c r="J45" i="3"/>
  <c r="V3" i="12"/>
  <c r="I236" i="3"/>
  <c r="H52" i="13"/>
  <c r="H41" i="13"/>
  <c r="H51" i="13"/>
  <c r="H53" i="13"/>
  <c r="H57" i="13"/>
  <c r="H54" i="13"/>
  <c r="H55" i="13"/>
  <c r="R34" i="13"/>
  <c r="R44" i="13"/>
  <c r="R75" i="3"/>
  <c r="F52" i="12"/>
  <c r="F47" i="12"/>
  <c r="F37" i="12"/>
  <c r="F17" i="12"/>
  <c r="F67" i="12" s="1"/>
  <c r="F53" i="12"/>
  <c r="F49" i="12"/>
  <c r="F54" i="12"/>
  <c r="F51" i="12"/>
  <c r="F55" i="12"/>
  <c r="F50" i="12"/>
  <c r="H236" i="3"/>
  <c r="H82" i="3"/>
  <c r="I197" i="3"/>
  <c r="M37" i="12"/>
  <c r="M47" i="12"/>
  <c r="M17" i="12"/>
  <c r="M67" i="12" s="1"/>
  <c r="M53" i="12"/>
  <c r="M49" i="12"/>
  <c r="M54" i="12"/>
  <c r="M50" i="12"/>
  <c r="M52" i="12"/>
  <c r="M51" i="12"/>
  <c r="M55" i="12"/>
  <c r="J226" i="3"/>
  <c r="J54" i="3"/>
  <c r="J44" i="12"/>
  <c r="J34" i="12"/>
  <c r="J24" i="12"/>
  <c r="J74" i="12" s="1"/>
  <c r="J10" i="12"/>
  <c r="B226" i="3"/>
  <c r="H237" i="3"/>
  <c r="H3" i="12"/>
  <c r="Q28" i="12"/>
  <c r="Q18" i="12"/>
  <c r="Q68" i="12" s="1"/>
  <c r="Q38" i="12"/>
  <c r="Q24" i="14"/>
  <c r="D10" i="13"/>
  <c r="D26" i="13" s="1"/>
  <c r="G42" i="13"/>
  <c r="G32" i="13"/>
  <c r="O19" i="13"/>
  <c r="O3" i="13"/>
  <c r="O204" i="3"/>
  <c r="V198" i="3"/>
  <c r="M234" i="3"/>
  <c r="C40" i="12"/>
  <c r="C20" i="12"/>
  <c r="C70" i="12" s="1"/>
  <c r="C30" i="12"/>
  <c r="C26" i="14"/>
  <c r="C45" i="3"/>
  <c r="H19" i="13"/>
  <c r="R84" i="3"/>
  <c r="R48" i="13"/>
  <c r="R38" i="13"/>
  <c r="U204" i="3"/>
  <c r="D54" i="3"/>
  <c r="D24" i="12"/>
  <c r="D74" i="12" s="1"/>
  <c r="D44" i="12"/>
  <c r="D34" i="12"/>
  <c r="D10" i="12"/>
  <c r="E36" i="13"/>
  <c r="E46" i="13"/>
  <c r="Q3" i="12"/>
  <c r="R20" i="12"/>
  <c r="R70" i="12" s="1"/>
  <c r="R40" i="12"/>
  <c r="R30" i="12"/>
  <c r="R26" i="14"/>
  <c r="R45" i="3"/>
  <c r="G228" i="3"/>
  <c r="G73" i="3"/>
  <c r="D227" i="3"/>
  <c r="J55" i="3"/>
  <c r="J25" i="12"/>
  <c r="J75" i="12" s="1"/>
  <c r="J35" i="12"/>
  <c r="J45" i="12"/>
  <c r="Q41" i="12"/>
  <c r="Q31" i="12"/>
  <c r="Q21" i="12"/>
  <c r="Q71" i="12" s="1"/>
  <c r="Q27" i="14"/>
  <c r="Q46" i="3"/>
  <c r="I227" i="3"/>
  <c r="D58" i="11"/>
  <c r="D53" i="11" s="1"/>
  <c r="I5" i="13"/>
  <c r="J84" i="3"/>
  <c r="J48" i="13"/>
  <c r="J38" i="13"/>
  <c r="K48" i="13"/>
  <c r="K38" i="13"/>
  <c r="K84" i="3"/>
  <c r="J196" i="3"/>
  <c r="D18" i="12"/>
  <c r="D68" i="12" s="1"/>
  <c r="D38" i="12"/>
  <c r="D28" i="12"/>
  <c r="D24" i="14"/>
  <c r="P24" i="14"/>
  <c r="P28" i="12"/>
  <c r="P38" i="12"/>
  <c r="P18" i="12"/>
  <c r="P68" i="12" s="1"/>
  <c r="E195" i="3"/>
  <c r="Q55" i="3"/>
  <c r="Q45" i="12"/>
  <c r="Q35" i="12"/>
  <c r="Q25" i="12"/>
  <c r="Q75" i="12" s="1"/>
  <c r="T195" i="3"/>
  <c r="E28" i="12"/>
  <c r="E18" i="12"/>
  <c r="E68" i="12" s="1"/>
  <c r="E24" i="14"/>
  <c r="E38" i="12"/>
  <c r="V207" i="3"/>
  <c r="Q196" i="3"/>
  <c r="H207" i="3"/>
  <c r="H52" i="3"/>
  <c r="P206" i="3"/>
  <c r="O32" i="13"/>
  <c r="O42" i="13"/>
  <c r="I206" i="3"/>
  <c r="F101" i="11"/>
  <c r="C18" i="13"/>
  <c r="K54" i="3"/>
  <c r="K24" i="12"/>
  <c r="K74" i="12" s="1"/>
  <c r="K44" i="12"/>
  <c r="K34" i="12"/>
  <c r="K10" i="12"/>
  <c r="E207" i="3"/>
  <c r="E52" i="3"/>
  <c r="E103" i="11"/>
  <c r="C84" i="3"/>
  <c r="C48" i="13"/>
  <c r="C38" i="13"/>
  <c r="F51" i="13"/>
  <c r="F41" i="13"/>
  <c r="F57" i="13"/>
  <c r="F53" i="13"/>
  <c r="F58" i="13"/>
  <c r="F59" i="13"/>
  <c r="F54" i="13"/>
  <c r="F55" i="13"/>
  <c r="Q227" i="3"/>
  <c r="H46" i="13"/>
  <c r="H36" i="13"/>
  <c r="H56" i="13"/>
  <c r="D197" i="3"/>
  <c r="O37" i="12"/>
  <c r="O47" i="12"/>
  <c r="O17" i="12"/>
  <c r="O67" i="12" s="1"/>
  <c r="O53" i="12"/>
  <c r="O49" i="12"/>
  <c r="O54" i="12"/>
  <c r="O51" i="12"/>
  <c r="O55" i="12"/>
  <c r="O50" i="12"/>
  <c r="M32" i="13"/>
  <c r="M52" i="13"/>
  <c r="M42" i="13"/>
  <c r="I3" i="12"/>
  <c r="I27" i="14"/>
  <c r="I41" i="12"/>
  <c r="I31" i="12"/>
  <c r="I21" i="12"/>
  <c r="I71" i="12" s="1"/>
  <c r="I46" i="3"/>
  <c r="I6" i="12"/>
  <c r="H225" i="3"/>
  <c r="E237" i="3"/>
  <c r="C196" i="3"/>
  <c r="H24" i="14"/>
  <c r="H38" i="12"/>
  <c r="H28" i="12"/>
  <c r="H18" i="12"/>
  <c r="H68" i="12" s="1"/>
  <c r="E45" i="13"/>
  <c r="E35" i="13"/>
  <c r="E76" i="3"/>
  <c r="E6" i="13"/>
  <c r="E22" i="13" s="1"/>
  <c r="E5" i="13"/>
  <c r="P227" i="3"/>
  <c r="O227" i="3"/>
  <c r="O73" i="3"/>
  <c r="V28" i="12"/>
  <c r="V18" i="12"/>
  <c r="V68" i="12" s="1"/>
  <c r="V38" i="12"/>
  <c r="V24" i="14"/>
  <c r="F56" i="13"/>
  <c r="E198" i="3"/>
  <c r="D55" i="3"/>
  <c r="D35" i="12"/>
  <c r="D25" i="12"/>
  <c r="D75" i="12" s="1"/>
  <c r="D45" i="12"/>
  <c r="P85" i="3"/>
  <c r="P39" i="13"/>
  <c r="P49" i="13"/>
  <c r="P45" i="13"/>
  <c r="P35" i="13"/>
  <c r="P76" i="3"/>
  <c r="I45" i="13"/>
  <c r="I35" i="13"/>
  <c r="I76" i="3"/>
  <c r="S4" i="13"/>
  <c r="S33" i="13"/>
  <c r="S43" i="13"/>
  <c r="S74" i="3"/>
  <c r="C5" i="12"/>
  <c r="R54" i="3"/>
  <c r="R44" i="12"/>
  <c r="R34" i="12"/>
  <c r="R24" i="12"/>
  <c r="R74" i="12" s="1"/>
  <c r="M227" i="3"/>
  <c r="M73" i="3"/>
  <c r="I55" i="3"/>
  <c r="I45" i="12"/>
  <c r="I35" i="12"/>
  <c r="I25" i="12"/>
  <c r="I75" i="12" s="1"/>
  <c r="R18" i="13"/>
  <c r="C206" i="3"/>
  <c r="M48" i="12"/>
  <c r="L52" i="13"/>
  <c r="L41" i="13"/>
  <c r="L51" i="13"/>
  <c r="L53" i="13"/>
  <c r="L57" i="13"/>
  <c r="L54" i="13"/>
  <c r="L58" i="13"/>
  <c r="L55" i="13"/>
  <c r="L59" i="13"/>
  <c r="L56" i="13"/>
  <c r="E82" i="3"/>
  <c r="E236" i="3"/>
  <c r="B19" i="12"/>
  <c r="B69" i="12" s="1"/>
  <c r="B29" i="12"/>
  <c r="B4" i="12"/>
  <c r="B18" i="13" s="1"/>
  <c r="B39" i="12"/>
  <c r="B25" i="14"/>
  <c r="B44" i="3"/>
  <c r="H197" i="3"/>
  <c r="H43" i="3"/>
  <c r="O195" i="3"/>
  <c r="P197" i="3"/>
  <c r="F195" i="3"/>
  <c r="V85" i="3"/>
  <c r="V39" i="13"/>
  <c r="V49" i="13"/>
  <c r="V10" i="13"/>
  <c r="V26" i="13" s="1"/>
  <c r="V5" i="13"/>
  <c r="K18" i="13"/>
  <c r="S235" i="3"/>
  <c r="T19" i="13"/>
  <c r="T3" i="13"/>
  <c r="T21" i="13" s="1"/>
  <c r="H198" i="3"/>
  <c r="U49" i="12"/>
  <c r="U47" i="12"/>
  <c r="U37" i="12"/>
  <c r="U53" i="12"/>
  <c r="U17" i="12"/>
  <c r="U67" i="12" s="1"/>
  <c r="U50" i="12"/>
  <c r="U51" i="12"/>
  <c r="U48" i="12"/>
  <c r="U54" i="12"/>
  <c r="U55" i="12"/>
  <c r="U234" i="3"/>
  <c r="V225" i="3"/>
  <c r="J18" i="13"/>
  <c r="S39" i="12"/>
  <c r="S19" i="12"/>
  <c r="S69" i="12" s="1"/>
  <c r="S29" i="12"/>
  <c r="S4" i="12"/>
  <c r="S25" i="14"/>
  <c r="S44" i="3"/>
  <c r="C43" i="11"/>
  <c r="C95" i="11" s="1"/>
  <c r="C100" i="11"/>
  <c r="R196" i="3"/>
  <c r="H42" i="12"/>
  <c r="H32" i="12"/>
  <c r="H22" i="12"/>
  <c r="H72" i="12" s="1"/>
  <c r="P50" i="12"/>
  <c r="P5" i="13"/>
  <c r="D236" i="3"/>
  <c r="O234" i="3"/>
  <c r="F204" i="3"/>
  <c r="I10" i="12"/>
  <c r="P236" i="3"/>
  <c r="O48" i="12"/>
  <c r="P31" i="12"/>
  <c r="P41" i="12"/>
  <c r="P21" i="12"/>
  <c r="P71" i="12" s="1"/>
  <c r="P46" i="3"/>
  <c r="P27" i="14"/>
  <c r="E42" i="12"/>
  <c r="E32" i="12"/>
  <c r="E22" i="12"/>
  <c r="E72" i="12" s="1"/>
  <c r="F48" i="12"/>
  <c r="K5" i="12"/>
  <c r="K3" i="12" s="1"/>
  <c r="K30" i="12"/>
  <c r="K26" i="14"/>
  <c r="K20" i="12"/>
  <c r="K70" i="12" s="1"/>
  <c r="K40" i="12"/>
  <c r="K45" i="3"/>
  <c r="F103" i="11"/>
  <c r="J10" i="13"/>
  <c r="J26" i="13" s="1"/>
  <c r="C6" i="13"/>
  <c r="C22" i="13" s="1"/>
  <c r="V48" i="12" l="1"/>
  <c r="P54" i="12"/>
  <c r="Q55" i="12"/>
  <c r="H52" i="12"/>
  <c r="D54" i="12"/>
  <c r="I51" i="12"/>
  <c r="E52" i="12"/>
  <c r="P53" i="12"/>
  <c r="P52" i="12"/>
  <c r="P37" i="12"/>
  <c r="P51" i="12"/>
  <c r="P47" i="12"/>
  <c r="P48" i="12"/>
  <c r="P17" i="12"/>
  <c r="P67" i="12" s="1"/>
  <c r="P55" i="12"/>
  <c r="G52" i="13"/>
  <c r="G21" i="13"/>
  <c r="O52" i="13"/>
  <c r="O21" i="13"/>
  <c r="D82" i="3"/>
  <c r="D234" i="3" s="1"/>
  <c r="P82" i="3"/>
  <c r="P234" i="3" s="1"/>
  <c r="I52" i="3"/>
  <c r="I204" i="3" s="1"/>
  <c r="Q43" i="3"/>
  <c r="Q195" i="3" s="1"/>
  <c r="I43" i="3"/>
  <c r="D55" i="12"/>
  <c r="E48" i="12"/>
  <c r="I55" i="12"/>
  <c r="Q51" i="12"/>
  <c r="H48" i="12"/>
  <c r="D51" i="12"/>
  <c r="C3" i="12"/>
  <c r="C32" i="13"/>
  <c r="C42" i="13"/>
  <c r="J36" i="13"/>
  <c r="J46" i="13"/>
  <c r="K17" i="12"/>
  <c r="K67" i="12" s="1"/>
  <c r="K47" i="12"/>
  <c r="K37" i="12"/>
  <c r="K53" i="12"/>
  <c r="K49" i="12"/>
  <c r="K54" i="12"/>
  <c r="K50" i="12"/>
  <c r="S84" i="3"/>
  <c r="S38" i="13"/>
  <c r="S48" i="13"/>
  <c r="R45" i="13"/>
  <c r="R35" i="13"/>
  <c r="R76" i="3"/>
  <c r="I19" i="13"/>
  <c r="I3" i="13"/>
  <c r="I21" i="13" s="1"/>
  <c r="H195" i="3"/>
  <c r="E234" i="3"/>
  <c r="M225" i="3"/>
  <c r="R55" i="3"/>
  <c r="R25" i="12"/>
  <c r="R75" i="12" s="1"/>
  <c r="R45" i="12"/>
  <c r="R35" i="12"/>
  <c r="E42" i="13"/>
  <c r="E32" i="13"/>
  <c r="E204" i="3"/>
  <c r="Q45" i="13"/>
  <c r="Q35" i="13"/>
  <c r="Q76" i="3"/>
  <c r="Q5" i="13"/>
  <c r="Q6" i="13"/>
  <c r="Q22" i="13" s="1"/>
  <c r="Q198" i="3"/>
  <c r="R197" i="3"/>
  <c r="C197" i="3"/>
  <c r="Q206" i="3"/>
  <c r="Q52" i="3"/>
  <c r="M41" i="13"/>
  <c r="M51" i="13"/>
  <c r="M53" i="13"/>
  <c r="M57" i="13"/>
  <c r="M59" i="13"/>
  <c r="M55" i="13"/>
  <c r="M58" i="13"/>
  <c r="M54" i="13"/>
  <c r="M56" i="13"/>
  <c r="D198" i="3"/>
  <c r="E48" i="11"/>
  <c r="D43" i="11"/>
  <c r="D95" i="11" s="1"/>
  <c r="D100" i="11"/>
  <c r="H101" i="11"/>
  <c r="C85" i="3"/>
  <c r="C49" i="13"/>
  <c r="C39" i="13"/>
  <c r="K45" i="13"/>
  <c r="K35" i="13"/>
  <c r="K76" i="3"/>
  <c r="V19" i="13"/>
  <c r="V3" i="13"/>
  <c r="V21" i="13" s="1"/>
  <c r="R206" i="3"/>
  <c r="P228" i="3"/>
  <c r="O225" i="3"/>
  <c r="E228" i="3"/>
  <c r="E73" i="3"/>
  <c r="C236" i="3"/>
  <c r="K206" i="3"/>
  <c r="Q54" i="12"/>
  <c r="Q47" i="12"/>
  <c r="Q37" i="12"/>
  <c r="Q17" i="12"/>
  <c r="Q67" i="12" s="1"/>
  <c r="Q53" i="12"/>
  <c r="Q49" i="12"/>
  <c r="Q50" i="12"/>
  <c r="K45" i="12"/>
  <c r="K35" i="12"/>
  <c r="K55" i="3"/>
  <c r="K25" i="12"/>
  <c r="K75" i="12" s="1"/>
  <c r="K55" i="12"/>
  <c r="Q48" i="12"/>
  <c r="J52" i="3"/>
  <c r="J206" i="3"/>
  <c r="V53" i="12"/>
  <c r="V47" i="12"/>
  <c r="V37" i="12"/>
  <c r="V17" i="12"/>
  <c r="V67" i="12" s="1"/>
  <c r="V49" i="12"/>
  <c r="V54" i="12"/>
  <c r="V50" i="12"/>
  <c r="V51" i="12"/>
  <c r="V55" i="12"/>
  <c r="K197" i="3"/>
  <c r="I52" i="12"/>
  <c r="I42" i="12"/>
  <c r="I32" i="12"/>
  <c r="I22" i="12"/>
  <c r="I72" i="12" s="1"/>
  <c r="S196" i="3"/>
  <c r="Q85" i="3"/>
  <c r="Q39" i="13"/>
  <c r="Q49" i="13"/>
  <c r="V46" i="13"/>
  <c r="V36" i="13"/>
  <c r="D207" i="3"/>
  <c r="K41" i="12"/>
  <c r="K31" i="12"/>
  <c r="K21" i="12"/>
  <c r="K71" i="12" s="1"/>
  <c r="K27" i="14"/>
  <c r="K51" i="12"/>
  <c r="K46" i="3"/>
  <c r="K6" i="12"/>
  <c r="P204" i="3"/>
  <c r="J207" i="3"/>
  <c r="D206" i="3"/>
  <c r="D52" i="3"/>
  <c r="R236" i="3"/>
  <c r="D46" i="13"/>
  <c r="D36" i="13"/>
  <c r="R5" i="13"/>
  <c r="G51" i="13"/>
  <c r="G41" i="13"/>
  <c r="G57" i="13"/>
  <c r="G53" i="13"/>
  <c r="G54" i="13"/>
  <c r="G59" i="13"/>
  <c r="G58" i="13"/>
  <c r="G56" i="13"/>
  <c r="G55" i="13"/>
  <c r="C21" i="12"/>
  <c r="C71" i="12" s="1"/>
  <c r="C27" i="14"/>
  <c r="C31" i="12"/>
  <c r="C41" i="12"/>
  <c r="C46" i="3"/>
  <c r="C6" i="12"/>
  <c r="I228" i="3"/>
  <c r="I73" i="3"/>
  <c r="I28" i="12"/>
  <c r="I18" i="12"/>
  <c r="I68" i="12" s="1"/>
  <c r="I48" i="12"/>
  <c r="I38" i="12"/>
  <c r="I24" i="14"/>
  <c r="D35" i="13"/>
  <c r="D45" i="13"/>
  <c r="D76" i="3"/>
  <c r="D6" i="13"/>
  <c r="D22" i="13" s="1"/>
  <c r="D5" i="13"/>
  <c r="R6" i="13"/>
  <c r="R22" i="13" s="1"/>
  <c r="J197" i="3"/>
  <c r="K227" i="3"/>
  <c r="C227" i="3"/>
  <c r="S44" i="13"/>
  <c r="S34" i="13"/>
  <c r="S75" i="3"/>
  <c r="S10" i="12"/>
  <c r="R10" i="12"/>
  <c r="S26" i="14"/>
  <c r="S30" i="12"/>
  <c r="S40" i="12"/>
  <c r="S20" i="12"/>
  <c r="S70" i="12" s="1"/>
  <c r="S45" i="3"/>
  <c r="P73" i="3"/>
  <c r="I198" i="3"/>
  <c r="D195" i="3"/>
  <c r="C10" i="13"/>
  <c r="C26" i="13" s="1"/>
  <c r="K32" i="12"/>
  <c r="K42" i="12"/>
  <c r="K22" i="12"/>
  <c r="K72" i="12" s="1"/>
  <c r="K52" i="12"/>
  <c r="K6" i="13"/>
  <c r="K22" i="13" s="1"/>
  <c r="O53" i="13"/>
  <c r="O51" i="13"/>
  <c r="O41" i="13"/>
  <c r="O57" i="13"/>
  <c r="O58" i="13"/>
  <c r="O55" i="13"/>
  <c r="O59" i="13"/>
  <c r="O54" i="13"/>
  <c r="O56" i="13"/>
  <c r="J32" i="12"/>
  <c r="J22" i="12"/>
  <c r="J72" i="12" s="1"/>
  <c r="J42" i="12"/>
  <c r="Q32" i="12"/>
  <c r="Q52" i="12"/>
  <c r="Q22" i="12"/>
  <c r="Q72" i="12" s="1"/>
  <c r="Q42" i="12"/>
  <c r="D237" i="3"/>
  <c r="C45" i="13"/>
  <c r="C35" i="13"/>
  <c r="C76" i="3"/>
  <c r="E58" i="11"/>
  <c r="E53" i="11" s="1"/>
  <c r="B84" i="3"/>
  <c r="B38" i="13"/>
  <c r="B48" i="13"/>
  <c r="P198" i="3"/>
  <c r="S18" i="13"/>
  <c r="B196" i="3"/>
  <c r="I207" i="3"/>
  <c r="S226" i="3"/>
  <c r="P237" i="3"/>
  <c r="H204" i="3"/>
  <c r="Q207" i="3"/>
  <c r="K236" i="3"/>
  <c r="J236" i="3"/>
  <c r="G225" i="3"/>
  <c r="D42" i="12"/>
  <c r="D32" i="12"/>
  <c r="D22" i="12"/>
  <c r="D72" i="12" s="1"/>
  <c r="D52" i="12"/>
  <c r="S54" i="3"/>
  <c r="S34" i="12"/>
  <c r="S24" i="12"/>
  <c r="S74" i="12" s="1"/>
  <c r="S44" i="12"/>
  <c r="Q84" i="3"/>
  <c r="Q48" i="13"/>
  <c r="Q38" i="13"/>
  <c r="Q10" i="13"/>
  <c r="Q26" i="13" s="1"/>
  <c r="H47" i="12"/>
  <c r="H37" i="12"/>
  <c r="H17" i="12"/>
  <c r="H67" i="12" s="1"/>
  <c r="H53" i="12"/>
  <c r="H49" i="12"/>
  <c r="H54" i="12"/>
  <c r="H50" i="12"/>
  <c r="H55" i="12"/>
  <c r="H51" i="12"/>
  <c r="H234" i="3"/>
  <c r="R227" i="3"/>
  <c r="B20" i="12"/>
  <c r="B70" i="12" s="1"/>
  <c r="B40" i="12"/>
  <c r="B30" i="12"/>
  <c r="B45" i="3"/>
  <c r="B26" i="14"/>
  <c r="T225" i="3"/>
  <c r="E47" i="12"/>
  <c r="E37" i="12"/>
  <c r="E17" i="12"/>
  <c r="E67" i="12" s="1"/>
  <c r="E53" i="12"/>
  <c r="E49" i="12"/>
  <c r="E54" i="12"/>
  <c r="E50" i="12"/>
  <c r="E51" i="12"/>
  <c r="E55" i="12"/>
  <c r="R27" i="14"/>
  <c r="R21" i="12"/>
  <c r="R71" i="12" s="1"/>
  <c r="R31" i="12"/>
  <c r="R41" i="12"/>
  <c r="R46" i="3"/>
  <c r="R6" i="12"/>
  <c r="C5" i="13"/>
  <c r="J39" i="13"/>
  <c r="J49" i="13"/>
  <c r="J85" i="3"/>
  <c r="R49" i="13"/>
  <c r="R39" i="13"/>
  <c r="R85" i="3"/>
  <c r="T52" i="13"/>
  <c r="T51" i="13"/>
  <c r="T41" i="13"/>
  <c r="T53" i="13"/>
  <c r="T57" i="13"/>
  <c r="T58" i="13"/>
  <c r="T59" i="13"/>
  <c r="T54" i="13"/>
  <c r="T56" i="13"/>
  <c r="T55" i="13"/>
  <c r="I47" i="12"/>
  <c r="I37" i="12"/>
  <c r="I17" i="12"/>
  <c r="I67" i="12" s="1"/>
  <c r="I53" i="12"/>
  <c r="I49" i="12"/>
  <c r="I50" i="12"/>
  <c r="I54" i="12"/>
  <c r="J41" i="12"/>
  <c r="J31" i="12"/>
  <c r="J21" i="12"/>
  <c r="J71" i="12" s="1"/>
  <c r="J27" i="14"/>
  <c r="J46" i="3"/>
  <c r="J6" i="12"/>
  <c r="I85" i="3"/>
  <c r="I39" i="13"/>
  <c r="I49" i="13"/>
  <c r="I10" i="13"/>
  <c r="I26" i="13" s="1"/>
  <c r="R5" i="12"/>
  <c r="J5" i="12"/>
  <c r="J227" i="3"/>
  <c r="P207" i="3"/>
  <c r="B34" i="13"/>
  <c r="B44" i="13"/>
  <c r="B75" i="3"/>
  <c r="P19" i="13"/>
  <c r="P3" i="13"/>
  <c r="P21" i="13" s="1"/>
  <c r="P43" i="3"/>
  <c r="V237" i="3"/>
  <c r="V82" i="3"/>
  <c r="R10" i="13"/>
  <c r="R26" i="13" s="1"/>
  <c r="C55" i="3"/>
  <c r="C25" i="12"/>
  <c r="C75" i="12" s="1"/>
  <c r="C45" i="12"/>
  <c r="C35" i="12"/>
  <c r="C10" i="12"/>
  <c r="E19" i="13"/>
  <c r="E3" i="13"/>
  <c r="E21" i="13" s="1"/>
  <c r="V52" i="12"/>
  <c r="D48" i="12"/>
  <c r="D37" i="12"/>
  <c r="D17" i="12"/>
  <c r="D67" i="12" s="1"/>
  <c r="D47" i="12"/>
  <c r="D53" i="12"/>
  <c r="D49" i="12"/>
  <c r="D50" i="12"/>
  <c r="S10" i="13"/>
  <c r="S26" i="13" s="1"/>
  <c r="C51" i="12" l="1"/>
  <c r="C82" i="3"/>
  <c r="C234" i="3" s="1"/>
  <c r="R73" i="3"/>
  <c r="K43" i="3"/>
  <c r="R52" i="3"/>
  <c r="R204" i="3" s="1"/>
  <c r="I195" i="3"/>
  <c r="B5" i="12"/>
  <c r="C55" i="12"/>
  <c r="S36" i="13"/>
  <c r="S46" i="13"/>
  <c r="V234" i="3"/>
  <c r="B227" i="3"/>
  <c r="J198" i="3"/>
  <c r="J43" i="3"/>
  <c r="C228" i="3"/>
  <c r="I237" i="3"/>
  <c r="I82" i="3"/>
  <c r="J82" i="3"/>
  <c r="J237" i="3"/>
  <c r="R198" i="3"/>
  <c r="R43" i="3"/>
  <c r="Q36" i="13"/>
  <c r="Q46" i="13"/>
  <c r="C18" i="12"/>
  <c r="C68" i="12" s="1"/>
  <c r="C28" i="12"/>
  <c r="C48" i="12"/>
  <c r="C38" i="12"/>
  <c r="C24" i="14"/>
  <c r="S6" i="13"/>
  <c r="S22" i="13" s="1"/>
  <c r="S35" i="13"/>
  <c r="S45" i="13"/>
  <c r="S76" i="3"/>
  <c r="S21" i="12"/>
  <c r="S71" i="12" s="1"/>
  <c r="S41" i="12"/>
  <c r="S31" i="12"/>
  <c r="S46" i="3"/>
  <c r="S27" i="14"/>
  <c r="S6" i="12"/>
  <c r="C73" i="3"/>
  <c r="K198" i="3"/>
  <c r="G103" i="11"/>
  <c r="S55" i="3"/>
  <c r="S45" i="12"/>
  <c r="S25" i="12"/>
  <c r="S75" i="12" s="1"/>
  <c r="S35" i="12"/>
  <c r="R42" i="13"/>
  <c r="R32" i="13"/>
  <c r="J45" i="13"/>
  <c r="J35" i="13"/>
  <c r="J76" i="3"/>
  <c r="J6" i="13"/>
  <c r="J22" i="13" s="1"/>
  <c r="J5" i="13"/>
  <c r="R207" i="3"/>
  <c r="Q228" i="3"/>
  <c r="Q73" i="3"/>
  <c r="C207" i="3"/>
  <c r="C52" i="3"/>
  <c r="K85" i="3"/>
  <c r="K39" i="13"/>
  <c r="K49" i="13"/>
  <c r="K10" i="13"/>
  <c r="K26" i="13" s="1"/>
  <c r="R3" i="12"/>
  <c r="S5" i="12"/>
  <c r="C198" i="3"/>
  <c r="C43" i="3"/>
  <c r="D204" i="3"/>
  <c r="K207" i="3"/>
  <c r="Q204" i="3"/>
  <c r="I41" i="13"/>
  <c r="I51" i="13"/>
  <c r="I57" i="13"/>
  <c r="I53" i="13"/>
  <c r="I58" i="13"/>
  <c r="I54" i="13"/>
  <c r="I55" i="13"/>
  <c r="I52" i="13"/>
  <c r="B35" i="13"/>
  <c r="B45" i="13"/>
  <c r="B76" i="3"/>
  <c r="E52" i="13"/>
  <c r="E41" i="13"/>
  <c r="E51" i="13"/>
  <c r="E53" i="13"/>
  <c r="E57" i="13"/>
  <c r="E54" i="13"/>
  <c r="E58" i="13"/>
  <c r="E59" i="13"/>
  <c r="E56" i="13"/>
  <c r="E55" i="13"/>
  <c r="I36" i="13"/>
  <c r="I46" i="13"/>
  <c r="I56" i="13"/>
  <c r="R82" i="3"/>
  <c r="R237" i="3"/>
  <c r="S206" i="3"/>
  <c r="S227" i="3"/>
  <c r="B35" i="12"/>
  <c r="B45" i="12"/>
  <c r="B25" i="12"/>
  <c r="B75" i="12" s="1"/>
  <c r="B55" i="3"/>
  <c r="Q237" i="3"/>
  <c r="B54" i="3"/>
  <c r="B44" i="12"/>
  <c r="B34" i="12"/>
  <c r="B24" i="12"/>
  <c r="B74" i="12" s="1"/>
  <c r="B10" i="12"/>
  <c r="I101" i="11"/>
  <c r="S39" i="13"/>
  <c r="S85" i="3"/>
  <c r="S49" i="13"/>
  <c r="F58" i="11"/>
  <c r="F53" i="11" s="1"/>
  <c r="R36" i="13"/>
  <c r="R46" i="13"/>
  <c r="P195" i="3"/>
  <c r="I59" i="13"/>
  <c r="C19" i="13"/>
  <c r="C3" i="13"/>
  <c r="B197" i="3"/>
  <c r="B236" i="3"/>
  <c r="C46" i="13"/>
  <c r="C36" i="13"/>
  <c r="P225" i="3"/>
  <c r="R22" i="12"/>
  <c r="R72" i="12" s="1"/>
  <c r="R42" i="12"/>
  <c r="R32" i="12"/>
  <c r="D19" i="13"/>
  <c r="D3" i="13"/>
  <c r="D21" i="13" s="1"/>
  <c r="R19" i="13"/>
  <c r="R3" i="13"/>
  <c r="J204" i="3"/>
  <c r="K228" i="3"/>
  <c r="K73" i="3"/>
  <c r="C22" i="12"/>
  <c r="C72" i="12" s="1"/>
  <c r="C42" i="12"/>
  <c r="C32" i="12"/>
  <c r="C52" i="12"/>
  <c r="P56" i="13"/>
  <c r="P51" i="13"/>
  <c r="P41" i="13"/>
  <c r="P57" i="13"/>
  <c r="P53" i="13"/>
  <c r="P54" i="13"/>
  <c r="P58" i="13"/>
  <c r="P52" i="13"/>
  <c r="P55" i="13"/>
  <c r="P59" i="13"/>
  <c r="K5" i="13"/>
  <c r="Q236" i="3"/>
  <c r="Q82" i="3"/>
  <c r="K32" i="13"/>
  <c r="K42" i="13"/>
  <c r="S197" i="3"/>
  <c r="S5" i="13"/>
  <c r="D42" i="13"/>
  <c r="D32" i="13"/>
  <c r="K28" i="12"/>
  <c r="K18" i="12"/>
  <c r="K68" i="12" s="1"/>
  <c r="K38" i="12"/>
  <c r="K48" i="12"/>
  <c r="K24" i="14"/>
  <c r="B21" i="12"/>
  <c r="B71" i="12" s="1"/>
  <c r="B41" i="12"/>
  <c r="B31" i="12"/>
  <c r="B27" i="14"/>
  <c r="B46" i="3"/>
  <c r="B6" i="12"/>
  <c r="C237" i="3"/>
  <c r="E43" i="11"/>
  <c r="E95" i="11" s="1"/>
  <c r="E100" i="11"/>
  <c r="Q42" i="13"/>
  <c r="Q32" i="13"/>
  <c r="R228" i="3"/>
  <c r="C37" i="12"/>
  <c r="C47" i="12"/>
  <c r="C17" i="12"/>
  <c r="C67" i="12" s="1"/>
  <c r="C53" i="12"/>
  <c r="C49" i="12"/>
  <c r="C54" i="12"/>
  <c r="C50" i="12"/>
  <c r="G102" i="11"/>
  <c r="G48" i="11"/>
  <c r="B5" i="13"/>
  <c r="B6" i="13"/>
  <c r="B22" i="13" s="1"/>
  <c r="J3" i="12"/>
  <c r="J28" i="12"/>
  <c r="J38" i="12"/>
  <c r="J24" i="14"/>
  <c r="J18" i="12"/>
  <c r="J68" i="12" s="1"/>
  <c r="R28" i="12"/>
  <c r="R38" i="12"/>
  <c r="R18" i="12"/>
  <c r="R68" i="12" s="1"/>
  <c r="R24" i="14"/>
  <c r="S42" i="12"/>
  <c r="S22" i="12"/>
  <c r="S72" i="12" s="1"/>
  <c r="S32" i="12"/>
  <c r="D228" i="3"/>
  <c r="D73" i="3"/>
  <c r="I225" i="3"/>
  <c r="K52" i="3"/>
  <c r="E225" i="3"/>
  <c r="V56" i="13"/>
  <c r="V41" i="13"/>
  <c r="V51" i="13"/>
  <c r="V57" i="13"/>
  <c r="V53" i="13"/>
  <c r="V54" i="13"/>
  <c r="V55" i="13"/>
  <c r="V58" i="13"/>
  <c r="V52" i="13"/>
  <c r="V59" i="13"/>
  <c r="F102" i="11"/>
  <c r="F48" i="11"/>
  <c r="Q19" i="13"/>
  <c r="Q3" i="13"/>
  <c r="Q21" i="13" s="1"/>
  <c r="S236" i="3"/>
  <c r="J48" i="12" l="1"/>
  <c r="R52" i="12"/>
  <c r="C56" i="13"/>
  <c r="C21" i="13"/>
  <c r="R52" i="13"/>
  <c r="R21" i="13"/>
  <c r="S82" i="3"/>
  <c r="B73" i="3"/>
  <c r="B225" i="3" s="1"/>
  <c r="R225" i="3"/>
  <c r="S43" i="3"/>
  <c r="S195" i="3" s="1"/>
  <c r="S52" i="3"/>
  <c r="S204" i="3" s="1"/>
  <c r="K195" i="3"/>
  <c r="B3" i="12"/>
  <c r="B54" i="12" s="1"/>
  <c r="R56" i="13"/>
  <c r="B19" i="13"/>
  <c r="B3" i="13"/>
  <c r="B52" i="13" s="1"/>
  <c r="K204" i="3"/>
  <c r="B38" i="12"/>
  <c r="B28" i="12"/>
  <c r="B18" i="12"/>
  <c r="B68" i="12" s="1"/>
  <c r="B24" i="14"/>
  <c r="B207" i="3"/>
  <c r="J19" i="13"/>
  <c r="J3" i="13"/>
  <c r="S18" i="12"/>
  <c r="S68" i="12" s="1"/>
  <c r="S38" i="12"/>
  <c r="S28" i="12"/>
  <c r="S24" i="14"/>
  <c r="S32" i="13"/>
  <c r="S42" i="13"/>
  <c r="R195" i="3"/>
  <c r="B42" i="13"/>
  <c r="B32" i="13"/>
  <c r="S19" i="13"/>
  <c r="S3" i="13"/>
  <c r="K19" i="13"/>
  <c r="K3" i="13"/>
  <c r="K21" i="13" s="1"/>
  <c r="K225" i="3"/>
  <c r="D52" i="13"/>
  <c r="D41" i="13"/>
  <c r="D51" i="13"/>
  <c r="D53" i="13"/>
  <c r="D57" i="13"/>
  <c r="D54" i="13"/>
  <c r="D58" i="13"/>
  <c r="D59" i="13"/>
  <c r="D55" i="13"/>
  <c r="D56" i="13"/>
  <c r="J42" i="13"/>
  <c r="J32" i="13"/>
  <c r="H103" i="11"/>
  <c r="H102" i="11"/>
  <c r="Q234" i="3"/>
  <c r="B206" i="3"/>
  <c r="B52" i="3"/>
  <c r="K237" i="3"/>
  <c r="K82" i="3"/>
  <c r="S198" i="3"/>
  <c r="S228" i="3"/>
  <c r="Q59" i="13"/>
  <c r="Q51" i="13"/>
  <c r="Q41" i="13"/>
  <c r="Q57" i="13"/>
  <c r="Q53" i="13"/>
  <c r="Q54" i="13"/>
  <c r="Q55" i="13"/>
  <c r="Q58" i="13"/>
  <c r="J101" i="11"/>
  <c r="G58" i="11"/>
  <c r="G53" i="11" s="1"/>
  <c r="F43" i="11"/>
  <c r="F95" i="11" s="1"/>
  <c r="F100" i="11"/>
  <c r="S3" i="12"/>
  <c r="R48" i="12"/>
  <c r="R47" i="12"/>
  <c r="R17" i="12"/>
  <c r="R67" i="12" s="1"/>
  <c r="R37" i="12"/>
  <c r="R53" i="12"/>
  <c r="R49" i="12"/>
  <c r="R54" i="12"/>
  <c r="R50" i="12"/>
  <c r="R55" i="12"/>
  <c r="R51" i="12"/>
  <c r="C204" i="3"/>
  <c r="S207" i="3"/>
  <c r="Q56" i="13"/>
  <c r="D225" i="3"/>
  <c r="C52" i="13"/>
  <c r="C41" i="13"/>
  <c r="C51" i="13"/>
  <c r="C53" i="13"/>
  <c r="C57" i="13"/>
  <c r="C58" i="13"/>
  <c r="C54" i="13"/>
  <c r="C59" i="13"/>
  <c r="C55" i="13"/>
  <c r="Q225" i="3"/>
  <c r="J228" i="3"/>
  <c r="J73" i="3"/>
  <c r="J50" i="12"/>
  <c r="J47" i="12"/>
  <c r="J37" i="12"/>
  <c r="J17" i="12"/>
  <c r="J67" i="12" s="1"/>
  <c r="J53" i="12"/>
  <c r="J49" i="12"/>
  <c r="J55" i="12"/>
  <c r="J54" i="12"/>
  <c r="J52" i="12"/>
  <c r="J51" i="12"/>
  <c r="Q52" i="13"/>
  <c r="R55" i="13"/>
  <c r="R51" i="13"/>
  <c r="R41" i="13"/>
  <c r="R57" i="13"/>
  <c r="R53" i="13"/>
  <c r="R54" i="13"/>
  <c r="R58" i="13"/>
  <c r="R59" i="13"/>
  <c r="S237" i="3"/>
  <c r="C195" i="3"/>
  <c r="J234" i="3"/>
  <c r="S73" i="3"/>
  <c r="B39" i="13"/>
  <c r="B49" i="13"/>
  <c r="B85" i="3"/>
  <c r="B10" i="13"/>
  <c r="B26" i="13" s="1"/>
  <c r="B198" i="3"/>
  <c r="G43" i="11"/>
  <c r="G95" i="11" s="1"/>
  <c r="G100" i="11"/>
  <c r="B42" i="12"/>
  <c r="B32" i="12"/>
  <c r="B22" i="12"/>
  <c r="B72" i="12" s="1"/>
  <c r="R234" i="3"/>
  <c r="B228" i="3"/>
  <c r="K36" i="13"/>
  <c r="K46" i="13"/>
  <c r="C225" i="3"/>
  <c r="I234" i="3"/>
  <c r="J195" i="3"/>
  <c r="B43" i="3"/>
  <c r="B53" i="12" l="1"/>
  <c r="B17" i="12"/>
  <c r="B67" i="12" s="1"/>
  <c r="K56" i="13"/>
  <c r="B49" i="12"/>
  <c r="J52" i="13"/>
  <c r="J21" i="13"/>
  <c r="B51" i="12"/>
  <c r="B47" i="12"/>
  <c r="B37" i="12"/>
  <c r="B52" i="12"/>
  <c r="B48" i="12"/>
  <c r="S234" i="3"/>
  <c r="B59" i="13"/>
  <c r="B21" i="13"/>
  <c r="S52" i="13"/>
  <c r="S21" i="13"/>
  <c r="B50" i="12"/>
  <c r="B55" i="12"/>
  <c r="I103" i="11"/>
  <c r="B56" i="13"/>
  <c r="B51" i="13"/>
  <c r="B41" i="13"/>
  <c r="B53" i="13"/>
  <c r="B57" i="13"/>
  <c r="B58" i="13"/>
  <c r="B54" i="13"/>
  <c r="B55" i="13"/>
  <c r="B195" i="3"/>
  <c r="K51" i="13"/>
  <c r="K41" i="13"/>
  <c r="K57" i="13"/>
  <c r="K53" i="13"/>
  <c r="K54" i="13"/>
  <c r="K58" i="13"/>
  <c r="K55" i="13"/>
  <c r="K52" i="13"/>
  <c r="K59" i="13"/>
  <c r="I102" i="11"/>
  <c r="J225" i="3"/>
  <c r="S17" i="12"/>
  <c r="S67" i="12" s="1"/>
  <c r="S47" i="12"/>
  <c r="S37" i="12"/>
  <c r="S53" i="12"/>
  <c r="S49" i="12"/>
  <c r="S50" i="12"/>
  <c r="S54" i="12"/>
  <c r="S51" i="12"/>
  <c r="S52" i="12"/>
  <c r="S55" i="12"/>
  <c r="B204" i="3"/>
  <c r="H48" i="11"/>
  <c r="S51" i="13"/>
  <c r="S41" i="13"/>
  <c r="S57" i="13"/>
  <c r="S53" i="13"/>
  <c r="S54" i="13"/>
  <c r="S58" i="13"/>
  <c r="S55" i="13"/>
  <c r="S59" i="13"/>
  <c r="S56" i="13"/>
  <c r="J53" i="13"/>
  <c r="J51" i="13"/>
  <c r="J41" i="13"/>
  <c r="J57" i="13"/>
  <c r="J54" i="13"/>
  <c r="J58" i="13"/>
  <c r="J59" i="13"/>
  <c r="J56" i="13"/>
  <c r="J55" i="13"/>
  <c r="H58" i="11"/>
  <c r="H53" i="11" s="1"/>
  <c r="K101" i="11"/>
  <c r="B36" i="13"/>
  <c r="B46" i="13"/>
  <c r="S225" i="3"/>
  <c r="S48" i="12"/>
  <c r="B237" i="3"/>
  <c r="B82" i="3"/>
  <c r="K234" i="3"/>
  <c r="I48" i="11" l="1"/>
  <c r="I43" i="11" s="1"/>
  <c r="I95" i="11" s="1"/>
  <c r="L101" i="11"/>
  <c r="J103" i="11"/>
  <c r="B234" i="3"/>
  <c r="I58" i="11"/>
  <c r="I53" i="11" s="1"/>
  <c r="H43" i="11"/>
  <c r="H95" i="11" s="1"/>
  <c r="H100" i="11"/>
  <c r="J102" i="11"/>
  <c r="I100" i="11" l="1"/>
  <c r="J48" i="11"/>
  <c r="J100" i="11" s="1"/>
  <c r="K103" i="11"/>
  <c r="J58" i="11"/>
  <c r="J53" i="11" s="1"/>
  <c r="K102" i="11"/>
  <c r="K48" i="11"/>
  <c r="M101" i="11"/>
  <c r="J43" i="11" l="1"/>
  <c r="J95" i="11" s="1"/>
  <c r="L103" i="11"/>
  <c r="K43" i="11"/>
  <c r="K95" i="11" s="1"/>
  <c r="K100" i="11"/>
  <c r="K58" i="11"/>
  <c r="K53" i="11" s="1"/>
  <c r="L102" i="11"/>
  <c r="L48" i="11"/>
  <c r="N101" i="11"/>
  <c r="L58" i="11" l="1"/>
  <c r="L53" i="11" s="1"/>
  <c r="L100" i="11"/>
  <c r="L43" i="11"/>
  <c r="L95" i="11" s="1"/>
  <c r="O101" i="11"/>
  <c r="M102" i="11"/>
  <c r="M103" i="11"/>
  <c r="M48" i="11" l="1"/>
  <c r="M43" i="11" s="1"/>
  <c r="M95" i="11" s="1"/>
  <c r="N103" i="11"/>
  <c r="P101" i="11"/>
  <c r="N102" i="11"/>
  <c r="M58" i="11"/>
  <c r="M53" i="11" s="1"/>
  <c r="M100" i="11" l="1"/>
  <c r="Q101" i="11"/>
  <c r="O103" i="11"/>
  <c r="O102" i="11"/>
  <c r="O48" i="11"/>
  <c r="N48" i="11"/>
  <c r="P102" i="11" l="1"/>
  <c r="P103" i="11"/>
  <c r="O58" i="11"/>
  <c r="O53" i="11" s="1"/>
  <c r="N43" i="11"/>
  <c r="N95" i="11" s="1"/>
  <c r="N100" i="11"/>
  <c r="O43" i="11"/>
  <c r="O95" i="11" s="1"/>
  <c r="O100" i="11"/>
  <c r="R101" i="11"/>
  <c r="N58" i="11"/>
  <c r="N53" i="11" s="1"/>
  <c r="S101" i="11" l="1"/>
  <c r="Q102" i="11"/>
  <c r="P58" i="11"/>
  <c r="P53" i="11" s="1"/>
  <c r="Q103" i="11"/>
  <c r="P48" i="11"/>
  <c r="Q48" i="11" l="1"/>
  <c r="Q100" i="11" s="1"/>
  <c r="Q58" i="11"/>
  <c r="Q53" i="11" s="1"/>
  <c r="P43" i="11"/>
  <c r="P95" i="11" s="1"/>
  <c r="P100" i="11"/>
  <c r="R103" i="11"/>
  <c r="R102" i="11"/>
  <c r="T101" i="11"/>
  <c r="Q43" i="11" l="1"/>
  <c r="Q95" i="11" s="1"/>
  <c r="R48" i="11"/>
  <c r="U101" i="11"/>
  <c r="R58" i="11"/>
  <c r="R53" i="11" s="1"/>
  <c r="S103" i="11"/>
  <c r="R43" i="11"/>
  <c r="R95" i="11" s="1"/>
  <c r="R100" i="11"/>
  <c r="S102" i="11"/>
  <c r="S48" i="11"/>
  <c r="S43" i="11" l="1"/>
  <c r="S95" i="11" s="1"/>
  <c r="S100" i="11"/>
  <c r="V101" i="11"/>
  <c r="T102" i="11"/>
  <c r="S58" i="11"/>
  <c r="S53" i="11" s="1"/>
  <c r="T103" i="11"/>
  <c r="T48" i="11" l="1"/>
  <c r="T58" i="11"/>
  <c r="T53" i="11" s="1"/>
  <c r="T43" i="11"/>
  <c r="T95" i="11" s="1"/>
  <c r="T100" i="11"/>
  <c r="U102" i="11"/>
  <c r="U103" i="11"/>
  <c r="U48" i="11" l="1"/>
  <c r="V102" i="11"/>
  <c r="U58" i="11"/>
  <c r="U53" i="11" s="1"/>
  <c r="V103" i="11"/>
  <c r="U43" i="11"/>
  <c r="U95" i="11" s="1"/>
  <c r="U100" i="11"/>
  <c r="V58" i="11" l="1"/>
  <c r="V53" i="11" s="1"/>
  <c r="V48" i="11"/>
  <c r="V43" i="11" l="1"/>
  <c r="V95" i="11" s="1"/>
  <c r="V100" i="11"/>
  <c r="X10" i="5" l="1"/>
  <c r="X5" i="5"/>
  <c r="Y51" i="6"/>
  <c r="X51" i="6"/>
  <c r="X50" i="6"/>
  <c r="X5" i="6"/>
  <c r="Y5" i="6"/>
  <c r="Y5" i="5"/>
  <c r="X48" i="6"/>
  <c r="Y10" i="5"/>
  <c r="Y50" i="6"/>
  <c r="X10" i="6" l="1"/>
  <c r="Y10" i="6"/>
  <c r="Y4" i="6" s="1"/>
  <c r="X49" i="6"/>
  <c r="X4" i="6"/>
  <c r="Y49" i="6"/>
  <c r="Y48" i="6"/>
  <c r="W10" i="6" l="1"/>
  <c r="L10" i="6" l="1"/>
  <c r="M10" i="6"/>
  <c r="J10" i="6" l="1"/>
  <c r="N10" i="6"/>
  <c r="B10" i="6"/>
  <c r="K10" i="6"/>
  <c r="U10" i="6"/>
  <c r="C10" i="6"/>
  <c r="F10" i="6"/>
  <c r="I10" i="6"/>
  <c r="E10" i="6"/>
  <c r="H10" i="6"/>
  <c r="G10" i="6"/>
  <c r="Q10" i="6"/>
  <c r="T10" i="6"/>
  <c r="S10" i="6"/>
  <c r="R10" i="6"/>
  <c r="P10" i="6"/>
  <c r="O10" i="6"/>
  <c r="D10" i="6"/>
  <c r="V10" i="6"/>
  <c r="I49" i="6" l="1"/>
  <c r="I5" i="5"/>
  <c r="S49" i="6"/>
  <c r="I48" i="6"/>
  <c r="D49" i="6"/>
  <c r="L49" i="6"/>
  <c r="G51" i="6"/>
  <c r="O51" i="6"/>
  <c r="C10" i="5" l="1"/>
  <c r="D10" i="5"/>
  <c r="B10" i="5"/>
  <c r="I10" i="5"/>
  <c r="S10" i="5"/>
  <c r="S5" i="5"/>
  <c r="L5" i="5"/>
  <c r="D5" i="5"/>
  <c r="Q10" i="5"/>
  <c r="T5" i="5"/>
  <c r="N51" i="6"/>
  <c r="K10" i="5"/>
  <c r="J5" i="5"/>
  <c r="C5" i="5"/>
  <c r="O48" i="6"/>
  <c r="T10" i="5"/>
  <c r="L10" i="5"/>
  <c r="J49" i="6"/>
  <c r="W51" i="6"/>
  <c r="Q5" i="5"/>
  <c r="R10" i="5"/>
  <c r="B49" i="6"/>
  <c r="F51" i="6"/>
  <c r="J10" i="5"/>
  <c r="B5" i="5"/>
  <c r="K49" i="6"/>
  <c r="B48" i="6"/>
  <c r="U50" i="6"/>
  <c r="U5" i="6"/>
  <c r="D50" i="6"/>
  <c r="D5" i="6"/>
  <c r="J51" i="6"/>
  <c r="I5" i="6"/>
  <c r="I4" i="6" s="1"/>
  <c r="I50" i="6"/>
  <c r="I51" i="6"/>
  <c r="N10" i="5"/>
  <c r="F5" i="5"/>
  <c r="M49" i="6"/>
  <c r="W50" i="6"/>
  <c r="E10" i="5"/>
  <c r="Q48" i="6"/>
  <c r="C49" i="6"/>
  <c r="R49" i="6"/>
  <c r="G48" i="6"/>
  <c r="S5" i="6"/>
  <c r="S50" i="6"/>
  <c r="R50" i="6"/>
  <c r="S48" i="6"/>
  <c r="U51" i="6"/>
  <c r="B51" i="6"/>
  <c r="H5" i="5"/>
  <c r="T51" i="6"/>
  <c r="S51" i="6"/>
  <c r="H49" i="6"/>
  <c r="W49" i="6"/>
  <c r="L48" i="6"/>
  <c r="O10" i="5"/>
  <c r="V49" i="6"/>
  <c r="K48" i="6"/>
  <c r="H50" i="6"/>
  <c r="F10" i="5"/>
  <c r="P51" i="6"/>
  <c r="E49" i="6"/>
  <c r="U5" i="5"/>
  <c r="N5" i="6"/>
  <c r="N4" i="6" s="1"/>
  <c r="N50" i="6"/>
  <c r="T49" i="6"/>
  <c r="L51" i="6"/>
  <c r="V48" i="6"/>
  <c r="K51" i="6"/>
  <c r="U48" i="6"/>
  <c r="P10" i="5"/>
  <c r="G10" i="5"/>
  <c r="P48" i="6"/>
  <c r="M50" i="6"/>
  <c r="M5" i="6"/>
  <c r="W48" i="6"/>
  <c r="T50" i="6"/>
  <c r="K5" i="6"/>
  <c r="K50" i="6"/>
  <c r="O49" i="6"/>
  <c r="D48" i="6"/>
  <c r="N49" i="6"/>
  <c r="C48" i="6"/>
  <c r="H51" i="6"/>
  <c r="R48" i="6"/>
  <c r="U10" i="5"/>
  <c r="M5" i="5"/>
  <c r="E50" i="6"/>
  <c r="E5" i="6"/>
  <c r="K5" i="5"/>
  <c r="M51" i="6"/>
  <c r="L5" i="6"/>
  <c r="L50" i="6"/>
  <c r="D51" i="6"/>
  <c r="N48" i="6"/>
  <c r="C51" i="6"/>
  <c r="M48" i="6"/>
  <c r="H10" i="5"/>
  <c r="P5" i="5"/>
  <c r="Q50" i="6"/>
  <c r="W5" i="5"/>
  <c r="V5" i="5"/>
  <c r="O5" i="6"/>
  <c r="O4" i="6" s="1"/>
  <c r="O50" i="6"/>
  <c r="F5" i="6"/>
  <c r="F4" i="6" s="1"/>
  <c r="F50" i="6"/>
  <c r="V5" i="6"/>
  <c r="V50" i="6"/>
  <c r="H48" i="6"/>
  <c r="G5" i="5"/>
  <c r="E51" i="6"/>
  <c r="J5" i="6"/>
  <c r="J4" i="6" s="1"/>
  <c r="J50" i="6"/>
  <c r="R51" i="6"/>
  <c r="G49" i="6"/>
  <c r="V10" i="5"/>
  <c r="N5" i="5"/>
  <c r="U49" i="6"/>
  <c r="J48" i="6"/>
  <c r="M10" i="5"/>
  <c r="V51" i="6"/>
  <c r="R5" i="5"/>
  <c r="Q49" i="6"/>
  <c r="F48" i="6"/>
  <c r="C50" i="6"/>
  <c r="P49" i="6"/>
  <c r="E48" i="6"/>
  <c r="T48" i="6"/>
  <c r="W10" i="5"/>
  <c r="O5" i="5"/>
  <c r="Q51" i="6"/>
  <c r="F49" i="6"/>
  <c r="P50" i="6"/>
  <c r="G5" i="6"/>
  <c r="G4" i="6" s="1"/>
  <c r="G50" i="6"/>
  <c r="B5" i="6"/>
  <c r="B4" i="6" s="1"/>
  <c r="B50" i="6"/>
  <c r="E5" i="5"/>
  <c r="C5" i="6" l="1"/>
  <c r="C4" i="6" s="1"/>
  <c r="L4" i="6"/>
  <c r="T5" i="6"/>
  <c r="T4" i="6" s="1"/>
  <c r="E4" i="6"/>
  <c r="H5" i="6"/>
  <c r="H4" i="6" s="1"/>
  <c r="W5" i="6"/>
  <c r="W4" i="6" s="1"/>
  <c r="D4" i="6"/>
  <c r="P5" i="6"/>
  <c r="P4" i="6" s="1"/>
  <c r="R5" i="6"/>
  <c r="R4" i="6" s="1"/>
  <c r="U4" i="6"/>
  <c r="M4" i="6"/>
  <c r="V4" i="6"/>
  <c r="Q5" i="6"/>
  <c r="Q4" i="6" s="1"/>
  <c r="K4" i="6"/>
  <c r="S4" i="6"/>
  <c r="J11" i="7" l="1"/>
  <c r="K11" i="7" l="1"/>
  <c r="B38" i="7" l="1"/>
  <c r="H38" i="7" l="1"/>
  <c r="E38" i="7"/>
  <c r="D38" i="7"/>
  <c r="J38" i="7"/>
  <c r="F38" i="7"/>
  <c r="I38" i="7"/>
  <c r="C38" i="7"/>
  <c r="G38" i="7"/>
  <c r="I123" i="7" l="1"/>
  <c r="I204" i="7"/>
  <c r="I11" i="7"/>
  <c r="C123" i="7"/>
  <c r="C204" i="7"/>
  <c r="C11" i="7"/>
  <c r="G204" i="7"/>
  <c r="G123" i="7"/>
  <c r="G11" i="7"/>
  <c r="H123" i="7"/>
  <c r="H204" i="7"/>
  <c r="H11" i="7"/>
  <c r="B204" i="7"/>
  <c r="B11" i="7"/>
  <c r="B123" i="7"/>
  <c r="F11" i="7"/>
  <c r="F204" i="7"/>
  <c r="F123" i="7"/>
  <c r="D123" i="7"/>
  <c r="D204" i="7"/>
  <c r="D11" i="7"/>
  <c r="E204" i="7"/>
  <c r="E123" i="7"/>
  <c r="E11" i="7"/>
  <c r="K38" i="7"/>
  <c r="L11" i="7" l="1"/>
  <c r="L38" i="7"/>
  <c r="M11" i="7" l="1"/>
  <c r="N11" i="7" l="1"/>
  <c r="P32" i="7" l="1"/>
  <c r="M32" i="7"/>
  <c r="O32" i="7"/>
  <c r="Q32" i="7" l="1"/>
  <c r="N32" i="7"/>
  <c r="L32" i="7" l="1"/>
  <c r="R32" i="7"/>
  <c r="B32" i="7"/>
  <c r="S32" i="7"/>
  <c r="O5" i="7"/>
  <c r="K5" i="7" l="1"/>
  <c r="K32" i="7"/>
  <c r="M5" i="7"/>
  <c r="N5" i="7"/>
  <c r="P5" i="7"/>
  <c r="R5" i="7"/>
  <c r="L5" i="7"/>
  <c r="Q5" i="7"/>
  <c r="T32" i="7" l="1"/>
  <c r="T5" i="7" l="1"/>
  <c r="J5" i="7"/>
  <c r="S5" i="7"/>
  <c r="M38" i="7" l="1"/>
  <c r="N38" i="7" l="1"/>
  <c r="B44" i="7" l="1"/>
  <c r="B43" i="7"/>
  <c r="B51" i="7"/>
  <c r="B52" i="7"/>
  <c r="B45" i="7"/>
  <c r="B37" i="7"/>
  <c r="D32" i="7"/>
  <c r="B50" i="7"/>
  <c r="C32" i="7" l="1"/>
  <c r="F32" i="7"/>
  <c r="B41" i="7"/>
  <c r="E32" i="7"/>
  <c r="G32" i="7"/>
  <c r="H32" i="7"/>
  <c r="B36" i="7"/>
  <c r="B39" i="7"/>
  <c r="B49" i="7"/>
  <c r="B35" i="7"/>
  <c r="U32" i="7" l="1"/>
  <c r="B16" i="7"/>
  <c r="B18" i="7"/>
  <c r="B24" i="7"/>
  <c r="B114" i="4"/>
  <c r="B34" i="7"/>
  <c r="I32" i="7"/>
  <c r="B25" i="7"/>
  <c r="B23" i="7"/>
  <c r="B10" i="7"/>
  <c r="J32" i="7"/>
  <c r="V32" i="7"/>
  <c r="O38" i="7"/>
  <c r="O11" i="7" l="1"/>
  <c r="H5" i="7"/>
  <c r="C5" i="7"/>
  <c r="P11" i="7"/>
  <c r="B33" i="7"/>
  <c r="I5" i="7"/>
  <c r="B5" i="7"/>
  <c r="B124" i="7"/>
  <c r="B12" i="7"/>
  <c r="B8" i="7"/>
  <c r="F5" i="7"/>
  <c r="B128" i="4"/>
  <c r="B48" i="7"/>
  <c r="B14" i="7"/>
  <c r="D5" i="7"/>
  <c r="E5" i="7"/>
  <c r="U5" i="7"/>
  <c r="G5" i="7"/>
  <c r="C52" i="7"/>
  <c r="C39" i="7"/>
  <c r="C50" i="7"/>
  <c r="C37" i="7"/>
  <c r="C51" i="7"/>
  <c r="P38" i="7"/>
  <c r="C43" i="7"/>
  <c r="C45" i="7"/>
  <c r="C25" i="7" l="1"/>
  <c r="X32" i="7"/>
  <c r="C16" i="7"/>
  <c r="B42" i="7"/>
  <c r="B121" i="4"/>
  <c r="W32" i="7"/>
  <c r="C10" i="7"/>
  <c r="C41" i="7"/>
  <c r="C18" i="7"/>
  <c r="C23" i="7"/>
  <c r="B47" i="7"/>
  <c r="C24" i="7"/>
  <c r="V5" i="7"/>
  <c r="C124" i="7" l="1"/>
  <c r="C12" i="7"/>
  <c r="B40" i="7"/>
  <c r="B112" i="4"/>
  <c r="Y32" i="7"/>
  <c r="C14" i="7"/>
  <c r="X5" i="7"/>
  <c r="W5" i="7"/>
  <c r="D50" i="7"/>
  <c r="D39" i="7"/>
  <c r="D52" i="7"/>
  <c r="D37" i="7"/>
  <c r="D51" i="7"/>
  <c r="Q38" i="7"/>
  <c r="D43" i="7"/>
  <c r="D45" i="7"/>
  <c r="D23" i="7" l="1"/>
  <c r="D16" i="7"/>
  <c r="D18" i="7"/>
  <c r="Q11" i="7"/>
  <c r="D25" i="7"/>
  <c r="D10" i="7"/>
  <c r="B31" i="7"/>
  <c r="D24" i="7"/>
  <c r="D41" i="7"/>
  <c r="D12" i="7" l="1"/>
  <c r="D124" i="7"/>
  <c r="Y5" i="7"/>
  <c r="D14" i="7"/>
  <c r="E37" i="7"/>
  <c r="E39" i="7"/>
  <c r="E52" i="7"/>
  <c r="E51" i="7"/>
  <c r="E50" i="7"/>
  <c r="E45" i="7"/>
  <c r="E43" i="7"/>
  <c r="E12" i="7" l="1"/>
  <c r="E24" i="7"/>
  <c r="E18" i="7"/>
  <c r="E23" i="7"/>
  <c r="E16" i="7"/>
  <c r="E10" i="7"/>
  <c r="E25" i="7"/>
  <c r="R38" i="7"/>
  <c r="E41" i="7" l="1"/>
  <c r="R11" i="7"/>
  <c r="F37" i="7"/>
  <c r="F50" i="7"/>
  <c r="F51" i="7"/>
  <c r="F39" i="7"/>
  <c r="F52" i="7"/>
  <c r="F45" i="7"/>
  <c r="F43" i="7"/>
  <c r="F9" i="7" l="1"/>
  <c r="F18" i="7"/>
  <c r="F12" i="7"/>
  <c r="F23" i="7"/>
  <c r="F10" i="7"/>
  <c r="F24" i="7"/>
  <c r="E14" i="7"/>
  <c r="E9" i="7" l="1"/>
  <c r="F25" i="7"/>
  <c r="F41" i="7"/>
  <c r="F16" i="7"/>
  <c r="G39" i="7"/>
  <c r="G51" i="7"/>
  <c r="G37" i="7"/>
  <c r="G52" i="7"/>
  <c r="S38" i="7"/>
  <c r="G43" i="7"/>
  <c r="G45" i="7"/>
  <c r="D9" i="7" l="1"/>
  <c r="F8" i="7"/>
  <c r="F14" i="7"/>
  <c r="E8" i="7"/>
  <c r="G12" i="7"/>
  <c r="G24" i="7"/>
  <c r="G17" i="7"/>
  <c r="S11" i="7"/>
  <c r="G16" i="7"/>
  <c r="F17" i="7"/>
  <c r="G18" i="7"/>
  <c r="G10" i="7"/>
  <c r="G25" i="7"/>
  <c r="G50" i="7"/>
  <c r="G23" i="7" l="1"/>
  <c r="E17" i="7"/>
  <c r="E87" i="4"/>
  <c r="C9" i="7"/>
  <c r="G9" i="7"/>
  <c r="D8" i="7"/>
  <c r="H52" i="7"/>
  <c r="H37" i="7"/>
  <c r="H51" i="7"/>
  <c r="H39" i="7"/>
  <c r="H45" i="7"/>
  <c r="T38" i="7"/>
  <c r="C8" i="7" l="1"/>
  <c r="H12" i="7"/>
  <c r="G8" i="7"/>
  <c r="H18" i="7"/>
  <c r="H10" i="7"/>
  <c r="H25" i="7"/>
  <c r="F87" i="4"/>
  <c r="E60" i="4"/>
  <c r="E7" i="7"/>
  <c r="D87" i="4"/>
  <c r="F94" i="4"/>
  <c r="T11" i="7"/>
  <c r="B9" i="7"/>
  <c r="D17" i="7"/>
  <c r="G41" i="7"/>
  <c r="H17" i="7"/>
  <c r="H24" i="7"/>
  <c r="C36" i="7"/>
  <c r="H50" i="7"/>
  <c r="H43" i="7"/>
  <c r="C35" i="7"/>
  <c r="F85" i="4" l="1"/>
  <c r="J24" i="7"/>
  <c r="E6" i="7"/>
  <c r="E94" i="4"/>
  <c r="E85" i="4" s="1"/>
  <c r="F7" i="7"/>
  <c r="F60" i="4"/>
  <c r="B87" i="4"/>
  <c r="H9" i="7"/>
  <c r="J18" i="7"/>
  <c r="F15" i="7"/>
  <c r="F67" i="4"/>
  <c r="H23" i="7"/>
  <c r="G14" i="7"/>
  <c r="D7" i="7"/>
  <c r="D60" i="4"/>
  <c r="C87" i="4"/>
  <c r="C17" i="7"/>
  <c r="H16" i="7"/>
  <c r="I52" i="7"/>
  <c r="J51" i="7"/>
  <c r="I51" i="7"/>
  <c r="I39" i="7"/>
  <c r="D35" i="7"/>
  <c r="I45" i="7"/>
  <c r="H35" i="7"/>
  <c r="H8" i="7" l="1"/>
  <c r="D94" i="4"/>
  <c r="D85" i="4" s="1"/>
  <c r="B17" i="7"/>
  <c r="H41" i="7"/>
  <c r="I25" i="7"/>
  <c r="I12" i="7"/>
  <c r="B60" i="4"/>
  <c r="B7" i="7"/>
  <c r="G94" i="4"/>
  <c r="K18" i="7"/>
  <c r="I17" i="7"/>
  <c r="C7" i="7"/>
  <c r="C60" i="4"/>
  <c r="E15" i="7"/>
  <c r="E67" i="4"/>
  <c r="J16" i="7"/>
  <c r="F13" i="7"/>
  <c r="F6" i="7"/>
  <c r="F58" i="4"/>
  <c r="I24" i="7"/>
  <c r="C34" i="7"/>
  <c r="C114" i="4"/>
  <c r="G87" i="4"/>
  <c r="D6" i="7"/>
  <c r="C44" i="7"/>
  <c r="D36" i="7"/>
  <c r="I37" i="7"/>
  <c r="I50" i="7"/>
  <c r="J45" i="7"/>
  <c r="I43" i="7"/>
  <c r="C33" i="7" l="1"/>
  <c r="H94" i="4"/>
  <c r="H15" i="7"/>
  <c r="I18" i="7"/>
  <c r="C6" i="7"/>
  <c r="C94" i="4"/>
  <c r="C85" i="4" s="1"/>
  <c r="I23" i="7"/>
  <c r="B6" i="7"/>
  <c r="D15" i="7"/>
  <c r="D67" i="4"/>
  <c r="I16" i="7"/>
  <c r="F4" i="7"/>
  <c r="E13" i="7"/>
  <c r="E58" i="4"/>
  <c r="H87" i="4"/>
  <c r="G7" i="7"/>
  <c r="G60" i="4"/>
  <c r="H14" i="7"/>
  <c r="U11" i="7"/>
  <c r="I10" i="7"/>
  <c r="I9" i="7"/>
  <c r="K24" i="7"/>
  <c r="G85" i="4"/>
  <c r="G15" i="7"/>
  <c r="G67" i="4"/>
  <c r="D44" i="7"/>
  <c r="J39" i="7"/>
  <c r="K51" i="7"/>
  <c r="K45" i="7"/>
  <c r="J43" i="7"/>
  <c r="U38" i="7"/>
  <c r="L45" i="7"/>
  <c r="H67" i="4" l="1"/>
  <c r="E4" i="7"/>
  <c r="J17" i="7"/>
  <c r="I8" i="7"/>
  <c r="H13" i="7"/>
  <c r="D34" i="7"/>
  <c r="D114" i="4"/>
  <c r="D33" i="7" s="1"/>
  <c r="G6" i="7"/>
  <c r="G58" i="4"/>
  <c r="B94" i="4"/>
  <c r="B85" i="4" s="1"/>
  <c r="K16" i="7"/>
  <c r="J12" i="7"/>
  <c r="I41" i="7"/>
  <c r="G13" i="7"/>
  <c r="H85" i="4"/>
  <c r="M10" i="7"/>
  <c r="H7" i="7"/>
  <c r="H60" i="4"/>
  <c r="D13" i="7"/>
  <c r="D58" i="4"/>
  <c r="C15" i="7"/>
  <c r="C67" i="4"/>
  <c r="E36" i="7"/>
  <c r="J52" i="7"/>
  <c r="J37" i="7"/>
  <c r="M45" i="7"/>
  <c r="K43" i="7"/>
  <c r="V11" i="7" l="1"/>
  <c r="F22" i="7"/>
  <c r="B15" i="7"/>
  <c r="B67" i="4"/>
  <c r="C22" i="7"/>
  <c r="L18" i="7"/>
  <c r="H6" i="7"/>
  <c r="H58" i="4"/>
  <c r="G22" i="7"/>
  <c r="L24" i="7"/>
  <c r="G4" i="7"/>
  <c r="B22" i="7"/>
  <c r="H22" i="7"/>
  <c r="J10" i="7"/>
  <c r="E22" i="7"/>
  <c r="J9" i="7"/>
  <c r="C13" i="7"/>
  <c r="C58" i="4"/>
  <c r="D22" i="7"/>
  <c r="I14" i="7"/>
  <c r="C42" i="7"/>
  <c r="C121" i="4"/>
  <c r="I22" i="7"/>
  <c r="J25" i="7"/>
  <c r="D4" i="7"/>
  <c r="E44" i="7"/>
  <c r="K39" i="7"/>
  <c r="J50" i="7"/>
  <c r="V38" i="7"/>
  <c r="C49" i="7"/>
  <c r="E35" i="7"/>
  <c r="L43" i="7"/>
  <c r="L51" i="7"/>
  <c r="I87" i="4" l="1"/>
  <c r="M18" i="7"/>
  <c r="J23" i="7"/>
  <c r="G101" i="4"/>
  <c r="I94" i="4"/>
  <c r="K17" i="7"/>
  <c r="L16" i="7"/>
  <c r="C4" i="7"/>
  <c r="F101" i="4"/>
  <c r="J8" i="7"/>
  <c r="N10" i="7"/>
  <c r="C40" i="7"/>
  <c r="C112" i="4"/>
  <c r="B13" i="7"/>
  <c r="B58" i="4"/>
  <c r="C101" i="4"/>
  <c r="K12" i="7"/>
  <c r="H4" i="7"/>
  <c r="D101" i="4"/>
  <c r="B101" i="4"/>
  <c r="J41" i="7"/>
  <c r="E101" i="4"/>
  <c r="H101" i="4"/>
  <c r="I101" i="4"/>
  <c r="N45" i="7"/>
  <c r="F36" i="7"/>
  <c r="L39" i="7"/>
  <c r="K37" i="7"/>
  <c r="N51" i="7"/>
  <c r="M43" i="7"/>
  <c r="M51" i="7"/>
  <c r="O10" i="7" l="1"/>
  <c r="J14" i="7"/>
  <c r="C31" i="7"/>
  <c r="G21" i="7"/>
  <c r="G74" i="4"/>
  <c r="C48" i="7"/>
  <c r="C128" i="4"/>
  <c r="I21" i="7"/>
  <c r="I74" i="4"/>
  <c r="B74" i="4"/>
  <c r="B21" i="7"/>
  <c r="M16" i="7"/>
  <c r="R12" i="7"/>
  <c r="J22" i="7"/>
  <c r="O18" i="7"/>
  <c r="H21" i="7"/>
  <c r="H74" i="4"/>
  <c r="D74" i="4"/>
  <c r="D21" i="7"/>
  <c r="N24" i="7"/>
  <c r="C74" i="4"/>
  <c r="C21" i="7"/>
  <c r="D42" i="7"/>
  <c r="D121" i="4"/>
  <c r="M24" i="7"/>
  <c r="E74" i="4"/>
  <c r="E21" i="7"/>
  <c r="B4" i="7"/>
  <c r="I15" i="7"/>
  <c r="I67" i="4"/>
  <c r="I7" i="7"/>
  <c r="I60" i="4"/>
  <c r="I6" i="7" s="1"/>
  <c r="K10" i="7"/>
  <c r="L12" i="7"/>
  <c r="K9" i="7"/>
  <c r="F21" i="7"/>
  <c r="F74" i="4"/>
  <c r="I85" i="4"/>
  <c r="F44" i="7"/>
  <c r="L37" i="7"/>
  <c r="K50" i="7"/>
  <c r="K52" i="7"/>
  <c r="O51" i="7"/>
  <c r="O45" i="7"/>
  <c r="F35" i="7"/>
  <c r="D49" i="7"/>
  <c r="J87" i="4" l="1"/>
  <c r="O24" i="7"/>
  <c r="K8" i="7"/>
  <c r="K23" i="7"/>
  <c r="K41" i="7"/>
  <c r="I58" i="4"/>
  <c r="I13" i="7"/>
  <c r="B20" i="7"/>
  <c r="J94" i="4"/>
  <c r="J85" i="4" s="1"/>
  <c r="N18" i="7"/>
  <c r="D112" i="4"/>
  <c r="D40" i="7"/>
  <c r="I20" i="7"/>
  <c r="W11" i="7"/>
  <c r="L10" i="7"/>
  <c r="D20" i="7"/>
  <c r="J101" i="4"/>
  <c r="H20" i="7"/>
  <c r="C47" i="7"/>
  <c r="E34" i="7"/>
  <c r="E114" i="4"/>
  <c r="L17" i="7"/>
  <c r="C20" i="7"/>
  <c r="R10" i="7"/>
  <c r="F20" i="7"/>
  <c r="G20" i="7"/>
  <c r="K25" i="7"/>
  <c r="E20" i="7"/>
  <c r="M37" i="7"/>
  <c r="G36" i="7"/>
  <c r="P51" i="7"/>
  <c r="W38" i="7"/>
  <c r="K87" i="4" l="1"/>
  <c r="L8" i="7"/>
  <c r="N43" i="7"/>
  <c r="P10" i="7"/>
  <c r="E33" i="7"/>
  <c r="S12" i="7"/>
  <c r="D31" i="7"/>
  <c r="P24" i="7"/>
  <c r="K14" i="7"/>
  <c r="D48" i="7"/>
  <c r="D128" i="4"/>
  <c r="E42" i="7"/>
  <c r="E121" i="4"/>
  <c r="E40" i="7" s="1"/>
  <c r="M12" i="7"/>
  <c r="K22" i="7"/>
  <c r="I4" i="7"/>
  <c r="J74" i="4"/>
  <c r="J21" i="7"/>
  <c r="J15" i="7"/>
  <c r="J67" i="4"/>
  <c r="J60" i="4"/>
  <c r="J7" i="7"/>
  <c r="L9" i="7"/>
  <c r="G44" i="7"/>
  <c r="L52" i="7"/>
  <c r="L50" i="7"/>
  <c r="M39" i="7"/>
  <c r="E49" i="7"/>
  <c r="Q51" i="7"/>
  <c r="P45" i="7"/>
  <c r="G35" i="7"/>
  <c r="O43" i="7"/>
  <c r="Q24" i="7" l="1"/>
  <c r="X11" i="7"/>
  <c r="R25" i="7"/>
  <c r="L25" i="7"/>
  <c r="L41" i="7"/>
  <c r="L23" i="7"/>
  <c r="J20" i="7"/>
  <c r="D47" i="7"/>
  <c r="K94" i="4"/>
  <c r="K85" i="4" s="1"/>
  <c r="N16" i="7"/>
  <c r="S10" i="7"/>
  <c r="K101" i="4"/>
  <c r="M17" i="7"/>
  <c r="P18" i="7"/>
  <c r="T24" i="7"/>
  <c r="J6" i="7"/>
  <c r="J58" i="4"/>
  <c r="E112" i="4"/>
  <c r="K7" i="7"/>
  <c r="K60" i="4"/>
  <c r="F34" i="7"/>
  <c r="F114" i="4"/>
  <c r="Q25" i="7"/>
  <c r="J13" i="7"/>
  <c r="N37" i="7"/>
  <c r="H36" i="7"/>
  <c r="X38" i="7"/>
  <c r="Q10" i="7" l="1"/>
  <c r="T12" i="7"/>
  <c r="K6" i="7"/>
  <c r="L14" i="7"/>
  <c r="L94" i="4"/>
  <c r="L15" i="7"/>
  <c r="T10" i="7"/>
  <c r="E31" i="7"/>
  <c r="O16" i="7"/>
  <c r="J4" i="7"/>
  <c r="K15" i="7"/>
  <c r="K67" i="4"/>
  <c r="K13" i="7" s="1"/>
  <c r="L22" i="7"/>
  <c r="N12" i="7"/>
  <c r="K74" i="4"/>
  <c r="K21" i="7"/>
  <c r="F42" i="7"/>
  <c r="F121" i="4"/>
  <c r="F40" i="7" s="1"/>
  <c r="E48" i="7"/>
  <c r="E128" i="4"/>
  <c r="F33" i="7"/>
  <c r="H44" i="7"/>
  <c r="M50" i="7"/>
  <c r="O37" i="7"/>
  <c r="N39" i="7"/>
  <c r="F49" i="7"/>
  <c r="Q45" i="7"/>
  <c r="I35" i="7"/>
  <c r="K58" i="4" l="1"/>
  <c r="K4" i="7" s="1"/>
  <c r="F112" i="4"/>
  <c r="L67" i="4"/>
  <c r="L13" i="7" s="1"/>
  <c r="M9" i="7"/>
  <c r="F31" i="7"/>
  <c r="L101" i="4"/>
  <c r="G34" i="7"/>
  <c r="G114" i="4"/>
  <c r="E47" i="7"/>
  <c r="H114" i="4"/>
  <c r="H34" i="7"/>
  <c r="S25" i="7"/>
  <c r="L87" i="4"/>
  <c r="L85" i="4" s="1"/>
  <c r="U24" i="7"/>
  <c r="N17" i="7"/>
  <c r="Q18" i="7"/>
  <c r="R24" i="7"/>
  <c r="M23" i="7"/>
  <c r="K20" i="7"/>
  <c r="I36" i="7"/>
  <c r="M52" i="7"/>
  <c r="Y38" i="7"/>
  <c r="R51" i="7"/>
  <c r="P43" i="7"/>
  <c r="M8" i="7" l="1"/>
  <c r="R23" i="7"/>
  <c r="U12" i="7"/>
  <c r="F128" i="4"/>
  <c r="F48" i="7"/>
  <c r="Y11" i="7"/>
  <c r="U10" i="7"/>
  <c r="L74" i="4"/>
  <c r="L21" i="7"/>
  <c r="M25" i="7"/>
  <c r="H33" i="7"/>
  <c r="M41" i="7"/>
  <c r="T25" i="7"/>
  <c r="G42" i="7"/>
  <c r="G121" i="4"/>
  <c r="G40" i="7" s="1"/>
  <c r="O12" i="7"/>
  <c r="P16" i="7"/>
  <c r="L60" i="4"/>
  <c r="L7" i="7"/>
  <c r="G33" i="7"/>
  <c r="P37" i="7"/>
  <c r="N52" i="7"/>
  <c r="O39" i="7"/>
  <c r="I44" i="7"/>
  <c r="S51" i="7"/>
  <c r="J35" i="7"/>
  <c r="G49" i="7"/>
  <c r="T51" i="7"/>
  <c r="R45" i="7"/>
  <c r="G112" i="4" l="1"/>
  <c r="N25" i="7"/>
  <c r="V24" i="7"/>
  <c r="M87" i="4"/>
  <c r="O17" i="7"/>
  <c r="L6" i="7"/>
  <c r="L58" i="4"/>
  <c r="F47" i="7"/>
  <c r="N9" i="7"/>
  <c r="W12" i="7"/>
  <c r="N23" i="7"/>
  <c r="L20" i="7"/>
  <c r="I34" i="7"/>
  <c r="I114" i="4"/>
  <c r="R18" i="7"/>
  <c r="V25" i="7"/>
  <c r="M22" i="7"/>
  <c r="R22" i="7"/>
  <c r="G31" i="7"/>
  <c r="M94" i="4"/>
  <c r="M15" i="7"/>
  <c r="S24" i="7"/>
  <c r="M14" i="7"/>
  <c r="P39" i="7"/>
  <c r="N50" i="7"/>
  <c r="J36" i="7"/>
  <c r="U51" i="7"/>
  <c r="S45" i="7"/>
  <c r="M67" i="4" l="1"/>
  <c r="M13" i="7" s="1"/>
  <c r="H42" i="7"/>
  <c r="H121" i="4"/>
  <c r="R101" i="4"/>
  <c r="S18" i="7"/>
  <c r="W24" i="7"/>
  <c r="V12" i="7"/>
  <c r="S23" i="7"/>
  <c r="P12" i="7"/>
  <c r="I33" i="7"/>
  <c r="M85" i="4"/>
  <c r="N22" i="7"/>
  <c r="M7" i="7"/>
  <c r="M60" i="4"/>
  <c r="S22" i="7"/>
  <c r="M101" i="4"/>
  <c r="G128" i="4"/>
  <c r="G48" i="7"/>
  <c r="N8" i="7"/>
  <c r="U25" i="7"/>
  <c r="L4" i="7"/>
  <c r="W25" i="7"/>
  <c r="V10" i="7"/>
  <c r="J44" i="7"/>
  <c r="Q37" i="7"/>
  <c r="Q43" i="7"/>
  <c r="H49" i="7"/>
  <c r="K35" i="7"/>
  <c r="O9" i="7" l="1"/>
  <c r="O23" i="7"/>
  <c r="P17" i="7"/>
  <c r="J114" i="4"/>
  <c r="J34" i="7"/>
  <c r="Q16" i="7"/>
  <c r="N41" i="7"/>
  <c r="N87" i="4"/>
  <c r="M6" i="7"/>
  <c r="M58" i="4"/>
  <c r="R21" i="7"/>
  <c r="R74" i="4"/>
  <c r="N101" i="4"/>
  <c r="G47" i="7"/>
  <c r="H40" i="7"/>
  <c r="H112" i="4"/>
  <c r="M74" i="4"/>
  <c r="M21" i="7"/>
  <c r="V51" i="7"/>
  <c r="Q39" i="7"/>
  <c r="O52" i="7"/>
  <c r="K36" i="7"/>
  <c r="O50" i="7"/>
  <c r="T45" i="7"/>
  <c r="S101" i="4" l="1"/>
  <c r="M20" i="7"/>
  <c r="J33" i="7"/>
  <c r="U18" i="7"/>
  <c r="H31" i="7"/>
  <c r="X12" i="7"/>
  <c r="N15" i="7"/>
  <c r="N94" i="4"/>
  <c r="N85" i="4" s="1"/>
  <c r="O8" i="7"/>
  <c r="W10" i="7"/>
  <c r="X24" i="7"/>
  <c r="O25" i="7"/>
  <c r="R20" i="7"/>
  <c r="V18" i="7"/>
  <c r="M4" i="7"/>
  <c r="N14" i="7"/>
  <c r="H128" i="4"/>
  <c r="H48" i="7"/>
  <c r="T23" i="7"/>
  <c r="I42" i="7"/>
  <c r="I121" i="4"/>
  <c r="Q12" i="7"/>
  <c r="N74" i="4"/>
  <c r="N21" i="7"/>
  <c r="T18" i="7"/>
  <c r="N60" i="4"/>
  <c r="N7" i="7"/>
  <c r="R37" i="7"/>
  <c r="K44" i="7"/>
  <c r="R39" i="7"/>
  <c r="L35" i="7"/>
  <c r="I49" i="7"/>
  <c r="U45" i="7"/>
  <c r="N67" i="4" l="1"/>
  <c r="N13" i="7" s="1"/>
  <c r="T22" i="7"/>
  <c r="Q17" i="7"/>
  <c r="U23" i="7"/>
  <c r="K114" i="4"/>
  <c r="K34" i="7"/>
  <c r="O87" i="4"/>
  <c r="W18" i="7"/>
  <c r="Q176" i="4"/>
  <c r="N6" i="7"/>
  <c r="I40" i="7"/>
  <c r="I112" i="4"/>
  <c r="O41" i="7"/>
  <c r="O22" i="7"/>
  <c r="P23" i="7"/>
  <c r="X25" i="7"/>
  <c r="Y12" i="7"/>
  <c r="N20" i="7"/>
  <c r="H47" i="7"/>
  <c r="S74" i="4"/>
  <c r="S21" i="7"/>
  <c r="P50" i="7"/>
  <c r="L36" i="7"/>
  <c r="R43" i="7"/>
  <c r="N58" i="4" l="1"/>
  <c r="R16" i="7"/>
  <c r="K33" i="7"/>
  <c r="O14" i="7"/>
  <c r="X18" i="7"/>
  <c r="P25" i="7"/>
  <c r="T101" i="4"/>
  <c r="I31" i="7"/>
  <c r="I48" i="7"/>
  <c r="I128" i="4"/>
  <c r="S20" i="7"/>
  <c r="O101" i="4"/>
  <c r="N4" i="7"/>
  <c r="O7" i="7"/>
  <c r="O60" i="4"/>
  <c r="O6" i="7" s="1"/>
  <c r="J42" i="7"/>
  <c r="J121" i="4"/>
  <c r="Y24" i="7"/>
  <c r="S37" i="7"/>
  <c r="L44" i="7"/>
  <c r="W51" i="7"/>
  <c r="P52" i="7"/>
  <c r="Q52" i="7"/>
  <c r="S39" i="7"/>
  <c r="J49" i="7"/>
  <c r="M35" i="7"/>
  <c r="V45" i="7"/>
  <c r="R17" i="7" l="1"/>
  <c r="O21" i="7"/>
  <c r="O74" i="4"/>
  <c r="V23" i="7"/>
  <c r="X10" i="7"/>
  <c r="J40" i="7"/>
  <c r="J112" i="4"/>
  <c r="T74" i="4"/>
  <c r="T21" i="7"/>
  <c r="L34" i="7"/>
  <c r="L114" i="4"/>
  <c r="O94" i="4"/>
  <c r="O85" i="4" s="1"/>
  <c r="Y18" i="7"/>
  <c r="P22" i="7"/>
  <c r="I47" i="7"/>
  <c r="Y25" i="7"/>
  <c r="M36" i="7"/>
  <c r="T39" i="7"/>
  <c r="Q50" i="7"/>
  <c r="R52" i="7"/>
  <c r="O15" i="7" l="1"/>
  <c r="O67" i="4"/>
  <c r="L33" i="7"/>
  <c r="Q23" i="7"/>
  <c r="P41" i="7"/>
  <c r="P101" i="4"/>
  <c r="W23" i="7"/>
  <c r="T20" i="7"/>
  <c r="O20" i="7"/>
  <c r="Y10" i="7"/>
  <c r="J31" i="7"/>
  <c r="J128" i="4"/>
  <c r="J48" i="7"/>
  <c r="K42" i="7"/>
  <c r="K121" i="4"/>
  <c r="R50" i="7"/>
  <c r="S52" i="7"/>
  <c r="X51" i="7"/>
  <c r="M44" i="7"/>
  <c r="T37" i="7"/>
  <c r="N35" i="7"/>
  <c r="W45" i="7"/>
  <c r="K49" i="7"/>
  <c r="S43" i="7"/>
  <c r="J47" i="7" l="1"/>
  <c r="Q22" i="7"/>
  <c r="P14" i="7"/>
  <c r="S16" i="7"/>
  <c r="P21" i="7"/>
  <c r="P74" i="4"/>
  <c r="M114" i="4"/>
  <c r="M33" i="7" s="1"/>
  <c r="M34" i="7"/>
  <c r="K40" i="7"/>
  <c r="K112" i="4"/>
  <c r="O58" i="4"/>
  <c r="O13" i="7"/>
  <c r="S17" i="7"/>
  <c r="U39" i="7"/>
  <c r="N36" i="7"/>
  <c r="X45" i="7"/>
  <c r="K31" i="7" l="1"/>
  <c r="Q41" i="7"/>
  <c r="L42" i="7"/>
  <c r="L121" i="4"/>
  <c r="P20" i="7"/>
  <c r="P94" i="4"/>
  <c r="K48" i="7"/>
  <c r="K128" i="4"/>
  <c r="Q101" i="4"/>
  <c r="X23" i="7"/>
  <c r="O4" i="7"/>
  <c r="U37" i="7"/>
  <c r="T52" i="7"/>
  <c r="Y51" i="7"/>
  <c r="S50" i="7"/>
  <c r="N44" i="7"/>
  <c r="L49" i="7"/>
  <c r="T17" i="7" l="1"/>
  <c r="Q21" i="7"/>
  <c r="Q74" i="4"/>
  <c r="L40" i="7"/>
  <c r="L112" i="4"/>
  <c r="K47" i="7"/>
  <c r="N34" i="7"/>
  <c r="N114" i="4"/>
  <c r="Q14" i="7"/>
  <c r="P15" i="7"/>
  <c r="P67" i="4"/>
  <c r="U52" i="7"/>
  <c r="O36" i="7"/>
  <c r="V39" i="7"/>
  <c r="T43" i="7"/>
  <c r="Y45" i="7"/>
  <c r="L48" i="7" l="1"/>
  <c r="L128" i="4"/>
  <c r="Y23" i="7"/>
  <c r="P13" i="7"/>
  <c r="L31" i="7"/>
  <c r="M42" i="7"/>
  <c r="M121" i="4"/>
  <c r="T16" i="7"/>
  <c r="Q20" i="7"/>
  <c r="U17" i="7"/>
  <c r="N33" i="7"/>
  <c r="R41" i="7"/>
  <c r="Q94" i="4"/>
  <c r="T50" i="7"/>
  <c r="O44" i="7"/>
  <c r="V37" i="7"/>
  <c r="M49" i="7"/>
  <c r="R14" i="7" l="1"/>
  <c r="X22" i="7"/>
  <c r="M112" i="4"/>
  <c r="M40" i="7"/>
  <c r="Q15" i="7"/>
  <c r="Q67" i="4"/>
  <c r="Q13" i="7" s="1"/>
  <c r="L47" i="7"/>
  <c r="V52" i="7"/>
  <c r="U50" i="7"/>
  <c r="W39" i="7"/>
  <c r="W37" i="7"/>
  <c r="U43" i="7"/>
  <c r="M48" i="7" l="1"/>
  <c r="M128" i="4"/>
  <c r="M31" i="7"/>
  <c r="R94" i="4"/>
  <c r="V17" i="7"/>
  <c r="U16" i="7"/>
  <c r="S41" i="7"/>
  <c r="X101" i="4"/>
  <c r="N42" i="7"/>
  <c r="N121" i="4"/>
  <c r="W52" i="7"/>
  <c r="P36" i="7"/>
  <c r="P44" i="7"/>
  <c r="N49" i="7"/>
  <c r="P9" i="7" l="1"/>
  <c r="Y22" i="7"/>
  <c r="N40" i="7"/>
  <c r="N112" i="4"/>
  <c r="S14" i="7"/>
  <c r="X74" i="4"/>
  <c r="X21" i="7"/>
  <c r="R15" i="7"/>
  <c r="R67" i="4"/>
  <c r="M47" i="7"/>
  <c r="Y101" i="4"/>
  <c r="X39" i="7"/>
  <c r="V50" i="7"/>
  <c r="X37" i="7"/>
  <c r="P35" i="7"/>
  <c r="W17" i="7" l="1"/>
  <c r="N48" i="7"/>
  <c r="N128" i="4"/>
  <c r="T41" i="7"/>
  <c r="R13" i="7"/>
  <c r="N31" i="7"/>
  <c r="S94" i="4"/>
  <c r="P8" i="7"/>
  <c r="Y21" i="7"/>
  <c r="Y74" i="4"/>
  <c r="X20" i="7"/>
  <c r="O42" i="7"/>
  <c r="O121" i="4"/>
  <c r="Q44" i="7"/>
  <c r="X52" i="7"/>
  <c r="O49" i="7"/>
  <c r="V43" i="7"/>
  <c r="O35" i="7"/>
  <c r="T14" i="7" l="1"/>
  <c r="O40" i="7"/>
  <c r="S15" i="7"/>
  <c r="S67" i="4"/>
  <c r="N47" i="7"/>
  <c r="U9" i="7"/>
  <c r="V16" i="7"/>
  <c r="Y20" i="7"/>
  <c r="P87" i="4"/>
  <c r="P85" i="4" s="1"/>
  <c r="Y39" i="7"/>
  <c r="Y37" i="7"/>
  <c r="R44" i="7"/>
  <c r="W50" i="7"/>
  <c r="U8" i="7" l="1"/>
  <c r="S13" i="7"/>
  <c r="U22" i="7"/>
  <c r="Q9" i="7"/>
  <c r="T94" i="4"/>
  <c r="P42" i="7"/>
  <c r="P121" i="4"/>
  <c r="P40" i="7" s="1"/>
  <c r="P34" i="7"/>
  <c r="P114" i="4"/>
  <c r="O48" i="7"/>
  <c r="O128" i="4"/>
  <c r="P7" i="7"/>
  <c r="P60" i="4"/>
  <c r="Y52" i="7"/>
  <c r="Q36" i="7"/>
  <c r="X50" i="7"/>
  <c r="P49" i="7"/>
  <c r="W43" i="7"/>
  <c r="O114" i="4" l="1"/>
  <c r="O34" i="7"/>
  <c r="U41" i="7"/>
  <c r="W16" i="7"/>
  <c r="P33" i="7"/>
  <c r="P112" i="4"/>
  <c r="U101" i="4"/>
  <c r="U87" i="4"/>
  <c r="X17" i="7"/>
  <c r="P6" i="7"/>
  <c r="P58" i="4"/>
  <c r="Q8" i="7"/>
  <c r="V9" i="7"/>
  <c r="T15" i="7"/>
  <c r="T67" i="4"/>
  <c r="O47" i="7"/>
  <c r="S44" i="7"/>
  <c r="Q35" i="7"/>
  <c r="T13" i="7" l="1"/>
  <c r="P4" i="7"/>
  <c r="P31" i="7"/>
  <c r="P128" i="4"/>
  <c r="P48" i="7"/>
  <c r="U14" i="7"/>
  <c r="U94" i="4"/>
  <c r="U85" i="4" s="1"/>
  <c r="U15" i="7"/>
  <c r="U7" i="7"/>
  <c r="U60" i="4"/>
  <c r="R9" i="7"/>
  <c r="Q42" i="7"/>
  <c r="Q121" i="4"/>
  <c r="Q40" i="7" s="1"/>
  <c r="V22" i="7"/>
  <c r="U21" i="7"/>
  <c r="U74" i="4"/>
  <c r="Q87" i="4"/>
  <c r="Q85" i="4" s="1"/>
  <c r="V8" i="7"/>
  <c r="O33" i="7"/>
  <c r="O112" i="4"/>
  <c r="Y50" i="7"/>
  <c r="R36" i="7"/>
  <c r="Q49" i="7"/>
  <c r="U20" i="7" l="1"/>
  <c r="O31" i="7"/>
  <c r="U6" i="7"/>
  <c r="P47" i="7"/>
  <c r="V87" i="4"/>
  <c r="W9" i="7"/>
  <c r="Q34" i="7"/>
  <c r="Q114" i="4"/>
  <c r="U67" i="4"/>
  <c r="U58" i="4" s="1"/>
  <c r="R8" i="7"/>
  <c r="Q7" i="7"/>
  <c r="Q60" i="4"/>
  <c r="T44" i="7"/>
  <c r="S36" i="7"/>
  <c r="R35" i="7"/>
  <c r="X43" i="7"/>
  <c r="Q128" i="4" l="1"/>
  <c r="Q48" i="7"/>
  <c r="W22" i="7"/>
  <c r="R42" i="7"/>
  <c r="R121" i="4"/>
  <c r="R40" i="7" s="1"/>
  <c r="X16" i="7"/>
  <c r="Q33" i="7"/>
  <c r="Q112" i="4"/>
  <c r="U4" i="7"/>
  <c r="W8" i="7"/>
  <c r="V101" i="4"/>
  <c r="Q6" i="7"/>
  <c r="Q58" i="4"/>
  <c r="R87" i="4"/>
  <c r="R85" i="4" s="1"/>
  <c r="S9" i="7"/>
  <c r="V60" i="4"/>
  <c r="V7" i="7"/>
  <c r="V41" i="7"/>
  <c r="Y17" i="7"/>
  <c r="U13" i="7"/>
  <c r="R49" i="7"/>
  <c r="S35" i="7"/>
  <c r="W87" i="4" l="1"/>
  <c r="V14" i="7"/>
  <c r="V21" i="7"/>
  <c r="V74" i="4"/>
  <c r="X9" i="7"/>
  <c r="S8" i="7"/>
  <c r="R7" i="7"/>
  <c r="R60" i="4"/>
  <c r="Q4" i="7"/>
  <c r="W101" i="4"/>
  <c r="V6" i="7"/>
  <c r="Q31" i="7"/>
  <c r="Q47" i="7"/>
  <c r="U44" i="7"/>
  <c r="S42" i="7" l="1"/>
  <c r="S121" i="4"/>
  <c r="S40" i="7" s="1"/>
  <c r="R128" i="4"/>
  <c r="R48" i="7"/>
  <c r="R6" i="7"/>
  <c r="R58" i="4"/>
  <c r="V20" i="7"/>
  <c r="V94" i="4"/>
  <c r="V85" i="4" s="1"/>
  <c r="W41" i="7"/>
  <c r="R114" i="4"/>
  <c r="R34" i="7"/>
  <c r="W21" i="7"/>
  <c r="W74" i="4"/>
  <c r="S87" i="4"/>
  <c r="S85" i="4" s="1"/>
  <c r="W7" i="7"/>
  <c r="W60" i="4"/>
  <c r="S49" i="7"/>
  <c r="Y43" i="7"/>
  <c r="R4" i="7" l="1"/>
  <c r="Y9" i="7"/>
  <c r="W14" i="7"/>
  <c r="R33" i="7"/>
  <c r="R112" i="4"/>
  <c r="X8" i="7"/>
  <c r="S7" i="7"/>
  <c r="S60" i="4"/>
  <c r="X87" i="4"/>
  <c r="V15" i="7"/>
  <c r="V67" i="4"/>
  <c r="R47" i="7"/>
  <c r="Y16" i="7"/>
  <c r="W20" i="7"/>
  <c r="T9" i="7"/>
  <c r="W6" i="7"/>
  <c r="V44" i="7"/>
  <c r="T36" i="7"/>
  <c r="R31" i="7" l="1"/>
  <c r="X7" i="7"/>
  <c r="X60" i="4"/>
  <c r="X6" i="7" s="1"/>
  <c r="T42" i="7"/>
  <c r="T121" i="4"/>
  <c r="T40" i="7" s="1"/>
  <c r="S6" i="7"/>
  <c r="S58" i="4"/>
  <c r="S128" i="4"/>
  <c r="S48" i="7"/>
  <c r="Y8" i="7"/>
  <c r="T8" i="7"/>
  <c r="S114" i="4"/>
  <c r="S34" i="7"/>
  <c r="V13" i="7"/>
  <c r="V58" i="4"/>
  <c r="W94" i="4"/>
  <c r="W85" i="4" s="1"/>
  <c r="U36" i="7"/>
  <c r="T35" i="7"/>
  <c r="T49" i="7"/>
  <c r="S33" i="7" l="1"/>
  <c r="S112" i="4"/>
  <c r="W15" i="7"/>
  <c r="W67" i="4"/>
  <c r="Y87" i="4"/>
  <c r="T34" i="7"/>
  <c r="T114" i="4"/>
  <c r="V4" i="7"/>
  <c r="T87" i="4"/>
  <c r="T85" i="4" s="1"/>
  <c r="X41" i="7"/>
  <c r="S47" i="7"/>
  <c r="S4" i="7"/>
  <c r="W44" i="7"/>
  <c r="U35" i="7"/>
  <c r="T33" i="7" l="1"/>
  <c r="T112" i="4"/>
  <c r="T60" i="4"/>
  <c r="T7" i="7"/>
  <c r="U42" i="7"/>
  <c r="U121" i="4"/>
  <c r="U40" i="7" s="1"/>
  <c r="Y60" i="4"/>
  <c r="Y7" i="7"/>
  <c r="T48" i="7"/>
  <c r="T128" i="4"/>
  <c r="W13" i="7"/>
  <c r="W58" i="4"/>
  <c r="X94" i="4"/>
  <c r="X85" i="4" s="1"/>
  <c r="X15" i="7"/>
  <c r="X14" i="7"/>
  <c r="S31" i="7"/>
  <c r="Y41" i="7"/>
  <c r="V36" i="7"/>
  <c r="U49" i="7"/>
  <c r="X67" i="4" l="1"/>
  <c r="W4" i="7"/>
  <c r="T47" i="7"/>
  <c r="X58" i="4"/>
  <c r="X13" i="7"/>
  <c r="T6" i="7"/>
  <c r="T58" i="4"/>
  <c r="U34" i="7"/>
  <c r="U114" i="4"/>
  <c r="T31" i="7"/>
  <c r="Y6" i="7"/>
  <c r="W36" i="7"/>
  <c r="X44" i="7"/>
  <c r="V35" i="7"/>
  <c r="V42" i="7" l="1"/>
  <c r="V121" i="4"/>
  <c r="X4" i="7"/>
  <c r="U33" i="7"/>
  <c r="U112" i="4"/>
  <c r="Y94" i="4"/>
  <c r="Y85" i="4" s="1"/>
  <c r="T4" i="7"/>
  <c r="U128" i="4"/>
  <c r="U48" i="7"/>
  <c r="X36" i="7"/>
  <c r="V49" i="7"/>
  <c r="V34" i="7" l="1"/>
  <c r="V114" i="4"/>
  <c r="V33" i="7" s="1"/>
  <c r="U31" i="7"/>
  <c r="U47" i="7"/>
  <c r="V112" i="4"/>
  <c r="V40" i="7"/>
  <c r="Y14" i="7"/>
  <c r="Y67" i="4"/>
  <c r="Y15" i="7"/>
  <c r="Y44" i="7"/>
  <c r="W35" i="7"/>
  <c r="V31" i="7" l="1"/>
  <c r="W42" i="7"/>
  <c r="W121" i="4"/>
  <c r="W40" i="7" s="1"/>
  <c r="Y13" i="7"/>
  <c r="Y58" i="4"/>
  <c r="V128" i="4"/>
  <c r="V48" i="7"/>
  <c r="Y36" i="7"/>
  <c r="W49" i="7"/>
  <c r="V47" i="7" l="1"/>
  <c r="Y4" i="7"/>
  <c r="W114" i="4"/>
  <c r="W34" i="7"/>
  <c r="X35" i="7"/>
  <c r="X42" i="7" l="1"/>
  <c r="X121" i="4"/>
  <c r="X40" i="7" s="1"/>
  <c r="W48" i="7"/>
  <c r="W128" i="4"/>
  <c r="W33" i="7"/>
  <c r="W112" i="4"/>
  <c r="X49" i="7"/>
  <c r="W31" i="7" l="1"/>
  <c r="W47" i="7"/>
  <c r="X34" i="7"/>
  <c r="X114" i="4"/>
  <c r="Y35" i="7"/>
  <c r="X33" i="7" l="1"/>
  <c r="X112" i="4"/>
  <c r="X128" i="4"/>
  <c r="X48" i="7"/>
  <c r="Y121" i="4"/>
  <c r="Y40" i="7" s="1"/>
  <c r="Y42" i="7"/>
  <c r="Y49" i="7"/>
  <c r="Y114" i="4" l="1"/>
  <c r="Y34" i="7"/>
  <c r="Y69" i="7"/>
  <c r="X47" i="7"/>
  <c r="X31" i="7"/>
  <c r="Y48" i="7" l="1"/>
  <c r="Y128" i="4"/>
  <c r="Y62" i="7"/>
  <c r="Y60" i="7" s="1"/>
  <c r="Y33" i="7"/>
  <c r="Y112" i="4"/>
  <c r="Y76" i="7" l="1"/>
  <c r="Y31" i="7"/>
  <c r="Y47" i="7"/>
  <c r="B169" i="4" l="1"/>
  <c r="E169" i="4"/>
  <c r="L169" i="4"/>
  <c r="J169" i="4"/>
  <c r="M169" i="4"/>
  <c r="N169" i="4"/>
  <c r="F169" i="4"/>
  <c r="I169" i="4"/>
  <c r="C169" i="4"/>
  <c r="D169" i="4"/>
  <c r="Q169" i="4"/>
  <c r="O169" i="4"/>
  <c r="G169" i="4"/>
  <c r="H169" i="4"/>
  <c r="K169" i="4"/>
  <c r="P169" i="4"/>
  <c r="R169" i="4" l="1"/>
  <c r="S169" i="4" l="1"/>
  <c r="T169" i="4" l="1"/>
  <c r="U169" i="4" l="1"/>
  <c r="W169" i="4" l="1"/>
  <c r="V169" i="4"/>
  <c r="X169" i="4" l="1"/>
  <c r="Q178" i="4" l="1"/>
  <c r="P178" i="4" l="1"/>
  <c r="P182" i="4"/>
  <c r="Q182" i="4"/>
  <c r="O178" i="4" l="1"/>
  <c r="V27" i="4" l="1"/>
  <c r="W27" i="4"/>
  <c r="R182" i="4" l="1"/>
  <c r="X27" i="4"/>
  <c r="S182" i="4" l="1"/>
  <c r="Y27" i="4"/>
  <c r="W53" i="4" l="1"/>
  <c r="V53" i="4"/>
  <c r="W28" i="4"/>
  <c r="V28" i="4"/>
  <c r="W26" i="4" l="1"/>
  <c r="V26" i="4"/>
  <c r="X53" i="4"/>
  <c r="Y53" i="4"/>
  <c r="Q14" i="4"/>
  <c r="X28" i="4"/>
  <c r="Y28" i="4"/>
  <c r="X26" i="4" l="1"/>
  <c r="Y26" i="4"/>
  <c r="W163" i="4"/>
  <c r="W20" i="3"/>
  <c r="Q205" i="4"/>
  <c r="V163" i="4"/>
  <c r="V20" i="3"/>
  <c r="Q18" i="4"/>
  <c r="Q209" i="4" l="1"/>
  <c r="X163" i="4"/>
  <c r="X20" i="3"/>
  <c r="Y163" i="4"/>
  <c r="Y20" i="3"/>
  <c r="V28" i="7"/>
  <c r="V192" i="4"/>
  <c r="V219" i="4"/>
  <c r="W28" i="7" l="1"/>
  <c r="W192" i="4"/>
  <c r="W219" i="4"/>
  <c r="Y28" i="7" l="1"/>
  <c r="Y192" i="4"/>
  <c r="Y219" i="4"/>
  <c r="X28" i="7"/>
  <c r="X192" i="4"/>
  <c r="X219" i="4"/>
  <c r="P129" i="5" l="1"/>
  <c r="P75" i="5"/>
  <c r="P130" i="7" s="1"/>
  <c r="N178" i="4" l="1"/>
  <c r="P123" i="6"/>
  <c r="P150" i="6"/>
  <c r="P69" i="6"/>
  <c r="M178" i="4" l="1"/>
  <c r="L178" i="4" l="1"/>
  <c r="M27" i="4"/>
  <c r="Q27" i="4"/>
  <c r="N27" i="4"/>
  <c r="L27" i="4"/>
  <c r="P27" i="4"/>
  <c r="O27" i="4"/>
  <c r="K27" i="4" l="1"/>
  <c r="O53" i="4" l="1"/>
  <c r="N53" i="4"/>
  <c r="M28" i="4"/>
  <c r="M53" i="4"/>
  <c r="Q53" i="4"/>
  <c r="P53" i="4"/>
  <c r="Q28" i="4"/>
  <c r="J27" i="4"/>
  <c r="P28" i="4"/>
  <c r="N28" i="4"/>
  <c r="O28" i="4"/>
  <c r="N26" i="4" l="1"/>
  <c r="P26" i="4"/>
  <c r="Q26" i="4"/>
  <c r="O26" i="4"/>
  <c r="M26" i="4"/>
  <c r="L53" i="4"/>
  <c r="L28" i="4"/>
  <c r="I27" i="4"/>
  <c r="L26" i="4" l="1"/>
  <c r="Q163" i="4"/>
  <c r="Q20" i="3"/>
  <c r="P176" i="4"/>
  <c r="N163" i="4"/>
  <c r="N20" i="3"/>
  <c r="O163" i="4"/>
  <c r="O20" i="3"/>
  <c r="K53" i="4"/>
  <c r="P163" i="4"/>
  <c r="P20" i="3"/>
  <c r="K178" i="4"/>
  <c r="M163" i="4"/>
  <c r="M20" i="3"/>
  <c r="K28" i="4"/>
  <c r="H27" i="4"/>
  <c r="K26" i="4" l="1"/>
  <c r="J178" i="4"/>
  <c r="L163" i="4"/>
  <c r="L20" i="3"/>
  <c r="J53" i="4"/>
  <c r="O176" i="4"/>
  <c r="J28" i="4"/>
  <c r="G27" i="4"/>
  <c r="J26" i="4" l="1"/>
  <c r="M28" i="7"/>
  <c r="M192" i="4"/>
  <c r="M219" i="4"/>
  <c r="I178" i="4"/>
  <c r="O28" i="7"/>
  <c r="O192" i="4"/>
  <c r="O219" i="4"/>
  <c r="Q28" i="7"/>
  <c r="Q192" i="4"/>
  <c r="Q219" i="4"/>
  <c r="I53" i="4"/>
  <c r="N28" i="7"/>
  <c r="N192" i="4"/>
  <c r="N219" i="4"/>
  <c r="K163" i="4"/>
  <c r="K20" i="3"/>
  <c r="P28" i="7"/>
  <c r="P192" i="4"/>
  <c r="P219" i="4"/>
  <c r="N176" i="4"/>
  <c r="Q180" i="4"/>
  <c r="I28" i="4"/>
  <c r="I26" i="4" l="1"/>
  <c r="Q175" i="4"/>
  <c r="H178" i="4"/>
  <c r="J163" i="4"/>
  <c r="J20" i="3"/>
  <c r="H53" i="4"/>
  <c r="M176" i="4"/>
  <c r="L28" i="7"/>
  <c r="L192" i="4"/>
  <c r="L219" i="4"/>
  <c r="Q16" i="4"/>
  <c r="H28" i="4"/>
  <c r="H26" i="4" l="1"/>
  <c r="K28" i="7"/>
  <c r="K192" i="4"/>
  <c r="K219" i="4"/>
  <c r="G53" i="4"/>
  <c r="I163" i="4"/>
  <c r="I20" i="3"/>
  <c r="G178" i="4"/>
  <c r="L176" i="4"/>
  <c r="Q207" i="4"/>
  <c r="G28" i="4"/>
  <c r="G26" i="4" l="1"/>
  <c r="J28" i="7"/>
  <c r="J192" i="4"/>
  <c r="J219" i="4"/>
  <c r="K176" i="4"/>
  <c r="F178" i="4"/>
  <c r="H163" i="4"/>
  <c r="H20" i="3"/>
  <c r="I28" i="7" l="1"/>
  <c r="I192" i="4"/>
  <c r="I219" i="4"/>
  <c r="G163" i="4"/>
  <c r="G20" i="3"/>
  <c r="E178" i="4"/>
  <c r="T182" i="4"/>
  <c r="J176" i="4"/>
  <c r="Y182" i="4" l="1"/>
  <c r="D178" i="4"/>
  <c r="U182" i="4"/>
  <c r="H28" i="7"/>
  <c r="H192" i="4"/>
  <c r="H219" i="4"/>
  <c r="X182" i="4"/>
  <c r="I176" i="4"/>
  <c r="W182" i="4"/>
  <c r="V182" i="4"/>
  <c r="G28" i="7" l="1"/>
  <c r="G192" i="4"/>
  <c r="G219" i="4"/>
  <c r="H176" i="4"/>
  <c r="B178" i="4"/>
  <c r="C178" i="4"/>
  <c r="Q69" i="5" l="1"/>
  <c r="Q124" i="7" s="1"/>
  <c r="Q123" i="5"/>
  <c r="G176" i="4"/>
  <c r="Q117" i="6" l="1"/>
  <c r="Q144" i="6"/>
  <c r="Q63" i="6"/>
  <c r="P123" i="5"/>
  <c r="P69" i="5"/>
  <c r="P124" i="7" s="1"/>
  <c r="F176" i="4"/>
  <c r="P117" i="6" l="1"/>
  <c r="P144" i="6"/>
  <c r="P63" i="6"/>
  <c r="Q75" i="5"/>
  <c r="Q130" i="7" s="1"/>
  <c r="Q129" i="5"/>
  <c r="Q102" i="5"/>
  <c r="E176" i="4"/>
  <c r="N181" i="4"/>
  <c r="Q123" i="6" l="1"/>
  <c r="Q150" i="6"/>
  <c r="Q69" i="6"/>
  <c r="Q96" i="6"/>
  <c r="D12" i="4"/>
  <c r="D63" i="6"/>
  <c r="D257" i="4"/>
  <c r="D176" i="4"/>
  <c r="P175" i="4"/>
  <c r="G69" i="5"/>
  <c r="G124" i="7" s="1"/>
  <c r="G123" i="5"/>
  <c r="C12" i="4" l="1"/>
  <c r="C257" i="4"/>
  <c r="C176" i="4"/>
  <c r="C63" i="6"/>
  <c r="D90" i="6"/>
  <c r="D96" i="5"/>
  <c r="D230" i="4"/>
  <c r="D203" i="4"/>
  <c r="B257" i="4"/>
  <c r="B12" i="4"/>
  <c r="B176" i="4"/>
  <c r="B63" i="6"/>
  <c r="F123" i="5"/>
  <c r="F69" i="5"/>
  <c r="F124" i="7" s="1"/>
  <c r="G117" i="6"/>
  <c r="G144" i="6"/>
  <c r="G63" i="6"/>
  <c r="E69" i="5" l="1"/>
  <c r="E124" i="7" s="1"/>
  <c r="E123" i="5"/>
  <c r="B203" i="4"/>
  <c r="B90" i="6"/>
  <c r="B96" i="5"/>
  <c r="B230" i="4"/>
  <c r="F117" i="6"/>
  <c r="F144" i="6"/>
  <c r="F63" i="6"/>
  <c r="C90" i="6"/>
  <c r="C96" i="5"/>
  <c r="C230" i="4"/>
  <c r="C203" i="4"/>
  <c r="D123" i="5" l="1"/>
  <c r="D69" i="5"/>
  <c r="D150" i="5"/>
  <c r="Q189" i="4"/>
  <c r="E117" i="6"/>
  <c r="E144" i="6"/>
  <c r="E63" i="6"/>
  <c r="Q185" i="4"/>
  <c r="P189" i="4" l="1"/>
  <c r="Q186" i="4"/>
  <c r="D117" i="6"/>
  <c r="D144" i="6"/>
  <c r="O181" i="4"/>
  <c r="C123" i="5"/>
  <c r="C150" i="5"/>
  <c r="C69" i="5"/>
  <c r="Q174" i="4"/>
  <c r="P185" i="4"/>
  <c r="B150" i="5"/>
  <c r="B123" i="5"/>
  <c r="B69" i="5"/>
  <c r="Q21" i="4"/>
  <c r="Q25" i="4"/>
  <c r="B117" i="6" l="1"/>
  <c r="B144" i="6"/>
  <c r="O189" i="4"/>
  <c r="O185" i="4"/>
  <c r="Q216" i="4"/>
  <c r="C117" i="6"/>
  <c r="C144" i="6"/>
  <c r="P186" i="4"/>
  <c r="Q212" i="4"/>
  <c r="P21" i="4"/>
  <c r="Q22" i="4"/>
  <c r="P25" i="4"/>
  <c r="N189" i="4" l="1"/>
  <c r="P174" i="4"/>
  <c r="O186" i="4"/>
  <c r="N185" i="4"/>
  <c r="Q181" i="4"/>
  <c r="P216" i="4"/>
  <c r="Q213" i="4"/>
  <c r="P212" i="4"/>
  <c r="O21" i="4"/>
  <c r="P22" i="4"/>
  <c r="O25" i="4"/>
  <c r="Q179" i="4" l="1"/>
  <c r="Q40" i="4"/>
  <c r="P213" i="4"/>
  <c r="O212" i="4"/>
  <c r="M185" i="4"/>
  <c r="O174" i="4"/>
  <c r="O216" i="4"/>
  <c r="O22" i="4"/>
  <c r="Q4" i="5"/>
  <c r="Q47" i="6" s="1"/>
  <c r="N25" i="4"/>
  <c r="N21" i="4"/>
  <c r="Q17" i="4"/>
  <c r="Q73" i="5" l="1"/>
  <c r="Q128" i="7" s="1"/>
  <c r="Q127" i="5"/>
  <c r="Q100" i="5"/>
  <c r="L174" i="4"/>
  <c r="L185" i="4"/>
  <c r="N216" i="4"/>
  <c r="Q177" i="4"/>
  <c r="N212" i="4"/>
  <c r="O213" i="4"/>
  <c r="N174" i="4"/>
  <c r="Q136" i="5"/>
  <c r="Q82" i="5"/>
  <c r="Q137" i="7" s="1"/>
  <c r="Q109" i="5"/>
  <c r="Q208" i="4"/>
  <c r="M21" i="4"/>
  <c r="Q15" i="4"/>
  <c r="Q206" i="4" l="1"/>
  <c r="Q13" i="4"/>
  <c r="M212" i="4"/>
  <c r="K185" i="4"/>
  <c r="Q130" i="6"/>
  <c r="Q157" i="6"/>
  <c r="Q76" i="6"/>
  <c r="Q103" i="6"/>
  <c r="M174" i="4"/>
  <c r="P181" i="4"/>
  <c r="P4" i="5"/>
  <c r="P47" i="6" s="1"/>
  <c r="P136" i="5"/>
  <c r="P82" i="5"/>
  <c r="P137" i="7" s="1"/>
  <c r="P109" i="5"/>
  <c r="Q121" i="6"/>
  <c r="Q67" i="6"/>
  <c r="Q209" i="7" s="1"/>
  <c r="Q94" i="6"/>
  <c r="L21" i="4"/>
  <c r="J185" i="4" l="1"/>
  <c r="O82" i="5"/>
  <c r="O137" i="7" s="1"/>
  <c r="O136" i="5"/>
  <c r="O109" i="5"/>
  <c r="L212" i="4"/>
  <c r="Q204" i="4"/>
  <c r="Q150" i="4"/>
  <c r="Q8" i="3"/>
  <c r="P130" i="6"/>
  <c r="P157" i="6"/>
  <c r="P76" i="6"/>
  <c r="P103" i="6"/>
  <c r="K21" i="4"/>
  <c r="G12" i="4"/>
  <c r="G203" i="4" l="1"/>
  <c r="G90" i="6"/>
  <c r="G96" i="5"/>
  <c r="I185" i="4"/>
  <c r="N82" i="5"/>
  <c r="N137" i="7" s="1"/>
  <c r="N136" i="5"/>
  <c r="N109" i="5"/>
  <c r="H123" i="5"/>
  <c r="H69" i="5"/>
  <c r="H124" i="7" s="1"/>
  <c r="O157" i="6"/>
  <c r="O130" i="6"/>
  <c r="O76" i="6"/>
  <c r="O103" i="6"/>
  <c r="K212" i="4"/>
  <c r="I123" i="5"/>
  <c r="I69" i="5"/>
  <c r="I124" i="7" s="1"/>
  <c r="J21" i="4"/>
  <c r="F12" i="4"/>
  <c r="J212" i="4" l="1"/>
  <c r="N130" i="6"/>
  <c r="N157" i="6"/>
  <c r="N76" i="6"/>
  <c r="N103" i="6"/>
  <c r="H117" i="6"/>
  <c r="H144" i="6"/>
  <c r="H63" i="6"/>
  <c r="I117" i="6"/>
  <c r="I144" i="6"/>
  <c r="I63" i="6"/>
  <c r="H185" i="4"/>
  <c r="F203" i="4"/>
  <c r="F90" i="6"/>
  <c r="F96" i="5"/>
  <c r="I21" i="4"/>
  <c r="E12" i="4"/>
  <c r="I212" i="4" l="1"/>
  <c r="G185" i="4"/>
  <c r="E96" i="5"/>
  <c r="E90" i="6"/>
  <c r="E203" i="4"/>
  <c r="H21" i="4"/>
  <c r="F185" i="4" l="1"/>
  <c r="H212" i="4"/>
  <c r="G21" i="4"/>
  <c r="E185" i="4" l="1"/>
  <c r="G212" i="4"/>
  <c r="F21" i="4"/>
  <c r="D185" i="4" l="1"/>
  <c r="F212" i="4"/>
  <c r="E21" i="4"/>
  <c r="E212" i="4" l="1"/>
  <c r="R178" i="4"/>
  <c r="B185" i="4"/>
  <c r="C185" i="4"/>
  <c r="D21" i="4"/>
  <c r="R180" i="4" l="1"/>
  <c r="D212" i="4"/>
  <c r="R14" i="4"/>
  <c r="R205" i="4" l="1"/>
  <c r="R75" i="5"/>
  <c r="R130" i="7" s="1"/>
  <c r="R129" i="5"/>
  <c r="C21" i="4"/>
  <c r="B21" i="4"/>
  <c r="R18" i="4"/>
  <c r="R16" i="4"/>
  <c r="R207" i="4" l="1"/>
  <c r="B212" i="4"/>
  <c r="R123" i="6"/>
  <c r="R150" i="6"/>
  <c r="R69" i="6"/>
  <c r="R102" i="5"/>
  <c r="R96" i="6"/>
  <c r="R209" i="4"/>
  <c r="C212" i="4"/>
  <c r="I12" i="4" l="1"/>
  <c r="H12" i="4"/>
  <c r="I203" i="4" l="1"/>
  <c r="I96" i="5"/>
  <c r="I90" i="6"/>
  <c r="H203" i="4"/>
  <c r="H90" i="6"/>
  <c r="H96" i="5"/>
  <c r="R174" i="4" l="1"/>
  <c r="R176" i="4" l="1"/>
  <c r="R175" i="4" l="1"/>
  <c r="M5" i="4" l="1"/>
  <c r="K5" i="4"/>
  <c r="L5" i="4"/>
  <c r="M196" i="4" l="1"/>
  <c r="M6" i="3"/>
  <c r="K196" i="4"/>
  <c r="K6" i="3"/>
  <c r="L196" i="4"/>
  <c r="L6" i="3"/>
  <c r="N5" i="4"/>
  <c r="J5" i="4"/>
  <c r="J196" i="4" l="1"/>
  <c r="J6" i="3"/>
  <c r="N196" i="4"/>
  <c r="N6" i="3"/>
  <c r="I5" i="4"/>
  <c r="O5" i="4"/>
  <c r="I196" i="4" l="1"/>
  <c r="I6" i="3"/>
  <c r="O196" i="4"/>
  <c r="O6" i="3"/>
  <c r="P5" i="4"/>
  <c r="H5" i="4"/>
  <c r="R123" i="5" l="1"/>
  <c r="R69" i="5"/>
  <c r="R124" i="7" s="1"/>
  <c r="P196" i="4"/>
  <c r="P6" i="3"/>
  <c r="H196" i="4"/>
  <c r="H6" i="3"/>
  <c r="Q5" i="4"/>
  <c r="G5" i="4"/>
  <c r="G196" i="4" l="1"/>
  <c r="G6" i="3"/>
  <c r="Q196" i="4"/>
  <c r="Q6" i="3"/>
  <c r="R117" i="6"/>
  <c r="R144" i="6"/>
  <c r="R63" i="6"/>
  <c r="F5" i="4"/>
  <c r="F196" i="4" l="1"/>
  <c r="F6" i="3"/>
  <c r="E5" i="4"/>
  <c r="E196" i="4" l="1"/>
  <c r="E6" i="3"/>
  <c r="D5" i="4"/>
  <c r="D196" i="4" l="1"/>
  <c r="D6" i="3"/>
  <c r="C5" i="4"/>
  <c r="C196" i="4" l="1"/>
  <c r="C6" i="3"/>
  <c r="B5" i="4"/>
  <c r="B196" i="4" l="1"/>
  <c r="B6" i="3"/>
  <c r="S129" i="5"/>
  <c r="S75" i="5"/>
  <c r="S130" i="7" s="1"/>
  <c r="S180" i="4" l="1"/>
  <c r="S123" i="6"/>
  <c r="S150" i="6"/>
  <c r="S69" i="6"/>
  <c r="R5" i="4"/>
  <c r="S5" i="4"/>
  <c r="W5" i="4"/>
  <c r="X5" i="4"/>
  <c r="R196" i="4" l="1"/>
  <c r="R6" i="3"/>
  <c r="S178" i="4"/>
  <c r="W6" i="3"/>
  <c r="W196" i="4"/>
  <c r="S196" i="4"/>
  <c r="S6" i="3"/>
  <c r="X6" i="3"/>
  <c r="X196" i="4"/>
  <c r="S16" i="4"/>
  <c r="S207" i="4" l="1"/>
  <c r="S14" i="4"/>
  <c r="S205" i="4" l="1"/>
  <c r="S18" i="4"/>
  <c r="R27" i="4"/>
  <c r="U27" i="4"/>
  <c r="T27" i="4"/>
  <c r="S209" i="4" l="1"/>
  <c r="S102" i="5"/>
  <c r="S96" i="6"/>
  <c r="T53" i="4" l="1"/>
  <c r="R53" i="4"/>
  <c r="U53" i="4"/>
  <c r="R28" i="4"/>
  <c r="T28" i="4"/>
  <c r="U28" i="4"/>
  <c r="R26" i="4" l="1"/>
  <c r="U26" i="4"/>
  <c r="T26" i="4"/>
  <c r="T163" i="4" l="1"/>
  <c r="T20" i="3"/>
  <c r="S174" i="4"/>
  <c r="R163" i="4"/>
  <c r="R20" i="3"/>
  <c r="U163" i="4"/>
  <c r="U20" i="3"/>
  <c r="T28" i="7" l="1"/>
  <c r="T192" i="4"/>
  <c r="T219" i="4"/>
  <c r="U28" i="7"/>
  <c r="U192" i="4"/>
  <c r="U219" i="4"/>
  <c r="S176" i="4"/>
  <c r="R28" i="7" l="1"/>
  <c r="R192" i="4"/>
  <c r="R219" i="4"/>
  <c r="S175" i="4" l="1"/>
  <c r="T129" i="5" l="1"/>
  <c r="T75" i="5"/>
  <c r="T130" i="7" s="1"/>
  <c r="T180" i="4" l="1"/>
  <c r="T123" i="6"/>
  <c r="T150" i="6"/>
  <c r="T69" i="6"/>
  <c r="T178" i="4"/>
  <c r="T14" i="4" l="1"/>
  <c r="T16" i="4"/>
  <c r="T205" i="4" l="1"/>
  <c r="T207" i="4"/>
  <c r="T18" i="4"/>
  <c r="S69" i="5" l="1"/>
  <c r="S124" i="7" s="1"/>
  <c r="S123" i="5"/>
  <c r="T174" i="4"/>
  <c r="T209" i="4"/>
  <c r="T96" i="6"/>
  <c r="T102" i="5"/>
  <c r="S117" i="6" l="1"/>
  <c r="S144" i="6"/>
  <c r="S63" i="6"/>
  <c r="T176" i="4" l="1"/>
  <c r="P180" i="4" l="1"/>
  <c r="P179" i="4" l="1"/>
  <c r="P40" i="4"/>
  <c r="P14" i="4"/>
  <c r="P16" i="4"/>
  <c r="P177" i="4" l="1"/>
  <c r="P207" i="4"/>
  <c r="P205" i="4"/>
  <c r="P18" i="4"/>
  <c r="P17" i="4"/>
  <c r="P15" i="4"/>
  <c r="P13" i="4" l="1"/>
  <c r="P204" i="4" s="1"/>
  <c r="O180" i="4"/>
  <c r="P208" i="4"/>
  <c r="P206" i="4"/>
  <c r="P102" i="5"/>
  <c r="P209" i="4"/>
  <c r="P96" i="6"/>
  <c r="P8" i="3" l="1"/>
  <c r="P150" i="4"/>
  <c r="O179" i="4"/>
  <c r="O40" i="4"/>
  <c r="N180" i="4"/>
  <c r="O182" i="4"/>
  <c r="P127" i="5"/>
  <c r="P73" i="5"/>
  <c r="P128" i="7" s="1"/>
  <c r="P100" i="5"/>
  <c r="O14" i="4"/>
  <c r="O16" i="4"/>
  <c r="M180" i="4" l="1"/>
  <c r="O205" i="4"/>
  <c r="P121" i="6"/>
  <c r="P67" i="6"/>
  <c r="P209" i="7" s="1"/>
  <c r="P94" i="6"/>
  <c r="O177" i="4"/>
  <c r="M181" i="4"/>
  <c r="N182" i="4"/>
  <c r="O207" i="4"/>
  <c r="N16" i="4"/>
  <c r="N14" i="4"/>
  <c r="O15" i="4"/>
  <c r="O17" i="4"/>
  <c r="O18" i="4"/>
  <c r="O206" i="4" l="1"/>
  <c r="L180" i="4"/>
  <c r="O209" i="4"/>
  <c r="M182" i="4"/>
  <c r="L181" i="4"/>
  <c r="O208" i="4"/>
  <c r="O13" i="4"/>
  <c r="N179" i="4"/>
  <c r="N40" i="4"/>
  <c r="M179" i="4"/>
  <c r="M40" i="4"/>
  <c r="M177" i="4" s="1"/>
  <c r="N205" i="4"/>
  <c r="N207" i="4"/>
  <c r="M17" i="4"/>
  <c r="M14" i="4"/>
  <c r="N17" i="4"/>
  <c r="M16" i="4"/>
  <c r="N18" i="4"/>
  <c r="N15" i="4"/>
  <c r="N206" i="4" l="1"/>
  <c r="N13" i="4"/>
  <c r="N177" i="4"/>
  <c r="N208" i="4"/>
  <c r="M207" i="4"/>
  <c r="M205" i="4"/>
  <c r="N209" i="4"/>
  <c r="L182" i="4"/>
  <c r="M208" i="4"/>
  <c r="K181" i="4"/>
  <c r="L179" i="4"/>
  <c r="L40" i="4"/>
  <c r="K180" i="4"/>
  <c r="O127" i="5"/>
  <c r="O73" i="5"/>
  <c r="O128" i="7" s="1"/>
  <c r="O100" i="5"/>
  <c r="O204" i="4"/>
  <c r="O150" i="4"/>
  <c r="O8" i="3"/>
  <c r="L17" i="4"/>
  <c r="L14" i="4"/>
  <c r="M15" i="4"/>
  <c r="M18" i="4"/>
  <c r="L16" i="4"/>
  <c r="M13" i="4" l="1"/>
  <c r="O121" i="6"/>
  <c r="O67" i="6"/>
  <c r="O209" i="7" s="1"/>
  <c r="O94" i="6"/>
  <c r="M206" i="4"/>
  <c r="L205" i="4"/>
  <c r="J180" i="4"/>
  <c r="L177" i="4"/>
  <c r="M204" i="4"/>
  <c r="M150" i="4"/>
  <c r="M8" i="3"/>
  <c r="J181" i="4"/>
  <c r="N204" i="4"/>
  <c r="N150" i="4"/>
  <c r="N8" i="3"/>
  <c r="K182" i="4"/>
  <c r="L207" i="4"/>
  <c r="L208" i="4"/>
  <c r="M209" i="4"/>
  <c r="K17" i="4"/>
  <c r="L18" i="4"/>
  <c r="L15" i="4"/>
  <c r="K16" i="4"/>
  <c r="K14" i="4"/>
  <c r="L13" i="4" l="1"/>
  <c r="L150" i="4"/>
  <c r="L204" i="4"/>
  <c r="L8" i="3"/>
  <c r="K205" i="4"/>
  <c r="I181" i="4"/>
  <c r="L209" i="4"/>
  <c r="J179" i="4"/>
  <c r="J40" i="4"/>
  <c r="K179" i="4"/>
  <c r="K40" i="4"/>
  <c r="J182" i="4"/>
  <c r="K207" i="4"/>
  <c r="K208" i="4"/>
  <c r="O129" i="5"/>
  <c r="O75" i="5"/>
  <c r="O130" i="7" s="1"/>
  <c r="O102" i="5"/>
  <c r="L206" i="4"/>
  <c r="I180" i="4"/>
  <c r="K15" i="4"/>
  <c r="T5" i="4"/>
  <c r="J16" i="4"/>
  <c r="J14" i="4"/>
  <c r="J17" i="4"/>
  <c r="K18" i="4"/>
  <c r="K206" i="4" l="1"/>
  <c r="K13" i="4"/>
  <c r="J205" i="4"/>
  <c r="H181" i="4"/>
  <c r="O123" i="6"/>
  <c r="O150" i="6"/>
  <c r="O69" i="6"/>
  <c r="O96" i="6"/>
  <c r="T175" i="4"/>
  <c r="J207" i="4"/>
  <c r="K177" i="4"/>
  <c r="N129" i="5"/>
  <c r="N75" i="5"/>
  <c r="N130" i="7" s="1"/>
  <c r="N102" i="5"/>
  <c r="I182" i="4"/>
  <c r="I179" i="4"/>
  <c r="I40" i="4"/>
  <c r="J208" i="4"/>
  <c r="H180" i="4"/>
  <c r="J177" i="4"/>
  <c r="K209" i="4"/>
  <c r="T196" i="4"/>
  <c r="T6" i="3"/>
  <c r="I17" i="4"/>
  <c r="I16" i="4"/>
  <c r="U5" i="4"/>
  <c r="I14" i="4"/>
  <c r="J18" i="4"/>
  <c r="G181" i="4" l="1"/>
  <c r="U178" i="4"/>
  <c r="I208" i="4"/>
  <c r="I205" i="4"/>
  <c r="J209" i="4"/>
  <c r="H182" i="4"/>
  <c r="I177" i="4"/>
  <c r="U180" i="4"/>
  <c r="K204" i="4"/>
  <c r="K150" i="4"/>
  <c r="K8" i="3"/>
  <c r="G180" i="4"/>
  <c r="N123" i="6"/>
  <c r="N150" i="6"/>
  <c r="N69" i="6"/>
  <c r="N96" i="6"/>
  <c r="U196" i="4"/>
  <c r="U6" i="3"/>
  <c r="I207" i="4"/>
  <c r="M75" i="5"/>
  <c r="M130" i="7" s="1"/>
  <c r="M129" i="5"/>
  <c r="M102" i="5"/>
  <c r="U129" i="5"/>
  <c r="U75" i="5"/>
  <c r="U130" i="7" s="1"/>
  <c r="H179" i="4"/>
  <c r="H40" i="4"/>
  <c r="I18" i="4"/>
  <c r="H17" i="4"/>
  <c r="H16" i="4"/>
  <c r="I15" i="4"/>
  <c r="J15" i="4"/>
  <c r="V5" i="4"/>
  <c r="H14" i="4"/>
  <c r="I13" i="4" l="1"/>
  <c r="I150" i="4"/>
  <c r="I204" i="4"/>
  <c r="I8" i="3"/>
  <c r="G182" i="4"/>
  <c r="U150" i="6"/>
  <c r="U123" i="6"/>
  <c r="U69" i="6"/>
  <c r="H205" i="4"/>
  <c r="V196" i="4"/>
  <c r="V6" i="3"/>
  <c r="F180" i="4"/>
  <c r="I206" i="4"/>
  <c r="H208" i="4"/>
  <c r="H207" i="4"/>
  <c r="H177" i="4"/>
  <c r="M123" i="6"/>
  <c r="M150" i="6"/>
  <c r="M69" i="6"/>
  <c r="M96" i="6"/>
  <c r="F181" i="4"/>
  <c r="J206" i="4"/>
  <c r="J13" i="4"/>
  <c r="I209" i="4"/>
  <c r="L129" i="5"/>
  <c r="L75" i="5"/>
  <c r="L130" i="7" s="1"/>
  <c r="L102" i="5"/>
  <c r="G17" i="4"/>
  <c r="G16" i="4"/>
  <c r="G14" i="4"/>
  <c r="H18" i="4"/>
  <c r="G208" i="4" l="1"/>
  <c r="L150" i="6"/>
  <c r="L123" i="6"/>
  <c r="L69" i="6"/>
  <c r="L96" i="6"/>
  <c r="K75" i="5"/>
  <c r="K130" i="7" s="1"/>
  <c r="K129" i="5"/>
  <c r="K102" i="5"/>
  <c r="G205" i="4"/>
  <c r="F182" i="4"/>
  <c r="J150" i="4"/>
  <c r="J204" i="4"/>
  <c r="J8" i="3"/>
  <c r="E181" i="4"/>
  <c r="G207" i="4"/>
  <c r="E180" i="4"/>
  <c r="G179" i="4"/>
  <c r="G40" i="4"/>
  <c r="H209" i="4"/>
  <c r="F179" i="4"/>
  <c r="F40" i="4"/>
  <c r="H15" i="4"/>
  <c r="U18" i="4"/>
  <c r="F17" i="4"/>
  <c r="F16" i="4"/>
  <c r="G18" i="4"/>
  <c r="U14" i="4"/>
  <c r="F14" i="4"/>
  <c r="K150" i="6" l="1"/>
  <c r="K123" i="6"/>
  <c r="K69" i="6"/>
  <c r="K96" i="6"/>
  <c r="E182" i="4"/>
  <c r="F207" i="4"/>
  <c r="U209" i="4"/>
  <c r="U96" i="6"/>
  <c r="U102" i="5"/>
  <c r="F177" i="4"/>
  <c r="J75" i="5"/>
  <c r="J130" i="7" s="1"/>
  <c r="J129" i="5"/>
  <c r="J102" i="5"/>
  <c r="F205" i="4"/>
  <c r="G209" i="4"/>
  <c r="G177" i="4"/>
  <c r="U205" i="4"/>
  <c r="F208" i="4"/>
  <c r="D181" i="4"/>
  <c r="D180" i="4"/>
  <c r="H206" i="4"/>
  <c r="H13" i="4"/>
  <c r="E14" i="4"/>
  <c r="E17" i="4"/>
  <c r="F15" i="4"/>
  <c r="F18" i="4"/>
  <c r="G15" i="4"/>
  <c r="E16" i="4"/>
  <c r="U16" i="4"/>
  <c r="U207" i="4" l="1"/>
  <c r="C181" i="4"/>
  <c r="F209" i="4"/>
  <c r="H204" i="4"/>
  <c r="H150" i="4"/>
  <c r="H8" i="3"/>
  <c r="F206" i="4"/>
  <c r="F13" i="4"/>
  <c r="I75" i="5"/>
  <c r="I130" i="7" s="1"/>
  <c r="I129" i="5"/>
  <c r="I102" i="5"/>
  <c r="D182" i="4"/>
  <c r="G206" i="4"/>
  <c r="G13" i="4"/>
  <c r="D179" i="4"/>
  <c r="D40" i="4"/>
  <c r="E179" i="4"/>
  <c r="E40" i="4"/>
  <c r="J150" i="6"/>
  <c r="J123" i="6"/>
  <c r="J69" i="6"/>
  <c r="J96" i="6"/>
  <c r="E205" i="4"/>
  <c r="E207" i="4"/>
  <c r="E208" i="4"/>
  <c r="C180" i="4"/>
  <c r="D16" i="4"/>
  <c r="D17" i="4"/>
  <c r="D14" i="4"/>
  <c r="E18" i="4"/>
  <c r="B180" i="4" l="1"/>
  <c r="E177" i="4"/>
  <c r="C182" i="4"/>
  <c r="H129" i="5"/>
  <c r="H75" i="5"/>
  <c r="H130" i="7" s="1"/>
  <c r="H102" i="5"/>
  <c r="D207" i="4"/>
  <c r="G150" i="4"/>
  <c r="G204" i="4"/>
  <c r="G8" i="3"/>
  <c r="I123" i="6"/>
  <c r="I150" i="6"/>
  <c r="I69" i="6"/>
  <c r="I96" i="6"/>
  <c r="D177" i="4"/>
  <c r="T123" i="5"/>
  <c r="T69" i="5"/>
  <c r="T124" i="7" s="1"/>
  <c r="D205" i="4"/>
  <c r="D208" i="4"/>
  <c r="E209" i="4"/>
  <c r="B182" i="4"/>
  <c r="F204" i="4"/>
  <c r="F150" i="4"/>
  <c r="F8" i="3"/>
  <c r="D15" i="4"/>
  <c r="C17" i="4"/>
  <c r="C14" i="4"/>
  <c r="E15" i="4"/>
  <c r="C16" i="4"/>
  <c r="D18" i="4"/>
  <c r="C179" i="4" l="1"/>
  <c r="C40" i="4"/>
  <c r="T144" i="6"/>
  <c r="T117" i="6"/>
  <c r="T63" i="6"/>
  <c r="D206" i="4"/>
  <c r="D13" i="4"/>
  <c r="C208" i="4"/>
  <c r="C207" i="4"/>
  <c r="G129" i="5"/>
  <c r="G75" i="5"/>
  <c r="G130" i="7" s="1"/>
  <c r="G102" i="5"/>
  <c r="E206" i="4"/>
  <c r="E13" i="4"/>
  <c r="D209" i="4"/>
  <c r="C205" i="4"/>
  <c r="H123" i="6"/>
  <c r="H150" i="6"/>
  <c r="H69" i="6"/>
  <c r="H96" i="6"/>
  <c r="Q187" i="4"/>
  <c r="C18" i="4"/>
  <c r="B18" i="4"/>
  <c r="B16" i="4"/>
  <c r="B14" i="4"/>
  <c r="C15" i="4"/>
  <c r="C206" i="4" l="1"/>
  <c r="C13" i="4"/>
  <c r="R186" i="4"/>
  <c r="D150" i="4"/>
  <c r="D204" i="4"/>
  <c r="D8" i="3"/>
  <c r="C177" i="4"/>
  <c r="P187" i="4"/>
  <c r="C209" i="4"/>
  <c r="B207" i="4"/>
  <c r="E150" i="4"/>
  <c r="E204" i="4"/>
  <c r="E8" i="3"/>
  <c r="F75" i="5"/>
  <c r="F130" i="7" s="1"/>
  <c r="F129" i="5"/>
  <c r="F102" i="5"/>
  <c r="B205" i="4"/>
  <c r="B209" i="4"/>
  <c r="G150" i="6"/>
  <c r="G123" i="6"/>
  <c r="G69" i="6"/>
  <c r="G96" i="6"/>
  <c r="S27" i="4"/>
  <c r="Q23" i="4"/>
  <c r="S187" i="4" l="1"/>
  <c r="F123" i="6"/>
  <c r="F150" i="6"/>
  <c r="F69" i="6"/>
  <c r="F96" i="6"/>
  <c r="S186" i="4"/>
  <c r="E129" i="5"/>
  <c r="E75" i="5"/>
  <c r="E130" i="7" s="1"/>
  <c r="E102" i="5"/>
  <c r="O187" i="4"/>
  <c r="R185" i="4"/>
  <c r="C150" i="4"/>
  <c r="C204" i="4"/>
  <c r="C8" i="3"/>
  <c r="Q214" i="4"/>
  <c r="S185" i="4"/>
  <c r="R187" i="4"/>
  <c r="R21" i="4"/>
  <c r="R22" i="4"/>
  <c r="R23" i="4"/>
  <c r="P23" i="4"/>
  <c r="R212" i="4" l="1"/>
  <c r="B73" i="5"/>
  <c r="B128" i="7" s="1"/>
  <c r="B127" i="5"/>
  <c r="B100" i="5"/>
  <c r="Q188" i="4"/>
  <c r="Q47" i="4"/>
  <c r="R214" i="4"/>
  <c r="E150" i="6"/>
  <c r="E123" i="6"/>
  <c r="E69" i="6"/>
  <c r="E96" i="6"/>
  <c r="D75" i="5"/>
  <c r="D130" i="7" s="1"/>
  <c r="D129" i="5"/>
  <c r="D102" i="5"/>
  <c r="R189" i="4"/>
  <c r="P214" i="4"/>
  <c r="R213" i="4"/>
  <c r="S21" i="4"/>
  <c r="S23" i="4"/>
  <c r="S22" i="4"/>
  <c r="O23" i="4"/>
  <c r="Q173" i="4" l="1"/>
  <c r="S212" i="4"/>
  <c r="D123" i="6"/>
  <c r="D150" i="6"/>
  <c r="D69" i="6"/>
  <c r="D96" i="6"/>
  <c r="R188" i="4"/>
  <c r="R47" i="4"/>
  <c r="S189" i="4"/>
  <c r="S213" i="4"/>
  <c r="T187" i="4"/>
  <c r="O214" i="4"/>
  <c r="C75" i="5"/>
  <c r="C130" i="7" s="1"/>
  <c r="C129" i="5"/>
  <c r="C102" i="5"/>
  <c r="T186" i="4"/>
  <c r="Q134" i="5"/>
  <c r="Q80" i="5"/>
  <c r="Q135" i="7" s="1"/>
  <c r="Q107" i="5"/>
  <c r="S214" i="4"/>
  <c r="Q46" i="4"/>
  <c r="Q184" i="4"/>
  <c r="S53" i="4"/>
  <c r="B129" i="5"/>
  <c r="B75" i="5"/>
  <c r="B130" i="7" s="1"/>
  <c r="B102" i="5"/>
  <c r="P188" i="4"/>
  <c r="P47" i="4"/>
  <c r="T185" i="4"/>
  <c r="B121" i="6"/>
  <c r="B67" i="6"/>
  <c r="B209" i="7" s="1"/>
  <c r="B94" i="6"/>
  <c r="S28" i="4"/>
  <c r="Q24" i="4"/>
  <c r="R25" i="4"/>
  <c r="S26" i="4" l="1"/>
  <c r="U187" i="4"/>
  <c r="C123" i="6"/>
  <c r="C150" i="6"/>
  <c r="C69" i="6"/>
  <c r="C96" i="6"/>
  <c r="B123" i="6"/>
  <c r="B150" i="6"/>
  <c r="B69" i="6"/>
  <c r="B96" i="6"/>
  <c r="R216" i="4"/>
  <c r="O188" i="4"/>
  <c r="O47" i="4"/>
  <c r="Q128" i="6"/>
  <c r="Q74" i="6"/>
  <c r="Q216" i="7" s="1"/>
  <c r="Q101" i="6"/>
  <c r="N188" i="4"/>
  <c r="Q171" i="4"/>
  <c r="P80" i="5"/>
  <c r="P135" i="7" s="1"/>
  <c r="P134" i="5"/>
  <c r="P107" i="5"/>
  <c r="R46" i="4"/>
  <c r="R265" i="4" s="1"/>
  <c r="R184" i="4"/>
  <c r="T189" i="4"/>
  <c r="U186" i="4"/>
  <c r="P184" i="4"/>
  <c r="P46" i="4"/>
  <c r="Q215" i="4"/>
  <c r="Q20" i="4"/>
  <c r="Q265" i="4"/>
  <c r="Q264" i="4"/>
  <c r="Q272" i="4"/>
  <c r="Q273" i="4"/>
  <c r="Q271" i="4"/>
  <c r="Q270" i="4"/>
  <c r="Q266" i="4"/>
  <c r="Q267" i="4"/>
  <c r="Q268" i="4"/>
  <c r="Q269" i="4"/>
  <c r="U185" i="4"/>
  <c r="M189" i="4"/>
  <c r="R24" i="4"/>
  <c r="T23" i="4"/>
  <c r="S25" i="4"/>
  <c r="T22" i="4"/>
  <c r="Q33" i="4"/>
  <c r="T21" i="4"/>
  <c r="P24" i="4"/>
  <c r="Q170" i="4" l="1"/>
  <c r="Q31" i="4"/>
  <c r="P215" i="4"/>
  <c r="P20" i="4"/>
  <c r="N187" i="4"/>
  <c r="U189" i="4"/>
  <c r="M187" i="4"/>
  <c r="N186" i="4"/>
  <c r="N47" i="4"/>
  <c r="T214" i="4"/>
  <c r="P173" i="4"/>
  <c r="Q172" i="4"/>
  <c r="Q253" i="4"/>
  <c r="R215" i="4"/>
  <c r="R20" i="4"/>
  <c r="P128" i="6"/>
  <c r="P74" i="6"/>
  <c r="P216" i="7" s="1"/>
  <c r="P101" i="6"/>
  <c r="P265" i="4"/>
  <c r="P264" i="4"/>
  <c r="P272" i="4"/>
  <c r="P273" i="4"/>
  <c r="P271" i="4"/>
  <c r="P270" i="4"/>
  <c r="P266" i="4"/>
  <c r="P267" i="4"/>
  <c r="P268" i="4"/>
  <c r="P269" i="4"/>
  <c r="T212" i="4"/>
  <c r="S163" i="4"/>
  <c r="S20" i="3"/>
  <c r="S188" i="4"/>
  <c r="S47" i="4"/>
  <c r="T213" i="4"/>
  <c r="Q211" i="4"/>
  <c r="Q157" i="4"/>
  <c r="Q19" i="4"/>
  <c r="Q238" i="4" s="1"/>
  <c r="Q19" i="3"/>
  <c r="O46" i="4"/>
  <c r="O184" i="4"/>
  <c r="S216" i="4"/>
  <c r="R264" i="4"/>
  <c r="R272" i="4"/>
  <c r="R273" i="4"/>
  <c r="R271" i="4"/>
  <c r="R267" i="4"/>
  <c r="R266" i="4"/>
  <c r="R268" i="4"/>
  <c r="R270" i="4"/>
  <c r="R269" i="4"/>
  <c r="O134" i="5"/>
  <c r="O80" i="5"/>
  <c r="O135" i="7" s="1"/>
  <c r="O107" i="5"/>
  <c r="U22" i="4"/>
  <c r="U23" i="4"/>
  <c r="M25" i="4"/>
  <c r="T25" i="4"/>
  <c r="N24" i="4"/>
  <c r="U21" i="4"/>
  <c r="O24" i="4"/>
  <c r="R181" i="4" l="1"/>
  <c r="O215" i="4"/>
  <c r="O20" i="4"/>
  <c r="U213" i="4"/>
  <c r="R19" i="4"/>
  <c r="R157" i="4"/>
  <c r="R211" i="4"/>
  <c r="R19" i="3"/>
  <c r="M188" i="4"/>
  <c r="T188" i="4"/>
  <c r="T47" i="4"/>
  <c r="T216" i="4"/>
  <c r="O265" i="4"/>
  <c r="O264" i="4"/>
  <c r="O272" i="4"/>
  <c r="O273" i="4"/>
  <c r="O271" i="4"/>
  <c r="O270" i="4"/>
  <c r="O266" i="4"/>
  <c r="O267" i="4"/>
  <c r="O268" i="4"/>
  <c r="O269" i="4"/>
  <c r="O128" i="6"/>
  <c r="O74" i="6"/>
  <c r="O216" i="7" s="1"/>
  <c r="O101" i="6"/>
  <c r="Q18" i="3"/>
  <c r="Q258" i="4"/>
  <c r="Q249" i="4"/>
  <c r="Q30" i="4"/>
  <c r="Q257" i="4"/>
  <c r="Q168" i="4"/>
  <c r="Q250" i="4"/>
  <c r="Q259" i="4"/>
  <c r="Q263" i="4"/>
  <c r="Q261" i="4"/>
  <c r="Q256" i="4"/>
  <c r="Q255" i="4"/>
  <c r="Q262" i="4"/>
  <c r="Q260" i="4"/>
  <c r="Q254" i="4"/>
  <c r="Q252" i="4"/>
  <c r="P171" i="4"/>
  <c r="Q120" i="5"/>
  <c r="Q66" i="5"/>
  <c r="Q121" i="7" s="1"/>
  <c r="N46" i="4"/>
  <c r="N265" i="4"/>
  <c r="N184" i="4"/>
  <c r="Q251" i="4"/>
  <c r="U212" i="4"/>
  <c r="L186" i="4"/>
  <c r="N215" i="4"/>
  <c r="M216" i="4"/>
  <c r="Q244" i="4"/>
  <c r="Q237" i="4"/>
  <c r="Q156" i="4"/>
  <c r="Q245" i="4"/>
  <c r="Q246" i="4"/>
  <c r="Q243" i="4"/>
  <c r="Q239" i="4"/>
  <c r="Q240" i="4"/>
  <c r="Q241" i="4"/>
  <c r="Q242" i="4"/>
  <c r="L188" i="4"/>
  <c r="M186" i="4"/>
  <c r="M47" i="4"/>
  <c r="U214" i="4"/>
  <c r="S46" i="4"/>
  <c r="S265" i="4" s="1"/>
  <c r="S184" i="4"/>
  <c r="P157" i="4"/>
  <c r="P19" i="4"/>
  <c r="P238" i="4" s="1"/>
  <c r="P211" i="4"/>
  <c r="P19" i="3"/>
  <c r="N23" i="4"/>
  <c r="U25" i="4"/>
  <c r="M24" i="4"/>
  <c r="N22" i="4"/>
  <c r="S24" i="4"/>
  <c r="R4" i="5"/>
  <c r="R47" i="6" s="1"/>
  <c r="M215" i="4" l="1"/>
  <c r="L187" i="4"/>
  <c r="M184" i="4"/>
  <c r="M46" i="4"/>
  <c r="M265" i="4"/>
  <c r="P18" i="3"/>
  <c r="R244" i="4"/>
  <c r="R237" i="4"/>
  <c r="R156" i="4"/>
  <c r="R245" i="4"/>
  <c r="R246" i="4"/>
  <c r="R239" i="4"/>
  <c r="R241" i="4"/>
  <c r="R240" i="4"/>
  <c r="R243" i="4"/>
  <c r="R242" i="4"/>
  <c r="R173" i="4"/>
  <c r="O173" i="4"/>
  <c r="S173" i="4"/>
  <c r="U216" i="4"/>
  <c r="S28" i="7"/>
  <c r="S192" i="4"/>
  <c r="S219" i="4"/>
  <c r="R136" i="5"/>
  <c r="R82" i="5"/>
  <c r="R137" i="7" s="1"/>
  <c r="R109" i="5"/>
  <c r="S215" i="4"/>
  <c r="S20" i="4"/>
  <c r="N213" i="4"/>
  <c r="N20" i="4"/>
  <c r="S264" i="4"/>
  <c r="S272" i="4"/>
  <c r="S267" i="4"/>
  <c r="S268" i="4"/>
  <c r="S266" i="4"/>
  <c r="S273" i="4"/>
  <c r="S270" i="4"/>
  <c r="S271" i="4"/>
  <c r="S269" i="4"/>
  <c r="R18" i="3"/>
  <c r="R171" i="4"/>
  <c r="N214" i="4"/>
  <c r="P81" i="5"/>
  <c r="P136" i="7" s="1"/>
  <c r="P135" i="5"/>
  <c r="P108" i="5"/>
  <c r="Q81" i="5"/>
  <c r="Q136" i="7" s="1"/>
  <c r="Q135" i="5"/>
  <c r="Q108" i="5"/>
  <c r="R238" i="4"/>
  <c r="P242" i="4"/>
  <c r="P156" i="4"/>
  <c r="P237" i="4"/>
  <c r="P245" i="4"/>
  <c r="P246" i="4"/>
  <c r="P244" i="4"/>
  <c r="P243" i="4"/>
  <c r="P239" i="4"/>
  <c r="P240" i="4"/>
  <c r="P241" i="4"/>
  <c r="O175" i="4"/>
  <c r="T184" i="4"/>
  <c r="T46" i="4"/>
  <c r="T265" i="4" s="1"/>
  <c r="O211" i="4"/>
  <c r="O19" i="4"/>
  <c r="O238" i="4" s="1"/>
  <c r="O157" i="4"/>
  <c r="O19" i="3"/>
  <c r="N264" i="4"/>
  <c r="N272" i="4"/>
  <c r="N273" i="4"/>
  <c r="N271" i="4"/>
  <c r="N266" i="4"/>
  <c r="N270" i="4"/>
  <c r="N269" i="4"/>
  <c r="N267" i="4"/>
  <c r="N268" i="4"/>
  <c r="Q17" i="3"/>
  <c r="Q114" i="6"/>
  <c r="Q60" i="6"/>
  <c r="Q202" i="7" s="1"/>
  <c r="M23" i="4"/>
  <c r="Q10" i="4"/>
  <c r="L24" i="4"/>
  <c r="Q12" i="4"/>
  <c r="Q11" i="4"/>
  <c r="Q9" i="4"/>
  <c r="T24" i="4"/>
  <c r="M22" i="4"/>
  <c r="S4" i="5"/>
  <c r="S47" i="6" s="1"/>
  <c r="N173" i="4" l="1"/>
  <c r="M213" i="4"/>
  <c r="M20" i="4"/>
  <c r="K186" i="4"/>
  <c r="Q201" i="4"/>
  <c r="Q119" i="3"/>
  <c r="Q120" i="3"/>
  <c r="Q109" i="3"/>
  <c r="Q115" i="3"/>
  <c r="Q114" i="3"/>
  <c r="Q113" i="3"/>
  <c r="Q117" i="3"/>
  <c r="Q116" i="3"/>
  <c r="Q118" i="3"/>
  <c r="Q112" i="3"/>
  <c r="Q111" i="3"/>
  <c r="O18" i="3"/>
  <c r="P129" i="6"/>
  <c r="P75" i="6"/>
  <c r="P217" i="7" s="1"/>
  <c r="P102" i="6"/>
  <c r="S19" i="4"/>
  <c r="S157" i="4"/>
  <c r="S211" i="4"/>
  <c r="S19" i="3"/>
  <c r="P17" i="3"/>
  <c r="P110" i="3" s="1"/>
  <c r="Q202" i="4"/>
  <c r="N211" i="4"/>
  <c r="N19" i="4"/>
  <c r="N238" i="4" s="1"/>
  <c r="N157" i="4"/>
  <c r="N19" i="3"/>
  <c r="P66" i="5"/>
  <c r="P121" i="7" s="1"/>
  <c r="P120" i="5"/>
  <c r="J188" i="4"/>
  <c r="T215" i="4"/>
  <c r="T20" i="4"/>
  <c r="N175" i="4"/>
  <c r="K187" i="4"/>
  <c r="O171" i="4"/>
  <c r="M214" i="4"/>
  <c r="O237" i="4"/>
  <c r="O156" i="4"/>
  <c r="O245" i="4"/>
  <c r="O246" i="4"/>
  <c r="O244" i="4"/>
  <c r="O239" i="4"/>
  <c r="O243" i="4"/>
  <c r="O240" i="4"/>
  <c r="O241" i="4"/>
  <c r="O242" i="4"/>
  <c r="S171" i="4"/>
  <c r="Q96" i="5"/>
  <c r="Q203" i="4"/>
  <c r="Q90" i="6"/>
  <c r="R130" i="6"/>
  <c r="R157" i="6"/>
  <c r="R76" i="6"/>
  <c r="R103" i="6"/>
  <c r="R17" i="3"/>
  <c r="R110" i="3" s="1"/>
  <c r="L189" i="4"/>
  <c r="L215" i="4"/>
  <c r="K188" i="4"/>
  <c r="R179" i="4"/>
  <c r="R40" i="4"/>
  <c r="Q129" i="6"/>
  <c r="Q75" i="6"/>
  <c r="Q217" i="7" s="1"/>
  <c r="Q102" i="6"/>
  <c r="L47" i="4"/>
  <c r="P172" i="4"/>
  <c r="P33" i="4"/>
  <c r="M271" i="4"/>
  <c r="M264" i="4"/>
  <c r="M272" i="4"/>
  <c r="M273" i="4"/>
  <c r="M266" i="4"/>
  <c r="M270" i="4"/>
  <c r="M268" i="4"/>
  <c r="M269" i="4"/>
  <c r="M267" i="4"/>
  <c r="Q200" i="4"/>
  <c r="Q93" i="5"/>
  <c r="Q87" i="6"/>
  <c r="Q110" i="3"/>
  <c r="T264" i="4"/>
  <c r="T272" i="4"/>
  <c r="T273" i="4"/>
  <c r="T271" i="4"/>
  <c r="T268" i="4"/>
  <c r="T267" i="4"/>
  <c r="T266" i="4"/>
  <c r="T270" i="4"/>
  <c r="T269" i="4"/>
  <c r="O81" i="5"/>
  <c r="O136" i="7" s="1"/>
  <c r="O135" i="5"/>
  <c r="O108" i="5"/>
  <c r="S82" i="5"/>
  <c r="S137" i="7" s="1"/>
  <c r="S136" i="5"/>
  <c r="S109" i="5"/>
  <c r="O11" i="4"/>
  <c r="R17" i="4"/>
  <c r="L23" i="4"/>
  <c r="L22" i="4"/>
  <c r="K24" i="4"/>
  <c r="T4" i="5"/>
  <c r="T47" i="6" s="1"/>
  <c r="Q7" i="4"/>
  <c r="K47" i="4"/>
  <c r="K215" i="4" l="1"/>
  <c r="K184" i="4"/>
  <c r="K46" i="4"/>
  <c r="K265" i="4" s="1"/>
  <c r="J187" i="4"/>
  <c r="M175" i="4"/>
  <c r="O202" i="4"/>
  <c r="L46" i="4"/>
  <c r="L265" i="4" s="1"/>
  <c r="L184" i="4"/>
  <c r="N18" i="3"/>
  <c r="O17" i="3"/>
  <c r="O110" i="3" s="1"/>
  <c r="Q198" i="4"/>
  <c r="J186" i="4"/>
  <c r="S246" i="4"/>
  <c r="S237" i="4"/>
  <c r="S156" i="4"/>
  <c r="S245" i="4"/>
  <c r="S241" i="4"/>
  <c r="S239" i="4"/>
  <c r="S240" i="4"/>
  <c r="S244" i="4"/>
  <c r="S243" i="4"/>
  <c r="S242" i="4"/>
  <c r="S130" i="6"/>
  <c r="S157" i="6"/>
  <c r="S76" i="6"/>
  <c r="S103" i="6"/>
  <c r="N80" i="5"/>
  <c r="N135" i="7" s="1"/>
  <c r="N134" i="5"/>
  <c r="N107" i="5"/>
  <c r="Q74" i="5"/>
  <c r="Q129" i="7" s="1"/>
  <c r="Q128" i="5"/>
  <c r="Q101" i="5"/>
  <c r="P113" i="3"/>
  <c r="P119" i="3"/>
  <c r="P114" i="3"/>
  <c r="P120" i="3"/>
  <c r="P115" i="3"/>
  <c r="P116" i="3"/>
  <c r="P109" i="3"/>
  <c r="P118" i="3"/>
  <c r="P117" i="3"/>
  <c r="P112" i="3"/>
  <c r="P111" i="3"/>
  <c r="S172" i="4"/>
  <c r="L213" i="4"/>
  <c r="M136" i="5"/>
  <c r="M82" i="5"/>
  <c r="M137" i="7" s="1"/>
  <c r="M109" i="5"/>
  <c r="P170" i="4"/>
  <c r="P31" i="4"/>
  <c r="N244" i="4"/>
  <c r="N156" i="4"/>
  <c r="N237" i="4"/>
  <c r="N245" i="4"/>
  <c r="N246" i="4"/>
  <c r="N243" i="4"/>
  <c r="N239" i="4"/>
  <c r="N242" i="4"/>
  <c r="N240" i="4"/>
  <c r="N241" i="4"/>
  <c r="S18" i="3"/>
  <c r="N171" i="4"/>
  <c r="M173" i="4"/>
  <c r="L214" i="4"/>
  <c r="S33" i="4"/>
  <c r="O121" i="5"/>
  <c r="O67" i="5"/>
  <c r="O122" i="7" s="1"/>
  <c r="S238" i="4"/>
  <c r="I188" i="4"/>
  <c r="R208" i="4"/>
  <c r="R115" i="3"/>
  <c r="R114" i="3"/>
  <c r="R113" i="3"/>
  <c r="R120" i="3"/>
  <c r="R116" i="3"/>
  <c r="R117" i="3"/>
  <c r="R118" i="3"/>
  <c r="R119" i="3"/>
  <c r="R109" i="3"/>
  <c r="R112" i="3"/>
  <c r="R111" i="3"/>
  <c r="R172" i="4"/>
  <c r="R33" i="4"/>
  <c r="R177" i="4"/>
  <c r="P114" i="6"/>
  <c r="P60" i="6"/>
  <c r="P202" i="7" s="1"/>
  <c r="T136" i="5"/>
  <c r="T82" i="5"/>
  <c r="T137" i="7" s="1"/>
  <c r="T109" i="5"/>
  <c r="M211" i="4"/>
  <c r="M157" i="4"/>
  <c r="M19" i="4"/>
  <c r="M238" i="4" s="1"/>
  <c r="M19" i="3"/>
  <c r="K189" i="4"/>
  <c r="O129" i="6"/>
  <c r="O75" i="6"/>
  <c r="O217" i="7" s="1"/>
  <c r="O102" i="6"/>
  <c r="T19" i="4"/>
  <c r="T157" i="4"/>
  <c r="T211" i="4"/>
  <c r="T19" i="3"/>
  <c r="Q8" i="4"/>
  <c r="N11" i="4"/>
  <c r="J24" i="4"/>
  <c r="N33" i="4"/>
  <c r="R15" i="4"/>
  <c r="L25" i="4"/>
  <c r="L20" i="4" s="1"/>
  <c r="K22" i="4"/>
  <c r="N31" i="4" l="1"/>
  <c r="N170" i="4"/>
  <c r="N251" i="4"/>
  <c r="T238" i="4"/>
  <c r="T237" i="4"/>
  <c r="T156" i="4"/>
  <c r="T245" i="4"/>
  <c r="T246" i="4"/>
  <c r="T244" i="4"/>
  <c r="T239" i="4"/>
  <c r="T240" i="4"/>
  <c r="T241" i="4"/>
  <c r="T243" i="4"/>
  <c r="T242" i="4"/>
  <c r="Q67" i="5"/>
  <c r="Q122" i="7" s="1"/>
  <c r="Q121" i="5"/>
  <c r="Q94" i="5"/>
  <c r="O172" i="4"/>
  <c r="O33" i="4"/>
  <c r="T130" i="6"/>
  <c r="T157" i="6"/>
  <c r="T76" i="6"/>
  <c r="T103" i="6"/>
  <c r="N128" i="6"/>
  <c r="N74" i="6"/>
  <c r="N216" i="7" s="1"/>
  <c r="N101" i="6"/>
  <c r="H188" i="4"/>
  <c r="P30" i="4"/>
  <c r="P249" i="4"/>
  <c r="P168" i="4"/>
  <c r="P250" i="4"/>
  <c r="P263" i="4"/>
  <c r="P259" i="4"/>
  <c r="P257" i="4"/>
  <c r="P256" i="4"/>
  <c r="P255" i="4"/>
  <c r="P262" i="4"/>
  <c r="P261" i="4"/>
  <c r="P260" i="4"/>
  <c r="P258" i="4"/>
  <c r="P254" i="4"/>
  <c r="P252" i="4"/>
  <c r="P253" i="4"/>
  <c r="L211" i="4"/>
  <c r="L19" i="4"/>
  <c r="L243" i="4" s="1"/>
  <c r="L157" i="4"/>
  <c r="L19" i="3"/>
  <c r="P128" i="5"/>
  <c r="P74" i="5"/>
  <c r="P129" i="7" s="1"/>
  <c r="P101" i="5"/>
  <c r="P251" i="4"/>
  <c r="K271" i="4"/>
  <c r="K264" i="4"/>
  <c r="K272" i="4"/>
  <c r="K273" i="4"/>
  <c r="K266" i="4"/>
  <c r="K268" i="4"/>
  <c r="K267" i="4"/>
  <c r="K269" i="4"/>
  <c r="L175" i="4"/>
  <c r="N172" i="4"/>
  <c r="N253" i="4"/>
  <c r="T173" i="4"/>
  <c r="R206" i="4"/>
  <c r="R13" i="4"/>
  <c r="M18" i="3"/>
  <c r="Q199" i="4"/>
  <c r="S170" i="4"/>
  <c r="P121" i="5"/>
  <c r="P67" i="5"/>
  <c r="P122" i="7" s="1"/>
  <c r="O120" i="3"/>
  <c r="O115" i="3"/>
  <c r="O119" i="3"/>
  <c r="O116" i="3"/>
  <c r="O117" i="3"/>
  <c r="O113" i="3"/>
  <c r="O114" i="3"/>
  <c r="O109" i="3"/>
  <c r="O118" i="3"/>
  <c r="O112" i="3"/>
  <c r="O111" i="3"/>
  <c r="L173" i="4"/>
  <c r="J215" i="4"/>
  <c r="T18" i="3"/>
  <c r="O115" i="6"/>
  <c r="O61" i="6"/>
  <c r="O203" i="7" s="1"/>
  <c r="R170" i="4"/>
  <c r="R31" i="4"/>
  <c r="R251" i="4" s="1"/>
  <c r="M128" i="6"/>
  <c r="M74" i="6"/>
  <c r="M216" i="7" s="1"/>
  <c r="M101" i="6"/>
  <c r="M171" i="4"/>
  <c r="M244" i="4"/>
  <c r="M156" i="4"/>
  <c r="M237" i="4"/>
  <c r="M245" i="4"/>
  <c r="M246" i="4"/>
  <c r="M239" i="4"/>
  <c r="M243" i="4"/>
  <c r="M242" i="4"/>
  <c r="M240" i="4"/>
  <c r="M241" i="4"/>
  <c r="O66" i="5"/>
  <c r="O121" i="7" s="1"/>
  <c r="O120" i="5"/>
  <c r="Q6" i="4"/>
  <c r="J189" i="4"/>
  <c r="K213" i="4"/>
  <c r="K270" i="4"/>
  <c r="N135" i="5"/>
  <c r="N81" i="5"/>
  <c r="N136" i="7" s="1"/>
  <c r="N108" i="5"/>
  <c r="Q122" i="6"/>
  <c r="Q68" i="6"/>
  <c r="Q210" i="7" s="1"/>
  <c r="Q95" i="6"/>
  <c r="S17" i="3"/>
  <c r="J47" i="4"/>
  <c r="I186" i="4"/>
  <c r="L216" i="4"/>
  <c r="I187" i="4"/>
  <c r="N202" i="4"/>
  <c r="M157" i="6"/>
  <c r="M130" i="6"/>
  <c r="M76" i="6"/>
  <c r="M103" i="6"/>
  <c r="O74" i="5"/>
  <c r="O129" i="7" s="1"/>
  <c r="O128" i="5"/>
  <c r="O101" i="5"/>
  <c r="U136" i="5"/>
  <c r="U82" i="5"/>
  <c r="U137" i="7" s="1"/>
  <c r="U109" i="5"/>
  <c r="N17" i="3"/>
  <c r="N110" i="3" s="1"/>
  <c r="L264" i="4"/>
  <c r="L272" i="4"/>
  <c r="L273" i="4"/>
  <c r="L271" i="4"/>
  <c r="L266" i="4"/>
  <c r="L267" i="4"/>
  <c r="L269" i="4"/>
  <c r="L268" i="4"/>
  <c r="L270" i="4"/>
  <c r="M80" i="5"/>
  <c r="M135" i="7" s="1"/>
  <c r="M134" i="5"/>
  <c r="M107" i="5"/>
  <c r="R11" i="4"/>
  <c r="P9" i="4"/>
  <c r="K23" i="4"/>
  <c r="R9" i="4"/>
  <c r="P12" i="4"/>
  <c r="P11" i="4"/>
  <c r="I24" i="4"/>
  <c r="R12" i="4"/>
  <c r="P10" i="4"/>
  <c r="R10" i="4"/>
  <c r="K25" i="4"/>
  <c r="M11" i="4"/>
  <c r="J22" i="4"/>
  <c r="I47" i="4"/>
  <c r="I46" i="4" l="1"/>
  <c r="I184" i="4"/>
  <c r="I265" i="4"/>
  <c r="M172" i="4"/>
  <c r="T171" i="4"/>
  <c r="K174" i="4"/>
  <c r="P203" i="4"/>
  <c r="P90" i="6"/>
  <c r="P96" i="5"/>
  <c r="S118" i="3"/>
  <c r="S114" i="3"/>
  <c r="S109" i="3"/>
  <c r="S120" i="3"/>
  <c r="S113" i="3"/>
  <c r="S115" i="3"/>
  <c r="S116" i="3"/>
  <c r="S117" i="3"/>
  <c r="S119" i="3"/>
  <c r="S112" i="3"/>
  <c r="S111" i="3"/>
  <c r="M33" i="4"/>
  <c r="M17" i="3"/>
  <c r="M110" i="3" s="1"/>
  <c r="L81" i="5"/>
  <c r="L136" i="7" s="1"/>
  <c r="L135" i="5"/>
  <c r="L108" i="5"/>
  <c r="I215" i="4"/>
  <c r="U130" i="6"/>
  <c r="U157" i="6"/>
  <c r="U76" i="6"/>
  <c r="U103" i="6"/>
  <c r="L156" i="4"/>
  <c r="L237" i="4"/>
  <c r="L245" i="4"/>
  <c r="L246" i="4"/>
  <c r="L244" i="4"/>
  <c r="L239" i="4"/>
  <c r="L242" i="4"/>
  <c r="L241" i="4"/>
  <c r="L240" i="4"/>
  <c r="S181" i="4"/>
  <c r="H187" i="4"/>
  <c r="R203" i="4"/>
  <c r="R90" i="6"/>
  <c r="R96" i="5"/>
  <c r="N114" i="3"/>
  <c r="N117" i="3"/>
  <c r="N109" i="3"/>
  <c r="N120" i="3"/>
  <c r="N119" i="3"/>
  <c r="N116" i="3"/>
  <c r="N118" i="3"/>
  <c r="N115" i="3"/>
  <c r="N113" i="3"/>
  <c r="N112" i="3"/>
  <c r="N111" i="3"/>
  <c r="U188" i="4"/>
  <c r="U47" i="4"/>
  <c r="L171" i="4"/>
  <c r="P202" i="4"/>
  <c r="P115" i="6"/>
  <c r="P61" i="6"/>
  <c r="P203" i="7" s="1"/>
  <c r="O122" i="6"/>
  <c r="O68" i="6"/>
  <c r="O210" i="7" s="1"/>
  <c r="O95" i="6"/>
  <c r="M135" i="5"/>
  <c r="M81" i="5"/>
  <c r="M136" i="7" s="1"/>
  <c r="M108" i="5"/>
  <c r="H186" i="4"/>
  <c r="K107" i="5"/>
  <c r="M202" i="4"/>
  <c r="R200" i="4"/>
  <c r="Q115" i="6"/>
  <c r="Q61" i="6"/>
  <c r="Q203" i="7" s="1"/>
  <c r="Q88" i="6"/>
  <c r="L134" i="5"/>
  <c r="L80" i="5"/>
  <c r="L135" i="7" s="1"/>
  <c r="L107" i="5"/>
  <c r="N129" i="6"/>
  <c r="N75" i="6"/>
  <c r="N217" i="7" s="1"/>
  <c r="N102" i="6"/>
  <c r="N121" i="5"/>
  <c r="N67" i="5"/>
  <c r="N122" i="7" s="1"/>
  <c r="K216" i="4"/>
  <c r="K214" i="4"/>
  <c r="O114" i="6"/>
  <c r="O60" i="6"/>
  <c r="O202" i="7" s="1"/>
  <c r="R150" i="4"/>
  <c r="R204" i="4"/>
  <c r="R8" i="3"/>
  <c r="O170" i="4"/>
  <c r="O31" i="4"/>
  <c r="O251" i="4" s="1"/>
  <c r="I189" i="4"/>
  <c r="I270" i="4"/>
  <c r="K173" i="4"/>
  <c r="K175" i="4"/>
  <c r="R201" i="4"/>
  <c r="P200" i="4"/>
  <c r="P87" i="6"/>
  <c r="P93" i="5"/>
  <c r="J184" i="4"/>
  <c r="J46" i="4"/>
  <c r="J265" i="4" s="1"/>
  <c r="R73" i="5"/>
  <c r="R128" i="7" s="1"/>
  <c r="R127" i="5"/>
  <c r="R100" i="5"/>
  <c r="L18" i="3"/>
  <c r="J213" i="4"/>
  <c r="P201" i="4"/>
  <c r="P88" i="6"/>
  <c r="P94" i="5"/>
  <c r="R202" i="4"/>
  <c r="S110" i="3"/>
  <c r="K20" i="4"/>
  <c r="Q143" i="4"/>
  <c r="Q197" i="4"/>
  <c r="Q7" i="3"/>
  <c r="Q4" i="4"/>
  <c r="P122" i="6"/>
  <c r="P68" i="6"/>
  <c r="P210" i="7" s="1"/>
  <c r="P95" i="6"/>
  <c r="R249" i="4"/>
  <c r="R30" i="4"/>
  <c r="R168" i="4"/>
  <c r="R250" i="4"/>
  <c r="R263" i="4"/>
  <c r="R259" i="4"/>
  <c r="R261" i="4"/>
  <c r="R255" i="4"/>
  <c r="R257" i="4"/>
  <c r="R256" i="4"/>
  <c r="R262" i="4"/>
  <c r="R252" i="4"/>
  <c r="R254" i="4"/>
  <c r="R260" i="4"/>
  <c r="R253" i="4"/>
  <c r="R258" i="4"/>
  <c r="T17" i="3"/>
  <c r="T110" i="3" s="1"/>
  <c r="L238" i="4"/>
  <c r="N252" i="4"/>
  <c r="N30" i="4"/>
  <c r="N249" i="4"/>
  <c r="N168" i="4"/>
  <c r="N250" i="4"/>
  <c r="N259" i="4"/>
  <c r="N257" i="4"/>
  <c r="N262" i="4"/>
  <c r="N255" i="4"/>
  <c r="N261" i="4"/>
  <c r="N263" i="4"/>
  <c r="N260" i="4"/>
  <c r="N258" i="4"/>
  <c r="N256" i="4"/>
  <c r="N254" i="4"/>
  <c r="J25" i="4"/>
  <c r="J23" i="4"/>
  <c r="J20" i="4" s="1"/>
  <c r="P7" i="4"/>
  <c r="H24" i="4"/>
  <c r="L11" i="4"/>
  <c r="I22" i="4"/>
  <c r="H47" i="4"/>
  <c r="L33" i="4"/>
  <c r="J19" i="4" l="1"/>
  <c r="J157" i="4"/>
  <c r="J211" i="4"/>
  <c r="J238" i="4"/>
  <c r="J19" i="3"/>
  <c r="L170" i="4"/>
  <c r="L31" i="4"/>
  <c r="L253" i="4" s="1"/>
  <c r="H184" i="4"/>
  <c r="H46" i="4"/>
  <c r="H265" i="4" s="1"/>
  <c r="K171" i="4"/>
  <c r="G186" i="4"/>
  <c r="G187" i="4"/>
  <c r="R121" i="6"/>
  <c r="R67" i="6"/>
  <c r="R209" i="7" s="1"/>
  <c r="R94" i="6"/>
  <c r="L128" i="6"/>
  <c r="L74" i="6"/>
  <c r="L216" i="7" s="1"/>
  <c r="L101" i="6"/>
  <c r="L202" i="4"/>
  <c r="H189" i="4"/>
  <c r="H270" i="4"/>
  <c r="T181" i="4"/>
  <c r="L17" i="3"/>
  <c r="L110" i="3" s="1"/>
  <c r="O30" i="4"/>
  <c r="O168" i="4"/>
  <c r="O249" i="4"/>
  <c r="O250" i="4"/>
  <c r="O259" i="4"/>
  <c r="O257" i="4"/>
  <c r="O262" i="4"/>
  <c r="O255" i="4"/>
  <c r="O261" i="4"/>
  <c r="O260" i="4"/>
  <c r="O263" i="4"/>
  <c r="O258" i="4"/>
  <c r="O254" i="4"/>
  <c r="O256" i="4"/>
  <c r="O252" i="4"/>
  <c r="O253" i="4"/>
  <c r="M129" i="6"/>
  <c r="M75" i="6"/>
  <c r="M217" i="7" s="1"/>
  <c r="M102" i="6"/>
  <c r="I213" i="4"/>
  <c r="S179" i="4"/>
  <c r="S40" i="4"/>
  <c r="U184" i="4"/>
  <c r="U46" i="4"/>
  <c r="M121" i="5"/>
  <c r="M67" i="5"/>
  <c r="M122" i="7" s="1"/>
  <c r="M114" i="3"/>
  <c r="M120" i="3"/>
  <c r="M117" i="3"/>
  <c r="M119" i="3"/>
  <c r="M118" i="3"/>
  <c r="M113" i="3"/>
  <c r="M109" i="3"/>
  <c r="M115" i="3"/>
  <c r="M116" i="3"/>
  <c r="M112" i="3"/>
  <c r="M111" i="3"/>
  <c r="Q110" i="6"/>
  <c r="Q66" i="3"/>
  <c r="Q56" i="6"/>
  <c r="Q198" i="7" s="1"/>
  <c r="Q83" i="6"/>
  <c r="H215" i="4"/>
  <c r="K157" i="4"/>
  <c r="K211" i="4"/>
  <c r="K19" i="4"/>
  <c r="K19" i="3"/>
  <c r="J81" i="5"/>
  <c r="J136" i="7" s="1"/>
  <c r="J135" i="5"/>
  <c r="J108" i="5"/>
  <c r="Q62" i="5"/>
  <c r="Q117" i="7" s="1"/>
  <c r="Q116" i="5"/>
  <c r="Q36" i="3"/>
  <c r="Q89" i="5"/>
  <c r="P198" i="4"/>
  <c r="Q141" i="4"/>
  <c r="Q195" i="4"/>
  <c r="Q222" i="4"/>
  <c r="Q232" i="4"/>
  <c r="Q236" i="4"/>
  <c r="Q234" i="4"/>
  <c r="Q235" i="4"/>
  <c r="Q233" i="4"/>
  <c r="Q231" i="4"/>
  <c r="Q223" i="4"/>
  <c r="Q229" i="4"/>
  <c r="Q228" i="4"/>
  <c r="Q230" i="4"/>
  <c r="Q227" i="4"/>
  <c r="Q225" i="4"/>
  <c r="Q226" i="4"/>
  <c r="K134" i="5"/>
  <c r="K80" i="5"/>
  <c r="K135" i="7" s="1"/>
  <c r="N127" i="5"/>
  <c r="N73" i="5"/>
  <c r="N128" i="7" s="1"/>
  <c r="N100" i="5"/>
  <c r="M170" i="4"/>
  <c r="M31" i="4"/>
  <c r="M251" i="4" s="1"/>
  <c r="T116" i="3"/>
  <c r="T114" i="3"/>
  <c r="T113" i="3"/>
  <c r="T117" i="3"/>
  <c r="T118" i="3"/>
  <c r="T119" i="3"/>
  <c r="T109" i="3"/>
  <c r="T115" i="3"/>
  <c r="T120" i="3"/>
  <c r="T112" i="3"/>
  <c r="T111" i="3"/>
  <c r="Q5" i="3"/>
  <c r="L129" i="6"/>
  <c r="L75" i="6"/>
  <c r="L217" i="7" s="1"/>
  <c r="L102" i="6"/>
  <c r="N115" i="6"/>
  <c r="N61" i="6"/>
  <c r="N203" i="7" s="1"/>
  <c r="N128" i="5"/>
  <c r="N74" i="5"/>
  <c r="N129" i="7" s="1"/>
  <c r="N101" i="5"/>
  <c r="L172" i="4"/>
  <c r="G188" i="4"/>
  <c r="J214" i="4"/>
  <c r="J107" i="5"/>
  <c r="J241" i="4"/>
  <c r="J216" i="4"/>
  <c r="J243" i="4"/>
  <c r="Q224" i="4"/>
  <c r="L121" i="5"/>
  <c r="L67" i="5"/>
  <c r="L122" i="7" s="1"/>
  <c r="Q125" i="5"/>
  <c r="Q71" i="5"/>
  <c r="Q126" i="7" s="1"/>
  <c r="Q98" i="5"/>
  <c r="J264" i="4"/>
  <c r="J272" i="4"/>
  <c r="J273" i="4"/>
  <c r="J271" i="4"/>
  <c r="J266" i="4"/>
  <c r="J269" i="4"/>
  <c r="J267" i="4"/>
  <c r="J268" i="4"/>
  <c r="J270" i="4"/>
  <c r="Q132" i="5"/>
  <c r="Q78" i="5"/>
  <c r="Q133" i="7" s="1"/>
  <c r="Q105" i="5"/>
  <c r="S127" i="5"/>
  <c r="S73" i="5"/>
  <c r="S128" i="7" s="1"/>
  <c r="S100" i="5"/>
  <c r="I264" i="4"/>
  <c r="I272" i="4"/>
  <c r="I273" i="4"/>
  <c r="I271" i="4"/>
  <c r="I266" i="4"/>
  <c r="I269" i="4"/>
  <c r="I267" i="4"/>
  <c r="I268" i="4"/>
  <c r="O12" i="4"/>
  <c r="I23" i="4"/>
  <c r="S17" i="4"/>
  <c r="S9" i="4"/>
  <c r="N9" i="4"/>
  <c r="K10" i="4"/>
  <c r="O10" i="4"/>
  <c r="G24" i="4"/>
  <c r="I25" i="4"/>
  <c r="O9" i="4"/>
  <c r="K11" i="4"/>
  <c r="S12" i="4"/>
  <c r="N12" i="4"/>
  <c r="S10" i="4"/>
  <c r="N10" i="4"/>
  <c r="S11" i="4"/>
  <c r="R8" i="4"/>
  <c r="R7" i="4"/>
  <c r="U24" i="4"/>
  <c r="P8" i="4"/>
  <c r="H22" i="4"/>
  <c r="O4" i="5"/>
  <c r="O47" i="6" s="1"/>
  <c r="G215" i="4" l="1"/>
  <c r="H213" i="4"/>
  <c r="R198" i="4"/>
  <c r="R6" i="4"/>
  <c r="K202" i="4"/>
  <c r="S208" i="4"/>
  <c r="T172" i="4"/>
  <c r="T33" i="4"/>
  <c r="M128" i="5"/>
  <c r="M74" i="5"/>
  <c r="M129" i="7" s="1"/>
  <c r="M101" i="5"/>
  <c r="K243" i="4"/>
  <c r="K156" i="4"/>
  <c r="K237" i="4"/>
  <c r="K245" i="4"/>
  <c r="K246" i="4"/>
  <c r="K244" i="4"/>
  <c r="K239" i="4"/>
  <c r="K242" i="4"/>
  <c r="K240" i="4"/>
  <c r="K241" i="4"/>
  <c r="N120" i="5"/>
  <c r="N66" i="5"/>
  <c r="N121" i="7" s="1"/>
  <c r="S121" i="6"/>
  <c r="S67" i="6"/>
  <c r="S209" i="7" s="1"/>
  <c r="S94" i="6"/>
  <c r="K128" i="6"/>
  <c r="K74" i="6"/>
  <c r="K216" i="7" s="1"/>
  <c r="K101" i="6"/>
  <c r="F188" i="4"/>
  <c r="U215" i="4"/>
  <c r="U20" i="4"/>
  <c r="O200" i="4"/>
  <c r="O87" i="6"/>
  <c r="O93" i="5"/>
  <c r="O201" i="4"/>
  <c r="O88" i="6"/>
  <c r="O94" i="5"/>
  <c r="I214" i="4"/>
  <c r="N122" i="6"/>
  <c r="N68" i="6"/>
  <c r="N210" i="7" s="1"/>
  <c r="N95" i="6"/>
  <c r="P71" i="5"/>
  <c r="P126" i="7" s="1"/>
  <c r="P125" i="5"/>
  <c r="P98" i="5"/>
  <c r="H271" i="4"/>
  <c r="H264" i="4"/>
  <c r="H272" i="4"/>
  <c r="H273" i="4"/>
  <c r="H266" i="4"/>
  <c r="H269" i="4"/>
  <c r="H268" i="4"/>
  <c r="H267" i="4"/>
  <c r="G189" i="4"/>
  <c r="J173" i="4"/>
  <c r="F186" i="4"/>
  <c r="N87" i="6"/>
  <c r="T179" i="4"/>
  <c r="T40" i="4"/>
  <c r="R199" i="4"/>
  <c r="K201" i="4"/>
  <c r="O203" i="4"/>
  <c r="O96" i="5"/>
  <c r="K81" i="5"/>
  <c r="K136" i="7" s="1"/>
  <c r="K135" i="5"/>
  <c r="K108" i="5"/>
  <c r="S80" i="5"/>
  <c r="S135" i="7" s="1"/>
  <c r="S134" i="5"/>
  <c r="S107" i="5"/>
  <c r="I20" i="4"/>
  <c r="G47" i="4"/>
  <c r="J174" i="4"/>
  <c r="F187" i="4"/>
  <c r="N94" i="5"/>
  <c r="N201" i="4"/>
  <c r="N88" i="6"/>
  <c r="N93" i="5"/>
  <c r="N200" i="4"/>
  <c r="Q188" i="3"/>
  <c r="Q218" i="3"/>
  <c r="L136" i="5"/>
  <c r="L82" i="5"/>
  <c r="L137" i="7" s="1"/>
  <c r="L109" i="5"/>
  <c r="L249" i="4"/>
  <c r="L168" i="4"/>
  <c r="L250" i="4"/>
  <c r="L259" i="4"/>
  <c r="L257" i="4"/>
  <c r="L255" i="4"/>
  <c r="L262" i="4"/>
  <c r="L261" i="4"/>
  <c r="L260" i="4"/>
  <c r="L263" i="4"/>
  <c r="L258" i="4"/>
  <c r="L254" i="4"/>
  <c r="L256" i="4"/>
  <c r="L30" i="4"/>
  <c r="L252" i="4"/>
  <c r="R80" i="5"/>
  <c r="R135" i="7" s="1"/>
  <c r="R134" i="5"/>
  <c r="R107" i="5"/>
  <c r="J80" i="5"/>
  <c r="J135" i="7" s="1"/>
  <c r="J134" i="5"/>
  <c r="K18" i="3"/>
  <c r="O69" i="5"/>
  <c r="O124" i="7" s="1"/>
  <c r="O123" i="5"/>
  <c r="L251" i="4"/>
  <c r="P199" i="4"/>
  <c r="J175" i="4"/>
  <c r="S202" i="4"/>
  <c r="S201" i="4"/>
  <c r="I216" i="4"/>
  <c r="Q4" i="3"/>
  <c r="Q97" i="3" s="1"/>
  <c r="M258" i="4"/>
  <c r="M30" i="4"/>
  <c r="M168" i="4"/>
  <c r="M249" i="4"/>
  <c r="M250" i="4"/>
  <c r="M259" i="4"/>
  <c r="M257" i="4"/>
  <c r="M255" i="4"/>
  <c r="M262" i="4"/>
  <c r="M261" i="4"/>
  <c r="M260" i="4"/>
  <c r="M263" i="4"/>
  <c r="M256" i="4"/>
  <c r="M254" i="4"/>
  <c r="M252" i="4"/>
  <c r="M253" i="4"/>
  <c r="P6" i="4"/>
  <c r="K238" i="4"/>
  <c r="S177" i="4"/>
  <c r="S31" i="4"/>
  <c r="S258" i="4" s="1"/>
  <c r="L74" i="5"/>
  <c r="L129" i="7" s="1"/>
  <c r="L128" i="5"/>
  <c r="L101" i="5"/>
  <c r="J244" i="4"/>
  <c r="J156" i="4"/>
  <c r="J237" i="4"/>
  <c r="J245" i="4"/>
  <c r="J246" i="4"/>
  <c r="J239" i="4"/>
  <c r="J242" i="4"/>
  <c r="J240" i="4"/>
  <c r="I107" i="5"/>
  <c r="S93" i="5"/>
  <c r="N203" i="4"/>
  <c r="S200" i="4"/>
  <c r="N121" i="6"/>
  <c r="N67" i="6"/>
  <c r="N209" i="7" s="1"/>
  <c r="N94" i="6"/>
  <c r="I135" i="5"/>
  <c r="I81" i="5"/>
  <c r="I136" i="7" s="1"/>
  <c r="I108" i="5"/>
  <c r="M73" i="5"/>
  <c r="M128" i="7" s="1"/>
  <c r="M127" i="5"/>
  <c r="M100" i="5"/>
  <c r="P62" i="5"/>
  <c r="P117" i="7" s="1"/>
  <c r="P116" i="5"/>
  <c r="P36" i="3"/>
  <c r="P89" i="5"/>
  <c r="U265" i="4"/>
  <c r="U264" i="4"/>
  <c r="U272" i="4"/>
  <c r="U273" i="4"/>
  <c r="U271" i="4"/>
  <c r="U267" i="4"/>
  <c r="U268" i="4"/>
  <c r="U266" i="4"/>
  <c r="U270" i="4"/>
  <c r="U269" i="4"/>
  <c r="P78" i="5"/>
  <c r="P133" i="7" s="1"/>
  <c r="P132" i="5"/>
  <c r="P105" i="5"/>
  <c r="L120" i="3"/>
  <c r="L114" i="3"/>
  <c r="L118" i="3"/>
  <c r="L115" i="3"/>
  <c r="L116" i="3"/>
  <c r="L113" i="3"/>
  <c r="L117" i="3"/>
  <c r="L119" i="3"/>
  <c r="L109" i="3"/>
  <c r="L112" i="3"/>
  <c r="L111" i="3"/>
  <c r="L115" i="6"/>
  <c r="L61" i="6"/>
  <c r="L203" i="7" s="1"/>
  <c r="S96" i="5"/>
  <c r="S90" i="6"/>
  <c r="S203" i="4"/>
  <c r="M115" i="6"/>
  <c r="M61" i="6"/>
  <c r="M203" i="7" s="1"/>
  <c r="O68" i="5"/>
  <c r="O123" i="7" s="1"/>
  <c r="O122" i="5"/>
  <c r="O95" i="5"/>
  <c r="N122" i="5"/>
  <c r="N68" i="5"/>
  <c r="N123" i="7" s="1"/>
  <c r="N95" i="5"/>
  <c r="J18" i="3"/>
  <c r="H23" i="4"/>
  <c r="T17" i="4"/>
  <c r="H25" i="4"/>
  <c r="G22" i="4"/>
  <c r="N7" i="4"/>
  <c r="O7" i="4"/>
  <c r="S7" i="4"/>
  <c r="F47" i="4"/>
  <c r="N4" i="5"/>
  <c r="N47" i="6" s="1"/>
  <c r="S15" i="4"/>
  <c r="F24" i="4"/>
  <c r="F215" i="4" l="1"/>
  <c r="F184" i="4"/>
  <c r="S206" i="4"/>
  <c r="S13" i="4"/>
  <c r="T208" i="4"/>
  <c r="S198" i="4"/>
  <c r="E188" i="4"/>
  <c r="O198" i="4"/>
  <c r="E187" i="4"/>
  <c r="H214" i="4"/>
  <c r="M66" i="5"/>
  <c r="M121" i="7" s="1"/>
  <c r="M120" i="5"/>
  <c r="P188" i="3"/>
  <c r="Q105" i="3"/>
  <c r="Q102" i="3"/>
  <c r="Q101" i="3"/>
  <c r="Q103" i="3"/>
  <c r="Q104" i="3"/>
  <c r="Q96" i="3"/>
  <c r="Q108" i="3"/>
  <c r="Q106" i="3"/>
  <c r="Q107" i="3"/>
  <c r="Q100" i="3"/>
  <c r="Q98" i="3"/>
  <c r="Q99" i="3"/>
  <c r="J128" i="6"/>
  <c r="J74" i="6"/>
  <c r="J216" i="7" s="1"/>
  <c r="J101" i="6"/>
  <c r="O117" i="6"/>
  <c r="O144" i="6"/>
  <c r="O63" i="6"/>
  <c r="L127" i="5"/>
  <c r="L73" i="5"/>
  <c r="L128" i="7" s="1"/>
  <c r="L100" i="5"/>
  <c r="T170" i="4"/>
  <c r="T31" i="4"/>
  <c r="T258" i="4" s="1"/>
  <c r="S128" i="6"/>
  <c r="S74" i="6"/>
  <c r="S216" i="7" s="1"/>
  <c r="S101" i="6"/>
  <c r="I175" i="4"/>
  <c r="I11" i="4"/>
  <c r="I62" i="6"/>
  <c r="I256" i="4"/>
  <c r="I173" i="4"/>
  <c r="E186" i="4"/>
  <c r="I174" i="4"/>
  <c r="G213" i="4"/>
  <c r="N69" i="5"/>
  <c r="N124" i="7" s="1"/>
  <c r="N123" i="5"/>
  <c r="O116" i="6"/>
  <c r="O62" i="6"/>
  <c r="O204" i="7" s="1"/>
  <c r="O89" i="6"/>
  <c r="T177" i="4"/>
  <c r="R128" i="6"/>
  <c r="R74" i="6"/>
  <c r="R216" i="7" s="1"/>
  <c r="R101" i="6"/>
  <c r="J129" i="6"/>
  <c r="J75" i="6"/>
  <c r="J217" i="7" s="1"/>
  <c r="J102" i="6"/>
  <c r="Q126" i="6"/>
  <c r="Q72" i="6"/>
  <c r="Q214" i="7" s="1"/>
  <c r="Q99" i="6"/>
  <c r="P110" i="6"/>
  <c r="P66" i="3"/>
  <c r="P56" i="6"/>
  <c r="P198" i="7" s="1"/>
  <c r="P83" i="6"/>
  <c r="N116" i="6"/>
  <c r="N62" i="6"/>
  <c r="N204" i="7" s="1"/>
  <c r="N89" i="6"/>
  <c r="S120" i="5"/>
  <c r="S66" i="5"/>
  <c r="S121" i="7" s="1"/>
  <c r="K129" i="6"/>
  <c r="K75" i="6"/>
  <c r="K217" i="7" s="1"/>
  <c r="K102" i="6"/>
  <c r="M122" i="5"/>
  <c r="M68" i="5"/>
  <c r="M123" i="7" s="1"/>
  <c r="M95" i="5"/>
  <c r="G184" i="4"/>
  <c r="G46" i="4"/>
  <c r="M122" i="6"/>
  <c r="M68" i="6"/>
  <c r="M210" i="7" s="1"/>
  <c r="M95" i="6"/>
  <c r="R120" i="5"/>
  <c r="R66" i="5"/>
  <c r="R121" i="7" s="1"/>
  <c r="R93" i="5"/>
  <c r="N198" i="4"/>
  <c r="H216" i="4"/>
  <c r="L130" i="6"/>
  <c r="L157" i="6"/>
  <c r="L76" i="6"/>
  <c r="L103" i="6"/>
  <c r="I211" i="4"/>
  <c r="I157" i="4"/>
  <c r="I19" i="4"/>
  <c r="I19" i="3"/>
  <c r="H20" i="4"/>
  <c r="F189" i="4"/>
  <c r="J171" i="4"/>
  <c r="K82" i="5"/>
  <c r="K137" i="7" s="1"/>
  <c r="K136" i="5"/>
  <c r="K109" i="5"/>
  <c r="I134" i="5"/>
  <c r="I80" i="5"/>
  <c r="I135" i="7" s="1"/>
  <c r="K17" i="3"/>
  <c r="K110" i="3" s="1"/>
  <c r="U211" i="4"/>
  <c r="U157" i="4"/>
  <c r="U19" i="4"/>
  <c r="U19" i="3"/>
  <c r="J17" i="3"/>
  <c r="J110" i="3" s="1"/>
  <c r="M121" i="6"/>
  <c r="M67" i="6"/>
  <c r="M209" i="7" s="1"/>
  <c r="M94" i="6"/>
  <c r="L122" i="6"/>
  <c r="L68" i="6"/>
  <c r="L210" i="7" s="1"/>
  <c r="L95" i="6"/>
  <c r="P143" i="4"/>
  <c r="P197" i="4"/>
  <c r="P7" i="3"/>
  <c r="P4" i="4"/>
  <c r="N96" i="5"/>
  <c r="S249" i="4"/>
  <c r="S168" i="4"/>
  <c r="S30" i="4"/>
  <c r="S250" i="4"/>
  <c r="S263" i="4"/>
  <c r="S261" i="4"/>
  <c r="S259" i="4"/>
  <c r="S255" i="4"/>
  <c r="S257" i="4"/>
  <c r="S256" i="4"/>
  <c r="S254" i="4"/>
  <c r="S252" i="4"/>
  <c r="S253" i="4"/>
  <c r="S251" i="4"/>
  <c r="S262" i="4"/>
  <c r="S260" i="4"/>
  <c r="K172" i="4"/>
  <c r="K33" i="4"/>
  <c r="O90" i="6"/>
  <c r="N114" i="6"/>
  <c r="N60" i="6"/>
  <c r="N202" i="7" s="1"/>
  <c r="R197" i="4"/>
  <c r="R143" i="4"/>
  <c r="R7" i="3"/>
  <c r="R4" i="4"/>
  <c r="M9" i="4"/>
  <c r="O8" i="4"/>
  <c r="O6" i="4" s="1"/>
  <c r="M10" i="4"/>
  <c r="E24" i="4"/>
  <c r="J10" i="4"/>
  <c r="J11" i="4"/>
  <c r="N8" i="4"/>
  <c r="N6" i="4" s="1"/>
  <c r="G23" i="4"/>
  <c r="M12" i="4"/>
  <c r="S8" i="4"/>
  <c r="S6" i="4" s="1"/>
  <c r="G25" i="4"/>
  <c r="T15" i="4"/>
  <c r="M4" i="5"/>
  <c r="M47" i="6" s="1"/>
  <c r="F22" i="4"/>
  <c r="E47" i="4"/>
  <c r="J33" i="4"/>
  <c r="G20" i="4" l="1"/>
  <c r="S4" i="4"/>
  <c r="S143" i="4"/>
  <c r="S224" i="4"/>
  <c r="S197" i="4"/>
  <c r="S7" i="3"/>
  <c r="O143" i="4"/>
  <c r="O197" i="4"/>
  <c r="O7" i="3"/>
  <c r="O4" i="4"/>
  <c r="E184" i="4"/>
  <c r="J170" i="4"/>
  <c r="J31" i="4"/>
  <c r="G211" i="4"/>
  <c r="G19" i="4"/>
  <c r="G241" i="4" s="1"/>
  <c r="G157" i="4"/>
  <c r="G19" i="3"/>
  <c r="N143" i="4"/>
  <c r="N197" i="4"/>
  <c r="N7" i="3"/>
  <c r="N4" i="4"/>
  <c r="N226" i="4" s="1"/>
  <c r="E215" i="4"/>
  <c r="C188" i="4"/>
  <c r="M123" i="5"/>
  <c r="M69" i="5"/>
  <c r="M124" i="7" s="1"/>
  <c r="U244" i="4"/>
  <c r="U156" i="4"/>
  <c r="U237" i="4"/>
  <c r="U245" i="4"/>
  <c r="U246" i="4"/>
  <c r="U241" i="4"/>
  <c r="U240" i="4"/>
  <c r="U239" i="4"/>
  <c r="U243" i="4"/>
  <c r="U242" i="4"/>
  <c r="I244" i="4"/>
  <c r="I237" i="4"/>
  <c r="I156" i="4"/>
  <c r="I245" i="4"/>
  <c r="I246" i="4"/>
  <c r="I239" i="4"/>
  <c r="I242" i="4"/>
  <c r="I240" i="4"/>
  <c r="I243" i="4"/>
  <c r="I241" i="4"/>
  <c r="L121" i="6"/>
  <c r="L67" i="6"/>
  <c r="L209" i="7" s="1"/>
  <c r="L94" i="6"/>
  <c r="P122" i="5"/>
  <c r="P68" i="5"/>
  <c r="P123" i="7" s="1"/>
  <c r="P95" i="5"/>
  <c r="R71" i="5"/>
  <c r="R126" i="7" s="1"/>
  <c r="R125" i="5"/>
  <c r="R98" i="5"/>
  <c r="K157" i="6"/>
  <c r="K130" i="6"/>
  <c r="K76" i="6"/>
  <c r="K103" i="6"/>
  <c r="L120" i="5"/>
  <c r="L66" i="5"/>
  <c r="L121" i="7" s="1"/>
  <c r="M203" i="4"/>
  <c r="M96" i="5"/>
  <c r="J201" i="4"/>
  <c r="M87" i="6"/>
  <c r="M200" i="4"/>
  <c r="M93" i="5"/>
  <c r="I128" i="6"/>
  <c r="I74" i="6"/>
  <c r="I216" i="7" s="1"/>
  <c r="I101" i="6"/>
  <c r="M114" i="6"/>
  <c r="M60" i="6"/>
  <c r="M202" i="7" s="1"/>
  <c r="I129" i="6"/>
  <c r="I75" i="6"/>
  <c r="I217" i="7" s="1"/>
  <c r="I102" i="6"/>
  <c r="S110" i="6"/>
  <c r="S66" i="3"/>
  <c r="S56" i="6"/>
  <c r="S198" i="7" s="1"/>
  <c r="S83" i="6"/>
  <c r="P141" i="4"/>
  <c r="P195" i="4"/>
  <c r="P222" i="4"/>
  <c r="P223" i="4"/>
  <c r="P232" i="4"/>
  <c r="P234" i="4"/>
  <c r="P233" i="4"/>
  <c r="P231" i="4"/>
  <c r="P235" i="4"/>
  <c r="P236" i="4"/>
  <c r="P230" i="4"/>
  <c r="P229" i="4"/>
  <c r="P227" i="4"/>
  <c r="P228" i="4"/>
  <c r="P225" i="4"/>
  <c r="P226" i="4"/>
  <c r="J119" i="3"/>
  <c r="J113" i="3"/>
  <c r="J116" i="3"/>
  <c r="J117" i="3"/>
  <c r="J118" i="3"/>
  <c r="J120" i="3"/>
  <c r="J114" i="3"/>
  <c r="J109" i="3"/>
  <c r="J115" i="3"/>
  <c r="J112" i="3"/>
  <c r="J111" i="3"/>
  <c r="N144" i="6"/>
  <c r="N117" i="6"/>
  <c r="N63" i="6"/>
  <c r="N90" i="6"/>
  <c r="G271" i="4"/>
  <c r="G264" i="4"/>
  <c r="G272" i="4"/>
  <c r="G273" i="4"/>
  <c r="G266" i="4"/>
  <c r="G269" i="4"/>
  <c r="G268" i="4"/>
  <c r="G267" i="4"/>
  <c r="G270" i="4"/>
  <c r="R132" i="5"/>
  <c r="R78" i="5"/>
  <c r="R133" i="7" s="1"/>
  <c r="R105" i="5"/>
  <c r="G214" i="4"/>
  <c r="R222" i="4"/>
  <c r="R141" i="4"/>
  <c r="R195" i="4"/>
  <c r="R232" i="4"/>
  <c r="R234" i="4"/>
  <c r="R236" i="4"/>
  <c r="R223" i="4"/>
  <c r="R235" i="4"/>
  <c r="R233" i="4"/>
  <c r="R230" i="4"/>
  <c r="R228" i="4"/>
  <c r="R229" i="4"/>
  <c r="R227" i="4"/>
  <c r="R231" i="4"/>
  <c r="R225" i="4"/>
  <c r="R226" i="4"/>
  <c r="P5" i="3"/>
  <c r="J82" i="5"/>
  <c r="J137" i="7" s="1"/>
  <c r="J136" i="5"/>
  <c r="J109" i="5"/>
  <c r="S204" i="4"/>
  <c r="S150" i="4"/>
  <c r="S231" i="4"/>
  <c r="S8" i="3"/>
  <c r="Q119" i="6"/>
  <c r="Q65" i="6"/>
  <c r="Q207" i="7" s="1"/>
  <c r="Q92" i="6"/>
  <c r="D186" i="4"/>
  <c r="P126" i="6"/>
  <c r="P72" i="6"/>
  <c r="P214" i="7" s="1"/>
  <c r="P99" i="6"/>
  <c r="N199" i="4"/>
  <c r="R5" i="3"/>
  <c r="P224" i="4"/>
  <c r="H135" i="5"/>
  <c r="H81" i="5"/>
  <c r="H136" i="7" s="1"/>
  <c r="H108" i="5"/>
  <c r="M116" i="6"/>
  <c r="M62" i="6"/>
  <c r="M204" i="7" s="1"/>
  <c r="M89" i="6"/>
  <c r="G265" i="4"/>
  <c r="R116" i="5"/>
  <c r="R62" i="5"/>
  <c r="R117" i="7" s="1"/>
  <c r="R36" i="3"/>
  <c r="R89" i="5"/>
  <c r="K127" i="5"/>
  <c r="K73" i="5"/>
  <c r="K128" i="7" s="1"/>
  <c r="K100" i="5"/>
  <c r="H256" i="4"/>
  <c r="H11" i="4"/>
  <c r="H175" i="4"/>
  <c r="H62" i="6"/>
  <c r="D187" i="4"/>
  <c r="F213" i="4"/>
  <c r="I171" i="4"/>
  <c r="M94" i="5"/>
  <c r="M88" i="6"/>
  <c r="M201" i="4"/>
  <c r="R224" i="4"/>
  <c r="H157" i="4"/>
  <c r="H19" i="4"/>
  <c r="H238" i="4" s="1"/>
  <c r="H211" i="4"/>
  <c r="H19" i="3"/>
  <c r="L122" i="5"/>
  <c r="L68" i="5"/>
  <c r="L123" i="7" s="1"/>
  <c r="L95" i="5"/>
  <c r="J172" i="4"/>
  <c r="J253" i="4"/>
  <c r="E189" i="4"/>
  <c r="H174" i="4"/>
  <c r="T206" i="4"/>
  <c r="T13" i="4"/>
  <c r="G216" i="4"/>
  <c r="G243" i="4"/>
  <c r="J202" i="4"/>
  <c r="K170" i="4"/>
  <c r="K31" i="4"/>
  <c r="S78" i="5"/>
  <c r="S133" i="7" s="1"/>
  <c r="S132" i="5"/>
  <c r="S105" i="5"/>
  <c r="S62" i="5"/>
  <c r="S117" i="7" s="1"/>
  <c r="S116" i="5"/>
  <c r="S36" i="3"/>
  <c r="S89" i="5"/>
  <c r="K121" i="5"/>
  <c r="K67" i="5"/>
  <c r="K122" i="7" s="1"/>
  <c r="K94" i="5"/>
  <c r="S125" i="5"/>
  <c r="S71" i="5"/>
  <c r="S126" i="7" s="1"/>
  <c r="S98" i="5"/>
  <c r="U18" i="3"/>
  <c r="S114" i="6"/>
  <c r="S60" i="6"/>
  <c r="S202" i="7" s="1"/>
  <c r="S87" i="6"/>
  <c r="H134" i="5"/>
  <c r="H80" i="5"/>
  <c r="H135" i="7" s="1"/>
  <c r="I18" i="3"/>
  <c r="I229" i="4"/>
  <c r="I89" i="6"/>
  <c r="I95" i="5"/>
  <c r="I202" i="4"/>
  <c r="T251" i="4"/>
  <c r="T249" i="4"/>
  <c r="T30" i="4"/>
  <c r="T168" i="4"/>
  <c r="T250" i="4"/>
  <c r="T263" i="4"/>
  <c r="T261" i="4"/>
  <c r="T259" i="4"/>
  <c r="T255" i="4"/>
  <c r="T257" i="4"/>
  <c r="T256" i="4"/>
  <c r="T254" i="4"/>
  <c r="T252" i="4"/>
  <c r="T262" i="4"/>
  <c r="T260" i="4"/>
  <c r="T253" i="4"/>
  <c r="H107" i="5"/>
  <c r="D188" i="4"/>
  <c r="H173" i="4"/>
  <c r="S199" i="4"/>
  <c r="S226" i="4"/>
  <c r="O199" i="4"/>
  <c r="O226" i="4"/>
  <c r="U238" i="4"/>
  <c r="K120" i="3"/>
  <c r="K115" i="3"/>
  <c r="K114" i="3"/>
  <c r="K119" i="3"/>
  <c r="K116" i="3"/>
  <c r="K113" i="3"/>
  <c r="K117" i="3"/>
  <c r="K109" i="3"/>
  <c r="K118" i="3"/>
  <c r="K112" i="3"/>
  <c r="K111" i="3"/>
  <c r="I238" i="4"/>
  <c r="R81" i="5"/>
  <c r="R136" i="7" s="1"/>
  <c r="R135" i="5"/>
  <c r="R108" i="5"/>
  <c r="P218" i="3"/>
  <c r="R114" i="6"/>
  <c r="R60" i="6"/>
  <c r="R202" i="7" s="1"/>
  <c r="R87" i="6"/>
  <c r="F25" i="4"/>
  <c r="L9" i="4"/>
  <c r="T10" i="4"/>
  <c r="L12" i="4"/>
  <c r="T12" i="4"/>
  <c r="T9" i="4"/>
  <c r="L10" i="4"/>
  <c r="I10" i="4"/>
  <c r="T11" i="4"/>
  <c r="F23" i="4"/>
  <c r="D24" i="4"/>
  <c r="E22" i="4"/>
  <c r="M7" i="4"/>
  <c r="F20" i="4" l="1"/>
  <c r="F157" i="4"/>
  <c r="F211" i="4"/>
  <c r="F19" i="3"/>
  <c r="D215" i="4"/>
  <c r="I172" i="4"/>
  <c r="T202" i="4"/>
  <c r="S188" i="3"/>
  <c r="H129" i="6"/>
  <c r="H75" i="6"/>
  <c r="H217" i="7" s="1"/>
  <c r="H102" i="6"/>
  <c r="I136" i="5"/>
  <c r="I82" i="5"/>
  <c r="I137" i="7" s="1"/>
  <c r="I109" i="5"/>
  <c r="Q122" i="5"/>
  <c r="Q68" i="5"/>
  <c r="Q123" i="7" s="1"/>
  <c r="Q95" i="5"/>
  <c r="K115" i="6"/>
  <c r="K61" i="6"/>
  <c r="K203" i="7" s="1"/>
  <c r="K88" i="6"/>
  <c r="S5" i="3"/>
  <c r="P119" i="6"/>
  <c r="P65" i="6"/>
  <c r="P207" i="7" s="1"/>
  <c r="P92" i="6"/>
  <c r="R110" i="6"/>
  <c r="R66" i="3"/>
  <c r="R56" i="6"/>
  <c r="R198" i="7" s="1"/>
  <c r="R83" i="6"/>
  <c r="G174" i="4"/>
  <c r="T96" i="5"/>
  <c r="T203" i="4"/>
  <c r="T90" i="6"/>
  <c r="L69" i="5"/>
  <c r="L124" i="7" s="1"/>
  <c r="L123" i="5"/>
  <c r="R67" i="5"/>
  <c r="R122" i="7" s="1"/>
  <c r="R121" i="5"/>
  <c r="R94" i="5"/>
  <c r="J262" i="4"/>
  <c r="J168" i="4"/>
  <c r="J249" i="4"/>
  <c r="J30" i="4"/>
  <c r="J250" i="4"/>
  <c r="J259" i="4"/>
  <c r="J257" i="4"/>
  <c r="J261" i="4"/>
  <c r="J260" i="4"/>
  <c r="J263" i="4"/>
  <c r="J258" i="4"/>
  <c r="J255" i="4"/>
  <c r="J254" i="4"/>
  <c r="J256" i="4"/>
  <c r="J252" i="4"/>
  <c r="O232" i="4"/>
  <c r="O141" i="4"/>
  <c r="O195" i="4"/>
  <c r="O222" i="4"/>
  <c r="O223" i="4"/>
  <c r="O234" i="4"/>
  <c r="O233" i="4"/>
  <c r="O236" i="4"/>
  <c r="O235" i="4"/>
  <c r="O231" i="4"/>
  <c r="O229" i="4"/>
  <c r="O230" i="4"/>
  <c r="O228" i="4"/>
  <c r="O227" i="4"/>
  <c r="O225" i="4"/>
  <c r="D189" i="4"/>
  <c r="I201" i="4"/>
  <c r="L200" i="4"/>
  <c r="L93" i="5"/>
  <c r="L87" i="6"/>
  <c r="K251" i="4"/>
  <c r="K249" i="4"/>
  <c r="K30" i="4"/>
  <c r="K168" i="4"/>
  <c r="K250" i="4"/>
  <c r="K259" i="4"/>
  <c r="K257" i="4"/>
  <c r="K261" i="4"/>
  <c r="K262" i="4"/>
  <c r="K263" i="4"/>
  <c r="K260" i="4"/>
  <c r="K258" i="4"/>
  <c r="K256" i="4"/>
  <c r="K255" i="4"/>
  <c r="K254" i="4"/>
  <c r="K252" i="4"/>
  <c r="K253" i="4"/>
  <c r="H18" i="3"/>
  <c r="V129" i="5"/>
  <c r="V75" i="5"/>
  <c r="V130" i="7" s="1"/>
  <c r="J73" i="5"/>
  <c r="J128" i="7" s="1"/>
  <c r="J127" i="5"/>
  <c r="J100" i="5"/>
  <c r="M117" i="6"/>
  <c r="M144" i="6"/>
  <c r="M63" i="6"/>
  <c r="S218" i="3"/>
  <c r="G18" i="3"/>
  <c r="O5" i="3"/>
  <c r="C186" i="4"/>
  <c r="E213" i="4"/>
  <c r="L201" i="4"/>
  <c r="L94" i="5"/>
  <c r="L88" i="6"/>
  <c r="I17" i="3"/>
  <c r="I110" i="3" s="1"/>
  <c r="G80" i="5"/>
  <c r="G135" i="7" s="1"/>
  <c r="G134" i="5"/>
  <c r="K68" i="5"/>
  <c r="K123" i="7" s="1"/>
  <c r="K122" i="5"/>
  <c r="K95" i="5"/>
  <c r="K74" i="5"/>
  <c r="K129" i="7" s="1"/>
  <c r="K128" i="5"/>
  <c r="K101" i="5"/>
  <c r="J130" i="6"/>
  <c r="J157" i="6"/>
  <c r="J76" i="6"/>
  <c r="J103" i="6"/>
  <c r="N141" i="4"/>
  <c r="N195" i="4"/>
  <c r="N222" i="4"/>
  <c r="N223" i="4"/>
  <c r="N232" i="4"/>
  <c r="N234" i="4"/>
  <c r="N235" i="4"/>
  <c r="N233" i="4"/>
  <c r="N236" i="4"/>
  <c r="N231" i="4"/>
  <c r="N229" i="4"/>
  <c r="N227" i="4"/>
  <c r="N230" i="4"/>
  <c r="N228" i="4"/>
  <c r="N225" i="4"/>
  <c r="J251" i="4"/>
  <c r="O224" i="4"/>
  <c r="B186" i="4"/>
  <c r="G173" i="4"/>
  <c r="T200" i="4"/>
  <c r="G107" i="5"/>
  <c r="O116" i="5"/>
  <c r="O62" i="5"/>
  <c r="O117" i="7" s="1"/>
  <c r="O36" i="3"/>
  <c r="O89" i="5"/>
  <c r="N5" i="3"/>
  <c r="G240" i="4"/>
  <c r="G156" i="4"/>
  <c r="G237" i="4"/>
  <c r="G245" i="4"/>
  <c r="G246" i="4"/>
  <c r="G244" i="4"/>
  <c r="G239" i="4"/>
  <c r="G242" i="4"/>
  <c r="M198" i="4"/>
  <c r="G11" i="4"/>
  <c r="G175" i="4"/>
  <c r="G256" i="4"/>
  <c r="G62" i="6"/>
  <c r="L4" i="5"/>
  <c r="L47" i="6" s="1"/>
  <c r="L203" i="4"/>
  <c r="L96" i="5"/>
  <c r="R129" i="6"/>
  <c r="R75" i="6"/>
  <c r="R217" i="7" s="1"/>
  <c r="R102" i="6"/>
  <c r="U17" i="3"/>
  <c r="U110" i="3" s="1"/>
  <c r="T150" i="4"/>
  <c r="T204" i="4"/>
  <c r="T8" i="3"/>
  <c r="H242" i="4"/>
  <c r="H237" i="4"/>
  <c r="H156" i="4"/>
  <c r="H245" i="4"/>
  <c r="H246" i="4"/>
  <c r="H244" i="4"/>
  <c r="H239" i="4"/>
  <c r="H240" i="4"/>
  <c r="H241" i="4"/>
  <c r="H243" i="4"/>
  <c r="H89" i="6"/>
  <c r="H95" i="5"/>
  <c r="H229" i="4"/>
  <c r="H202" i="4"/>
  <c r="R188" i="3"/>
  <c r="K120" i="5"/>
  <c r="K66" i="5"/>
  <c r="K121" i="7" s="1"/>
  <c r="P4" i="3"/>
  <c r="P97" i="3" s="1"/>
  <c r="P116" i="6"/>
  <c r="P62" i="6"/>
  <c r="P204" i="7" s="1"/>
  <c r="P89" i="6"/>
  <c r="L114" i="6"/>
  <c r="L60" i="6"/>
  <c r="L202" i="7" s="1"/>
  <c r="C187" i="4"/>
  <c r="H171" i="4"/>
  <c r="F216" i="4"/>
  <c r="L116" i="6"/>
  <c r="L62" i="6"/>
  <c r="L204" i="7" s="1"/>
  <c r="L89" i="6"/>
  <c r="K121" i="6"/>
  <c r="K67" i="6"/>
  <c r="K209" i="7" s="1"/>
  <c r="K94" i="6"/>
  <c r="I33" i="4"/>
  <c r="R4" i="3"/>
  <c r="R97" i="3" s="1"/>
  <c r="D47" i="4"/>
  <c r="O132" i="5"/>
  <c r="O78" i="5"/>
  <c r="O133" i="7" s="1"/>
  <c r="O105" i="5"/>
  <c r="O125" i="5"/>
  <c r="O71" i="5"/>
  <c r="O126" i="7" s="1"/>
  <c r="O98" i="5"/>
  <c r="N224" i="4"/>
  <c r="G238" i="4"/>
  <c r="S141" i="4"/>
  <c r="S195" i="4"/>
  <c r="S222" i="4"/>
  <c r="S223" i="4"/>
  <c r="S234" i="4"/>
  <c r="S232" i="4"/>
  <c r="S236" i="4"/>
  <c r="S235" i="4"/>
  <c r="S229" i="4"/>
  <c r="S230" i="4"/>
  <c r="S227" i="4"/>
  <c r="S228" i="4"/>
  <c r="S225" i="4"/>
  <c r="S233" i="4"/>
  <c r="F214" i="4"/>
  <c r="F107" i="5"/>
  <c r="T201" i="4"/>
  <c r="H128" i="6"/>
  <c r="H74" i="6"/>
  <c r="H216" i="7" s="1"/>
  <c r="H101" i="6"/>
  <c r="M90" i="6"/>
  <c r="T7" i="4"/>
  <c r="C24" i="4"/>
  <c r="L7" i="4"/>
  <c r="E25" i="4"/>
  <c r="K9" i="4"/>
  <c r="K12" i="4"/>
  <c r="E23" i="4"/>
  <c r="H10" i="4"/>
  <c r="M8" i="4"/>
  <c r="M6" i="4" s="1"/>
  <c r="K4" i="5"/>
  <c r="K47" i="6" s="1"/>
  <c r="D22" i="4"/>
  <c r="M4" i="4" l="1"/>
  <c r="M143" i="4"/>
  <c r="M197" i="4"/>
  <c r="M224" i="4"/>
  <c r="M7" i="3"/>
  <c r="B188" i="4"/>
  <c r="L198" i="4"/>
  <c r="G128" i="6"/>
  <c r="G74" i="6"/>
  <c r="G216" i="7" s="1"/>
  <c r="G101" i="6"/>
  <c r="T80" i="5"/>
  <c r="T135" i="7" s="1"/>
  <c r="T134" i="5"/>
  <c r="T107" i="5"/>
  <c r="J121" i="6"/>
  <c r="J67" i="6"/>
  <c r="J209" i="7" s="1"/>
  <c r="J94" i="6"/>
  <c r="O4" i="3"/>
  <c r="O97" i="3" s="1"/>
  <c r="M62" i="5"/>
  <c r="M117" i="7" s="1"/>
  <c r="M116" i="5"/>
  <c r="M36" i="3"/>
  <c r="M89" i="5"/>
  <c r="S4" i="3"/>
  <c r="S97" i="3" s="1"/>
  <c r="F174" i="4"/>
  <c r="H201" i="4"/>
  <c r="K96" i="5"/>
  <c r="K203" i="4"/>
  <c r="N125" i="5"/>
  <c r="N71" i="5"/>
  <c r="N126" i="7" s="1"/>
  <c r="N98" i="5"/>
  <c r="M78" i="5"/>
  <c r="M133" i="7" s="1"/>
  <c r="M132" i="5"/>
  <c r="M105" i="5"/>
  <c r="K123" i="5"/>
  <c r="K69" i="5"/>
  <c r="K124" i="7" s="1"/>
  <c r="F134" i="5"/>
  <c r="F80" i="5"/>
  <c r="F135" i="7" s="1"/>
  <c r="C189" i="4"/>
  <c r="F173" i="4"/>
  <c r="K93" i="5"/>
  <c r="K200" i="4"/>
  <c r="K87" i="6"/>
  <c r="O188" i="3"/>
  <c r="Q116" i="6"/>
  <c r="Q62" i="6"/>
  <c r="Q204" i="7" s="1"/>
  <c r="Q89" i="6"/>
  <c r="K122" i="6"/>
  <c r="K68" i="6"/>
  <c r="K210" i="7" s="1"/>
  <c r="K95" i="6"/>
  <c r="E216" i="4"/>
  <c r="D184" i="4"/>
  <c r="T127" i="5"/>
  <c r="T73" i="5"/>
  <c r="T128" i="7" s="1"/>
  <c r="T100" i="5"/>
  <c r="I66" i="5"/>
  <c r="I121" i="7" s="1"/>
  <c r="I120" i="5"/>
  <c r="C47" i="4"/>
  <c r="D213" i="4"/>
  <c r="S126" i="6"/>
  <c r="S72" i="6"/>
  <c r="S214" i="7" s="1"/>
  <c r="S99" i="6"/>
  <c r="R126" i="6"/>
  <c r="R72" i="6"/>
  <c r="R214" i="7" s="1"/>
  <c r="R99" i="6"/>
  <c r="H136" i="5"/>
  <c r="H82" i="5"/>
  <c r="H137" i="7" s="1"/>
  <c r="H109" i="5"/>
  <c r="G202" i="4"/>
  <c r="G89" i="6"/>
  <c r="G95" i="5"/>
  <c r="G229" i="4"/>
  <c r="M125" i="5"/>
  <c r="M71" i="5"/>
  <c r="M126" i="7" s="1"/>
  <c r="M98" i="5"/>
  <c r="N62" i="5"/>
  <c r="N117" i="7" s="1"/>
  <c r="N116" i="5"/>
  <c r="N36" i="3"/>
  <c r="N89" i="5"/>
  <c r="I130" i="6"/>
  <c r="I157" i="6"/>
  <c r="I76" i="6"/>
  <c r="I103" i="6"/>
  <c r="L117" i="6"/>
  <c r="L144" i="6"/>
  <c r="L63" i="6"/>
  <c r="I73" i="5"/>
  <c r="I128" i="7" s="1"/>
  <c r="I127" i="5"/>
  <c r="I100" i="5"/>
  <c r="H17" i="3"/>
  <c r="H110" i="3" s="1"/>
  <c r="N132" i="5"/>
  <c r="N78" i="5"/>
  <c r="N133" i="7" s="1"/>
  <c r="N105" i="5"/>
  <c r="B187" i="4"/>
  <c r="F11" i="4"/>
  <c r="F175" i="4"/>
  <c r="F256" i="4"/>
  <c r="F62" i="6"/>
  <c r="M199" i="4"/>
  <c r="M226" i="4"/>
  <c r="E107" i="5"/>
  <c r="E214" i="4"/>
  <c r="C215" i="4"/>
  <c r="K116" i="6"/>
  <c r="K62" i="6"/>
  <c r="K204" i="7" s="1"/>
  <c r="K89" i="6"/>
  <c r="R103" i="3"/>
  <c r="R101" i="3"/>
  <c r="R96" i="3"/>
  <c r="R104" i="3"/>
  <c r="R106" i="3"/>
  <c r="R107" i="3"/>
  <c r="R105" i="3"/>
  <c r="R102" i="3"/>
  <c r="R108" i="3"/>
  <c r="R98" i="3"/>
  <c r="R100" i="3"/>
  <c r="R99" i="3"/>
  <c r="K114" i="6"/>
  <c r="K60" i="6"/>
  <c r="K202" i="7" s="1"/>
  <c r="G135" i="5"/>
  <c r="G81" i="5"/>
  <c r="G136" i="7" s="1"/>
  <c r="G108" i="5"/>
  <c r="G17" i="3"/>
  <c r="G110" i="3" s="1"/>
  <c r="O110" i="6"/>
  <c r="O66" i="3"/>
  <c r="O56" i="6"/>
  <c r="O198" i="7" s="1"/>
  <c r="O83" i="6"/>
  <c r="V180" i="4"/>
  <c r="P105" i="3"/>
  <c r="P104" i="3"/>
  <c r="P101" i="3"/>
  <c r="P106" i="3"/>
  <c r="P96" i="3"/>
  <c r="P107" i="3"/>
  <c r="P103" i="3"/>
  <c r="P102" i="3"/>
  <c r="P108" i="3"/>
  <c r="P98" i="3"/>
  <c r="P100" i="3"/>
  <c r="P99" i="3"/>
  <c r="U109" i="3"/>
  <c r="U117" i="3"/>
  <c r="U120" i="3"/>
  <c r="U115" i="3"/>
  <c r="U119" i="3"/>
  <c r="U114" i="3"/>
  <c r="U118" i="3"/>
  <c r="U113" i="3"/>
  <c r="U116" i="3"/>
  <c r="U112" i="3"/>
  <c r="U111" i="3"/>
  <c r="L90" i="6"/>
  <c r="N4" i="3"/>
  <c r="N97" i="3" s="1"/>
  <c r="B47" i="4"/>
  <c r="I114" i="3"/>
  <c r="I119" i="3"/>
  <c r="I115" i="3"/>
  <c r="I109" i="3"/>
  <c r="I118" i="3"/>
  <c r="I116" i="3"/>
  <c r="I113" i="3"/>
  <c r="I120" i="3"/>
  <c r="I117" i="3"/>
  <c r="I112" i="3"/>
  <c r="I111" i="3"/>
  <c r="E20" i="4"/>
  <c r="B189" i="4"/>
  <c r="R119" i="6"/>
  <c r="R65" i="6"/>
  <c r="R207" i="7" s="1"/>
  <c r="R92" i="6"/>
  <c r="G171" i="4"/>
  <c r="T198" i="4"/>
  <c r="R115" i="6"/>
  <c r="R61" i="6"/>
  <c r="R203" i="7" s="1"/>
  <c r="R88" i="6"/>
  <c r="I170" i="4"/>
  <c r="I31" i="4"/>
  <c r="I251" i="4" s="1"/>
  <c r="V123" i="6"/>
  <c r="V150" i="6"/>
  <c r="V69" i="6"/>
  <c r="J120" i="5"/>
  <c r="J66" i="5"/>
  <c r="J121" i="7" s="1"/>
  <c r="J121" i="5"/>
  <c r="J67" i="5"/>
  <c r="J122" i="7" s="1"/>
  <c r="J94" i="5"/>
  <c r="R218" i="3"/>
  <c r="D23" i="4"/>
  <c r="D25" i="4"/>
  <c r="G10" i="4"/>
  <c r="K7" i="4"/>
  <c r="I4" i="5"/>
  <c r="I47" i="6" s="1"/>
  <c r="B22" i="4"/>
  <c r="L8" i="4"/>
  <c r="T8" i="4"/>
  <c r="C22" i="4"/>
  <c r="N110" i="6" l="1"/>
  <c r="N66" i="3"/>
  <c r="N56" i="6"/>
  <c r="N198" i="7" s="1"/>
  <c r="N83" i="6"/>
  <c r="O119" i="6"/>
  <c r="O65" i="6"/>
  <c r="O207" i="7" s="1"/>
  <c r="O92" i="6"/>
  <c r="E174" i="4"/>
  <c r="U174" i="4"/>
  <c r="T199" i="4"/>
  <c r="L199" i="4"/>
  <c r="R68" i="5"/>
  <c r="R123" i="7" s="1"/>
  <c r="R122" i="5"/>
  <c r="R95" i="5"/>
  <c r="F202" i="4"/>
  <c r="F89" i="6"/>
  <c r="F229" i="4"/>
  <c r="F95" i="5"/>
  <c r="S128" i="5"/>
  <c r="S74" i="5"/>
  <c r="S129" i="7" s="1"/>
  <c r="S101" i="5"/>
  <c r="S135" i="5"/>
  <c r="S81" i="5"/>
  <c r="S136" i="7" s="1"/>
  <c r="S108" i="5"/>
  <c r="P64" i="5"/>
  <c r="P119" i="7" s="1"/>
  <c r="P118" i="5"/>
  <c r="P91" i="5"/>
  <c r="G129" i="6"/>
  <c r="G75" i="6"/>
  <c r="G217" i="7" s="1"/>
  <c r="G102" i="6"/>
  <c r="S119" i="6"/>
  <c r="S65" i="6"/>
  <c r="S207" i="7" s="1"/>
  <c r="S92" i="6"/>
  <c r="U173" i="4"/>
  <c r="E11" i="4"/>
  <c r="E175" i="4"/>
  <c r="E62" i="6"/>
  <c r="E256" i="4"/>
  <c r="D214" i="4"/>
  <c r="B184" i="4"/>
  <c r="G109" i="3"/>
  <c r="G117" i="3"/>
  <c r="G118" i="3"/>
  <c r="G115" i="3"/>
  <c r="G114" i="3"/>
  <c r="G113" i="3"/>
  <c r="G116" i="3"/>
  <c r="G119" i="3"/>
  <c r="G120" i="3"/>
  <c r="G112" i="3"/>
  <c r="G111" i="3"/>
  <c r="H172" i="4"/>
  <c r="H33" i="4"/>
  <c r="N188" i="3"/>
  <c r="J122" i="5"/>
  <c r="J68" i="5"/>
  <c r="J123" i="7" s="1"/>
  <c r="J95" i="5"/>
  <c r="M5" i="3"/>
  <c r="E173" i="4"/>
  <c r="F171" i="4"/>
  <c r="J128" i="5"/>
  <c r="J74" i="5"/>
  <c r="J129" i="7" s="1"/>
  <c r="J101" i="5"/>
  <c r="D20" i="4"/>
  <c r="O105" i="3"/>
  <c r="O108" i="3"/>
  <c r="O107" i="3"/>
  <c r="O104" i="3"/>
  <c r="O106" i="3"/>
  <c r="O96" i="3"/>
  <c r="O101" i="3"/>
  <c r="O103" i="3"/>
  <c r="O102" i="3"/>
  <c r="O98" i="3"/>
  <c r="O100" i="3"/>
  <c r="O99" i="3"/>
  <c r="C213" i="4"/>
  <c r="P112" i="6"/>
  <c r="P58" i="6"/>
  <c r="P200" i="7" s="1"/>
  <c r="P85" i="6"/>
  <c r="G172" i="4"/>
  <c r="I168" i="4"/>
  <c r="I30" i="4"/>
  <c r="I249" i="4"/>
  <c r="I250" i="4"/>
  <c r="I259" i="4"/>
  <c r="I257" i="4"/>
  <c r="I261" i="4"/>
  <c r="I262" i="4"/>
  <c r="I260" i="4"/>
  <c r="I263" i="4"/>
  <c r="I258" i="4"/>
  <c r="I255" i="4"/>
  <c r="I254" i="4"/>
  <c r="I252" i="4"/>
  <c r="I253" i="4"/>
  <c r="K117" i="6"/>
  <c r="K144" i="6"/>
  <c r="K63" i="6"/>
  <c r="H118" i="3"/>
  <c r="H114" i="3"/>
  <c r="H115" i="3"/>
  <c r="H120" i="3"/>
  <c r="H109" i="3"/>
  <c r="H119" i="3"/>
  <c r="H117" i="3"/>
  <c r="H116" i="3"/>
  <c r="H113" i="3"/>
  <c r="H112" i="3"/>
  <c r="H111" i="3"/>
  <c r="J115" i="6"/>
  <c r="J61" i="6"/>
  <c r="J203" i="7" s="1"/>
  <c r="J88" i="6"/>
  <c r="T121" i="6"/>
  <c r="T67" i="6"/>
  <c r="T209" i="7" s="1"/>
  <c r="T94" i="6"/>
  <c r="T128" i="6"/>
  <c r="T74" i="6"/>
  <c r="T216" i="7" s="1"/>
  <c r="T101" i="6"/>
  <c r="O126" i="6"/>
  <c r="O72" i="6"/>
  <c r="O214" i="7" s="1"/>
  <c r="O99" i="6"/>
  <c r="M110" i="6"/>
  <c r="M66" i="3"/>
  <c r="M56" i="6"/>
  <c r="M198" i="7" s="1"/>
  <c r="M83" i="6"/>
  <c r="B213" i="4"/>
  <c r="E211" i="4"/>
  <c r="E157" i="4"/>
  <c r="E19" i="3"/>
  <c r="T120" i="5"/>
  <c r="T66" i="5"/>
  <c r="T121" i="7" s="1"/>
  <c r="T93" i="5"/>
  <c r="I67" i="5"/>
  <c r="I122" i="7" s="1"/>
  <c r="I121" i="5"/>
  <c r="I94" i="5"/>
  <c r="C184" i="4"/>
  <c r="R128" i="5"/>
  <c r="R74" i="5"/>
  <c r="R129" i="7" s="1"/>
  <c r="R101" i="5"/>
  <c r="I121" i="6"/>
  <c r="I67" i="6"/>
  <c r="I209" i="7" s="1"/>
  <c r="I94" i="6"/>
  <c r="Q112" i="6"/>
  <c r="Q58" i="6"/>
  <c r="Q200" i="7" s="1"/>
  <c r="Q85" i="6"/>
  <c r="U175" i="4"/>
  <c r="G33" i="4"/>
  <c r="N105" i="3"/>
  <c r="N103" i="3"/>
  <c r="N108" i="3"/>
  <c r="N104" i="3"/>
  <c r="N106" i="3"/>
  <c r="N96" i="3"/>
  <c r="N107" i="3"/>
  <c r="N102" i="3"/>
  <c r="N101" i="3"/>
  <c r="N98" i="3"/>
  <c r="N100" i="3"/>
  <c r="N99" i="3"/>
  <c r="J114" i="6"/>
  <c r="J60" i="6"/>
  <c r="J202" i="7" s="1"/>
  <c r="K90" i="6"/>
  <c r="F81" i="5"/>
  <c r="F136" i="7" s="1"/>
  <c r="F135" i="5"/>
  <c r="F108" i="5"/>
  <c r="D216" i="4"/>
  <c r="T6" i="4"/>
  <c r="G82" i="5"/>
  <c r="G137" i="7" s="1"/>
  <c r="G136" i="5"/>
  <c r="G109" i="5"/>
  <c r="M188" i="3"/>
  <c r="L6" i="4"/>
  <c r="H157" i="6"/>
  <c r="H130" i="6"/>
  <c r="H76" i="6"/>
  <c r="H103" i="6"/>
  <c r="K198" i="4"/>
  <c r="G201" i="4"/>
  <c r="Q64" i="5"/>
  <c r="Q119" i="7" s="1"/>
  <c r="Q118" i="5"/>
  <c r="Q91" i="5"/>
  <c r="O218" i="3"/>
  <c r="F128" i="6"/>
  <c r="F74" i="6"/>
  <c r="F216" i="7" s="1"/>
  <c r="F101" i="6"/>
  <c r="E80" i="5"/>
  <c r="E135" i="7" s="1"/>
  <c r="E134" i="5"/>
  <c r="S103" i="3"/>
  <c r="S105" i="3"/>
  <c r="S101" i="3"/>
  <c r="S108" i="3"/>
  <c r="S107" i="3"/>
  <c r="S96" i="3"/>
  <c r="S102" i="3"/>
  <c r="S106" i="3"/>
  <c r="S104" i="3"/>
  <c r="S98" i="3"/>
  <c r="S100" i="3"/>
  <c r="S99" i="3"/>
  <c r="M231" i="4"/>
  <c r="M195" i="4"/>
  <c r="M222" i="4"/>
  <c r="M141" i="4"/>
  <c r="M223" i="4"/>
  <c r="M235" i="4"/>
  <c r="M234" i="4"/>
  <c r="M232" i="4"/>
  <c r="M236" i="4"/>
  <c r="M233" i="4"/>
  <c r="M229" i="4"/>
  <c r="M228" i="4"/>
  <c r="M230" i="4"/>
  <c r="M227" i="4"/>
  <c r="M225" i="4"/>
  <c r="J12" i="4"/>
  <c r="C23" i="4"/>
  <c r="B23" i="4"/>
  <c r="J9" i="4"/>
  <c r="B25" i="4"/>
  <c r="B24" i="4"/>
  <c r="F10" i="4"/>
  <c r="H9" i="4"/>
  <c r="C25" i="4"/>
  <c r="I9" i="4"/>
  <c r="J4" i="5"/>
  <c r="J47" i="6" s="1"/>
  <c r="F33" i="4"/>
  <c r="K8" i="4"/>
  <c r="H4" i="5"/>
  <c r="H47" i="6" s="1"/>
  <c r="B20" i="4" l="1"/>
  <c r="F170" i="4"/>
  <c r="F31" i="4"/>
  <c r="B211" i="4"/>
  <c r="B157" i="4"/>
  <c r="B19" i="3"/>
  <c r="K199" i="4"/>
  <c r="V174" i="4"/>
  <c r="L110" i="6"/>
  <c r="L66" i="3"/>
  <c r="L56" i="6"/>
  <c r="L198" i="7" s="1"/>
  <c r="L83" i="6"/>
  <c r="I200" i="4"/>
  <c r="I93" i="5"/>
  <c r="I87" i="6"/>
  <c r="B216" i="4"/>
  <c r="K6" i="4"/>
  <c r="G130" i="6"/>
  <c r="G157" i="6"/>
  <c r="G76" i="6"/>
  <c r="G103" i="6"/>
  <c r="T143" i="4"/>
  <c r="T197" i="4"/>
  <c r="T7" i="3"/>
  <c r="T4" i="4"/>
  <c r="J116" i="6"/>
  <c r="J62" i="6"/>
  <c r="J204" i="7" s="1"/>
  <c r="J89" i="6"/>
  <c r="R116" i="6"/>
  <c r="R62" i="6"/>
  <c r="R204" i="7" s="1"/>
  <c r="R89" i="6"/>
  <c r="H170" i="4"/>
  <c r="H31" i="4"/>
  <c r="H251" i="4" s="1"/>
  <c r="L78" i="5"/>
  <c r="L133" i="7" s="1"/>
  <c r="L132" i="5"/>
  <c r="L105" i="5"/>
  <c r="U171" i="4"/>
  <c r="M119" i="6"/>
  <c r="M65" i="6"/>
  <c r="M207" i="7" s="1"/>
  <c r="M92" i="6"/>
  <c r="J90" i="6"/>
  <c r="C216" i="4"/>
  <c r="J93" i="5"/>
  <c r="J200" i="4"/>
  <c r="J87" i="6"/>
  <c r="I115" i="6"/>
  <c r="I61" i="6"/>
  <c r="I203" i="7" s="1"/>
  <c r="I88" i="6"/>
  <c r="L116" i="5"/>
  <c r="L62" i="5"/>
  <c r="L117" i="7" s="1"/>
  <c r="L36" i="3"/>
  <c r="L89" i="5"/>
  <c r="M126" i="6"/>
  <c r="M72" i="6"/>
  <c r="M214" i="7" s="1"/>
  <c r="M99" i="6"/>
  <c r="D11" i="4"/>
  <c r="D175" i="4"/>
  <c r="D62" i="6"/>
  <c r="D256" i="4"/>
  <c r="H200" i="4"/>
  <c r="E128" i="6"/>
  <c r="E74" i="6"/>
  <c r="E216" i="7" s="1"/>
  <c r="E101" i="6"/>
  <c r="D80" i="5"/>
  <c r="D135" i="7" s="1"/>
  <c r="D134" i="5"/>
  <c r="S122" i="6"/>
  <c r="S68" i="6"/>
  <c r="S210" i="7" s="1"/>
  <c r="S95" i="6"/>
  <c r="D173" i="4"/>
  <c r="C214" i="4"/>
  <c r="L125" i="5"/>
  <c r="L71" i="5"/>
  <c r="L126" i="7" s="1"/>
  <c r="L98" i="5"/>
  <c r="T125" i="5"/>
  <c r="T71" i="5"/>
  <c r="T126" i="7" s="1"/>
  <c r="T98" i="5"/>
  <c r="E81" i="5"/>
  <c r="E136" i="7" s="1"/>
  <c r="E135" i="5"/>
  <c r="E108" i="5"/>
  <c r="R122" i="6"/>
  <c r="R68" i="6"/>
  <c r="R210" i="7" s="1"/>
  <c r="R95" i="6"/>
  <c r="F129" i="6"/>
  <c r="F75" i="6"/>
  <c r="F217" i="7" s="1"/>
  <c r="F102" i="6"/>
  <c r="D174" i="4"/>
  <c r="N126" i="6"/>
  <c r="N72" i="6"/>
  <c r="N214" i="7" s="1"/>
  <c r="N99" i="6"/>
  <c r="F201" i="4"/>
  <c r="I114" i="6"/>
  <c r="I60" i="6"/>
  <c r="I202" i="7" s="1"/>
  <c r="T116" i="5"/>
  <c r="T62" i="5"/>
  <c r="T117" i="7" s="1"/>
  <c r="T36" i="3"/>
  <c r="T89" i="5"/>
  <c r="H67" i="5"/>
  <c r="H122" i="7" s="1"/>
  <c r="H121" i="5"/>
  <c r="H94" i="5"/>
  <c r="M4" i="3"/>
  <c r="M97" i="3" s="1"/>
  <c r="U176" i="4"/>
  <c r="B215" i="4"/>
  <c r="B214" i="4"/>
  <c r="F82" i="5"/>
  <c r="F137" i="7" s="1"/>
  <c r="F136" i="5"/>
  <c r="F109" i="5"/>
  <c r="J122" i="6"/>
  <c r="J68" i="6"/>
  <c r="J210" i="7" s="1"/>
  <c r="J95" i="6"/>
  <c r="C20" i="4"/>
  <c r="T129" i="6"/>
  <c r="T75" i="6"/>
  <c r="T217" i="7" s="1"/>
  <c r="T102" i="6"/>
  <c r="F172" i="4"/>
  <c r="F253" i="4"/>
  <c r="B181" i="4"/>
  <c r="L143" i="4"/>
  <c r="L197" i="4"/>
  <c r="L7" i="3"/>
  <c r="L4" i="4"/>
  <c r="S129" i="6"/>
  <c r="S75" i="6"/>
  <c r="S217" i="7" s="1"/>
  <c r="S102" i="6"/>
  <c r="M218" i="3"/>
  <c r="D107" i="5"/>
  <c r="E95" i="5"/>
  <c r="E229" i="4"/>
  <c r="E89" i="6"/>
  <c r="E202" i="4"/>
  <c r="E171" i="4"/>
  <c r="N119" i="6"/>
  <c r="N65" i="6"/>
  <c r="N207" i="7" s="1"/>
  <c r="N92" i="6"/>
  <c r="J96" i="5"/>
  <c r="J203" i="4"/>
  <c r="T81" i="5"/>
  <c r="T136" i="7" s="1"/>
  <c r="T135" i="5"/>
  <c r="T108" i="5"/>
  <c r="T78" i="5"/>
  <c r="T133" i="7" s="1"/>
  <c r="T132" i="5"/>
  <c r="T105" i="5"/>
  <c r="J69" i="5"/>
  <c r="J124" i="7" s="1"/>
  <c r="J123" i="5"/>
  <c r="I128" i="5"/>
  <c r="I74" i="5"/>
  <c r="I129" i="7" s="1"/>
  <c r="I101" i="5"/>
  <c r="G170" i="4"/>
  <c r="G31" i="4"/>
  <c r="S122" i="5"/>
  <c r="S68" i="5"/>
  <c r="S123" i="7" s="1"/>
  <c r="S95" i="5"/>
  <c r="T114" i="6"/>
  <c r="T60" i="6"/>
  <c r="T202" i="7" s="1"/>
  <c r="T87" i="6"/>
  <c r="D135" i="5"/>
  <c r="D81" i="5"/>
  <c r="D136" i="7" s="1"/>
  <c r="D108" i="5"/>
  <c r="D211" i="4"/>
  <c r="D157" i="4"/>
  <c r="D19" i="3"/>
  <c r="N218" i="3"/>
  <c r="E10" i="4"/>
  <c r="G9" i="4"/>
  <c r="E33" i="4"/>
  <c r="J7" i="4"/>
  <c r="G4" i="5"/>
  <c r="G47" i="6" s="1"/>
  <c r="H7" i="4"/>
  <c r="I7" i="4"/>
  <c r="E31" i="4" l="1"/>
  <c r="E251" i="4" s="1"/>
  <c r="E170" i="4"/>
  <c r="G200" i="4"/>
  <c r="R118" i="5"/>
  <c r="R64" i="5"/>
  <c r="R119" i="7" s="1"/>
  <c r="R91" i="5"/>
  <c r="T188" i="3"/>
  <c r="D128" i="6"/>
  <c r="D74" i="6"/>
  <c r="D216" i="7" s="1"/>
  <c r="D101" i="6"/>
  <c r="B179" i="4"/>
  <c r="B40" i="4"/>
  <c r="K78" i="5"/>
  <c r="K133" i="7" s="1"/>
  <c r="K132" i="5"/>
  <c r="K105" i="5"/>
  <c r="M105" i="3"/>
  <c r="M102" i="3"/>
  <c r="M107" i="3"/>
  <c r="M104" i="3"/>
  <c r="M108" i="3"/>
  <c r="M101" i="3"/>
  <c r="M96" i="3"/>
  <c r="M103" i="3"/>
  <c r="M106" i="3"/>
  <c r="M98" i="3"/>
  <c r="M100" i="3"/>
  <c r="M99" i="3"/>
  <c r="L188" i="3"/>
  <c r="H74" i="5"/>
  <c r="H129" i="7" s="1"/>
  <c r="H128" i="5"/>
  <c r="H101" i="5"/>
  <c r="E129" i="6"/>
  <c r="E75" i="6"/>
  <c r="E217" i="7" s="1"/>
  <c r="E102" i="6"/>
  <c r="H122" i="5"/>
  <c r="H68" i="5"/>
  <c r="H149" i="5"/>
  <c r="T224" i="4"/>
  <c r="T141" i="4"/>
  <c r="T195" i="4"/>
  <c r="T222" i="4"/>
  <c r="T232" i="4"/>
  <c r="T234" i="4"/>
  <c r="T236" i="4"/>
  <c r="T223" i="4"/>
  <c r="T235" i="4"/>
  <c r="T233" i="4"/>
  <c r="T229" i="4"/>
  <c r="T230" i="4"/>
  <c r="T228" i="4"/>
  <c r="T227" i="4"/>
  <c r="T231" i="4"/>
  <c r="T225" i="4"/>
  <c r="T226" i="4"/>
  <c r="U172" i="4"/>
  <c r="J198" i="4"/>
  <c r="C211" i="4"/>
  <c r="C157" i="4"/>
  <c r="C19" i="3"/>
  <c r="T5" i="3"/>
  <c r="L218" i="3"/>
  <c r="F249" i="4"/>
  <c r="F168" i="4"/>
  <c r="F250" i="4"/>
  <c r="F259" i="4"/>
  <c r="F257" i="4"/>
  <c r="F261" i="4"/>
  <c r="F262" i="4"/>
  <c r="F263" i="4"/>
  <c r="F260" i="4"/>
  <c r="F258" i="4"/>
  <c r="F254" i="4"/>
  <c r="F255" i="4"/>
  <c r="F252" i="4"/>
  <c r="H198" i="4"/>
  <c r="R112" i="6"/>
  <c r="R58" i="6"/>
  <c r="R200" i="7" s="1"/>
  <c r="R85" i="6"/>
  <c r="E201" i="4"/>
  <c r="C80" i="5"/>
  <c r="C135" i="7" s="1"/>
  <c r="C134" i="5"/>
  <c r="C107" i="5"/>
  <c r="H115" i="6"/>
  <c r="H61" i="6"/>
  <c r="H203" i="7" s="1"/>
  <c r="H88" i="6"/>
  <c r="C173" i="4"/>
  <c r="I198" i="4"/>
  <c r="C174" i="4"/>
  <c r="D171" i="4"/>
  <c r="T110" i="6"/>
  <c r="T66" i="3"/>
  <c r="T56" i="6"/>
  <c r="T198" i="7" s="1"/>
  <c r="T83" i="6"/>
  <c r="L195" i="4"/>
  <c r="L141" i="4"/>
  <c r="L222" i="4"/>
  <c r="L223" i="4"/>
  <c r="L235" i="4"/>
  <c r="L232" i="4"/>
  <c r="L234" i="4"/>
  <c r="L231" i="4"/>
  <c r="L233" i="4"/>
  <c r="L236" i="4"/>
  <c r="L229" i="4"/>
  <c r="L230" i="4"/>
  <c r="L227" i="4"/>
  <c r="L228" i="4"/>
  <c r="L225" i="4"/>
  <c r="L226" i="4"/>
  <c r="K125" i="5"/>
  <c r="K71" i="5"/>
  <c r="K126" i="7" s="1"/>
  <c r="K98" i="5"/>
  <c r="C81" i="5"/>
  <c r="C136" i="7" s="1"/>
  <c r="C135" i="5"/>
  <c r="C108" i="5"/>
  <c r="K116" i="5"/>
  <c r="K62" i="5"/>
  <c r="K117" i="7" s="1"/>
  <c r="K36" i="3"/>
  <c r="K89" i="5"/>
  <c r="D202" i="4"/>
  <c r="D89" i="6"/>
  <c r="D95" i="5"/>
  <c r="D229" i="4"/>
  <c r="I122" i="6"/>
  <c r="I68" i="6"/>
  <c r="I210" i="7" s="1"/>
  <c r="I95" i="6"/>
  <c r="G67" i="5"/>
  <c r="G122" i="7" s="1"/>
  <c r="G121" i="5"/>
  <c r="G94" i="5"/>
  <c r="C62" i="6"/>
  <c r="C11" i="4"/>
  <c r="C175" i="4"/>
  <c r="C256" i="4"/>
  <c r="G251" i="4"/>
  <c r="G30" i="4"/>
  <c r="G249" i="4"/>
  <c r="G168" i="4"/>
  <c r="G250" i="4"/>
  <c r="G259" i="4"/>
  <c r="G257" i="4"/>
  <c r="G261" i="4"/>
  <c r="G262" i="4"/>
  <c r="G263" i="4"/>
  <c r="G260" i="4"/>
  <c r="G258" i="4"/>
  <c r="G255" i="4"/>
  <c r="G254" i="4"/>
  <c r="G252" i="4"/>
  <c r="G253" i="4"/>
  <c r="L5" i="3"/>
  <c r="F130" i="6"/>
  <c r="F157" i="6"/>
  <c r="F76" i="6"/>
  <c r="F103" i="6"/>
  <c r="I122" i="5"/>
  <c r="I149" i="5"/>
  <c r="I68" i="5"/>
  <c r="J144" i="6"/>
  <c r="J117" i="6"/>
  <c r="J63" i="6"/>
  <c r="K197" i="4"/>
  <c r="K143" i="4"/>
  <c r="K7" i="3"/>
  <c r="K4" i="4"/>
  <c r="K224" i="4" s="1"/>
  <c r="F251" i="4"/>
  <c r="E172" i="4"/>
  <c r="E253" i="4"/>
  <c r="L224" i="4"/>
  <c r="D129" i="6"/>
  <c r="D75" i="6"/>
  <c r="D217" i="7" s="1"/>
  <c r="D102" i="6"/>
  <c r="E136" i="5"/>
  <c r="E82" i="5"/>
  <c r="E137" i="7" s="1"/>
  <c r="E109" i="5"/>
  <c r="U33" i="4"/>
  <c r="S116" i="6"/>
  <c r="S62" i="6"/>
  <c r="S204" i="7" s="1"/>
  <c r="S89" i="6"/>
  <c r="H258" i="4"/>
  <c r="H168" i="4"/>
  <c r="H249" i="4"/>
  <c r="H30" i="4"/>
  <c r="H250" i="4"/>
  <c r="H259" i="4"/>
  <c r="H257" i="4"/>
  <c r="H262" i="4"/>
  <c r="H261" i="4"/>
  <c r="H263" i="4"/>
  <c r="H260" i="4"/>
  <c r="H255" i="4"/>
  <c r="H254" i="4"/>
  <c r="H252" i="4"/>
  <c r="H253" i="4"/>
  <c r="H8" i="4"/>
  <c r="H6" i="4" s="1"/>
  <c r="J8" i="4"/>
  <c r="J6" i="4" s="1"/>
  <c r="B17" i="4"/>
  <c r="G7" i="4"/>
  <c r="F9" i="4"/>
  <c r="I8" i="4"/>
  <c r="D10" i="4"/>
  <c r="F4" i="5"/>
  <c r="F47" i="6" s="1"/>
  <c r="H143" i="4" l="1"/>
  <c r="H197" i="4"/>
  <c r="H7" i="3"/>
  <c r="H4" i="4"/>
  <c r="J197" i="4"/>
  <c r="J143" i="4"/>
  <c r="J7" i="3"/>
  <c r="J4" i="4"/>
  <c r="J226" i="4" s="1"/>
  <c r="C171" i="4"/>
  <c r="I199" i="4"/>
  <c r="U170" i="4"/>
  <c r="K5" i="3"/>
  <c r="L4" i="3"/>
  <c r="G115" i="6"/>
  <c r="G61" i="6"/>
  <c r="G203" i="7" s="1"/>
  <c r="G88" i="6"/>
  <c r="T67" i="5"/>
  <c r="T122" i="7" s="1"/>
  <c r="T121" i="5"/>
  <c r="T94" i="5"/>
  <c r="O118" i="5"/>
  <c r="O64" i="5"/>
  <c r="O119" i="7" s="1"/>
  <c r="O91" i="5"/>
  <c r="O112" i="6"/>
  <c r="O58" i="6"/>
  <c r="O200" i="7" s="1"/>
  <c r="O85" i="6"/>
  <c r="V178" i="4"/>
  <c r="I6" i="4"/>
  <c r="B135" i="5"/>
  <c r="B81" i="5"/>
  <c r="B136" i="7" s="1"/>
  <c r="B108" i="5"/>
  <c r="H122" i="6"/>
  <c r="H68" i="6"/>
  <c r="H210" i="7" s="1"/>
  <c r="H95" i="6"/>
  <c r="T126" i="6"/>
  <c r="T72" i="6"/>
  <c r="T214" i="7" s="1"/>
  <c r="T99" i="6"/>
  <c r="L126" i="6"/>
  <c r="L72" i="6"/>
  <c r="L214" i="7" s="1"/>
  <c r="L99" i="6"/>
  <c r="D172" i="4"/>
  <c r="F200" i="4"/>
  <c r="H199" i="4"/>
  <c r="H226" i="4"/>
  <c r="V185" i="4"/>
  <c r="C128" i="6"/>
  <c r="C74" i="6"/>
  <c r="C216" i="7" s="1"/>
  <c r="C101" i="6"/>
  <c r="S112" i="6"/>
  <c r="S58" i="6"/>
  <c r="S200" i="7" s="1"/>
  <c r="S85" i="6"/>
  <c r="B11" i="4"/>
  <c r="B175" i="4"/>
  <c r="B62" i="6"/>
  <c r="B256" i="4"/>
  <c r="J125" i="5"/>
  <c r="J71" i="5"/>
  <c r="J126" i="7" s="1"/>
  <c r="J98" i="5"/>
  <c r="J62" i="5"/>
  <c r="J117" i="7" s="1"/>
  <c r="J116" i="5"/>
  <c r="J36" i="3"/>
  <c r="J89" i="5"/>
  <c r="T218" i="3"/>
  <c r="D33" i="4"/>
  <c r="I116" i="6"/>
  <c r="I143" i="6"/>
  <c r="D136" i="5"/>
  <c r="D82" i="5"/>
  <c r="D137" i="7" s="1"/>
  <c r="D109" i="5"/>
  <c r="B173" i="4"/>
  <c r="G198" i="4"/>
  <c r="B208" i="4"/>
  <c r="V189" i="4"/>
  <c r="C229" i="4"/>
  <c r="C202" i="4"/>
  <c r="C89" i="6"/>
  <c r="C95" i="5"/>
  <c r="G122" i="5"/>
  <c r="G68" i="5"/>
  <c r="G149" i="5"/>
  <c r="E130" i="6"/>
  <c r="E157" i="6"/>
  <c r="E76" i="6"/>
  <c r="E103" i="6"/>
  <c r="B177" i="4"/>
  <c r="V187" i="4"/>
  <c r="H127" i="5"/>
  <c r="H73" i="5"/>
  <c r="H128" i="7" s="1"/>
  <c r="H100" i="5"/>
  <c r="K188" i="3"/>
  <c r="S118" i="5"/>
  <c r="S64" i="5"/>
  <c r="S119" i="7" s="1"/>
  <c r="S91" i="5"/>
  <c r="S121" i="5"/>
  <c r="S67" i="5"/>
  <c r="S122" i="7" s="1"/>
  <c r="S94" i="5"/>
  <c r="K110" i="6"/>
  <c r="K66" i="3"/>
  <c r="K56" i="6"/>
  <c r="K198" i="7" s="1"/>
  <c r="K83" i="6"/>
  <c r="H143" i="6"/>
  <c r="H116" i="6"/>
  <c r="C129" i="6"/>
  <c r="C75" i="6"/>
  <c r="C217" i="7" s="1"/>
  <c r="C102" i="6"/>
  <c r="B80" i="5"/>
  <c r="B135" i="7" s="1"/>
  <c r="B134" i="5"/>
  <c r="B107" i="5"/>
  <c r="B129" i="6"/>
  <c r="B75" i="6"/>
  <c r="B217" i="7" s="1"/>
  <c r="B102" i="6"/>
  <c r="B174" i="4"/>
  <c r="D201" i="4"/>
  <c r="J199" i="4"/>
  <c r="K223" i="4"/>
  <c r="K141" i="4"/>
  <c r="K195" i="4"/>
  <c r="K222" i="4"/>
  <c r="K234" i="4"/>
  <c r="K235" i="4"/>
  <c r="K232" i="4"/>
  <c r="K233" i="4"/>
  <c r="K236" i="4"/>
  <c r="K231" i="4"/>
  <c r="K229" i="4"/>
  <c r="K228" i="4"/>
  <c r="K227" i="4"/>
  <c r="K230" i="4"/>
  <c r="K225" i="4"/>
  <c r="K226" i="4"/>
  <c r="T74" i="5"/>
  <c r="T129" i="7" s="1"/>
  <c r="T128" i="5"/>
  <c r="T101" i="5"/>
  <c r="J78" i="5"/>
  <c r="J133" i="7" s="1"/>
  <c r="J132" i="5"/>
  <c r="J105" i="5"/>
  <c r="T4" i="3"/>
  <c r="T97" i="3" s="1"/>
  <c r="G128" i="5"/>
  <c r="G74" i="5"/>
  <c r="G129" i="7" s="1"/>
  <c r="G101" i="5"/>
  <c r="E254" i="4"/>
  <c r="E249" i="4"/>
  <c r="E168" i="4"/>
  <c r="E250" i="4"/>
  <c r="E259" i="4"/>
  <c r="E257" i="4"/>
  <c r="E261" i="4"/>
  <c r="E262" i="4"/>
  <c r="E263" i="4"/>
  <c r="E260" i="4"/>
  <c r="E258" i="4"/>
  <c r="E255" i="4"/>
  <c r="E252" i="4"/>
  <c r="C10" i="4"/>
  <c r="G8" i="4"/>
  <c r="B15" i="4"/>
  <c r="E4" i="5"/>
  <c r="E47" i="6" s="1"/>
  <c r="F7" i="4"/>
  <c r="K119" i="6" l="1"/>
  <c r="K65" i="6"/>
  <c r="K207" i="7" s="1"/>
  <c r="K92" i="6"/>
  <c r="N112" i="6"/>
  <c r="N58" i="6"/>
  <c r="N200" i="7" s="1"/>
  <c r="N85" i="6"/>
  <c r="E121" i="5"/>
  <c r="E67" i="5"/>
  <c r="E122" i="7" s="1"/>
  <c r="E94" i="5"/>
  <c r="H120" i="5"/>
  <c r="H66" i="5"/>
  <c r="H121" i="7" s="1"/>
  <c r="H93" i="5"/>
  <c r="L101" i="3"/>
  <c r="L107" i="3"/>
  <c r="L105" i="3"/>
  <c r="L106" i="3"/>
  <c r="L102" i="3"/>
  <c r="L108" i="3"/>
  <c r="L104" i="3"/>
  <c r="L96" i="3"/>
  <c r="L103" i="3"/>
  <c r="L98" i="3"/>
  <c r="L100" i="3"/>
  <c r="L99" i="3"/>
  <c r="I116" i="5"/>
  <c r="I62" i="5"/>
  <c r="I117" i="7" s="1"/>
  <c r="I36" i="3"/>
  <c r="I89" i="5"/>
  <c r="M112" i="6"/>
  <c r="M58" i="6"/>
  <c r="M200" i="7" s="1"/>
  <c r="M85" i="6"/>
  <c r="I119" i="6"/>
  <c r="I65" i="6"/>
  <c r="I207" i="7" s="1"/>
  <c r="I92" i="6"/>
  <c r="B128" i="6"/>
  <c r="B74" i="6"/>
  <c r="B216" i="7" s="1"/>
  <c r="B101" i="6"/>
  <c r="I143" i="4"/>
  <c r="I197" i="4"/>
  <c r="I7" i="3"/>
  <c r="I4" i="4"/>
  <c r="J231" i="4"/>
  <c r="J141" i="4"/>
  <c r="J195" i="4"/>
  <c r="J222" i="4"/>
  <c r="J223" i="4"/>
  <c r="J232" i="4"/>
  <c r="J234" i="4"/>
  <c r="J235" i="4"/>
  <c r="J236" i="4"/>
  <c r="J233" i="4"/>
  <c r="J229" i="4"/>
  <c r="J228" i="4"/>
  <c r="J227" i="4"/>
  <c r="J230" i="4"/>
  <c r="J225" i="4"/>
  <c r="J110" i="6"/>
  <c r="J66" i="3"/>
  <c r="J56" i="6"/>
  <c r="J198" i="7" s="1"/>
  <c r="J83" i="6"/>
  <c r="L119" i="6"/>
  <c r="L65" i="6"/>
  <c r="L207" i="7" s="1"/>
  <c r="L92" i="6"/>
  <c r="C201" i="4"/>
  <c r="K218" i="3"/>
  <c r="D170" i="4"/>
  <c r="D31" i="4"/>
  <c r="B229" i="4"/>
  <c r="B202" i="4"/>
  <c r="B89" i="6"/>
  <c r="B95" i="5"/>
  <c r="K4" i="3"/>
  <c r="K97" i="3" s="1"/>
  <c r="N64" i="5"/>
  <c r="N119" i="7" s="1"/>
  <c r="N118" i="5"/>
  <c r="N91" i="5"/>
  <c r="J5" i="3"/>
  <c r="H224" i="4"/>
  <c r="H141" i="4"/>
  <c r="H195" i="4"/>
  <c r="H222" i="4"/>
  <c r="H230" i="4"/>
  <c r="H223" i="4"/>
  <c r="H232" i="4"/>
  <c r="H234" i="4"/>
  <c r="H235" i="4"/>
  <c r="H236" i="4"/>
  <c r="H233" i="4"/>
  <c r="H231" i="4"/>
  <c r="H228" i="4"/>
  <c r="H227" i="4"/>
  <c r="H225" i="4"/>
  <c r="B171" i="4"/>
  <c r="I126" i="6"/>
  <c r="I72" i="6"/>
  <c r="I214" i="7" s="1"/>
  <c r="I99" i="6"/>
  <c r="I71" i="5"/>
  <c r="I126" i="7" s="1"/>
  <c r="I125" i="5"/>
  <c r="I98" i="5"/>
  <c r="G127" i="5"/>
  <c r="G73" i="5"/>
  <c r="G128" i="7" s="1"/>
  <c r="G100" i="5"/>
  <c r="F121" i="5"/>
  <c r="F67" i="5"/>
  <c r="F122" i="7" s="1"/>
  <c r="F94" i="5"/>
  <c r="J224" i="4"/>
  <c r="H5" i="3"/>
  <c r="U181" i="4"/>
  <c r="T122" i="6"/>
  <c r="T68" i="6"/>
  <c r="T210" i="7" s="1"/>
  <c r="T95" i="6"/>
  <c r="C136" i="5"/>
  <c r="C82" i="5"/>
  <c r="C137" i="7" s="1"/>
  <c r="C109" i="5"/>
  <c r="F149" i="5"/>
  <c r="F68" i="5"/>
  <c r="F122" i="5"/>
  <c r="K126" i="6"/>
  <c r="K72" i="6"/>
  <c r="K214" i="7" s="1"/>
  <c r="K99" i="6"/>
  <c r="B82" i="5"/>
  <c r="B137" i="7" s="1"/>
  <c r="B136" i="5"/>
  <c r="B109" i="5"/>
  <c r="T115" i="6"/>
  <c r="T61" i="6"/>
  <c r="T203" i="7" s="1"/>
  <c r="T88" i="6"/>
  <c r="G116" i="6"/>
  <c r="G143" i="6"/>
  <c r="M64" i="5"/>
  <c r="M119" i="7" s="1"/>
  <c r="M118" i="5"/>
  <c r="M91" i="5"/>
  <c r="B206" i="4"/>
  <c r="B13" i="4"/>
  <c r="G199" i="4"/>
  <c r="T119" i="6"/>
  <c r="T65" i="6"/>
  <c r="T207" i="7" s="1"/>
  <c r="T92" i="6"/>
  <c r="S115" i="6"/>
  <c r="S61" i="6"/>
  <c r="S203" i="7" s="1"/>
  <c r="S88" i="6"/>
  <c r="D130" i="6"/>
  <c r="D157" i="6"/>
  <c r="D76" i="6"/>
  <c r="D103" i="6"/>
  <c r="H121" i="6"/>
  <c r="H67" i="6"/>
  <c r="H209" i="7" s="1"/>
  <c r="H94" i="6"/>
  <c r="F198" i="4"/>
  <c r="V186" i="4"/>
  <c r="T105" i="3"/>
  <c r="T102" i="3"/>
  <c r="T107" i="3"/>
  <c r="T103" i="3"/>
  <c r="T101" i="3"/>
  <c r="T96" i="3"/>
  <c r="T104" i="3"/>
  <c r="T106" i="3"/>
  <c r="T108" i="3"/>
  <c r="T98" i="3"/>
  <c r="T100" i="3"/>
  <c r="T99" i="3"/>
  <c r="I132" i="5"/>
  <c r="I78" i="5"/>
  <c r="I133" i="7" s="1"/>
  <c r="I105" i="5"/>
  <c r="G6" i="4"/>
  <c r="J188" i="3"/>
  <c r="L97" i="3"/>
  <c r="G122" i="6"/>
  <c r="G68" i="6"/>
  <c r="G210" i="7" s="1"/>
  <c r="G95" i="6"/>
  <c r="V14" i="4"/>
  <c r="V23" i="4"/>
  <c r="V25" i="4"/>
  <c r="V21" i="4"/>
  <c r="E9" i="4"/>
  <c r="B10" i="4"/>
  <c r="F8" i="4"/>
  <c r="F6" i="4" s="1"/>
  <c r="D4" i="5"/>
  <c r="D47" i="6" s="1"/>
  <c r="B33" i="4"/>
  <c r="B170" i="4" l="1"/>
  <c r="B31" i="4"/>
  <c r="B253" i="4" s="1"/>
  <c r="F4" i="4"/>
  <c r="F143" i="4"/>
  <c r="F197" i="4"/>
  <c r="F7" i="3"/>
  <c r="V173" i="4"/>
  <c r="I231" i="4"/>
  <c r="I141" i="4"/>
  <c r="I195" i="4"/>
  <c r="I222" i="4"/>
  <c r="I230" i="4"/>
  <c r="I223" i="4"/>
  <c r="I232" i="4"/>
  <c r="I235" i="4"/>
  <c r="I234" i="4"/>
  <c r="I233" i="4"/>
  <c r="I236" i="4"/>
  <c r="I228" i="4"/>
  <c r="I227" i="4"/>
  <c r="I225" i="4"/>
  <c r="I226" i="4"/>
  <c r="F199" i="4"/>
  <c r="F226" i="4"/>
  <c r="E149" i="5"/>
  <c r="E68" i="5"/>
  <c r="E122" i="5"/>
  <c r="J218" i="3"/>
  <c r="I5" i="3"/>
  <c r="U179" i="4"/>
  <c r="U40" i="4"/>
  <c r="C172" i="4"/>
  <c r="C33" i="4"/>
  <c r="B130" i="6"/>
  <c r="B157" i="6"/>
  <c r="B76" i="6"/>
  <c r="B103" i="6"/>
  <c r="G120" i="5"/>
  <c r="G66" i="5"/>
  <c r="G121" i="7" s="1"/>
  <c r="G93" i="5"/>
  <c r="V212" i="4"/>
  <c r="E115" i="6"/>
  <c r="E61" i="6"/>
  <c r="E203" i="7" s="1"/>
  <c r="E88" i="6"/>
  <c r="I224" i="4"/>
  <c r="B201" i="4"/>
  <c r="V216" i="4"/>
  <c r="V214" i="4"/>
  <c r="H114" i="6"/>
  <c r="H60" i="6"/>
  <c r="H202" i="7" s="1"/>
  <c r="H87" i="6"/>
  <c r="T68" i="5"/>
  <c r="T123" i="7" s="1"/>
  <c r="T122" i="5"/>
  <c r="T95" i="5"/>
  <c r="K105" i="3"/>
  <c r="K101" i="3"/>
  <c r="K107" i="3"/>
  <c r="K108" i="3"/>
  <c r="K103" i="3"/>
  <c r="K102" i="3"/>
  <c r="K96" i="3"/>
  <c r="K106" i="3"/>
  <c r="K104" i="3"/>
  <c r="K98" i="3"/>
  <c r="K100" i="3"/>
  <c r="K99" i="3"/>
  <c r="F127" i="5"/>
  <c r="F73" i="5"/>
  <c r="F128" i="7" s="1"/>
  <c r="F100" i="5"/>
  <c r="I188" i="3"/>
  <c r="B172" i="4"/>
  <c r="J119" i="6"/>
  <c r="J65" i="6"/>
  <c r="J207" i="7" s="1"/>
  <c r="J92" i="6"/>
  <c r="V205" i="4"/>
  <c r="H4" i="3"/>
  <c r="D258" i="4"/>
  <c r="D249" i="4"/>
  <c r="D168" i="4"/>
  <c r="D250" i="4"/>
  <c r="D259" i="4"/>
  <c r="D261" i="4"/>
  <c r="D262" i="4"/>
  <c r="D260" i="4"/>
  <c r="D263" i="4"/>
  <c r="D254" i="4"/>
  <c r="D255" i="4"/>
  <c r="D252" i="4"/>
  <c r="D253" i="4"/>
  <c r="C130" i="6"/>
  <c r="C157" i="6"/>
  <c r="C76" i="6"/>
  <c r="C103" i="6"/>
  <c r="I110" i="6"/>
  <c r="I66" i="3"/>
  <c r="I56" i="6"/>
  <c r="I198" i="7" s="1"/>
  <c r="I83" i="6"/>
  <c r="G143" i="4"/>
  <c r="G197" i="4"/>
  <c r="G7" i="3"/>
  <c r="G4" i="4"/>
  <c r="G224" i="4" s="1"/>
  <c r="F128" i="5"/>
  <c r="F74" i="5"/>
  <c r="F129" i="7" s="1"/>
  <c r="F101" i="5"/>
  <c r="J4" i="3"/>
  <c r="J97" i="3" s="1"/>
  <c r="D251" i="4"/>
  <c r="F116" i="6"/>
  <c r="F143" i="6"/>
  <c r="J126" i="6"/>
  <c r="J72" i="6"/>
  <c r="J214" i="7" s="1"/>
  <c r="J99" i="6"/>
  <c r="E200" i="4"/>
  <c r="G121" i="6"/>
  <c r="G67" i="6"/>
  <c r="G209" i="7" s="1"/>
  <c r="G94" i="6"/>
  <c r="F115" i="6"/>
  <c r="F61" i="6"/>
  <c r="F203" i="7" s="1"/>
  <c r="F88" i="6"/>
  <c r="B204" i="4"/>
  <c r="B150" i="4"/>
  <c r="B8" i="3"/>
  <c r="E74" i="5"/>
  <c r="E129" i="7" s="1"/>
  <c r="E128" i="5"/>
  <c r="E101" i="5"/>
  <c r="E27" i="4"/>
  <c r="B27" i="4"/>
  <c r="V18" i="4"/>
  <c r="C27" i="4"/>
  <c r="V16" i="4"/>
  <c r="D27" i="4"/>
  <c r="V22" i="4"/>
  <c r="F27" i="4"/>
  <c r="U10" i="4"/>
  <c r="U17" i="4"/>
  <c r="D9" i="4"/>
  <c r="U11" i="4"/>
  <c r="U9" i="4"/>
  <c r="U12" i="4"/>
  <c r="C9" i="4"/>
  <c r="C4" i="5"/>
  <c r="C47" i="6" s="1"/>
  <c r="E7" i="4"/>
  <c r="U4" i="5"/>
  <c r="U47" i="6" s="1"/>
  <c r="E198" i="4" l="1"/>
  <c r="G110" i="6"/>
  <c r="G66" i="3"/>
  <c r="G56" i="6"/>
  <c r="G198" i="7" s="1"/>
  <c r="G83" i="6"/>
  <c r="G78" i="5"/>
  <c r="G133" i="7" s="1"/>
  <c r="G132" i="5"/>
  <c r="G105" i="5"/>
  <c r="H105" i="3"/>
  <c r="H104" i="3"/>
  <c r="H106" i="3"/>
  <c r="H103" i="3"/>
  <c r="H101" i="3"/>
  <c r="H96" i="3"/>
  <c r="H107" i="3"/>
  <c r="H108" i="3"/>
  <c r="H102" i="3"/>
  <c r="H98" i="3"/>
  <c r="H100" i="3"/>
  <c r="H99" i="3"/>
  <c r="G114" i="6"/>
  <c r="G60" i="6"/>
  <c r="G202" i="7" s="1"/>
  <c r="G87" i="6"/>
  <c r="F121" i="6"/>
  <c r="F67" i="6"/>
  <c r="F209" i="7" s="1"/>
  <c r="F94" i="6"/>
  <c r="T116" i="6"/>
  <c r="T62" i="6"/>
  <c r="T204" i="7" s="1"/>
  <c r="T89" i="6"/>
  <c r="U177" i="4"/>
  <c r="U31" i="4"/>
  <c r="G62" i="5"/>
  <c r="G117" i="7" s="1"/>
  <c r="G116" i="5"/>
  <c r="G36" i="3"/>
  <c r="G89" i="5"/>
  <c r="G126" i="6"/>
  <c r="G72" i="6"/>
  <c r="G214" i="7" s="1"/>
  <c r="G99" i="6"/>
  <c r="H126" i="6"/>
  <c r="H72" i="6"/>
  <c r="H214" i="7" s="1"/>
  <c r="H99" i="6"/>
  <c r="U123" i="5"/>
  <c r="U69" i="5"/>
  <c r="U124" i="7" s="1"/>
  <c r="G5" i="3"/>
  <c r="D68" i="5"/>
  <c r="D149" i="5"/>
  <c r="D122" i="5"/>
  <c r="D121" i="5"/>
  <c r="D67" i="5"/>
  <c r="D122" i="7" s="1"/>
  <c r="D94" i="5"/>
  <c r="F122" i="6"/>
  <c r="F68" i="6"/>
  <c r="F210" i="7" s="1"/>
  <c r="F95" i="6"/>
  <c r="U202" i="4"/>
  <c r="G125" i="5"/>
  <c r="G71" i="5"/>
  <c r="G126" i="7" s="1"/>
  <c r="G98" i="5"/>
  <c r="G119" i="6"/>
  <c r="G65" i="6"/>
  <c r="G207" i="7" s="1"/>
  <c r="G92" i="6"/>
  <c r="H119" i="6"/>
  <c r="H65" i="6"/>
  <c r="H207" i="7" s="1"/>
  <c r="H92" i="6"/>
  <c r="D200" i="4"/>
  <c r="E122" i="6"/>
  <c r="E68" i="6"/>
  <c r="E210" i="7" s="1"/>
  <c r="E95" i="6"/>
  <c r="H78" i="5"/>
  <c r="H133" i="7" s="1"/>
  <c r="H132" i="5"/>
  <c r="H105" i="5"/>
  <c r="F120" i="5"/>
  <c r="F66" i="5"/>
  <c r="F121" i="7" s="1"/>
  <c r="F93" i="5"/>
  <c r="H116" i="5"/>
  <c r="H62" i="5"/>
  <c r="H117" i="7" s="1"/>
  <c r="H36" i="3"/>
  <c r="H89" i="5"/>
  <c r="F231" i="4"/>
  <c r="F141" i="4"/>
  <c r="F195" i="4"/>
  <c r="F222" i="4"/>
  <c r="F230" i="4"/>
  <c r="F223" i="4"/>
  <c r="F234" i="4"/>
  <c r="F232" i="4"/>
  <c r="F235" i="4"/>
  <c r="F236" i="4"/>
  <c r="F233" i="4"/>
  <c r="F228" i="4"/>
  <c r="F227" i="4"/>
  <c r="F225" i="4"/>
  <c r="V207" i="4"/>
  <c r="G236" i="4"/>
  <c r="G222" i="4"/>
  <c r="G195" i="4"/>
  <c r="G141" i="4"/>
  <c r="G230" i="4"/>
  <c r="G223" i="4"/>
  <c r="G234" i="4"/>
  <c r="G235" i="4"/>
  <c r="G232" i="4"/>
  <c r="G233" i="4"/>
  <c r="G231" i="4"/>
  <c r="G228" i="4"/>
  <c r="G227" i="4"/>
  <c r="G225" i="4"/>
  <c r="G226" i="4"/>
  <c r="C200" i="4"/>
  <c r="V96" i="6"/>
  <c r="V102" i="5"/>
  <c r="V209" i="4"/>
  <c r="H125" i="5"/>
  <c r="H71" i="5"/>
  <c r="H126" i="7" s="1"/>
  <c r="H98" i="5"/>
  <c r="E116" i="6"/>
  <c r="E143" i="6"/>
  <c r="B258" i="4"/>
  <c r="B168" i="4"/>
  <c r="B249" i="4"/>
  <c r="B250" i="4"/>
  <c r="B259" i="4"/>
  <c r="B263" i="4"/>
  <c r="B261" i="4"/>
  <c r="B262" i="4"/>
  <c r="B260" i="4"/>
  <c r="B254" i="4"/>
  <c r="B255" i="4"/>
  <c r="B252" i="4"/>
  <c r="I4" i="3"/>
  <c r="I97" i="3" s="1"/>
  <c r="H110" i="6"/>
  <c r="H66" i="3"/>
  <c r="H56" i="6"/>
  <c r="H198" i="7" s="1"/>
  <c r="H83" i="6"/>
  <c r="U208" i="4"/>
  <c r="B120" i="5"/>
  <c r="B66" i="5"/>
  <c r="B121" i="7" s="1"/>
  <c r="F5" i="3"/>
  <c r="B251" i="4"/>
  <c r="U201" i="4"/>
  <c r="U90" i="6"/>
  <c r="U203" i="4"/>
  <c r="U96" i="5"/>
  <c r="J105" i="3"/>
  <c r="J101" i="3"/>
  <c r="J108" i="3"/>
  <c r="J104" i="3"/>
  <c r="J107" i="3"/>
  <c r="J96" i="3"/>
  <c r="J102" i="3"/>
  <c r="J103" i="3"/>
  <c r="J106" i="3"/>
  <c r="J98" i="3"/>
  <c r="J100" i="3"/>
  <c r="J99" i="3"/>
  <c r="C170" i="4"/>
  <c r="C31" i="4"/>
  <c r="F224" i="4"/>
  <c r="U200" i="4"/>
  <c r="V213" i="4"/>
  <c r="I218" i="3"/>
  <c r="H97" i="3"/>
  <c r="E127" i="5"/>
  <c r="E73" i="5"/>
  <c r="E128" i="7" s="1"/>
  <c r="E100" i="5"/>
  <c r="E8" i="4"/>
  <c r="B9" i="4"/>
  <c r="D7" i="4"/>
  <c r="U15" i="4"/>
  <c r="B4" i="5"/>
  <c r="B47" i="6" s="1"/>
  <c r="U7" i="4"/>
  <c r="C7" i="4"/>
  <c r="E121" i="6" l="1"/>
  <c r="E67" i="6"/>
  <c r="E209" i="7" s="1"/>
  <c r="E94" i="6"/>
  <c r="C251" i="4"/>
  <c r="C168" i="4"/>
  <c r="C249" i="4"/>
  <c r="C250" i="4"/>
  <c r="C259" i="4"/>
  <c r="C261" i="4"/>
  <c r="C262" i="4"/>
  <c r="C263" i="4"/>
  <c r="C260" i="4"/>
  <c r="C258" i="4"/>
  <c r="C254" i="4"/>
  <c r="C255" i="4"/>
  <c r="C252" i="4"/>
  <c r="C253" i="4"/>
  <c r="D74" i="5"/>
  <c r="D129" i="7" s="1"/>
  <c r="D128" i="5"/>
  <c r="D101" i="5"/>
  <c r="I105" i="3"/>
  <c r="I103" i="3"/>
  <c r="I106" i="3"/>
  <c r="I101" i="3"/>
  <c r="I108" i="3"/>
  <c r="I96" i="3"/>
  <c r="I102" i="3"/>
  <c r="I104" i="3"/>
  <c r="I107" i="3"/>
  <c r="I98" i="3"/>
  <c r="I100" i="3"/>
  <c r="I99" i="3"/>
  <c r="D116" i="6"/>
  <c r="D143" i="6"/>
  <c r="G4" i="3"/>
  <c r="G97" i="3" s="1"/>
  <c r="F119" i="6"/>
  <c r="F65" i="6"/>
  <c r="F207" i="7" s="1"/>
  <c r="F92" i="6"/>
  <c r="D198" i="4"/>
  <c r="B121" i="5"/>
  <c r="B67" i="5"/>
  <c r="B122" i="7" s="1"/>
  <c r="B94" i="5"/>
  <c r="U261" i="4"/>
  <c r="U249" i="4"/>
  <c r="U30" i="4"/>
  <c r="U168" i="4"/>
  <c r="U250" i="4"/>
  <c r="U263" i="4"/>
  <c r="U259" i="4"/>
  <c r="U254" i="4"/>
  <c r="U255" i="4"/>
  <c r="U256" i="4"/>
  <c r="U252" i="4"/>
  <c r="U257" i="4"/>
  <c r="U253" i="4"/>
  <c r="U251" i="4"/>
  <c r="U262" i="4"/>
  <c r="U260" i="4"/>
  <c r="G218" i="3"/>
  <c r="E66" i="5"/>
  <c r="E121" i="7" s="1"/>
  <c r="E120" i="5"/>
  <c r="E93" i="5"/>
  <c r="U198" i="4"/>
  <c r="U134" i="5"/>
  <c r="U80" i="5"/>
  <c r="U135" i="7" s="1"/>
  <c r="U107" i="5"/>
  <c r="C198" i="4"/>
  <c r="K112" i="6"/>
  <c r="K58" i="6"/>
  <c r="K200" i="7" s="1"/>
  <c r="K85" i="6"/>
  <c r="E199" i="4"/>
  <c r="T118" i="5"/>
  <c r="T64" i="5"/>
  <c r="T119" i="7" s="1"/>
  <c r="T91" i="5"/>
  <c r="F132" i="5"/>
  <c r="F78" i="5"/>
  <c r="F133" i="7" s="1"/>
  <c r="F105" i="5"/>
  <c r="U258" i="4"/>
  <c r="K118" i="5"/>
  <c r="K64" i="5"/>
  <c r="K119" i="7" s="1"/>
  <c r="K91" i="5"/>
  <c r="T112" i="6"/>
  <c r="T58" i="6"/>
  <c r="T200" i="7" s="1"/>
  <c r="T85" i="6"/>
  <c r="D115" i="6"/>
  <c r="D61" i="6"/>
  <c r="D203" i="7" s="1"/>
  <c r="D88" i="6"/>
  <c r="B200" i="4"/>
  <c r="B87" i="6"/>
  <c r="B93" i="5"/>
  <c r="F114" i="6"/>
  <c r="F60" i="6"/>
  <c r="F202" i="7" s="1"/>
  <c r="F87" i="6"/>
  <c r="F125" i="5"/>
  <c r="F71" i="5"/>
  <c r="F126" i="7" s="1"/>
  <c r="F98" i="5"/>
  <c r="F4" i="3"/>
  <c r="F97" i="3" s="1"/>
  <c r="G188" i="3"/>
  <c r="F126" i="6"/>
  <c r="F72" i="6"/>
  <c r="F214" i="7" s="1"/>
  <c r="F99" i="6"/>
  <c r="J112" i="6"/>
  <c r="J58" i="6"/>
  <c r="J200" i="7" s="1"/>
  <c r="J85" i="6"/>
  <c r="U206" i="4"/>
  <c r="U13" i="4"/>
  <c r="L112" i="6"/>
  <c r="L58" i="6"/>
  <c r="L200" i="7" s="1"/>
  <c r="L85" i="6"/>
  <c r="U117" i="6"/>
  <c r="U144" i="6"/>
  <c r="U63" i="6"/>
  <c r="D73" i="5"/>
  <c r="D128" i="7" s="1"/>
  <c r="D127" i="5"/>
  <c r="D100" i="5"/>
  <c r="F62" i="5"/>
  <c r="F117" i="7" s="1"/>
  <c r="F116" i="5"/>
  <c r="F36" i="3"/>
  <c r="F89" i="5"/>
  <c r="C122" i="5"/>
  <c r="C149" i="5"/>
  <c r="C68" i="5"/>
  <c r="B114" i="6"/>
  <c r="B60" i="6"/>
  <c r="B202" i="7" s="1"/>
  <c r="C121" i="5"/>
  <c r="C67" i="5"/>
  <c r="C122" i="7" s="1"/>
  <c r="C94" i="5"/>
  <c r="H218" i="3"/>
  <c r="L118" i="5"/>
  <c r="L64" i="5"/>
  <c r="L119" i="7" s="1"/>
  <c r="L91" i="5"/>
  <c r="J64" i="5"/>
  <c r="J119" i="7" s="1"/>
  <c r="J118" i="5"/>
  <c r="J91" i="5"/>
  <c r="H188" i="3"/>
  <c r="E6" i="4"/>
  <c r="U73" i="5"/>
  <c r="U128" i="7" s="1"/>
  <c r="U127" i="5"/>
  <c r="U100" i="5"/>
  <c r="D8" i="4"/>
  <c r="U8" i="4"/>
  <c r="U6" i="4" s="1"/>
  <c r="C8" i="4"/>
  <c r="C6" i="4" s="1"/>
  <c r="B7" i="4"/>
  <c r="C143" i="4" l="1"/>
  <c r="C197" i="4"/>
  <c r="C7" i="3"/>
  <c r="C4" i="4"/>
  <c r="C224" i="4" s="1"/>
  <c r="U197" i="4"/>
  <c r="U143" i="4"/>
  <c r="U7" i="3"/>
  <c r="U4" i="4"/>
  <c r="U224" i="4" s="1"/>
  <c r="D199" i="4"/>
  <c r="B115" i="6"/>
  <c r="B61" i="6"/>
  <c r="B203" i="7" s="1"/>
  <c r="B88" i="6"/>
  <c r="E78" i="5"/>
  <c r="E133" i="7" s="1"/>
  <c r="E132" i="5"/>
  <c r="E105" i="5"/>
  <c r="B122" i="5"/>
  <c r="B149" i="5"/>
  <c r="B68" i="5"/>
  <c r="D6" i="4"/>
  <c r="D122" i="6"/>
  <c r="D68" i="6"/>
  <c r="D210" i="7" s="1"/>
  <c r="D95" i="6"/>
  <c r="E62" i="5"/>
  <c r="E117" i="7" s="1"/>
  <c r="E116" i="5"/>
  <c r="E36" i="3"/>
  <c r="E89" i="5"/>
  <c r="B198" i="4"/>
  <c r="C115" i="6"/>
  <c r="C61" i="6"/>
  <c r="C203" i="7" s="1"/>
  <c r="C88" i="6"/>
  <c r="C53" i="4"/>
  <c r="B53" i="4"/>
  <c r="E53" i="4"/>
  <c r="B74" i="5"/>
  <c r="B129" i="7" s="1"/>
  <c r="B128" i="5"/>
  <c r="B101" i="5"/>
  <c r="E71" i="5"/>
  <c r="E126" i="7" s="1"/>
  <c r="E125" i="5"/>
  <c r="E98" i="5"/>
  <c r="E114" i="6"/>
  <c r="E60" i="6"/>
  <c r="E202" i="7" s="1"/>
  <c r="E87" i="6"/>
  <c r="U150" i="4"/>
  <c r="U204" i="4"/>
  <c r="U8" i="3"/>
  <c r="U66" i="5"/>
  <c r="U121" i="7" s="1"/>
  <c r="U120" i="5"/>
  <c r="U93" i="5"/>
  <c r="V136" i="5"/>
  <c r="V82" i="5"/>
  <c r="V137" i="7" s="1"/>
  <c r="V109" i="5"/>
  <c r="F188" i="3"/>
  <c r="C116" i="6"/>
  <c r="C143" i="6"/>
  <c r="F104" i="3"/>
  <c r="F103" i="3"/>
  <c r="F105" i="3"/>
  <c r="F102" i="3"/>
  <c r="F106" i="3"/>
  <c r="F96" i="3"/>
  <c r="F107" i="3"/>
  <c r="F108" i="3"/>
  <c r="F101" i="3"/>
  <c r="F98" i="3"/>
  <c r="F100" i="3"/>
  <c r="F99" i="3"/>
  <c r="I118" i="5"/>
  <c r="I64" i="5"/>
  <c r="I119" i="7" s="1"/>
  <c r="I91" i="5"/>
  <c r="G105" i="3"/>
  <c r="G103" i="3"/>
  <c r="G106" i="3"/>
  <c r="G102" i="3"/>
  <c r="G108" i="3"/>
  <c r="G104" i="3"/>
  <c r="G96" i="3"/>
  <c r="G101" i="3"/>
  <c r="G107" i="3"/>
  <c r="G98" i="3"/>
  <c r="G100" i="3"/>
  <c r="G99" i="3"/>
  <c r="F53" i="4"/>
  <c r="D53" i="4"/>
  <c r="E126" i="6"/>
  <c r="E72" i="6"/>
  <c r="E214" i="7" s="1"/>
  <c r="E99" i="6"/>
  <c r="F110" i="6"/>
  <c r="F66" i="3"/>
  <c r="F56" i="6"/>
  <c r="F198" i="7" s="1"/>
  <c r="F83" i="6"/>
  <c r="V181" i="4"/>
  <c r="D66" i="5"/>
  <c r="D121" i="7" s="1"/>
  <c r="D120" i="5"/>
  <c r="D93" i="5"/>
  <c r="C74" i="5"/>
  <c r="C129" i="7" s="1"/>
  <c r="C128" i="5"/>
  <c r="C101" i="5"/>
  <c r="D121" i="6"/>
  <c r="D67" i="6"/>
  <c r="D209" i="7" s="1"/>
  <c r="D94" i="6"/>
  <c r="E143" i="4"/>
  <c r="E197" i="4"/>
  <c r="E7" i="3"/>
  <c r="E4" i="4"/>
  <c r="E119" i="6"/>
  <c r="E65" i="6"/>
  <c r="E207" i="7" s="1"/>
  <c r="E92" i="6"/>
  <c r="I112" i="6"/>
  <c r="I58" i="6"/>
  <c r="I200" i="7" s="1"/>
  <c r="I85" i="6"/>
  <c r="C199" i="4"/>
  <c r="U199" i="4"/>
  <c r="C127" i="5"/>
  <c r="C73" i="5"/>
  <c r="C128" i="7" s="1"/>
  <c r="C100" i="5"/>
  <c r="U128" i="6"/>
  <c r="U74" i="6"/>
  <c r="U216" i="7" s="1"/>
  <c r="U101" i="6"/>
  <c r="U121" i="6"/>
  <c r="U67" i="6"/>
  <c r="U209" i="7" s="1"/>
  <c r="U94" i="6"/>
  <c r="B8" i="4"/>
  <c r="B6" i="4" s="1"/>
  <c r="B28" i="4"/>
  <c r="E28" i="4"/>
  <c r="F28" i="4"/>
  <c r="D28" i="4"/>
  <c r="C28" i="4"/>
  <c r="U231" i="4" l="1"/>
  <c r="U226" i="4"/>
  <c r="C226" i="4"/>
  <c r="C26" i="4"/>
  <c r="B197" i="4"/>
  <c r="B143" i="4"/>
  <c r="B7" i="3"/>
  <c r="B4" i="4"/>
  <c r="B226" i="4" s="1"/>
  <c r="F26" i="4"/>
  <c r="E26" i="4"/>
  <c r="B26" i="4"/>
  <c r="E141" i="4"/>
  <c r="E195" i="4"/>
  <c r="E222" i="4"/>
  <c r="E230" i="4"/>
  <c r="E223" i="4"/>
  <c r="E234" i="4"/>
  <c r="E232" i="4"/>
  <c r="E235" i="4"/>
  <c r="E236" i="4"/>
  <c r="E233" i="4"/>
  <c r="E231" i="4"/>
  <c r="E228" i="4"/>
  <c r="E227" i="4"/>
  <c r="E225" i="4"/>
  <c r="E226" i="4"/>
  <c r="C122" i="6"/>
  <c r="C68" i="6"/>
  <c r="C210" i="7" s="1"/>
  <c r="C95" i="6"/>
  <c r="D114" i="6"/>
  <c r="D60" i="6"/>
  <c r="D202" i="7" s="1"/>
  <c r="D87" i="6"/>
  <c r="D125" i="5"/>
  <c r="D71" i="5"/>
  <c r="D126" i="7" s="1"/>
  <c r="D98" i="5"/>
  <c r="U195" i="4"/>
  <c r="U222" i="4"/>
  <c r="U141" i="4"/>
  <c r="U223" i="4"/>
  <c r="U236" i="4"/>
  <c r="U232" i="4"/>
  <c r="U234" i="4"/>
  <c r="U228" i="4"/>
  <c r="U230" i="4"/>
  <c r="U227" i="4"/>
  <c r="U229" i="4"/>
  <c r="U235" i="4"/>
  <c r="U233" i="4"/>
  <c r="U225" i="4"/>
  <c r="C5" i="3"/>
  <c r="B46" i="4"/>
  <c r="E110" i="6"/>
  <c r="E66" i="3"/>
  <c r="E56" i="6"/>
  <c r="E198" i="7" s="1"/>
  <c r="E83" i="6"/>
  <c r="F46" i="4"/>
  <c r="C121" i="6"/>
  <c r="C67" i="6"/>
  <c r="C209" i="7" s="1"/>
  <c r="C94" i="6"/>
  <c r="V130" i="6"/>
  <c r="V157" i="6"/>
  <c r="V76" i="6"/>
  <c r="V103" i="6"/>
  <c r="E188" i="3"/>
  <c r="G118" i="5"/>
  <c r="G64" i="5"/>
  <c r="G119" i="7" s="1"/>
  <c r="G91" i="5"/>
  <c r="U5" i="3"/>
  <c r="U116" i="5"/>
  <c r="U62" i="5"/>
  <c r="U117" i="7" s="1"/>
  <c r="U36" i="3"/>
  <c r="U89" i="5"/>
  <c r="D126" i="6"/>
  <c r="D72" i="6"/>
  <c r="D214" i="7" s="1"/>
  <c r="D99" i="6"/>
  <c r="D119" i="6"/>
  <c r="D65" i="6"/>
  <c r="D207" i="7" s="1"/>
  <c r="D92" i="6"/>
  <c r="G112" i="6"/>
  <c r="G58" i="6"/>
  <c r="G200" i="7" s="1"/>
  <c r="G85" i="6"/>
  <c r="U114" i="6"/>
  <c r="U60" i="6"/>
  <c r="U202" i="7" s="1"/>
  <c r="U87" i="6"/>
  <c r="E224" i="4"/>
  <c r="F218" i="3"/>
  <c r="B116" i="6"/>
  <c r="B143" i="6"/>
  <c r="E46" i="4"/>
  <c r="E271" i="4" s="1"/>
  <c r="D110" i="6"/>
  <c r="D66" i="3"/>
  <c r="D56" i="6"/>
  <c r="D198" i="7" s="1"/>
  <c r="D83" i="6"/>
  <c r="V179" i="4"/>
  <c r="V40" i="4"/>
  <c r="D46" i="4"/>
  <c r="D26" i="4"/>
  <c r="B122" i="6"/>
  <c r="B68" i="6"/>
  <c r="B210" i="7" s="1"/>
  <c r="B95" i="6"/>
  <c r="D78" i="5"/>
  <c r="D133" i="7" s="1"/>
  <c r="D132" i="5"/>
  <c r="D105" i="5"/>
  <c r="C46" i="4"/>
  <c r="D143" i="4"/>
  <c r="D197" i="4"/>
  <c r="D7" i="3"/>
  <c r="D4" i="4"/>
  <c r="D224" i="4" s="1"/>
  <c r="E5" i="3"/>
  <c r="B199" i="4"/>
  <c r="C120" i="5"/>
  <c r="C66" i="5"/>
  <c r="C121" i="7" s="1"/>
  <c r="C93" i="5"/>
  <c r="U78" i="5"/>
  <c r="U133" i="7" s="1"/>
  <c r="U132" i="5"/>
  <c r="U105" i="5"/>
  <c r="U125" i="5"/>
  <c r="U71" i="5"/>
  <c r="U126" i="7" s="1"/>
  <c r="U98" i="5"/>
  <c r="D62" i="5"/>
  <c r="D117" i="7" s="1"/>
  <c r="D116" i="5"/>
  <c r="D36" i="3"/>
  <c r="D89" i="5"/>
  <c r="C231" i="4"/>
  <c r="C195" i="4"/>
  <c r="C222" i="4"/>
  <c r="C141" i="4"/>
  <c r="C223" i="4"/>
  <c r="C235" i="4"/>
  <c r="C232" i="4"/>
  <c r="C234" i="4"/>
  <c r="C233" i="4"/>
  <c r="C236" i="4"/>
  <c r="C228" i="4"/>
  <c r="C227" i="4"/>
  <c r="C225" i="4"/>
  <c r="V17" i="4"/>
  <c r="B264" i="4" l="1"/>
  <c r="B266" i="4"/>
  <c r="B267" i="4"/>
  <c r="B270" i="4"/>
  <c r="B268" i="4"/>
  <c r="B269" i="4"/>
  <c r="B265" i="4"/>
  <c r="B272" i="4"/>
  <c r="B30" i="4"/>
  <c r="B273" i="4"/>
  <c r="E4" i="3"/>
  <c r="E97" i="3"/>
  <c r="D264" i="4"/>
  <c r="D266" i="4"/>
  <c r="D267" i="4"/>
  <c r="D268" i="4"/>
  <c r="D269" i="4"/>
  <c r="D270" i="4"/>
  <c r="D265" i="4"/>
  <c r="D272" i="4"/>
  <c r="D30" i="4"/>
  <c r="D273" i="4"/>
  <c r="B271" i="4"/>
  <c r="D271" i="4"/>
  <c r="C114" i="6"/>
  <c r="C60" i="6"/>
  <c r="C202" i="7" s="1"/>
  <c r="C87" i="6"/>
  <c r="E265" i="4"/>
  <c r="E264" i="4"/>
  <c r="E266" i="4"/>
  <c r="E267" i="4"/>
  <c r="E269" i="4"/>
  <c r="E268" i="4"/>
  <c r="E270" i="4"/>
  <c r="E272" i="4"/>
  <c r="E30" i="4"/>
  <c r="E273" i="4"/>
  <c r="H64" i="5"/>
  <c r="H119" i="7" s="1"/>
  <c r="H118" i="5"/>
  <c r="H91" i="5"/>
  <c r="B231" i="4"/>
  <c r="B222" i="4"/>
  <c r="B141" i="4"/>
  <c r="B195" i="4"/>
  <c r="B223" i="4"/>
  <c r="B234" i="4"/>
  <c r="B236" i="4"/>
  <c r="B232" i="4"/>
  <c r="B235" i="4"/>
  <c r="B233" i="4"/>
  <c r="B228" i="4"/>
  <c r="B227" i="4"/>
  <c r="B225" i="4"/>
  <c r="C163" i="4"/>
  <c r="C20" i="3"/>
  <c r="C19" i="4"/>
  <c r="U110" i="6"/>
  <c r="U66" i="3"/>
  <c r="U56" i="6"/>
  <c r="U198" i="7" s="1"/>
  <c r="U83" i="6"/>
  <c r="D188" i="3"/>
  <c r="U4" i="3"/>
  <c r="B163" i="4"/>
  <c r="B20" i="3"/>
  <c r="B19" i="4"/>
  <c r="B244" i="4" s="1"/>
  <c r="B5" i="3"/>
  <c r="E218" i="3"/>
  <c r="B224" i="4"/>
  <c r="C271" i="4"/>
  <c r="C264" i="4"/>
  <c r="C266" i="4"/>
  <c r="C269" i="4"/>
  <c r="C268" i="4"/>
  <c r="C267" i="4"/>
  <c r="C270" i="4"/>
  <c r="C265" i="4"/>
  <c r="C272" i="4"/>
  <c r="C30" i="4"/>
  <c r="C273" i="4"/>
  <c r="E163" i="4"/>
  <c r="E20" i="3"/>
  <c r="E19" i="4"/>
  <c r="E244" i="4" s="1"/>
  <c r="C4" i="3"/>
  <c r="C97" i="3" s="1"/>
  <c r="F163" i="4"/>
  <c r="F20" i="3"/>
  <c r="F19" i="4"/>
  <c r="F244" i="4" s="1"/>
  <c r="U188" i="3"/>
  <c r="H112" i="6"/>
  <c r="H58" i="6"/>
  <c r="H200" i="7" s="1"/>
  <c r="H85" i="6"/>
  <c r="V208" i="4"/>
  <c r="D225" i="4"/>
  <c r="D222" i="4"/>
  <c r="D141" i="4"/>
  <c r="D195" i="4"/>
  <c r="D223" i="4"/>
  <c r="D235" i="4"/>
  <c r="D234" i="4"/>
  <c r="D232" i="4"/>
  <c r="D233" i="4"/>
  <c r="D236" i="4"/>
  <c r="D231" i="4"/>
  <c r="D228" i="4"/>
  <c r="D227" i="4"/>
  <c r="D226" i="4"/>
  <c r="D163" i="4"/>
  <c r="D20" i="3"/>
  <c r="D19" i="4"/>
  <c r="D218" i="3"/>
  <c r="F264" i="4"/>
  <c r="F266" i="4"/>
  <c r="F268" i="4"/>
  <c r="F269" i="4"/>
  <c r="F267" i="4"/>
  <c r="F270" i="4"/>
  <c r="F265" i="4"/>
  <c r="F30" i="4"/>
  <c r="F272" i="4"/>
  <c r="F273" i="4"/>
  <c r="D5" i="3"/>
  <c r="V177" i="4"/>
  <c r="F271" i="4"/>
  <c r="V15" i="4"/>
  <c r="B55" i="7"/>
  <c r="E118" i="5" l="1"/>
  <c r="E64" i="5"/>
  <c r="E119" i="7" s="1"/>
  <c r="E91" i="5"/>
  <c r="C132" i="5"/>
  <c r="C78" i="5"/>
  <c r="C133" i="7" s="1"/>
  <c r="C105" i="5"/>
  <c r="C241" i="4"/>
  <c r="C156" i="4"/>
  <c r="C237" i="4"/>
  <c r="C239" i="4"/>
  <c r="C242" i="4"/>
  <c r="C240" i="4"/>
  <c r="C243" i="4"/>
  <c r="C238" i="4"/>
  <c r="C245" i="4"/>
  <c r="C246" i="4"/>
  <c r="D243" i="4"/>
  <c r="D237" i="4"/>
  <c r="D156" i="4"/>
  <c r="D239" i="4"/>
  <c r="D242" i="4"/>
  <c r="D240" i="4"/>
  <c r="D241" i="4"/>
  <c r="D238" i="4"/>
  <c r="D245" i="4"/>
  <c r="D246" i="4"/>
  <c r="F64" i="5"/>
  <c r="F119" i="7" s="1"/>
  <c r="F118" i="5"/>
  <c r="F91" i="5"/>
  <c r="B4" i="3"/>
  <c r="B97" i="3" s="1"/>
  <c r="C18" i="3"/>
  <c r="E112" i="6"/>
  <c r="E58" i="6"/>
  <c r="E200" i="7" s="1"/>
  <c r="E85" i="6"/>
  <c r="F112" i="6"/>
  <c r="F58" i="6"/>
  <c r="F200" i="7" s="1"/>
  <c r="F85" i="6"/>
  <c r="V206" i="4"/>
  <c r="V13" i="4"/>
  <c r="C126" i="6"/>
  <c r="C72" i="6"/>
  <c r="C214" i="7" s="1"/>
  <c r="C99" i="6"/>
  <c r="U126" i="6"/>
  <c r="U72" i="6"/>
  <c r="U214" i="7" s="1"/>
  <c r="U99" i="6"/>
  <c r="D18" i="3"/>
  <c r="C244" i="4"/>
  <c r="E105" i="3"/>
  <c r="E101" i="3"/>
  <c r="E102" i="3"/>
  <c r="E96" i="3"/>
  <c r="E108" i="3"/>
  <c r="E104" i="3"/>
  <c r="E106" i="3"/>
  <c r="E107" i="3"/>
  <c r="E103" i="3"/>
  <c r="E98" i="3"/>
  <c r="E100" i="3"/>
  <c r="E99" i="3"/>
  <c r="V172" i="4"/>
  <c r="D4" i="3"/>
  <c r="D244" i="4"/>
  <c r="C116" i="5"/>
  <c r="C62" i="5"/>
  <c r="C117" i="7" s="1"/>
  <c r="C36" i="3"/>
  <c r="C89" i="5"/>
  <c r="C71" i="5"/>
  <c r="C126" i="7" s="1"/>
  <c r="C125" i="5"/>
  <c r="C98" i="5"/>
  <c r="U108" i="3"/>
  <c r="U107" i="3"/>
  <c r="U103" i="3"/>
  <c r="U106" i="3"/>
  <c r="U105" i="3"/>
  <c r="U104" i="3"/>
  <c r="U102" i="3"/>
  <c r="U101" i="3"/>
  <c r="U96" i="3"/>
  <c r="U98" i="3"/>
  <c r="U99" i="3"/>
  <c r="U100" i="3"/>
  <c r="C119" i="6"/>
  <c r="C65" i="6"/>
  <c r="C207" i="7" s="1"/>
  <c r="C92" i="6"/>
  <c r="F238" i="4"/>
  <c r="F237" i="4"/>
  <c r="F156" i="4"/>
  <c r="F239" i="4"/>
  <c r="F242" i="4"/>
  <c r="F240" i="4"/>
  <c r="F243" i="4"/>
  <c r="F241" i="4"/>
  <c r="F245" i="4"/>
  <c r="F246" i="4"/>
  <c r="C105" i="3"/>
  <c r="C96" i="3"/>
  <c r="C106" i="3"/>
  <c r="C107" i="3"/>
  <c r="C108" i="3"/>
  <c r="C102" i="3"/>
  <c r="C103" i="3"/>
  <c r="C104" i="3"/>
  <c r="C101" i="3"/>
  <c r="C98" i="3"/>
  <c r="C100" i="3"/>
  <c r="C99" i="3"/>
  <c r="E238" i="4"/>
  <c r="E156" i="4"/>
  <c r="E237" i="4"/>
  <c r="E239" i="4"/>
  <c r="E242" i="4"/>
  <c r="E240" i="4"/>
  <c r="E243" i="4"/>
  <c r="E241" i="4"/>
  <c r="E245" i="4"/>
  <c r="E246" i="4"/>
  <c r="B156" i="4"/>
  <c r="B237" i="4"/>
  <c r="B239" i="4"/>
  <c r="B240" i="4"/>
  <c r="B241" i="4"/>
  <c r="B238" i="4"/>
  <c r="B242" i="4"/>
  <c r="B243" i="4"/>
  <c r="B245" i="4"/>
  <c r="B246" i="4"/>
  <c r="U218" i="3"/>
  <c r="F18" i="3"/>
  <c r="E18" i="3"/>
  <c r="B18" i="3"/>
  <c r="U97" i="3"/>
  <c r="D105" i="3" l="1"/>
  <c r="D102" i="3"/>
  <c r="D106" i="3"/>
  <c r="D104" i="3"/>
  <c r="D107" i="3"/>
  <c r="D96" i="3"/>
  <c r="D108" i="3"/>
  <c r="D103" i="3"/>
  <c r="D101" i="3"/>
  <c r="D98" i="3"/>
  <c r="D100" i="3"/>
  <c r="D99" i="3"/>
  <c r="V80" i="5"/>
  <c r="V135" i="7" s="1"/>
  <c r="V134" i="5"/>
  <c r="V107" i="5"/>
  <c r="C17" i="3"/>
  <c r="C110" i="3" s="1"/>
  <c r="D112" i="6"/>
  <c r="D58" i="6"/>
  <c r="D200" i="7" s="1"/>
  <c r="D85" i="6"/>
  <c r="D64" i="5"/>
  <c r="D119" i="7" s="1"/>
  <c r="D118" i="5"/>
  <c r="D91" i="5"/>
  <c r="B28" i="7"/>
  <c r="B192" i="4"/>
  <c r="B219" i="4"/>
  <c r="C28" i="7"/>
  <c r="C192" i="4"/>
  <c r="C219" i="4"/>
  <c r="F28" i="7"/>
  <c r="F192" i="4"/>
  <c r="F219" i="4"/>
  <c r="B62" i="5"/>
  <c r="B117" i="7" s="1"/>
  <c r="B116" i="5"/>
  <c r="B36" i="3"/>
  <c r="B89" i="5"/>
  <c r="V127" i="5"/>
  <c r="V73" i="5"/>
  <c r="V128" i="7" s="1"/>
  <c r="V100" i="5"/>
  <c r="B126" i="6"/>
  <c r="B72" i="6"/>
  <c r="B214" i="7" s="1"/>
  <c r="B99" i="6"/>
  <c r="B132" i="5"/>
  <c r="B78" i="5"/>
  <c r="B133" i="7" s="1"/>
  <c r="B105" i="5"/>
  <c r="E17" i="3"/>
  <c r="B17" i="3"/>
  <c r="B110" i="3" s="1"/>
  <c r="F17" i="3"/>
  <c r="F110" i="3" s="1"/>
  <c r="C188" i="3"/>
  <c r="C110" i="6"/>
  <c r="C66" i="3"/>
  <c r="C56" i="6"/>
  <c r="C198" i="7" s="1"/>
  <c r="C83" i="6"/>
  <c r="D28" i="7"/>
  <c r="D192" i="4"/>
  <c r="D219" i="4"/>
  <c r="E28" i="7"/>
  <c r="E192" i="4"/>
  <c r="E219" i="4"/>
  <c r="V150" i="4"/>
  <c r="V204" i="4"/>
  <c r="V8" i="3"/>
  <c r="B105" i="3"/>
  <c r="B107" i="3"/>
  <c r="B108" i="3"/>
  <c r="B103" i="3"/>
  <c r="B102" i="3"/>
  <c r="B106" i="3"/>
  <c r="B104" i="3"/>
  <c r="B96" i="3"/>
  <c r="B101" i="3"/>
  <c r="B98" i="3"/>
  <c r="B100" i="3"/>
  <c r="B99" i="3"/>
  <c r="U135" i="5"/>
  <c r="U81" i="5"/>
  <c r="U136" i="7" s="1"/>
  <c r="U108" i="5"/>
  <c r="B125" i="5"/>
  <c r="B71" i="5"/>
  <c r="B126" i="7" s="1"/>
  <c r="B98" i="5"/>
  <c r="U119" i="6"/>
  <c r="U65" i="6"/>
  <c r="U207" i="7" s="1"/>
  <c r="U92" i="6"/>
  <c r="D97" i="3"/>
  <c r="D17" i="3"/>
  <c r="D110" i="3" s="1"/>
  <c r="E118" i="3" l="1"/>
  <c r="E117" i="3"/>
  <c r="E109" i="3"/>
  <c r="E114" i="3"/>
  <c r="E113" i="3"/>
  <c r="E120" i="3"/>
  <c r="E115" i="3"/>
  <c r="E116" i="3"/>
  <c r="E119" i="3"/>
  <c r="E111" i="3"/>
  <c r="E112" i="3"/>
  <c r="V121" i="6"/>
  <c r="V67" i="6"/>
  <c r="V209" i="7" s="1"/>
  <c r="V94" i="6"/>
  <c r="C218" i="3"/>
  <c r="B117" i="3"/>
  <c r="B119" i="3"/>
  <c r="B109" i="3"/>
  <c r="B114" i="3"/>
  <c r="B118" i="3"/>
  <c r="B115" i="3"/>
  <c r="B113" i="3"/>
  <c r="B120" i="3"/>
  <c r="B116" i="3"/>
  <c r="B111" i="3"/>
  <c r="B112" i="3"/>
  <c r="B188" i="3"/>
  <c r="D114" i="3"/>
  <c r="D115" i="3"/>
  <c r="D119" i="3"/>
  <c r="D118" i="3"/>
  <c r="D120" i="3"/>
  <c r="D116" i="3"/>
  <c r="D117" i="3"/>
  <c r="D109" i="3"/>
  <c r="D113" i="3"/>
  <c r="D111" i="3"/>
  <c r="D112" i="3"/>
  <c r="V128" i="6"/>
  <c r="V74" i="6"/>
  <c r="V216" i="7" s="1"/>
  <c r="V101" i="6"/>
  <c r="B110" i="6"/>
  <c r="B66" i="3"/>
  <c r="B56" i="6"/>
  <c r="B198" i="7" s="1"/>
  <c r="B83" i="6"/>
  <c r="B119" i="6"/>
  <c r="B65" i="6"/>
  <c r="B207" i="7" s="1"/>
  <c r="B92" i="6"/>
  <c r="C113" i="3"/>
  <c r="C117" i="3"/>
  <c r="C114" i="3"/>
  <c r="C109" i="3"/>
  <c r="C119" i="3"/>
  <c r="C115" i="3"/>
  <c r="C120" i="3"/>
  <c r="C118" i="3"/>
  <c r="C116" i="3"/>
  <c r="C111" i="3"/>
  <c r="C112" i="3"/>
  <c r="V120" i="5"/>
  <c r="V66" i="5"/>
  <c r="V121" i="7" s="1"/>
  <c r="F117" i="3"/>
  <c r="F116" i="3"/>
  <c r="F109" i="3"/>
  <c r="F113" i="3"/>
  <c r="F115" i="3"/>
  <c r="F119" i="3"/>
  <c r="F114" i="3"/>
  <c r="F120" i="3"/>
  <c r="F118" i="3"/>
  <c r="F111" i="3"/>
  <c r="F112" i="3"/>
  <c r="E110" i="3"/>
  <c r="U122" i="5"/>
  <c r="U68" i="5"/>
  <c r="U123" i="7" s="1"/>
  <c r="U95" i="5"/>
  <c r="U116" i="6" l="1"/>
  <c r="U62" i="6"/>
  <c r="U204" i="7" s="1"/>
  <c r="U89" i="6"/>
  <c r="U64" i="5"/>
  <c r="U119" i="7" s="1"/>
  <c r="U118" i="5"/>
  <c r="U91" i="5"/>
  <c r="C112" i="6"/>
  <c r="C58" i="6"/>
  <c r="C200" i="7" s="1"/>
  <c r="C85" i="6"/>
  <c r="V114" i="6"/>
  <c r="V60" i="6"/>
  <c r="V202" i="7" s="1"/>
  <c r="U129" i="6"/>
  <c r="U75" i="6"/>
  <c r="U217" i="7" s="1"/>
  <c r="U102" i="6"/>
  <c r="U112" i="6"/>
  <c r="U58" i="6"/>
  <c r="U200" i="7" s="1"/>
  <c r="U85" i="6"/>
  <c r="B218" i="3"/>
  <c r="C118" i="5"/>
  <c r="C64" i="5"/>
  <c r="C119" i="7" s="1"/>
  <c r="C91" i="5"/>
  <c r="C55" i="7" l="1"/>
  <c r="B79" i="5" l="1"/>
  <c r="B134" i="7" s="1"/>
  <c r="B133" i="5"/>
  <c r="B106" i="5"/>
  <c r="B43" i="5"/>
  <c r="B127" i="6"/>
  <c r="B73" i="6"/>
  <c r="B215" i="7" s="1"/>
  <c r="B100" i="6"/>
  <c r="B34" i="6"/>
  <c r="U67" i="5"/>
  <c r="U122" i="7" s="1"/>
  <c r="U121" i="5"/>
  <c r="U94" i="5"/>
  <c r="B112" i="6"/>
  <c r="B58" i="6"/>
  <c r="B200" i="7" s="1"/>
  <c r="B85" i="6"/>
  <c r="B118" i="5"/>
  <c r="B64" i="5"/>
  <c r="B119" i="7" s="1"/>
  <c r="B91" i="5"/>
  <c r="B72" i="5"/>
  <c r="B127" i="7" s="1"/>
  <c r="B126" i="5"/>
  <c r="B99" i="5"/>
  <c r="B33" i="5"/>
  <c r="B71" i="6" l="1"/>
  <c r="B213" i="7" s="1"/>
  <c r="B125" i="6"/>
  <c r="B79" i="3"/>
  <c r="B98" i="6"/>
  <c r="B77" i="5"/>
  <c r="B132" i="7" s="1"/>
  <c r="B131" i="5"/>
  <c r="B49" i="3"/>
  <c r="B104" i="5"/>
  <c r="U128" i="5"/>
  <c r="U74" i="5"/>
  <c r="U129" i="7" s="1"/>
  <c r="U101" i="5"/>
  <c r="B124" i="5"/>
  <c r="B70" i="5"/>
  <c r="B125" i="7" s="1"/>
  <c r="B38" i="3"/>
  <c r="B97" i="5"/>
  <c r="U115" i="6"/>
  <c r="U61" i="6"/>
  <c r="U203" i="7" s="1"/>
  <c r="U88" i="6"/>
  <c r="B201" i="3" l="1"/>
  <c r="B65" i="5"/>
  <c r="B120" i="7" s="1"/>
  <c r="B119" i="5"/>
  <c r="B92" i="5"/>
  <c r="B21" i="5"/>
  <c r="B113" i="6"/>
  <c r="B59" i="6"/>
  <c r="B201" i="7" s="1"/>
  <c r="B86" i="6"/>
  <c r="B20" i="6"/>
  <c r="B190" i="3"/>
  <c r="U122" i="6"/>
  <c r="U68" i="6"/>
  <c r="U210" i="7" s="1"/>
  <c r="U95" i="6"/>
  <c r="V188" i="4"/>
  <c r="V47" i="4"/>
  <c r="B139" i="5"/>
  <c r="B85" i="5"/>
  <c r="B140" i="7" s="1"/>
  <c r="B112" i="5"/>
  <c r="B120" i="6"/>
  <c r="B66" i="6"/>
  <c r="B208" i="7" s="1"/>
  <c r="B93" i="6"/>
  <c r="B27" i="6"/>
  <c r="B231" i="3"/>
  <c r="V10" i="4"/>
  <c r="V184" i="4" l="1"/>
  <c r="V46" i="4"/>
  <c r="V265" i="4"/>
  <c r="B63" i="5"/>
  <c r="B118" i="7" s="1"/>
  <c r="B117" i="5"/>
  <c r="B37" i="3"/>
  <c r="B90" i="5"/>
  <c r="B18" i="5"/>
  <c r="V201" i="4"/>
  <c r="B18" i="6"/>
  <c r="B111" i="6"/>
  <c r="B67" i="3"/>
  <c r="B57" i="6"/>
  <c r="B199" i="7" s="1"/>
  <c r="B84" i="6"/>
  <c r="B118" i="6"/>
  <c r="B68" i="3"/>
  <c r="B64" i="6"/>
  <c r="B206" i="7" s="1"/>
  <c r="B91" i="6"/>
  <c r="W75" i="5"/>
  <c r="W130" i="7" s="1"/>
  <c r="W129" i="5"/>
  <c r="V24" i="4"/>
  <c r="V176" i="4" l="1"/>
  <c r="V215" i="4"/>
  <c r="V20" i="4"/>
  <c r="B61" i="5"/>
  <c r="B88" i="5"/>
  <c r="V264" i="4"/>
  <c r="V272" i="4"/>
  <c r="V273" i="4"/>
  <c r="V271" i="4"/>
  <c r="V266" i="4"/>
  <c r="V270" i="4"/>
  <c r="V268" i="4"/>
  <c r="V267" i="4"/>
  <c r="V269" i="4"/>
  <c r="B220" i="3"/>
  <c r="B55" i="6"/>
  <c r="B82" i="6"/>
  <c r="B219" i="3"/>
  <c r="B65" i="3"/>
  <c r="B189" i="3"/>
  <c r="B35" i="3"/>
  <c r="W123" i="6"/>
  <c r="W150" i="6"/>
  <c r="W69" i="6"/>
  <c r="V175" i="4" l="1"/>
  <c r="B187" i="3"/>
  <c r="B34" i="3"/>
  <c r="B127" i="3" s="1"/>
  <c r="B64" i="3"/>
  <c r="B217" i="3"/>
  <c r="B133" i="6"/>
  <c r="B79" i="6"/>
  <c r="B221" i="7" s="1"/>
  <c r="B106" i="6"/>
  <c r="V211" i="4"/>
  <c r="V157" i="4"/>
  <c r="V19" i="4"/>
  <c r="V238" i="4" s="1"/>
  <c r="V19" i="3"/>
  <c r="D55" i="7"/>
  <c r="B157" i="3" l="1"/>
  <c r="V33" i="4"/>
  <c r="V171" i="4"/>
  <c r="B168" i="3"/>
  <c r="B163" i="3"/>
  <c r="B161" i="3"/>
  <c r="B166" i="3"/>
  <c r="B165" i="3"/>
  <c r="B156" i="3"/>
  <c r="B167" i="3"/>
  <c r="B216" i="3"/>
  <c r="B158" i="3"/>
  <c r="B160" i="3"/>
  <c r="B159" i="3"/>
  <c r="V18" i="3"/>
  <c r="B137" i="3"/>
  <c r="B138" i="3"/>
  <c r="B135" i="3"/>
  <c r="B126" i="3"/>
  <c r="B132" i="3"/>
  <c r="B133" i="3"/>
  <c r="B131" i="3"/>
  <c r="B134" i="3"/>
  <c r="B136" i="3"/>
  <c r="B186" i="3"/>
  <c r="B128" i="3"/>
  <c r="B130" i="3"/>
  <c r="B129" i="3"/>
  <c r="V237" i="4"/>
  <c r="V156" i="4"/>
  <c r="V245" i="4"/>
  <c r="V246" i="4"/>
  <c r="V244" i="4"/>
  <c r="V243" i="4"/>
  <c r="V239" i="4"/>
  <c r="V241" i="4"/>
  <c r="V240" i="4"/>
  <c r="V242" i="4"/>
  <c r="V135" i="5"/>
  <c r="V81" i="5"/>
  <c r="V136" i="7" s="1"/>
  <c r="V108" i="5"/>
  <c r="W185" i="4" l="1"/>
  <c r="W189" i="4"/>
  <c r="W187" i="4"/>
  <c r="V17" i="3"/>
  <c r="V110" i="3"/>
  <c r="V121" i="5"/>
  <c r="V67" i="5"/>
  <c r="V122" i="7" s="1"/>
  <c r="V94" i="5"/>
  <c r="B52" i="5"/>
  <c r="B84" i="5"/>
  <c r="B111" i="5"/>
  <c r="B40" i="6"/>
  <c r="B78" i="6"/>
  <c r="B105" i="6"/>
  <c r="V129" i="6"/>
  <c r="V75" i="6"/>
  <c r="V217" i="7" s="1"/>
  <c r="V102" i="6"/>
  <c r="W178" i="4"/>
  <c r="W180" i="4"/>
  <c r="V170" i="4"/>
  <c r="V31" i="4"/>
  <c r="B83" i="5" l="1"/>
  <c r="B50" i="3"/>
  <c r="B110" i="5"/>
  <c r="B42" i="5"/>
  <c r="V260" i="4"/>
  <c r="V30" i="4"/>
  <c r="V249" i="4"/>
  <c r="V168" i="4"/>
  <c r="V250" i="4"/>
  <c r="V263" i="4"/>
  <c r="V261" i="4"/>
  <c r="V255" i="4"/>
  <c r="V259" i="4"/>
  <c r="V254" i="4"/>
  <c r="V262" i="4"/>
  <c r="V258" i="4"/>
  <c r="V253" i="4"/>
  <c r="V257" i="4"/>
  <c r="V256" i="4"/>
  <c r="V252" i="4"/>
  <c r="V74" i="5"/>
  <c r="V129" i="7" s="1"/>
  <c r="V128" i="5"/>
  <c r="V101" i="5"/>
  <c r="V117" i="3"/>
  <c r="V119" i="3"/>
  <c r="V115" i="3"/>
  <c r="V120" i="3"/>
  <c r="V118" i="3"/>
  <c r="V109" i="3"/>
  <c r="V114" i="3"/>
  <c r="V116" i="3"/>
  <c r="V113" i="3"/>
  <c r="V112" i="3"/>
  <c r="V111" i="3"/>
  <c r="V115" i="6"/>
  <c r="V61" i="6"/>
  <c r="V203" i="7" s="1"/>
  <c r="V88" i="6"/>
  <c r="V251" i="4"/>
  <c r="B80" i="3"/>
  <c r="B77" i="6"/>
  <c r="B104" i="6"/>
  <c r="B33" i="6"/>
  <c r="W186" i="4"/>
  <c r="W25" i="4"/>
  <c r="W14" i="4"/>
  <c r="W23" i="4"/>
  <c r="W21" i="4"/>
  <c r="W214" i="4" l="1"/>
  <c r="W205" i="4"/>
  <c r="W216" i="4"/>
  <c r="B76" i="5"/>
  <c r="B103" i="5"/>
  <c r="B17" i="5"/>
  <c r="B232" i="3"/>
  <c r="B78" i="3"/>
  <c r="W212" i="4"/>
  <c r="B17" i="6"/>
  <c r="B151" i="6" s="1"/>
  <c r="B70" i="6"/>
  <c r="B97" i="6"/>
  <c r="V122" i="6"/>
  <c r="V68" i="6"/>
  <c r="V210" i="7" s="1"/>
  <c r="V95" i="6"/>
  <c r="B202" i="3"/>
  <c r="B48" i="3"/>
  <c r="W22" i="4"/>
  <c r="W18" i="4"/>
  <c r="V11" i="4"/>
  <c r="V12" i="4"/>
  <c r="V9" i="4"/>
  <c r="V96" i="5" l="1"/>
  <c r="V203" i="4"/>
  <c r="B144" i="5"/>
  <c r="B141" i="5"/>
  <c r="B60" i="5"/>
  <c r="B154" i="5"/>
  <c r="B156" i="5"/>
  <c r="B161" i="5"/>
  <c r="B162" i="5"/>
  <c r="B163" i="5"/>
  <c r="B147" i="5"/>
  <c r="B148" i="5"/>
  <c r="B155" i="5"/>
  <c r="B152" i="5"/>
  <c r="B159" i="5"/>
  <c r="B143" i="5"/>
  <c r="B153" i="5"/>
  <c r="B160" i="5"/>
  <c r="B145" i="5"/>
  <c r="B151" i="5"/>
  <c r="B158" i="5"/>
  <c r="B146" i="5"/>
  <c r="B166" i="5"/>
  <c r="B142" i="5"/>
  <c r="B165" i="5"/>
  <c r="B164" i="5"/>
  <c r="V202" i="4"/>
  <c r="W213" i="4"/>
  <c r="V87" i="6"/>
  <c r="V200" i="4"/>
  <c r="V93" i="5"/>
  <c r="W96" i="6"/>
  <c r="W209" i="4"/>
  <c r="W102" i="5"/>
  <c r="B157" i="5"/>
  <c r="B200" i="3"/>
  <c r="B47" i="3"/>
  <c r="B140" i="3" s="1"/>
  <c r="B135" i="6"/>
  <c r="B148" i="6"/>
  <c r="B156" i="6"/>
  <c r="B155" i="6"/>
  <c r="B141" i="6"/>
  <c r="B142" i="6"/>
  <c r="B149" i="6"/>
  <c r="B54" i="6"/>
  <c r="B153" i="6"/>
  <c r="B137" i="6"/>
  <c r="B146" i="6"/>
  <c r="B154" i="6"/>
  <c r="B139" i="6"/>
  <c r="B152" i="6"/>
  <c r="B140" i="6"/>
  <c r="B147" i="6"/>
  <c r="B145" i="6"/>
  <c r="B138" i="6"/>
  <c r="B136" i="6"/>
  <c r="B160" i="6"/>
  <c r="B159" i="6"/>
  <c r="B158" i="6"/>
  <c r="B77" i="3"/>
  <c r="B230" i="3"/>
  <c r="W16" i="4"/>
  <c r="V4" i="5"/>
  <c r="V47" i="6" s="1"/>
  <c r="V7" i="4"/>
  <c r="B169" i="3" l="1"/>
  <c r="B175" i="3"/>
  <c r="B173" i="3"/>
  <c r="B176" i="3"/>
  <c r="B177" i="3"/>
  <c r="B174" i="3"/>
  <c r="B180" i="3"/>
  <c r="B179" i="3"/>
  <c r="B178" i="3"/>
  <c r="B229" i="3"/>
  <c r="B171" i="3"/>
  <c r="B172" i="3"/>
  <c r="B144" i="3"/>
  <c r="B149" i="3"/>
  <c r="B143" i="3"/>
  <c r="B199" i="3"/>
  <c r="B150" i="3"/>
  <c r="B148" i="3"/>
  <c r="B139" i="3"/>
  <c r="B145" i="3"/>
  <c r="B147" i="3"/>
  <c r="B146" i="3"/>
  <c r="B141" i="3"/>
  <c r="B142" i="3"/>
  <c r="V198" i="4"/>
  <c r="W207" i="4"/>
  <c r="V123" i="5"/>
  <c r="V69" i="5"/>
  <c r="V124" i="7" s="1"/>
  <c r="B170" i="3"/>
  <c r="V8" i="4"/>
  <c r="V6" i="4" s="1"/>
  <c r="V143" i="4" l="1"/>
  <c r="V197" i="4"/>
  <c r="V7" i="3"/>
  <c r="V4" i="4"/>
  <c r="V199" i="4"/>
  <c r="V117" i="6"/>
  <c r="V144" i="6"/>
  <c r="V63" i="6"/>
  <c r="V90" i="6"/>
  <c r="W136" i="5"/>
  <c r="W82" i="5"/>
  <c r="W137" i="7" s="1"/>
  <c r="W109" i="5"/>
  <c r="V231" i="4" l="1"/>
  <c r="V141" i="4"/>
  <c r="V195" i="4"/>
  <c r="V222" i="4"/>
  <c r="V223" i="4"/>
  <c r="V232" i="4"/>
  <c r="V236" i="4"/>
  <c r="V234" i="4"/>
  <c r="V235" i="4"/>
  <c r="V233" i="4"/>
  <c r="V228" i="4"/>
  <c r="V229" i="4"/>
  <c r="V227" i="4"/>
  <c r="V230" i="4"/>
  <c r="V225" i="4"/>
  <c r="V5" i="3"/>
  <c r="V226" i="4"/>
  <c r="V224" i="4"/>
  <c r="W157" i="6"/>
  <c r="W130" i="6"/>
  <c r="W76" i="6"/>
  <c r="W103" i="6"/>
  <c r="E55" i="7"/>
  <c r="V119" i="6" l="1"/>
  <c r="V65" i="6"/>
  <c r="V207" i="7" s="1"/>
  <c r="V92" i="6"/>
  <c r="V110" i="6"/>
  <c r="V66" i="3"/>
  <c r="V56" i="6"/>
  <c r="V198" i="7" s="1"/>
  <c r="V83" i="6"/>
  <c r="V125" i="5"/>
  <c r="V71" i="5"/>
  <c r="V126" i="7" s="1"/>
  <c r="V98" i="5"/>
  <c r="V4" i="3"/>
  <c r="V97" i="3" s="1"/>
  <c r="V78" i="5"/>
  <c r="V133" i="7" s="1"/>
  <c r="V132" i="5"/>
  <c r="V105" i="5"/>
  <c r="V126" i="6"/>
  <c r="V72" i="6"/>
  <c r="V214" i="7" s="1"/>
  <c r="V99" i="6"/>
  <c r="V62" i="5"/>
  <c r="V117" i="7" s="1"/>
  <c r="V116" i="5"/>
  <c r="V36" i="3"/>
  <c r="V89" i="5"/>
  <c r="V102" i="3" l="1"/>
  <c r="V105" i="3"/>
  <c r="V106" i="3"/>
  <c r="V108" i="3"/>
  <c r="V104" i="3"/>
  <c r="V107" i="3"/>
  <c r="V96" i="3"/>
  <c r="V103" i="3"/>
  <c r="V101" i="3"/>
  <c r="V98" i="3"/>
  <c r="V100" i="3"/>
  <c r="V99" i="3"/>
  <c r="V188" i="3"/>
  <c r="V218" i="3"/>
  <c r="V122" i="5" l="1"/>
  <c r="V68" i="5"/>
  <c r="V123" i="7" s="1"/>
  <c r="V95" i="5"/>
  <c r="V116" i="6" l="1"/>
  <c r="V62" i="6"/>
  <c r="V204" i="7" s="1"/>
  <c r="V89" i="6"/>
  <c r="V112" i="6" l="1"/>
  <c r="V58" i="6"/>
  <c r="V200" i="7" s="1"/>
  <c r="V85" i="6"/>
  <c r="W173" i="4"/>
  <c r="V118" i="5"/>
  <c r="V64" i="5"/>
  <c r="V119" i="7" s="1"/>
  <c r="V91" i="5"/>
  <c r="W172" i="4"/>
  <c r="W174" i="4"/>
  <c r="F55" i="7" l="1"/>
  <c r="W181" i="4" l="1"/>
  <c r="W179" i="4" l="1"/>
  <c r="W40" i="4"/>
  <c r="W17" i="4"/>
  <c r="W208" i="4" l="1"/>
  <c r="W177" i="4"/>
  <c r="W10" i="4"/>
  <c r="W15" i="4"/>
  <c r="W206" i="4" l="1"/>
  <c r="W13" i="4"/>
  <c r="W201" i="4"/>
  <c r="W73" i="5"/>
  <c r="W128" i="7" s="1"/>
  <c r="W127" i="5"/>
  <c r="W100" i="5"/>
  <c r="W80" i="5"/>
  <c r="W135" i="7" s="1"/>
  <c r="W134" i="5"/>
  <c r="W107" i="5"/>
  <c r="W120" i="5" l="1"/>
  <c r="W66" i="5"/>
  <c r="W121" i="7" s="1"/>
  <c r="W204" i="4"/>
  <c r="W150" i="4"/>
  <c r="W8" i="3"/>
  <c r="W121" i="6"/>
  <c r="W67" i="6"/>
  <c r="W209" i="7" s="1"/>
  <c r="W94" i="6"/>
  <c r="W128" i="6"/>
  <c r="W74" i="6"/>
  <c r="W216" i="7" s="1"/>
  <c r="W101" i="6"/>
  <c r="W114" i="6" l="1"/>
  <c r="W60" i="6"/>
  <c r="W202" i="7" s="1"/>
  <c r="W188" i="4"/>
  <c r="W47" i="4"/>
  <c r="W184" i="4" l="1"/>
  <c r="W46" i="4"/>
  <c r="W265" i="4" s="1"/>
  <c r="W24" i="4"/>
  <c r="W215" i="4" l="1"/>
  <c r="W20" i="4"/>
  <c r="W264" i="4"/>
  <c r="W272" i="4"/>
  <c r="W273" i="4"/>
  <c r="W271" i="4"/>
  <c r="W266" i="4"/>
  <c r="W268" i="4"/>
  <c r="W270" i="4"/>
  <c r="W267" i="4"/>
  <c r="W269" i="4"/>
  <c r="W176" i="4"/>
  <c r="W19" i="4" l="1"/>
  <c r="W211" i="4"/>
  <c r="W157" i="4"/>
  <c r="W19" i="3"/>
  <c r="C107" i="4"/>
  <c r="C100" i="4" s="1"/>
  <c r="C84" i="4" s="1"/>
  <c r="D54" i="7"/>
  <c r="D134" i="4"/>
  <c r="W175" i="4"/>
  <c r="D107" i="4"/>
  <c r="D100" i="4" s="1"/>
  <c r="D84" i="4" s="1"/>
  <c r="X129" i="5"/>
  <c r="X75" i="5"/>
  <c r="X130" i="7" s="1"/>
  <c r="G55" i="7"/>
  <c r="W33" i="4" l="1"/>
  <c r="W171" i="4"/>
  <c r="C80" i="4"/>
  <c r="C27" i="7"/>
  <c r="C191" i="4"/>
  <c r="C218" i="4"/>
  <c r="W18" i="3"/>
  <c r="C54" i="7"/>
  <c r="C134" i="4"/>
  <c r="B134" i="4"/>
  <c r="B54" i="7"/>
  <c r="B107" i="4"/>
  <c r="B100" i="4" s="1"/>
  <c r="B84" i="4" s="1"/>
  <c r="X69" i="6"/>
  <c r="X123" i="6"/>
  <c r="X150" i="6"/>
  <c r="D53" i="7"/>
  <c r="D127" i="4"/>
  <c r="D80" i="4"/>
  <c r="D27" i="7"/>
  <c r="D191" i="4"/>
  <c r="D218" i="4"/>
  <c r="W238" i="4"/>
  <c r="W237" i="4"/>
  <c r="W156" i="4"/>
  <c r="W245" i="4"/>
  <c r="W246" i="4"/>
  <c r="W244" i="4"/>
  <c r="W239" i="4"/>
  <c r="W241" i="4"/>
  <c r="W243" i="4"/>
  <c r="W240" i="4"/>
  <c r="W242" i="4"/>
  <c r="C26" i="7" l="1"/>
  <c r="C73" i="4"/>
  <c r="C190" i="4"/>
  <c r="C217" i="4"/>
  <c r="B27" i="7"/>
  <c r="B80" i="4"/>
  <c r="B191" i="4"/>
  <c r="B218" i="4"/>
  <c r="B132" i="6"/>
  <c r="B138" i="5"/>
  <c r="D26" i="7"/>
  <c r="D73" i="4"/>
  <c r="D190" i="4"/>
  <c r="D217" i="4"/>
  <c r="D46" i="7"/>
  <c r="D111" i="4"/>
  <c r="D30" i="7" s="1"/>
  <c r="B53" i="7"/>
  <c r="B127" i="4"/>
  <c r="C53" i="7"/>
  <c r="C127" i="4"/>
  <c r="W170" i="4"/>
  <c r="W31" i="4"/>
  <c r="W251" i="4" s="1"/>
  <c r="W17" i="3"/>
  <c r="W110" i="3" s="1"/>
  <c r="W81" i="5"/>
  <c r="W136" i="7" s="1"/>
  <c r="W135" i="5"/>
  <c r="W108" i="5"/>
  <c r="W30" i="4" l="1"/>
  <c r="W249" i="4"/>
  <c r="W168" i="4"/>
  <c r="W250" i="4"/>
  <c r="W263" i="4"/>
  <c r="W259" i="4"/>
  <c r="W261" i="4"/>
  <c r="W254" i="4"/>
  <c r="W255" i="4"/>
  <c r="W253" i="4"/>
  <c r="W262" i="4"/>
  <c r="W260" i="4"/>
  <c r="W258" i="4"/>
  <c r="W257" i="4"/>
  <c r="W256" i="4"/>
  <c r="W252" i="4"/>
  <c r="C46" i="7"/>
  <c r="C111" i="4"/>
  <c r="C30" i="7" s="1"/>
  <c r="W109" i="3"/>
  <c r="W113" i="3"/>
  <c r="W118" i="3"/>
  <c r="W116" i="3"/>
  <c r="W114" i="3"/>
  <c r="W119" i="3"/>
  <c r="W117" i="3"/>
  <c r="W115" i="3"/>
  <c r="W120" i="3"/>
  <c r="W112" i="3"/>
  <c r="W111" i="3"/>
  <c r="W129" i="6"/>
  <c r="W75" i="6"/>
  <c r="W217" i="7" s="1"/>
  <c r="W102" i="6"/>
  <c r="D19" i="7"/>
  <c r="D57" i="4"/>
  <c r="D183" i="4"/>
  <c r="D210" i="4"/>
  <c r="C19" i="7"/>
  <c r="C57" i="4"/>
  <c r="C183" i="4"/>
  <c r="C210" i="4"/>
  <c r="B46" i="7"/>
  <c r="B111" i="4"/>
  <c r="B30" i="7" s="1"/>
  <c r="B26" i="7"/>
  <c r="B73" i="4"/>
  <c r="B190" i="4"/>
  <c r="B217" i="4"/>
  <c r="B137" i="5"/>
  <c r="B131" i="6"/>
  <c r="X180" i="4" l="1"/>
  <c r="B19" i="7"/>
  <c r="B57" i="4"/>
  <c r="B183" i="4"/>
  <c r="B210" i="4"/>
  <c r="D3" i="7"/>
  <c r="D167" i="4"/>
  <c r="W67" i="5"/>
  <c r="W122" i="7" s="1"/>
  <c r="W121" i="5"/>
  <c r="W94" i="5"/>
  <c r="E107" i="4"/>
  <c r="E100" i="4" s="1"/>
  <c r="E84" i="4" s="1"/>
  <c r="E54" i="7"/>
  <c r="E134" i="4"/>
  <c r="C3" i="7"/>
  <c r="C167" i="4"/>
  <c r="W9" i="4"/>
  <c r="W11" i="4"/>
  <c r="W12" i="4"/>
  <c r="B3" i="7" l="1"/>
  <c r="B167" i="4"/>
  <c r="W96" i="5"/>
  <c r="W203" i="4"/>
  <c r="W128" i="5"/>
  <c r="W74" i="5"/>
  <c r="W129" i="7" s="1"/>
  <c r="W101" i="5"/>
  <c r="W202" i="4"/>
  <c r="W87" i="6"/>
  <c r="W200" i="4"/>
  <c r="W93" i="5"/>
  <c r="E53" i="7"/>
  <c r="E127" i="4"/>
  <c r="W115" i="6"/>
  <c r="W61" i="6"/>
  <c r="W203" i="7" s="1"/>
  <c r="W88" i="6"/>
  <c r="E27" i="7"/>
  <c r="E80" i="4"/>
  <c r="E191" i="4"/>
  <c r="E218" i="4"/>
  <c r="W7" i="4"/>
  <c r="W4" i="5" l="1"/>
  <c r="W47" i="6" s="1"/>
  <c r="W123" i="5"/>
  <c r="W69" i="5"/>
  <c r="W124" i="7" s="1"/>
  <c r="W198" i="4"/>
  <c r="W122" i="6"/>
  <c r="W68" i="6"/>
  <c r="W210" i="7" s="1"/>
  <c r="W95" i="6"/>
  <c r="E26" i="7"/>
  <c r="E73" i="4"/>
  <c r="E190" i="4"/>
  <c r="E217" i="4"/>
  <c r="E46" i="7"/>
  <c r="E111" i="4"/>
  <c r="E30" i="7" s="1"/>
  <c r="F54" i="7"/>
  <c r="F134" i="4"/>
  <c r="F107" i="4"/>
  <c r="F100" i="4" s="1"/>
  <c r="F84" i="4" s="1"/>
  <c r="B139" i="7"/>
  <c r="B220" i="7"/>
  <c r="W8" i="4"/>
  <c r="W117" i="6" l="1"/>
  <c r="W144" i="6"/>
  <c r="W63" i="6"/>
  <c r="W90" i="6"/>
  <c r="W199" i="4"/>
  <c r="F80" i="4"/>
  <c r="F27" i="7"/>
  <c r="F191" i="4"/>
  <c r="F218" i="4"/>
  <c r="E19" i="7"/>
  <c r="E57" i="4"/>
  <c r="E183" i="4"/>
  <c r="E210" i="4"/>
  <c r="W6" i="4"/>
  <c r="F53" i="7"/>
  <c r="F127" i="4"/>
  <c r="B138" i="7"/>
  <c r="B219" i="7"/>
  <c r="E3" i="7" l="1"/>
  <c r="E167" i="4"/>
  <c r="F46" i="7"/>
  <c r="F111" i="4"/>
  <c r="F30" i="7" s="1"/>
  <c r="W197" i="4"/>
  <c r="W7" i="3"/>
  <c r="W143" i="4"/>
  <c r="W4" i="4"/>
  <c r="F26" i="7"/>
  <c r="F73" i="4"/>
  <c r="F190" i="4"/>
  <c r="F217" i="4"/>
  <c r="W119" i="6" l="1"/>
  <c r="W65" i="6"/>
  <c r="W207" i="7" s="1"/>
  <c r="W92" i="6"/>
  <c r="G107" i="4"/>
  <c r="G100" i="4" s="1"/>
  <c r="G84" i="4" s="1"/>
  <c r="W5" i="3"/>
  <c r="W126" i="6"/>
  <c r="W72" i="6"/>
  <c r="W214" i="7" s="1"/>
  <c r="W99" i="6"/>
  <c r="F19" i="7"/>
  <c r="F57" i="4"/>
  <c r="F183" i="4"/>
  <c r="F210" i="4"/>
  <c r="G54" i="7"/>
  <c r="G134" i="4"/>
  <c r="W125" i="5"/>
  <c r="W71" i="5"/>
  <c r="W126" i="7" s="1"/>
  <c r="W98" i="5"/>
  <c r="W224" i="4"/>
  <c r="W222" i="4"/>
  <c r="W195" i="4"/>
  <c r="W141" i="4"/>
  <c r="W223" i="4"/>
  <c r="W232" i="4"/>
  <c r="W236" i="4"/>
  <c r="W234" i="4"/>
  <c r="W235" i="4"/>
  <c r="W228" i="4"/>
  <c r="W233" i="4"/>
  <c r="W231" i="4"/>
  <c r="W230" i="4"/>
  <c r="W229" i="4"/>
  <c r="W227" i="4"/>
  <c r="W225" i="4"/>
  <c r="W226" i="4"/>
  <c r="W36" i="3"/>
  <c r="W116" i="5"/>
  <c r="W62" i="5"/>
  <c r="W117" i="7" s="1"/>
  <c r="W89" i="5"/>
  <c r="W132" i="5"/>
  <c r="W78" i="5"/>
  <c r="W133" i="7" s="1"/>
  <c r="W105" i="5"/>
  <c r="G53" i="7" l="1"/>
  <c r="G127" i="4"/>
  <c r="W188" i="3"/>
  <c r="W4" i="3"/>
  <c r="W97" i="3" s="1"/>
  <c r="W110" i="6"/>
  <c r="W66" i="3"/>
  <c r="W56" i="6"/>
  <c r="W198" i="7" s="1"/>
  <c r="W83" i="6"/>
  <c r="G27" i="7"/>
  <c r="G80" i="4"/>
  <c r="G191" i="4"/>
  <c r="G218" i="4"/>
  <c r="F3" i="7"/>
  <c r="F167" i="4"/>
  <c r="H55" i="7"/>
  <c r="W218" i="3" l="1"/>
  <c r="W122" i="5"/>
  <c r="W68" i="5"/>
  <c r="W123" i="7" s="1"/>
  <c r="W95" i="5"/>
  <c r="G46" i="7"/>
  <c r="G111" i="4"/>
  <c r="G30" i="7" s="1"/>
  <c r="G26" i="7"/>
  <c r="G73" i="4"/>
  <c r="G190" i="4"/>
  <c r="G217" i="4"/>
  <c r="W107" i="3"/>
  <c r="W102" i="3"/>
  <c r="W103" i="3"/>
  <c r="W105" i="3"/>
  <c r="W104" i="3"/>
  <c r="W108" i="3"/>
  <c r="W101" i="3"/>
  <c r="W106" i="3"/>
  <c r="W96" i="3"/>
  <c r="W98" i="3"/>
  <c r="W100" i="3"/>
  <c r="W99" i="3"/>
  <c r="H107" i="4" l="1"/>
  <c r="H100" i="4" s="1"/>
  <c r="H84" i="4" s="1"/>
  <c r="H134" i="4"/>
  <c r="H54" i="7"/>
  <c r="W112" i="6"/>
  <c r="W58" i="6"/>
  <c r="W200" i="7" s="1"/>
  <c r="W85" i="6"/>
  <c r="G19" i="7"/>
  <c r="G57" i="4"/>
  <c r="G183" i="4"/>
  <c r="G210" i="4"/>
  <c r="W116" i="6"/>
  <c r="W62" i="6"/>
  <c r="W204" i="7" s="1"/>
  <c r="W89" i="6"/>
  <c r="W64" i="5"/>
  <c r="W119" i="7" s="1"/>
  <c r="W118" i="5"/>
  <c r="W91" i="5"/>
  <c r="G3" i="7" l="1"/>
  <c r="G167" i="4"/>
  <c r="H27" i="7"/>
  <c r="H80" i="4"/>
  <c r="H191" i="4"/>
  <c r="H218" i="4"/>
  <c r="H53" i="7"/>
  <c r="H127" i="4"/>
  <c r="H26" i="7" l="1"/>
  <c r="H73" i="4"/>
  <c r="H190" i="4"/>
  <c r="H217" i="4"/>
  <c r="H46" i="7"/>
  <c r="H111" i="4"/>
  <c r="H30" i="7" s="1"/>
  <c r="H19" i="7" l="1"/>
  <c r="H57" i="4"/>
  <c r="H183" i="4"/>
  <c r="H210" i="4"/>
  <c r="I54" i="7"/>
  <c r="I107" i="4"/>
  <c r="I100" i="4" s="1"/>
  <c r="I84" i="4" s="1"/>
  <c r="C62" i="7"/>
  <c r="B62" i="7"/>
  <c r="X178" i="4"/>
  <c r="I27" i="7" l="1"/>
  <c r="I80" i="4"/>
  <c r="I191" i="4"/>
  <c r="I218" i="4"/>
  <c r="H3" i="7"/>
  <c r="H167" i="4"/>
  <c r="X14" i="4"/>
  <c r="C127" i="6" l="1"/>
  <c r="C73" i="6"/>
  <c r="C215" i="7" s="1"/>
  <c r="C100" i="6"/>
  <c r="C34" i="6"/>
  <c r="D62" i="7"/>
  <c r="I26" i="7"/>
  <c r="I73" i="4"/>
  <c r="I190" i="4"/>
  <c r="I217" i="4"/>
  <c r="X205" i="4"/>
  <c r="C126" i="5"/>
  <c r="C72" i="5"/>
  <c r="C127" i="7" s="1"/>
  <c r="C99" i="5"/>
  <c r="C33" i="5"/>
  <c r="C79" i="5"/>
  <c r="C134" i="7" s="1"/>
  <c r="C133" i="5"/>
  <c r="C106" i="5"/>
  <c r="C43" i="5"/>
  <c r="C120" i="6"/>
  <c r="C66" i="6"/>
  <c r="C208" i="7" s="1"/>
  <c r="C93" i="6"/>
  <c r="C27" i="6"/>
  <c r="B69" i="7"/>
  <c r="B60" i="7" s="1"/>
  <c r="X16" i="4"/>
  <c r="X18" i="4"/>
  <c r="C131" i="5" l="1"/>
  <c r="C77" i="5"/>
  <c r="C132" i="7" s="1"/>
  <c r="C49" i="3"/>
  <c r="C104" i="5"/>
  <c r="X207" i="4"/>
  <c r="C118" i="6"/>
  <c r="C68" i="3"/>
  <c r="C64" i="6"/>
  <c r="C206" i="7" s="1"/>
  <c r="C91" i="6"/>
  <c r="C125" i="6"/>
  <c r="C79" i="3"/>
  <c r="C71" i="6"/>
  <c r="C213" i="7" s="1"/>
  <c r="C98" i="6"/>
  <c r="X209" i="4"/>
  <c r="X102" i="5"/>
  <c r="X96" i="6"/>
  <c r="C124" i="5"/>
  <c r="C70" i="5"/>
  <c r="C125" i="7" s="1"/>
  <c r="C38" i="3"/>
  <c r="C97" i="5"/>
  <c r="I183" i="4"/>
  <c r="I19" i="7"/>
  <c r="I57" i="4"/>
  <c r="I210" i="4"/>
  <c r="E62" i="7"/>
  <c r="C69" i="7" l="1"/>
  <c r="C60" i="7" s="1"/>
  <c r="I3" i="7"/>
  <c r="I167" i="4"/>
  <c r="C85" i="5"/>
  <c r="C140" i="7" s="1"/>
  <c r="C139" i="5"/>
  <c r="C112" i="5"/>
  <c r="C119" i="5"/>
  <c r="C65" i="5"/>
  <c r="C120" i="7" s="1"/>
  <c r="C92" i="5"/>
  <c r="C21" i="5"/>
  <c r="C231" i="3"/>
  <c r="J107" i="4"/>
  <c r="J100" i="4" s="1"/>
  <c r="J84" i="4" s="1"/>
  <c r="J54" i="7"/>
  <c r="C113" i="6"/>
  <c r="C59" i="6"/>
  <c r="C201" i="7" s="1"/>
  <c r="C86" i="6"/>
  <c r="C20" i="6"/>
  <c r="C190" i="3"/>
  <c r="F62" i="7"/>
  <c r="C201" i="3"/>
  <c r="C220" i="3"/>
  <c r="C76" i="7"/>
  <c r="G62" i="7"/>
  <c r="B76" i="7"/>
  <c r="I62" i="7" l="1"/>
  <c r="E69" i="7"/>
  <c r="E60" i="7" s="1"/>
  <c r="X189" i="4"/>
  <c r="E76" i="7"/>
  <c r="C117" i="5"/>
  <c r="C63" i="5"/>
  <c r="C118" i="7" s="1"/>
  <c r="C37" i="3"/>
  <c r="C90" i="5"/>
  <c r="C18" i="5"/>
  <c r="X188" i="4"/>
  <c r="D69" i="7"/>
  <c r="D60" i="7" s="1"/>
  <c r="D76" i="7"/>
  <c r="C111" i="6"/>
  <c r="C67" i="3"/>
  <c r="C57" i="6"/>
  <c r="C199" i="7" s="1"/>
  <c r="C84" i="6"/>
  <c r="C18" i="6"/>
  <c r="J80" i="4"/>
  <c r="J27" i="7"/>
  <c r="J191" i="4"/>
  <c r="J218" i="4"/>
  <c r="X185" i="4"/>
  <c r="H62" i="7"/>
  <c r="X47" i="4" l="1"/>
  <c r="X46" i="4" s="1"/>
  <c r="X184" i="4"/>
  <c r="X187" i="4"/>
  <c r="F76" i="7"/>
  <c r="C55" i="6"/>
  <c r="C82" i="6"/>
  <c r="C61" i="5"/>
  <c r="C88" i="5"/>
  <c r="D120" i="6"/>
  <c r="D66" i="6"/>
  <c r="D208" i="7" s="1"/>
  <c r="D93" i="6"/>
  <c r="D27" i="6"/>
  <c r="D126" i="5"/>
  <c r="D72" i="5"/>
  <c r="D127" i="7" s="1"/>
  <c r="D99" i="5"/>
  <c r="D33" i="5"/>
  <c r="J62" i="7"/>
  <c r="X186" i="4"/>
  <c r="D127" i="6"/>
  <c r="D73" i="6"/>
  <c r="D215" i="7" s="1"/>
  <c r="D100" i="6"/>
  <c r="D34" i="6"/>
  <c r="C189" i="3"/>
  <c r="C35" i="3"/>
  <c r="F69" i="7"/>
  <c r="F60" i="7" s="1"/>
  <c r="J26" i="7"/>
  <c r="J73" i="4"/>
  <c r="J190" i="4"/>
  <c r="J217" i="4"/>
  <c r="C219" i="3"/>
  <c r="C65" i="3"/>
  <c r="G69" i="7"/>
  <c r="G60" i="7" s="1"/>
  <c r="D79" i="5"/>
  <c r="D134" i="7" s="1"/>
  <c r="D133" i="5"/>
  <c r="D106" i="5"/>
  <c r="D43" i="5"/>
  <c r="C133" i="6"/>
  <c r="C79" i="6"/>
  <c r="C221" i="7" s="1"/>
  <c r="C106" i="6"/>
  <c r="X25" i="4"/>
  <c r="X24" i="4"/>
  <c r="X21" i="4"/>
  <c r="X268" i="4" l="1"/>
  <c r="X265" i="4"/>
  <c r="D131" i="5"/>
  <c r="D77" i="5"/>
  <c r="D132" i="7" s="1"/>
  <c r="D49" i="3"/>
  <c r="D104" i="5"/>
  <c r="C187" i="3"/>
  <c r="C34" i="3"/>
  <c r="C127" i="3" s="1"/>
  <c r="D124" i="5"/>
  <c r="D70" i="5"/>
  <c r="D125" i="7" s="1"/>
  <c r="D38" i="3"/>
  <c r="D97" i="5"/>
  <c r="K54" i="7"/>
  <c r="X215" i="4"/>
  <c r="C64" i="3"/>
  <c r="C157" i="3" s="1"/>
  <c r="C217" i="3"/>
  <c r="X216" i="4"/>
  <c r="K62" i="7"/>
  <c r="K107" i="4"/>
  <c r="K100" i="4" s="1"/>
  <c r="K84" i="4" s="1"/>
  <c r="H69" i="7"/>
  <c r="H60" i="7" s="1"/>
  <c r="J19" i="7"/>
  <c r="J57" i="4"/>
  <c r="J183" i="4"/>
  <c r="J210" i="4"/>
  <c r="D125" i="6"/>
  <c r="D79" i="3"/>
  <c r="D71" i="6"/>
  <c r="D213" i="7" s="1"/>
  <c r="D98" i="6"/>
  <c r="D118" i="6"/>
  <c r="D68" i="3"/>
  <c r="D64" i="6"/>
  <c r="D206" i="7" s="1"/>
  <c r="D91" i="6"/>
  <c r="X212" i="4"/>
  <c r="X267" i="4"/>
  <c r="X264" i="4"/>
  <c r="X272" i="4"/>
  <c r="X273" i="4"/>
  <c r="X271" i="4"/>
  <c r="X266" i="4"/>
  <c r="X269" i="4"/>
  <c r="X270" i="4"/>
  <c r="X22" i="4"/>
  <c r="X23" i="4"/>
  <c r="G76" i="7"/>
  <c r="X20" i="4" l="1"/>
  <c r="X157" i="4" s="1"/>
  <c r="C84" i="5"/>
  <c r="C139" i="7" s="1"/>
  <c r="C52" i="5"/>
  <c r="C138" i="5"/>
  <c r="C111" i="5"/>
  <c r="C132" i="6"/>
  <c r="C40" i="6"/>
  <c r="C78" i="6"/>
  <c r="C220" i="7" s="1"/>
  <c r="C105" i="6"/>
  <c r="D220" i="3"/>
  <c r="C165" i="3"/>
  <c r="C163" i="3"/>
  <c r="C167" i="3"/>
  <c r="C161" i="3"/>
  <c r="C166" i="3"/>
  <c r="C156" i="3"/>
  <c r="C168" i="3"/>
  <c r="C216" i="3"/>
  <c r="C158" i="3"/>
  <c r="C160" i="3"/>
  <c r="C159" i="3"/>
  <c r="D190" i="3"/>
  <c r="D201" i="3"/>
  <c r="D113" i="6"/>
  <c r="D59" i="6"/>
  <c r="D201" i="7" s="1"/>
  <c r="D86" i="6"/>
  <c r="D20" i="6"/>
  <c r="X213" i="4"/>
  <c r="K80" i="4"/>
  <c r="K27" i="7"/>
  <c r="K191" i="4"/>
  <c r="K218" i="4"/>
  <c r="L62" i="7"/>
  <c r="D119" i="5"/>
  <c r="D65" i="5"/>
  <c r="D120" i="7" s="1"/>
  <c r="D92" i="5"/>
  <c r="D21" i="5"/>
  <c r="X174" i="4"/>
  <c r="J3" i="7"/>
  <c r="J167" i="4"/>
  <c r="H76" i="7"/>
  <c r="X172" i="4"/>
  <c r="D139" i="5"/>
  <c r="D85" i="5"/>
  <c r="D140" i="7" s="1"/>
  <c r="D112" i="5"/>
  <c r="D231" i="3"/>
  <c r="C133" i="3"/>
  <c r="C137" i="3"/>
  <c r="C134" i="3"/>
  <c r="C135" i="3"/>
  <c r="C186" i="3"/>
  <c r="C126" i="3"/>
  <c r="C131" i="3"/>
  <c r="C136" i="3"/>
  <c r="C132" i="3"/>
  <c r="C138" i="3"/>
  <c r="C128" i="3"/>
  <c r="C130" i="3"/>
  <c r="C129" i="3"/>
  <c r="I76" i="7"/>
  <c r="X214" i="4"/>
  <c r="I69" i="7"/>
  <c r="I60" i="7" s="1"/>
  <c r="X19" i="4" l="1"/>
  <c r="X240" i="4" s="1"/>
  <c r="X211" i="4"/>
  <c r="X19" i="3"/>
  <c r="X241" i="4"/>
  <c r="X238" i="4"/>
  <c r="J69" i="7"/>
  <c r="J60" i="7" s="1"/>
  <c r="C131" i="6"/>
  <c r="C80" i="3"/>
  <c r="C77" i="6"/>
  <c r="C219" i="7" s="1"/>
  <c r="C104" i="6"/>
  <c r="C33" i="6"/>
  <c r="X173" i="4"/>
  <c r="J76" i="7"/>
  <c r="D63" i="5"/>
  <c r="D118" i="7" s="1"/>
  <c r="D117" i="5"/>
  <c r="D37" i="3"/>
  <c r="D18" i="5"/>
  <c r="D90" i="5"/>
  <c r="I55" i="7"/>
  <c r="I134" i="4"/>
  <c r="X244" i="4"/>
  <c r="X237" i="4"/>
  <c r="X156" i="4"/>
  <c r="X245" i="4"/>
  <c r="X246" i="4"/>
  <c r="X243" i="4"/>
  <c r="X242" i="4"/>
  <c r="X239" i="4"/>
  <c r="M62" i="7"/>
  <c r="L107" i="4"/>
  <c r="L100" i="4" s="1"/>
  <c r="L84" i="4" s="1"/>
  <c r="L54" i="7"/>
  <c r="D111" i="6"/>
  <c r="D67" i="3"/>
  <c r="D57" i="6"/>
  <c r="D199" i="7" s="1"/>
  <c r="D84" i="6"/>
  <c r="D18" i="6"/>
  <c r="X18" i="3"/>
  <c r="X136" i="5"/>
  <c r="X82" i="5"/>
  <c r="X137" i="7" s="1"/>
  <c r="X109" i="5"/>
  <c r="K26" i="7"/>
  <c r="K73" i="4"/>
  <c r="K190" i="4"/>
  <c r="K217" i="4"/>
  <c r="C137" i="5"/>
  <c r="C83" i="5"/>
  <c r="C138" i="7" s="1"/>
  <c r="C50" i="3"/>
  <c r="C110" i="5"/>
  <c r="C42" i="5"/>
  <c r="N62" i="7" l="1"/>
  <c r="D219" i="3"/>
  <c r="D65" i="3"/>
  <c r="C232" i="3"/>
  <c r="C78" i="3"/>
  <c r="D61" i="5"/>
  <c r="D88" i="5"/>
  <c r="X17" i="3"/>
  <c r="X110" i="3" s="1"/>
  <c r="D189" i="3"/>
  <c r="D35" i="3"/>
  <c r="X157" i="6"/>
  <c r="X130" i="6"/>
  <c r="X76" i="6"/>
  <c r="X103" i="6"/>
  <c r="C76" i="5"/>
  <c r="C103" i="5"/>
  <c r="C17" i="5"/>
  <c r="K57" i="4"/>
  <c r="K19" i="7"/>
  <c r="K183" i="4"/>
  <c r="K210" i="4"/>
  <c r="D133" i="6"/>
  <c r="D79" i="6"/>
  <c r="D221" i="7" s="1"/>
  <c r="D106" i="6"/>
  <c r="D55" i="6"/>
  <c r="D82" i="6"/>
  <c r="L80" i="4"/>
  <c r="L27" i="7"/>
  <c r="L191" i="4"/>
  <c r="L218" i="4"/>
  <c r="C70" i="6"/>
  <c r="C97" i="6"/>
  <c r="C17" i="6"/>
  <c r="I53" i="7"/>
  <c r="I127" i="4"/>
  <c r="K76" i="7"/>
  <c r="K69" i="7"/>
  <c r="K60" i="7" s="1"/>
  <c r="C202" i="3"/>
  <c r="C48" i="3"/>
  <c r="C151" i="6" l="1"/>
  <c r="C135" i="6"/>
  <c r="C156" i="6"/>
  <c r="C155" i="6"/>
  <c r="C142" i="6"/>
  <c r="C149" i="6"/>
  <c r="C148" i="6"/>
  <c r="C141" i="6"/>
  <c r="C146" i="6"/>
  <c r="C54" i="6"/>
  <c r="C153" i="6"/>
  <c r="C137" i="6"/>
  <c r="C139" i="6"/>
  <c r="C154" i="6"/>
  <c r="C147" i="6"/>
  <c r="C152" i="6"/>
  <c r="C145" i="6"/>
  <c r="C140" i="6"/>
  <c r="C138" i="6"/>
  <c r="C160" i="6"/>
  <c r="C136" i="6"/>
  <c r="C159" i="6"/>
  <c r="C158" i="6"/>
  <c r="X120" i="3"/>
  <c r="X115" i="3"/>
  <c r="X118" i="3"/>
  <c r="X116" i="3"/>
  <c r="X114" i="3"/>
  <c r="X109" i="3"/>
  <c r="X119" i="3"/>
  <c r="X113" i="3"/>
  <c r="X117" i="3"/>
  <c r="X112" i="3"/>
  <c r="X111" i="3"/>
  <c r="D64" i="3"/>
  <c r="D217" i="3"/>
  <c r="O62" i="7"/>
  <c r="L76" i="7"/>
  <c r="L69" i="7"/>
  <c r="L60" i="7" s="1"/>
  <c r="C200" i="3"/>
  <c r="C47" i="3"/>
  <c r="C140" i="3" s="1"/>
  <c r="K3" i="7"/>
  <c r="K167" i="4"/>
  <c r="D187" i="3"/>
  <c r="D34" i="3"/>
  <c r="C77" i="3"/>
  <c r="C230" i="3"/>
  <c r="I46" i="7"/>
  <c r="I111" i="4"/>
  <c r="I30" i="7" s="1"/>
  <c r="C157" i="5"/>
  <c r="C141" i="5"/>
  <c r="C60" i="5"/>
  <c r="C156" i="5"/>
  <c r="C161" i="5"/>
  <c r="C162" i="5"/>
  <c r="C163" i="5"/>
  <c r="C148" i="5"/>
  <c r="C154" i="5"/>
  <c r="C155" i="5"/>
  <c r="C147" i="5"/>
  <c r="C143" i="5"/>
  <c r="C159" i="5"/>
  <c r="C152" i="5"/>
  <c r="C145" i="5"/>
  <c r="C160" i="5"/>
  <c r="C153" i="5"/>
  <c r="C158" i="5"/>
  <c r="C151" i="5"/>
  <c r="C146" i="5"/>
  <c r="C166" i="5"/>
  <c r="C144" i="5"/>
  <c r="C142" i="5"/>
  <c r="C165" i="5"/>
  <c r="C164" i="5"/>
  <c r="L190" i="4"/>
  <c r="L26" i="7"/>
  <c r="L73" i="4"/>
  <c r="L217" i="4"/>
  <c r="C170" i="3" l="1"/>
  <c r="D157" i="3"/>
  <c r="D132" i="3"/>
  <c r="D186" i="3"/>
  <c r="D134" i="3"/>
  <c r="D136" i="3"/>
  <c r="D135" i="3"/>
  <c r="D131" i="3"/>
  <c r="D137" i="3"/>
  <c r="D126" i="3"/>
  <c r="D138" i="3"/>
  <c r="D133" i="3"/>
  <c r="D128" i="3"/>
  <c r="D130" i="3"/>
  <c r="D129" i="3"/>
  <c r="L183" i="4"/>
  <c r="L19" i="7"/>
  <c r="L57" i="4"/>
  <c r="L210" i="4"/>
  <c r="M76" i="7"/>
  <c r="M69" i="7"/>
  <c r="M60" i="7" s="1"/>
  <c r="P62" i="7"/>
  <c r="D52" i="5"/>
  <c r="D138" i="5"/>
  <c r="D84" i="5"/>
  <c r="D139" i="7" s="1"/>
  <c r="D111" i="5"/>
  <c r="C146" i="3"/>
  <c r="C147" i="3"/>
  <c r="C199" i="3"/>
  <c r="C143" i="3"/>
  <c r="C144" i="3"/>
  <c r="C150" i="3"/>
  <c r="C149" i="3"/>
  <c r="C148" i="3"/>
  <c r="C139" i="3"/>
  <c r="C145" i="3"/>
  <c r="C141" i="3"/>
  <c r="C142" i="3"/>
  <c r="D165" i="3"/>
  <c r="D156" i="3"/>
  <c r="D167" i="3"/>
  <c r="D168" i="3"/>
  <c r="D163" i="3"/>
  <c r="D161" i="3"/>
  <c r="D166" i="3"/>
  <c r="D158" i="3"/>
  <c r="D216" i="3"/>
  <c r="D160" i="3"/>
  <c r="D159" i="3"/>
  <c r="D40" i="6"/>
  <c r="D132" i="6"/>
  <c r="D78" i="6"/>
  <c r="D220" i="7" s="1"/>
  <c r="D105" i="6"/>
  <c r="C169" i="3"/>
  <c r="C175" i="3"/>
  <c r="C176" i="3"/>
  <c r="C174" i="3"/>
  <c r="C173" i="3"/>
  <c r="C180" i="3"/>
  <c r="C179" i="3"/>
  <c r="C178" i="3"/>
  <c r="C177" i="3"/>
  <c r="C229" i="3"/>
  <c r="C171" i="3"/>
  <c r="C172" i="3"/>
  <c r="Y129" i="5"/>
  <c r="Y75" i="5"/>
  <c r="Y130" i="7" s="1"/>
  <c r="X176" i="4"/>
  <c r="D127" i="3"/>
  <c r="X10" i="4"/>
  <c r="X175" i="4" l="1"/>
  <c r="D80" i="3"/>
  <c r="D77" i="6"/>
  <c r="D219" i="7" s="1"/>
  <c r="D104" i="6"/>
  <c r="D131" i="6"/>
  <c r="D33" i="6"/>
  <c r="L167" i="4"/>
  <c r="L3" i="7"/>
  <c r="Q62" i="7"/>
  <c r="X201" i="4"/>
  <c r="M54" i="7"/>
  <c r="N69" i="7"/>
  <c r="N60" i="7" s="1"/>
  <c r="Y150" i="6"/>
  <c r="Y123" i="6"/>
  <c r="Y69" i="6"/>
  <c r="N76" i="7"/>
  <c r="X181" i="4"/>
  <c r="D137" i="5"/>
  <c r="D83" i="5"/>
  <c r="D138" i="7" s="1"/>
  <c r="D50" i="3"/>
  <c r="D110" i="5"/>
  <c r="D42" i="5"/>
  <c r="M107" i="4"/>
  <c r="M100" i="4" s="1"/>
  <c r="M84" i="4" s="1"/>
  <c r="E72" i="5" l="1"/>
  <c r="E127" i="7" s="1"/>
  <c r="E126" i="5"/>
  <c r="E99" i="5"/>
  <c r="E33" i="5"/>
  <c r="D76" i="5"/>
  <c r="D103" i="5"/>
  <c r="D17" i="5"/>
  <c r="D157" i="5" s="1"/>
  <c r="R62" i="7"/>
  <c r="M27" i="7"/>
  <c r="M80" i="4"/>
  <c r="M191" i="4"/>
  <c r="M218" i="4"/>
  <c r="D232" i="3"/>
  <c r="D78" i="3"/>
  <c r="E120" i="6"/>
  <c r="E66" i="6"/>
  <c r="E208" i="7" s="1"/>
  <c r="E93" i="6"/>
  <c r="E27" i="6"/>
  <c r="D202" i="3"/>
  <c r="D48" i="3"/>
  <c r="X171" i="4"/>
  <c r="X33" i="4"/>
  <c r="O69" i="7"/>
  <c r="O60" i="7" s="1"/>
  <c r="X179" i="4"/>
  <c r="X40" i="4"/>
  <c r="O76" i="7"/>
  <c r="E79" i="5"/>
  <c r="E134" i="7" s="1"/>
  <c r="E133" i="5"/>
  <c r="E106" i="5"/>
  <c r="E43" i="5"/>
  <c r="D70" i="6"/>
  <c r="D97" i="6"/>
  <c r="D17" i="6"/>
  <c r="E127" i="6"/>
  <c r="E73" i="6"/>
  <c r="E215" i="7" s="1"/>
  <c r="E100" i="6"/>
  <c r="E34" i="6"/>
  <c r="X17" i="4"/>
  <c r="E131" i="5" l="1"/>
  <c r="E77" i="5"/>
  <c r="E132" i="7" s="1"/>
  <c r="E49" i="3"/>
  <c r="E104" i="5"/>
  <c r="D200" i="3"/>
  <c r="D47" i="3"/>
  <c r="D140" i="3" s="1"/>
  <c r="X177" i="4"/>
  <c r="M26" i="7"/>
  <c r="M73" i="4"/>
  <c r="M190" i="4"/>
  <c r="M217" i="4"/>
  <c r="X127" i="5"/>
  <c r="X73" i="5"/>
  <c r="X128" i="7" s="1"/>
  <c r="X100" i="5"/>
  <c r="E70" i="5"/>
  <c r="E125" i="7" s="1"/>
  <c r="E124" i="5"/>
  <c r="E38" i="3"/>
  <c r="E97" i="5"/>
  <c r="P69" i="7"/>
  <c r="P60" i="7" s="1"/>
  <c r="X170" i="4"/>
  <c r="X31" i="4"/>
  <c r="X251" i="4" s="1"/>
  <c r="X208" i="4"/>
  <c r="E79" i="3"/>
  <c r="E125" i="6"/>
  <c r="E71" i="6"/>
  <c r="E213" i="7" s="1"/>
  <c r="E98" i="6"/>
  <c r="X134" i="5"/>
  <c r="X80" i="5"/>
  <c r="X135" i="7" s="1"/>
  <c r="X107" i="5"/>
  <c r="D77" i="3"/>
  <c r="D230" i="3"/>
  <c r="P76" i="7"/>
  <c r="S62" i="7"/>
  <c r="D151" i="6"/>
  <c r="D135" i="6"/>
  <c r="D155" i="6"/>
  <c r="D156" i="6"/>
  <c r="D142" i="6"/>
  <c r="D149" i="6"/>
  <c r="D148" i="6"/>
  <c r="D137" i="6"/>
  <c r="D141" i="6"/>
  <c r="D146" i="6"/>
  <c r="D153" i="6"/>
  <c r="D54" i="6"/>
  <c r="D139" i="6"/>
  <c r="D147" i="6"/>
  <c r="D154" i="6"/>
  <c r="D152" i="6"/>
  <c r="D145" i="6"/>
  <c r="D140" i="6"/>
  <c r="D138" i="6"/>
  <c r="D136" i="6"/>
  <c r="D160" i="6"/>
  <c r="D159" i="6"/>
  <c r="D158" i="6"/>
  <c r="E118" i="6"/>
  <c r="E68" i="3"/>
  <c r="E64" i="6"/>
  <c r="E206" i="7" s="1"/>
  <c r="E91" i="6"/>
  <c r="D142" i="5"/>
  <c r="D141" i="5"/>
  <c r="D60" i="5"/>
  <c r="D156" i="5"/>
  <c r="D161" i="5"/>
  <c r="D162" i="5"/>
  <c r="D163" i="5"/>
  <c r="D148" i="5"/>
  <c r="D155" i="5"/>
  <c r="D154" i="5"/>
  <c r="D147" i="5"/>
  <c r="D143" i="5"/>
  <c r="D159" i="5"/>
  <c r="D152" i="5"/>
  <c r="D145" i="5"/>
  <c r="D153" i="5"/>
  <c r="D160" i="5"/>
  <c r="D158" i="5"/>
  <c r="D151" i="5"/>
  <c r="D146" i="5"/>
  <c r="D166" i="5"/>
  <c r="D144" i="5"/>
  <c r="D165" i="5"/>
  <c r="D164" i="5"/>
  <c r="X15" i="4"/>
  <c r="D170" i="3" l="1"/>
  <c r="X258" i="4"/>
  <c r="X168" i="4"/>
  <c r="X30" i="4"/>
  <c r="X249" i="4"/>
  <c r="X250" i="4"/>
  <c r="X263" i="4"/>
  <c r="X261" i="4"/>
  <c r="X259" i="4"/>
  <c r="X253" i="4"/>
  <c r="X255" i="4"/>
  <c r="X254" i="4"/>
  <c r="X257" i="4"/>
  <c r="X262" i="4"/>
  <c r="X256" i="4"/>
  <c r="X252" i="4"/>
  <c r="X260" i="4"/>
  <c r="X128" i="6"/>
  <c r="X74" i="6"/>
  <c r="X216" i="7" s="1"/>
  <c r="X101" i="6"/>
  <c r="T62" i="7"/>
  <c r="X13" i="4"/>
  <c r="X206" i="4"/>
  <c r="E113" i="6"/>
  <c r="E59" i="6"/>
  <c r="E201" i="7" s="1"/>
  <c r="E86" i="6"/>
  <c r="E20" i="6"/>
  <c r="X120" i="5"/>
  <c r="X66" i="5"/>
  <c r="X121" i="7" s="1"/>
  <c r="N107" i="4"/>
  <c r="N100" i="4" s="1"/>
  <c r="N84" i="4" s="1"/>
  <c r="N54" i="7"/>
  <c r="E201" i="3"/>
  <c r="E119" i="5"/>
  <c r="E65" i="5"/>
  <c r="E120" i="7" s="1"/>
  <c r="E92" i="5"/>
  <c r="E21" i="5"/>
  <c r="D173" i="3"/>
  <c r="D179" i="3"/>
  <c r="D180" i="3"/>
  <c r="D178" i="3"/>
  <c r="D169" i="3"/>
  <c r="D175" i="3"/>
  <c r="D177" i="3"/>
  <c r="D174" i="3"/>
  <c r="D176" i="3"/>
  <c r="D229" i="3"/>
  <c r="D171" i="3"/>
  <c r="D172" i="3"/>
  <c r="E231" i="3"/>
  <c r="E190" i="3"/>
  <c r="Q76" i="7"/>
  <c r="E139" i="5"/>
  <c r="E85" i="5"/>
  <c r="E140" i="7" s="1"/>
  <c r="E112" i="5"/>
  <c r="X121" i="6"/>
  <c r="X67" i="6"/>
  <c r="X209" i="7" s="1"/>
  <c r="X94" i="6"/>
  <c r="M19" i="7"/>
  <c r="M57" i="4"/>
  <c r="M183" i="4"/>
  <c r="M210" i="4"/>
  <c r="D144" i="3"/>
  <c r="D150" i="3"/>
  <c r="D149" i="3"/>
  <c r="D146" i="3"/>
  <c r="D148" i="3"/>
  <c r="D139" i="3"/>
  <c r="D143" i="3"/>
  <c r="D145" i="3"/>
  <c r="D147" i="3"/>
  <c r="D199" i="3"/>
  <c r="D141" i="3"/>
  <c r="D142" i="3"/>
  <c r="Q69" i="7"/>
  <c r="Q60" i="7" s="1"/>
  <c r="E220" i="3"/>
  <c r="E63" i="5" l="1"/>
  <c r="E118" i="7" s="1"/>
  <c r="E117" i="5"/>
  <c r="E37" i="3"/>
  <c r="E18" i="5"/>
  <c r="E90" i="5"/>
  <c r="E111" i="6"/>
  <c r="E67" i="3"/>
  <c r="E57" i="6"/>
  <c r="E199" i="7" s="1"/>
  <c r="E84" i="6"/>
  <c r="E18" i="6"/>
  <c r="U62" i="7"/>
  <c r="X150" i="4"/>
  <c r="X204" i="4"/>
  <c r="X8" i="3"/>
  <c r="R69" i="7"/>
  <c r="R60" i="7" s="1"/>
  <c r="X114" i="6"/>
  <c r="X60" i="6"/>
  <c r="X202" i="7" s="1"/>
  <c r="M3" i="7"/>
  <c r="M167" i="4"/>
  <c r="N80" i="4"/>
  <c r="N27" i="7"/>
  <c r="N191" i="4"/>
  <c r="N218" i="4"/>
  <c r="Y180" i="4"/>
  <c r="R76" i="7"/>
  <c r="X11" i="4"/>
  <c r="X12" i="4"/>
  <c r="X9" i="4"/>
  <c r="X202" i="4" l="1"/>
  <c r="E133" i="6"/>
  <c r="E79" i="6"/>
  <c r="E221" i="7" s="1"/>
  <c r="E106" i="6"/>
  <c r="V62" i="7"/>
  <c r="X96" i="5"/>
  <c r="E61" i="5"/>
  <c r="E88" i="5"/>
  <c r="J55" i="7"/>
  <c r="J134" i="4"/>
  <c r="E55" i="6"/>
  <c r="E82" i="6"/>
  <c r="E189" i="3"/>
  <c r="E35" i="3"/>
  <c r="O107" i="4"/>
  <c r="O100" i="4" s="1"/>
  <c r="O84" i="4" s="1"/>
  <c r="S69" i="7"/>
  <c r="S60" i="7" s="1"/>
  <c r="X87" i="6"/>
  <c r="X200" i="4"/>
  <c r="X93" i="5"/>
  <c r="N26" i="7"/>
  <c r="N73" i="4"/>
  <c r="N190" i="4"/>
  <c r="N217" i="4"/>
  <c r="S76" i="7"/>
  <c r="O54" i="7"/>
  <c r="X203" i="4"/>
  <c r="E219" i="3"/>
  <c r="E65" i="3"/>
  <c r="X7" i="4"/>
  <c r="X4" i="5"/>
  <c r="X47" i="6" s="1"/>
  <c r="E64" i="3" l="1"/>
  <c r="E157" i="3"/>
  <c r="E217" i="3"/>
  <c r="N19" i="7"/>
  <c r="N57" i="4"/>
  <c r="N183" i="4"/>
  <c r="N210" i="4"/>
  <c r="X198" i="4"/>
  <c r="O27" i="7"/>
  <c r="O80" i="4"/>
  <c r="O191" i="4"/>
  <c r="O218" i="4"/>
  <c r="X123" i="5"/>
  <c r="X69" i="5"/>
  <c r="X124" i="7" s="1"/>
  <c r="W62" i="7"/>
  <c r="T69" i="7"/>
  <c r="T60" i="7" s="1"/>
  <c r="T76" i="7"/>
  <c r="E187" i="3"/>
  <c r="E34" i="3"/>
  <c r="E127" i="3" s="1"/>
  <c r="J53" i="7"/>
  <c r="J127" i="4"/>
  <c r="X8" i="4"/>
  <c r="X62" i="7"/>
  <c r="U69" i="7" l="1"/>
  <c r="U60" i="7" s="1"/>
  <c r="O26" i="7"/>
  <c r="O73" i="4"/>
  <c r="O190" i="4"/>
  <c r="O217" i="4"/>
  <c r="E40" i="6"/>
  <c r="E132" i="6"/>
  <c r="E78" i="6"/>
  <c r="E220" i="7" s="1"/>
  <c r="E105" i="6"/>
  <c r="N3" i="7"/>
  <c r="N167" i="4"/>
  <c r="X135" i="5"/>
  <c r="X81" i="5"/>
  <c r="X136" i="7" s="1"/>
  <c r="X108" i="5"/>
  <c r="U76" i="7"/>
  <c r="X199" i="4"/>
  <c r="J46" i="7"/>
  <c r="J111" i="4"/>
  <c r="J30" i="7" s="1"/>
  <c r="X6" i="4"/>
  <c r="X144" i="6"/>
  <c r="X117" i="6"/>
  <c r="X63" i="6"/>
  <c r="X90" i="6"/>
  <c r="E165" i="3"/>
  <c r="E156" i="3"/>
  <c r="E167" i="3"/>
  <c r="E168" i="3"/>
  <c r="E163" i="3"/>
  <c r="E161" i="3"/>
  <c r="E166" i="3"/>
  <c r="E158" i="3"/>
  <c r="E216" i="3"/>
  <c r="E160" i="3"/>
  <c r="E159" i="3"/>
  <c r="E135" i="3"/>
  <c r="E134" i="3"/>
  <c r="E133" i="3"/>
  <c r="E126" i="3"/>
  <c r="E131" i="3"/>
  <c r="E136" i="3"/>
  <c r="E137" i="3"/>
  <c r="E132" i="3"/>
  <c r="E138" i="3"/>
  <c r="E186" i="3"/>
  <c r="E128" i="3"/>
  <c r="E130" i="3"/>
  <c r="E129" i="3"/>
  <c r="E138" i="5"/>
  <c r="E84" i="5"/>
  <c r="E139" i="7" s="1"/>
  <c r="E52" i="5"/>
  <c r="E111" i="5"/>
  <c r="P107" i="4" l="1"/>
  <c r="P100" i="4" s="1"/>
  <c r="P84" i="4" s="1"/>
  <c r="V76" i="7"/>
  <c r="X143" i="4"/>
  <c r="X7" i="3"/>
  <c r="X197" i="4"/>
  <c r="X4" i="4"/>
  <c r="X126" i="6"/>
  <c r="X72" i="6"/>
  <c r="X214" i="7" s="1"/>
  <c r="X99" i="6"/>
  <c r="E137" i="5"/>
  <c r="E83" i="5"/>
  <c r="E138" i="7" s="1"/>
  <c r="E50" i="3"/>
  <c r="E110" i="5"/>
  <c r="E42" i="5"/>
  <c r="X119" i="6"/>
  <c r="X65" i="6"/>
  <c r="X207" i="7" s="1"/>
  <c r="X92" i="6"/>
  <c r="E33" i="6"/>
  <c r="E131" i="6"/>
  <c r="E80" i="3"/>
  <c r="E77" i="6"/>
  <c r="E219" i="7" s="1"/>
  <c r="E104" i="6"/>
  <c r="P54" i="7"/>
  <c r="V69" i="7"/>
  <c r="V60" i="7" s="1"/>
  <c r="X36" i="3"/>
  <c r="X116" i="5"/>
  <c r="X62" i="5"/>
  <c r="X117" i="7" s="1"/>
  <c r="X89" i="5"/>
  <c r="X71" i="5"/>
  <c r="X126" i="7" s="1"/>
  <c r="X125" i="5"/>
  <c r="X98" i="5"/>
  <c r="X78" i="5"/>
  <c r="X133" i="7" s="1"/>
  <c r="X132" i="5"/>
  <c r="X105" i="5"/>
  <c r="O19" i="7"/>
  <c r="O57" i="4"/>
  <c r="O183" i="4"/>
  <c r="O210" i="4"/>
  <c r="W76" i="7" l="1"/>
  <c r="E202" i="3"/>
  <c r="E48" i="3"/>
  <c r="X129" i="6"/>
  <c r="X75" i="6"/>
  <c r="X217" i="7" s="1"/>
  <c r="X102" i="6"/>
  <c r="W69" i="7"/>
  <c r="W60" i="7" s="1"/>
  <c r="X188" i="3"/>
  <c r="E232" i="3"/>
  <c r="E78" i="3"/>
  <c r="X224" i="4"/>
  <c r="X195" i="4"/>
  <c r="X222" i="4"/>
  <c r="X141" i="4"/>
  <c r="X223" i="4"/>
  <c r="X232" i="4"/>
  <c r="X234" i="4"/>
  <c r="X236" i="4"/>
  <c r="X228" i="4"/>
  <c r="X235" i="4"/>
  <c r="X233" i="4"/>
  <c r="X231" i="4"/>
  <c r="X227" i="4"/>
  <c r="X229" i="4"/>
  <c r="X230" i="4"/>
  <c r="X225" i="4"/>
  <c r="X226" i="4"/>
  <c r="O3" i="7"/>
  <c r="O167" i="4"/>
  <c r="X110" i="6"/>
  <c r="X66" i="3"/>
  <c r="X56" i="6"/>
  <c r="X198" i="7" s="1"/>
  <c r="X83" i="6"/>
  <c r="X5" i="3"/>
  <c r="E70" i="6"/>
  <c r="E97" i="6"/>
  <c r="E17" i="6"/>
  <c r="E151" i="6" s="1"/>
  <c r="E76" i="5"/>
  <c r="E103" i="5"/>
  <c r="E17" i="5"/>
  <c r="P27" i="7"/>
  <c r="P80" i="4"/>
  <c r="P191" i="4"/>
  <c r="P218" i="4"/>
  <c r="X69" i="7"/>
  <c r="X60" i="7" s="1"/>
  <c r="X76" i="7"/>
  <c r="Q107" i="4" l="1"/>
  <c r="Q100" i="4" s="1"/>
  <c r="Q84" i="4" s="1"/>
  <c r="P26" i="7"/>
  <c r="P73" i="4"/>
  <c r="P190" i="4"/>
  <c r="P217" i="4"/>
  <c r="E77" i="3"/>
  <c r="E230" i="3"/>
  <c r="E200" i="3"/>
  <c r="E47" i="3"/>
  <c r="E140" i="3" s="1"/>
  <c r="X4" i="3"/>
  <c r="E157" i="5"/>
  <c r="E141" i="5"/>
  <c r="E60" i="5"/>
  <c r="E150" i="5"/>
  <c r="E156" i="5"/>
  <c r="E161" i="5"/>
  <c r="E162" i="5"/>
  <c r="E163" i="5"/>
  <c r="E148" i="5"/>
  <c r="E155" i="5"/>
  <c r="E154" i="5"/>
  <c r="E147" i="5"/>
  <c r="E159" i="5"/>
  <c r="E143" i="5"/>
  <c r="E152" i="5"/>
  <c r="E145" i="5"/>
  <c r="E153" i="5"/>
  <c r="E160" i="5"/>
  <c r="E151" i="5"/>
  <c r="E158" i="5"/>
  <c r="E146" i="5"/>
  <c r="E166" i="5"/>
  <c r="E144" i="5"/>
  <c r="E142" i="5"/>
  <c r="E165" i="5"/>
  <c r="E164" i="5"/>
  <c r="F127" i="6"/>
  <c r="F73" i="6"/>
  <c r="F215" i="7" s="1"/>
  <c r="F100" i="6"/>
  <c r="F34" i="6"/>
  <c r="Q54" i="7"/>
  <c r="X218" i="3"/>
  <c r="F79" i="5"/>
  <c r="F134" i="7" s="1"/>
  <c r="F133" i="5"/>
  <c r="F106" i="5"/>
  <c r="F43" i="5"/>
  <c r="F120" i="6"/>
  <c r="F66" i="6"/>
  <c r="F208" i="7" s="1"/>
  <c r="F93" i="6"/>
  <c r="F27" i="6"/>
  <c r="E136" i="6"/>
  <c r="E135" i="6"/>
  <c r="E155" i="6"/>
  <c r="E156" i="6"/>
  <c r="E142" i="6"/>
  <c r="E149" i="6"/>
  <c r="E148" i="6"/>
  <c r="E141" i="6"/>
  <c r="E153" i="6"/>
  <c r="E146" i="6"/>
  <c r="E137" i="6"/>
  <c r="E54" i="6"/>
  <c r="E139" i="6"/>
  <c r="E147" i="6"/>
  <c r="E154" i="6"/>
  <c r="E152" i="6"/>
  <c r="E145" i="6"/>
  <c r="E140" i="6"/>
  <c r="E138" i="6"/>
  <c r="E160" i="6"/>
  <c r="E159" i="6"/>
  <c r="E158" i="6"/>
  <c r="F72" i="5"/>
  <c r="F127" i="7" s="1"/>
  <c r="F126" i="5"/>
  <c r="F99" i="5"/>
  <c r="F33" i="5"/>
  <c r="X68" i="5"/>
  <c r="X123" i="7" s="1"/>
  <c r="X122" i="5"/>
  <c r="X95" i="5"/>
  <c r="E170" i="3" l="1"/>
  <c r="X67" i="5"/>
  <c r="X122" i="7" s="1"/>
  <c r="X121" i="5"/>
  <c r="X94" i="5"/>
  <c r="X64" i="5"/>
  <c r="X119" i="7" s="1"/>
  <c r="X118" i="5"/>
  <c r="X91" i="5"/>
  <c r="P19" i="7"/>
  <c r="P57" i="4"/>
  <c r="P183" i="4"/>
  <c r="P210" i="4"/>
  <c r="E144" i="3"/>
  <c r="E150" i="3"/>
  <c r="E145" i="3"/>
  <c r="E149" i="3"/>
  <c r="E139" i="3"/>
  <c r="E146" i="3"/>
  <c r="E147" i="3"/>
  <c r="E199" i="3"/>
  <c r="E148" i="3"/>
  <c r="E143" i="3"/>
  <c r="E141" i="3"/>
  <c r="E142" i="3"/>
  <c r="F77" i="5"/>
  <c r="F132" i="7" s="1"/>
  <c r="F131" i="5"/>
  <c r="F49" i="3"/>
  <c r="F104" i="5"/>
  <c r="F125" i="6"/>
  <c r="F79" i="3"/>
  <c r="F71" i="6"/>
  <c r="F213" i="7" s="1"/>
  <c r="F98" i="6"/>
  <c r="Q27" i="7"/>
  <c r="Q80" i="4"/>
  <c r="Q191" i="4"/>
  <c r="Q218" i="4"/>
  <c r="X116" i="6"/>
  <c r="X62" i="6"/>
  <c r="X204" i="7" s="1"/>
  <c r="X89" i="6"/>
  <c r="F64" i="6"/>
  <c r="F206" i="7" s="1"/>
  <c r="F118" i="6"/>
  <c r="F68" i="3"/>
  <c r="F91" i="6"/>
  <c r="E169" i="3"/>
  <c r="E175" i="3"/>
  <c r="E173" i="3"/>
  <c r="E177" i="3"/>
  <c r="E176" i="3"/>
  <c r="E174" i="3"/>
  <c r="E180" i="3"/>
  <c r="E179" i="3"/>
  <c r="E178" i="3"/>
  <c r="E229" i="3"/>
  <c r="E171" i="3"/>
  <c r="E172" i="3"/>
  <c r="X112" i="6"/>
  <c r="X58" i="6"/>
  <c r="X200" i="7" s="1"/>
  <c r="X85" i="6"/>
  <c r="F70" i="5"/>
  <c r="F125" i="7" s="1"/>
  <c r="F124" i="5"/>
  <c r="F38" i="3"/>
  <c r="F97" i="5"/>
  <c r="X97" i="3"/>
  <c r="X102" i="3"/>
  <c r="X103" i="3"/>
  <c r="X108" i="3"/>
  <c r="X101" i="3"/>
  <c r="X106" i="3"/>
  <c r="X105" i="3"/>
  <c r="X107" i="3"/>
  <c r="X104" i="3"/>
  <c r="X96" i="3"/>
  <c r="X98" i="3"/>
  <c r="X100" i="3"/>
  <c r="X99" i="3"/>
  <c r="F85" i="5" l="1"/>
  <c r="F140" i="7" s="1"/>
  <c r="F139" i="5"/>
  <c r="F112" i="5"/>
  <c r="F220" i="3"/>
  <c r="F201" i="3"/>
  <c r="F113" i="6"/>
  <c r="F59" i="6"/>
  <c r="F201" i="7" s="1"/>
  <c r="F86" i="6"/>
  <c r="F20" i="6"/>
  <c r="F231" i="3"/>
  <c r="P3" i="7"/>
  <c r="P167" i="4"/>
  <c r="Q26" i="7"/>
  <c r="Q73" i="4"/>
  <c r="Q190" i="4"/>
  <c r="Q217" i="4"/>
  <c r="F65" i="5"/>
  <c r="F120" i="7" s="1"/>
  <c r="F119" i="5"/>
  <c r="F92" i="5"/>
  <c r="F21" i="5"/>
  <c r="X128" i="5"/>
  <c r="X74" i="5"/>
  <c r="X129" i="7" s="1"/>
  <c r="X101" i="5"/>
  <c r="X61" i="6"/>
  <c r="X203" i="7" s="1"/>
  <c r="X115" i="6"/>
  <c r="X88" i="6"/>
  <c r="F190" i="3"/>
  <c r="R107" i="4" l="1"/>
  <c r="R100" i="4" s="1"/>
  <c r="R84" i="4" s="1"/>
  <c r="X122" i="6"/>
  <c r="X68" i="6"/>
  <c r="X210" i="7" s="1"/>
  <c r="X95" i="6"/>
  <c r="Y178" i="4"/>
  <c r="F111" i="6"/>
  <c r="F67" i="3"/>
  <c r="F57" i="6"/>
  <c r="F199" i="7" s="1"/>
  <c r="F84" i="6"/>
  <c r="F18" i="6"/>
  <c r="Q19" i="7"/>
  <c r="Q57" i="4"/>
  <c r="Q183" i="4"/>
  <c r="Q210" i="4"/>
  <c r="F63" i="5"/>
  <c r="F118" i="7" s="1"/>
  <c r="F117" i="5"/>
  <c r="F37" i="3"/>
  <c r="F90" i="5"/>
  <c r="F18" i="5"/>
  <c r="R54" i="7"/>
  <c r="F219" i="3" l="1"/>
  <c r="F65" i="3"/>
  <c r="F61" i="5"/>
  <c r="F88" i="5"/>
  <c r="Q3" i="7"/>
  <c r="Q167" i="4"/>
  <c r="F189" i="3"/>
  <c r="F35" i="3"/>
  <c r="F133" i="6"/>
  <c r="F79" i="6"/>
  <c r="F221" i="7" s="1"/>
  <c r="F106" i="6"/>
  <c r="F55" i="6"/>
  <c r="F82" i="6"/>
  <c r="R27" i="7"/>
  <c r="R80" i="4"/>
  <c r="R191" i="4"/>
  <c r="R218" i="4"/>
  <c r="Y14" i="4"/>
  <c r="R26" i="7" l="1"/>
  <c r="R73" i="4"/>
  <c r="R190" i="4"/>
  <c r="R217" i="4"/>
  <c r="Y205" i="4"/>
  <c r="F34" i="3"/>
  <c r="F127" i="3" s="1"/>
  <c r="F187" i="3"/>
  <c r="F64" i="3"/>
  <c r="F157" i="3" s="1"/>
  <c r="F217" i="3"/>
  <c r="Y16" i="4"/>
  <c r="Y18" i="4"/>
  <c r="F52" i="5" l="1"/>
  <c r="F84" i="5"/>
  <c r="F139" i="7" s="1"/>
  <c r="F138" i="5"/>
  <c r="F111" i="5"/>
  <c r="G126" i="5"/>
  <c r="G72" i="5"/>
  <c r="G127" i="7" s="1"/>
  <c r="G99" i="5"/>
  <c r="G33" i="5"/>
  <c r="Y188" i="4"/>
  <c r="Y96" i="6"/>
  <c r="Y209" i="4"/>
  <c r="Y102" i="5"/>
  <c r="S54" i="7"/>
  <c r="Y207" i="4"/>
  <c r="F161" i="3"/>
  <c r="F166" i="3"/>
  <c r="F156" i="3"/>
  <c r="F168" i="3"/>
  <c r="F165" i="3"/>
  <c r="F167" i="3"/>
  <c r="F163" i="3"/>
  <c r="F216" i="3"/>
  <c r="F158" i="3"/>
  <c r="F160" i="3"/>
  <c r="F159" i="3"/>
  <c r="Y185" i="4"/>
  <c r="S107" i="4"/>
  <c r="S100" i="4" s="1"/>
  <c r="S84" i="4" s="1"/>
  <c r="F40" i="6"/>
  <c r="F132" i="6"/>
  <c r="F78" i="6"/>
  <c r="F220" i="7" s="1"/>
  <c r="F105" i="6"/>
  <c r="Y189" i="4"/>
  <c r="F135" i="3"/>
  <c r="F126" i="3"/>
  <c r="F131" i="3"/>
  <c r="F136" i="3"/>
  <c r="F132" i="3"/>
  <c r="F138" i="3"/>
  <c r="F186" i="3"/>
  <c r="F137" i="3"/>
  <c r="F134" i="3"/>
  <c r="F133" i="3"/>
  <c r="F128" i="3"/>
  <c r="F130" i="3"/>
  <c r="F129" i="3"/>
  <c r="G79" i="5"/>
  <c r="G134" i="7" s="1"/>
  <c r="G133" i="5"/>
  <c r="G106" i="5"/>
  <c r="G43" i="5"/>
  <c r="R19" i="7"/>
  <c r="R57" i="4"/>
  <c r="R183" i="4"/>
  <c r="R210" i="4"/>
  <c r="Y47" i="4" l="1"/>
  <c r="Y46" i="4"/>
  <c r="Y184" i="4"/>
  <c r="Y265" i="4"/>
  <c r="G127" i="6"/>
  <c r="G73" i="6"/>
  <c r="G215" i="7" s="1"/>
  <c r="G100" i="6"/>
  <c r="G34" i="6"/>
  <c r="Y186" i="4"/>
  <c r="Y267" i="4"/>
  <c r="R3" i="7"/>
  <c r="R167" i="4"/>
  <c r="F131" i="6"/>
  <c r="F80" i="3"/>
  <c r="F77" i="6"/>
  <c r="F219" i="7" s="1"/>
  <c r="F104" i="6"/>
  <c r="F33" i="6"/>
  <c r="G124" i="5"/>
  <c r="G70" i="5"/>
  <c r="G125" i="7" s="1"/>
  <c r="G38" i="3"/>
  <c r="G97" i="5"/>
  <c r="Y187" i="4"/>
  <c r="Y268" i="4"/>
  <c r="S80" i="4"/>
  <c r="S27" i="7"/>
  <c r="S191" i="4"/>
  <c r="S218" i="4"/>
  <c r="F137" i="5"/>
  <c r="F83" i="5"/>
  <c r="F138" i="7" s="1"/>
  <c r="F50" i="3"/>
  <c r="F110" i="5"/>
  <c r="F42" i="5"/>
  <c r="G131" i="5"/>
  <c r="G77" i="5"/>
  <c r="G132" i="7" s="1"/>
  <c r="G49" i="3"/>
  <c r="G104" i="5"/>
  <c r="Y25" i="4"/>
  <c r="Y24" i="4"/>
  <c r="Y21" i="4"/>
  <c r="F70" i="6" l="1"/>
  <c r="F97" i="6"/>
  <c r="F17" i="6"/>
  <c r="G201" i="3"/>
  <c r="F202" i="3"/>
  <c r="F48" i="3"/>
  <c r="G139" i="5"/>
  <c r="G85" i="5"/>
  <c r="G140" i="7" s="1"/>
  <c r="G112" i="5"/>
  <c r="S26" i="7"/>
  <c r="S73" i="4"/>
  <c r="S190" i="4"/>
  <c r="S217" i="4"/>
  <c r="G190" i="3"/>
  <c r="G119" i="5"/>
  <c r="G65" i="5"/>
  <c r="G120" i="7" s="1"/>
  <c r="G92" i="5"/>
  <c r="G21" i="5"/>
  <c r="Y215" i="4"/>
  <c r="F232" i="3"/>
  <c r="F78" i="3"/>
  <c r="Y216" i="4"/>
  <c r="G120" i="6"/>
  <c r="G66" i="6"/>
  <c r="G208" i="7" s="1"/>
  <c r="G93" i="6"/>
  <c r="G27" i="6"/>
  <c r="K55" i="7"/>
  <c r="K134" i="4"/>
  <c r="G79" i="3"/>
  <c r="G125" i="6"/>
  <c r="G71" i="6"/>
  <c r="G213" i="7" s="1"/>
  <c r="G98" i="6"/>
  <c r="Y264" i="4"/>
  <c r="Y272" i="4"/>
  <c r="Y273" i="4"/>
  <c r="Y271" i="4"/>
  <c r="Y269" i="4"/>
  <c r="Y270" i="4"/>
  <c r="Y266" i="4"/>
  <c r="Y212" i="4"/>
  <c r="G113" i="6"/>
  <c r="G59" i="6"/>
  <c r="G201" i="7" s="1"/>
  <c r="G86" i="6"/>
  <c r="G20" i="6"/>
  <c r="F76" i="5"/>
  <c r="F103" i="5"/>
  <c r="F17" i="5"/>
  <c r="Y22" i="4"/>
  <c r="Y23" i="4"/>
  <c r="Y20" i="4" l="1"/>
  <c r="Y211" i="4"/>
  <c r="Y19" i="3"/>
  <c r="Y157" i="4"/>
  <c r="Y19" i="4"/>
  <c r="G111" i="6"/>
  <c r="G67" i="3"/>
  <c r="G57" i="6"/>
  <c r="G199" i="7" s="1"/>
  <c r="G84" i="6"/>
  <c r="G18" i="6"/>
  <c r="G231" i="3"/>
  <c r="F200" i="3"/>
  <c r="F47" i="3"/>
  <c r="F140" i="3" s="1"/>
  <c r="T107" i="4"/>
  <c r="T100" i="4" s="1"/>
  <c r="T84" i="4" s="1"/>
  <c r="F77" i="3"/>
  <c r="F230" i="3"/>
  <c r="G63" i="5"/>
  <c r="G118" i="7" s="1"/>
  <c r="G117" i="5"/>
  <c r="G37" i="3"/>
  <c r="G90" i="5"/>
  <c r="G18" i="5"/>
  <c r="F136" i="6"/>
  <c r="F135" i="6"/>
  <c r="F155" i="6"/>
  <c r="F156" i="6"/>
  <c r="F142" i="6"/>
  <c r="F148" i="6"/>
  <c r="F149" i="6"/>
  <c r="F146" i="6"/>
  <c r="F141" i="6"/>
  <c r="F153" i="6"/>
  <c r="F137" i="6"/>
  <c r="F54" i="6"/>
  <c r="F139" i="6"/>
  <c r="F154" i="6"/>
  <c r="F147" i="6"/>
  <c r="F152" i="6"/>
  <c r="F145" i="6"/>
  <c r="F140" i="6"/>
  <c r="F138" i="6"/>
  <c r="F160" i="6"/>
  <c r="F159" i="6"/>
  <c r="F158" i="6"/>
  <c r="F142" i="5"/>
  <c r="F60" i="5"/>
  <c r="F141" i="5"/>
  <c r="F150" i="5"/>
  <c r="F156" i="5"/>
  <c r="F161" i="5"/>
  <c r="F162" i="5"/>
  <c r="F163" i="5"/>
  <c r="F148" i="5"/>
  <c r="F155" i="5"/>
  <c r="F154" i="5"/>
  <c r="F147" i="5"/>
  <c r="F159" i="5"/>
  <c r="F152" i="5"/>
  <c r="F143" i="5"/>
  <c r="F145" i="5"/>
  <c r="F160" i="5"/>
  <c r="F153" i="5"/>
  <c r="F158" i="5"/>
  <c r="F151" i="5"/>
  <c r="F146" i="5"/>
  <c r="F166" i="5"/>
  <c r="F144" i="5"/>
  <c r="F165" i="5"/>
  <c r="F164" i="5"/>
  <c r="G68" i="3"/>
  <c r="G118" i="6"/>
  <c r="G64" i="6"/>
  <c r="G206" i="7" s="1"/>
  <c r="G91" i="6"/>
  <c r="S19" i="7"/>
  <c r="S57" i="4"/>
  <c r="S183" i="4"/>
  <c r="S210" i="4"/>
  <c r="T54" i="7"/>
  <c r="Y214" i="4"/>
  <c r="F157" i="5"/>
  <c r="F151" i="6"/>
  <c r="Y213" i="4"/>
  <c r="K53" i="7"/>
  <c r="K127" i="4"/>
  <c r="F170" i="3" l="1"/>
  <c r="S3" i="7"/>
  <c r="S167" i="4"/>
  <c r="G189" i="3"/>
  <c r="G35" i="3"/>
  <c r="Y156" i="4"/>
  <c r="Y237" i="4"/>
  <c r="Y245" i="4"/>
  <c r="Y246" i="4"/>
  <c r="Y244" i="4"/>
  <c r="Y242" i="4"/>
  <c r="Y239" i="4"/>
  <c r="Y243" i="4"/>
  <c r="F147" i="3"/>
  <c r="F144" i="3"/>
  <c r="F143" i="3"/>
  <c r="F150" i="3"/>
  <c r="F149" i="3"/>
  <c r="F199" i="3"/>
  <c r="F148" i="3"/>
  <c r="F139" i="3"/>
  <c r="F145" i="3"/>
  <c r="F146" i="3"/>
  <c r="F141" i="3"/>
  <c r="F142" i="3"/>
  <c r="G219" i="3"/>
  <c r="G65" i="3"/>
  <c r="Y238" i="4"/>
  <c r="Y136" i="5"/>
  <c r="Y82" i="5"/>
  <c r="Y137" i="7" s="1"/>
  <c r="Y109" i="5"/>
  <c r="Y18" i="3"/>
  <c r="K46" i="7"/>
  <c r="K111" i="4"/>
  <c r="K30" i="7" s="1"/>
  <c r="Y241" i="4"/>
  <c r="G220" i="3"/>
  <c r="G61" i="5"/>
  <c r="G88" i="5"/>
  <c r="F177" i="3"/>
  <c r="F169" i="3"/>
  <c r="F175" i="3"/>
  <c r="F176" i="3"/>
  <c r="F173" i="3"/>
  <c r="F174" i="3"/>
  <c r="F180" i="3"/>
  <c r="F179" i="3"/>
  <c r="F178" i="3"/>
  <c r="F229" i="3"/>
  <c r="F171" i="3"/>
  <c r="F172" i="3"/>
  <c r="Y240" i="4"/>
  <c r="T80" i="4"/>
  <c r="T27" i="7"/>
  <c r="T191" i="4"/>
  <c r="T218" i="4"/>
  <c r="G55" i="6"/>
  <c r="G82" i="6"/>
  <c r="Y17" i="3" l="1"/>
  <c r="G64" i="3"/>
  <c r="G217" i="3"/>
  <c r="T26" i="7"/>
  <c r="T73" i="4"/>
  <c r="T190" i="4"/>
  <c r="T217" i="4"/>
  <c r="G187" i="3"/>
  <c r="G34" i="3"/>
  <c r="G127" i="3" s="1"/>
  <c r="Y157" i="6"/>
  <c r="Y130" i="6"/>
  <c r="Y76" i="6"/>
  <c r="Y103" i="6"/>
  <c r="G133" i="6"/>
  <c r="G79" i="6"/>
  <c r="G221" i="7" s="1"/>
  <c r="G106" i="6"/>
  <c r="G157" i="3" l="1"/>
  <c r="T19" i="7"/>
  <c r="T57" i="4"/>
  <c r="T183" i="4"/>
  <c r="T210" i="4"/>
  <c r="Y120" i="3"/>
  <c r="Y114" i="3"/>
  <c r="Y117" i="3"/>
  <c r="Y115" i="3"/>
  <c r="Y109" i="3"/>
  <c r="Y113" i="3"/>
  <c r="Y116" i="3"/>
  <c r="Y118" i="3"/>
  <c r="Y119" i="3"/>
  <c r="Y112" i="3"/>
  <c r="Y111" i="3"/>
  <c r="U54" i="7"/>
  <c r="G135" i="3"/>
  <c r="G133" i="3"/>
  <c r="G126" i="3"/>
  <c r="G131" i="3"/>
  <c r="G136" i="3"/>
  <c r="G138" i="3"/>
  <c r="G186" i="3"/>
  <c r="G134" i="3"/>
  <c r="G137" i="3"/>
  <c r="G132" i="3"/>
  <c r="G128" i="3"/>
  <c r="G130" i="3"/>
  <c r="G129" i="3"/>
  <c r="G161" i="3"/>
  <c r="G165" i="3"/>
  <c r="G166" i="3"/>
  <c r="G156" i="3"/>
  <c r="G167" i="3"/>
  <c r="G163" i="3"/>
  <c r="G168" i="3"/>
  <c r="G158" i="3"/>
  <c r="G216" i="3"/>
  <c r="G159" i="3"/>
  <c r="G160" i="3"/>
  <c r="G132" i="6"/>
  <c r="G40" i="6"/>
  <c r="G78" i="6"/>
  <c r="G220" i="7" s="1"/>
  <c r="G105" i="6"/>
  <c r="Y110" i="3"/>
  <c r="U107" i="4"/>
  <c r="U100" i="4" s="1"/>
  <c r="U84" i="4" s="1"/>
  <c r="G52" i="5"/>
  <c r="G138" i="5"/>
  <c r="G84" i="5"/>
  <c r="G139" i="7" s="1"/>
  <c r="G111" i="5"/>
  <c r="G83" i="5" l="1"/>
  <c r="G138" i="7" s="1"/>
  <c r="G137" i="5"/>
  <c r="G50" i="3"/>
  <c r="G110" i="5"/>
  <c r="G42" i="5"/>
  <c r="U27" i="7"/>
  <c r="U80" i="4"/>
  <c r="U191" i="4"/>
  <c r="U218" i="4"/>
  <c r="G77" i="6"/>
  <c r="G219" i="7" s="1"/>
  <c r="G131" i="6"/>
  <c r="G80" i="3"/>
  <c r="G104" i="6"/>
  <c r="G33" i="6"/>
  <c r="T3" i="7"/>
  <c r="T167" i="4"/>
  <c r="G76" i="5" l="1"/>
  <c r="G103" i="5"/>
  <c r="G17" i="5"/>
  <c r="G232" i="3"/>
  <c r="G78" i="3"/>
  <c r="G202" i="3"/>
  <c r="G48" i="3"/>
  <c r="G70" i="6"/>
  <c r="G97" i="6"/>
  <c r="G17" i="6"/>
  <c r="G151" i="6" s="1"/>
  <c r="U26" i="7"/>
  <c r="U73" i="4"/>
  <c r="U190" i="4"/>
  <c r="U217" i="4"/>
  <c r="G77" i="3" l="1"/>
  <c r="G170" i="3"/>
  <c r="G230" i="3"/>
  <c r="U19" i="7"/>
  <c r="U57" i="4"/>
  <c r="U183" i="4"/>
  <c r="U210" i="4"/>
  <c r="V54" i="7"/>
  <c r="G200" i="3"/>
  <c r="G47" i="3"/>
  <c r="G140" i="3" s="1"/>
  <c r="G60" i="5"/>
  <c r="G141" i="5"/>
  <c r="G150" i="5"/>
  <c r="G156" i="5"/>
  <c r="G161" i="5"/>
  <c r="G162" i="5"/>
  <c r="G163" i="5"/>
  <c r="G148" i="5"/>
  <c r="G155" i="5"/>
  <c r="G154" i="5"/>
  <c r="G147" i="5"/>
  <c r="G159" i="5"/>
  <c r="G143" i="5"/>
  <c r="G152" i="5"/>
  <c r="G145" i="5"/>
  <c r="G153" i="5"/>
  <c r="G160" i="5"/>
  <c r="G151" i="5"/>
  <c r="G158" i="5"/>
  <c r="G166" i="5"/>
  <c r="G146" i="5"/>
  <c r="G144" i="5"/>
  <c r="G142" i="5"/>
  <c r="G165" i="5"/>
  <c r="G164" i="5"/>
  <c r="V107" i="4"/>
  <c r="V100" i="4" s="1"/>
  <c r="V84" i="4" s="1"/>
  <c r="G54" i="6"/>
  <c r="G135" i="6"/>
  <c r="G155" i="6"/>
  <c r="G156" i="6"/>
  <c r="G142" i="6"/>
  <c r="G149" i="6"/>
  <c r="G148" i="6"/>
  <c r="G153" i="6"/>
  <c r="G141" i="6"/>
  <c r="G137" i="6"/>
  <c r="G146" i="6"/>
  <c r="G139" i="6"/>
  <c r="G154" i="6"/>
  <c r="G147" i="6"/>
  <c r="G140" i="6"/>
  <c r="G152" i="6"/>
  <c r="G145" i="6"/>
  <c r="G138" i="6"/>
  <c r="G136" i="6"/>
  <c r="G160" i="6"/>
  <c r="G159" i="6"/>
  <c r="G158" i="6"/>
  <c r="G157" i="5"/>
  <c r="H72" i="5" l="1"/>
  <c r="H127" i="7" s="1"/>
  <c r="H126" i="5"/>
  <c r="H99" i="5"/>
  <c r="H33" i="5"/>
  <c r="V80" i="4"/>
  <c r="V27" i="7"/>
  <c r="V191" i="4"/>
  <c r="V218" i="4"/>
  <c r="U3" i="7"/>
  <c r="U167" i="4"/>
  <c r="H133" i="5"/>
  <c r="H79" i="5"/>
  <c r="H134" i="7" s="1"/>
  <c r="H106" i="5"/>
  <c r="H43" i="5"/>
  <c r="H127" i="6"/>
  <c r="H73" i="6"/>
  <c r="H215" i="7" s="1"/>
  <c r="H100" i="6"/>
  <c r="H34" i="6"/>
  <c r="G139" i="3"/>
  <c r="G145" i="3"/>
  <c r="G147" i="3"/>
  <c r="G143" i="3"/>
  <c r="G146" i="3"/>
  <c r="G150" i="3"/>
  <c r="G144" i="3"/>
  <c r="G149" i="3"/>
  <c r="G199" i="3"/>
  <c r="G148" i="3"/>
  <c r="G141" i="3"/>
  <c r="G142" i="3"/>
  <c r="G169" i="3"/>
  <c r="G175" i="3"/>
  <c r="G176" i="3"/>
  <c r="G173" i="3"/>
  <c r="G177" i="3"/>
  <c r="G174" i="3"/>
  <c r="G180" i="3"/>
  <c r="G179" i="3"/>
  <c r="G178" i="3"/>
  <c r="G229" i="3"/>
  <c r="G171" i="3"/>
  <c r="G172" i="3"/>
  <c r="W54" i="7" l="1"/>
  <c r="H113" i="6"/>
  <c r="H59" i="6"/>
  <c r="H201" i="7" s="1"/>
  <c r="H86" i="6"/>
  <c r="H20" i="6"/>
  <c r="H131" i="5"/>
  <c r="H77" i="5"/>
  <c r="H132" i="7" s="1"/>
  <c r="H49" i="3"/>
  <c r="H104" i="5"/>
  <c r="V73" i="4"/>
  <c r="V26" i="7"/>
  <c r="V190" i="4"/>
  <c r="V217" i="4"/>
  <c r="H70" i="5"/>
  <c r="H125" i="7" s="1"/>
  <c r="H124" i="5"/>
  <c r="H38" i="3"/>
  <c r="H97" i="5"/>
  <c r="W107" i="4"/>
  <c r="W100" i="4" s="1"/>
  <c r="W84" i="4" s="1"/>
  <c r="H71" i="6"/>
  <c r="H213" i="7" s="1"/>
  <c r="H125" i="6"/>
  <c r="H79" i="3"/>
  <c r="H98" i="6"/>
  <c r="H65" i="5"/>
  <c r="H120" i="7" s="1"/>
  <c r="H119" i="5"/>
  <c r="H92" i="5"/>
  <c r="H21" i="5"/>
  <c r="H85" i="5"/>
  <c r="H140" i="7" s="1"/>
  <c r="H139" i="5"/>
  <c r="H112" i="5"/>
  <c r="H57" i="6" l="1"/>
  <c r="H199" i="7" s="1"/>
  <c r="H111" i="6"/>
  <c r="H67" i="3"/>
  <c r="H84" i="6"/>
  <c r="H120" i="6"/>
  <c r="H66" i="6"/>
  <c r="H208" i="7" s="1"/>
  <c r="H93" i="6"/>
  <c r="H27" i="6"/>
  <c r="H201" i="3"/>
  <c r="H63" i="5"/>
  <c r="H118" i="7" s="1"/>
  <c r="H117" i="5"/>
  <c r="H37" i="3"/>
  <c r="H90" i="5"/>
  <c r="H18" i="5"/>
  <c r="W27" i="7"/>
  <c r="W80" i="4"/>
  <c r="W191" i="4"/>
  <c r="W218" i="4"/>
  <c r="H190" i="3"/>
  <c r="H231" i="3"/>
  <c r="V19" i="7"/>
  <c r="V57" i="4"/>
  <c r="V183" i="4"/>
  <c r="V210" i="4"/>
  <c r="H189" i="3" l="1"/>
  <c r="H35" i="3"/>
  <c r="H219" i="3"/>
  <c r="H118" i="6"/>
  <c r="H68" i="3"/>
  <c r="H65" i="3" s="1"/>
  <c r="H64" i="6"/>
  <c r="H206" i="7" s="1"/>
  <c r="H91" i="6"/>
  <c r="V3" i="7"/>
  <c r="V167" i="4"/>
  <c r="W26" i="7"/>
  <c r="W73" i="4"/>
  <c r="W190" i="4"/>
  <c r="W217" i="4"/>
  <c r="H133" i="6"/>
  <c r="H79" i="6"/>
  <c r="H221" i="7" s="1"/>
  <c r="H106" i="6"/>
  <c r="H61" i="5"/>
  <c r="H88" i="5"/>
  <c r="H18" i="6"/>
  <c r="H55" i="6" l="1"/>
  <c r="H82" i="6"/>
  <c r="H64" i="3"/>
  <c r="H160" i="3" s="1"/>
  <c r="H157" i="3"/>
  <c r="H217" i="3"/>
  <c r="X107" i="4"/>
  <c r="X100" i="4" s="1"/>
  <c r="X84" i="4" s="1"/>
  <c r="H187" i="3"/>
  <c r="H34" i="3"/>
  <c r="H127" i="3" s="1"/>
  <c r="X54" i="7"/>
  <c r="H220" i="3"/>
  <c r="W19" i="7"/>
  <c r="W57" i="4"/>
  <c r="W183" i="4"/>
  <c r="W210" i="4"/>
  <c r="H40" i="6" l="1"/>
  <c r="H132" i="6"/>
  <c r="H78" i="6"/>
  <c r="H220" i="7" s="1"/>
  <c r="H105" i="6"/>
  <c r="H52" i="5"/>
  <c r="H138" i="5"/>
  <c r="H84" i="5"/>
  <c r="H139" i="7" s="1"/>
  <c r="H111" i="5"/>
  <c r="H163" i="3"/>
  <c r="H161" i="3"/>
  <c r="H166" i="3"/>
  <c r="H156" i="3"/>
  <c r="H167" i="3"/>
  <c r="H168" i="3"/>
  <c r="H165" i="3"/>
  <c r="H216" i="3"/>
  <c r="H158" i="3"/>
  <c r="H159" i="3"/>
  <c r="L55" i="7"/>
  <c r="L134" i="4"/>
  <c r="H132" i="3"/>
  <c r="H136" i="3"/>
  <c r="H137" i="3"/>
  <c r="H134" i="3"/>
  <c r="H138" i="3"/>
  <c r="H131" i="3"/>
  <c r="H186" i="3"/>
  <c r="H133" i="3"/>
  <c r="H126" i="3"/>
  <c r="H135" i="3"/>
  <c r="H128" i="3"/>
  <c r="H130" i="3"/>
  <c r="H129" i="3"/>
  <c r="W3" i="7"/>
  <c r="W167" i="4"/>
  <c r="X80" i="4"/>
  <c r="X27" i="7"/>
  <c r="X191" i="4"/>
  <c r="X218" i="4"/>
  <c r="L53" i="7" l="1"/>
  <c r="L127" i="4"/>
  <c r="H42" i="5"/>
  <c r="H137" i="5"/>
  <c r="H83" i="5"/>
  <c r="H138" i="7" s="1"/>
  <c r="H50" i="3"/>
  <c r="H110" i="5"/>
  <c r="X26" i="7"/>
  <c r="X73" i="4"/>
  <c r="X190" i="4"/>
  <c r="X217" i="4"/>
  <c r="H131" i="6"/>
  <c r="H80" i="3"/>
  <c r="H77" i="6"/>
  <c r="H219" i="7" s="1"/>
  <c r="H104" i="6"/>
  <c r="H33" i="6"/>
  <c r="Y54" i="7" l="1"/>
  <c r="H76" i="5"/>
  <c r="H103" i="5"/>
  <c r="H17" i="5"/>
  <c r="X19" i="7"/>
  <c r="X57" i="4"/>
  <c r="X183" i="4"/>
  <c r="X210" i="4"/>
  <c r="L46" i="7"/>
  <c r="L111" i="4"/>
  <c r="L30" i="7" s="1"/>
  <c r="Y107" i="4"/>
  <c r="Y100" i="4" s="1"/>
  <c r="Y84" i="4" s="1"/>
  <c r="H70" i="6"/>
  <c r="H97" i="6"/>
  <c r="H17" i="6"/>
  <c r="H151" i="6" s="1"/>
  <c r="H202" i="3"/>
  <c r="H48" i="3"/>
  <c r="H232" i="3"/>
  <c r="H78" i="3"/>
  <c r="X3" i="7" l="1"/>
  <c r="X167" i="4"/>
  <c r="H77" i="3"/>
  <c r="H170" i="3"/>
  <c r="H230" i="3"/>
  <c r="H141" i="5"/>
  <c r="H60" i="5"/>
  <c r="H150" i="5"/>
  <c r="H156" i="5"/>
  <c r="H161" i="5"/>
  <c r="H162" i="5"/>
  <c r="H163" i="5"/>
  <c r="H148" i="5"/>
  <c r="H155" i="5"/>
  <c r="H154" i="5"/>
  <c r="H147" i="5"/>
  <c r="H143" i="5"/>
  <c r="H152" i="5"/>
  <c r="H159" i="5"/>
  <c r="H145" i="5"/>
  <c r="H153" i="5"/>
  <c r="H160" i="5"/>
  <c r="H151" i="5"/>
  <c r="H146" i="5"/>
  <c r="H158" i="5"/>
  <c r="H166" i="5"/>
  <c r="H144" i="5"/>
  <c r="H142" i="5"/>
  <c r="H165" i="5"/>
  <c r="H164" i="5"/>
  <c r="H157" i="5"/>
  <c r="H200" i="3"/>
  <c r="H47" i="3"/>
  <c r="H140" i="3" s="1"/>
  <c r="H135" i="6"/>
  <c r="H156" i="6"/>
  <c r="H155" i="6"/>
  <c r="H142" i="6"/>
  <c r="H149" i="6"/>
  <c r="H54" i="6"/>
  <c r="H148" i="6"/>
  <c r="H141" i="6"/>
  <c r="H146" i="6"/>
  <c r="H153" i="6"/>
  <c r="H137" i="6"/>
  <c r="H139" i="6"/>
  <c r="H154" i="6"/>
  <c r="H140" i="6"/>
  <c r="H152" i="6"/>
  <c r="H147" i="6"/>
  <c r="H138" i="6"/>
  <c r="H145" i="6"/>
  <c r="H160" i="6"/>
  <c r="H136" i="6"/>
  <c r="H159" i="6"/>
  <c r="H158" i="6"/>
  <c r="Y80" i="4"/>
  <c r="Y27" i="7"/>
  <c r="Y191" i="4"/>
  <c r="Y218" i="4"/>
  <c r="H174" i="3" l="1"/>
  <c r="H180" i="3"/>
  <c r="H179" i="3"/>
  <c r="H178" i="3"/>
  <c r="H169" i="3"/>
  <c r="H175" i="3"/>
  <c r="H177" i="3"/>
  <c r="H176" i="3"/>
  <c r="H173" i="3"/>
  <c r="H229" i="3"/>
  <c r="H171" i="3"/>
  <c r="H172" i="3"/>
  <c r="Y26" i="7"/>
  <c r="Y73" i="4"/>
  <c r="Y190" i="4"/>
  <c r="Y217" i="4"/>
  <c r="H144" i="3"/>
  <c r="H139" i="3"/>
  <c r="H145" i="3"/>
  <c r="H150" i="3"/>
  <c r="H199" i="3"/>
  <c r="H146" i="3"/>
  <c r="H147" i="3"/>
  <c r="H143" i="3"/>
  <c r="H149" i="3"/>
  <c r="H148" i="3"/>
  <c r="H141" i="3"/>
  <c r="H142" i="3"/>
  <c r="I133" i="5" l="1"/>
  <c r="I79" i="5"/>
  <c r="I134" i="7" s="1"/>
  <c r="I106" i="5"/>
  <c r="I43" i="5"/>
  <c r="I72" i="5"/>
  <c r="I127" i="7" s="1"/>
  <c r="I126" i="5"/>
  <c r="I99" i="5"/>
  <c r="I33" i="5"/>
  <c r="I127" i="6"/>
  <c r="I73" i="6"/>
  <c r="I215" i="7" s="1"/>
  <c r="I100" i="6"/>
  <c r="I34" i="6"/>
  <c r="Y19" i="7"/>
  <c r="Y57" i="4"/>
  <c r="Y3" i="7" s="1"/>
  <c r="Y183" i="4"/>
  <c r="Y210" i="4"/>
  <c r="I139" i="5" l="1"/>
  <c r="I85" i="5"/>
  <c r="I140" i="7" s="1"/>
  <c r="I112" i="5"/>
  <c r="I71" i="6"/>
  <c r="I213" i="7" s="1"/>
  <c r="I125" i="6"/>
  <c r="I79" i="3"/>
  <c r="I98" i="6"/>
  <c r="I77" i="5"/>
  <c r="I132" i="7" s="1"/>
  <c r="I131" i="5"/>
  <c r="I49" i="3"/>
  <c r="I104" i="5"/>
  <c r="I119" i="5"/>
  <c r="I65" i="5"/>
  <c r="I120" i="7" s="1"/>
  <c r="I92" i="5"/>
  <c r="I21" i="5"/>
  <c r="I124" i="5"/>
  <c r="I70" i="5"/>
  <c r="I125" i="7" s="1"/>
  <c r="I38" i="3"/>
  <c r="I97" i="5"/>
  <c r="I18" i="5" l="1"/>
  <c r="I117" i="5"/>
  <c r="I63" i="5"/>
  <c r="I118" i="7" s="1"/>
  <c r="I37" i="3"/>
  <c r="I90" i="5"/>
  <c r="I201" i="3"/>
  <c r="I190" i="3"/>
  <c r="I120" i="6"/>
  <c r="I66" i="6"/>
  <c r="I208" i="7" s="1"/>
  <c r="I93" i="6"/>
  <c r="I27" i="6"/>
  <c r="I231" i="3"/>
  <c r="I113" i="6" l="1"/>
  <c r="I59" i="6"/>
  <c r="I201" i="7" s="1"/>
  <c r="I86" i="6"/>
  <c r="I20" i="6"/>
  <c r="I64" i="6"/>
  <c r="I206" i="7" s="1"/>
  <c r="I118" i="6"/>
  <c r="I68" i="3"/>
  <c r="I91" i="6"/>
  <c r="I189" i="3"/>
  <c r="I35" i="3"/>
  <c r="I61" i="5"/>
  <c r="I88" i="5"/>
  <c r="I187" i="3" l="1"/>
  <c r="I34" i="3"/>
  <c r="I127" i="3" s="1"/>
  <c r="I111" i="6"/>
  <c r="I67" i="3"/>
  <c r="I57" i="6"/>
  <c r="I199" i="7" s="1"/>
  <c r="I84" i="6"/>
  <c r="I18" i="6"/>
  <c r="I220" i="3"/>
  <c r="I219" i="3" l="1"/>
  <c r="I65" i="3"/>
  <c r="I133" i="6"/>
  <c r="I79" i="6"/>
  <c r="I221" i="7" s="1"/>
  <c r="I106" i="6"/>
  <c r="I55" i="6"/>
  <c r="I82" i="6"/>
  <c r="I134" i="3"/>
  <c r="I131" i="3"/>
  <c r="I135" i="3"/>
  <c r="I186" i="3"/>
  <c r="I126" i="3"/>
  <c r="I133" i="3"/>
  <c r="I136" i="3"/>
  <c r="I137" i="3"/>
  <c r="I132" i="3"/>
  <c r="I138" i="3"/>
  <c r="I128" i="3"/>
  <c r="I130" i="3"/>
  <c r="I129" i="3"/>
  <c r="I52" i="5" l="1"/>
  <c r="I84" i="5"/>
  <c r="I139" i="7" s="1"/>
  <c r="I138" i="5"/>
  <c r="I111" i="5"/>
  <c r="I64" i="3"/>
  <c r="I217" i="3"/>
  <c r="I40" i="6"/>
  <c r="I132" i="6"/>
  <c r="I78" i="6"/>
  <c r="I220" i="7" s="1"/>
  <c r="I105" i="6"/>
  <c r="I157" i="3" l="1"/>
  <c r="I83" i="5"/>
  <c r="I138" i="7" s="1"/>
  <c r="I137" i="5"/>
  <c r="I50" i="3"/>
  <c r="I110" i="5"/>
  <c r="I42" i="5"/>
  <c r="I166" i="3"/>
  <c r="I156" i="3"/>
  <c r="I167" i="3"/>
  <c r="I168" i="3"/>
  <c r="I163" i="3"/>
  <c r="I161" i="3"/>
  <c r="I165" i="3"/>
  <c r="I158" i="3"/>
  <c r="I216" i="3"/>
  <c r="I160" i="3"/>
  <c r="I159" i="3"/>
  <c r="I77" i="6"/>
  <c r="I219" i="7" s="1"/>
  <c r="I131" i="6"/>
  <c r="I80" i="3"/>
  <c r="I104" i="6"/>
  <c r="I33" i="6"/>
  <c r="I232" i="3" l="1"/>
  <c r="I78" i="3"/>
  <c r="I17" i="5"/>
  <c r="I157" i="5"/>
  <c r="I76" i="5"/>
  <c r="I103" i="5"/>
  <c r="I202" i="3"/>
  <c r="I48" i="3"/>
  <c r="I70" i="6"/>
  <c r="I97" i="6"/>
  <c r="I17" i="6"/>
  <c r="I136" i="6" l="1"/>
  <c r="I135" i="6"/>
  <c r="I156" i="6"/>
  <c r="I155" i="6"/>
  <c r="I148" i="6"/>
  <c r="I141" i="6"/>
  <c r="I54" i="6"/>
  <c r="I142" i="6"/>
  <c r="I149" i="6"/>
  <c r="I146" i="6"/>
  <c r="I153" i="6"/>
  <c r="I137" i="6"/>
  <c r="I139" i="6"/>
  <c r="I154" i="6"/>
  <c r="I152" i="6"/>
  <c r="I147" i="6"/>
  <c r="I145" i="6"/>
  <c r="I140" i="6"/>
  <c r="I138" i="6"/>
  <c r="I160" i="6"/>
  <c r="I159" i="6"/>
  <c r="I158" i="6"/>
  <c r="I141" i="5"/>
  <c r="I60" i="5"/>
  <c r="I150" i="5"/>
  <c r="I156" i="5"/>
  <c r="I162" i="5"/>
  <c r="I161" i="5"/>
  <c r="I163" i="5"/>
  <c r="I154" i="5"/>
  <c r="I147" i="5"/>
  <c r="I148" i="5"/>
  <c r="I155" i="5"/>
  <c r="I143" i="5"/>
  <c r="I152" i="5"/>
  <c r="I159" i="5"/>
  <c r="I145" i="5"/>
  <c r="I160" i="5"/>
  <c r="I153" i="5"/>
  <c r="I166" i="5"/>
  <c r="I151" i="5"/>
  <c r="I158" i="5"/>
  <c r="I146" i="5"/>
  <c r="I144" i="5"/>
  <c r="I142" i="5"/>
  <c r="I165" i="5"/>
  <c r="I164" i="5"/>
  <c r="M55" i="7"/>
  <c r="M134" i="4"/>
  <c r="I151" i="6"/>
  <c r="J133" i="5"/>
  <c r="J79" i="5"/>
  <c r="J134" i="7" s="1"/>
  <c r="J106" i="5"/>
  <c r="J43" i="5"/>
  <c r="I77" i="3"/>
  <c r="I230" i="3"/>
  <c r="I200" i="3"/>
  <c r="I47" i="3"/>
  <c r="I140" i="3" s="1"/>
  <c r="J126" i="5"/>
  <c r="J72" i="5"/>
  <c r="J127" i="7" s="1"/>
  <c r="J99" i="5"/>
  <c r="J33" i="5"/>
  <c r="I170" i="3" l="1"/>
  <c r="J70" i="5"/>
  <c r="J125" i="7" s="1"/>
  <c r="J124" i="5"/>
  <c r="J38" i="3"/>
  <c r="J97" i="5"/>
  <c r="J113" i="6"/>
  <c r="J59" i="6"/>
  <c r="J201" i="7" s="1"/>
  <c r="J86" i="6"/>
  <c r="J20" i="6"/>
  <c r="M53" i="7"/>
  <c r="M127" i="4"/>
  <c r="J127" i="6"/>
  <c r="J73" i="6"/>
  <c r="J215" i="7" s="1"/>
  <c r="J100" i="6"/>
  <c r="J34" i="6"/>
  <c r="I174" i="3"/>
  <c r="I176" i="3"/>
  <c r="I177" i="3"/>
  <c r="I173" i="3"/>
  <c r="I179" i="3"/>
  <c r="I180" i="3"/>
  <c r="I178" i="3"/>
  <c r="I169" i="3"/>
  <c r="I175" i="3"/>
  <c r="I229" i="3"/>
  <c r="I171" i="3"/>
  <c r="I172" i="3"/>
  <c r="J77" i="5"/>
  <c r="J132" i="7" s="1"/>
  <c r="J131" i="5"/>
  <c r="J49" i="3"/>
  <c r="J104" i="5"/>
  <c r="I147" i="3"/>
  <c r="I199" i="3"/>
  <c r="I143" i="3"/>
  <c r="I145" i="3"/>
  <c r="I144" i="3"/>
  <c r="I139" i="3"/>
  <c r="I146" i="3"/>
  <c r="I148" i="3"/>
  <c r="I149" i="3"/>
  <c r="I150" i="3"/>
  <c r="I141" i="3"/>
  <c r="I142" i="3"/>
  <c r="J65" i="5"/>
  <c r="J120" i="7" s="1"/>
  <c r="J119" i="5"/>
  <c r="J92" i="5"/>
  <c r="J21" i="5"/>
  <c r="J85" i="5"/>
  <c r="J140" i="7" s="1"/>
  <c r="J139" i="5"/>
  <c r="J112" i="5"/>
  <c r="J63" i="5" l="1"/>
  <c r="J118" i="7" s="1"/>
  <c r="J117" i="5"/>
  <c r="J37" i="3"/>
  <c r="J90" i="5"/>
  <c r="J18" i="5"/>
  <c r="J111" i="6"/>
  <c r="J67" i="3"/>
  <c r="J57" i="6"/>
  <c r="J199" i="7" s="1"/>
  <c r="J84" i="6"/>
  <c r="J190" i="3"/>
  <c r="J201" i="3"/>
  <c r="M46" i="7"/>
  <c r="M111" i="4"/>
  <c r="M30" i="7" s="1"/>
  <c r="J71" i="6"/>
  <c r="J213" i="7" s="1"/>
  <c r="J125" i="6"/>
  <c r="J79" i="3"/>
  <c r="J98" i="6"/>
  <c r="J120" i="6"/>
  <c r="J66" i="6"/>
  <c r="J208" i="7" s="1"/>
  <c r="J93" i="6"/>
  <c r="J27" i="6"/>
  <c r="J231" i="3" l="1"/>
  <c r="J18" i="6"/>
  <c r="J118" i="6"/>
  <c r="J68" i="3"/>
  <c r="J65" i="3" s="1"/>
  <c r="J64" i="6"/>
  <c r="J206" i="7" s="1"/>
  <c r="J91" i="6"/>
  <c r="J189" i="3"/>
  <c r="J35" i="3"/>
  <c r="J61" i="5"/>
  <c r="J88" i="5"/>
  <c r="J219" i="3"/>
  <c r="J133" i="6"/>
  <c r="J79" i="6"/>
  <c r="J221" i="7" s="1"/>
  <c r="J106" i="6"/>
  <c r="J187" i="3" l="1"/>
  <c r="J34" i="3"/>
  <c r="J127" i="3" s="1"/>
  <c r="J55" i="6"/>
  <c r="J82" i="6"/>
  <c r="J64" i="3"/>
  <c r="J217" i="3"/>
  <c r="J220" i="3"/>
  <c r="J157" i="3" l="1"/>
  <c r="J135" i="3"/>
  <c r="J136" i="3"/>
  <c r="J138" i="3"/>
  <c r="J126" i="3"/>
  <c r="J131" i="3"/>
  <c r="J186" i="3"/>
  <c r="J133" i="3"/>
  <c r="J132" i="3"/>
  <c r="J134" i="3"/>
  <c r="J137" i="3"/>
  <c r="J128" i="3"/>
  <c r="J130" i="3"/>
  <c r="J129" i="3"/>
  <c r="J40" i="6"/>
  <c r="J132" i="6"/>
  <c r="J78" i="6"/>
  <c r="J220" i="7" s="1"/>
  <c r="J105" i="6"/>
  <c r="J166" i="3"/>
  <c r="J156" i="3"/>
  <c r="J167" i="3"/>
  <c r="J168" i="3"/>
  <c r="J163" i="3"/>
  <c r="J161" i="3"/>
  <c r="J165" i="3"/>
  <c r="J158" i="3"/>
  <c r="J216" i="3"/>
  <c r="J159" i="3"/>
  <c r="J160" i="3"/>
  <c r="J84" i="5"/>
  <c r="J139" i="7" s="1"/>
  <c r="J52" i="5"/>
  <c r="J138" i="5"/>
  <c r="J111" i="5"/>
  <c r="J131" i="6" l="1"/>
  <c r="J80" i="3"/>
  <c r="J77" i="6"/>
  <c r="J219" i="7" s="1"/>
  <c r="J104" i="6"/>
  <c r="J33" i="6"/>
  <c r="J137" i="5"/>
  <c r="J83" i="5"/>
  <c r="J138" i="7" s="1"/>
  <c r="J50" i="3"/>
  <c r="J110" i="5"/>
  <c r="J42" i="5"/>
  <c r="J202" i="3" l="1"/>
  <c r="J48" i="3"/>
  <c r="J232" i="3"/>
  <c r="J78" i="3"/>
  <c r="J70" i="6"/>
  <c r="J97" i="6"/>
  <c r="J17" i="6"/>
  <c r="J76" i="5"/>
  <c r="J103" i="5"/>
  <c r="J17" i="5"/>
  <c r="J157" i="5" s="1"/>
  <c r="J77" i="3" l="1"/>
  <c r="J230" i="3"/>
  <c r="J135" i="6"/>
  <c r="J156" i="6"/>
  <c r="J155" i="6"/>
  <c r="J148" i="6"/>
  <c r="J54" i="6"/>
  <c r="J142" i="6"/>
  <c r="J141" i="6"/>
  <c r="J143" i="6"/>
  <c r="J149" i="6"/>
  <c r="J137" i="6"/>
  <c r="J146" i="6"/>
  <c r="J153" i="6"/>
  <c r="J139" i="6"/>
  <c r="J140" i="6"/>
  <c r="J154" i="6"/>
  <c r="J138" i="6"/>
  <c r="J147" i="6"/>
  <c r="J152" i="6"/>
  <c r="J145" i="6"/>
  <c r="J160" i="6"/>
  <c r="J136" i="6"/>
  <c r="J159" i="6"/>
  <c r="J158" i="6"/>
  <c r="J151" i="6"/>
  <c r="J200" i="3"/>
  <c r="J47" i="3"/>
  <c r="J140" i="3" s="1"/>
  <c r="J164" i="5"/>
  <c r="J60" i="5"/>
  <c r="J141" i="5"/>
  <c r="J156" i="5"/>
  <c r="J162" i="5"/>
  <c r="J161" i="5"/>
  <c r="J163" i="5"/>
  <c r="J154" i="5"/>
  <c r="J147" i="5"/>
  <c r="J148" i="5"/>
  <c r="J149" i="5"/>
  <c r="J155" i="5"/>
  <c r="J150" i="5"/>
  <c r="J152" i="5"/>
  <c r="J159" i="5"/>
  <c r="J143" i="5"/>
  <c r="J145" i="5"/>
  <c r="J160" i="5"/>
  <c r="J153" i="5"/>
  <c r="J166" i="5"/>
  <c r="J158" i="5"/>
  <c r="J146" i="5"/>
  <c r="J151" i="5"/>
  <c r="J144" i="5"/>
  <c r="J142" i="5"/>
  <c r="J165" i="5"/>
  <c r="J170" i="3" l="1"/>
  <c r="J148" i="3"/>
  <c r="J147" i="3"/>
  <c r="J150" i="3"/>
  <c r="J139" i="3"/>
  <c r="J145" i="3"/>
  <c r="J144" i="3"/>
  <c r="J143" i="3"/>
  <c r="J199" i="3"/>
  <c r="J146" i="3"/>
  <c r="J149" i="3"/>
  <c r="J141" i="3"/>
  <c r="J142" i="3"/>
  <c r="J174" i="3"/>
  <c r="J179" i="3"/>
  <c r="J178" i="3"/>
  <c r="J169" i="3"/>
  <c r="J175" i="3"/>
  <c r="J176" i="3"/>
  <c r="J173" i="3"/>
  <c r="J177" i="3"/>
  <c r="J180" i="3"/>
  <c r="J229" i="3"/>
  <c r="J171" i="3"/>
  <c r="J172" i="3"/>
  <c r="K126" i="5" l="1"/>
  <c r="K72" i="5"/>
  <c r="K127" i="7" s="1"/>
  <c r="K99" i="5"/>
  <c r="K33" i="5"/>
  <c r="K133" i="5"/>
  <c r="K79" i="5"/>
  <c r="K134" i="7" s="1"/>
  <c r="K106" i="5"/>
  <c r="K43" i="5"/>
  <c r="K131" i="5" l="1"/>
  <c r="K77" i="5"/>
  <c r="K132" i="7" s="1"/>
  <c r="K49" i="3"/>
  <c r="K104" i="5"/>
  <c r="K127" i="6"/>
  <c r="K73" i="6"/>
  <c r="K215" i="7" s="1"/>
  <c r="K100" i="6"/>
  <c r="K34" i="6"/>
  <c r="K139" i="5"/>
  <c r="K85" i="5"/>
  <c r="K140" i="7" s="1"/>
  <c r="K112" i="5"/>
  <c r="K119" i="5"/>
  <c r="K65" i="5"/>
  <c r="K120" i="7" s="1"/>
  <c r="K92" i="5"/>
  <c r="K21" i="5"/>
  <c r="K70" i="5"/>
  <c r="K125" i="7" s="1"/>
  <c r="K124" i="5"/>
  <c r="K38" i="3"/>
  <c r="K97" i="5"/>
  <c r="K120" i="6" l="1"/>
  <c r="K66" i="6"/>
  <c r="K208" i="7" s="1"/>
  <c r="K93" i="6"/>
  <c r="K27" i="6"/>
  <c r="K18" i="5"/>
  <c r="K117" i="5"/>
  <c r="K63" i="5"/>
  <c r="K118" i="7" s="1"/>
  <c r="K37" i="3"/>
  <c r="K90" i="5"/>
  <c r="K125" i="6"/>
  <c r="K79" i="3"/>
  <c r="K71" i="6"/>
  <c r="K213" i="7" s="1"/>
  <c r="K98" i="6"/>
  <c r="K201" i="3"/>
  <c r="K190" i="3"/>
  <c r="K61" i="5" l="1"/>
  <c r="K88" i="5"/>
  <c r="K113" i="6"/>
  <c r="K59" i="6"/>
  <c r="K201" i="7" s="1"/>
  <c r="K86" i="6"/>
  <c r="K20" i="6"/>
  <c r="K118" i="6"/>
  <c r="K68" i="3"/>
  <c r="K64" i="6"/>
  <c r="K206" i="7" s="1"/>
  <c r="K91" i="6"/>
  <c r="N55" i="7"/>
  <c r="N134" i="4"/>
  <c r="K189" i="3"/>
  <c r="K35" i="3"/>
  <c r="K231" i="3"/>
  <c r="K220" i="3" l="1"/>
  <c r="K187" i="3"/>
  <c r="K34" i="3"/>
  <c r="K127" i="3" s="1"/>
  <c r="K111" i="6"/>
  <c r="K67" i="3"/>
  <c r="K57" i="6"/>
  <c r="K199" i="7" s="1"/>
  <c r="K84" i="6"/>
  <c r="K18" i="6"/>
  <c r="Y169" i="4"/>
  <c r="N53" i="7"/>
  <c r="N127" i="4"/>
  <c r="K219" i="3" l="1"/>
  <c r="K65" i="3"/>
  <c r="K133" i="6"/>
  <c r="K79" i="6"/>
  <c r="K221" i="7" s="1"/>
  <c r="K106" i="6"/>
  <c r="K186" i="3"/>
  <c r="K133" i="3"/>
  <c r="K135" i="3"/>
  <c r="K137" i="3"/>
  <c r="K126" i="3"/>
  <c r="K134" i="3"/>
  <c r="K131" i="3"/>
  <c r="K136" i="3"/>
  <c r="K138" i="3"/>
  <c r="K132" i="3"/>
  <c r="K128" i="3"/>
  <c r="K130" i="3"/>
  <c r="K129" i="3"/>
  <c r="K55" i="6"/>
  <c r="K82" i="6"/>
  <c r="N46" i="7"/>
  <c r="N111" i="4"/>
  <c r="N30" i="7" s="1"/>
  <c r="K64" i="3" l="1"/>
  <c r="K157" i="3" s="1"/>
  <c r="K217" i="3"/>
  <c r="K138" i="5" l="1"/>
  <c r="K52" i="5"/>
  <c r="K84" i="5"/>
  <c r="K139" i="7" s="1"/>
  <c r="K111" i="5"/>
  <c r="K132" i="6"/>
  <c r="K40" i="6"/>
  <c r="K78" i="6"/>
  <c r="K220" i="7" s="1"/>
  <c r="K105" i="6"/>
  <c r="K165" i="3"/>
  <c r="K163" i="3"/>
  <c r="K161" i="3"/>
  <c r="K166" i="3"/>
  <c r="K156" i="3"/>
  <c r="K167" i="3"/>
  <c r="K168" i="3"/>
  <c r="K158" i="3"/>
  <c r="K216" i="3"/>
  <c r="K160" i="3"/>
  <c r="K159" i="3"/>
  <c r="K42" i="5" l="1"/>
  <c r="K137" i="5"/>
  <c r="K83" i="5"/>
  <c r="K138" i="7" s="1"/>
  <c r="K50" i="3"/>
  <c r="K110" i="5"/>
  <c r="K131" i="6"/>
  <c r="K80" i="3"/>
  <c r="K77" i="6"/>
  <c r="K219" i="7" s="1"/>
  <c r="K104" i="6"/>
  <c r="K33" i="6"/>
  <c r="Y5" i="4"/>
  <c r="K70" i="6" l="1"/>
  <c r="K97" i="6"/>
  <c r="K17" i="6"/>
  <c r="K202" i="3"/>
  <c r="K48" i="3"/>
  <c r="L126" i="5"/>
  <c r="L72" i="5"/>
  <c r="L127" i="7" s="1"/>
  <c r="L99" i="5"/>
  <c r="L33" i="5"/>
  <c r="K232" i="3"/>
  <c r="K78" i="3"/>
  <c r="L127" i="6"/>
  <c r="L73" i="6"/>
  <c r="L215" i="7" s="1"/>
  <c r="L100" i="6"/>
  <c r="L34" i="6"/>
  <c r="Y6" i="3"/>
  <c r="Y196" i="4"/>
  <c r="L133" i="5"/>
  <c r="L79" i="5"/>
  <c r="L134" i="7" s="1"/>
  <c r="L106" i="5"/>
  <c r="L43" i="5"/>
  <c r="K76" i="5"/>
  <c r="K103" i="5"/>
  <c r="K17" i="5"/>
  <c r="Y174" i="4" l="1"/>
  <c r="L77" i="5"/>
  <c r="L132" i="7" s="1"/>
  <c r="L131" i="5"/>
  <c r="L49" i="3"/>
  <c r="L104" i="5"/>
  <c r="L124" i="5"/>
  <c r="L70" i="5"/>
  <c r="L125" i="7" s="1"/>
  <c r="L38" i="3"/>
  <c r="L97" i="5"/>
  <c r="Y175" i="4"/>
  <c r="K151" i="6"/>
  <c r="K135" i="6"/>
  <c r="K155" i="6"/>
  <c r="K156" i="6"/>
  <c r="K142" i="6"/>
  <c r="K148" i="6"/>
  <c r="K149" i="6"/>
  <c r="K143" i="6"/>
  <c r="K141" i="6"/>
  <c r="K54" i="6"/>
  <c r="K137" i="6"/>
  <c r="K153" i="6"/>
  <c r="K146" i="6"/>
  <c r="K139" i="6"/>
  <c r="K154" i="6"/>
  <c r="K147" i="6"/>
  <c r="K152" i="6"/>
  <c r="K145" i="6"/>
  <c r="K140" i="6"/>
  <c r="K138" i="6"/>
  <c r="K160" i="6"/>
  <c r="K136" i="6"/>
  <c r="K159" i="6"/>
  <c r="K158" i="6"/>
  <c r="K142" i="5"/>
  <c r="K141" i="5"/>
  <c r="K60" i="5"/>
  <c r="K156" i="5"/>
  <c r="K161" i="5"/>
  <c r="K162" i="5"/>
  <c r="K163" i="5"/>
  <c r="K148" i="5"/>
  <c r="K154" i="5"/>
  <c r="K155" i="5"/>
  <c r="K149" i="5"/>
  <c r="K147" i="5"/>
  <c r="K150" i="5"/>
  <c r="K143" i="5"/>
  <c r="K152" i="5"/>
  <c r="K159" i="5"/>
  <c r="K145" i="5"/>
  <c r="K153" i="5"/>
  <c r="K160" i="5"/>
  <c r="K151" i="5"/>
  <c r="K158" i="5"/>
  <c r="K146" i="5"/>
  <c r="K166" i="5"/>
  <c r="K144" i="5"/>
  <c r="K165" i="5"/>
  <c r="K164" i="5"/>
  <c r="K77" i="3"/>
  <c r="K230" i="3"/>
  <c r="K200" i="3"/>
  <c r="K47" i="3"/>
  <c r="K140" i="3" s="1"/>
  <c r="K157" i="5"/>
  <c r="L125" i="6"/>
  <c r="L79" i="3"/>
  <c r="L71" i="6"/>
  <c r="L213" i="7" s="1"/>
  <c r="L98" i="6"/>
  <c r="K170" i="3" l="1"/>
  <c r="L120" i="6"/>
  <c r="L66" i="6"/>
  <c r="L208" i="7" s="1"/>
  <c r="L93" i="6"/>
  <c r="L27" i="6"/>
  <c r="L65" i="5"/>
  <c r="L120" i="7" s="1"/>
  <c r="L119" i="5"/>
  <c r="L92" i="5"/>
  <c r="L21" i="5"/>
  <c r="L190" i="3"/>
  <c r="L231" i="3"/>
  <c r="Y172" i="4"/>
  <c r="L85" i="5"/>
  <c r="L140" i="7" s="1"/>
  <c r="L139" i="5"/>
  <c r="L112" i="5"/>
  <c r="Y173" i="4"/>
  <c r="L201" i="3"/>
  <c r="L113" i="6"/>
  <c r="L59" i="6"/>
  <c r="L201" i="7" s="1"/>
  <c r="L86" i="6"/>
  <c r="L20" i="6"/>
  <c r="K144" i="3"/>
  <c r="K199" i="3"/>
  <c r="K146" i="3"/>
  <c r="K150" i="3"/>
  <c r="K149" i="3"/>
  <c r="K145" i="3"/>
  <c r="K148" i="3"/>
  <c r="K147" i="3"/>
  <c r="K139" i="3"/>
  <c r="K143" i="3"/>
  <c r="K141" i="3"/>
  <c r="K142" i="3"/>
  <c r="K173" i="3"/>
  <c r="K174" i="3"/>
  <c r="K176" i="3"/>
  <c r="K180" i="3"/>
  <c r="K179" i="3"/>
  <c r="K178" i="3"/>
  <c r="K169" i="3"/>
  <c r="K175" i="3"/>
  <c r="K177" i="3"/>
  <c r="K229" i="3"/>
  <c r="K171" i="3"/>
  <c r="K172" i="3"/>
  <c r="L117" i="5" l="1"/>
  <c r="L63" i="5"/>
  <c r="L118" i="7" s="1"/>
  <c r="L37" i="3"/>
  <c r="L18" i="5"/>
  <c r="L90" i="5"/>
  <c r="L118" i="6"/>
  <c r="L68" i="3"/>
  <c r="L64" i="6"/>
  <c r="L206" i="7" s="1"/>
  <c r="L91" i="6"/>
  <c r="Y176" i="4"/>
  <c r="Y171" i="4"/>
  <c r="Y33" i="4"/>
  <c r="L111" i="6"/>
  <c r="L67" i="3"/>
  <c r="L57" i="6"/>
  <c r="L199" i="7" s="1"/>
  <c r="L18" i="6"/>
  <c r="L84" i="6"/>
  <c r="L220" i="3" l="1"/>
  <c r="L55" i="6"/>
  <c r="L82" i="6"/>
  <c r="L65" i="3"/>
  <c r="L219" i="3"/>
  <c r="L133" i="6"/>
  <c r="L79" i="6"/>
  <c r="L221" i="7" s="1"/>
  <c r="L106" i="6"/>
  <c r="L61" i="5"/>
  <c r="L88" i="5"/>
  <c r="Y170" i="4"/>
  <c r="L189" i="3"/>
  <c r="L35" i="3"/>
  <c r="L138" i="5" l="1"/>
  <c r="L84" i="5"/>
  <c r="L139" i="7" s="1"/>
  <c r="L52" i="5"/>
  <c r="L111" i="5"/>
  <c r="L40" i="6"/>
  <c r="L132" i="6"/>
  <c r="L78" i="6"/>
  <c r="L220" i="7" s="1"/>
  <c r="L105" i="6"/>
  <c r="L187" i="3"/>
  <c r="L34" i="3"/>
  <c r="L127" i="3" s="1"/>
  <c r="L64" i="3"/>
  <c r="L217" i="3"/>
  <c r="L157" i="3" l="1"/>
  <c r="L137" i="5"/>
  <c r="L83" i="5"/>
  <c r="L138" i="7" s="1"/>
  <c r="L50" i="3"/>
  <c r="L110" i="5"/>
  <c r="L42" i="5"/>
  <c r="L161" i="3"/>
  <c r="L166" i="3"/>
  <c r="L156" i="3"/>
  <c r="L167" i="3"/>
  <c r="L168" i="3"/>
  <c r="L163" i="3"/>
  <c r="L165" i="3"/>
  <c r="L158" i="3"/>
  <c r="L216" i="3"/>
  <c r="L159" i="3"/>
  <c r="L160" i="3"/>
  <c r="L131" i="6"/>
  <c r="L80" i="3"/>
  <c r="L77" i="6"/>
  <c r="L219" i="7" s="1"/>
  <c r="L104" i="6"/>
  <c r="L33" i="6"/>
  <c r="Y181" i="4"/>
  <c r="L133" i="3"/>
  <c r="L186" i="3"/>
  <c r="L131" i="3"/>
  <c r="L126" i="3"/>
  <c r="L134" i="3"/>
  <c r="L136" i="3"/>
  <c r="L132" i="3"/>
  <c r="L138" i="3"/>
  <c r="L135" i="3"/>
  <c r="L137" i="3"/>
  <c r="L128" i="3"/>
  <c r="L130" i="3"/>
  <c r="L129" i="3"/>
  <c r="Y9" i="4"/>
  <c r="Y12" i="4"/>
  <c r="Y4" i="5"/>
  <c r="Y47" i="6" s="1"/>
  <c r="Y10" i="4"/>
  <c r="Y11" i="4"/>
  <c r="Y202" i="4" l="1"/>
  <c r="L76" i="5"/>
  <c r="L103" i="5"/>
  <c r="L17" i="5"/>
  <c r="Y201" i="4"/>
  <c r="Y96" i="5"/>
  <c r="Y203" i="4"/>
  <c r="L202" i="3"/>
  <c r="L48" i="3"/>
  <c r="Y179" i="4"/>
  <c r="Y40" i="4"/>
  <c r="Y200" i="4"/>
  <c r="L70" i="6"/>
  <c r="L97" i="6"/>
  <c r="L17" i="6"/>
  <c r="L232" i="3"/>
  <c r="L78" i="3"/>
  <c r="Y123" i="5"/>
  <c r="Y69" i="5"/>
  <c r="Y124" i="7" s="1"/>
  <c r="Y7" i="4"/>
  <c r="Y17" i="4"/>
  <c r="Y208" i="4" l="1"/>
  <c r="Y177" i="4"/>
  <c r="Y31" i="4"/>
  <c r="Y258" i="4" s="1"/>
  <c r="L151" i="6"/>
  <c r="L135" i="6"/>
  <c r="L155" i="6"/>
  <c r="L156" i="6"/>
  <c r="L142" i="6"/>
  <c r="L149" i="6"/>
  <c r="L54" i="6"/>
  <c r="L148" i="6"/>
  <c r="L143" i="6"/>
  <c r="L141" i="6"/>
  <c r="L137" i="6"/>
  <c r="L153" i="6"/>
  <c r="L146" i="6"/>
  <c r="L139" i="6"/>
  <c r="L154" i="6"/>
  <c r="L152" i="6"/>
  <c r="L147" i="6"/>
  <c r="L140" i="6"/>
  <c r="L138" i="6"/>
  <c r="L145" i="6"/>
  <c r="L160" i="6"/>
  <c r="L136" i="6"/>
  <c r="L159" i="6"/>
  <c r="L158" i="6"/>
  <c r="L144" i="5"/>
  <c r="L141" i="5"/>
  <c r="L60" i="5"/>
  <c r="L156" i="5"/>
  <c r="L162" i="5"/>
  <c r="L161" i="5"/>
  <c r="L148" i="5"/>
  <c r="L155" i="5"/>
  <c r="L163" i="5"/>
  <c r="L154" i="5"/>
  <c r="L149" i="5"/>
  <c r="L147" i="5"/>
  <c r="L150" i="5"/>
  <c r="L152" i="5"/>
  <c r="L159" i="5"/>
  <c r="L143" i="5"/>
  <c r="L145" i="5"/>
  <c r="L153" i="5"/>
  <c r="L160" i="5"/>
  <c r="L158" i="5"/>
  <c r="L151" i="5"/>
  <c r="L166" i="5"/>
  <c r="L146" i="5"/>
  <c r="L142" i="5"/>
  <c r="L165" i="5"/>
  <c r="L164" i="5"/>
  <c r="Y198" i="4"/>
  <c r="L77" i="3"/>
  <c r="L230" i="3"/>
  <c r="L157" i="5"/>
  <c r="L200" i="3"/>
  <c r="L47" i="3"/>
  <c r="L140" i="3" s="1"/>
  <c r="Y15" i="4"/>
  <c r="Y8" i="4"/>
  <c r="L170" i="3" l="1"/>
  <c r="Y249" i="4"/>
  <c r="Y30" i="4"/>
  <c r="Y168" i="4"/>
  <c r="Y263" i="4"/>
  <c r="Y261" i="4"/>
  <c r="Y259" i="4"/>
  <c r="Y250" i="4"/>
  <c r="Y256" i="4"/>
  <c r="Y255" i="4"/>
  <c r="Y254" i="4"/>
  <c r="Y253" i="4"/>
  <c r="Y252" i="4"/>
  <c r="Y257" i="4"/>
  <c r="Y251" i="4"/>
  <c r="Y262" i="4"/>
  <c r="Y260" i="4"/>
  <c r="Y6" i="4"/>
  <c r="Y199" i="4"/>
  <c r="L144" i="3"/>
  <c r="L149" i="3"/>
  <c r="L150" i="3"/>
  <c r="L148" i="3"/>
  <c r="L139" i="3"/>
  <c r="L145" i="3"/>
  <c r="L146" i="3"/>
  <c r="L143" i="3"/>
  <c r="L147" i="3"/>
  <c r="L199" i="3"/>
  <c r="L141" i="3"/>
  <c r="L142" i="3"/>
  <c r="Y134" i="5"/>
  <c r="Y80" i="5"/>
  <c r="Y135" i="7" s="1"/>
  <c r="Y107" i="5"/>
  <c r="Y206" i="4"/>
  <c r="Y13" i="4"/>
  <c r="Y144" i="6"/>
  <c r="Y117" i="6"/>
  <c r="Y63" i="6"/>
  <c r="Y90" i="6"/>
  <c r="L177" i="3"/>
  <c r="L169" i="3"/>
  <c r="L175" i="3"/>
  <c r="L173" i="3"/>
  <c r="L176" i="3"/>
  <c r="L180" i="3"/>
  <c r="L179" i="3"/>
  <c r="L174" i="3"/>
  <c r="L178" i="3"/>
  <c r="L229" i="3"/>
  <c r="L171" i="3"/>
  <c r="L172" i="3"/>
  <c r="Y127" i="5"/>
  <c r="Y73" i="5"/>
  <c r="Y128" i="7" s="1"/>
  <c r="Y100" i="5"/>
  <c r="Y101" i="6" l="1"/>
  <c r="Y128" i="6"/>
  <c r="Y74" i="6"/>
  <c r="Y216" i="7" s="1"/>
  <c r="Y7" i="3"/>
  <c r="Y197" i="4"/>
  <c r="Y143" i="4"/>
  <c r="Y4" i="4"/>
  <c r="Y231" i="4" s="1"/>
  <c r="Y167" i="4"/>
  <c r="Y132" i="5"/>
  <c r="Y78" i="5"/>
  <c r="Y133" i="7" s="1"/>
  <c r="Y105" i="5"/>
  <c r="Y121" i="6"/>
  <c r="Y67" i="6"/>
  <c r="Y209" i="7" s="1"/>
  <c r="Y94" i="6"/>
  <c r="Y150" i="4"/>
  <c r="Y204" i="4"/>
  <c r="Y8" i="3"/>
  <c r="Y71" i="5"/>
  <c r="Y126" i="7" s="1"/>
  <c r="Y125" i="5"/>
  <c r="Y98" i="5"/>
  <c r="Y116" i="5"/>
  <c r="Y36" i="3"/>
  <c r="Y62" i="5"/>
  <c r="Y117" i="7" s="1"/>
  <c r="Y89" i="5"/>
  <c r="O55" i="7"/>
  <c r="O134" i="4"/>
  <c r="Y120" i="5"/>
  <c r="Y66" i="5"/>
  <c r="Y121" i="7" s="1"/>
  <c r="Y93" i="5"/>
  <c r="Y224" i="4" l="1"/>
  <c r="O53" i="7"/>
  <c r="O127" i="4"/>
  <c r="Y188" i="3"/>
  <c r="Y60" i="6"/>
  <c r="Y202" i="7" s="1"/>
  <c r="Y114" i="6"/>
  <c r="Y87" i="6"/>
  <c r="Y234" i="4"/>
  <c r="Y141" i="4"/>
  <c r="Y222" i="4"/>
  <c r="Y195" i="4"/>
  <c r="Y232" i="4"/>
  <c r="Y236" i="4"/>
  <c r="Y223" i="4"/>
  <c r="Y227" i="4"/>
  <c r="Y229" i="4"/>
  <c r="Y230" i="4"/>
  <c r="Y228" i="4"/>
  <c r="Y225" i="4"/>
  <c r="Y235" i="4"/>
  <c r="Y226" i="4"/>
  <c r="Y233" i="4"/>
  <c r="Y5" i="3"/>
  <c r="Y66" i="3" l="1"/>
  <c r="Y110" i="6"/>
  <c r="Y56" i="6"/>
  <c r="Y198" i="7" s="1"/>
  <c r="Y83" i="6"/>
  <c r="Y4" i="3"/>
  <c r="O46" i="7"/>
  <c r="O111" i="4"/>
  <c r="O30" i="7" s="1"/>
  <c r="Y218" i="3" l="1"/>
  <c r="Y126" i="6"/>
  <c r="Y72" i="6"/>
  <c r="Y214" i="7" s="1"/>
  <c r="Y99" i="6"/>
  <c r="Y97" i="3"/>
  <c r="Y96" i="3"/>
  <c r="Y105" i="3"/>
  <c r="Y104" i="3"/>
  <c r="Y103" i="3"/>
  <c r="Y108" i="3"/>
  <c r="Y106" i="3"/>
  <c r="Y101" i="3"/>
  <c r="Y102" i="3"/>
  <c r="Y107" i="3"/>
  <c r="Y98" i="3"/>
  <c r="Y99" i="3"/>
  <c r="Y100" i="3"/>
  <c r="M113" i="6" l="1"/>
  <c r="M59" i="6"/>
  <c r="M201" i="7" s="1"/>
  <c r="M86" i="6"/>
  <c r="M20" i="6"/>
  <c r="Y135" i="5"/>
  <c r="Y81" i="5"/>
  <c r="Y136" i="7" s="1"/>
  <c r="Y108" i="5"/>
  <c r="Y119" i="6"/>
  <c r="Y65" i="6"/>
  <c r="Y207" i="7" s="1"/>
  <c r="Y92" i="6"/>
  <c r="Y68" i="5"/>
  <c r="Y123" i="7" s="1"/>
  <c r="Y122" i="5"/>
  <c r="Y95" i="5"/>
  <c r="M72" i="5"/>
  <c r="M127" i="7" s="1"/>
  <c r="M126" i="5"/>
  <c r="M99" i="5"/>
  <c r="M33" i="5"/>
  <c r="M79" i="5"/>
  <c r="M134" i="7" s="1"/>
  <c r="M133" i="5"/>
  <c r="M106" i="5"/>
  <c r="M43" i="5"/>
  <c r="M124" i="5" l="1"/>
  <c r="M70" i="5"/>
  <c r="M125" i="7" s="1"/>
  <c r="M38" i="3"/>
  <c r="M97" i="5"/>
  <c r="M119" i="5"/>
  <c r="M65" i="5"/>
  <c r="M120" i="7" s="1"/>
  <c r="M92" i="5"/>
  <c r="M21" i="5"/>
  <c r="Y116" i="6"/>
  <c r="Y62" i="6"/>
  <c r="Y204" i="7" s="1"/>
  <c r="Y89" i="6"/>
  <c r="Y129" i="6"/>
  <c r="Y75" i="6"/>
  <c r="Y217" i="7" s="1"/>
  <c r="Y102" i="6"/>
  <c r="M139" i="5"/>
  <c r="M85" i="5"/>
  <c r="M140" i="7" s="1"/>
  <c r="M112" i="5"/>
  <c r="M77" i="5"/>
  <c r="M132" i="7" s="1"/>
  <c r="M131" i="5"/>
  <c r="M49" i="3"/>
  <c r="M104" i="5"/>
  <c r="Y121" i="5"/>
  <c r="Y67" i="5"/>
  <c r="Y122" i="7" s="1"/>
  <c r="Y94" i="5"/>
  <c r="M127" i="6"/>
  <c r="M73" i="6"/>
  <c r="M215" i="7" s="1"/>
  <c r="M100" i="6"/>
  <c r="M34" i="6"/>
  <c r="M57" i="6"/>
  <c r="M199" i="7" s="1"/>
  <c r="M111" i="6"/>
  <c r="M67" i="3"/>
  <c r="M84" i="6"/>
  <c r="M63" i="5" l="1"/>
  <c r="M118" i="7" s="1"/>
  <c r="M117" i="5"/>
  <c r="M37" i="3"/>
  <c r="M90" i="5"/>
  <c r="M18" i="5"/>
  <c r="M71" i="6"/>
  <c r="M213" i="7" s="1"/>
  <c r="M125" i="6"/>
  <c r="M79" i="3"/>
  <c r="M98" i="6"/>
  <c r="Y118" i="5"/>
  <c r="Y64" i="5"/>
  <c r="Y119" i="7" s="1"/>
  <c r="Y91" i="5"/>
  <c r="M201" i="3"/>
  <c r="M219" i="3"/>
  <c r="M120" i="6"/>
  <c r="M66" i="6"/>
  <c r="M208" i="7" s="1"/>
  <c r="M93" i="6"/>
  <c r="M27" i="6"/>
  <c r="Y115" i="6"/>
  <c r="Y61" i="6"/>
  <c r="Y203" i="7" s="1"/>
  <c r="Y88" i="6"/>
  <c r="M190" i="3"/>
  <c r="M231" i="3" l="1"/>
  <c r="M61" i="5"/>
  <c r="M88" i="5"/>
  <c r="Y58" i="6"/>
  <c r="Y200" i="7" s="1"/>
  <c r="Y112" i="6"/>
  <c r="Y85" i="6"/>
  <c r="M189" i="3"/>
  <c r="M35" i="3"/>
  <c r="M64" i="6"/>
  <c r="M206" i="7" s="1"/>
  <c r="M118" i="6"/>
  <c r="M68" i="3"/>
  <c r="M91" i="6"/>
  <c r="M18" i="6"/>
  <c r="Y128" i="5"/>
  <c r="Y74" i="5"/>
  <c r="Y129" i="7" s="1"/>
  <c r="Y101" i="5"/>
  <c r="M133" i="6" l="1"/>
  <c r="M79" i="6"/>
  <c r="M221" i="7" s="1"/>
  <c r="M106" i="6"/>
  <c r="M55" i="6"/>
  <c r="M82" i="6"/>
  <c r="M187" i="3"/>
  <c r="M34" i="3"/>
  <c r="M127" i="3" s="1"/>
  <c r="M220" i="3"/>
  <c r="M65" i="3"/>
  <c r="Y68" i="6"/>
  <c r="Y210" i="7" s="1"/>
  <c r="Y122" i="6"/>
  <c r="Y95" i="6"/>
  <c r="M64" i="3" l="1"/>
  <c r="M217" i="3"/>
  <c r="M132" i="6"/>
  <c r="M40" i="6"/>
  <c r="M78" i="6"/>
  <c r="M220" i="7" s="1"/>
  <c r="M105" i="6"/>
  <c r="M138" i="5"/>
  <c r="M52" i="5"/>
  <c r="M84" i="5"/>
  <c r="M139" i="7" s="1"/>
  <c r="M111" i="5"/>
  <c r="M133" i="3"/>
  <c r="M135" i="3"/>
  <c r="M186" i="3"/>
  <c r="M126" i="3"/>
  <c r="M131" i="3"/>
  <c r="M134" i="3"/>
  <c r="M136" i="3"/>
  <c r="M138" i="3"/>
  <c r="M137" i="3"/>
  <c r="M132" i="3"/>
  <c r="M128" i="3"/>
  <c r="M130" i="3"/>
  <c r="M129" i="3"/>
  <c r="M157" i="3" l="1"/>
  <c r="M137" i="5"/>
  <c r="M83" i="5"/>
  <c r="M138" i="7" s="1"/>
  <c r="M50" i="3"/>
  <c r="M110" i="5"/>
  <c r="M42" i="5"/>
  <c r="M131" i="6"/>
  <c r="M80" i="3"/>
  <c r="M77" i="6"/>
  <c r="M219" i="7" s="1"/>
  <c r="M104" i="6"/>
  <c r="M33" i="6"/>
  <c r="M163" i="3"/>
  <c r="M161" i="3"/>
  <c r="M166" i="3"/>
  <c r="M156" i="3"/>
  <c r="M168" i="3"/>
  <c r="M167" i="3"/>
  <c r="M165" i="3"/>
  <c r="M158" i="3"/>
  <c r="M216" i="3"/>
  <c r="M159" i="3"/>
  <c r="M160" i="3"/>
  <c r="M76" i="5" l="1"/>
  <c r="M103" i="5"/>
  <c r="M17" i="5"/>
  <c r="M70" i="6"/>
  <c r="M97" i="6"/>
  <c r="M17" i="6"/>
  <c r="M202" i="3"/>
  <c r="M48" i="3"/>
  <c r="M232" i="3"/>
  <c r="M78" i="3"/>
  <c r="M200" i="3" l="1"/>
  <c r="M47" i="3"/>
  <c r="M140" i="3" s="1"/>
  <c r="M142" i="5"/>
  <c r="M60" i="5"/>
  <c r="M141" i="5"/>
  <c r="M156" i="5"/>
  <c r="M163" i="5"/>
  <c r="M161" i="5"/>
  <c r="M162" i="5"/>
  <c r="M148" i="5"/>
  <c r="M154" i="5"/>
  <c r="M155" i="5"/>
  <c r="M149" i="5"/>
  <c r="M147" i="5"/>
  <c r="M150" i="5"/>
  <c r="M143" i="5"/>
  <c r="M152" i="5"/>
  <c r="M159" i="5"/>
  <c r="M145" i="5"/>
  <c r="M160" i="5"/>
  <c r="M153" i="5"/>
  <c r="M158" i="5"/>
  <c r="M146" i="5"/>
  <c r="M166" i="5"/>
  <c r="M151" i="5"/>
  <c r="M144" i="5"/>
  <c r="M165" i="5"/>
  <c r="M164" i="5"/>
  <c r="M157" i="5"/>
  <c r="M151" i="6"/>
  <c r="M135" i="6"/>
  <c r="M155" i="6"/>
  <c r="M156" i="6"/>
  <c r="M142" i="6"/>
  <c r="M148" i="6"/>
  <c r="M54" i="6"/>
  <c r="M149" i="6"/>
  <c r="M143" i="6"/>
  <c r="M141" i="6"/>
  <c r="M137" i="6"/>
  <c r="M146" i="6"/>
  <c r="M153" i="6"/>
  <c r="M139" i="6"/>
  <c r="M140" i="6"/>
  <c r="M154" i="6"/>
  <c r="M138" i="6"/>
  <c r="M147" i="6"/>
  <c r="M152" i="6"/>
  <c r="M145" i="6"/>
  <c r="M160" i="6"/>
  <c r="M136" i="6"/>
  <c r="M159" i="6"/>
  <c r="M158" i="6"/>
  <c r="M77" i="3"/>
  <c r="M230" i="3"/>
  <c r="M170" i="3" l="1"/>
  <c r="M147" i="3"/>
  <c r="M148" i="3"/>
  <c r="M139" i="3"/>
  <c r="M145" i="3"/>
  <c r="M146" i="3"/>
  <c r="M199" i="3"/>
  <c r="M144" i="3"/>
  <c r="M143" i="3"/>
  <c r="M150" i="3"/>
  <c r="M149" i="3"/>
  <c r="M141" i="3"/>
  <c r="M142" i="3"/>
  <c r="M174" i="3"/>
  <c r="M169" i="3"/>
  <c r="M175" i="3"/>
  <c r="M173" i="3"/>
  <c r="M176" i="3"/>
  <c r="M177" i="3"/>
  <c r="M179" i="3"/>
  <c r="M180" i="3"/>
  <c r="M178" i="3"/>
  <c r="M229" i="3"/>
  <c r="M171" i="3"/>
  <c r="M172" i="3"/>
  <c r="N72" i="5" l="1"/>
  <c r="N127" i="7" s="1"/>
  <c r="N126" i="5"/>
  <c r="N99" i="5"/>
  <c r="N33" i="5"/>
  <c r="N133" i="5"/>
  <c r="N79" i="5"/>
  <c r="N134" i="7" s="1"/>
  <c r="N106" i="5"/>
  <c r="N43" i="5"/>
  <c r="N77" i="5" l="1"/>
  <c r="N132" i="7" s="1"/>
  <c r="N131" i="5"/>
  <c r="N49" i="3"/>
  <c r="N104" i="5"/>
  <c r="N127" i="6"/>
  <c r="N73" i="6"/>
  <c r="N215" i="7" s="1"/>
  <c r="N100" i="6"/>
  <c r="N34" i="6"/>
  <c r="N70" i="5"/>
  <c r="N125" i="7" s="1"/>
  <c r="N124" i="5"/>
  <c r="N38" i="3"/>
  <c r="N97" i="5"/>
  <c r="N190" i="3" l="1"/>
  <c r="N201" i="3"/>
  <c r="N120" i="6"/>
  <c r="N66" i="6"/>
  <c r="N208" i="7" s="1"/>
  <c r="N93" i="6"/>
  <c r="N27" i="6"/>
  <c r="N125" i="6"/>
  <c r="N79" i="3"/>
  <c r="N71" i="6"/>
  <c r="N213" i="7" s="1"/>
  <c r="N98" i="6"/>
  <c r="N65" i="5"/>
  <c r="N120" i="7" s="1"/>
  <c r="N119" i="5"/>
  <c r="N92" i="5"/>
  <c r="N21" i="5"/>
  <c r="N85" i="5"/>
  <c r="N140" i="7" s="1"/>
  <c r="N139" i="5"/>
  <c r="N112" i="5"/>
  <c r="N63" i="5" l="1"/>
  <c r="N118" i="7" s="1"/>
  <c r="N117" i="5"/>
  <c r="N37" i="3"/>
  <c r="N90" i="5"/>
  <c r="N18" i="5"/>
  <c r="N64" i="6"/>
  <c r="N206" i="7" s="1"/>
  <c r="N118" i="6"/>
  <c r="N68" i="3"/>
  <c r="N91" i="6"/>
  <c r="N231" i="3"/>
  <c r="N113" i="6"/>
  <c r="N59" i="6"/>
  <c r="N201" i="7" s="1"/>
  <c r="N86" i="6"/>
  <c r="N20" i="6"/>
  <c r="P55" i="7"/>
  <c r="P134" i="4"/>
  <c r="N133" i="6" l="1"/>
  <c r="N79" i="6"/>
  <c r="N221" i="7" s="1"/>
  <c r="N106" i="6"/>
  <c r="N61" i="5"/>
  <c r="N88" i="5"/>
  <c r="N220" i="3"/>
  <c r="N111" i="6"/>
  <c r="N67" i="3"/>
  <c r="N57" i="6"/>
  <c r="N199" i="7" s="1"/>
  <c r="N84" i="6"/>
  <c r="N18" i="6"/>
  <c r="N189" i="3"/>
  <c r="N35" i="3"/>
  <c r="P53" i="7"/>
  <c r="P127" i="4"/>
  <c r="N55" i="6" l="1"/>
  <c r="N82" i="6"/>
  <c r="N40" i="6"/>
  <c r="N132" i="6"/>
  <c r="N78" i="6"/>
  <c r="N220" i="7" s="1"/>
  <c r="N105" i="6"/>
  <c r="P46" i="7"/>
  <c r="P111" i="4"/>
  <c r="P30" i="7" s="1"/>
  <c r="N219" i="3"/>
  <c r="N65" i="3"/>
  <c r="N187" i="3"/>
  <c r="N34" i="3"/>
  <c r="N127" i="3" s="1"/>
  <c r="N52" i="5"/>
  <c r="N138" i="5"/>
  <c r="N84" i="5"/>
  <c r="N139" i="7" s="1"/>
  <c r="N111" i="5"/>
  <c r="N135" i="3" l="1"/>
  <c r="N136" i="3"/>
  <c r="N132" i="3"/>
  <c r="N137" i="3"/>
  <c r="N138" i="3"/>
  <c r="N186" i="3"/>
  <c r="N134" i="3"/>
  <c r="N133" i="3"/>
  <c r="N126" i="3"/>
  <c r="N131" i="3"/>
  <c r="N128" i="3"/>
  <c r="N130" i="3"/>
  <c r="N129" i="3"/>
  <c r="N77" i="6"/>
  <c r="N219" i="7" s="1"/>
  <c r="N131" i="6"/>
  <c r="N80" i="3"/>
  <c r="N104" i="6"/>
  <c r="N33" i="6"/>
  <c r="N83" i="5"/>
  <c r="N138" i="7" s="1"/>
  <c r="N137" i="5"/>
  <c r="N50" i="3"/>
  <c r="N110" i="5"/>
  <c r="N42" i="5"/>
  <c r="N64" i="3"/>
  <c r="N217" i="3"/>
  <c r="N157" i="3" l="1"/>
  <c r="N202" i="3"/>
  <c r="N48" i="3"/>
  <c r="N70" i="6"/>
  <c r="N97" i="6"/>
  <c r="N17" i="6"/>
  <c r="N161" i="3"/>
  <c r="N166" i="3"/>
  <c r="N156" i="3"/>
  <c r="N167" i="3"/>
  <c r="N168" i="3"/>
  <c r="N163" i="3"/>
  <c r="N165" i="3"/>
  <c r="N216" i="3"/>
  <c r="N158" i="3"/>
  <c r="N160" i="3"/>
  <c r="N159" i="3"/>
  <c r="N17" i="5"/>
  <c r="N157" i="5" s="1"/>
  <c r="N76" i="5"/>
  <c r="N103" i="5"/>
  <c r="N232" i="3"/>
  <c r="N78" i="3"/>
  <c r="N77" i="3" l="1"/>
  <c r="N230" i="3"/>
  <c r="N136" i="6"/>
  <c r="N135" i="6"/>
  <c r="N155" i="6"/>
  <c r="N156" i="6"/>
  <c r="N142" i="6"/>
  <c r="N54" i="6"/>
  <c r="N149" i="6"/>
  <c r="N148" i="6"/>
  <c r="N143" i="6"/>
  <c r="N141" i="6"/>
  <c r="N137" i="6"/>
  <c r="N153" i="6"/>
  <c r="N146" i="6"/>
  <c r="N139" i="6"/>
  <c r="N154" i="6"/>
  <c r="N152" i="6"/>
  <c r="N147" i="6"/>
  <c r="N145" i="6"/>
  <c r="N140" i="6"/>
  <c r="N160" i="6"/>
  <c r="N138" i="6"/>
  <c r="N159" i="6"/>
  <c r="N158" i="6"/>
  <c r="N200" i="3"/>
  <c r="N47" i="3"/>
  <c r="N140" i="3" s="1"/>
  <c r="N151" i="6"/>
  <c r="N141" i="5"/>
  <c r="N60" i="5"/>
  <c r="N163" i="5"/>
  <c r="N156" i="5"/>
  <c r="N161" i="5"/>
  <c r="N162" i="5"/>
  <c r="N148" i="5"/>
  <c r="N154" i="5"/>
  <c r="N155" i="5"/>
  <c r="N147" i="5"/>
  <c r="N149" i="5"/>
  <c r="N150" i="5"/>
  <c r="N152" i="5"/>
  <c r="N159" i="5"/>
  <c r="N143" i="5"/>
  <c r="N145" i="5"/>
  <c r="N160" i="5"/>
  <c r="N153" i="5"/>
  <c r="N158" i="5"/>
  <c r="N151" i="5"/>
  <c r="N166" i="5"/>
  <c r="N146" i="5"/>
  <c r="N144" i="5"/>
  <c r="N142" i="5"/>
  <c r="N165" i="5"/>
  <c r="N164" i="5"/>
  <c r="N170" i="3" l="1"/>
  <c r="N147" i="3"/>
  <c r="N144" i="3"/>
  <c r="N143" i="3"/>
  <c r="N150" i="3"/>
  <c r="N149" i="3"/>
  <c r="N199" i="3"/>
  <c r="N148" i="3"/>
  <c r="N139" i="3"/>
  <c r="N145" i="3"/>
  <c r="N146" i="3"/>
  <c r="N141" i="3"/>
  <c r="N142" i="3"/>
  <c r="N180" i="3"/>
  <c r="N179" i="3"/>
  <c r="N178" i="3"/>
  <c r="N169" i="3"/>
  <c r="N175" i="3"/>
  <c r="N177" i="3"/>
  <c r="N176" i="3"/>
  <c r="N174" i="3"/>
  <c r="N173" i="3"/>
  <c r="N229" i="3"/>
  <c r="N171" i="3"/>
  <c r="N172" i="3"/>
  <c r="O127" i="6" l="1"/>
  <c r="O73" i="6"/>
  <c r="O215" i="7" s="1"/>
  <c r="O100" i="6"/>
  <c r="O34" i="6"/>
  <c r="O79" i="5"/>
  <c r="O134" i="7" s="1"/>
  <c r="O133" i="5"/>
  <c r="O106" i="5"/>
  <c r="O43" i="5"/>
  <c r="O126" i="5"/>
  <c r="O72" i="5"/>
  <c r="O127" i="7" s="1"/>
  <c r="O99" i="5"/>
  <c r="O33" i="5"/>
  <c r="O77" i="5" l="1"/>
  <c r="O132" i="7" s="1"/>
  <c r="O131" i="5"/>
  <c r="O49" i="3"/>
  <c r="O104" i="5"/>
  <c r="O125" i="6"/>
  <c r="O79" i="3"/>
  <c r="O71" i="6"/>
  <c r="O213" i="7" s="1"/>
  <c r="O98" i="6"/>
  <c r="O70" i="5"/>
  <c r="O125" i="7" s="1"/>
  <c r="O124" i="5"/>
  <c r="O38" i="3"/>
  <c r="O97" i="5"/>
  <c r="O201" i="3" l="1"/>
  <c r="O231" i="3"/>
  <c r="O119" i="5"/>
  <c r="O65" i="5"/>
  <c r="O120" i="7" s="1"/>
  <c r="O92" i="5"/>
  <c r="O21" i="5"/>
  <c r="O190" i="3"/>
  <c r="O85" i="5"/>
  <c r="O140" i="7" s="1"/>
  <c r="O139" i="5"/>
  <c r="O112" i="5"/>
  <c r="O120" i="6"/>
  <c r="O66" i="6"/>
  <c r="O208" i="7" s="1"/>
  <c r="O93" i="6"/>
  <c r="O27" i="6"/>
  <c r="O64" i="6" l="1"/>
  <c r="O206" i="7" s="1"/>
  <c r="O118" i="6"/>
  <c r="O68" i="3"/>
  <c r="O91" i="6"/>
  <c r="O63" i="5"/>
  <c r="O118" i="7" s="1"/>
  <c r="O117" i="5"/>
  <c r="O37" i="3"/>
  <c r="O90" i="5"/>
  <c r="O18" i="5"/>
  <c r="O113" i="6"/>
  <c r="O59" i="6"/>
  <c r="O201" i="7" s="1"/>
  <c r="O86" i="6"/>
  <c r="O20" i="6"/>
  <c r="O61" i="5" l="1"/>
  <c r="O88" i="5"/>
  <c r="O57" i="6"/>
  <c r="O199" i="7" s="1"/>
  <c r="O111" i="6"/>
  <c r="O67" i="3"/>
  <c r="O84" i="6"/>
  <c r="O18" i="6"/>
  <c r="O220" i="3"/>
  <c r="O189" i="3"/>
  <c r="O35" i="3"/>
  <c r="O133" i="6"/>
  <c r="O79" i="6"/>
  <c r="O221" i="7" s="1"/>
  <c r="O106" i="6"/>
  <c r="Q55" i="7" l="1"/>
  <c r="Q134" i="4"/>
  <c r="O219" i="3"/>
  <c r="O65" i="3"/>
  <c r="O187" i="3"/>
  <c r="O34" i="3"/>
  <c r="O127" i="3" s="1"/>
  <c r="O55" i="6"/>
  <c r="O82" i="6"/>
  <c r="O64" i="3" l="1"/>
  <c r="O157" i="3"/>
  <c r="O217" i="3"/>
  <c r="O52" i="5"/>
  <c r="O84" i="5"/>
  <c r="O139" i="7" s="1"/>
  <c r="O138" i="5"/>
  <c r="O111" i="5"/>
  <c r="Q53" i="7"/>
  <c r="Q127" i="4"/>
  <c r="O40" i="6"/>
  <c r="O132" i="6"/>
  <c r="O78" i="6"/>
  <c r="O220" i="7" s="1"/>
  <c r="O105" i="6"/>
  <c r="O126" i="3"/>
  <c r="O131" i="3"/>
  <c r="O186" i="3"/>
  <c r="O132" i="3"/>
  <c r="O136" i="3"/>
  <c r="O135" i="3"/>
  <c r="O138" i="3"/>
  <c r="O134" i="3"/>
  <c r="O137" i="3"/>
  <c r="O133" i="3"/>
  <c r="O128" i="3"/>
  <c r="O130" i="3"/>
  <c r="O129" i="3"/>
  <c r="O131" i="6" l="1"/>
  <c r="O80" i="3"/>
  <c r="O77" i="6"/>
  <c r="O219" i="7" s="1"/>
  <c r="O104" i="6"/>
  <c r="O33" i="6"/>
  <c r="O83" i="5"/>
  <c r="O138" i="7" s="1"/>
  <c r="O137" i="5"/>
  <c r="O50" i="3"/>
  <c r="O110" i="5"/>
  <c r="O42" i="5"/>
  <c r="Q46" i="7"/>
  <c r="Q111" i="4"/>
  <c r="Q30" i="7" s="1"/>
  <c r="O165" i="3"/>
  <c r="O156" i="3"/>
  <c r="O168" i="3"/>
  <c r="O167" i="3"/>
  <c r="O163" i="3"/>
  <c r="O161" i="3"/>
  <c r="O166" i="3"/>
  <c r="O158" i="3"/>
  <c r="O216" i="3"/>
  <c r="O160" i="3"/>
  <c r="O159" i="3"/>
  <c r="O70" i="6" l="1"/>
  <c r="O97" i="6"/>
  <c r="O17" i="6"/>
  <c r="O232" i="3"/>
  <c r="O78" i="3"/>
  <c r="O202" i="3"/>
  <c r="O48" i="3"/>
  <c r="O76" i="5"/>
  <c r="O103" i="5"/>
  <c r="O17" i="5"/>
  <c r="O77" i="3" l="1"/>
  <c r="O170" i="3"/>
  <c r="O230" i="3"/>
  <c r="O142" i="5"/>
  <c r="O141" i="5"/>
  <c r="O60" i="5"/>
  <c r="O163" i="5"/>
  <c r="O154" i="5"/>
  <c r="O156" i="5"/>
  <c r="O161" i="5"/>
  <c r="O162" i="5"/>
  <c r="O148" i="5"/>
  <c r="O155" i="5"/>
  <c r="O147" i="5"/>
  <c r="O149" i="5"/>
  <c r="O150" i="5"/>
  <c r="O159" i="5"/>
  <c r="O143" i="5"/>
  <c r="O152" i="5"/>
  <c r="O145" i="5"/>
  <c r="O153" i="5"/>
  <c r="O160" i="5"/>
  <c r="O151" i="5"/>
  <c r="O158" i="5"/>
  <c r="O146" i="5"/>
  <c r="O166" i="5"/>
  <c r="O144" i="5"/>
  <c r="O165" i="5"/>
  <c r="O164" i="5"/>
  <c r="O157" i="5"/>
  <c r="O136" i="6"/>
  <c r="O135" i="6"/>
  <c r="O148" i="6"/>
  <c r="O155" i="6"/>
  <c r="O156" i="6"/>
  <c r="O142" i="6"/>
  <c r="O149" i="6"/>
  <c r="O141" i="6"/>
  <c r="O54" i="6"/>
  <c r="O143" i="6"/>
  <c r="O137" i="6"/>
  <c r="O146" i="6"/>
  <c r="O153" i="6"/>
  <c r="O139" i="6"/>
  <c r="O154" i="6"/>
  <c r="O152" i="6"/>
  <c r="O147" i="6"/>
  <c r="O140" i="6"/>
  <c r="O145" i="6"/>
  <c r="O160" i="6"/>
  <c r="O138" i="6"/>
  <c r="O159" i="6"/>
  <c r="O158" i="6"/>
  <c r="O200" i="3"/>
  <c r="O47" i="3"/>
  <c r="O140" i="3" s="1"/>
  <c r="O151" i="6"/>
  <c r="O139" i="3" l="1"/>
  <c r="O145" i="3"/>
  <c r="O199" i="3"/>
  <c r="O146" i="3"/>
  <c r="O143" i="3"/>
  <c r="O147" i="3"/>
  <c r="O150" i="3"/>
  <c r="O149" i="3"/>
  <c r="O144" i="3"/>
  <c r="O148" i="3"/>
  <c r="O141" i="3"/>
  <c r="O142" i="3"/>
  <c r="O179" i="3"/>
  <c r="O178" i="3"/>
  <c r="O169" i="3"/>
  <c r="O175" i="3"/>
  <c r="O173" i="3"/>
  <c r="O176" i="3"/>
  <c r="O174" i="3"/>
  <c r="O177" i="3"/>
  <c r="O180" i="3"/>
  <c r="O229" i="3"/>
  <c r="O171" i="3"/>
  <c r="O172" i="3"/>
  <c r="P127" i="6" l="1"/>
  <c r="P73" i="6"/>
  <c r="P215" i="7" s="1"/>
  <c r="P100" i="6"/>
  <c r="P34" i="6"/>
  <c r="P133" i="5"/>
  <c r="P79" i="5"/>
  <c r="P134" i="7" s="1"/>
  <c r="P106" i="5"/>
  <c r="P43" i="5"/>
  <c r="P126" i="5"/>
  <c r="P72" i="5"/>
  <c r="P127" i="7" s="1"/>
  <c r="P99" i="5"/>
  <c r="P33" i="5"/>
  <c r="P125" i="6" l="1"/>
  <c r="P79" i="3"/>
  <c r="P71" i="6"/>
  <c r="P213" i="7" s="1"/>
  <c r="P98" i="6"/>
  <c r="P131" i="5"/>
  <c r="P77" i="5"/>
  <c r="P132" i="7" s="1"/>
  <c r="P49" i="3"/>
  <c r="P104" i="5"/>
  <c r="P70" i="5"/>
  <c r="P125" i="7" s="1"/>
  <c r="P124" i="5"/>
  <c r="P38" i="3"/>
  <c r="P97" i="5"/>
  <c r="P231" i="3" l="1"/>
  <c r="P190" i="3"/>
  <c r="P201" i="3"/>
  <c r="P139" i="5"/>
  <c r="P85" i="5"/>
  <c r="P140" i="7" s="1"/>
  <c r="P112" i="5"/>
  <c r="P113" i="6"/>
  <c r="P59" i="6"/>
  <c r="P201" i="7" s="1"/>
  <c r="P86" i="6"/>
  <c r="P20" i="6"/>
  <c r="P120" i="6"/>
  <c r="P66" i="6"/>
  <c r="P208" i="7" s="1"/>
  <c r="P93" i="6"/>
  <c r="P27" i="6"/>
  <c r="P119" i="5"/>
  <c r="P65" i="5"/>
  <c r="P120" i="7" s="1"/>
  <c r="P92" i="5"/>
  <c r="P21" i="5"/>
  <c r="P63" i="5" l="1"/>
  <c r="P118" i="7" s="1"/>
  <c r="P117" i="5"/>
  <c r="P37" i="3"/>
  <c r="P18" i="5"/>
  <c r="P90" i="5"/>
  <c r="P111" i="6"/>
  <c r="P67" i="3"/>
  <c r="P57" i="6"/>
  <c r="P199" i="7" s="1"/>
  <c r="P84" i="6"/>
  <c r="P18" i="6"/>
  <c r="P68" i="3"/>
  <c r="P118" i="6"/>
  <c r="P64" i="6"/>
  <c r="P206" i="7" s="1"/>
  <c r="P91" i="6"/>
  <c r="P133" i="6" l="1"/>
  <c r="P79" i="6"/>
  <c r="P221" i="7" s="1"/>
  <c r="P106" i="6"/>
  <c r="P55" i="6"/>
  <c r="P82" i="6"/>
  <c r="P61" i="5"/>
  <c r="P88" i="5"/>
  <c r="P189" i="3"/>
  <c r="P35" i="3"/>
  <c r="P220" i="3"/>
  <c r="P219" i="3"/>
  <c r="P65" i="3"/>
  <c r="P64" i="3" l="1"/>
  <c r="P157" i="3"/>
  <c r="P217" i="3"/>
  <c r="R55" i="7"/>
  <c r="R134" i="4"/>
  <c r="P187" i="3"/>
  <c r="P34" i="3"/>
  <c r="P127" i="3" s="1"/>
  <c r="P135" i="3" l="1"/>
  <c r="P134" i="3"/>
  <c r="P137" i="3"/>
  <c r="P138" i="3"/>
  <c r="P133" i="3"/>
  <c r="P186" i="3"/>
  <c r="P126" i="3"/>
  <c r="P131" i="3"/>
  <c r="P132" i="3"/>
  <c r="P136" i="3"/>
  <c r="P128" i="3"/>
  <c r="P130" i="3"/>
  <c r="P129" i="3"/>
  <c r="P52" i="5"/>
  <c r="P138" i="5"/>
  <c r="P84" i="5"/>
  <c r="P139" i="7" s="1"/>
  <c r="P111" i="5"/>
  <c r="R53" i="7"/>
  <c r="R127" i="4"/>
  <c r="P40" i="6"/>
  <c r="P132" i="6"/>
  <c r="P78" i="6"/>
  <c r="P220" i="7" s="1"/>
  <c r="P105" i="6"/>
  <c r="P163" i="3"/>
  <c r="P165" i="3"/>
  <c r="P161" i="3"/>
  <c r="P166" i="3"/>
  <c r="P156" i="3"/>
  <c r="P167" i="3"/>
  <c r="P168" i="3"/>
  <c r="P158" i="3"/>
  <c r="P216" i="3"/>
  <c r="P160" i="3"/>
  <c r="P159" i="3"/>
  <c r="R46" i="7" l="1"/>
  <c r="R111" i="4"/>
  <c r="R30" i="7" s="1"/>
  <c r="P137" i="5"/>
  <c r="P83" i="5"/>
  <c r="P138" i="7" s="1"/>
  <c r="P50" i="3"/>
  <c r="P110" i="5"/>
  <c r="P42" i="5"/>
  <c r="P77" i="6"/>
  <c r="P219" i="7" s="1"/>
  <c r="P131" i="6"/>
  <c r="P80" i="3"/>
  <c r="P104" i="6"/>
  <c r="P33" i="6"/>
  <c r="P232" i="3" l="1"/>
  <c r="P78" i="3"/>
  <c r="P70" i="6"/>
  <c r="P97" i="6"/>
  <c r="P17" i="6"/>
  <c r="P76" i="5"/>
  <c r="P103" i="5"/>
  <c r="P17" i="5"/>
  <c r="P202" i="3"/>
  <c r="P48" i="3"/>
  <c r="P200" i="3" l="1"/>
  <c r="P47" i="3"/>
  <c r="P140" i="3"/>
  <c r="P142" i="5"/>
  <c r="P60" i="5"/>
  <c r="P141" i="5"/>
  <c r="P156" i="5"/>
  <c r="P150" i="5"/>
  <c r="P163" i="5"/>
  <c r="P154" i="5"/>
  <c r="P161" i="5"/>
  <c r="P162" i="5"/>
  <c r="P147" i="5"/>
  <c r="P148" i="5"/>
  <c r="P155" i="5"/>
  <c r="P152" i="5"/>
  <c r="P143" i="5"/>
  <c r="P159" i="5"/>
  <c r="P149" i="5"/>
  <c r="P145" i="5"/>
  <c r="P153" i="5"/>
  <c r="P160" i="5"/>
  <c r="P158" i="5"/>
  <c r="P151" i="5"/>
  <c r="P146" i="5"/>
  <c r="P166" i="5"/>
  <c r="P144" i="5"/>
  <c r="P165" i="5"/>
  <c r="P164" i="5"/>
  <c r="P230" i="3"/>
  <c r="P77" i="3"/>
  <c r="P151" i="6"/>
  <c r="P135" i="6"/>
  <c r="P148" i="6"/>
  <c r="P155" i="6"/>
  <c r="P156" i="6"/>
  <c r="P141" i="6"/>
  <c r="P54" i="6"/>
  <c r="P149" i="6"/>
  <c r="P142" i="6"/>
  <c r="P137" i="6"/>
  <c r="P153" i="6"/>
  <c r="P146" i="6"/>
  <c r="P143" i="6"/>
  <c r="P139" i="6"/>
  <c r="P154" i="6"/>
  <c r="P152" i="6"/>
  <c r="P140" i="6"/>
  <c r="P147" i="6"/>
  <c r="P138" i="6"/>
  <c r="P145" i="6"/>
  <c r="P160" i="6"/>
  <c r="P136" i="6"/>
  <c r="P159" i="6"/>
  <c r="P158" i="6"/>
  <c r="P157" i="5"/>
  <c r="P170" i="3" l="1"/>
  <c r="P144" i="3"/>
  <c r="P139" i="3"/>
  <c r="P145" i="3"/>
  <c r="P147" i="3"/>
  <c r="P146" i="3"/>
  <c r="P149" i="3"/>
  <c r="P143" i="3"/>
  <c r="P150" i="3"/>
  <c r="P199" i="3"/>
  <c r="P148" i="3"/>
  <c r="P141" i="3"/>
  <c r="P142" i="3"/>
  <c r="P178" i="3"/>
  <c r="P169" i="3"/>
  <c r="P175" i="3"/>
  <c r="P176" i="3"/>
  <c r="P173" i="3"/>
  <c r="P177" i="3"/>
  <c r="P174" i="3"/>
  <c r="P180" i="3"/>
  <c r="P179" i="3"/>
  <c r="P229" i="3"/>
  <c r="P171" i="3"/>
  <c r="P172" i="3"/>
  <c r="Q126" i="5" l="1"/>
  <c r="Q72" i="5"/>
  <c r="Q127" i="7" s="1"/>
  <c r="Q99" i="5"/>
  <c r="Q33" i="5"/>
  <c r="Q133" i="5"/>
  <c r="Q79" i="5"/>
  <c r="Q134" i="7" s="1"/>
  <c r="Q106" i="5"/>
  <c r="Q43" i="5"/>
  <c r="Q77" i="5" l="1"/>
  <c r="Q132" i="7" s="1"/>
  <c r="Q131" i="5"/>
  <c r="Q49" i="3"/>
  <c r="Q104" i="5"/>
  <c r="Q70" i="5"/>
  <c r="Q125" i="7" s="1"/>
  <c r="Q124" i="5"/>
  <c r="Q38" i="3"/>
  <c r="Q97" i="5"/>
  <c r="Q127" i="6"/>
  <c r="Q73" i="6"/>
  <c r="Q215" i="7" s="1"/>
  <c r="Q100" i="6"/>
  <c r="Q34" i="6"/>
  <c r="Q139" i="5" l="1"/>
  <c r="Q85" i="5"/>
  <c r="Q140" i="7" s="1"/>
  <c r="Q112" i="5"/>
  <c r="Q201" i="3"/>
  <c r="Q190" i="3"/>
  <c r="Q71" i="6"/>
  <c r="Q213" i="7" s="1"/>
  <c r="Q125" i="6"/>
  <c r="Q79" i="3"/>
  <c r="Q98" i="6"/>
  <c r="Q120" i="6"/>
  <c r="Q66" i="6"/>
  <c r="Q208" i="7" s="1"/>
  <c r="Q93" i="6"/>
  <c r="Q27" i="6"/>
  <c r="Q113" i="6"/>
  <c r="Q59" i="6"/>
  <c r="Q201" i="7" s="1"/>
  <c r="Q86" i="6"/>
  <c r="Q20" i="6"/>
  <c r="Q119" i="5"/>
  <c r="Q65" i="5"/>
  <c r="Q120" i="7" s="1"/>
  <c r="Q92" i="5"/>
  <c r="Q21" i="5"/>
  <c r="Q63" i="5" l="1"/>
  <c r="Q118" i="7" s="1"/>
  <c r="Q117" i="5"/>
  <c r="Q37" i="3"/>
  <c r="Q90" i="5"/>
  <c r="Q18" i="5"/>
  <c r="Q231" i="3"/>
  <c r="Q118" i="6"/>
  <c r="Q68" i="3"/>
  <c r="Q64" i="6"/>
  <c r="Q206" i="7" s="1"/>
  <c r="Q91" i="6"/>
  <c r="Q18" i="6"/>
  <c r="Q111" i="6"/>
  <c r="Q67" i="3"/>
  <c r="Q57" i="6"/>
  <c r="Q199" i="7" s="1"/>
  <c r="Q84" i="6"/>
  <c r="Q219" i="3" l="1"/>
  <c r="Q65" i="3"/>
  <c r="Q220" i="3"/>
  <c r="Q189" i="3"/>
  <c r="Q35" i="3"/>
  <c r="Q61" i="5"/>
  <c r="Q88" i="5"/>
  <c r="Q55" i="6"/>
  <c r="Q82" i="6"/>
  <c r="Q64" i="3" l="1"/>
  <c r="Q217" i="3"/>
  <c r="Q187" i="3"/>
  <c r="Q34" i="3"/>
  <c r="Q133" i="6"/>
  <c r="Q79" i="6"/>
  <c r="Q221" i="7" s="1"/>
  <c r="Q106" i="6"/>
  <c r="Q157" i="3" l="1"/>
  <c r="Q40" i="6"/>
  <c r="Q132" i="6"/>
  <c r="Q78" i="6"/>
  <c r="Q220" i="7" s="1"/>
  <c r="Q105" i="6"/>
  <c r="Q165" i="3"/>
  <c r="Q168" i="3"/>
  <c r="Q163" i="3"/>
  <c r="Q161" i="3"/>
  <c r="Q166" i="3"/>
  <c r="Q156" i="3"/>
  <c r="Q167" i="3"/>
  <c r="Q158" i="3"/>
  <c r="Q216" i="3"/>
  <c r="Q159" i="3"/>
  <c r="Q160" i="3"/>
  <c r="Q134" i="3"/>
  <c r="Q133" i="3"/>
  <c r="Q137" i="3"/>
  <c r="Q138" i="3"/>
  <c r="Q186" i="3"/>
  <c r="Q135" i="3"/>
  <c r="Q126" i="3"/>
  <c r="Q131" i="3"/>
  <c r="Q132" i="3"/>
  <c r="Q136" i="3"/>
  <c r="Q128" i="3"/>
  <c r="Q130" i="3"/>
  <c r="Q129" i="3"/>
  <c r="Q52" i="5"/>
  <c r="Q84" i="5"/>
  <c r="Q139" i="7" s="1"/>
  <c r="Q138" i="5"/>
  <c r="Q111" i="5"/>
  <c r="Q127" i="3"/>
  <c r="Q83" i="5" l="1"/>
  <c r="Q138" i="7" s="1"/>
  <c r="Q137" i="5"/>
  <c r="Q50" i="3"/>
  <c r="Q110" i="5"/>
  <c r="Q42" i="5"/>
  <c r="Q77" i="6"/>
  <c r="Q219" i="7" s="1"/>
  <c r="Q131" i="6"/>
  <c r="Q80" i="3"/>
  <c r="Q104" i="6"/>
  <c r="Q33" i="6"/>
  <c r="Q232" i="3" l="1"/>
  <c r="Q78" i="3"/>
  <c r="Q202" i="3"/>
  <c r="Q48" i="3"/>
  <c r="S55" i="7"/>
  <c r="S134" i="4"/>
  <c r="Q17" i="5"/>
  <c r="Q76" i="5"/>
  <c r="Q103" i="5"/>
  <c r="Q70" i="6"/>
  <c r="Q97" i="6"/>
  <c r="Q17" i="6"/>
  <c r="Q157" i="5" l="1"/>
  <c r="Q141" i="5"/>
  <c r="Q60" i="5"/>
  <c r="Q150" i="5"/>
  <c r="Q156" i="5"/>
  <c r="Q154" i="5"/>
  <c r="Q163" i="5"/>
  <c r="Q161" i="5"/>
  <c r="Q147" i="5"/>
  <c r="Q162" i="5"/>
  <c r="Q155" i="5"/>
  <c r="Q148" i="5"/>
  <c r="Q143" i="5"/>
  <c r="Q152" i="5"/>
  <c r="Q159" i="5"/>
  <c r="Q149" i="5"/>
  <c r="Q145" i="5"/>
  <c r="Q160" i="5"/>
  <c r="Q153" i="5"/>
  <c r="Q151" i="5"/>
  <c r="Q158" i="5"/>
  <c r="Q166" i="5"/>
  <c r="Q146" i="5"/>
  <c r="Q144" i="5"/>
  <c r="Q142" i="5"/>
  <c r="Q165" i="5"/>
  <c r="Q164" i="5"/>
  <c r="Q200" i="3"/>
  <c r="Q47" i="3"/>
  <c r="Q140" i="3" s="1"/>
  <c r="Q54" i="6"/>
  <c r="Q135" i="6"/>
  <c r="Q148" i="6"/>
  <c r="Q155" i="6"/>
  <c r="Q141" i="6"/>
  <c r="Q156" i="6"/>
  <c r="Q149" i="6"/>
  <c r="Q142" i="6"/>
  <c r="Q137" i="6"/>
  <c r="Q153" i="6"/>
  <c r="Q146" i="6"/>
  <c r="Q143" i="6"/>
  <c r="Q139" i="6"/>
  <c r="Q154" i="6"/>
  <c r="Q147" i="6"/>
  <c r="Q152" i="6"/>
  <c r="Q140" i="6"/>
  <c r="Q145" i="6"/>
  <c r="Q138" i="6"/>
  <c r="Q136" i="6"/>
  <c r="Q160" i="6"/>
  <c r="Q159" i="6"/>
  <c r="Q158" i="6"/>
  <c r="Q77" i="3"/>
  <c r="Q230" i="3"/>
  <c r="S53" i="7"/>
  <c r="S127" i="4"/>
  <c r="Q151" i="6"/>
  <c r="Q170" i="3" l="1"/>
  <c r="S46" i="7"/>
  <c r="S111" i="4"/>
  <c r="S30" i="7" s="1"/>
  <c r="Q144" i="3"/>
  <c r="Q147" i="3"/>
  <c r="Q150" i="3"/>
  <c r="Q199" i="3"/>
  <c r="Q146" i="3"/>
  <c r="Q143" i="3"/>
  <c r="Q149" i="3"/>
  <c r="Q148" i="3"/>
  <c r="Q139" i="3"/>
  <c r="Q145" i="3"/>
  <c r="Q141" i="3"/>
  <c r="Q142" i="3"/>
  <c r="Q174" i="3"/>
  <c r="Q180" i="3"/>
  <c r="Q179" i="3"/>
  <c r="Q178" i="3"/>
  <c r="Q169" i="3"/>
  <c r="Q175" i="3"/>
  <c r="Q176" i="3"/>
  <c r="Q177" i="3"/>
  <c r="Q173" i="3"/>
  <c r="Q229" i="3"/>
  <c r="Q171" i="3"/>
  <c r="Q172" i="3"/>
  <c r="R133" i="5" l="1"/>
  <c r="R79" i="5"/>
  <c r="R134" i="7" s="1"/>
  <c r="R106" i="5"/>
  <c r="R43" i="5"/>
  <c r="R127" i="6" l="1"/>
  <c r="R73" i="6"/>
  <c r="R215" i="7" s="1"/>
  <c r="R100" i="6"/>
  <c r="R34" i="6"/>
  <c r="R131" i="5"/>
  <c r="R77" i="5"/>
  <c r="R132" i="7" s="1"/>
  <c r="R49" i="3"/>
  <c r="R104" i="5"/>
  <c r="R85" i="5"/>
  <c r="R140" i="7" s="1"/>
  <c r="R139" i="5"/>
  <c r="R112" i="5"/>
  <c r="R72" i="5"/>
  <c r="R127" i="7" s="1"/>
  <c r="R126" i="5"/>
  <c r="R99" i="5"/>
  <c r="R33" i="5"/>
  <c r="R70" i="5" l="1"/>
  <c r="R125" i="7" s="1"/>
  <c r="R38" i="3"/>
  <c r="R124" i="5"/>
  <c r="R97" i="5"/>
  <c r="R119" i="5"/>
  <c r="R65" i="5"/>
  <c r="R120" i="7" s="1"/>
  <c r="R92" i="5"/>
  <c r="R21" i="5"/>
  <c r="R120" i="6"/>
  <c r="R66" i="6"/>
  <c r="R208" i="7" s="1"/>
  <c r="R93" i="6"/>
  <c r="R27" i="6"/>
  <c r="R113" i="6"/>
  <c r="R59" i="6"/>
  <c r="R201" i="7" s="1"/>
  <c r="R86" i="6"/>
  <c r="R20" i="6"/>
  <c r="R71" i="6"/>
  <c r="R213" i="7" s="1"/>
  <c r="R125" i="6"/>
  <c r="R79" i="3"/>
  <c r="R98" i="6"/>
  <c r="R201" i="3"/>
  <c r="R64" i="6" l="1"/>
  <c r="R206" i="7" s="1"/>
  <c r="R118" i="6"/>
  <c r="R68" i="3"/>
  <c r="R91" i="6"/>
  <c r="R57" i="6"/>
  <c r="R199" i="7" s="1"/>
  <c r="R111" i="6"/>
  <c r="R67" i="3"/>
  <c r="R84" i="6"/>
  <c r="R18" i="6"/>
  <c r="R117" i="5"/>
  <c r="R63" i="5"/>
  <c r="R118" i="7" s="1"/>
  <c r="R37" i="3"/>
  <c r="R90" i="5"/>
  <c r="R18" i="5"/>
  <c r="R190" i="3"/>
  <c r="R231" i="3"/>
  <c r="R220" i="3" l="1"/>
  <c r="R55" i="6"/>
  <c r="R82" i="6"/>
  <c r="R61" i="5"/>
  <c r="R88" i="5"/>
  <c r="R219" i="3"/>
  <c r="R65" i="3"/>
  <c r="R189" i="3"/>
  <c r="R35" i="3"/>
  <c r="R52" i="5" l="1"/>
  <c r="R84" i="5"/>
  <c r="R139" i="7" s="1"/>
  <c r="R138" i="5"/>
  <c r="R111" i="5"/>
  <c r="R64" i="3"/>
  <c r="R217" i="3"/>
  <c r="R133" i="6"/>
  <c r="R79" i="6"/>
  <c r="R221" i="7" s="1"/>
  <c r="R106" i="6"/>
  <c r="R187" i="3"/>
  <c r="R34" i="3"/>
  <c r="R127" i="3" s="1"/>
  <c r="R157" i="3" l="1"/>
  <c r="R40" i="6"/>
  <c r="R132" i="6"/>
  <c r="R78" i="6"/>
  <c r="R220" i="7" s="1"/>
  <c r="R105" i="6"/>
  <c r="R126" i="3"/>
  <c r="R131" i="3"/>
  <c r="R135" i="3"/>
  <c r="R186" i="3"/>
  <c r="R136" i="3"/>
  <c r="R137" i="3"/>
  <c r="R132" i="3"/>
  <c r="R138" i="3"/>
  <c r="R133" i="3"/>
  <c r="R134" i="3"/>
  <c r="R128" i="3"/>
  <c r="R130" i="3"/>
  <c r="R129" i="3"/>
  <c r="R216" i="3"/>
  <c r="R163" i="3"/>
  <c r="R161" i="3"/>
  <c r="R166" i="3"/>
  <c r="R156" i="3"/>
  <c r="R167" i="3"/>
  <c r="R168" i="3"/>
  <c r="R165" i="3"/>
  <c r="R158" i="3"/>
  <c r="R160" i="3"/>
  <c r="R159" i="3"/>
  <c r="R137" i="5"/>
  <c r="R83" i="5"/>
  <c r="R138" i="7" s="1"/>
  <c r="R50" i="3"/>
  <c r="R110" i="5"/>
  <c r="R42" i="5"/>
  <c r="R76" i="5" l="1"/>
  <c r="R103" i="5"/>
  <c r="R17" i="5"/>
  <c r="R202" i="3"/>
  <c r="R48" i="3"/>
  <c r="R77" i="6"/>
  <c r="R219" i="7" s="1"/>
  <c r="R131" i="6"/>
  <c r="R80" i="3"/>
  <c r="R104" i="6"/>
  <c r="R33" i="6"/>
  <c r="R142" i="5" l="1"/>
  <c r="R141" i="5"/>
  <c r="R60" i="5"/>
  <c r="R156" i="5"/>
  <c r="R150" i="5"/>
  <c r="R163" i="5"/>
  <c r="R154" i="5"/>
  <c r="R161" i="5"/>
  <c r="R147" i="5"/>
  <c r="R152" i="5"/>
  <c r="R143" i="5"/>
  <c r="R159" i="5"/>
  <c r="R162" i="5"/>
  <c r="R148" i="5"/>
  <c r="R149" i="5"/>
  <c r="R155" i="5"/>
  <c r="R145" i="5"/>
  <c r="R160" i="5"/>
  <c r="R166" i="5"/>
  <c r="R158" i="5"/>
  <c r="R153" i="5"/>
  <c r="R146" i="5"/>
  <c r="R151" i="5"/>
  <c r="R144" i="5"/>
  <c r="R165" i="5"/>
  <c r="R164" i="5"/>
  <c r="R17" i="6"/>
  <c r="R151" i="6" s="1"/>
  <c r="R70" i="6"/>
  <c r="R97" i="6"/>
  <c r="R157" i="5"/>
  <c r="R232" i="3"/>
  <c r="R78" i="3"/>
  <c r="R200" i="3"/>
  <c r="R47" i="3"/>
  <c r="R136" i="6" l="1"/>
  <c r="R135" i="6"/>
  <c r="R54" i="6"/>
  <c r="R148" i="6"/>
  <c r="R155" i="6"/>
  <c r="R141" i="6"/>
  <c r="R156" i="6"/>
  <c r="R137" i="6"/>
  <c r="R146" i="6"/>
  <c r="R153" i="6"/>
  <c r="R142" i="6"/>
  <c r="R149" i="6"/>
  <c r="R143" i="6"/>
  <c r="R139" i="6"/>
  <c r="R154" i="6"/>
  <c r="R140" i="6"/>
  <c r="R147" i="6"/>
  <c r="R152" i="6"/>
  <c r="R138" i="6"/>
  <c r="R145" i="6"/>
  <c r="R160" i="6"/>
  <c r="R159" i="6"/>
  <c r="R158" i="6"/>
  <c r="R77" i="3"/>
  <c r="R230" i="3"/>
  <c r="R143" i="3"/>
  <c r="R145" i="3"/>
  <c r="R148" i="3"/>
  <c r="R144" i="3"/>
  <c r="R149" i="3"/>
  <c r="R139" i="3"/>
  <c r="R150" i="3"/>
  <c r="R199" i="3"/>
  <c r="R147" i="3"/>
  <c r="R146" i="3"/>
  <c r="R141" i="3"/>
  <c r="R142" i="3"/>
  <c r="R140" i="3"/>
  <c r="R174" i="3" l="1"/>
  <c r="R178" i="3"/>
  <c r="R169" i="3"/>
  <c r="R175" i="3"/>
  <c r="R176" i="3"/>
  <c r="R177" i="3"/>
  <c r="R173" i="3"/>
  <c r="R180" i="3"/>
  <c r="R179" i="3"/>
  <c r="R229" i="3"/>
  <c r="R171" i="3"/>
  <c r="R172" i="3"/>
  <c r="R170" i="3"/>
  <c r="T55" i="7" l="1"/>
  <c r="T134" i="4"/>
  <c r="T53" i="7" l="1"/>
  <c r="T127" i="4"/>
  <c r="T46" i="7" l="1"/>
  <c r="T111" i="4"/>
  <c r="T30" i="7" s="1"/>
  <c r="S126" i="5" l="1"/>
  <c r="S72" i="5"/>
  <c r="S127" i="7" s="1"/>
  <c r="S99" i="5"/>
  <c r="S33" i="5"/>
  <c r="S70" i="5" l="1"/>
  <c r="S125" i="7" s="1"/>
  <c r="S124" i="5"/>
  <c r="S38" i="3"/>
  <c r="S97" i="5"/>
  <c r="S127" i="6"/>
  <c r="S73" i="6"/>
  <c r="S215" i="7" s="1"/>
  <c r="S100" i="6"/>
  <c r="S34" i="6"/>
  <c r="S133" i="5"/>
  <c r="S79" i="5"/>
  <c r="S134" i="7" s="1"/>
  <c r="S106" i="5"/>
  <c r="S43" i="5"/>
  <c r="S190" i="3" l="1"/>
  <c r="S125" i="6"/>
  <c r="S79" i="3"/>
  <c r="S71" i="6"/>
  <c r="S213" i="7" s="1"/>
  <c r="S98" i="6"/>
  <c r="S131" i="5"/>
  <c r="S77" i="5"/>
  <c r="S132" i="7" s="1"/>
  <c r="S49" i="3"/>
  <c r="S104" i="5"/>
  <c r="S120" i="6"/>
  <c r="S66" i="6"/>
  <c r="S208" i="7" s="1"/>
  <c r="S93" i="6"/>
  <c r="S27" i="6"/>
  <c r="S201" i="3" l="1"/>
  <c r="S231" i="3"/>
  <c r="S85" i="5"/>
  <c r="S140" i="7" s="1"/>
  <c r="S139" i="5"/>
  <c r="S112" i="5"/>
  <c r="S118" i="6"/>
  <c r="S68" i="3"/>
  <c r="S64" i="6"/>
  <c r="S206" i="7" s="1"/>
  <c r="S91" i="6"/>
  <c r="S113" i="6"/>
  <c r="S59" i="6"/>
  <c r="S201" i="7" s="1"/>
  <c r="S86" i="6"/>
  <c r="S20" i="6"/>
  <c r="S65" i="5"/>
  <c r="S120" i="7" s="1"/>
  <c r="S119" i="5"/>
  <c r="S92" i="5"/>
  <c r="S21" i="5"/>
  <c r="S220" i="3" l="1"/>
  <c r="S18" i="6"/>
  <c r="S111" i="6"/>
  <c r="S67" i="3"/>
  <c r="S57" i="6"/>
  <c r="S199" i="7" s="1"/>
  <c r="S84" i="6"/>
  <c r="S63" i="5"/>
  <c r="S118" i="7" s="1"/>
  <c r="S117" i="5"/>
  <c r="S37" i="3"/>
  <c r="S90" i="5"/>
  <c r="S18" i="5"/>
  <c r="S61" i="5" l="1"/>
  <c r="S88" i="5"/>
  <c r="S189" i="3"/>
  <c r="S35" i="3"/>
  <c r="S65" i="3"/>
  <c r="S219" i="3"/>
  <c r="S55" i="6"/>
  <c r="S82" i="6"/>
  <c r="S133" i="6" l="1"/>
  <c r="S79" i="6"/>
  <c r="S221" i="7" s="1"/>
  <c r="S106" i="6"/>
  <c r="S64" i="3"/>
  <c r="S217" i="3"/>
  <c r="S187" i="3"/>
  <c r="S34" i="3"/>
  <c r="S127" i="3" s="1"/>
  <c r="S157" i="3" l="1"/>
  <c r="S138" i="3"/>
  <c r="S186" i="3"/>
  <c r="S135" i="3"/>
  <c r="S132" i="3"/>
  <c r="S137" i="3"/>
  <c r="S133" i="3"/>
  <c r="S136" i="3"/>
  <c r="S134" i="3"/>
  <c r="S131" i="3"/>
  <c r="S126" i="3"/>
  <c r="S128" i="3"/>
  <c r="S130" i="3"/>
  <c r="S129" i="3"/>
  <c r="S168" i="3"/>
  <c r="S163" i="3"/>
  <c r="S156" i="3"/>
  <c r="S161" i="3"/>
  <c r="S166" i="3"/>
  <c r="S165" i="3"/>
  <c r="S167" i="3"/>
  <c r="S158" i="3"/>
  <c r="S216" i="3"/>
  <c r="S160" i="3"/>
  <c r="S159" i="3"/>
  <c r="S52" i="5" l="1"/>
  <c r="S138" i="5"/>
  <c r="S84" i="5"/>
  <c r="S139" i="7" s="1"/>
  <c r="S111" i="5"/>
  <c r="S40" i="6"/>
  <c r="S132" i="6"/>
  <c r="S78" i="6"/>
  <c r="S220" i="7" s="1"/>
  <c r="S105" i="6"/>
  <c r="S131" i="6" l="1"/>
  <c r="S80" i="3"/>
  <c r="S77" i="6"/>
  <c r="S219" i="7" s="1"/>
  <c r="S104" i="6"/>
  <c r="S33" i="6"/>
  <c r="S137" i="5"/>
  <c r="S83" i="5"/>
  <c r="S138" i="7" s="1"/>
  <c r="S50" i="3"/>
  <c r="S110" i="5"/>
  <c r="S42" i="5"/>
  <c r="S17" i="6" l="1"/>
  <c r="S151" i="6" s="1"/>
  <c r="S70" i="6"/>
  <c r="S97" i="6"/>
  <c r="S76" i="5"/>
  <c r="S103" i="5"/>
  <c r="S17" i="5"/>
  <c r="S232" i="3"/>
  <c r="S78" i="3"/>
  <c r="S202" i="3"/>
  <c r="S48" i="3"/>
  <c r="S162" i="5" l="1"/>
  <c r="S141" i="5"/>
  <c r="S60" i="5"/>
  <c r="S156" i="5"/>
  <c r="S150" i="5"/>
  <c r="S163" i="5"/>
  <c r="S154" i="5"/>
  <c r="S161" i="5"/>
  <c r="S147" i="5"/>
  <c r="S152" i="5"/>
  <c r="S159" i="5"/>
  <c r="S143" i="5"/>
  <c r="S155" i="5"/>
  <c r="S149" i="5"/>
  <c r="S148" i="5"/>
  <c r="S145" i="5"/>
  <c r="S153" i="5"/>
  <c r="S151" i="5"/>
  <c r="S160" i="5"/>
  <c r="S158" i="5"/>
  <c r="S166" i="5"/>
  <c r="S146" i="5"/>
  <c r="S144" i="5"/>
  <c r="S142" i="5"/>
  <c r="S165" i="5"/>
  <c r="S164" i="5"/>
  <c r="S77" i="3"/>
  <c r="S230" i="3"/>
  <c r="S157" i="5"/>
  <c r="S200" i="3"/>
  <c r="S47" i="3"/>
  <c r="S140" i="3" s="1"/>
  <c r="S135" i="6"/>
  <c r="S148" i="6"/>
  <c r="S155" i="6"/>
  <c r="S54" i="6"/>
  <c r="S137" i="6"/>
  <c r="S141" i="6"/>
  <c r="S153" i="6"/>
  <c r="S146" i="6"/>
  <c r="S156" i="6"/>
  <c r="S149" i="6"/>
  <c r="S143" i="6"/>
  <c r="S139" i="6"/>
  <c r="S142" i="6"/>
  <c r="S154" i="6"/>
  <c r="S147" i="6"/>
  <c r="S152" i="6"/>
  <c r="S140" i="6"/>
  <c r="S145" i="6"/>
  <c r="S138" i="6"/>
  <c r="S136" i="6"/>
  <c r="S160" i="6"/>
  <c r="S159" i="6"/>
  <c r="S158" i="6"/>
  <c r="S170" i="3" l="1"/>
  <c r="S147" i="3"/>
  <c r="S144" i="3"/>
  <c r="S150" i="3"/>
  <c r="S199" i="3"/>
  <c r="S139" i="3"/>
  <c r="S148" i="3"/>
  <c r="S149" i="3"/>
  <c r="S146" i="3"/>
  <c r="S145" i="3"/>
  <c r="S143" i="3"/>
  <c r="S141" i="3"/>
  <c r="S142" i="3"/>
  <c r="S177" i="3"/>
  <c r="S176" i="3"/>
  <c r="S174" i="3"/>
  <c r="S173" i="3"/>
  <c r="S180" i="3"/>
  <c r="S179" i="3"/>
  <c r="S178" i="3"/>
  <c r="S169" i="3"/>
  <c r="S175" i="3"/>
  <c r="S229" i="3"/>
  <c r="S171" i="3"/>
  <c r="S172" i="3"/>
  <c r="U55" i="7" l="1"/>
  <c r="U134" i="4"/>
  <c r="U53" i="7" l="1"/>
  <c r="U127" i="4"/>
  <c r="U46" i="7" l="1"/>
  <c r="U111" i="4"/>
  <c r="U30" i="7" s="1"/>
  <c r="T133" i="5" l="1"/>
  <c r="T79" i="5"/>
  <c r="T134" i="7" s="1"/>
  <c r="T106" i="5"/>
  <c r="T43" i="5"/>
  <c r="T126" i="5"/>
  <c r="T72" i="5"/>
  <c r="T127" i="7" s="1"/>
  <c r="T99" i="5"/>
  <c r="T33" i="5"/>
  <c r="T70" i="5" l="1"/>
  <c r="T125" i="7" s="1"/>
  <c r="T124" i="5"/>
  <c r="T38" i="3"/>
  <c r="T97" i="5"/>
  <c r="T131" i="5"/>
  <c r="T77" i="5"/>
  <c r="T132" i="7" s="1"/>
  <c r="T49" i="3"/>
  <c r="T104" i="5"/>
  <c r="T120" i="6" l="1"/>
  <c r="T66" i="6"/>
  <c r="T208" i="7" s="1"/>
  <c r="T93" i="6"/>
  <c r="T27" i="6"/>
  <c r="T127" i="6"/>
  <c r="T73" i="6"/>
  <c r="T215" i="7" s="1"/>
  <c r="T100" i="6"/>
  <c r="T34" i="6"/>
  <c r="T201" i="3"/>
  <c r="T190" i="3"/>
  <c r="T119" i="5"/>
  <c r="T65" i="5"/>
  <c r="T120" i="7" s="1"/>
  <c r="T92" i="5"/>
  <c r="T21" i="5"/>
  <c r="T139" i="5"/>
  <c r="T85" i="5"/>
  <c r="T140" i="7" s="1"/>
  <c r="T112" i="5"/>
  <c r="T118" i="6" l="1"/>
  <c r="T68" i="3"/>
  <c r="T64" i="6"/>
  <c r="T206" i="7" s="1"/>
  <c r="T91" i="6"/>
  <c r="T125" i="6"/>
  <c r="T79" i="3"/>
  <c r="T71" i="6"/>
  <c r="T213" i="7" s="1"/>
  <c r="T98" i="6"/>
  <c r="T113" i="6"/>
  <c r="T59" i="6"/>
  <c r="T201" i="7" s="1"/>
  <c r="T86" i="6"/>
  <c r="T20" i="6"/>
  <c r="T63" i="5"/>
  <c r="T118" i="7" s="1"/>
  <c r="T117" i="5"/>
  <c r="T37" i="3"/>
  <c r="T90" i="5"/>
  <c r="T18" i="5"/>
  <c r="T61" i="5" l="1"/>
  <c r="T88" i="5"/>
  <c r="T189" i="3"/>
  <c r="T35" i="3"/>
  <c r="T220" i="3"/>
  <c r="T231" i="3"/>
  <c r="T111" i="6"/>
  <c r="T67" i="3"/>
  <c r="T57" i="6"/>
  <c r="T199" i="7" s="1"/>
  <c r="T84" i="6"/>
  <c r="T18" i="6"/>
  <c r="T133" i="6"/>
  <c r="T79" i="6"/>
  <c r="T221" i="7" s="1"/>
  <c r="T106" i="6"/>
  <c r="T55" i="6" l="1"/>
  <c r="T82" i="6"/>
  <c r="T187" i="3"/>
  <c r="T34" i="3"/>
  <c r="T127" i="3" s="1"/>
  <c r="T219" i="3"/>
  <c r="T65" i="3"/>
  <c r="T40" i="6" l="1"/>
  <c r="T132" i="6"/>
  <c r="T78" i="6"/>
  <c r="T220" i="7" s="1"/>
  <c r="T105" i="6"/>
  <c r="T84" i="5"/>
  <c r="T139" i="7" s="1"/>
  <c r="T52" i="5"/>
  <c r="T138" i="5"/>
  <c r="T111" i="5"/>
  <c r="T135" i="3"/>
  <c r="T133" i="3"/>
  <c r="T138" i="3"/>
  <c r="T186" i="3"/>
  <c r="T131" i="3"/>
  <c r="T126" i="3"/>
  <c r="T132" i="3"/>
  <c r="T136" i="3"/>
  <c r="T134" i="3"/>
  <c r="T137" i="3"/>
  <c r="T128" i="3"/>
  <c r="T130" i="3"/>
  <c r="T129" i="3"/>
  <c r="T64" i="3"/>
  <c r="T217" i="3"/>
  <c r="T165" i="3" l="1"/>
  <c r="T166" i="3"/>
  <c r="T156" i="3"/>
  <c r="T167" i="3"/>
  <c r="T168" i="3"/>
  <c r="T163" i="3"/>
  <c r="T161" i="3"/>
  <c r="T158" i="3"/>
  <c r="T216" i="3"/>
  <c r="T160" i="3"/>
  <c r="T159" i="3"/>
  <c r="T42" i="5"/>
  <c r="T137" i="5"/>
  <c r="T83" i="5"/>
  <c r="T138" i="7" s="1"/>
  <c r="T50" i="3"/>
  <c r="T110" i="5"/>
  <c r="T157" i="3"/>
  <c r="T131" i="6"/>
  <c r="T80" i="3"/>
  <c r="T77" i="6"/>
  <c r="T219" i="7" s="1"/>
  <c r="T104" i="6"/>
  <c r="T33" i="6"/>
  <c r="T76" i="5" l="1"/>
  <c r="T103" i="5"/>
  <c r="T17" i="5"/>
  <c r="T232" i="3"/>
  <c r="T78" i="3"/>
  <c r="T202" i="3"/>
  <c r="T48" i="3"/>
  <c r="T70" i="6"/>
  <c r="T97" i="6"/>
  <c r="T17" i="6"/>
  <c r="T200" i="3" l="1"/>
  <c r="T47" i="3"/>
  <c r="T140" i="3" s="1"/>
  <c r="T151" i="5"/>
  <c r="T141" i="5"/>
  <c r="T60" i="5"/>
  <c r="T156" i="5"/>
  <c r="T150" i="5"/>
  <c r="T163" i="5"/>
  <c r="T161" i="5"/>
  <c r="T154" i="5"/>
  <c r="T147" i="5"/>
  <c r="T159" i="5"/>
  <c r="T143" i="5"/>
  <c r="T162" i="5"/>
  <c r="T152" i="5"/>
  <c r="T155" i="5"/>
  <c r="T148" i="5"/>
  <c r="T149" i="5"/>
  <c r="T145" i="5"/>
  <c r="T153" i="5"/>
  <c r="T160" i="5"/>
  <c r="T158" i="5"/>
  <c r="T166" i="5"/>
  <c r="T146" i="5"/>
  <c r="T144" i="5"/>
  <c r="T142" i="5"/>
  <c r="T165" i="5"/>
  <c r="T164" i="5"/>
  <c r="T157" i="5"/>
  <c r="T77" i="3"/>
  <c r="T230" i="3"/>
  <c r="T151" i="6"/>
  <c r="T135" i="6"/>
  <c r="T54" i="6"/>
  <c r="T148" i="6"/>
  <c r="T155" i="6"/>
  <c r="T156" i="6"/>
  <c r="T141" i="6"/>
  <c r="T137" i="6"/>
  <c r="T153" i="6"/>
  <c r="T149" i="6"/>
  <c r="T146" i="6"/>
  <c r="T142" i="6"/>
  <c r="T143" i="6"/>
  <c r="T139" i="6"/>
  <c r="T147" i="6"/>
  <c r="T154" i="6"/>
  <c r="T152" i="6"/>
  <c r="T145" i="6"/>
  <c r="T140" i="6"/>
  <c r="T160" i="6"/>
  <c r="T138" i="6"/>
  <c r="T136" i="6"/>
  <c r="T159" i="6"/>
  <c r="T158" i="6"/>
  <c r="T170" i="3" l="1"/>
  <c r="T177" i="3"/>
  <c r="T173" i="3"/>
  <c r="T176" i="3"/>
  <c r="T179" i="3"/>
  <c r="T180" i="3"/>
  <c r="T178" i="3"/>
  <c r="T174" i="3"/>
  <c r="T169" i="3"/>
  <c r="T175" i="3"/>
  <c r="T229" i="3"/>
  <c r="T171" i="3"/>
  <c r="T172" i="3"/>
  <c r="T144" i="3"/>
  <c r="T150" i="3"/>
  <c r="T199" i="3"/>
  <c r="T149" i="3"/>
  <c r="T148" i="3"/>
  <c r="T139" i="3"/>
  <c r="T145" i="3"/>
  <c r="T146" i="3"/>
  <c r="T143" i="3"/>
  <c r="T147" i="3"/>
  <c r="T141" i="3"/>
  <c r="T142" i="3"/>
  <c r="V55" i="7" l="1"/>
  <c r="V134" i="4"/>
  <c r="V53" i="7" l="1"/>
  <c r="V127" i="4"/>
  <c r="V46" i="7" l="1"/>
  <c r="V111" i="4"/>
  <c r="V30" i="7" s="1"/>
  <c r="U127" i="6" l="1"/>
  <c r="U73" i="6"/>
  <c r="U215" i="7" s="1"/>
  <c r="U100" i="6"/>
  <c r="U34" i="6"/>
  <c r="U79" i="5"/>
  <c r="U134" i="7" s="1"/>
  <c r="U133" i="5"/>
  <c r="U106" i="5"/>
  <c r="U43" i="5"/>
  <c r="U72" i="5"/>
  <c r="U127" i="7" s="1"/>
  <c r="U126" i="5"/>
  <c r="U99" i="5"/>
  <c r="U33" i="5"/>
  <c r="U77" i="5" l="1"/>
  <c r="U132" i="7" s="1"/>
  <c r="U131" i="5"/>
  <c r="U49" i="3"/>
  <c r="U104" i="5"/>
  <c r="U139" i="5"/>
  <c r="U85" i="5"/>
  <c r="U140" i="7" s="1"/>
  <c r="U112" i="5"/>
  <c r="U70" i="5"/>
  <c r="U125" i="7" s="1"/>
  <c r="U124" i="5"/>
  <c r="U38" i="3"/>
  <c r="U97" i="5"/>
  <c r="U71" i="6"/>
  <c r="U213" i="7" s="1"/>
  <c r="U125" i="6"/>
  <c r="U79" i="3"/>
  <c r="U98" i="6"/>
  <c r="U201" i="3" l="1"/>
  <c r="U231" i="3"/>
  <c r="U65" i="5"/>
  <c r="U120" i="7" s="1"/>
  <c r="U119" i="5"/>
  <c r="U92" i="5"/>
  <c r="U21" i="5"/>
  <c r="U190" i="3"/>
  <c r="U120" i="6"/>
  <c r="U66" i="6"/>
  <c r="U208" i="7" s="1"/>
  <c r="U93" i="6"/>
  <c r="U27" i="6"/>
  <c r="U113" i="6"/>
  <c r="U59" i="6"/>
  <c r="U201" i="7" s="1"/>
  <c r="U86" i="6"/>
  <c r="U20" i="6"/>
  <c r="U111" i="6" l="1"/>
  <c r="U67" i="3"/>
  <c r="U57" i="6"/>
  <c r="U199" i="7" s="1"/>
  <c r="U84" i="6"/>
  <c r="U18" i="6"/>
  <c r="U63" i="5"/>
  <c r="U118" i="7" s="1"/>
  <c r="U117" i="5"/>
  <c r="U37" i="3"/>
  <c r="U90" i="5"/>
  <c r="U18" i="5"/>
  <c r="U64" i="6"/>
  <c r="U206" i="7" s="1"/>
  <c r="U118" i="6"/>
  <c r="U68" i="3"/>
  <c r="U91" i="6"/>
  <c r="U133" i="6" l="1"/>
  <c r="U79" i="6"/>
  <c r="U221" i="7" s="1"/>
  <c r="U106" i="6"/>
  <c r="U55" i="6"/>
  <c r="U82" i="6"/>
  <c r="U189" i="3"/>
  <c r="U35" i="3"/>
  <c r="U61" i="5"/>
  <c r="U88" i="5"/>
  <c r="U219" i="3"/>
  <c r="U65" i="3"/>
  <c r="U220" i="3"/>
  <c r="U64" i="3" l="1"/>
  <c r="U217" i="3"/>
  <c r="U187" i="3"/>
  <c r="U34" i="3"/>
  <c r="U127" i="3" s="1"/>
  <c r="U157" i="3" l="1"/>
  <c r="U138" i="3"/>
  <c r="U132" i="3"/>
  <c r="U134" i="3"/>
  <c r="U133" i="3"/>
  <c r="U135" i="3"/>
  <c r="U126" i="3"/>
  <c r="U131" i="3"/>
  <c r="U136" i="3"/>
  <c r="U186" i="3"/>
  <c r="U137" i="3"/>
  <c r="U128" i="3"/>
  <c r="U130" i="3"/>
  <c r="U129" i="3"/>
  <c r="U163" i="3"/>
  <c r="U168" i="3"/>
  <c r="U161" i="3"/>
  <c r="U165" i="3"/>
  <c r="U166" i="3"/>
  <c r="U156" i="3"/>
  <c r="U167" i="3"/>
  <c r="U216" i="3"/>
  <c r="U158" i="3"/>
  <c r="U160" i="3"/>
  <c r="U159" i="3"/>
  <c r="U52" i="5" l="1"/>
  <c r="U138" i="5"/>
  <c r="U84" i="5"/>
  <c r="U139" i="7" s="1"/>
  <c r="U111" i="5"/>
  <c r="U132" i="6"/>
  <c r="U40" i="6"/>
  <c r="U78" i="6"/>
  <c r="U220" i="7" s="1"/>
  <c r="U105" i="6"/>
  <c r="U83" i="5" l="1"/>
  <c r="U138" i="7" s="1"/>
  <c r="U50" i="3"/>
  <c r="U110" i="5"/>
  <c r="U137" i="5"/>
  <c r="U42" i="5"/>
  <c r="U131" i="6"/>
  <c r="U80" i="3"/>
  <c r="U77" i="6"/>
  <c r="U219" i="7" s="1"/>
  <c r="U104" i="6"/>
  <c r="U33" i="6"/>
  <c r="U70" i="6" l="1"/>
  <c r="U97" i="6"/>
  <c r="U17" i="6"/>
  <c r="U76" i="5"/>
  <c r="U103" i="5"/>
  <c r="U17" i="5"/>
  <c r="U157" i="5" s="1"/>
  <c r="U232" i="3"/>
  <c r="U78" i="3"/>
  <c r="U202" i="3"/>
  <c r="U48" i="3"/>
  <c r="U200" i="3" l="1"/>
  <c r="U47" i="3"/>
  <c r="U140" i="3"/>
  <c r="U77" i="3"/>
  <c r="U170" i="3"/>
  <c r="U230" i="3"/>
  <c r="U136" i="6"/>
  <c r="U135" i="6"/>
  <c r="U54" i="6"/>
  <c r="U148" i="6"/>
  <c r="U155" i="6"/>
  <c r="U141" i="6"/>
  <c r="U137" i="6"/>
  <c r="U153" i="6"/>
  <c r="U146" i="6"/>
  <c r="U139" i="6"/>
  <c r="U143" i="6"/>
  <c r="U156" i="6"/>
  <c r="U142" i="6"/>
  <c r="U149" i="6"/>
  <c r="U154" i="6"/>
  <c r="U152" i="6"/>
  <c r="U140" i="6"/>
  <c r="U147" i="6"/>
  <c r="U145" i="6"/>
  <c r="U138" i="6"/>
  <c r="U160" i="6"/>
  <c r="U159" i="6"/>
  <c r="U158" i="6"/>
  <c r="U60" i="5"/>
  <c r="U141" i="5"/>
  <c r="U156" i="5"/>
  <c r="U163" i="5"/>
  <c r="U150" i="5"/>
  <c r="U154" i="5"/>
  <c r="U161" i="5"/>
  <c r="U147" i="5"/>
  <c r="U152" i="5"/>
  <c r="U159" i="5"/>
  <c r="U143" i="5"/>
  <c r="U162" i="5"/>
  <c r="U149" i="5"/>
  <c r="U145" i="5"/>
  <c r="U148" i="5"/>
  <c r="U155" i="5"/>
  <c r="U153" i="5"/>
  <c r="U160" i="5"/>
  <c r="U151" i="5"/>
  <c r="U166" i="5"/>
  <c r="U158" i="5"/>
  <c r="U146" i="5"/>
  <c r="U144" i="5"/>
  <c r="U142" i="5"/>
  <c r="U165" i="5"/>
  <c r="U164" i="5"/>
  <c r="U151" i="6"/>
  <c r="U178" i="3" l="1"/>
  <c r="U169" i="3"/>
  <c r="U175" i="3"/>
  <c r="U176" i="3"/>
  <c r="U173" i="3"/>
  <c r="U177" i="3"/>
  <c r="U179" i="3"/>
  <c r="U174" i="3"/>
  <c r="U180" i="3"/>
  <c r="U229" i="3"/>
  <c r="U171" i="3"/>
  <c r="U172" i="3"/>
  <c r="U144" i="3"/>
  <c r="U150" i="3"/>
  <c r="U149" i="3"/>
  <c r="U148" i="3"/>
  <c r="U199" i="3"/>
  <c r="U139" i="3"/>
  <c r="U145" i="3"/>
  <c r="U147" i="3"/>
  <c r="U143" i="3"/>
  <c r="U146" i="3"/>
  <c r="U141" i="3"/>
  <c r="U142" i="3"/>
  <c r="W55" i="7" l="1"/>
  <c r="W134" i="4"/>
  <c r="W53" i="7" l="1"/>
  <c r="W127" i="4"/>
  <c r="W46" i="7" l="1"/>
  <c r="W111" i="4"/>
  <c r="W30" i="7" s="1"/>
  <c r="V127" i="6" l="1"/>
  <c r="V73" i="6"/>
  <c r="V215" i="7" s="1"/>
  <c r="V100" i="6"/>
  <c r="V34" i="6"/>
  <c r="V72" i="5"/>
  <c r="V127" i="7" s="1"/>
  <c r="V126" i="5"/>
  <c r="V99" i="5"/>
  <c r="V33" i="5"/>
  <c r="V79" i="5"/>
  <c r="V134" i="7" s="1"/>
  <c r="V133" i="5"/>
  <c r="V106" i="5"/>
  <c r="V43" i="5"/>
  <c r="V113" i="6" l="1"/>
  <c r="V59" i="6"/>
  <c r="V201" i="7" s="1"/>
  <c r="V86" i="6"/>
  <c r="V20" i="6"/>
  <c r="V125" i="6"/>
  <c r="V79" i="3"/>
  <c r="V71" i="6"/>
  <c r="V213" i="7" s="1"/>
  <c r="V98" i="6"/>
  <c r="V70" i="5"/>
  <c r="V125" i="7" s="1"/>
  <c r="V124" i="5"/>
  <c r="V38" i="3"/>
  <c r="V190" i="3" s="1"/>
  <c r="V97" i="5"/>
  <c r="V77" i="5"/>
  <c r="V132" i="7" s="1"/>
  <c r="V49" i="3"/>
  <c r="V131" i="5"/>
  <c r="V104" i="5"/>
  <c r="V139" i="5"/>
  <c r="V85" i="5"/>
  <c r="V140" i="7" s="1"/>
  <c r="V112" i="5"/>
  <c r="V65" i="5"/>
  <c r="V120" i="7" s="1"/>
  <c r="V119" i="5"/>
  <c r="V92" i="5"/>
  <c r="V21" i="5"/>
  <c r="V201" i="3" l="1"/>
  <c r="V231" i="3"/>
  <c r="V120" i="6"/>
  <c r="V66" i="6"/>
  <c r="V208" i="7" s="1"/>
  <c r="V93" i="6"/>
  <c r="V27" i="6"/>
  <c r="V18" i="6" s="1"/>
  <c r="V63" i="5"/>
  <c r="V118" i="7" s="1"/>
  <c r="V117" i="5"/>
  <c r="V37" i="3"/>
  <c r="V90" i="5"/>
  <c r="V18" i="5"/>
  <c r="V111" i="6"/>
  <c r="V67" i="3"/>
  <c r="V57" i="6"/>
  <c r="V199" i="7" s="1"/>
  <c r="V84" i="6"/>
  <c r="V61" i="5" l="1"/>
  <c r="V88" i="5"/>
  <c r="V64" i="6"/>
  <c r="V206" i="7" s="1"/>
  <c r="V118" i="6"/>
  <c r="V68" i="3"/>
  <c r="V91" i="6"/>
  <c r="V55" i="6"/>
  <c r="V82" i="6"/>
  <c r="V189" i="3"/>
  <c r="V35" i="3"/>
  <c r="V219" i="3"/>
  <c r="V133" i="6"/>
  <c r="V79" i="6"/>
  <c r="V221" i="7" s="1"/>
  <c r="V106" i="6"/>
  <c r="V187" i="3" l="1"/>
  <c r="V34" i="3"/>
  <c r="V127" i="3"/>
  <c r="V220" i="3"/>
  <c r="V65" i="3"/>
  <c r="V130" i="3" l="1"/>
  <c r="V135" i="3"/>
  <c r="V133" i="3"/>
  <c r="V131" i="3"/>
  <c r="V136" i="3"/>
  <c r="V134" i="3"/>
  <c r="V138" i="3"/>
  <c r="V132" i="3"/>
  <c r="V186" i="3"/>
  <c r="V126" i="3"/>
  <c r="V137" i="3"/>
  <c r="V128" i="3"/>
  <c r="V129" i="3"/>
  <c r="V64" i="3"/>
  <c r="V217" i="3"/>
  <c r="V157" i="3" l="1"/>
  <c r="V138" i="5"/>
  <c r="V84" i="5"/>
  <c r="V139" i="7" s="1"/>
  <c r="V52" i="5"/>
  <c r="V111" i="5"/>
  <c r="V168" i="3"/>
  <c r="V165" i="3"/>
  <c r="V163" i="3"/>
  <c r="V161" i="3"/>
  <c r="V166" i="3"/>
  <c r="V156" i="3"/>
  <c r="V167" i="3"/>
  <c r="V158" i="3"/>
  <c r="V216" i="3"/>
  <c r="V159" i="3"/>
  <c r="V160" i="3"/>
  <c r="V40" i="6"/>
  <c r="V132" i="6"/>
  <c r="V78" i="6"/>
  <c r="V220" i="7" s="1"/>
  <c r="V105" i="6"/>
  <c r="V83" i="5" l="1"/>
  <c r="V138" i="7" s="1"/>
  <c r="V137" i="5"/>
  <c r="V50" i="3"/>
  <c r="V110" i="5"/>
  <c r="V42" i="5"/>
  <c r="V131" i="6"/>
  <c r="V80" i="3"/>
  <c r="V77" i="6"/>
  <c r="V219" i="7" s="1"/>
  <c r="V104" i="6"/>
  <c r="V33" i="6"/>
  <c r="V70" i="6" l="1"/>
  <c r="V97" i="6"/>
  <c r="V17" i="6"/>
  <c r="V76" i="5"/>
  <c r="V103" i="5"/>
  <c r="V17" i="5"/>
  <c r="V202" i="3"/>
  <c r="V48" i="3"/>
  <c r="V232" i="3"/>
  <c r="V78" i="3"/>
  <c r="V150" i="5" l="1"/>
  <c r="V141" i="5"/>
  <c r="V60" i="5"/>
  <c r="V156" i="5"/>
  <c r="V163" i="5"/>
  <c r="V154" i="5"/>
  <c r="V161" i="5"/>
  <c r="V147" i="5"/>
  <c r="V162" i="5"/>
  <c r="V148" i="5"/>
  <c r="V155" i="5"/>
  <c r="V152" i="5"/>
  <c r="V143" i="5"/>
  <c r="V159" i="5"/>
  <c r="V149" i="5"/>
  <c r="V145" i="5"/>
  <c r="V160" i="5"/>
  <c r="V153" i="5"/>
  <c r="V166" i="5"/>
  <c r="V151" i="5"/>
  <c r="V158" i="5"/>
  <c r="V146" i="5"/>
  <c r="V144" i="5"/>
  <c r="V142" i="5"/>
  <c r="V165" i="5"/>
  <c r="V164" i="5"/>
  <c r="V157" i="5"/>
  <c r="V77" i="3"/>
  <c r="V230" i="3"/>
  <c r="V136" i="6"/>
  <c r="V135" i="6"/>
  <c r="V148" i="6"/>
  <c r="V155" i="6"/>
  <c r="V141" i="6"/>
  <c r="V156" i="6"/>
  <c r="V142" i="6"/>
  <c r="V54" i="6"/>
  <c r="V149" i="6"/>
  <c r="V137" i="6"/>
  <c r="V146" i="6"/>
  <c r="V153" i="6"/>
  <c r="V143" i="6"/>
  <c r="V139" i="6"/>
  <c r="V154" i="6"/>
  <c r="V152" i="6"/>
  <c r="V140" i="6"/>
  <c r="V138" i="6"/>
  <c r="V147" i="6"/>
  <c r="V145" i="6"/>
  <c r="V160" i="6"/>
  <c r="V159" i="6"/>
  <c r="V158" i="6"/>
  <c r="V200" i="3"/>
  <c r="V47" i="3"/>
  <c r="V140" i="3" s="1"/>
  <c r="V151" i="6"/>
  <c r="V170" i="3" l="1"/>
  <c r="V174" i="3"/>
  <c r="V180" i="3"/>
  <c r="V176" i="3"/>
  <c r="V179" i="3"/>
  <c r="V177" i="3"/>
  <c r="V178" i="3"/>
  <c r="V169" i="3"/>
  <c r="V175" i="3"/>
  <c r="V173" i="3"/>
  <c r="V229" i="3"/>
  <c r="V171" i="3"/>
  <c r="V172" i="3"/>
  <c r="V142" i="3"/>
  <c r="V150" i="3"/>
  <c r="V144" i="3"/>
  <c r="V145" i="3"/>
  <c r="V143" i="3"/>
  <c r="V147" i="3"/>
  <c r="V146" i="3"/>
  <c r="V139" i="3"/>
  <c r="V149" i="3"/>
  <c r="V199" i="3"/>
  <c r="V148" i="3"/>
  <c r="V141" i="3"/>
  <c r="X55" i="7" l="1"/>
  <c r="X134" i="4"/>
  <c r="X53" i="7" l="1"/>
  <c r="X127" i="4"/>
  <c r="X46" i="7" l="1"/>
  <c r="X111" i="4"/>
  <c r="X30" i="7" s="1"/>
  <c r="W133" i="5" l="1"/>
  <c r="W79" i="5"/>
  <c r="W134" i="7" s="1"/>
  <c r="W106" i="5"/>
  <c r="W43" i="5"/>
  <c r="W72" i="5"/>
  <c r="W127" i="7" s="1"/>
  <c r="W126" i="5"/>
  <c r="W99" i="5"/>
  <c r="W33" i="5"/>
  <c r="W124" i="5" l="1"/>
  <c r="W70" i="5"/>
  <c r="W125" i="7" s="1"/>
  <c r="W38" i="3"/>
  <c r="W97" i="5"/>
  <c r="W127" i="6"/>
  <c r="W73" i="6"/>
  <c r="W215" i="7" s="1"/>
  <c r="W100" i="6"/>
  <c r="W34" i="6"/>
  <c r="W65" i="5"/>
  <c r="W120" i="7" s="1"/>
  <c r="W119" i="5"/>
  <c r="W92" i="5"/>
  <c r="W21" i="5"/>
  <c r="W85" i="5"/>
  <c r="W140" i="7" s="1"/>
  <c r="W139" i="5"/>
  <c r="W112" i="5"/>
  <c r="W131" i="5"/>
  <c r="W77" i="5"/>
  <c r="W132" i="7" s="1"/>
  <c r="W49" i="3"/>
  <c r="W104" i="5"/>
  <c r="W63" i="5" l="1"/>
  <c r="W118" i="7" s="1"/>
  <c r="W117" i="5"/>
  <c r="W37" i="3"/>
  <c r="W90" i="5"/>
  <c r="W18" i="5"/>
  <c r="W120" i="6"/>
  <c r="W66" i="6"/>
  <c r="W208" i="7" s="1"/>
  <c r="W93" i="6"/>
  <c r="W27" i="6"/>
  <c r="W190" i="3"/>
  <c r="W201" i="3"/>
  <c r="W125" i="6"/>
  <c r="W79" i="3"/>
  <c r="W71" i="6"/>
  <c r="W213" i="7" s="1"/>
  <c r="W98" i="6"/>
  <c r="W231" i="3" l="1"/>
  <c r="W118" i="6"/>
  <c r="W68" i="3"/>
  <c r="W64" i="6"/>
  <c r="W206" i="7" s="1"/>
  <c r="W91" i="6"/>
  <c r="W189" i="3"/>
  <c r="W35" i="3"/>
  <c r="W113" i="6"/>
  <c r="W59" i="6"/>
  <c r="W201" i="7" s="1"/>
  <c r="W86" i="6"/>
  <c r="W20" i="6"/>
  <c r="W61" i="5"/>
  <c r="W88" i="5"/>
  <c r="W220" i="3" l="1"/>
  <c r="W34" i="3"/>
  <c r="W127" i="3" s="1"/>
  <c r="W187" i="3"/>
  <c r="W57" i="6"/>
  <c r="W199" i="7" s="1"/>
  <c r="W111" i="6"/>
  <c r="W67" i="3"/>
  <c r="W84" i="6"/>
  <c r="W18" i="6"/>
  <c r="W219" i="3" l="1"/>
  <c r="W65" i="3"/>
  <c r="W132" i="3"/>
  <c r="W134" i="3"/>
  <c r="W136" i="3"/>
  <c r="W135" i="3"/>
  <c r="W126" i="3"/>
  <c r="W133" i="3"/>
  <c r="W138" i="3"/>
  <c r="W131" i="3"/>
  <c r="W137" i="3"/>
  <c r="W186" i="3"/>
  <c r="W128" i="3"/>
  <c r="W130" i="3"/>
  <c r="W129" i="3"/>
  <c r="W133" i="6"/>
  <c r="W79" i="6"/>
  <c r="W221" i="7" s="1"/>
  <c r="W106" i="6"/>
  <c r="W55" i="6"/>
  <c r="W82" i="6"/>
  <c r="W64" i="3" l="1"/>
  <c r="W217" i="3"/>
  <c r="W157" i="3" l="1"/>
  <c r="W40" i="6"/>
  <c r="W132" i="6"/>
  <c r="W78" i="6"/>
  <c r="W220" i="7" s="1"/>
  <c r="W105" i="6"/>
  <c r="W166" i="3"/>
  <c r="W168" i="3"/>
  <c r="W163" i="3"/>
  <c r="W165" i="3"/>
  <c r="W156" i="3"/>
  <c r="W167" i="3"/>
  <c r="W161" i="3"/>
  <c r="W158" i="3"/>
  <c r="W216" i="3"/>
  <c r="W160" i="3"/>
  <c r="W159" i="3"/>
  <c r="W52" i="5"/>
  <c r="W84" i="5"/>
  <c r="W139" i="7" s="1"/>
  <c r="W138" i="5"/>
  <c r="W111" i="5"/>
  <c r="W50" i="3" l="1"/>
  <c r="W83" i="5"/>
  <c r="W138" i="7" s="1"/>
  <c r="W137" i="5"/>
  <c r="W110" i="5"/>
  <c r="W42" i="5"/>
  <c r="W33" i="6"/>
  <c r="W80" i="3"/>
  <c r="W131" i="6"/>
  <c r="W77" i="6"/>
  <c r="W219" i="7" s="1"/>
  <c r="W104" i="6"/>
  <c r="W202" i="3" l="1"/>
  <c r="W48" i="3"/>
  <c r="W232" i="3"/>
  <c r="W78" i="3"/>
  <c r="W76" i="5"/>
  <c r="W103" i="5"/>
  <c r="W17" i="5"/>
  <c r="W70" i="6"/>
  <c r="W97" i="6"/>
  <c r="W17" i="6"/>
  <c r="W136" i="6" l="1"/>
  <c r="W135" i="6"/>
  <c r="W155" i="6"/>
  <c r="W148" i="6"/>
  <c r="W141" i="6"/>
  <c r="W156" i="6"/>
  <c r="W54" i="6"/>
  <c r="W142" i="6"/>
  <c r="W149" i="6"/>
  <c r="W153" i="6"/>
  <c r="W146" i="6"/>
  <c r="W137" i="6"/>
  <c r="W139" i="6"/>
  <c r="W143" i="6"/>
  <c r="W154" i="6"/>
  <c r="W147" i="6"/>
  <c r="W152" i="6"/>
  <c r="W145" i="6"/>
  <c r="W140" i="6"/>
  <c r="W138" i="6"/>
  <c r="W160" i="6"/>
  <c r="W159" i="6"/>
  <c r="W158" i="6"/>
  <c r="W77" i="3"/>
  <c r="W230" i="3"/>
  <c r="W151" i="6"/>
  <c r="W47" i="3"/>
  <c r="W200" i="3"/>
  <c r="W142" i="5"/>
  <c r="W141" i="5"/>
  <c r="W60" i="5"/>
  <c r="W156" i="5"/>
  <c r="W163" i="5"/>
  <c r="W154" i="5"/>
  <c r="W161" i="5"/>
  <c r="W147" i="5"/>
  <c r="W162" i="5"/>
  <c r="W148" i="5"/>
  <c r="W155" i="5"/>
  <c r="W150" i="5"/>
  <c r="W143" i="5"/>
  <c r="W152" i="5"/>
  <c r="W159" i="5"/>
  <c r="W149" i="5"/>
  <c r="W145" i="5"/>
  <c r="W153" i="5"/>
  <c r="W160" i="5"/>
  <c r="W158" i="5"/>
  <c r="W151" i="5"/>
  <c r="W146" i="5"/>
  <c r="W166" i="5"/>
  <c r="W144" i="5"/>
  <c r="W165" i="5"/>
  <c r="W164" i="5"/>
  <c r="W157" i="5"/>
  <c r="W169" i="3" l="1"/>
  <c r="W174" i="3"/>
  <c r="W180" i="3"/>
  <c r="W173" i="3"/>
  <c r="W175" i="3"/>
  <c r="W176" i="3"/>
  <c r="W177" i="3"/>
  <c r="W179" i="3"/>
  <c r="W178" i="3"/>
  <c r="W229" i="3"/>
  <c r="W171" i="3"/>
  <c r="W172" i="3"/>
  <c r="W140" i="3"/>
  <c r="W148" i="3"/>
  <c r="W139" i="3"/>
  <c r="W144" i="3"/>
  <c r="W150" i="3"/>
  <c r="W143" i="3"/>
  <c r="W146" i="3"/>
  <c r="W145" i="3"/>
  <c r="W149" i="3"/>
  <c r="W147" i="3"/>
  <c r="W199" i="3"/>
  <c r="W141" i="3"/>
  <c r="W142" i="3"/>
  <c r="W170" i="3"/>
  <c r="Y55" i="7" l="1"/>
  <c r="Y134" i="4"/>
  <c r="Y82" i="7" l="1"/>
  <c r="Y75" i="7" s="1"/>
  <c r="Y59" i="7" s="1"/>
  <c r="Y53" i="7"/>
  <c r="Y127" i="4"/>
  <c r="Y46" i="7" l="1"/>
  <c r="Y111" i="4"/>
  <c r="Y30" i="7" s="1"/>
  <c r="B82" i="7" l="1"/>
  <c r="B75" i="7" s="1"/>
  <c r="B59" i="7" s="1"/>
  <c r="C82" i="7" l="1"/>
  <c r="C75" i="7" s="1"/>
  <c r="C59" i="7" s="1"/>
  <c r="E82" i="7" l="1"/>
  <c r="E75" i="7" s="1"/>
  <c r="E59" i="7" s="1"/>
  <c r="D82" i="7"/>
  <c r="D75" i="7" s="1"/>
  <c r="D59" i="7" s="1"/>
  <c r="F82" i="7" l="1"/>
  <c r="F75" i="7" s="1"/>
  <c r="F59" i="7" s="1"/>
  <c r="G82" i="7" l="1"/>
  <c r="G75" i="7" s="1"/>
  <c r="G59" i="7" s="1"/>
  <c r="X126" i="5"/>
  <c r="X72" i="5"/>
  <c r="X127" i="7" s="1"/>
  <c r="X99" i="5"/>
  <c r="X33" i="5"/>
  <c r="X79" i="5"/>
  <c r="X134" i="7" s="1"/>
  <c r="X133" i="5"/>
  <c r="X106" i="5"/>
  <c r="X43" i="5"/>
  <c r="X127" i="6"/>
  <c r="X73" i="6"/>
  <c r="X215" i="7" s="1"/>
  <c r="X100" i="6"/>
  <c r="X34" i="6"/>
  <c r="H82" i="7"/>
  <c r="H75" i="7" s="1"/>
  <c r="H59" i="7" s="1"/>
  <c r="X49" i="3" l="1"/>
  <c r="X131" i="5"/>
  <c r="X77" i="5"/>
  <c r="X132" i="7" s="1"/>
  <c r="X104" i="5"/>
  <c r="X125" i="6"/>
  <c r="X79" i="3"/>
  <c r="X71" i="6"/>
  <c r="X213" i="7" s="1"/>
  <c r="X98" i="6"/>
  <c r="I82" i="7"/>
  <c r="I75" i="7" s="1"/>
  <c r="I59" i="7" s="1"/>
  <c r="X124" i="5"/>
  <c r="X70" i="5"/>
  <c r="X125" i="7" s="1"/>
  <c r="X38" i="3"/>
  <c r="X97" i="5"/>
  <c r="J82" i="7"/>
  <c r="J75" i="7" s="1"/>
  <c r="J59" i="7" s="1"/>
  <c r="X190" i="3" l="1"/>
  <c r="X231" i="3"/>
  <c r="X201" i="3"/>
  <c r="X113" i="6"/>
  <c r="X59" i="6"/>
  <c r="X201" i="7" s="1"/>
  <c r="X86" i="6"/>
  <c r="X20" i="6"/>
  <c r="X85" i="5"/>
  <c r="X140" i="7" s="1"/>
  <c r="X139" i="5"/>
  <c r="X112" i="5"/>
  <c r="X120" i="6"/>
  <c r="X66" i="6"/>
  <c r="X208" i="7" s="1"/>
  <c r="X93" i="6"/>
  <c r="X27" i="6"/>
  <c r="X119" i="5"/>
  <c r="X65" i="5"/>
  <c r="X120" i="7" s="1"/>
  <c r="X92" i="5"/>
  <c r="X21" i="5"/>
  <c r="K82" i="7"/>
  <c r="K75" i="7" s="1"/>
  <c r="K59" i="7" s="1"/>
  <c r="X117" i="5" l="1"/>
  <c r="X37" i="3"/>
  <c r="X63" i="5"/>
  <c r="X118" i="7" s="1"/>
  <c r="X90" i="5"/>
  <c r="X18" i="5"/>
  <c r="X111" i="6"/>
  <c r="X67" i="3"/>
  <c r="X57" i="6"/>
  <c r="X199" i="7" s="1"/>
  <c r="X84" i="6"/>
  <c r="X18" i="6"/>
  <c r="X68" i="3"/>
  <c r="X118" i="6"/>
  <c r="X64" i="6"/>
  <c r="X206" i="7" s="1"/>
  <c r="X91" i="6"/>
  <c r="L82" i="7"/>
  <c r="L75" i="7" s="1"/>
  <c r="L59" i="7" s="1"/>
  <c r="X61" i="5" l="1"/>
  <c r="X88" i="5"/>
  <c r="X220" i="3"/>
  <c r="X55" i="6"/>
  <c r="X82" i="6"/>
  <c r="X189" i="3"/>
  <c r="X35" i="3"/>
  <c r="X219" i="3"/>
  <c r="X65" i="3"/>
  <c r="X133" i="6"/>
  <c r="X79" i="6"/>
  <c r="X221" i="7" s="1"/>
  <c r="X106" i="6"/>
  <c r="X34" i="3" l="1"/>
  <c r="X187" i="3"/>
  <c r="X64" i="3"/>
  <c r="X217" i="3"/>
  <c r="M82" i="7"/>
  <c r="M75" i="7" s="1"/>
  <c r="M59" i="7" s="1"/>
  <c r="N82" i="7"/>
  <c r="N75" i="7" s="1"/>
  <c r="N59" i="7" s="1"/>
  <c r="X138" i="5" l="1"/>
  <c r="X84" i="5"/>
  <c r="X139" i="7" s="1"/>
  <c r="X52" i="5"/>
  <c r="X111" i="5"/>
  <c r="X40" i="6"/>
  <c r="X132" i="6"/>
  <c r="X78" i="6"/>
  <c r="X220" i="7" s="1"/>
  <c r="X105" i="6"/>
  <c r="X157" i="3"/>
  <c r="X161" i="3"/>
  <c r="X168" i="3"/>
  <c r="X163" i="3"/>
  <c r="X165" i="3"/>
  <c r="X156" i="3"/>
  <c r="X166" i="3"/>
  <c r="X167" i="3"/>
  <c r="X158" i="3"/>
  <c r="X216" i="3"/>
  <c r="X159" i="3"/>
  <c r="X160" i="3"/>
  <c r="X127" i="3"/>
  <c r="X138" i="3"/>
  <c r="X136" i="3"/>
  <c r="X137" i="3"/>
  <c r="X135" i="3"/>
  <c r="X134" i="3"/>
  <c r="X133" i="3"/>
  <c r="X126" i="3"/>
  <c r="X131" i="3"/>
  <c r="X132" i="3"/>
  <c r="X186" i="3"/>
  <c r="X128" i="3"/>
  <c r="X130" i="3"/>
  <c r="X129" i="3"/>
  <c r="X131" i="6" l="1"/>
  <c r="X80" i="3"/>
  <c r="X77" i="6"/>
  <c r="X219" i="7" s="1"/>
  <c r="X104" i="6"/>
  <c r="X33" i="6"/>
  <c r="X42" i="5"/>
  <c r="X137" i="5"/>
  <c r="X50" i="3"/>
  <c r="X83" i="5"/>
  <c r="X138" i="7" s="1"/>
  <c r="X110" i="5"/>
  <c r="O82" i="7"/>
  <c r="O75" i="7" s="1"/>
  <c r="O59" i="7" s="1"/>
  <c r="X202" i="3" l="1"/>
  <c r="X48" i="3"/>
  <c r="X76" i="5"/>
  <c r="X103" i="5"/>
  <c r="X17" i="5"/>
  <c r="X70" i="6"/>
  <c r="X97" i="6"/>
  <c r="X17" i="6"/>
  <c r="X232" i="3"/>
  <c r="X78" i="3"/>
  <c r="P82" i="7"/>
  <c r="P75" i="7" s="1"/>
  <c r="P59" i="7" s="1"/>
  <c r="X60" i="5" l="1"/>
  <c r="X141" i="5"/>
  <c r="X156" i="5"/>
  <c r="X163" i="5"/>
  <c r="X161" i="5"/>
  <c r="X154" i="5"/>
  <c r="X147" i="5"/>
  <c r="X150" i="5"/>
  <c r="X162" i="5"/>
  <c r="X143" i="5"/>
  <c r="X159" i="5"/>
  <c r="X152" i="5"/>
  <c r="X149" i="5"/>
  <c r="X145" i="5"/>
  <c r="X148" i="5"/>
  <c r="X155" i="5"/>
  <c r="X160" i="5"/>
  <c r="X153" i="5"/>
  <c r="X158" i="5"/>
  <c r="X151" i="5"/>
  <c r="X166" i="5"/>
  <c r="X146" i="5"/>
  <c r="X144" i="5"/>
  <c r="X142" i="5"/>
  <c r="X165" i="5"/>
  <c r="X164" i="5"/>
  <c r="X157" i="5"/>
  <c r="Q82" i="7"/>
  <c r="Q75" i="7" s="1"/>
  <c r="Q59" i="7" s="1"/>
  <c r="X135" i="6"/>
  <c r="X148" i="6"/>
  <c r="X155" i="6"/>
  <c r="X54" i="6"/>
  <c r="X141" i="6"/>
  <c r="X153" i="6"/>
  <c r="X146" i="6"/>
  <c r="X156" i="6"/>
  <c r="X137" i="6"/>
  <c r="X139" i="6"/>
  <c r="X143" i="6"/>
  <c r="X142" i="6"/>
  <c r="X149" i="6"/>
  <c r="X154" i="6"/>
  <c r="X152" i="6"/>
  <c r="X140" i="6"/>
  <c r="X147" i="6"/>
  <c r="X138" i="6"/>
  <c r="X145" i="6"/>
  <c r="X136" i="6"/>
  <c r="X160" i="6"/>
  <c r="X159" i="6"/>
  <c r="X158" i="6"/>
  <c r="X200" i="3"/>
  <c r="X47" i="3"/>
  <c r="X77" i="3"/>
  <c r="X230" i="3"/>
  <c r="X151" i="6"/>
  <c r="X147" i="3" l="1"/>
  <c r="X148" i="3"/>
  <c r="X146" i="3"/>
  <c r="X145" i="3"/>
  <c r="X144" i="3"/>
  <c r="X150" i="3"/>
  <c r="X139" i="3"/>
  <c r="X149" i="3"/>
  <c r="X143" i="3"/>
  <c r="X199" i="3"/>
  <c r="X141" i="3"/>
  <c r="X142" i="3"/>
  <c r="X170" i="3"/>
  <c r="X180" i="3"/>
  <c r="X174" i="3"/>
  <c r="X177" i="3"/>
  <c r="X169" i="3"/>
  <c r="X173" i="3"/>
  <c r="X176" i="3"/>
  <c r="X178" i="3"/>
  <c r="X175" i="3"/>
  <c r="X179" i="3"/>
  <c r="X229" i="3"/>
  <c r="X171" i="3"/>
  <c r="X172" i="3"/>
  <c r="R82" i="7"/>
  <c r="R75" i="7" s="1"/>
  <c r="R59" i="7" s="1"/>
  <c r="X140" i="3"/>
  <c r="S82" i="7" l="1"/>
  <c r="S75" i="7" s="1"/>
  <c r="S59" i="7" s="1"/>
  <c r="T82" i="7" l="1"/>
  <c r="T75" i="7" s="1"/>
  <c r="T59" i="7" s="1"/>
  <c r="U82" i="7" l="1"/>
  <c r="U75" i="7" s="1"/>
  <c r="U59" i="7" s="1"/>
  <c r="V82" i="7" l="1"/>
  <c r="V75" i="7" s="1"/>
  <c r="V59" i="7" s="1"/>
  <c r="W82" i="7"/>
  <c r="W75" i="7" s="1"/>
  <c r="W59" i="7" s="1"/>
  <c r="X82" i="7" l="1"/>
  <c r="X75" i="7" s="1"/>
  <c r="X59" i="7" s="1"/>
  <c r="Y127" i="6" l="1"/>
  <c r="Y73" i="6"/>
  <c r="Y215" i="7" s="1"/>
  <c r="Y100" i="6"/>
  <c r="Y34" i="6"/>
  <c r="Y79" i="5"/>
  <c r="Y134" i="7" s="1"/>
  <c r="Y133" i="5"/>
  <c r="Y106" i="5"/>
  <c r="Y43" i="5"/>
  <c r="Y126" i="5"/>
  <c r="Y72" i="5"/>
  <c r="Y127" i="7" s="1"/>
  <c r="Y99" i="5"/>
  <c r="Y33" i="5"/>
  <c r="Y79" i="3" l="1"/>
  <c r="Y125" i="6"/>
  <c r="Y71" i="6"/>
  <c r="Y213" i="7" s="1"/>
  <c r="Y98" i="6"/>
  <c r="Y49" i="3"/>
  <c r="Y131" i="5"/>
  <c r="Y77" i="5"/>
  <c r="Y132" i="7" s="1"/>
  <c r="Y104" i="5"/>
  <c r="Y38" i="3"/>
  <c r="Y70" i="5"/>
  <c r="Y125" i="7" s="1"/>
  <c r="Y124" i="5"/>
  <c r="Y97" i="5"/>
  <c r="Y119" i="5" l="1"/>
  <c r="Y65" i="5"/>
  <c r="Y120" i="7" s="1"/>
  <c r="Y92" i="5"/>
  <c r="Y21" i="5"/>
  <c r="Y113" i="6"/>
  <c r="Y59" i="6"/>
  <c r="Y201" i="7" s="1"/>
  <c r="Y86" i="6"/>
  <c r="Y20" i="6"/>
  <c r="Y85" i="5"/>
  <c r="Y140" i="7" s="1"/>
  <c r="Y139" i="5"/>
  <c r="Y112" i="5"/>
  <c r="Y201" i="3"/>
  <c r="Y231" i="3"/>
  <c r="Y120" i="6"/>
  <c r="Y66" i="6"/>
  <c r="Y208" i="7" s="1"/>
  <c r="Y93" i="6"/>
  <c r="Y27" i="6"/>
  <c r="Y190" i="3"/>
  <c r="Y37" i="3" l="1"/>
  <c r="Y117" i="5"/>
  <c r="Y63" i="5"/>
  <c r="Y118" i="7" s="1"/>
  <c r="Y90" i="5"/>
  <c r="Y18" i="5"/>
  <c r="Y68" i="3"/>
  <c r="Y118" i="6"/>
  <c r="Y64" i="6"/>
  <c r="Y206" i="7" s="1"/>
  <c r="Y91" i="6"/>
  <c r="Y67" i="3"/>
  <c r="Y111" i="6"/>
  <c r="Y57" i="6"/>
  <c r="Y199" i="7" s="1"/>
  <c r="Y84" i="6"/>
  <c r="Y18" i="6"/>
  <c r="Y61" i="5" l="1"/>
  <c r="Y88" i="5"/>
  <c r="Y220" i="3"/>
  <c r="Y219" i="3"/>
  <c r="Y65" i="3"/>
  <c r="Y55" i="6"/>
  <c r="Y82" i="6"/>
  <c r="Y133" i="6"/>
  <c r="Y79" i="6"/>
  <c r="Y221" i="7" s="1"/>
  <c r="Y106" i="6"/>
  <c r="Y189" i="3"/>
  <c r="Y35" i="3"/>
  <c r="Y78" i="6" l="1"/>
  <c r="Y220" i="7" s="1"/>
  <c r="Y132" i="6"/>
  <c r="Y40" i="6"/>
  <c r="Y105" i="6"/>
  <c r="Y64" i="3"/>
  <c r="Y157" i="3"/>
  <c r="Y217" i="3"/>
  <c r="Y187" i="3"/>
  <c r="Y34" i="3"/>
  <c r="Y127" i="3" s="1"/>
  <c r="Y111" i="5"/>
  <c r="Y52" i="5"/>
  <c r="Y138" i="5"/>
  <c r="Y84" i="5"/>
  <c r="Y139" i="7" s="1"/>
  <c r="Y80" i="3" l="1"/>
  <c r="Y131" i="6"/>
  <c r="Y77" i="6"/>
  <c r="Y219" i="7" s="1"/>
  <c r="Y104" i="6"/>
  <c r="Y33" i="6"/>
  <c r="Y161" i="3"/>
  <c r="Y168" i="3"/>
  <c r="Y167" i="3"/>
  <c r="Y165" i="3"/>
  <c r="Y166" i="3"/>
  <c r="Y156" i="3"/>
  <c r="Y163" i="3"/>
  <c r="Y216" i="3"/>
  <c r="Y158" i="3"/>
  <c r="Y159" i="3"/>
  <c r="Y160" i="3"/>
  <c r="Y50" i="3"/>
  <c r="Y137" i="5"/>
  <c r="Y83" i="5"/>
  <c r="Y138" i="7" s="1"/>
  <c r="Y110" i="5"/>
  <c r="Y42" i="5"/>
  <c r="Y135" i="3"/>
  <c r="Y126" i="3"/>
  <c r="Y136" i="3"/>
  <c r="Y137" i="3"/>
  <c r="Y133" i="3"/>
  <c r="Y134" i="3"/>
  <c r="Y132" i="3"/>
  <c r="Y131" i="3"/>
  <c r="Y138" i="3"/>
  <c r="Y186" i="3"/>
  <c r="Y128" i="3"/>
  <c r="Y130" i="3"/>
  <c r="Y129" i="3"/>
  <c r="Y202" i="3" l="1"/>
  <c r="Y48" i="3"/>
  <c r="Y70" i="6"/>
  <c r="Y97" i="6"/>
  <c r="Y17" i="6"/>
  <c r="Y76" i="5"/>
  <c r="Y103" i="5"/>
  <c r="Y17" i="5"/>
  <c r="Y232" i="3"/>
  <c r="Y78" i="3"/>
  <c r="Y142" i="5" l="1"/>
  <c r="Y141" i="5"/>
  <c r="Y60" i="5"/>
  <c r="Y156" i="5"/>
  <c r="Y163" i="5"/>
  <c r="Y150" i="5"/>
  <c r="Y154" i="5"/>
  <c r="Y161" i="5"/>
  <c r="Y147" i="5"/>
  <c r="Y159" i="5"/>
  <c r="Y143" i="5"/>
  <c r="Y152" i="5"/>
  <c r="Y149" i="5"/>
  <c r="Y162" i="5"/>
  <c r="Y148" i="5"/>
  <c r="Y145" i="5"/>
  <c r="Y155" i="5"/>
  <c r="Y153" i="5"/>
  <c r="Y160" i="5"/>
  <c r="Y151" i="5"/>
  <c r="Y158" i="5"/>
  <c r="Y146" i="5"/>
  <c r="Y166" i="5"/>
  <c r="Y144" i="5"/>
  <c r="Y165" i="5"/>
  <c r="Y164" i="5"/>
  <c r="Y47" i="3"/>
  <c r="Y140" i="3" s="1"/>
  <c r="Y200" i="3"/>
  <c r="Y151" i="6"/>
  <c r="Y135" i="6"/>
  <c r="Y54" i="6"/>
  <c r="Y148" i="6"/>
  <c r="Y155" i="6"/>
  <c r="Y141" i="6"/>
  <c r="Y137" i="6"/>
  <c r="Y153" i="6"/>
  <c r="Y146" i="6"/>
  <c r="Y143" i="6"/>
  <c r="Y156" i="6"/>
  <c r="Y142" i="6"/>
  <c r="Y139" i="6"/>
  <c r="Y149" i="6"/>
  <c r="Y154" i="6"/>
  <c r="Y152" i="6"/>
  <c r="Y140" i="6"/>
  <c r="Y147" i="6"/>
  <c r="Y138" i="6"/>
  <c r="Y145" i="6"/>
  <c r="Y136" i="6"/>
  <c r="Y160" i="6"/>
  <c r="Y159" i="6"/>
  <c r="Y158" i="6"/>
  <c r="Y157" i="5"/>
  <c r="Y77" i="3"/>
  <c r="Y230" i="3"/>
  <c r="Y170" i="3" l="1"/>
  <c r="Y143" i="3"/>
  <c r="Y150" i="3"/>
  <c r="Y144" i="3"/>
  <c r="Y147" i="3"/>
  <c r="Y139" i="3"/>
  <c r="Y149" i="3"/>
  <c r="Y146" i="3"/>
  <c r="Y145" i="3"/>
  <c r="Y148" i="3"/>
  <c r="Y199" i="3"/>
  <c r="Y141" i="3"/>
  <c r="Y142" i="3"/>
  <c r="Y177" i="3"/>
  <c r="Y173" i="3"/>
  <c r="Y178" i="3"/>
  <c r="Y180" i="3"/>
  <c r="Y176" i="3"/>
  <c r="Y175" i="3"/>
  <c r="Y174" i="3"/>
  <c r="Y179" i="3"/>
  <c r="Y169" i="3"/>
  <c r="Y229" i="3"/>
  <c r="Y171" i="3"/>
  <c r="Y172" i="3"/>
</calcChain>
</file>

<file path=xl/sharedStrings.xml><?xml version="1.0" encoding="utf-8"?>
<sst xmlns="http://schemas.openxmlformats.org/spreadsheetml/2006/main" count="2657" uniqueCount="1169">
  <si>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</si>
  <si>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</si>
  <si>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</si>
  <si>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</si>
  <si>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</si>
  <si>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</si>
  <si>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</si>
  <si>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Overview: Transport sectors</t>
  </si>
  <si>
    <t>Road transport - activity related data</t>
  </si>
  <si>
    <t>energy consumption</t>
  </si>
  <si>
    <t>CO2 emissions</t>
  </si>
  <si>
    <t>technology data</t>
  </si>
  <si>
    <t>Rail, metro and tram - activity related data</t>
  </si>
  <si>
    <t>Aviation - activity related data</t>
  </si>
  <si>
    <t>passenger transport specific data</t>
  </si>
  <si>
    <t>Coastal shipping and inland waterways - activity related data</t>
  </si>
  <si>
    <t>Click on the link to jump to the sheet</t>
  </si>
  <si>
    <t>Transport activity</t>
  </si>
  <si>
    <t>Passenger transport (mio pkm)</t>
  </si>
  <si>
    <t>Road transport</t>
  </si>
  <si>
    <t>Passenger cars</t>
  </si>
  <si>
    <t>Motor coaches, buses and trolley buses</t>
  </si>
  <si>
    <t>Rail, metro and tram</t>
  </si>
  <si>
    <t>Metro and tram, urban light rail</t>
  </si>
  <si>
    <t>Conventional passenger trains</t>
  </si>
  <si>
    <t>High speed passenger trains</t>
  </si>
  <si>
    <t>Aviation</t>
  </si>
  <si>
    <t>Domestic</t>
  </si>
  <si>
    <t>Freight transport (mio tkm)</t>
  </si>
  <si>
    <t>Rail transport</t>
  </si>
  <si>
    <t>Domestic coastal shipping</t>
  </si>
  <si>
    <t>Inland waterways</t>
  </si>
  <si>
    <t>Energy consumption (ktoe)</t>
  </si>
  <si>
    <t>Passenger transport</t>
  </si>
  <si>
    <t>Freight transport</t>
  </si>
  <si>
    <t>CO2 emissions (kt of CO2)</t>
  </si>
  <si>
    <t>Indicators</t>
  </si>
  <si>
    <t>Market shares of activity</t>
  </si>
  <si>
    <t>Passenger transport (% of pkm)</t>
  </si>
  <si>
    <t>Freight transport (% of tkm)</t>
  </si>
  <si>
    <t>Shares of total energy consumption (%)</t>
  </si>
  <si>
    <t>Shares of CO2 emissions (%)</t>
  </si>
  <si>
    <t>Energy consumption per activity</t>
  </si>
  <si>
    <t>Emission intensity</t>
  </si>
  <si>
    <t>CO2 emissions (kt CO2)</t>
  </si>
  <si>
    <t>by fuel</t>
  </si>
  <si>
    <t>Liquids</t>
  </si>
  <si>
    <t>Split of CO2 emissions (kt CO2)</t>
  </si>
  <si>
    <t>Emission factors (kt CO2 / ktoe)</t>
  </si>
  <si>
    <t>Emission intensity (kg of CO2 / 100 km)</t>
  </si>
  <si>
    <t>Emission intensity over activity (kg of CO2 / 000 tkm)</t>
  </si>
  <si>
    <t>by fuel (EUROSTAT DATA)</t>
  </si>
  <si>
    <t>Liquified petroleum gas (LPG)</t>
  </si>
  <si>
    <t>Gasoline (without biofuels)</t>
  </si>
  <si>
    <t>Gas/Diesel oil (without biofuels)</t>
  </si>
  <si>
    <t>Natural gas</t>
  </si>
  <si>
    <t>Renewable energies and wastes</t>
  </si>
  <si>
    <t>Biogas</t>
  </si>
  <si>
    <t>Biogasoline</t>
  </si>
  <si>
    <t>Biodiesel</t>
  </si>
  <si>
    <t>Other biofuels</t>
  </si>
  <si>
    <t>Total energy consumption (ktoe)</t>
  </si>
  <si>
    <t>Vehicle-efficiency (kgoe/100 km)</t>
  </si>
  <si>
    <t>Energy intensity over activity (kgoe / 000 tkm)</t>
  </si>
  <si>
    <t>Vehicle-km (mio km)</t>
  </si>
  <si>
    <t>Market shares of activity (% of tkm)</t>
  </si>
  <si>
    <t>Market shares of vehicle km (% of km)</t>
  </si>
  <si>
    <t>Number of seats available</t>
  </si>
  <si>
    <t>Seats available per flight</t>
  </si>
  <si>
    <t>Occupancy ratio (%)</t>
  </si>
  <si>
    <t>Energy consumption per seat-km (kgoe/seat-km)</t>
  </si>
  <si>
    <t>Emission intensity over activity</t>
  </si>
  <si>
    <t>CO2 emissions per flight (kg of CO2 / flight)</t>
  </si>
  <si>
    <t>Vehicle-efficiency - effective (kgoe/100 km)</t>
  </si>
  <si>
    <t>Energy intensity over activity</t>
  </si>
  <si>
    <t>Energy consumption per flight (kgoe/flight)</t>
  </si>
  <si>
    <t>Vehicle-efficiency - theoretical (kgoe/100 km)*</t>
  </si>
  <si>
    <t>Discrepancy between effective and theoretical efficiencies (ratio)</t>
  </si>
  <si>
    <t>* Theoretical efficiency is derived for the representative aircraft based on the distance travelled per flight</t>
  </si>
  <si>
    <t>Passenger transport (passengers)</t>
  </si>
  <si>
    <t>Freight transport (tonnes)</t>
  </si>
  <si>
    <t>Stock of aircrafts - total</t>
  </si>
  <si>
    <t>New aircrafts</t>
  </si>
  <si>
    <t>Load factor of flights</t>
  </si>
  <si>
    <t>Passenger transport (p/flight)</t>
  </si>
  <si>
    <t>Freight transport (t/flight)</t>
  </si>
  <si>
    <t>Passenger-km and tonne-km per flight</t>
  </si>
  <si>
    <t>Passenger transport (pkm/flight)</t>
  </si>
  <si>
    <t>Freight transport (tkm/flight)</t>
  </si>
  <si>
    <t>Flights per year by airplance</t>
  </si>
  <si>
    <t>Diesel</t>
  </si>
  <si>
    <t>Electricity</t>
  </si>
  <si>
    <t>Diesel oil</t>
  </si>
  <si>
    <t>Electric</t>
  </si>
  <si>
    <t>CO2 emissions per vehicle annum (t of CO2 / vehicle)</t>
  </si>
  <si>
    <t>Diesel oil (incl. biofuels)</t>
  </si>
  <si>
    <t>Energy consumption per vehicle annum (kgoe/vehicle)</t>
  </si>
  <si>
    <t>Stock of vehicles - total (representative train configuration)</t>
  </si>
  <si>
    <t>New vehicles - total (representative train configuration)</t>
  </si>
  <si>
    <t>Load factor of vehicles</t>
  </si>
  <si>
    <t>Passenger transport (p/movement)</t>
  </si>
  <si>
    <t>Freight transport (t/movement)</t>
  </si>
  <si>
    <t>Capacity of representative train configuration</t>
  </si>
  <si>
    <t>Passenger transport (passenger-seats)</t>
  </si>
  <si>
    <t>Occupancy / utilisation</t>
  </si>
  <si>
    <t>Vehicle-km per vehicle annum (km/vehicle)</t>
  </si>
  <si>
    <t>Passenger-km and tonne-km per vehicle annum</t>
  </si>
  <si>
    <t>Passenger transport (pkm/vehicle)</t>
  </si>
  <si>
    <t>Freight transport (tkm/vehicle)</t>
  </si>
  <si>
    <t>Stock of vehicles - total (vehicles)</t>
  </si>
  <si>
    <t>Gasoline engine</t>
  </si>
  <si>
    <t>Diesel oil engine</t>
  </si>
  <si>
    <t>LPG engine</t>
  </si>
  <si>
    <t>Natural gas engine</t>
  </si>
  <si>
    <t>Plug-in hybrid electric</t>
  </si>
  <si>
    <t>Battery electric vehicles</t>
  </si>
  <si>
    <t>International</t>
  </si>
  <si>
    <t>New vehicle-registrations</t>
  </si>
  <si>
    <t>Year of registration:</t>
  </si>
  <si>
    <t>&lt;=2000</t>
  </si>
  <si>
    <t>Test cycle efficiency of total stock (kgoe/100 km)</t>
  </si>
  <si>
    <t>Discrepancy between effective and test cycle efficiencies (ratio)</t>
  </si>
  <si>
    <t>Test cycle efficiency of new vehicles (kgoe/100 km)</t>
  </si>
  <si>
    <t>Test cycle emission intensity of total stock (g of CO2 / km)</t>
  </si>
  <si>
    <t>Discrepancy between effective and test cycle emission intensities (ratio)</t>
  </si>
  <si>
    <t>Test cycle emission intensity of new vehicles (g of CO2 / km)</t>
  </si>
  <si>
    <t>Gasoline (incl. biofuels)</t>
  </si>
  <si>
    <t>LPG</t>
  </si>
  <si>
    <t>Natural gas (incl. biogas)</t>
  </si>
  <si>
    <t>Emission intensity (g of CO2 / km)</t>
  </si>
  <si>
    <t>CO2 emissions per vehicle annum (kg of CO2 / vehicle)</t>
  </si>
  <si>
    <t>of which biofuels</t>
  </si>
  <si>
    <t>of which biogas</t>
  </si>
  <si>
    <t>of which electricity</t>
  </si>
  <si>
    <t>Vehicle-km driven (mio km)</t>
  </si>
  <si>
    <t>Stock of vehicles - in use (vehicles)</t>
  </si>
  <si>
    <t>Vehicle-km driven per vehicle annum (km/vehicle)</t>
  </si>
  <si>
    <t>Passenger-km and tonne-km driven per vehicle annum</t>
  </si>
  <si>
    <t>Number of departing flights</t>
  </si>
  <si>
    <t>Distance travelled per flight (km/flight)</t>
  </si>
  <si>
    <t>Volume carried in departing flights</t>
  </si>
  <si>
    <t>Domestic navigation</t>
  </si>
  <si>
    <t>Transport sector</t>
  </si>
  <si>
    <t>Load factor of vessels (t/movement)</t>
  </si>
  <si>
    <t>Gas oil and diesel oil (excluding biofuel portion)</t>
  </si>
  <si>
    <t>Fuel oil and Other oil products</t>
  </si>
  <si>
    <t>Blended biofuels</t>
  </si>
  <si>
    <t>Biogases</t>
  </si>
  <si>
    <t>Emission factor (kt CO2 / ktoe)</t>
  </si>
  <si>
    <t>Transport activity (Mtkm)</t>
  </si>
  <si>
    <t>Diesel oil (blend)</t>
  </si>
  <si>
    <t>Age structure in 2021</t>
  </si>
  <si>
    <t>Code</t>
  </si>
  <si>
    <t>Light commercial vehicles</t>
  </si>
  <si>
    <t>Heavy goods vehicles</t>
  </si>
  <si>
    <t>Passenger transport (kgoe / kpkm)</t>
  </si>
  <si>
    <t>Freight transport (kgoe / ktkm)</t>
  </si>
  <si>
    <t>Passenger transport  (g of CO2 / pkm)</t>
  </si>
  <si>
    <t>Freight transport  (g of CO2 / tkm)</t>
  </si>
  <si>
    <t>Freight transport (g of CO2 / tkm)</t>
  </si>
  <si>
    <t>Passenger transport (g of CO2 / pkm)</t>
  </si>
  <si>
    <t>Vehicle-km (Mkm)</t>
  </si>
  <si>
    <t>Energy intensity over activity (kgoe / ktkm)</t>
  </si>
  <si>
    <t>Emission intensity over activity (g of CO2 / tkm)</t>
  </si>
  <si>
    <t>Transport activity (mio tkm)</t>
  </si>
  <si>
    <t>International maritime bunkers - activity related data</t>
  </si>
  <si>
    <t>Intra-EEA</t>
  </si>
  <si>
    <t>Extra-EEA</t>
  </si>
  <si>
    <t>*EEA = European Economic Area (European Union + Iceland + Liechtenstein + Norway), United Kingdom excluded</t>
  </si>
  <si>
    <t>International maritime bunkers</t>
  </si>
  <si>
    <t>International maritime bunkers (mio tkm)</t>
  </si>
  <si>
    <t>International maritime bunkers (% of international tkm)</t>
  </si>
  <si>
    <t>International maritime bunkers (kgoe / ktkm)</t>
  </si>
  <si>
    <t>Powered two-wheelers</t>
  </si>
  <si>
    <t>Powered two-wheelers (Gasoline)</t>
  </si>
  <si>
    <t>excluding biofuels</t>
  </si>
  <si>
    <t>blended liquid biofuels</t>
  </si>
  <si>
    <t>Biodiesel and other biofuels</t>
  </si>
  <si>
    <t>Hydrogen</t>
  </si>
  <si>
    <t>JRC-IDEES-2023 - Integrated Database of the European Energy System</t>
  </si>
  <si>
    <t>v2023-1.00</t>
  </si>
  <si>
    <t>International - Intra-EEAwCHUK</t>
  </si>
  <si>
    <t>International - Extra-EEAwCHUK</t>
  </si>
  <si>
    <t>*EEAwCHUK = European Economic Area (European Union + Iceland + Liechtenstein + Norway), Switzerland and the United Kingdom</t>
  </si>
  <si>
    <t>**EEAwCHUK = European Economic Area (European Union + Iceland + Liechtenstein + Norway), Switzerland and the United Kingdom</t>
  </si>
  <si>
    <t>Plug-in hybrid electric (gasoline and electricity)</t>
  </si>
  <si>
    <t>Heavy goods vehicles (diesel oil incl. biofuels)</t>
  </si>
  <si>
    <t>RO</t>
  </si>
  <si>
    <t>Romania</t>
  </si>
  <si>
    <t>Aviation - RO - Romania</t>
  </si>
  <si>
    <t>Activity.Mpkm.RO.Tr.Avia.Passenger</t>
  </si>
  <si>
    <t>Activity.Mpkm.RO.Tr.Avia.Passenger.Domestic</t>
  </si>
  <si>
    <t>Activity.Mpkm.RO.Tr.Avia.Passenger.IntraEEAwCHUK</t>
  </si>
  <si>
    <t>Activity.Mpkm.RO.Tr.Avia.Passenger.ExtraEEAwCHUK</t>
  </si>
  <si>
    <t>Activity.Mtkm.RO.Tr.Avia.Freight</t>
  </si>
  <si>
    <t>Activity.Mtkm.RO.Tr.Avia.Freight.Domestic</t>
  </si>
  <si>
    <t>Activity.Mtkm.RO.Tr.Avia.Freight.IntraEEAwCHUK</t>
  </si>
  <si>
    <t>Activity.Mtkm.RO.Tr.Avia.Freight.ExtraEEAwCHUK</t>
  </si>
  <si>
    <t>VehicleKm.Mkm.RO.Tr.Avia</t>
  </si>
  <si>
    <t>VehicleKm.Mkm.RO.Tr.Avia.Passenger</t>
  </si>
  <si>
    <t>VehicleKm.Mkm.RO.Tr.Avia.Passenger.Domestic</t>
  </si>
  <si>
    <t>VehicleKm.Mkm.RO.Tr.Avia.Passenger.IntraEEAwCHUK</t>
  </si>
  <si>
    <t>VehicleKm.Mkm.RO.Tr.Avia.Passenger.ExtraEEAwCHUK</t>
  </si>
  <si>
    <t>VehicleKm.Mkm.RO.Tr.Avia.Freight</t>
  </si>
  <si>
    <t>VehicleKm.Mkm.RO.Tr.Avia.Freight.Domestic</t>
  </si>
  <si>
    <t>VehicleKm.Mkm.RO.Tr.Avia.Freight.IntraEEAwCHUK</t>
  </si>
  <si>
    <t>VehicleKm.Mkm.RO.Tr.Avia.Freight.ExtraEEAwCHUK</t>
  </si>
  <si>
    <t>Flights.number.RO.Tr.Avia</t>
  </si>
  <si>
    <t>Flights.number.RO.Tr.Avia.Passenger</t>
  </si>
  <si>
    <t>Flights.number.RO.Tr.Avia.Passenger.Domestic</t>
  </si>
  <si>
    <t>Flights.number.RO.Tr.Avia.Passenger.IntraEEAwCHUK</t>
  </si>
  <si>
    <t>Flights.number.RO.Tr.Avia.Passenger.ExtraEEAwCHUK</t>
  </si>
  <si>
    <t>Flights.number.RO.Tr.Avia.Freight</t>
  </si>
  <si>
    <t>Flights.number.RO.Tr.Avia.Freight.Domestic</t>
  </si>
  <si>
    <t>Flights.number.RO.Tr.Avia.Freight.IntraEEAwCHUK</t>
  </si>
  <si>
    <t>Flights.number.RO.Tr.Avia.Freight.ExtraEEAwCHUK</t>
  </si>
  <si>
    <t>VolCarried.passenger.RO.Tr.Avia.Passenger</t>
  </si>
  <si>
    <t>VolCarried.passenger.RO.Tr.Avia.Passenger.Domestic</t>
  </si>
  <si>
    <t>VolCarried.passenger.RO.Tr.Avia.Passenger.IntraEEAwCHUK</t>
  </si>
  <si>
    <t>VolCarried.passenger.RO.Tr.Avia.Passenger.ExtraEEAwCHUK</t>
  </si>
  <si>
    <t>VolCarried.t.RO.Tr.Avia.Freight</t>
  </si>
  <si>
    <t>VolCarried.t.RO.Tr.Avia.Freight.Domestic</t>
  </si>
  <si>
    <t>VolCarried.t.RO.Tr.Avia.Freight.IntraEEAwCHUK</t>
  </si>
  <si>
    <t>VolCarried.t.RO.Tr.Avia.Freight.ExtraEEAwCHUK</t>
  </si>
  <si>
    <t>Stock.number.RO.Tr.Avia</t>
  </si>
  <si>
    <t>Stock.number.RO.Tr.Avia.Passenger</t>
  </si>
  <si>
    <t>Stock.number.RO.Tr.Avia.Passenger.Domestic</t>
  </si>
  <si>
    <t>Stock.number.RO.Tr.Avia.Passenger.IntraEEAwCHUK</t>
  </si>
  <si>
    <t>Stock.number.RO.Tr.Avia.Passenger.ExtraEEAwCHUK</t>
  </si>
  <si>
    <t>Stock.number.RO.Tr.Avia.Freight</t>
  </si>
  <si>
    <t>Stock.number.RO.Tr.Avia.Freight.Domestic</t>
  </si>
  <si>
    <t>Stock.number.RO.Tr.Avia.Freight.IntraEEAwCHUK</t>
  </si>
  <si>
    <t>Stock.number.RO.Tr.Avia.Freight.ExtraEEAwCHUK</t>
  </si>
  <si>
    <t>StockNew.number.RO.Tr.Avia</t>
  </si>
  <si>
    <t>StockNew.number.RO.Tr.Avia.Passenger</t>
  </si>
  <si>
    <t>StockNew.number.RO.Tr.Avia.Passenger.Domestic</t>
  </si>
  <si>
    <t>StockNew.number.RO.Tr.Avia.Passenger.IntraEEAwCHUK</t>
  </si>
  <si>
    <t>StockNew.number.RO.Tr.Avia.Passenger.ExtraEEAwCHUK</t>
  </si>
  <si>
    <t>StockNew.number.RO.Tr.Avia.Freight</t>
  </si>
  <si>
    <t>StockNew.number.RO.Tr.Avia.Freight.Domestic</t>
  </si>
  <si>
    <t>StockNew.number.RO.Tr.Avia.Freight.IntraEEAwCHUK</t>
  </si>
  <si>
    <t>StockNew.number.RO.Tr.Avia.Freight.ExtraEEAwCHUK</t>
  </si>
  <si>
    <t>Load.passenger_per_movement.RO.Tr.Avia.Passenger</t>
  </si>
  <si>
    <t>Load.passenger_per_movement.RO.Tr.Avia.Passenger.Domestic</t>
  </si>
  <si>
    <t>Load.passenger_per_movement.RO.Tr.Avia.Passenger.IntraEEAwCHUK</t>
  </si>
  <si>
    <t>Load.passenger_per_movement.RO.Tr.Avia.Passenger.ExtraEEAwCHUK</t>
  </si>
  <si>
    <t>Load.t_per_movement.RO.Tr.Avia.Freight</t>
  </si>
  <si>
    <t>Load.t_per_movement.RO.Tr.Avia.Freight.Domestic</t>
  </si>
  <si>
    <t>Load.t_per_movement.RO.Tr.Avia.Freight.IntraEEAwCHUK</t>
  </si>
  <si>
    <t>Load.t_per_movement.RO.Tr.Avia.Freight.ExtraEEAwCHUK</t>
  </si>
  <si>
    <t>VehicleKm_per_flight.km.RO.Tr.Avia</t>
  </si>
  <si>
    <t>VehicleKm_per_flight.km.RO.Tr.Avia.Passenger</t>
  </si>
  <si>
    <t>VehicleKm_per_flight.km.RO.Tr.Avia.Passenger.Domestic</t>
  </si>
  <si>
    <t>VehicleKm_per_flight.km.RO.Tr.Avia.Passenger.IntraEEAwCHUK</t>
  </si>
  <si>
    <t>VehicleKm_per_flight.km.RO.Tr.Avia.Passenger.ExtraEEAwCHUK</t>
  </si>
  <si>
    <t>VehicleKm_per_flight.km.RO.Tr.Avia.Freight</t>
  </si>
  <si>
    <t>VehicleKm_per_flight.km.RO.Tr.Avia.Freight.Domestic</t>
  </si>
  <si>
    <t>VehicleKm_per_flight.km.RO.Tr.Avia.Freight.IntraEEAwCHUK</t>
  </si>
  <si>
    <t>VehicleKm_per_flight.km.RO.Tr.Avia.Freight.ExtraEEAwCHUK</t>
  </si>
  <si>
    <t>Activity_per_flight.pkm.RO.Tr.Avia.Passenger</t>
  </si>
  <si>
    <t>Activity_per_flight.pkm.RO.Tr.Avia.Passenger.Domestic</t>
  </si>
  <si>
    <t>Activity_per_flight.pkm.RO.Tr.Avia.Passenger.IntraEEAwCHUK</t>
  </si>
  <si>
    <t>Activity_per_flight.pkm.RO.Tr.Avia.Passenger.ExtraEEAwCHUK</t>
  </si>
  <si>
    <t>Activity_per_flight.tkm.RO.Tr.Avia.Freight</t>
  </si>
  <si>
    <t>Activity_per_flight.tkm.RO.Tr.Avia.Freight.Domestic</t>
  </si>
  <si>
    <t>Activity_per_flight.tkm.RO.Tr.Avia.Freight.IntraEEAwCHUK</t>
  </si>
  <si>
    <t>Activity_per_flight.tkm.RO.Tr.Avia.Freight.ExtraEEAwCHUK</t>
  </si>
  <si>
    <t>Flights_per_vehicle.number.RO.Tr.Avia</t>
  </si>
  <si>
    <t>Flights_per_vehicle.number.RO.Tr.Avia.Passenger</t>
  </si>
  <si>
    <t>Flights_per_vehicle.number.RO.Tr.Avia.Passenger.Domestic</t>
  </si>
  <si>
    <t>Flights_per_vehicle.number.RO.Tr.Avia.Passenger.IntraEEAwCHUK</t>
  </si>
  <si>
    <t>Flights_per_vehicle.number.RO.Tr.Avia.Passenger.ExtraEEAwCHUK</t>
  </si>
  <si>
    <t>Flights_per_vehicle.number.RO.Tr.Avia.Freight</t>
  </si>
  <si>
    <t>Flights_per_vehicle.number.RO.Tr.Avia.Freight.Domestic</t>
  </si>
  <si>
    <t>Flights_per_vehicle.number.RO.Tr.Avia.Freight.IntraEEAwCHUK</t>
  </si>
  <si>
    <t>Flights_per_vehicle.number.RO.Tr.Avia.Freight.ExtraEEAwCHUK</t>
  </si>
  <si>
    <t>Aviation / energy consumption - RO - Romania</t>
  </si>
  <si>
    <t>FEC.ktoe.RO.Tr.Avia</t>
  </si>
  <si>
    <t>FEC.ktoe.RO.Tr.Avia.Domestic</t>
  </si>
  <si>
    <t>FEC.ktoe.RO.Tr.Avia.International</t>
  </si>
  <si>
    <t>FEC.ktoe.RO.Tr.Avia.Passenger</t>
  </si>
  <si>
    <t>FEC.ktoe.RO.Tr.Avia.Passenger.Domestic</t>
  </si>
  <si>
    <t>FEC.ktoe.RO.Tr.Avia.Passenger.IntraEEAwCHUK</t>
  </si>
  <si>
    <t>FEC.ktoe.RO.Tr.Avia.Passenger.ExtraEEAwCHUK</t>
  </si>
  <si>
    <t>FEC.ktoe.RO.Tr.Avia.Freight</t>
  </si>
  <si>
    <t>FEC.ktoe.RO.Tr.Avia.Freight.Domestic</t>
  </si>
  <si>
    <t>FEC.ktoe.RO.Tr.Avia.Freight.IntraEEAwCHUK</t>
  </si>
  <si>
    <t>FEC.ktoe.RO.Tr.Avia.Freight.ExtraEEAwCHUK</t>
  </si>
  <si>
    <t>Eff.kgoe_per_100km.RO.Tr.Avia</t>
  </si>
  <si>
    <t>Eff.kgoe_per_100km.RO.Tr.Avia.Passenger</t>
  </si>
  <si>
    <t>Eff.kgoe_per_100km.RO.Tr.Avia.Passenger.Domestic</t>
  </si>
  <si>
    <t>Eff.kgoe_per_100km.RO.Tr.Avia.Passenger.IntraEEAwCHUK</t>
  </si>
  <si>
    <t>Eff.kgoe_per_100km.RO.Tr.Avia.Passenger.ExtraEEAwCHUK</t>
  </si>
  <si>
    <t>Eff.kgoe_per_100km.RO.Tr.Avia.Freight</t>
  </si>
  <si>
    <t>Eff.kgoe_per_100km.RO.Tr.Avia.Freight.Domestic</t>
  </si>
  <si>
    <t>Eff.kgoe_per_100km.RO.Tr.Avia.Freight.IntraEEAwCHUK</t>
  </si>
  <si>
    <t>Eff.kgoe_per_100km.RO.Tr.Avia.Freight.ExtraEEAwCHUK</t>
  </si>
  <si>
    <t>Eff.kgoe_per_kpkm.RO.Tr.Avia.Passenger</t>
  </si>
  <si>
    <t>Eff.kgoe_per_kpkm.RO.Tr.Avia.Passenger.Domestic</t>
  </si>
  <si>
    <t>Eff.kgoe_per_kpkm.RO.Tr.Avia.Passenger.IntraEEAwCHUK</t>
  </si>
  <si>
    <t>Eff.kgoe_per_kpkm.RO.Tr.Avia.Passenger.ExtraEEAwCHUK</t>
  </si>
  <si>
    <t>Eff.kgoe_per_ktkm.RO.Tr.Avia.Freight</t>
  </si>
  <si>
    <t>Eff.kgoe_per_ktkm.RO.Tr.Avia.Freight.Domestic</t>
  </si>
  <si>
    <t>Eff.kgoe_per_ktkm.RO.Tr.Avia.Freight.IntraEEAwCHUK</t>
  </si>
  <si>
    <t>Eff.kgoe_per_ktkm.RO.Tr.Avia.Freight.ExtraEEAwCHUK</t>
  </si>
  <si>
    <t>FEC_per_flight.kgoe.RO.Tr.Avia</t>
  </si>
  <si>
    <t>FEC_per_flight.kgoe.RO.Tr.Avia.Passenger</t>
  </si>
  <si>
    <t>FEC_per_flight.kgoe.RO.Tr.Avia.Passenger.Domestic</t>
  </si>
  <si>
    <t>FEC_per_flight.kgoe.RO.Tr.Avia.Passenger.IntraEEAwCHUK</t>
  </si>
  <si>
    <t>FEC_per_flight.kgoe.RO.Tr.Avia.Passenger.ExtraEEAwCHUK</t>
  </si>
  <si>
    <t>FEC_per_flight.kgoe.RO.Tr.Avia.Freight</t>
  </si>
  <si>
    <t>FEC_per_flight.kgoe.RO.Tr.Avia.Freight.Domestic</t>
  </si>
  <si>
    <t>FEC_per_flight.kgoe.RO.Tr.Avia.Freight.IntraEEAwCHUK</t>
  </si>
  <si>
    <t>FEC_per_flight.kgoe.RO.Tr.Avia.Freight.ExtraEEAwCHUK</t>
  </si>
  <si>
    <t>Eff_theor.kgoe_per_100km.RO.Tr.Avia</t>
  </si>
  <si>
    <t>Eff_theor.kgoe_per_100km.RO.Tr.Avia.Passenger</t>
  </si>
  <si>
    <t>Eff_theor.kgoe_per_100km.RO.Tr.Avia.Passenger.Domestic</t>
  </si>
  <si>
    <t>Eff_theor.kgoe_per_100km.RO.Tr.Avia.Passenger.IntraEEAwCHUK</t>
  </si>
  <si>
    <t>Eff_theor.kgoe_per_100km.RO.Tr.Avia.Passenger.ExtraEEAwCHUK</t>
  </si>
  <si>
    <t>Eff_theor.kgoe_per_100km.RO.Tr.Avia.Freight</t>
  </si>
  <si>
    <t>Eff_theor.kgoe_per_100km.RO.Tr.Avia.Freight.Domestic</t>
  </si>
  <si>
    <t>Eff_theor.kgoe_per_100km.RO.Tr.Avia.Freight.IntraEEAwCHUK</t>
  </si>
  <si>
    <t>Eff_theor.kgoe_per_100km.RO.Tr.Avia.Freight.ExtraEEAwCHUK</t>
  </si>
  <si>
    <t>Aviation / CO2 emissions - RO - Romania</t>
  </si>
  <si>
    <t>EMI.ktCO2.RO.Tr.Avia</t>
  </si>
  <si>
    <t>EMI.ktCO2.RO.Tr.Avia.Domestic</t>
  </si>
  <si>
    <t>EMI.ktCO2.RO.Tr.Avia.International</t>
  </si>
  <si>
    <t>EMI.ktCO2.RO.Tr.Avia.Passenger</t>
  </si>
  <si>
    <t>EMI.ktCO2.RO.Tr.Avia.Passenger.Domestic</t>
  </si>
  <si>
    <t>EMI.ktCO2.RO.Tr.Avia.Passenger.IntraEEAwCHUK</t>
  </si>
  <si>
    <t>EMI.ktCO2.RO.Tr.Avia.Passenger.ExtraEEAwCHUK</t>
  </si>
  <si>
    <t>EMI.ktCO2.RO.Tr.Avia.Freight</t>
  </si>
  <si>
    <t>EMI.ktCO2.RO.Tr.Avia.Freight.Domestic</t>
  </si>
  <si>
    <t>EMI.ktCO2.RO.Tr.Avia.Freight.IntraEEAwCHUK</t>
  </si>
  <si>
    <t>EMI.ktCO2.RO.Tr.Avia.Freight.ExtraEEAwCHUK</t>
  </si>
  <si>
    <t>EMIint.gCO2_per_km.RO.Tr.Avia</t>
  </si>
  <si>
    <t>EMIint.gCO2_per_km.RO.Tr.Avia.Passenger</t>
  </si>
  <si>
    <t>EMIint.gCO2_per_km.RO.Tr.Avia.Passenger.Domestic</t>
  </si>
  <si>
    <t>EMIint.gCO2_per_km.RO.Tr.Avia.Passenger.IntraEEAwCHUK</t>
  </si>
  <si>
    <t>EMIint.gCO2_per_km.RO.Tr.Avia.Passenger.ExtraEEAwCHUK</t>
  </si>
  <si>
    <t>EMIint.gCO2_per_km.RO.Tr.Avia.Freight</t>
  </si>
  <si>
    <t>EMIint.gCO2_per_km.RO.Tr.Avia.Freight.Domestic</t>
  </si>
  <si>
    <t>EMIint.gCO2_per_km.RO.Tr.Avia.Freight.IntraEEAwCHUK</t>
  </si>
  <si>
    <t>EMIint.gCO2_per_km.RO.Tr.Avia.Freight.ExtraEEAwCHUK</t>
  </si>
  <si>
    <t>EMIint.gCO2_per_pkm.RO.Tr.Avia.Passenger</t>
  </si>
  <si>
    <t>EMIint.gCO2_per_pkm.RO.Tr.Avia.Passenger.Domestic</t>
  </si>
  <si>
    <t>EMIint.gCO2_per_pkm.RO.Tr.Avia.Passenger.IntraEEAwCHUK</t>
  </si>
  <si>
    <t>EMIint.gCO2_per_pkm.RO.Tr.Avia.Passenger.ExtraEEAwCHUK</t>
  </si>
  <si>
    <t>EMIint.gCO2_per_tkm.RO.Tr.Avia.Freight</t>
  </si>
  <si>
    <t>EMIint.gCO2_per_tkm.RO.Tr.Avia.Freight.Domestic</t>
  </si>
  <si>
    <t>EMIint.gCO2_per_tkm.RO.Tr.Avia.Freight.IntraEEAwCHUK</t>
  </si>
  <si>
    <t>EMIint.gCO2_per_tkm.RO.Tr.Avia.Freight.ExtraEEAwCHUK</t>
  </si>
  <si>
    <t>EMI_per_flight.kgCO2.RO.Tr.Avia</t>
  </si>
  <si>
    <t>EMI_per_flight.kgCO2.RO.Tr.Avia.Passenger</t>
  </si>
  <si>
    <t>EMI_per_flight.kgCO2.RO.Tr.Avia.Passenger.Domestic</t>
  </si>
  <si>
    <t>EMI_per_flight.kgCO2.RO.Tr.Avia.Passenger.IntraEEAwCHUK</t>
  </si>
  <si>
    <t>EMI_per_flight.kgCO2.RO.Tr.Avia.Passenger.ExtraEEAwCHUK</t>
  </si>
  <si>
    <t>EMI_per_flight.kgCO2.RO.Tr.Avia.Freight</t>
  </si>
  <si>
    <t>EMI_per_flight.kgCO2.RO.Tr.Avia.Freight.Domestic</t>
  </si>
  <si>
    <t>EMI_per_flight.kgCO2.RO.Tr.Avia.Freight.IntraEEAwCHUK</t>
  </si>
  <si>
    <t>EMI_per_flight.kgCO2.RO.Tr.Avia.Freight.ExtraEEAwCHUK</t>
  </si>
  <si>
    <t>Aviation / passenger transport specific data - RO - Romania</t>
  </si>
  <si>
    <t>TrCap.seats.RO.Tr.Avia.Passenger</t>
  </si>
  <si>
    <t>TrCap.seats.RO.Tr.Avia.Passenger.Domestic</t>
  </si>
  <si>
    <t>TrCap.seats.RO.Tr.Avia.Passenger.IntraEEAwCHUK</t>
  </si>
  <si>
    <t>TrCap.seats.RO.Tr.Avia.Passenger.ExtraEEAwCHUK</t>
  </si>
  <si>
    <t>TrCap_per_flight.seats.RO.Tr.Avia.Passenger</t>
  </si>
  <si>
    <t>TrCap_per_flight.seats.RO.Tr.Avia.Passenger.Domestic</t>
  </si>
  <si>
    <t>TrCap_per_flight.seats.RO.Tr.Avia.Passenger.IntraEEAwCHUK</t>
  </si>
  <si>
    <t>TrCap_per_flight.seats.RO.Tr.Avia.Passenger.ExtraEEAwCHUK</t>
  </si>
  <si>
    <t>Transport overview - RO - Romania</t>
  </si>
  <si>
    <t>Activity.Mpkm.RO.Tr</t>
  </si>
  <si>
    <t>Activity.Mpkm.RO.Tr.Road.Passenger</t>
  </si>
  <si>
    <t>Activity.Mpkm.RO.Tr.Road.Passenger.P2W</t>
  </si>
  <si>
    <t>Activity.Mpkm.RO.Tr.Road.Passenger.Car</t>
  </si>
  <si>
    <t>Activity.Mpkm.RO.Tr.Road.Passenger.Bus</t>
  </si>
  <si>
    <t>Activity.Mpkm.RO.Tr.Rail.Passenger</t>
  </si>
  <si>
    <t>Activity.Mpkm.RO.Tr.Rail.Passenger.MTU</t>
  </si>
  <si>
    <t>Activity.Mpkm.RO.Tr.Rail.Passenger.CPT</t>
  </si>
  <si>
    <t>Activity.Mpkm.RO.Tr.Rail.Passenger.HST</t>
  </si>
  <si>
    <t>Activity.Mtkm.RO.Tr</t>
  </si>
  <si>
    <t>Activity.Mtkm.RO.Tr.Road.Freight</t>
  </si>
  <si>
    <t>Activity.Mtkm.RO.Tr.Road.Freight.LCV</t>
  </si>
  <si>
    <t>Activity.Mtkm.RO.Tr.Road.Freight.HGV_All</t>
  </si>
  <si>
    <t>Activity.Mtkm.RO.Tr.Rail.Freight</t>
  </si>
  <si>
    <t>Activity.Mtkm.RO.Tr.DNavi.Freight</t>
  </si>
  <si>
    <t>Activity.Mtkm.RO.Tr.DNavi.Freight.DCS</t>
  </si>
  <si>
    <t>Activity.Mtkm.RO.Tr.DNavi.Freight.IWW</t>
  </si>
  <si>
    <t>Activity.Mtkm.RO.MBunk.Freight</t>
  </si>
  <si>
    <t>Activity.Mtkm.RO.MBunk.Freight.IntraEEA</t>
  </si>
  <si>
    <t>Activity.Mtkm.RO.MBunk.Freight.ExtraEEA</t>
  </si>
  <si>
    <t>FEC.ktoe.RO.Tr.Road.Passenger</t>
  </si>
  <si>
    <t>FEC.ktoe.RO.Tr.Road.Passenger.P2W</t>
  </si>
  <si>
    <t>FEC.ktoe.RO.Tr.Road.Passenger.Car</t>
  </si>
  <si>
    <t>FEC.ktoe.RO.Tr.Road.Passenger.Bus</t>
  </si>
  <si>
    <t>FEC.ktoe.RO.Tr.Rail.Passenger</t>
  </si>
  <si>
    <t>FEC.ktoe.RO.Tr.Rail.Passenger.MTU</t>
  </si>
  <si>
    <t>FEC.ktoe.RO.Tr.Rail.Passenger.CPT</t>
  </si>
  <si>
    <t>FEC.ktoe.RO.Tr.Rail.Passenger.HST</t>
  </si>
  <si>
    <t>FEC.ktoe.RO.Tr.Road.Freight</t>
  </si>
  <si>
    <t>FEC.ktoe.RO.Tr.Road.Freight.LCV</t>
  </si>
  <si>
    <t>FEC.ktoe.RO.Tr.Road.Freight.HGV_All</t>
  </si>
  <si>
    <t>FEC.ktoe.RO.Tr.Rail.Freight</t>
  </si>
  <si>
    <t>EMI.ktCO2.RO.Tr.Road.Passenger</t>
  </si>
  <si>
    <t>EMI.ktCO2.RO.Tr.Road.Passenger.P2W</t>
  </si>
  <si>
    <t>EMI.ktCO2.RO.Tr.Road.Passenger.Car</t>
  </si>
  <si>
    <t>EMI.ktCO2.RO.Tr.Road.Passenger.Bus</t>
  </si>
  <si>
    <t>EMI.ktCO2.RO.Tr.Rail.Passenger</t>
  </si>
  <si>
    <t>EMI.ktCO2.RO.Tr.Rail.Passenger.MTU</t>
  </si>
  <si>
    <t>EMI.ktCO2.RO.Tr.Rail.Passenger.CPT</t>
  </si>
  <si>
    <t>EMI.ktCO2.RO.Tr.Rail.Passenger.HST</t>
  </si>
  <si>
    <t>EMI.ktCO2.RO.Tr.Road.Freight</t>
  </si>
  <si>
    <t>EMI.ktCO2.RO.Tr.Road.Freight.LCV</t>
  </si>
  <si>
    <t>EMI.ktCO2.RO.Tr.Road.Freight.HGV_All</t>
  </si>
  <si>
    <t>EMI.ktCO2.RO.Tr.Rail.Freight</t>
  </si>
  <si>
    <t>Eff.kgoe_per_kpkm.RO.Tr</t>
  </si>
  <si>
    <t>Eff.kgoe_per_kpkm.RO.Tr.Road.Passenger</t>
  </si>
  <si>
    <t>Eff.kgoe_per_kpkm.RO.Tr.Road.Passenger.P2W</t>
  </si>
  <si>
    <t>Eff.kgoe_per_kpkm.RO.Tr.Road.Passenger.Car</t>
  </si>
  <si>
    <t>Eff.kgoe_per_kpkm.RO.Tr.Road.Passenger.Bus</t>
  </si>
  <si>
    <t>Eff.kgoe_per_kpkm.RO.Tr.Rail.Passenger</t>
  </si>
  <si>
    <t>Eff.kgoe_per_kpkm.RO.Tr.Rail.Passenger.MTU</t>
  </si>
  <si>
    <t>Eff.kgoe_per_kpkm.RO.Tr.Rail.Passenger.CPT</t>
  </si>
  <si>
    <t>Eff.kgoe_per_kpkm.RO.Tr.Rail.Passenger.HST</t>
  </si>
  <si>
    <t>Eff.kgoe_per_ktkm.RO.Tr</t>
  </si>
  <si>
    <t>Eff.kgoe_per_ktkm.RO.Tr.Road.Freight</t>
  </si>
  <si>
    <t>Eff.kgoe_per_ktkm.RO.Tr.Road.Freight.LCV</t>
  </si>
  <si>
    <t>Eff.kgoe_per_ktkm.RO.Tr.Road.Freight.HGV_All</t>
  </si>
  <si>
    <t>Eff.kgoe_per_ktkm.RO.Tr.Rail.Freight</t>
  </si>
  <si>
    <t>Eff.kgoe_per_ktkm.RO.Tr.DNavi.Freight</t>
  </si>
  <si>
    <t>Eff.kgoe_per_ktkm.RO.Tr.DNavi.Freight.DCS</t>
  </si>
  <si>
    <t>Eff.kgoe_per_ktkm.RO.Tr.DNavi.Freight.IWW</t>
  </si>
  <si>
    <t>Eff.kgoe_per_ktkm.RO.MBunk.Freight</t>
  </si>
  <si>
    <t>Eff.kgoe_per_ktkm.RO.MBunk.Freight.IntraEEA</t>
  </si>
  <si>
    <t>Eff.kgoe_per_ktkm.RO.MBunk.Freight.ExtraEEA</t>
  </si>
  <si>
    <t>EMIint.gCO2_per_pkm.RO.Tr</t>
  </si>
  <si>
    <t>EMIint.gCO2_per_pkm.RO.Tr.Road.Passenger</t>
  </si>
  <si>
    <t>EMIint.gCO2_per_pkm.RO.Tr.Road.Passenger.P2W</t>
  </si>
  <si>
    <t>EMIint.gCO2_per_pkm.RO.Tr.Road.Passenger.Car</t>
  </si>
  <si>
    <t>EMIint.gCO2_per_pkm.RO.Tr.Road.Passenger.Bus</t>
  </si>
  <si>
    <t>EMIint.gCO2_per_pkm.RO.Tr.Rail.Passenger</t>
  </si>
  <si>
    <t>EMIint.gCO2_per_pkm.RO.Tr.Rail.Passenger.MTU</t>
  </si>
  <si>
    <t>EMIint.gCO2_per_pkm.RO.Tr.Rail.Passenger.CPT</t>
  </si>
  <si>
    <t>EMIint.gCO2_per_pkm.RO.Tr.Rail.Passenger.HST</t>
  </si>
  <si>
    <t>EMIint.gCO2_per_tkm.RO.Tr</t>
  </si>
  <si>
    <t>EMIint.gCO2_per_tkm.RO.Tr.Road.Freight</t>
  </si>
  <si>
    <t>EMIint.gCO2_per_tkm.RO.Tr.Road.Freight.LCV</t>
  </si>
  <si>
    <t>EMIint.gCO2_per_tkm.RO.Tr.Road.Freight.HGV_All</t>
  </si>
  <si>
    <t>EMIint.gCO2_per_tkm.RO.Tr.Rail.Freight</t>
  </si>
  <si>
    <t>EMIint.gCO2_per_tkm.RO.Tr.DNavi.Freight</t>
  </si>
  <si>
    <t>EMIint.gCO2_per_tkm.RO.Tr.DNavi.Freight.DCS</t>
  </si>
  <si>
    <t>EMIint.gCO2_per_tkm.RO.Tr.DNavi.Freight.IWW</t>
  </si>
  <si>
    <t>EMIint.gCO2_per_tkm.RO.MBunk.Freight</t>
  </si>
  <si>
    <t>EMIint.gCO2_per_tkm.RO.MBunk.Freight.IntraEEA</t>
  </si>
  <si>
    <t>EMIint.gCO2_per_tkm.RO.MBunk.Freight.ExtraEEA</t>
  </si>
  <si>
    <t>Road transport - RO - Romania</t>
  </si>
  <si>
    <t>Activity.Mpkm.RO.Tr.Road.Passenger.Car.ICE.Gasoline</t>
  </si>
  <si>
    <t>Activity.Mpkm.RO.Tr.Road.Passenger.Car.ICE.Diesel</t>
  </si>
  <si>
    <t>Activity.Mpkm.RO.Tr.Road.Passenger.Car.ICE.LPG</t>
  </si>
  <si>
    <t>Activity.Mpkm.RO.Tr.Road.Passenger.Car.ICE.NGas</t>
  </si>
  <si>
    <t>Activity.Mpkm.RO.Tr.Road.Passenger.Car.PHEV.Gasoline</t>
  </si>
  <si>
    <t>Activity.Mpkm.RO.Tr.Road.Passenger.Car.BEV</t>
  </si>
  <si>
    <t>Activity.Mpkm.RO.Tr.Road.Passenger.Bus.ICE.Gasoline</t>
  </si>
  <si>
    <t>Activity.Mpkm.RO.Tr.Road.Passenger.Bus.ICE.Diesel</t>
  </si>
  <si>
    <t>Activity.Mpkm.RO.Tr.Road.Passenger.Bus.ICE.LPG</t>
  </si>
  <si>
    <t>Activity.Mpkm.RO.Tr.Road.Passenger.Bus.ICE.NGas</t>
  </si>
  <si>
    <t>Activity.Mpkm.RO.Tr.Road.Passenger.Bus.BEV</t>
  </si>
  <si>
    <t>Activity.Mtkm.RO.Tr.Road.Freight.LCV.ICE.Gasoline</t>
  </si>
  <si>
    <t>Activity.Mtkm.RO.Tr.Road.Freight.LCV.ICE.Diesel</t>
  </si>
  <si>
    <t>Activity.Mtkm.RO.Tr.Road.Freight.LCV.ICE.LPG</t>
  </si>
  <si>
    <t>Activity.Mtkm.RO.Tr.Road.Freight.LCV.ICE.NGas</t>
  </si>
  <si>
    <t>Activity.Mtkm.RO.Tr.Road.Freight.LCV.BEV</t>
  </si>
  <si>
    <t>Activity.Mtkm.RO.Tr.Road.Freight.HGV_Domestic</t>
  </si>
  <si>
    <t>Activity.Mtkm.RO.Tr.Road.Freight.HGV_International</t>
  </si>
  <si>
    <t>VehicleKm.Mkm.RO.Tr.Road</t>
  </si>
  <si>
    <t>VehicleKm.Mkm.RO.Tr.Road.Passenger</t>
  </si>
  <si>
    <t>VehicleKm.Mkm.RO.Tr.Road.Passenger.P2W</t>
  </si>
  <si>
    <t>VehicleKm.Mkm.RO.Tr.Road.Passenger.Car</t>
  </si>
  <si>
    <t>VehicleKm.Mkm.RO.Tr.Road.Passenger.Car.ICE.Gasoline</t>
  </si>
  <si>
    <t>VehicleKm.Mkm.RO.Tr.Road.Passenger.Car.ICE.Diesel</t>
  </si>
  <si>
    <t>VehicleKm.Mkm.RO.Tr.Road.Passenger.Car.ICE.LPG</t>
  </si>
  <si>
    <t>VehicleKm.Mkm.RO.Tr.Road.Passenger.Car.ICE.NGas</t>
  </si>
  <si>
    <t>VehicleKm.Mkm.RO.Tr.Road.Passenger.Car.PHEV.Gasoline</t>
  </si>
  <si>
    <t>VehicleKm.Mkm.RO.Tr.Road.Passenger.Car.BEV</t>
  </si>
  <si>
    <t>VehicleKm.Mkm.RO.Tr.Road.Passenger.Bus</t>
  </si>
  <si>
    <t>VehicleKm.Mkm.RO.Tr.Road.Passenger.Bus.ICE.Gasoline</t>
  </si>
  <si>
    <t>VehicleKm.Mkm.RO.Tr.Road.Passenger.Bus.ICE.Diesel</t>
  </si>
  <si>
    <t>VehicleKm.Mkm.RO.Tr.Road.Passenger.Bus.ICE.LPG</t>
  </si>
  <si>
    <t>VehicleKm.Mkm.RO.Tr.Road.Passenger.Bus.ICE.NGas</t>
  </si>
  <si>
    <t>VehicleKm.Mkm.RO.Tr.Road.Passenger.Bus.BEV</t>
  </si>
  <si>
    <t>VehicleKm.Mkm.RO.Tr.Road.Freight</t>
  </si>
  <si>
    <t>VehicleKm.Mkm.RO.Tr.Road.Freight.LCV</t>
  </si>
  <si>
    <t>VehicleKm.Mkm.RO.Tr.Road.Freight.LCV.ICE.Gasoline</t>
  </si>
  <si>
    <t>VehicleKm.Mkm.RO.Tr.Road.Freight.LCV.ICE.Diesel</t>
  </si>
  <si>
    <t>VehicleKm.Mkm.RO.Tr.Road.Freight.LCV.ICE.LPG</t>
  </si>
  <si>
    <t>VehicleKm.Mkm.RO.Tr.Road.Freight.LCV.ICE.NGas</t>
  </si>
  <si>
    <t>VehicleKm.Mkm.RO.Tr.Road.Freight.LCV.BEV</t>
  </si>
  <si>
    <t>VehicleKm.Mkm.RO.Tr.Road.Freight.HGV_All</t>
  </si>
  <si>
    <t>VehicleKm.Mkm.RO.Tr.Road.Freight.HGV_Domestic</t>
  </si>
  <si>
    <t>VehicleKm.Mkm.RO.Tr.Road.Freight.HGV_International</t>
  </si>
  <si>
    <t>Stock.number.RO.Tr.Road</t>
  </si>
  <si>
    <t>Stock.number.RO.Tr.Road.Passenger</t>
  </si>
  <si>
    <t>Stock.number.RO.Tr.Road.Passenger.P2W</t>
  </si>
  <si>
    <t>Stock.number.RO.Tr.Road.Passenger.Car</t>
  </si>
  <si>
    <t>Stock.number.RO.Tr.Road.Passenger.Car.ICE.Gasoline</t>
  </si>
  <si>
    <t>Stock.number.RO.Tr.Road.Passenger.Car.ICE.Diesel</t>
  </si>
  <si>
    <t>Stock.number.RO.Tr.Road.Passenger.Car.ICE.LPG</t>
  </si>
  <si>
    <t>Stock.number.RO.Tr.Road.Passenger.Car.ICE.NGas</t>
  </si>
  <si>
    <t>Stock.number.RO.Tr.Road.Passenger.Car.PHEV.Gasoline</t>
  </si>
  <si>
    <t>Stock.number.RO.Tr.Road.Passenger.Car.BEV</t>
  </si>
  <si>
    <t>Stock.number.RO.Tr.Road.Passenger.Bus</t>
  </si>
  <si>
    <t>Stock.number.RO.Tr.Road.Passenger.Bus.ICE.Gasoline</t>
  </si>
  <si>
    <t>Stock.number.RO.Tr.Road.Passenger.Bus.ICE.Diesel</t>
  </si>
  <si>
    <t>Stock.number.RO.Tr.Road.Passenger.Bus.ICE.LPG</t>
  </si>
  <si>
    <t>Stock.number.RO.Tr.Road.Passenger.Bus.ICE.NGas</t>
  </si>
  <si>
    <t>Stock.number.RO.Tr.Road.Passenger.Bus.BEV</t>
  </si>
  <si>
    <t>Stock.number.RO.Tr.Road.Freight</t>
  </si>
  <si>
    <t>Stock.number.RO.Tr.Road.Freight.LCV</t>
  </si>
  <si>
    <t>Stock.number.RO.Tr.Road.Freight.LCV.ICE.Gasoline</t>
  </si>
  <si>
    <t>Stock.number.RO.Tr.Road.Freight.LCV.ICE.Diesel</t>
  </si>
  <si>
    <t>Stock.number.RO.Tr.Road.Freight.LCV.ICE.LPG</t>
  </si>
  <si>
    <t>Stock.number.RO.Tr.Road.Freight.LCV.ICE.NGas</t>
  </si>
  <si>
    <t>Stock.number.RO.Tr.Road.Freight.LCV.BEV</t>
  </si>
  <si>
    <t>Stock.number.RO.Tr.Road.Freight.HGV_All</t>
  </si>
  <si>
    <t>Stock.number.RO.Tr.Road.Freight.HGV_Domestic</t>
  </si>
  <si>
    <t>Stock.number.RO.Tr.Road.Freight.HGV_International</t>
  </si>
  <si>
    <t>StockNew.number.RO.Tr.Road</t>
  </si>
  <si>
    <t>StockNew.number.RO.Tr.Road.Passenger</t>
  </si>
  <si>
    <t>StockNew.number.RO.Tr.Road.Passenger.P2W</t>
  </si>
  <si>
    <t>StockNew.number.RO.Tr.Road.Passenger.Car</t>
  </si>
  <si>
    <t>StockNew.number.RO.Tr.Road.Passenger.Car.ICE.Gasoline</t>
  </si>
  <si>
    <t>StockNew.number.RO.Tr.Road.Passenger.Car.ICE.Diesel</t>
  </si>
  <si>
    <t>StockNew.number.RO.Tr.Road.Passenger.Car.ICE.LPG</t>
  </si>
  <si>
    <t>StockNew.number.RO.Tr.Road.Passenger.Car.ICE.NGas</t>
  </si>
  <si>
    <t>StockNew.number.RO.Tr.Road.Passenger.Car.PHEV.Gasoline</t>
  </si>
  <si>
    <t>StockNew.number.RO.Tr.Road.Passenger.Car.BEV</t>
  </si>
  <si>
    <t>StockNew.number.RO.Tr.Road.Passenger.Bus</t>
  </si>
  <si>
    <t>StockNew.number.RO.Tr.Road.Passenger.Bus.ICE.Gasoline</t>
  </si>
  <si>
    <t>StockNew.number.RO.Tr.Road.Passenger.Bus.ICE.Diesel</t>
  </si>
  <si>
    <t>StockNew.number.RO.Tr.Road.Passenger.Bus.ICE.LPG</t>
  </si>
  <si>
    <t>StockNew.number.RO.Tr.Road.Passenger.Bus.ICE.NGas</t>
  </si>
  <si>
    <t>StockNew.number.RO.Tr.Road.Passenger.Bus.BEV</t>
  </si>
  <si>
    <t>StockNew.number.RO.Tr.Road.Freight</t>
  </si>
  <si>
    <t>StockNew.number.RO.Tr.Road.Freight.LCV</t>
  </si>
  <si>
    <t>StockNew.number.RO.Tr.Road.Freight.LCV.ICE.Gasoline</t>
  </si>
  <si>
    <t>StockNew.number.RO.Tr.Road.Freight.LCV.ICE.Diesel</t>
  </si>
  <si>
    <t>StockNew.number.RO.Tr.Road.Freight.LCV.ICE.LPG</t>
  </si>
  <si>
    <t>StockNew.number.RO.Tr.Road.Freight.LCV.ICE.NGas</t>
  </si>
  <si>
    <t>StockNew.number.RO.Tr.Road.Freight.LCV.BEV</t>
  </si>
  <si>
    <t>StockNew.number.RO.Tr.Road.Freight.HGV_All</t>
  </si>
  <si>
    <t>StockNew.number.RO.Tr.Road.Freight.HGV_Domestic</t>
  </si>
  <si>
    <t>StockNew.number.RO.Tr.Road.Freight.HGV_International</t>
  </si>
  <si>
    <t>Load.passenger_per_movement.RO.Tr.Road.Passenger</t>
  </si>
  <si>
    <t>Load.passenger_per_movement.RO.Tr.Road.Passenger.P2W</t>
  </si>
  <si>
    <t>Load.passenger_per_movement.RO.Tr.Road.Passenger.Car</t>
  </si>
  <si>
    <t>Load.passenger_per_movement.RO.Tr.Road.Passenger.Car.ICE.Gasoline</t>
  </si>
  <si>
    <t>Load.passenger_per_movement.RO.Tr.Road.Passenger.Car.ICE.Diesel</t>
  </si>
  <si>
    <t>Load.passenger_per_movement.RO.Tr.Road.Passenger.Car.ICE.LPG</t>
  </si>
  <si>
    <t>Load.passenger_per_movement.RO.Tr.Road.Passenger.Car.ICE.NGas</t>
  </si>
  <si>
    <t>Load.passenger_per_movement.RO.Tr.Road.Passenger.Car.PHEV.Gasoline</t>
  </si>
  <si>
    <t>Load.passenger_per_movement.RO.Tr.Road.Passenger.Car.BEV</t>
  </si>
  <si>
    <t>Load.passenger_per_movement.RO.Tr.Road.Passenger.Bus</t>
  </si>
  <si>
    <t>Load.passenger_per_movement.RO.Tr.Road.Passenger.Bus.ICE.Gasoline</t>
  </si>
  <si>
    <t>Load.passenger_per_movement.RO.Tr.Road.Passenger.Bus.ICE.Diesel</t>
  </si>
  <si>
    <t>Load.passenger_per_movement.RO.Tr.Road.Passenger.Bus.ICE.LPG</t>
  </si>
  <si>
    <t>Load.passenger_per_movement.RO.Tr.Road.Passenger.Bus.ICE.NGas</t>
  </si>
  <si>
    <t>Load.passenger_per_movement.RO.Tr.Road.Passenger.Bus.BEV</t>
  </si>
  <si>
    <t>Load.t_per_movement.RO.Tr.Road.Freight</t>
  </si>
  <si>
    <t>Load.t_per_movement.RO.Tr.Road.Freight.LCV</t>
  </si>
  <si>
    <t>Load.t_per_movement.RO.Tr.Road.Freight.LCV.ICE.Gasoline</t>
  </si>
  <si>
    <t>Load.t_per_movement.RO.Tr.Road.Freight.LCV.ICE.Diesel</t>
  </si>
  <si>
    <t>Load.t_per_movement.RO.Tr.Road.Freight.LCV.ICE.LPG</t>
  </si>
  <si>
    <t>Load.t_per_movement.RO.Tr.Road.Freight.LCV.ICE.NGas</t>
  </si>
  <si>
    <t>Load.t_per_movement.RO.Tr.Road.Freight.LCV.BEV</t>
  </si>
  <si>
    <t>Load.t_per_movement.RO.Tr.Road.Freight.HGV_All</t>
  </si>
  <si>
    <t>Load.t_per_movement.RO.Tr.Road.Freight.HGV_Domestic</t>
  </si>
  <si>
    <t>Load.t_per_movement.RO.Tr.Road.Freight.HGV_International</t>
  </si>
  <si>
    <t>VehicleKm_per_vehicle.km.RO.Tr.Road</t>
  </si>
  <si>
    <t>VehicleKm_per_vehicle.km.RO.Tr.Road.Passenger</t>
  </si>
  <si>
    <t>VehicleKm_per_vehicle.km.RO.Tr.Road.Passenger.P2W</t>
  </si>
  <si>
    <t>VehicleKm_per_vehicle.km.RO.Tr.Road.Passenger.Car</t>
  </si>
  <si>
    <t>VehicleKm_per_vehicle.km.RO.Tr.Road.Passenger.Car.ICE.Gasoline</t>
  </si>
  <si>
    <t>VehicleKm_per_vehicle.km.RO.Tr.Road.Passenger.Car.ICE.Diesel</t>
  </si>
  <si>
    <t>VehicleKm_per_vehicle.km.RO.Tr.Road.Passenger.Car.ICE.LPG</t>
  </si>
  <si>
    <t>VehicleKm_per_vehicle.km.RO.Tr.Road.Passenger.Car.ICE.NGas</t>
  </si>
  <si>
    <t>VehicleKm_per_vehicle.km.RO.Tr.Road.Passenger.Car.PHEV.Gasoline</t>
  </si>
  <si>
    <t>VehicleKm_per_vehicle.km.RO.Tr.Road.Passenger.Car.BEV</t>
  </si>
  <si>
    <t>VehicleKm_per_vehicle.km.RO.Tr.Road.Passenger.Bus</t>
  </si>
  <si>
    <t>VehicleKm_per_vehicle.km.RO.Tr.Road.Passenger.Bus.ICE.Gasoline</t>
  </si>
  <si>
    <t>VehicleKm_per_vehicle.km.RO.Tr.Road.Passenger.Bus.ICE.Diesel</t>
  </si>
  <si>
    <t>VehicleKm_per_vehicle.km.RO.Tr.Road.Passenger.Bus.ICE.LPG</t>
  </si>
  <si>
    <t>VehicleKm_per_vehicle.km.RO.Tr.Road.Passenger.Bus.ICE.NGas</t>
  </si>
  <si>
    <t>VehicleKm_per_vehicle.km.RO.Tr.Road.Passenger.Bus.BEV</t>
  </si>
  <si>
    <t>VehicleKm_per_vehicle.km.RO.Tr.Road.Freight</t>
  </si>
  <si>
    <t>VehicleKm_per_vehicle.km.RO.Tr.Road.Freight.LCV</t>
  </si>
  <si>
    <t>VehicleKm_per_vehicle.km.RO.Tr.Road.Freight.LCV.ICE.Gasoline</t>
  </si>
  <si>
    <t>VehicleKm_per_vehicle.km.RO.Tr.Road.Freight.LCV.ICE.Diesel</t>
  </si>
  <si>
    <t>VehicleKm_per_vehicle.km.RO.Tr.Road.Freight.LCV.ICE.LPG</t>
  </si>
  <si>
    <t>VehicleKm_per_vehicle.km.RO.Tr.Road.Freight.LCV.ICE.NGas</t>
  </si>
  <si>
    <t>VehicleKm_per_vehicle.km.RO.Tr.Road.Freight.LCV.BEV</t>
  </si>
  <si>
    <t>VehicleKm_per_vehicle.km.RO.Tr.Road.Freight.HGV_All</t>
  </si>
  <si>
    <t>VehicleKm_per_vehicle.km.RO.Tr.Road.Freight.HGV_Domestic</t>
  </si>
  <si>
    <t>VehicleKm_per_vehicle.km.RO.Tr.Road.Freight.HGV_International</t>
  </si>
  <si>
    <t>Activity_per_vehicle.pkm.RO.Tr.Road.Passenger</t>
  </si>
  <si>
    <t>Activity_per_vehicle.pkm.RO.Tr.Road.Passenger.P2W</t>
  </si>
  <si>
    <t>Activity_per_vehicle.pkm.RO.Tr.Road.Passenger.Car</t>
  </si>
  <si>
    <t>Activity_per_vehicle.pkm.RO.Tr.Road.Passenger.Car.ICE.Gasoline</t>
  </si>
  <si>
    <t>Activity_per_vehicle.pkm.RO.Tr.Road.Passenger.Car.ICE.Diesel</t>
  </si>
  <si>
    <t>Activity_per_vehicle.pkm.RO.Tr.Road.Passenger.Car.ICE.LPG</t>
  </si>
  <si>
    <t>Activity_per_vehicle.pkm.RO.Tr.Road.Passenger.Car.ICE.NGas</t>
  </si>
  <si>
    <t>Activity_per_vehicle.pkm.RO.Tr.Road.Passenger.Car.PHEV.Gasoline</t>
  </si>
  <si>
    <t>Activity_per_vehicle.pkm.RO.Tr.Road.Passenger.Car.BEV</t>
  </si>
  <si>
    <t>Activity_per_vehicle.pkm.RO.Tr.Road.Passenger.Bus</t>
  </si>
  <si>
    <t>Activity_per_vehicle.pkm.RO.Tr.Road.Passenger.Bus.ICE.Gasoline</t>
  </si>
  <si>
    <t>Activity_per_vehicle.pkm.RO.Tr.Road.Passenger.Bus.ICE.Diesel</t>
  </si>
  <si>
    <t>Activity_per_vehicle.pkm.RO.Tr.Road.Passenger.Bus.ICE.LPG</t>
  </si>
  <si>
    <t>Activity_per_vehicle.pkm.RO.Tr.Road.Passenger.Bus.ICE.NGas</t>
  </si>
  <si>
    <t>Activity_per_vehicle.pkm.RO.Tr.Road.Passenger.Bus.BEV</t>
  </si>
  <si>
    <t>Activity_per_vehicle.tkm.RO.Tr.Road.Freight</t>
  </si>
  <si>
    <t>Activity_per_vehicle.tkm.RO.Tr.Road.Freight.LCV</t>
  </si>
  <si>
    <t>Activity_per_vehicle.tkm.RO.Tr.Road.Freight.LCV.ICE.Gasoline</t>
  </si>
  <si>
    <t>Activity_per_vehicle.tkm.RO.Tr.Road.Freight.LCV.ICE.Diesel</t>
  </si>
  <si>
    <t>Activity_per_vehicle.tkm.RO.Tr.Road.Freight.LCV.ICE.LPG</t>
  </si>
  <si>
    <t>Activity_per_vehicle.tkm.RO.Tr.Road.Freight.LCV.ICE.NGas</t>
  </si>
  <si>
    <t>Activity_per_vehicle.tkm.RO.Tr.Road.Freight.LCV.BEV</t>
  </si>
  <si>
    <t>Activity_per_vehicle.tkm.RO.Tr.Road.Freight.HGV_All</t>
  </si>
  <si>
    <t>Activity_per_vehicle.tkm.RO.Tr.Road.Freight.HGV_Domestic</t>
  </si>
  <si>
    <t>Activity_per_vehicle.tkm.RO.Tr.Road.Freight.HGV_International</t>
  </si>
  <si>
    <t>Road transport / energy consumption - RO - Romania</t>
  </si>
  <si>
    <t>FEC.ktoe.RO.ES.Tr.Road</t>
  </si>
  <si>
    <t>FEC.ktoe.RO.ES.Tr.Road.LPG</t>
  </si>
  <si>
    <t>FEC.ktoe.RO.ES.Tr.Road.Gasoline</t>
  </si>
  <si>
    <t>FEC.ktoe.RO.ES.Tr.Road.Diesel</t>
  </si>
  <si>
    <t>FEC.ktoe.RO.ES.Tr.Road.NG</t>
  </si>
  <si>
    <t>FEC.ktoe.RO.ES.Tr.Road.Biogas</t>
  </si>
  <si>
    <t>FEC.ktoe.RO.ES.Tr.Road.Biogasoline</t>
  </si>
  <si>
    <t>FEC.ktoe.RO.ES.Tr.Road.Biodiesel</t>
  </si>
  <si>
    <t>FEC.ktoe.RO.ES.Tr.Road.OthLiqBio</t>
  </si>
  <si>
    <t>FEC.ktoe.RO.ES.Tr.Road.Elec</t>
  </si>
  <si>
    <t>FEC.ktoe.RO.Tr.Road</t>
  </si>
  <si>
    <t>FEC.ktoe.RO.Tr.Road.Passenger.P2W.Total.Total.Biogasoline</t>
  </si>
  <si>
    <t>FEC.ktoe.RO.Tr.Road.Passenger.Car.ICE.Gasoline</t>
  </si>
  <si>
    <t>FEC.ktoe.RO.Tr.Road.Passenger.Car.ICE.Gasoline.Biogasoline</t>
  </si>
  <si>
    <t>FEC.ktoe.RO.Tr.Road.Passenger.Car.ICE.Diesel</t>
  </si>
  <si>
    <t>FEC.ktoe.RO.Tr.Road.Passenger.Car.ICE.Diesel.BioDiesel_OthLiqBio</t>
  </si>
  <si>
    <t>FEC.ktoe.RO.Tr.Road.Passenger.Car.ICE.LPG</t>
  </si>
  <si>
    <t>FEC.ktoe.RO.Tr.Road.Passenger.Car.ICE.NGas</t>
  </si>
  <si>
    <t>FEC.ktoe.RO.Tr.Road.Passenger.Car.ICE.NGas.Biogas</t>
  </si>
  <si>
    <t>FEC.ktoe.RO.Tr.Road.Passenger.Car.PHEV.Gasoline</t>
  </si>
  <si>
    <t>FEC.ktoe.RO.Tr.Road.Passenger.Car.PHEV.Gasoline.Biogasoline</t>
  </si>
  <si>
    <t>FEC.ktoe.RO.Tr.Road.Passenger.Car.PHEV.Gasoline.Elec</t>
  </si>
  <si>
    <t>FEC.ktoe.RO.Tr.Road.Passenger.Car.BEV</t>
  </si>
  <si>
    <t>FEC.ktoe.RO.Tr.Road.Passenger.Bus.ICE.Gasoline</t>
  </si>
  <si>
    <t>FEC.ktoe.RO.Tr.Road.Passenger.Bus.ICE.Gasoline.Biogasoline</t>
  </si>
  <si>
    <t>FEC.ktoe.RO.Tr.Road.Passenger.Bus.ICE.Diesel</t>
  </si>
  <si>
    <t>FEC.ktoe.RO.Tr.Road.Passenger.Bus.ICE.Diesel.BioDiesel_OthLiqBio</t>
  </si>
  <si>
    <t>FEC.ktoe.RO.Tr.Road.Passenger.Bus.ICE.LPG</t>
  </si>
  <si>
    <t>FEC.ktoe.RO.Tr.Road.Passenger.Bus.ICE.NGas</t>
  </si>
  <si>
    <t>FEC.ktoe.RO.Tr.Road.Passenger.Bus.ICE.NGas.Biogas</t>
  </si>
  <si>
    <t>FEC.ktoe.RO.Tr.Road.Passenger.Bus.BEV</t>
  </si>
  <si>
    <t>FEC.ktoe.RO.Tr.Road.Freight.LCV.ICE.Gasoline</t>
  </si>
  <si>
    <t>FEC.ktoe.RO.Tr.Road.Freight.LCV.ICE.Gasoline.Biogasoline</t>
  </si>
  <si>
    <t>FEC.ktoe.RO.Tr.Road.Freight.LCV.ICE.Diesel</t>
  </si>
  <si>
    <t>FEC.ktoe.RO.Tr.Road.Freight.LCV.ICE.Diesel.BioDiesel_OthLiqBio</t>
  </si>
  <si>
    <t>FEC.ktoe.RO.Tr.Road.Freight.LCV.ICE.LPG</t>
  </si>
  <si>
    <t>FEC.ktoe.RO.Tr.Road.Freight.LCV.ICE.NGas</t>
  </si>
  <si>
    <t>FEC.ktoe.RO.Tr.Road.Freight.LCV.ICE.NGas.Biogas</t>
  </si>
  <si>
    <t>FEC.ktoe.RO.Tr.Road.Freight.LCV.BEV</t>
  </si>
  <si>
    <t>FEC.ktoe.RO.Tr.Road.Freight.HGV_Domestic</t>
  </si>
  <si>
    <t>FEC.ktoe.RO.Tr.Road.Freight.HGV_Domestic.Total.Total.BioDiesel_OthLiqBio</t>
  </si>
  <si>
    <t>FEC.ktoe.RO.Tr.Road.Freight.HGV_International</t>
  </si>
  <si>
    <t>FEC.ktoe.RO.Tr.Road.Freight.HGV_International.Total.Total.BioDiesel_OthLiqBio</t>
  </si>
  <si>
    <t>Eff.kgoe_per_100km.RO.Tr.Road</t>
  </si>
  <si>
    <t>Eff.kgoe_per_100km.RO.Tr.Road.Passenger</t>
  </si>
  <si>
    <t>Eff.kgoe_per_100km.RO.Tr.Road.Passenger.P2W</t>
  </si>
  <si>
    <t>Eff.kgoe_per_100km.RO.Tr.Road.Passenger.Car</t>
  </si>
  <si>
    <t>Eff.kgoe_per_100km.RO.Tr.Road.Passenger.Car.ICE.Gasoline</t>
  </si>
  <si>
    <t>Eff.kgoe_per_100km.RO.Tr.Road.Passenger.Car.ICE.Diesel</t>
  </si>
  <si>
    <t>Eff.kgoe_per_100km.RO.Tr.Road.Passenger.Car.ICE.LPG</t>
  </si>
  <si>
    <t>Eff.kgoe_per_100km.RO.Tr.Road.Passenger.Car.ICE.NGas</t>
  </si>
  <si>
    <t>Eff.kgoe_per_100km.RO.Tr.Road.Passenger.Car.PHEV.Gasoline</t>
  </si>
  <si>
    <t>Eff.kgoe_per_100km.RO.Tr.Road.Passenger.Car.BEV</t>
  </si>
  <si>
    <t>Eff.kgoe_per_100km.RO.Tr.Road.Passenger.Bus</t>
  </si>
  <si>
    <t>Eff.kgoe_per_100km.RO.Tr.Road.Passenger.Bus.ICE.Gasoline</t>
  </si>
  <si>
    <t>Eff.kgoe_per_100km.RO.Tr.Road.Passenger.Bus.ICE.Diesel</t>
  </si>
  <si>
    <t>Eff.kgoe_per_100km.RO.Tr.Road.Passenger.Bus.ICE.LPG</t>
  </si>
  <si>
    <t>Eff.kgoe_per_100km.RO.Tr.Road.Passenger.Bus.ICE.NGas</t>
  </si>
  <si>
    <t>Eff.kgoe_per_100km.RO.Tr.Road.Passenger.Bus.BEV</t>
  </si>
  <si>
    <t>Eff.kgoe_per_100km.RO.Tr.Road.Freight</t>
  </si>
  <si>
    <t>Eff.kgoe_per_100km.RO.Tr.Road.Freight.LCV</t>
  </si>
  <si>
    <t>Eff.kgoe_per_100km.RO.Tr.Road.Freight.LCV.ICE.Gasoline</t>
  </si>
  <si>
    <t>Eff.kgoe_per_100km.RO.Tr.Road.Freight.LCV.ICE.Diesel</t>
  </si>
  <si>
    <t>Eff.kgoe_per_100km.RO.Tr.Road.Freight.LCV.ICE.LPG</t>
  </si>
  <si>
    <t>Eff.kgoe_per_100km.RO.Tr.Road.Freight.LCV.ICE.NGas</t>
  </si>
  <si>
    <t>Eff.kgoe_per_100km.RO.Tr.Road.Freight.LCV.BEV</t>
  </si>
  <si>
    <t>Eff.kgoe_per_100km.RO.Tr.Road.Freight.HGV_All</t>
  </si>
  <si>
    <t>Eff.kgoe_per_100km.RO.Tr.Road.Freight.HGV_Domestic</t>
  </si>
  <si>
    <t>Eff.kgoe_per_100km.RO.Tr.Road.Freight.HGV_International</t>
  </si>
  <si>
    <t>Eff.kgoe_per_kpkm.RO.Tr.Road.Passenger.Car.ICE.Gasoline</t>
  </si>
  <si>
    <t>Eff.kgoe_per_kpkm.RO.Tr.Road.Passenger.Car.ICE.Diesel</t>
  </si>
  <si>
    <t>Eff.kgoe_per_kpkm.RO.Tr.Road.Passenger.Car.ICE.LPG</t>
  </si>
  <si>
    <t>Eff.kgoe_per_kpkm.RO.Tr.Road.Passenger.Car.ICE.NGas</t>
  </si>
  <si>
    <t>Eff.kgoe_per_kpkm.RO.Tr.Road.Passenger.Car.PHEV.Gasoline</t>
  </si>
  <si>
    <t>Eff.kgoe_per_kpkm.RO.Tr.Road.Passenger.Car.BEV</t>
  </si>
  <si>
    <t>Eff.kgoe_per_kpkm.RO.Tr.Road.Passenger.Bus.ICE.Gasoline</t>
  </si>
  <si>
    <t>Eff.kgoe_per_kpkm.RO.Tr.Road.Passenger.Bus.ICE.Diesel</t>
  </si>
  <si>
    <t>Eff.kgoe_per_kpkm.RO.Tr.Road.Passenger.Bus.ICE.LPG</t>
  </si>
  <si>
    <t>Eff.kgoe_per_kpkm.RO.Tr.Road.Passenger.Bus.ICE.NGas</t>
  </si>
  <si>
    <t>Eff.kgoe_per_kpkm.RO.Tr.Road.Passenger.Bus.BEV</t>
  </si>
  <si>
    <t>Eff.kgoe_per_ktkm.RO.Tr.Road.Freight.LCV.ICE.Gasoline</t>
  </si>
  <si>
    <t>Eff.kgoe_per_ktkm.RO.Tr.Road.Freight.LCV.ICE.Diesel</t>
  </si>
  <si>
    <t>Eff.kgoe_per_ktkm.RO.Tr.Road.Freight.LCV.ICE.LPG</t>
  </si>
  <si>
    <t>Eff.kgoe_per_ktkm.RO.Tr.Road.Freight.LCV.ICE.NGas</t>
  </si>
  <si>
    <t>Eff.kgoe_per_ktkm.RO.Tr.Road.Freight.LCV.BEV</t>
  </si>
  <si>
    <t>Eff.kgoe_per_ktkm.RO.Tr.Road.Freight.HGV_Domestic</t>
  </si>
  <si>
    <t>Eff.kgoe_per_ktkm.RO.Tr.Road.Freight.HGV_International</t>
  </si>
  <si>
    <t>FEC_per_vehicle.kgoe.RO.Tr.Road.Passenger.P2W</t>
  </si>
  <si>
    <t>FEC_per_vehicle.kgoe.RO.Tr.Road.Passenger.Car</t>
  </si>
  <si>
    <t>FEC_per_vehicle.kgoe.RO.Tr.Road.Passenger.Car.ICE.Gasoline</t>
  </si>
  <si>
    <t>FEC_per_vehicle.kgoe.RO.Tr.Road.Passenger.Car.ICE.Diesel</t>
  </si>
  <si>
    <t>FEC_per_vehicle.kgoe.RO.Tr.Road.Passenger.Car.ICE.LPG</t>
  </si>
  <si>
    <t>FEC_per_vehicle.kgoe.RO.Tr.Road.Passenger.Car.ICE.NGas</t>
  </si>
  <si>
    <t>FEC_per_vehicle.kgoe.RO.Tr.Road.Passenger.Car.PHEV.Gasoline</t>
  </si>
  <si>
    <t>FEC_per_vehicle.kgoe.RO.Tr.Road.Passenger.Car.BEV</t>
  </si>
  <si>
    <t>FEC_per_vehicle.kgoe.RO.Tr.Road.Passenger.Bus</t>
  </si>
  <si>
    <t>FEC_per_vehicle.kgoe.RO.Tr.Road.Passenger.Bus.ICE.Gasoline</t>
  </si>
  <si>
    <t>FEC_per_vehicle.kgoe.RO.Tr.Road.Passenger.Bus.ICE.Diesel</t>
  </si>
  <si>
    <t>FEC_per_vehicle.kgoe.RO.Tr.Road.Passenger.Bus.ICE.LPG</t>
  </si>
  <si>
    <t>FEC_per_vehicle.kgoe.RO.Tr.Road.Passenger.Bus.ICE.NGas</t>
  </si>
  <si>
    <t>FEC_per_vehicle.kgoe.RO.Tr.Road.Passenger.Bus.BEV</t>
  </si>
  <si>
    <t>FEC_per_vehicle.kgoe.RO.Tr.Road.Freight.LCV</t>
  </si>
  <si>
    <t>FEC_per_vehicle.kgoe.RO.Tr.Road.Freight.LCV.ICE.Gasoline</t>
  </si>
  <si>
    <t>FEC_per_vehicle.kgoe.RO.Tr.Road.Freight.LCV.ICE.Diesel</t>
  </si>
  <si>
    <t>FEC_per_vehicle.kgoe.RO.Tr.Road.Freight.LCV.ICE.LPG</t>
  </si>
  <si>
    <t>FEC_per_vehicle.kgoe.RO.Tr.Road.Freight.LCV.ICE.NGas</t>
  </si>
  <si>
    <t>FEC_per_vehicle.kgoe.RO.Tr.Road.Freight.LCV.BEV</t>
  </si>
  <si>
    <t>FEC_per_vehicle.kgoe.RO.Tr.Road.Freight.HGV_All</t>
  </si>
  <si>
    <t>FEC_per_vehicle.kgoe.RO.Tr.Road.Freight.HGV_Domestic</t>
  </si>
  <si>
    <t>FEC_per_vehicle.kgoe.RO.Tr.Road.Freight.HGV_International</t>
  </si>
  <si>
    <t>Road transport / CO2 emissions - RO - Romania</t>
  </si>
  <si>
    <t>EMI.ktCO2.RO.ES.Tr.Road</t>
  </si>
  <si>
    <t>EMI.ktCO2.RO.ES.Tr.Road.LPG</t>
  </si>
  <si>
    <t>EMI.ktCO2.RO.ES.Tr.Road.Gasoline</t>
  </si>
  <si>
    <t>EMI.ktCO2.RO.ES.Tr.Road.Diesel</t>
  </si>
  <si>
    <t>EMI.ktCO2.RO.ES.Tr.Road.NG</t>
  </si>
  <si>
    <t>EMI.ktCO2.RO.ES.Tr.Road.Biogas</t>
  </si>
  <si>
    <t>EMI.ktCO2.RO.ES.Tr.Road.Biogasoline</t>
  </si>
  <si>
    <t>EMI.ktCO2.RO.ES.Tr.Road.Biodiesel</t>
  </si>
  <si>
    <t>EMI.ktCO2.RO.ES.Tr.Road.OthLiqBio</t>
  </si>
  <si>
    <t>EMI.ktCO2.RO.ES.Tr.Road.Elec</t>
  </si>
  <si>
    <t>EMI.ktCO2.RO.Tr.Road</t>
  </si>
  <si>
    <t>EMI.ktCO2.RO.Tr.Road.Passenger.Car.ICE.Gasoline</t>
  </si>
  <si>
    <t>EMI.ktCO2.RO.Tr.Road.Passenger.Car.ICE.Diesel</t>
  </si>
  <si>
    <t>EMI.ktCO2.RO.Tr.Road.Passenger.Car.ICE.LPG</t>
  </si>
  <si>
    <t>EMI.ktCO2.RO.Tr.Road.Passenger.Car.ICE.NGas</t>
  </si>
  <si>
    <t>EMI.ktCO2.RO.Tr.Road.Passenger.Car.PHEV.Gasoline</t>
  </si>
  <si>
    <t>EMI.ktCO2.RO.Tr.Road.Passenger.Car.BEV</t>
  </si>
  <si>
    <t>EMI.ktCO2.RO.Tr.Road.Passenger.Bus.ICE.Gasoline</t>
  </si>
  <si>
    <t>EMI.ktCO2.RO.Tr.Road.Passenger.Bus.ICE.Diesel</t>
  </si>
  <si>
    <t>EMI.ktCO2.RO.Tr.Road.Passenger.Bus.ICE.LPG</t>
  </si>
  <si>
    <t>EMI.ktCO2.RO.Tr.Road.Passenger.Bus.ICE.NGas</t>
  </si>
  <si>
    <t>EMI.ktCO2.RO.Tr.Road.Passenger.Bus.BEV</t>
  </si>
  <si>
    <t>EMI.ktCO2.RO.Tr.Road.Freight.LCV.ICE.Gasoline</t>
  </si>
  <si>
    <t>EMI.ktCO2.RO.Tr.Road.Freight.LCV.ICE.Diesel</t>
  </si>
  <si>
    <t>EMI.ktCO2.RO.Tr.Road.Freight.LCV.ICE.LPG</t>
  </si>
  <si>
    <t>EMI.ktCO2.RO.Tr.Road.Freight.LCV.ICE.NGas</t>
  </si>
  <si>
    <t>EMI.ktCO2.RO.Tr.Road.Freight.LCV.BEV</t>
  </si>
  <si>
    <t>EMI.ktCO2.RO.Tr.Road.Freight.HGV_Domestic</t>
  </si>
  <si>
    <t>EMI.ktCO2.RO.Tr.Road.Freight.HGV_International</t>
  </si>
  <si>
    <t>EMIint.gCO2_per_km.RO.Tr.Road</t>
  </si>
  <si>
    <t>EMIint.gCO2_per_km.RO.Tr.Road.Passenger</t>
  </si>
  <si>
    <t>EMIint.gCO2_per_km.RO.Tr.Road.Passenger.P2W</t>
  </si>
  <si>
    <t>EMIint.gCO2_per_km.RO.Tr.Road.Passenger.Car</t>
  </si>
  <si>
    <t>EMIint.gCO2_per_km.RO.Tr.Road.Passenger.Car.ICE.Gasoline</t>
  </si>
  <si>
    <t>EMIint.gCO2_per_km.RO.Tr.Road.Passenger.Car.ICE.Diesel</t>
  </si>
  <si>
    <t>EMIint.gCO2_per_km.RO.Tr.Road.Passenger.Car.ICE.LPG</t>
  </si>
  <si>
    <t>EMIint.gCO2_per_km.RO.Tr.Road.Passenger.Car.ICE.NGas</t>
  </si>
  <si>
    <t>EMIint.gCO2_per_km.RO.Tr.Road.Passenger.Car.PHEV.Gasoline</t>
  </si>
  <si>
    <t>EMIint.gCO2_per_km.RO.Tr.Road.Passenger.Car.BEV</t>
  </si>
  <si>
    <t>EMIint.gCO2_per_km.RO.Tr.Road.Passenger.Bus</t>
  </si>
  <si>
    <t>EMIint.gCO2_per_km.RO.Tr.Road.Passenger.Bus.ICE.Gasoline</t>
  </si>
  <si>
    <t>EMIint.gCO2_per_km.RO.Tr.Road.Passenger.Bus.ICE.Diesel</t>
  </si>
  <si>
    <t>EMIint.gCO2_per_km.RO.Tr.Road.Passenger.Bus.ICE.LPG</t>
  </si>
  <si>
    <t>EMIint.gCO2_per_km.RO.Tr.Road.Passenger.Bus.ICE.NGas</t>
  </si>
  <si>
    <t>EMIint.gCO2_per_km.RO.Tr.Road.Passenger.Bus.BEV</t>
  </si>
  <si>
    <t>EMIint.gCO2_per_km.RO.Tr.Road.Freight</t>
  </si>
  <si>
    <t>EMIint.gCO2_per_km.RO.Tr.Road.Freight.LCV</t>
  </si>
  <si>
    <t>EMIint.gCO2_per_km.RO.Tr.Road.Freight.LCV.ICE.Gasoline</t>
  </si>
  <si>
    <t>EMIint.gCO2_per_km.RO.Tr.Road.Freight.LCV.ICE.Diesel</t>
  </si>
  <si>
    <t>EMIint.gCO2_per_km.RO.Tr.Road.Freight.LCV.ICE.LPG</t>
  </si>
  <si>
    <t>EMIint.gCO2_per_km.RO.Tr.Road.Freight.LCV.ICE.NGas</t>
  </si>
  <si>
    <t>EMIint.gCO2_per_km.RO.Tr.Road.Freight.LCV.BEV</t>
  </si>
  <si>
    <t>EMIint.gCO2_per_km.RO.Tr.Road.Freight.HGV_All</t>
  </si>
  <si>
    <t>EMIint.gCO2_per_km.RO.Tr.Road.Freight.HGV_Domestic</t>
  </si>
  <si>
    <t>EMIint.gCO2_per_km.RO.Tr.Road.Freight.HGV_International</t>
  </si>
  <si>
    <t>EMIint.gCO2_per_pkm.RO.Tr.Road.Passenger.Car.ICE.Gasoline</t>
  </si>
  <si>
    <t>EMIint.gCO2_per_pkm.RO.Tr.Road.Passenger.Car.ICE.Diesel</t>
  </si>
  <si>
    <t>EMIint.gCO2_per_pkm.RO.Tr.Road.Passenger.Car.ICE.LPG</t>
  </si>
  <si>
    <t>EMIint.gCO2_per_pkm.RO.Tr.Road.Passenger.Car.ICE.NGas</t>
  </si>
  <si>
    <t>EMIint.gCO2_per_pkm.RO.Tr.Road.Passenger.Car.PHEV.Gasoline</t>
  </si>
  <si>
    <t>EMIint.gCO2_per_pkm.RO.Tr.Road.Passenger.Car.BEV</t>
  </si>
  <si>
    <t>EMIint.gCO2_per_pkm.RO.Tr.Road.Passenger.Bus.ICE.Gasoline</t>
  </si>
  <si>
    <t>EMIint.gCO2_per_pkm.RO.Tr.Road.Passenger.Bus.ICE.Diesel</t>
  </si>
  <si>
    <t>EMIint.gCO2_per_pkm.RO.Tr.Road.Passenger.Bus.ICE.LPG</t>
  </si>
  <si>
    <t>EMIint.gCO2_per_pkm.RO.Tr.Road.Passenger.Bus.ICE.NGas</t>
  </si>
  <si>
    <t>EMIint.gCO2_per_pkm.RO.Tr.Road.Passenger.Bus.BEV</t>
  </si>
  <si>
    <t>EMIint.gCO2_per_tkm.RO.Tr.Road.Freight.LCV.ICE.Gasoline</t>
  </si>
  <si>
    <t>EMIint.gCO2_per_tkm.RO.Tr.Road.Freight.LCV.ICE.Diesel</t>
  </si>
  <si>
    <t>EMIint.gCO2_per_tkm.RO.Tr.Road.Freight.LCV.ICE.LPG</t>
  </si>
  <si>
    <t>EMIint.gCO2_per_tkm.RO.Tr.Road.Freight.LCV.ICE.NGas</t>
  </si>
  <si>
    <t>EMIint.gCO2_per_tkm.RO.Tr.Road.Freight.LCV.BEV</t>
  </si>
  <si>
    <t>EMIint.gCO2_per_tkm.RO.Tr.Road.Freight.HGV_Domestic</t>
  </si>
  <si>
    <t>EMIint.gCO2_per_tkm.RO.Tr.Road.Freight.HGV_International</t>
  </si>
  <si>
    <t>EMI_per_vehicle.kgCO2.RO.Tr.Road.Passenger.P2W</t>
  </si>
  <si>
    <t>EMI_per_vehicle.kgCO2.RO.Tr.Road.Passenger.Car</t>
  </si>
  <si>
    <t>EMI_per_vehicle.kgCO2.RO.Tr.Road.Passenger.Car.ICE.Gasoline</t>
  </si>
  <si>
    <t>EMI_per_vehicle.kgCO2.RO.Tr.Road.Passenger.Car.ICE.Diesel</t>
  </si>
  <si>
    <t>EMI_per_vehicle.kgCO2.RO.Tr.Road.Passenger.Car.ICE.LPG</t>
  </si>
  <si>
    <t>EMI_per_vehicle.kgCO2.RO.Tr.Road.Passenger.Car.ICE.NGas</t>
  </si>
  <si>
    <t>EMI_per_vehicle.kgCO2.RO.Tr.Road.Passenger.Car.PHEV.Gasoline</t>
  </si>
  <si>
    <t>EMI_per_vehicle.kgCO2.RO.Tr.Road.Passenger.Car.BEV</t>
  </si>
  <si>
    <t>EMI_per_vehicle.kgCO2.RO.Tr.Road.Passenger.Bus</t>
  </si>
  <si>
    <t>EMI_per_vehicle.kgCO2.RO.Tr.Road.Passenger.Bus.ICE.Gasoline</t>
  </si>
  <si>
    <t>EMI_per_vehicle.kgCO2.RO.Tr.Road.Passenger.Bus.ICE.Diesel</t>
  </si>
  <si>
    <t>EMI_per_vehicle.kgCO2.RO.Tr.Road.Passenger.Bus.ICE.LPG</t>
  </si>
  <si>
    <t>EMI_per_vehicle.kgCO2.RO.Tr.Road.Passenger.Bus.ICE.NGas</t>
  </si>
  <si>
    <t>EMI_per_vehicle.kgCO2.RO.Tr.Road.Passenger.Bus.BEV</t>
  </si>
  <si>
    <t>EMI_per_vehicle.kgCO2.RO.Tr.Road.Freight.LCV</t>
  </si>
  <si>
    <t>EMI_per_vehicle.kgCO2.RO.Tr.Road.Freight.LCV.ICE.Gasoline</t>
  </si>
  <si>
    <t>EMI_per_vehicle.kgCO2.RO.Tr.Road.Freight.LCV.ICE.Diesel</t>
  </si>
  <si>
    <t>EMI_per_vehicle.kgCO2.RO.Tr.Road.Freight.LCV.ICE.LPG</t>
  </si>
  <si>
    <t>EMI_per_vehicle.kgCO2.RO.Tr.Road.Freight.LCV.ICE.NGas</t>
  </si>
  <si>
    <t>EMI_per_vehicle.kgCO2.RO.Tr.Road.Freight.LCV.BEV</t>
  </si>
  <si>
    <t>EMI_per_vehicle.kgCO2.RO.Tr.Road.Freight.HGV_All</t>
  </si>
  <si>
    <t>EMI_per_vehicle.kgCO2.RO.Tr.Road.Freight.HGV_Domestic</t>
  </si>
  <si>
    <t>EMI_per_vehicle.kgCO2.RO.Tr.Road.Freight.HGV_International</t>
  </si>
  <si>
    <t>Road transport / technologies - RO - Romania</t>
  </si>
  <si>
    <t>Stock.number.RO.Tr.Road.Freight.HGV_all</t>
  </si>
  <si>
    <t>StockVin.number.RO.Tr.Road</t>
  </si>
  <si>
    <t>StockVin.number.RO.Tr.Road.Passenger</t>
  </si>
  <si>
    <t>StockVin.number.RO.Tr.Road.Passenger.P2W</t>
  </si>
  <si>
    <t>StockVin.number.RO.Tr.Road.Passenger.Car</t>
  </si>
  <si>
    <t>StockVin.number.RO.Tr.Road.Passenger.Car.ICE.Gasoline</t>
  </si>
  <si>
    <t>StockVin.number.RO.Tr.Road.Passenger.Car.ICE.Diesel</t>
  </si>
  <si>
    <t>StockVin.number.RO.Tr.Road.Passenger.Car.ICE.LPG</t>
  </si>
  <si>
    <t>StockVin.number.RO.Tr.Road.Passenger.Car.ICE.NGas</t>
  </si>
  <si>
    <t>StockVin.number.RO.Tr.Road.Passenger.Car.PHEV.Gasoline</t>
  </si>
  <si>
    <t>StockVin.number.RO.Tr.Road.Passenger.Car.BEV</t>
  </si>
  <si>
    <t>StockVin.number.RO.Tr.Road.Passenger.Bus</t>
  </si>
  <si>
    <t>StockVin.number.RO.Tr.Road.Passenger.Bus.ICE.Gasoline</t>
  </si>
  <si>
    <t>StockVin.number.RO.Tr.Road.Passenger.Bus.ICE.Diesel</t>
  </si>
  <si>
    <t>StockVin.number.RO.Tr.Road.Passenger.Bus.ICE.LPG</t>
  </si>
  <si>
    <t>StockVin.number.RO.Tr.Road.Passenger.Bus.ICE.NGas</t>
  </si>
  <si>
    <t>StockVin.number.RO.Tr.Road.Passenger.Bus.BEV</t>
  </si>
  <si>
    <t>StockVin.number.RO.Tr.Road.Freight</t>
  </si>
  <si>
    <t>StockVin.number.RO.Tr.Road.Freight.LCV</t>
  </si>
  <si>
    <t>StockVin.number.RO.Tr.Road.Freight.LCV.ICE.Gasoline</t>
  </si>
  <si>
    <t>StockVin.number.RO.Tr.Road.Freight.LCV.ICE.Diesel</t>
  </si>
  <si>
    <t>StockVin.number.RO.Tr.Road.Freight.LCV.ICE.LPG</t>
  </si>
  <si>
    <t>StockVin.number.RO.Tr.Road.Freight.LCV.ICE.NGas</t>
  </si>
  <si>
    <t>StockVin.number.RO.Tr.Road.Freight.LCV.BEV</t>
  </si>
  <si>
    <t>StockVin.number.RO.Tr.Road.Freight.HGV_All</t>
  </si>
  <si>
    <t>StockVin.number.RO.Tr.Road.Freight.HGV_Domestic</t>
  </si>
  <si>
    <t>StockVin.number.RO.Tr.Road.Freight.HGV_International</t>
  </si>
  <si>
    <t>Eff_test_stock.kgoe_per_100km.RO.Tr.Road.Passenger.P2W</t>
  </si>
  <si>
    <t>Eff_test_stock.kgoe_per_100km.RO.Tr.Road.Passenger.Car</t>
  </si>
  <si>
    <t>Eff_test_stock.kgoe_per_100km.RO.Tr.Road.Passenger.Car.ICE.Gasoline</t>
  </si>
  <si>
    <t>Eff_test_stock.kgoe_per_100km.RO.Tr.Road.Passenger.Car.ICE.Diesel</t>
  </si>
  <si>
    <t>Eff_test_stock.kgoe_per_100km.RO.Tr.Road.Passenger.Car.ICE.LPG</t>
  </si>
  <si>
    <t>Eff_test_stock.kgoe_per_100km.RO.Tr.Road.Passenger.Car.ICE.NGas</t>
  </si>
  <si>
    <t>Eff_test_stock.kgoe_per_100km.RO.Tr.Road.Passenger.Car.PHEV.Gasoline</t>
  </si>
  <si>
    <t>Eff_test_stock.kgoe_per_100km.RO.Tr.Road.Passenger.Car.BEV</t>
  </si>
  <si>
    <t>Eff_test_stock.kgoe_per_100km.RO.Tr.Road.Passenger.Bus</t>
  </si>
  <si>
    <t>Eff_test_stock.kgoe_per_100km.RO.Tr.Road.Passenger.Bus.ICE.Gasoline</t>
  </si>
  <si>
    <t>Eff_test_stock.kgoe_per_100km.RO.Tr.Road.Passenger.Bus.ICE.Diesel</t>
  </si>
  <si>
    <t>Eff_test_stock.kgoe_per_100km.RO.Tr.Road.Passenger.Bus.ICE.LPG</t>
  </si>
  <si>
    <t>Eff_test_stock.kgoe_per_100km.RO.Tr.Road.Passenger.Bus.ICE.NGas</t>
  </si>
  <si>
    <t>Eff_test_stock.kgoe_per_100km.RO.Tr.Road.Passenger.Bus.BEV</t>
  </si>
  <si>
    <t>Eff_test_stock.kgoe_per_100km.RO.Tr.Road.Freight.LCV</t>
  </si>
  <si>
    <t>Eff_test_stock.kgoe_per_100km.RO.Tr.Road.Freight.LCV.ICE.Gasoline</t>
  </si>
  <si>
    <t>Eff_test_stock.kgoe_per_100km.RO.Tr.Road.Freight.LCV.ICE.Diesel</t>
  </si>
  <si>
    <t>Eff_test_stock.kgoe_per_100km.RO.Tr.Road.Freight.LCV.ICE.LPG</t>
  </si>
  <si>
    <t>Eff_test_stock.kgoe_per_100km.RO.Tr.Road.Freight.LCV.ICE.NGas</t>
  </si>
  <si>
    <t>Eff_test_stock.kgoe_per_100km.RO.Tr.Road.Freight.LCV.BEV</t>
  </si>
  <si>
    <t>Eff_test_stock.kgoe_per_100km.RO.Tr.Road.Freight.HGV_All</t>
  </si>
  <si>
    <t>Eff_test_stock.kgoe_per_100km.RO.Tr.Road.Freight.HGV_Domestic</t>
  </si>
  <si>
    <t>Eff_test_stock.kgoe_per_100km.RO.Tr.Road.Freight.HGV_International</t>
  </si>
  <si>
    <t>Eff_test_new.kgoe_per_100km.RO.Tr.Road.Passenger.P2W</t>
  </si>
  <si>
    <t>Eff_test_new.kgoe_per_100km.RO.Tr.Road.Passenger.Car</t>
  </si>
  <si>
    <t>Eff_test_new.kgoe_per_100km.RO.Tr.Road.Passenger.Car.ICE.Gasoline</t>
  </si>
  <si>
    <t>Eff_test_new.kgoe_per_100km.RO.Tr.Road.Passenger.Car.ICE.Diesel</t>
  </si>
  <si>
    <t>Eff_test_new.kgoe_per_100km.RO.Tr.Road.Passenger.Car.ICE.LPG</t>
  </si>
  <si>
    <t>Eff_test_new.kgoe_per_100km.RO.Tr.Road.Passenger.Car.ICE.NGas</t>
  </si>
  <si>
    <t>Eff_test_new.kgoe_per_100km.RO.Tr.Road.Passenger.Car.PHEV.Gasoline</t>
  </si>
  <si>
    <t>Eff_test_new.kgoe_per_100km.RO.Tr.Road.Passenger.Car.BEV</t>
  </si>
  <si>
    <t>Eff_test_new.kgoe_per_100km.RO.Tr.Road.Passenger.Bus</t>
  </si>
  <si>
    <t>Eff_test_new.kgoe_per_100km.RO.Tr.Road.Passenger.Bus.ICE.Gasoline</t>
  </si>
  <si>
    <t>Eff_test_new.kgoe_per_100km.RO.Tr.Road.Passenger.Bus.ICE.Diesel</t>
  </si>
  <si>
    <t>Eff_test_new.kgoe_per_100km.RO.Tr.Road.Passenger.Bus.ICE.LPG</t>
  </si>
  <si>
    <t>Eff_test_new.kgoe_per_100km.RO.Tr.Road.Passenger.Bus.ICE.NGas</t>
  </si>
  <si>
    <t>Eff_test_new.kgoe_per_100km.RO.Tr.Road.Passenger.Bus.BEV</t>
  </si>
  <si>
    <t>Eff_test_new.kgoe_per_100km.RO.Tr.Road.Freight.LCV</t>
  </si>
  <si>
    <t>Eff_test_new.kgoe_per_100km.RO.Tr.Road.Freight.LCV.ICE.Gasoline</t>
  </si>
  <si>
    <t>Eff_test_new.kgoe_per_100km.RO.Tr.Road.Freight.LCV.ICE.Diesel</t>
  </si>
  <si>
    <t>Eff_test_new.kgoe_per_100km.RO.Tr.Road.Freight.LCV.ICE.LPG</t>
  </si>
  <si>
    <t>Eff_test_new.kgoe_per_100km.RO.Tr.Road.Freight.LCV.ICE.NGas</t>
  </si>
  <si>
    <t>Eff_test_new.kgoe_per_100km.RO.Tr.Road.Freight.LCV.BEV</t>
  </si>
  <si>
    <t>Eff_test_new.kgoe_per_100km.RO.Tr.Road.Freight.HGV_All</t>
  </si>
  <si>
    <t>Eff_test_new.kgoe_per_100km.RO.Tr.Road.Freight.HGV_Domestic</t>
  </si>
  <si>
    <t>Eff_test_new.kgoe_per_100km.RO.Tr.Road.Freight.HGV_International</t>
  </si>
  <si>
    <t>EMIint_test_stock.gCO2_per_km.RO.Tr.Road.Passenger.P2W</t>
  </si>
  <si>
    <t>EMIint_test_stock.gCO2_per_km.RO.Tr.Road.Passenger.Car</t>
  </si>
  <si>
    <t>EMIint_test_stock.gCO2_per_km.RO.Tr.Road.Passenger.Car.ICE.Gasoline</t>
  </si>
  <si>
    <t>EMIint_test_stock.gCO2_per_km.RO.Tr.Road.Passenger.Car.ICE.Diesel</t>
  </si>
  <si>
    <t>EMIint_test_stock.gCO2_per_km.RO.Tr.Road.Passenger.Car.ICE.LPG</t>
  </si>
  <si>
    <t>EMIint_test_stock.gCO2_per_km.RO.Tr.Road.Passenger.Car.ICE.NGas</t>
  </si>
  <si>
    <t>EMIint_test_stock.gCO2_per_km.RO.Tr.Road.Passenger.Car.PHEV.Gasoline</t>
  </si>
  <si>
    <t>EMIint_test_stock.gCO2_per_km.RO.Tr.Road.Passenger.Car.BEV</t>
  </si>
  <si>
    <t>EMIint_test_stock.gCO2_per_km.RO.Tr.Road.Passenger.Bus</t>
  </si>
  <si>
    <t>EMIint_test_stock.gCO2_per_km.RO.Tr.Road.Passenger.Bus.ICE.Gasoline</t>
  </si>
  <si>
    <t>EMIint_test_stock.gCO2_per_km.RO.Tr.Road.Passenger.Bus.ICE.Diesel</t>
  </si>
  <si>
    <t>EMIint_test_stock.gCO2_per_km.RO.Tr.Road.Passenger.Bus.ICE.LPG</t>
  </si>
  <si>
    <t>EMIint_test_stock.gCO2_per_km.RO.Tr.Road.Passenger.Bus.ICE.NGas</t>
  </si>
  <si>
    <t>EMIint_test_stock.gCO2_per_km.RO.Tr.Road.Passenger.Bus.BEV</t>
  </si>
  <si>
    <t>EMIint_test_stock.gCO2_per_km.RO.Tr.Road.Freight.LCV</t>
  </si>
  <si>
    <t>EMIint_test_stock.gCO2_per_km.RO.Tr.Road.Freight.LCV.ICE.Gasoline</t>
  </si>
  <si>
    <t>EMIint_test_stock.gCO2_per_km.RO.Tr.Road.Freight.LCV.ICE.Diesel</t>
  </si>
  <si>
    <t>EMIint_test_stock.gCO2_per_km.RO.Tr.Road.Freight.LCV.ICE.LPG</t>
  </si>
  <si>
    <t>EMIint_test_stock.gCO2_per_km.RO.Tr.Road.Freight.LCV.ICE.NGas</t>
  </si>
  <si>
    <t>EMIint_test_stock.gCO2_per_km.RO.Tr.Road.Freight.LCV.BEV</t>
  </si>
  <si>
    <t>EMIint_test_stock.gCO2_per_km.RO.Tr.Road.Freight.HGV_All</t>
  </si>
  <si>
    <t>EMIint_test_stock.gCO2_per_km.RO.Tr.Road.Freight.HGV_Domestic</t>
  </si>
  <si>
    <t>EMIint_test_stock.gCO2_per_km.RO.Tr.Road.Freight.HGV_International</t>
  </si>
  <si>
    <t>EMIint_test_new.gCO2_per_km.RO.Tr.Road.Passenger.P2W</t>
  </si>
  <si>
    <t>EMIint_test_new.gCO2_per_km.RO.Tr.Road.Passenger.Car</t>
  </si>
  <si>
    <t>EMIint_test_new.gCO2_per_km.RO.Tr.Road.Passenger.Car.ICE.Gasoline</t>
  </si>
  <si>
    <t>EMIint_test_new.gCO2_per_km.RO.Tr.Road.Passenger.Car.ICE.Diesel</t>
  </si>
  <si>
    <t>EMIint_test_new.gCO2_per_km.RO.Tr.Road.Passenger.Car.ICE.LPG</t>
  </si>
  <si>
    <t>EMIint_test_new.gCO2_per_km.RO.Tr.Road.Passenger.Car.ICE.NGas</t>
  </si>
  <si>
    <t>EMIint_test_new.gCO2_per_km.RO.Tr.Road.Passenger.Car.PHEV.Gasoline</t>
  </si>
  <si>
    <t>EMIint_test_new.gCO2_per_km.RO.Tr.Road.Passenger.Car.BEV</t>
  </si>
  <si>
    <t>EMIint_test_new.gCO2_per_km.RO.Tr.Road.Passenger.Bus</t>
  </si>
  <si>
    <t>EMIint_test_new.gCO2_per_km.RO.Tr.Road.Passenger.Bus.ICE.Gasoline</t>
  </si>
  <si>
    <t>EMIint_test_new.gCO2_per_km.RO.Tr.Road.Passenger.Bus.ICE.Diesel</t>
  </si>
  <si>
    <t>EMIint_test_new.gCO2_per_km.RO.Tr.Road.Passenger.Bus.ICE.LPG</t>
  </si>
  <si>
    <t>EMIint_test_new.gCO2_per_km.RO.Tr.Road.Passenger.Bus.ICE.NGas</t>
  </si>
  <si>
    <t>EMIint_test_new.gCO2_per_km.RO.Tr.Road.Passenger.Bus.BEV</t>
  </si>
  <si>
    <t>EMIint_test_new.gCO2_per_km.RO.Tr.Road.Freight.LCV</t>
  </si>
  <si>
    <t>EMIint_test_new.gCO2_per_km.RO.Tr.Road.Freight.LCV.ICE.Gasoline</t>
  </si>
  <si>
    <t>EMIint_test_new.gCO2_per_km.RO.Tr.Road.Freight.LCV.ICE.Diesel</t>
  </si>
  <si>
    <t>EMIint_test_new.gCO2_per_km.RO.Tr.Road.Freight.LCV.ICE.LPG</t>
  </si>
  <si>
    <t>EMIint_test_new.gCO2_per_km.RO.Tr.Road.Freight.LCV.ICE.NGas</t>
  </si>
  <si>
    <t>EMIint_test_new.gCO2_per_km.RO.Tr.Road.Freight.LCV.BEV</t>
  </si>
  <si>
    <t>EMIint_test_new.gCO2_per_km.RO.Tr.Road.Freight.HGV_All</t>
  </si>
  <si>
    <t>EMIint_test_new.gCO2_per_km.RO.Tr.Road.Freight.HGV_Domestic</t>
  </si>
  <si>
    <t>EMIint_test_new.gCO2_per_km.RO.Tr.Road.Freight.HGV_International</t>
  </si>
  <si>
    <t>FEC.ktoe.RO.MBunk</t>
  </si>
  <si>
    <t>FEC.ktoe.RO.MBunk.IntraEEA</t>
  </si>
  <si>
    <t>FEC.ktoe.RO.MBunk.ExtraEEA</t>
  </si>
  <si>
    <t>EMI.ktCO2.RO.MBunk</t>
  </si>
  <si>
    <t>EMI.ktCO2.RO.MBunk.IntraEEA</t>
  </si>
  <si>
    <t>EMI.ktCO2.RO.MBunk.ExtraEEA</t>
  </si>
  <si>
    <t>International maritime bunkers - RO - Romania</t>
  </si>
  <si>
    <t>VehicleKm.Mkm.RO.MBunk.Freight</t>
  </si>
  <si>
    <t>VehicleKm.Mkm.RO.MBunk.Freight.IntraEEA</t>
  </si>
  <si>
    <t>VehicleKm.Mkm.RO.MBunk.Freight.ExtraEEA</t>
  </si>
  <si>
    <t>Load.t_per_movement.RO.MBunk.Freight</t>
  </si>
  <si>
    <t>Load.t_per_movement.RO.MBunk.Freight.IntraEEA</t>
  </si>
  <si>
    <t>Load.t_per_movement.RO.MBunk.Freight.ExtraEEA</t>
  </si>
  <si>
    <t>International maritime bunkers / energy consumption - RO - Romania</t>
  </si>
  <si>
    <t>FEC.ktoe.RO.ES.MBunk</t>
  </si>
  <si>
    <t>FEC.ktoe.RO.ES.MBunk.IntraEEA</t>
  </si>
  <si>
    <t>FEC.ktoe.RO.ES.MBunk.IntraEEA.Diesel</t>
  </si>
  <si>
    <t>FEC.ktoe.RO.ES.MBunk.IntraEEA.RFO_Other</t>
  </si>
  <si>
    <t>FEC.ktoe.RO.ES.MBunk.IntraEEA.LiqBio</t>
  </si>
  <si>
    <t>FEC.ktoe.RO.ES.MBunk.IntraEEA.NG</t>
  </si>
  <si>
    <t>FEC.ktoe.RO.ES.MBunk.IntraEEA.Biogas</t>
  </si>
  <si>
    <t>FEC.ktoe.RO.ES.MBunk.ExtraEEA</t>
  </si>
  <si>
    <t>FEC.ktoe.RO.ES.MBunk.ExtraEEA.Diesel</t>
  </si>
  <si>
    <t>FEC.ktoe.RO.ES.MBunk.ExtraEEA.RFO_Other</t>
  </si>
  <si>
    <t>FEC.ktoe.RO.ES.MBunk.ExtraEEA.LiqBio</t>
  </si>
  <si>
    <t>FEC.ktoe.RO.ES.MBunk.ExtraEEA.NG</t>
  </si>
  <si>
    <t>FEC.ktoe.RO.ES.MBunk.ExtraEEA.Biogas</t>
  </si>
  <si>
    <t>Eff.kgoe_per_100km.RO.MBunk.Freight</t>
  </si>
  <si>
    <t>Eff.kgoe_per_100km.RO.MBunk.Freight.IntraEEA</t>
  </si>
  <si>
    <t>Eff.kgoe_per_100km.RO.MBunk.Freight.ExtraEEA</t>
  </si>
  <si>
    <t>International maritime bunkers / CO2 emissions - RO - Romania</t>
  </si>
  <si>
    <t>EMI.ktCO2.RO.ES.MBunk</t>
  </si>
  <si>
    <t>EMI.ktCO2.RO.ES.MBunk.IntraEEA</t>
  </si>
  <si>
    <t>EMI.ktCO2.RO.ES.MBunk.ExtraEEA</t>
  </si>
  <si>
    <t>EMIint.gCO2_per_km.RO.MBunk.Freight</t>
  </si>
  <si>
    <t>EMIint.gCO2_per_km.RO.MBunk.Freight.IntraEEA</t>
  </si>
  <si>
    <t>EMIint.gCO2_per_km.RO.MBunk.Freight.ExtraEEA</t>
  </si>
  <si>
    <t>FEC.ktoe.RO.Tr.DNavi</t>
  </si>
  <si>
    <t>FEC.ktoe.RO.Tr.Dnavi.DCS</t>
  </si>
  <si>
    <t>FEC.ktoe.RO.Tr.Dnavi.IWW</t>
  </si>
  <si>
    <t>EMI.ktCO2.RO.Tr.DNavi</t>
  </si>
  <si>
    <t>EMI.ktCO2.RO.Tr.Dnavi.DCS</t>
  </si>
  <si>
    <t>EMI.ktCO2.RO.Tr.Dnavi.IWW</t>
  </si>
  <si>
    <t>Domestic navigation - RO - Romania</t>
  </si>
  <si>
    <t>VehicleKm.Mkm.RO.Tr.DNavi.Freight</t>
  </si>
  <si>
    <t>VehicleKm.Mkm.RO.Tr.DNavi.Freight.DCS</t>
  </si>
  <si>
    <t>VehicleKm.Mkm.RO.Tr.DNavi.Freight.IWW</t>
  </si>
  <si>
    <t>Load.t_per_movement.RO.Tr.DNavi.Freight</t>
  </si>
  <si>
    <t>Load.t_per_movement.RO.Tr.DNavi.Freight.DCS</t>
  </si>
  <si>
    <t>Load.t_per_movement.RO.Tr.DNavi.Freight.IWW</t>
  </si>
  <si>
    <t>Domestic navigation / energy consumption - RO - Romania</t>
  </si>
  <si>
    <t>FEC.ktoe.RO.ES.Tr.DNavi</t>
  </si>
  <si>
    <t>FEC.ktoe.RO.ES.Tr.DNavi.DCS</t>
  </si>
  <si>
    <t>FEC.ktoe.RO.ES.Tr.DNavi.DCS.Diesel</t>
  </si>
  <si>
    <t>FEC.ktoe.RO.ES.Tr.DNavi.DCS.RFO_Other</t>
  </si>
  <si>
    <t>FEC.ktoe.RO.ES.Tr.DNavi.DCS.LiqBio</t>
  </si>
  <si>
    <t>FEC.ktoe.RO.ES.Tr.DNavi.DCS.NG</t>
  </si>
  <si>
    <t>FEC.ktoe.RO.ES.Tr.DNavi.DCS.Biogas</t>
  </si>
  <si>
    <t>FEC.ktoe.RO.ES.Tr.DNavi.IWW</t>
  </si>
  <si>
    <t>FEC.ktoe.RO.ES.Tr.DNavi.IWW.Diesel</t>
  </si>
  <si>
    <t>FEC.ktoe.RO.ES.Tr.DNavi.IWW.RFO_Other</t>
  </si>
  <si>
    <t>FEC.ktoe.RO.ES.Tr.DNavi.IWW.LiqBio</t>
  </si>
  <si>
    <t>FEC.ktoe.RO.ES.Tr.DNavi.IWW.NG</t>
  </si>
  <si>
    <t>FEC.ktoe.RO.ES.Tr.DNavi.IWW.Biogas</t>
  </si>
  <si>
    <t>Eff.kgoe_per_100km.RO.Tr.DNavi.Freight</t>
  </si>
  <si>
    <t>Eff.kgoe_per_100km.RO.Tr.DNavi.Freight.DCS</t>
  </si>
  <si>
    <t>Eff.kgoe_per_100km.RO.Tr.DNavi.Freight.IWW</t>
  </si>
  <si>
    <t>Domestic navigation / CO2 emissions - RO - Romania</t>
  </si>
  <si>
    <t>EMI.ktCO2.RO.ES.Tr.DNavi</t>
  </si>
  <si>
    <t>EMI.ktCO2.RO.ES.Tr.DNavi.DCS</t>
  </si>
  <si>
    <t>EMI.ktCO2.RO.ES.Tr.DNavi.IWW</t>
  </si>
  <si>
    <t>EMIint.gCO2_per_km.RO.Tr.DNavi.Freight</t>
  </si>
  <si>
    <t>EMIint.gCO2_per_km.RO.Tr.DNavi.Freight.DCS</t>
  </si>
  <si>
    <t>EMIint.gCO2_per_km.RO.Tr.DNavi.Freight.IWW</t>
  </si>
  <si>
    <t>Rail, metro and tram - RO - Romania</t>
  </si>
  <si>
    <t>Activity.Mpkm.RO.Tr.Rail.Passenger.CPT.Diesel</t>
  </si>
  <si>
    <t>Activity.Mpkm.RO.Tr.Rail.Passenger.CPT.Elc</t>
  </si>
  <si>
    <t>Activity.Mtkm.RO.Tr.Rail.Freight.Diesel</t>
  </si>
  <si>
    <t>Activity.Mtkm.RO.Tr.Rail.Freight.Elc</t>
  </si>
  <si>
    <t>VehicleKm.Mkm.RO.Tr.Rail</t>
  </si>
  <si>
    <t>VehicleKm.Mkm.RO.Tr.Rail.Passenger</t>
  </si>
  <si>
    <t>VehicleKm.Mkm.RO.Tr.Rail.Passenger.MTU</t>
  </si>
  <si>
    <t>VehicleKm.Mkm.RO.Tr.Rail.Passenger.CPT</t>
  </si>
  <si>
    <t>VehicleKm.Mkm.RO.Tr.Rail.Passenger.CPT.Diesel</t>
  </si>
  <si>
    <t>VehicleKm.Mkm.RO.Tr.Rail.Passenger.CPT.Elc</t>
  </si>
  <si>
    <t>VehicleKm.Mkm.RO.Tr.Rail.Passenger.HST</t>
  </si>
  <si>
    <t>VehicleKm.Mkm.RO.Tr.Rail.Freight</t>
  </si>
  <si>
    <t>VehicleKm.Mkm.RO.Tr.Rail.Freight.Diesel</t>
  </si>
  <si>
    <t>VehicleKm.Mkm.RO.Tr.Rail.Freight.Elc</t>
  </si>
  <si>
    <t>Stock.number.RO.Tr.Rail</t>
  </si>
  <si>
    <t>Stock.number.RO.Tr.Rail.Passenger</t>
  </si>
  <si>
    <t>Stock.number.RO.Tr.Rail.Passenger.MTU</t>
  </si>
  <si>
    <t>Stock.number.RO.Tr.Rail.Passenger.CPT</t>
  </si>
  <si>
    <t>Stock.number.RO.Tr.Rail.Passenger.CPT.Diesel</t>
  </si>
  <si>
    <t>Stock.number.RO.Tr.Rail.Passenger.CPT.Elc</t>
  </si>
  <si>
    <t>Stock.number.RO.Tr.Rail.Passenger.HST</t>
  </si>
  <si>
    <t>Stock.number.RO.Tr.Rail.Freight</t>
  </si>
  <si>
    <t>Stock.number.RO.Tr.Rail.Freight.Diesel</t>
  </si>
  <si>
    <t>Stock.number.RO.Tr.Rail.Freight.Elc</t>
  </si>
  <si>
    <t>StockNew.number.RO.Tr.Rail</t>
  </si>
  <si>
    <t>StockNew.number.RO.Tr.Rail.Passenger</t>
  </si>
  <si>
    <t>StockNew.number.RO.Tr.Rail.Passenger.MTU</t>
  </si>
  <si>
    <t>StockNew.number.RO.Tr.Rail.Passenger.CPT</t>
  </si>
  <si>
    <t>StockNew.number.RO.Tr.Rail.Passenger.CPT.Diesel</t>
  </si>
  <si>
    <t>StockNew.number.RO.Tr.Rail.Passenger.CPT.Elc</t>
  </si>
  <si>
    <t>StockNew.number.RO.Tr.Rail.Passenger.HST</t>
  </si>
  <si>
    <t>StockNew.number.RO.Tr.Rail.Freight</t>
  </si>
  <si>
    <t>StockNew.number.RO.Tr.Rail.Freight.Diesel</t>
  </si>
  <si>
    <t>StockNew.number.RO.Tr.Rail.Freight.Elc</t>
  </si>
  <si>
    <t>Load.passenger_per_movement.RO.Tr.Rail.Passenger</t>
  </si>
  <si>
    <t>Load.passenger_per_movement.RO.Tr.Rail.Passenger.MTU</t>
  </si>
  <si>
    <t>Load.passenger_per_movement.RO.Tr.Rail.Passenger.CPT</t>
  </si>
  <si>
    <t>Load.passenger_per_movement.RO.Tr.Rail.Passenger.CPT.Diesel</t>
  </si>
  <si>
    <t>Load.passenger_per_movement.RO.Tr.Rail.Passenger.CPT.Elc</t>
  </si>
  <si>
    <t>Load.passenger_per_movement.RO.Tr.Rail.Passenger.HST</t>
  </si>
  <si>
    <t>Load.t_per_movement.RO.Tr.Rail.Freight</t>
  </si>
  <si>
    <t>Load.t_per_movement.RO.Tr.Rail.Freight.Diesel</t>
  </si>
  <si>
    <t>Load.t_per_movement.RO.Tr.Rail.Freight.Elc</t>
  </si>
  <si>
    <t>TrCap.seats.RO.Tr.Rail.Passenger</t>
  </si>
  <si>
    <t>TrCap.seats.RO.Tr.Rail.Passenger.MTU</t>
  </si>
  <si>
    <t>TrCap.seats.RO.Tr.Rail.Passenger.CPT</t>
  </si>
  <si>
    <t>TrCap.seats.RO.Tr.Rail.Passenger.CPT.Diesel</t>
  </si>
  <si>
    <t>TrCap.seats.RO.Tr.Rail.Passenger.CPT.Elc</t>
  </si>
  <si>
    <t>TrCap.seats.RO.Tr.Rail.Passenger.HST</t>
  </si>
  <si>
    <t>TrCap.t.RO.Tr.Rail.Freight</t>
  </si>
  <si>
    <t>TrCap.t.RO.Tr.Rail.Freight.Diesel</t>
  </si>
  <si>
    <t>TrCap.t.RO.Tr.Rail.Freight.Elc</t>
  </si>
  <si>
    <t>VehicleKm_per_vehicle.km.RO.Tr.Rail</t>
  </si>
  <si>
    <t>VehicleKm_per_vehicle.km.RO.Tr.Rail.Passenger</t>
  </si>
  <si>
    <t>VehicleKm_per_vehicle.km.RO.Tr.Rail.Passenger.MTU</t>
  </si>
  <si>
    <t>VehicleKm_per_vehicle.km.RO.Tr.Rail.Passenger.CPT</t>
  </si>
  <si>
    <t>VehicleKm_per_vehicle.km.RO.Tr.Rail.Passenger.CPT.Diesel</t>
  </si>
  <si>
    <t>VehicleKm_per_vehicle.km.RO.Tr.Rail.Passenger.CPT.Elc</t>
  </si>
  <si>
    <t>VehicleKm_per_vehicle.km.RO.Tr.Rail.Passenger.HST</t>
  </si>
  <si>
    <t>VehicleKm_per_vehicle.km.RO.Tr.Rail.Freight</t>
  </si>
  <si>
    <t>VehicleKm_per_vehicle.km.RO.Tr.Rail.Freight.Diesel</t>
  </si>
  <si>
    <t>VehicleKm_per_vehicle.km.RO.Tr.Rail.Freight.Elc</t>
  </si>
  <si>
    <t>Activity_per_vehicle.pkm.RO.Tr.Rail.Passenger</t>
  </si>
  <si>
    <t>Activity_per_vehicle.pkm.RO.Tr.Rail.Passenger.MTU</t>
  </si>
  <si>
    <t>Activity_per_vehicle.pkm.RO.Tr.Rail.Passenger.CPT</t>
  </si>
  <si>
    <t>Activity_per_vehicle.pkm.RO.Tr.Rail.Passenger.CPT.Diesel</t>
  </si>
  <si>
    <t>Activity_per_vehicle.pkm.RO.Tr.Rail.Passenger.CPT.Elc</t>
  </si>
  <si>
    <t>Activity_per_vehicle.pkm.RO.Tr.Rail.Passenger.HST</t>
  </si>
  <si>
    <t>Activity_per_vehicle.tkm.RO.Tr.Rail.Freight</t>
  </si>
  <si>
    <t>Activity_per_vehicle.tkm.RO.Tr.Rail.Freight.Diesel</t>
  </si>
  <si>
    <t>Activity_per_vehicle.tkm.RO.Tr.Rail.Freight.Elc</t>
  </si>
  <si>
    <t>Rail, metro and tram / energy consumption - RO - Romania</t>
  </si>
  <si>
    <t>FEC.ktoe.RO.ES.Tr.Rail</t>
  </si>
  <si>
    <t>FEC.ktoe.RO.ES.Tr.Rail.Diesel</t>
  </si>
  <si>
    <t>FEC.ktoe.RO.ES.Tr.Rail.LiqBio</t>
  </si>
  <si>
    <t>FEC.ktoe.RO.ES.Tr.Rail.Elec</t>
  </si>
  <si>
    <t>FEC.ktoe.RO.Tr.Rail</t>
  </si>
  <si>
    <t>FEC.ktoe.RO.Tr.Rail.Passenger.CPT.Diesel</t>
  </si>
  <si>
    <t>FEC.ktoe.RO.Tr.Rail.Passenger.CPT.Elc</t>
  </si>
  <si>
    <t>FEC.ktoe.RO.Tr.Rail.Freight.Diesel</t>
  </si>
  <si>
    <t>FEC.ktoe.RO.Tr.Rail.Freight.Elc</t>
  </si>
  <si>
    <t>Eff.kgoe_per_100km.RO.Tr.Rail</t>
  </si>
  <si>
    <t>Eff.kgoe_per_100km.RO.Tr.Rail.Passenger</t>
  </si>
  <si>
    <t>Eff.kgoe_per_100km.RO.Tr.Rail.Passenger.MTU</t>
  </si>
  <si>
    <t>Eff.kgoe_per_100km.RO.Tr.Rail.Passenger.CPT</t>
  </si>
  <si>
    <t>Eff.kgoe_per_100km.RO.Tr.Rail.Passenger.CPT.Diesel</t>
  </si>
  <si>
    <t>Eff.kgoe_per_100km.RO.Tr.Rail.Passenger.CPT.Elc</t>
  </si>
  <si>
    <t>Eff.kgoe_per_100km.RO.Tr.Rail.Passenger.HST</t>
  </si>
  <si>
    <t>Eff.kgoe_per_100km.RO.Tr.Rail.Freight</t>
  </si>
  <si>
    <t>Eff.kgoe_per_100km.RO.Tr.Rail.Freight.Diesel</t>
  </si>
  <si>
    <t>Eff.kgoe_per_100km.RO.Tr.Rail.Freight.Elc</t>
  </si>
  <si>
    <t>Eff.kgoe_per_kpkm.RO.Tr.Rail.Passenger.CPT.Diesel</t>
  </si>
  <si>
    <t>Eff.kgoe_per_kpkm.RO.Tr.Rail.Passenger.CPT.Elc</t>
  </si>
  <si>
    <t>Eff.kgoe_per_ktkm.RO.Tr.Rail.Freight.Diesel</t>
  </si>
  <si>
    <t>Eff.kgoe_per_ktkm.RO.Tr.Rail.Freight.Elc</t>
  </si>
  <si>
    <t>FEC_per_vehicle.kgoe.RO.Tr.Rail</t>
  </si>
  <si>
    <t>FEC_per_vehicle.kgoe.RO.Tr.Rail.Passenger</t>
  </si>
  <si>
    <t>FEC_per_vehicle.kgoe.RO.Tr.Rail.Passenger.MTU</t>
  </si>
  <si>
    <t>FEC_per_vehicle.kgoe.RO.Tr.Rail.Passenger.CPT</t>
  </si>
  <si>
    <t>FEC_per_vehicle.kgoe.RO.Tr.Rail.Passenger.CPT.Diesel</t>
  </si>
  <si>
    <t>FEC_per_vehicle.kgoe.RO.Tr.Rail.Passenger.CPT.Elc</t>
  </si>
  <si>
    <t>FEC_per_vehicle.kgoe.RO.Tr.Rail.Passenger.HST</t>
  </si>
  <si>
    <t>FEC_per_vehicle.kgoe.RO.Tr.Rail.Freight</t>
  </si>
  <si>
    <t>FEC_per_vehicle.kgoe.RO.Tr.Rail.Freight.Diesel</t>
  </si>
  <si>
    <t>FEC_per_vehicle.kgoe.RO.Tr.Rail.Freight.Elc</t>
  </si>
  <si>
    <t>Rail, metro and tram / CO2 emissions - RO - Romania</t>
  </si>
  <si>
    <t>EMI.ktCO2.RO.ES.Tr.Rail</t>
  </si>
  <si>
    <t>EMI.ktCO2.RO.ES.Tr.Rail.Diesel</t>
  </si>
  <si>
    <t>EMI.ktCO2.RO.ES.Tr.Rail.Elec</t>
  </si>
  <si>
    <t>EMI.ktCO2.RO.Tr.Rail</t>
  </si>
  <si>
    <t>EMI.ktCO2.RO.Tr.Rail.Passenger.CPT.Diesel</t>
  </si>
  <si>
    <t>EMI.ktCO2.RO.Tr.Rail.Passenger.CPT.Elc</t>
  </si>
  <si>
    <t>EMI.ktCO2.RO.Tr.Rail.Freight.Diesel</t>
  </si>
  <si>
    <t>EMI.ktCO2.RO.Tr.Rail.Freight.Elc</t>
  </si>
  <si>
    <t>EMIint.gCO2_per_km.RO.Tr.Rail</t>
  </si>
  <si>
    <t>EMIint.gCO2_per_km.RO.Tr.Rail.Passenger</t>
  </si>
  <si>
    <t>EMIint.gCO2_per_km.RO.Tr.Rail.Passenger.MTU</t>
  </si>
  <si>
    <t>EMIint.gCO2_per_km.RO.Tr.Rail.Passenger.CPT</t>
  </si>
  <si>
    <t>EMIint.gCO2_per_km.RO.Tr.Rail.Passenger.CPT.Diesel</t>
  </si>
  <si>
    <t>EMIint.gCO2_per_km.RO.Tr.Rail.Passenger.CPT.Elc</t>
  </si>
  <si>
    <t>EMIint.gCO2_per_km.RO.Tr.Rail.Passenger.HST</t>
  </si>
  <si>
    <t>EMIint.gCO2_per_km.RO.Tr.Rail.Freight</t>
  </si>
  <si>
    <t>EMIint.gCO2_per_km.RO.Tr.Rail.Freight.Diesel</t>
  </si>
  <si>
    <t>EMIint.gCO2_per_km.RO.Tr.Rail.Freight.Elc</t>
  </si>
  <si>
    <t>EMIint.gCO2_per_pkm.RO.Tr.Rail.Passenger.CPT.Diesel</t>
  </si>
  <si>
    <t>EMIint.gCO2_per_pkm.RO.Tr.Rail.Passenger.CPT.Elc</t>
  </si>
  <si>
    <t>EMIint.gCO2_per_tkm.RO.Tr.Rail.Freight.Diesel</t>
  </si>
  <si>
    <t>EMIint.gCO2_per_tkm.RO.Tr.Rail.Freight.Elc</t>
  </si>
  <si>
    <t>EMI_per_vehicle.tCO2.RO.Tr.Rail</t>
  </si>
  <si>
    <t>EMI_per_vehicle.tCO2.RO.Tr.Rail.Passenger</t>
  </si>
  <si>
    <t>EMI_per_vehicle.tCO2.RO.Tr.Rail.Passenger.MTU</t>
  </si>
  <si>
    <t>EMI_per_vehicle.tCO2.RO.Tr.Rail.Passenger.CPT</t>
  </si>
  <si>
    <t>EMI_per_vehicle.tCO2.RO.Tr.Rail.Passenger.CPT.Diesel</t>
  </si>
  <si>
    <t>EMI_per_vehicle.tCO2.RO.Tr.Rail.Passenger.CPT.Elc</t>
  </si>
  <si>
    <t>EMI_per_vehicle.tCO2.RO.Tr.Rail.Passenger.HST</t>
  </si>
  <si>
    <t>EMI_per_vehicle.tCO2.RO.Tr.Rail.Freight</t>
  </si>
  <si>
    <t>EMI_per_vehicle.tCO2.RO.Tr.Rail.Freight.Diesel</t>
  </si>
  <si>
    <t>EMI_per_vehicle.tCO2.RO.Tr.Rail.Freight.Elc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</si>
</sst>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mmmm\ yyyy"/>
    <numFmt numFmtId="165" formatCode="#,##0.0"/>
    <numFmt numFmtId="166" formatCode="#,##0;\-#,##0;&quot;-&quot;"/>
    <numFmt numFmtId="167" formatCode="#,##0.000;\-#,##0.000;&quot;-&quot;"/>
    <numFmt numFmtId="168" formatCode="0.00%;\-0.00%;&quot;-&quot;"/>
    <numFmt numFmtId="169" formatCode="#,##0.00;\-#,##0.00;&quot;-&quot;"/>
    <numFmt numFmtId="170" formatCode="#,##0.0;\-#,##0.0;&quot;-&quot;"/>
    <numFmt numFmtId="171" formatCode="0.0%;\-0.0%;&quot;-&quot;"/>
    <numFmt numFmtId="172" formatCode="0.0%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232D37"/>
      <name val="Calibri"/>
      <family val="2"/>
      <scheme val="minor"/>
    </font>
    <font>
      <i/>
      <sz val="8"/>
      <color rgb="FF001E5F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8"/>
      <color rgb="FF282428"/>
      <name val="Calibri"/>
      <family val="2"/>
      <scheme val="minor"/>
    </font>
    <font>
      <i/>
      <sz val="8"/>
      <color rgb="FF00143C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E1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232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4" fillId="0" borderId="0" xfId="4"/>
    <xf numFmtId="0" fontId="8" fillId="0" borderId="0" xfId="4" applyFont="1"/>
    <xf numFmtId="0" fontId="9" fillId="0" borderId="0" xfId="0" applyFont="1"/>
    <xf numFmtId="0" fontId="10" fillId="0" borderId="0" xfId="4" applyFont="1"/>
    <xf numFmtId="0" fontId="10" fillId="0" borderId="0" xfId="4" applyFont="1" applyAlignment="1">
      <alignment horizontal="left" indent="1"/>
    </xf>
    <xf numFmtId="0" fontId="0" fillId="0" borderId="2" xfId="0" applyBorder="1"/>
    <xf numFmtId="0" fontId="12" fillId="4" borderId="3" xfId="3" applyFont="1" applyFill="1" applyBorder="1" applyAlignment="1">
      <alignment horizontal="left" vertical="center" indent="1"/>
    </xf>
    <xf numFmtId="166" fontId="12" fillId="4" borderId="3" xfId="3" applyNumberFormat="1" applyFont="1" applyFill="1" applyBorder="1" applyAlignment="1">
      <alignment vertical="center"/>
    </xf>
    <xf numFmtId="0" fontId="12" fillId="4" borderId="4" xfId="3" applyFont="1" applyFill="1" applyBorder="1" applyAlignment="1">
      <alignment horizontal="left" vertical="center" indent="1"/>
    </xf>
    <xf numFmtId="166" fontId="12" fillId="4" borderId="4" xfId="3" applyNumberFormat="1" applyFont="1" applyFill="1" applyBorder="1" applyAlignment="1">
      <alignment vertical="center"/>
    </xf>
    <xf numFmtId="170" fontId="12" fillId="4" borderId="3" xfId="3" applyNumberFormat="1" applyFont="1" applyFill="1" applyBorder="1" applyAlignment="1">
      <alignment vertical="center"/>
    </xf>
    <xf numFmtId="170" fontId="12" fillId="4" borderId="4" xfId="3" applyNumberFormat="1" applyFont="1" applyFill="1" applyBorder="1" applyAlignment="1">
      <alignment vertical="center"/>
    </xf>
    <xf numFmtId="168" fontId="12" fillId="4" borderId="3" xfId="1" applyNumberFormat="1" applyFont="1" applyFill="1" applyBorder="1" applyAlignment="1">
      <alignment vertical="center"/>
    </xf>
    <xf numFmtId="168" fontId="12" fillId="4" borderId="4" xfId="1" applyNumberFormat="1" applyFont="1" applyFill="1" applyBorder="1" applyAlignment="1">
      <alignment vertical="center"/>
    </xf>
    <xf numFmtId="0" fontId="3" fillId="0" borderId="0" xfId="3" applyFont="1" applyFill="1" applyAlignment="1">
      <alignment vertical="center"/>
    </xf>
    <xf numFmtId="0" fontId="3" fillId="0" borderId="0" xfId="3" applyNumberFormat="1" applyFont="1" applyFill="1" applyAlignment="1">
      <alignment vertical="center"/>
    </xf>
    <xf numFmtId="0" fontId="14" fillId="4" borderId="1" xfId="3" applyFont="1" applyFill="1" applyBorder="1" applyAlignment="1">
      <alignment horizontal="left" vertical="center" indent="1"/>
    </xf>
    <xf numFmtId="169" fontId="12" fillId="4" borderId="3" xfId="3" applyNumberFormat="1" applyFont="1" applyFill="1" applyBorder="1" applyAlignment="1">
      <alignment vertical="center"/>
    </xf>
    <xf numFmtId="169" fontId="12" fillId="4" borderId="4" xfId="3" applyNumberFormat="1" applyFont="1" applyFill="1" applyBorder="1" applyAlignment="1">
      <alignment vertical="center"/>
    </xf>
    <xf numFmtId="167" fontId="12" fillId="4" borderId="3" xfId="3" applyNumberFormat="1" applyFont="1" applyFill="1" applyBorder="1" applyAlignment="1">
      <alignment vertical="center"/>
    </xf>
    <xf numFmtId="167" fontId="12" fillId="4" borderId="4" xfId="3" applyNumberFormat="1" applyFont="1" applyFill="1" applyBorder="1" applyAlignment="1">
      <alignment vertical="center"/>
    </xf>
    <xf numFmtId="171" fontId="12" fillId="4" borderId="3" xfId="1" applyNumberFormat="1" applyFont="1" applyFill="1" applyBorder="1" applyAlignment="1">
      <alignment vertical="center"/>
    </xf>
    <xf numFmtId="169" fontId="11" fillId="4" borderId="0" xfId="3" applyNumberFormat="1" applyFont="1" applyFill="1" applyBorder="1" applyAlignment="1">
      <alignment vertical="center"/>
    </xf>
    <xf numFmtId="0" fontId="12" fillId="4" borderId="1" xfId="3" applyFont="1" applyFill="1" applyBorder="1" applyAlignment="1">
      <alignment horizontal="left" vertical="center" indent="1"/>
    </xf>
    <xf numFmtId="166" fontId="12" fillId="4" borderId="1" xfId="3" applyNumberFormat="1" applyFont="1" applyFill="1" applyBorder="1" applyAlignment="1">
      <alignment vertical="center"/>
    </xf>
    <xf numFmtId="170" fontId="12" fillId="4" borderId="1" xfId="3" applyNumberFormat="1" applyFont="1" applyFill="1" applyBorder="1" applyAlignment="1">
      <alignment vertical="center"/>
    </xf>
    <xf numFmtId="171" fontId="12" fillId="4" borderId="1" xfId="3" applyNumberFormat="1" applyFont="1" applyFill="1" applyBorder="1" applyAlignment="1">
      <alignment vertical="center"/>
    </xf>
    <xf numFmtId="168" fontId="12" fillId="4" borderId="1" xfId="3" applyNumberFormat="1" applyFont="1" applyFill="1" applyBorder="1" applyAlignment="1">
      <alignment vertical="center"/>
    </xf>
    <xf numFmtId="169" fontId="12" fillId="4" borderId="1" xfId="3" applyNumberFormat="1" applyFont="1" applyFill="1" applyBorder="1" applyAlignment="1">
      <alignment vertical="center"/>
    </xf>
    <xf numFmtId="0" fontId="3" fillId="2" borderId="0" xfId="3" applyNumberFormat="1" applyFont="1" applyFill="1" applyAlignment="1">
      <alignment vertical="center"/>
    </xf>
    <xf numFmtId="166" fontId="13" fillId="2" borderId="0" xfId="3" applyNumberFormat="1" applyFont="1" applyFill="1" applyBorder="1" applyAlignment="1">
      <alignment vertical="center"/>
    </xf>
    <xf numFmtId="166" fontId="13" fillId="2" borderId="2" xfId="3" applyNumberFormat="1" applyFont="1" applyFill="1" applyBorder="1" applyAlignment="1">
      <alignment vertical="center"/>
    </xf>
    <xf numFmtId="166" fontId="13" fillId="2" borderId="0" xfId="3" applyNumberFormat="1" applyFont="1" applyFill="1" applyAlignment="1">
      <alignment vertical="center"/>
    </xf>
    <xf numFmtId="0" fontId="13" fillId="2" borderId="0" xfId="3" applyFont="1" applyFill="1" applyAlignment="1">
      <alignment horizontal="left" vertical="center" indent="2"/>
    </xf>
    <xf numFmtId="0" fontId="13" fillId="2" borderId="2" xfId="3" applyFont="1" applyFill="1" applyBorder="1" applyAlignment="1">
      <alignment horizontal="left" vertical="center" indent="2"/>
    </xf>
    <xf numFmtId="170" fontId="13" fillId="2" borderId="0" xfId="3" applyNumberFormat="1" applyFont="1" applyFill="1" applyAlignment="1">
      <alignment vertical="center"/>
    </xf>
    <xf numFmtId="170" fontId="13" fillId="2" borderId="2" xfId="3" applyNumberFormat="1" applyFont="1" applyFill="1" applyBorder="1" applyAlignment="1">
      <alignment vertical="center"/>
    </xf>
    <xf numFmtId="170" fontId="13" fillId="2" borderId="0" xfId="3" applyNumberFormat="1" applyFont="1" applyFill="1" applyBorder="1" applyAlignment="1">
      <alignment vertical="center"/>
    </xf>
    <xf numFmtId="0" fontId="13" fillId="2" borderId="0" xfId="3" applyFont="1" applyFill="1" applyBorder="1" applyAlignment="1">
      <alignment horizontal="left" vertical="center" indent="2"/>
    </xf>
    <xf numFmtId="168" fontId="13" fillId="2" borderId="0" xfId="1" applyNumberFormat="1" applyFont="1" applyFill="1" applyAlignment="1">
      <alignment vertical="center"/>
    </xf>
    <xf numFmtId="168" fontId="13" fillId="2" borderId="0" xfId="1" applyNumberFormat="1" applyFont="1" applyFill="1" applyBorder="1" applyAlignment="1">
      <alignment vertical="center"/>
    </xf>
    <xf numFmtId="168" fontId="13" fillId="2" borderId="2" xfId="1" applyNumberFormat="1" applyFont="1" applyFill="1" applyBorder="1" applyAlignment="1">
      <alignment vertical="center"/>
    </xf>
    <xf numFmtId="168" fontId="12" fillId="4" borderId="1" xfId="1" applyNumberFormat="1" applyFont="1" applyFill="1" applyBorder="1" applyAlignment="1">
      <alignment vertical="center"/>
    </xf>
    <xf numFmtId="167" fontId="12" fillId="4" borderId="1" xfId="3" applyNumberFormat="1" applyFont="1" applyFill="1" applyBorder="1" applyAlignment="1">
      <alignment vertical="center"/>
    </xf>
    <xf numFmtId="0" fontId="15" fillId="6" borderId="1" xfId="3" applyFont="1" applyFill="1" applyBorder="1" applyAlignment="1">
      <alignment horizontal="left" vertical="center"/>
    </xf>
    <xf numFmtId="1" fontId="16" fillId="6" borderId="1" xfId="3" applyNumberFormat="1" applyFont="1" applyFill="1" applyBorder="1" applyAlignment="1">
      <alignment horizontal="center" vertical="center"/>
    </xf>
    <xf numFmtId="0" fontId="17" fillId="8" borderId="0" xfId="3" applyNumberFormat="1" applyFont="1" applyFill="1" applyAlignment="1">
      <alignment vertical="center"/>
    </xf>
    <xf numFmtId="0" fontId="17" fillId="8" borderId="0" xfId="3" applyFont="1" applyFill="1" applyAlignment="1">
      <alignment vertical="center"/>
    </xf>
    <xf numFmtId="0" fontId="18" fillId="8" borderId="0" xfId="3" applyNumberFormat="1" applyFont="1" applyFill="1" applyAlignment="1">
      <alignment vertical="center"/>
    </xf>
    <xf numFmtId="0" fontId="19" fillId="3" borderId="1" xfId="3" applyFont="1" applyFill="1" applyBorder="1" applyAlignment="1">
      <alignment horizontal="left" vertical="center"/>
    </xf>
    <xf numFmtId="166" fontId="20" fillId="3" borderId="1" xfId="3" applyNumberFormat="1" applyFont="1" applyFill="1" applyBorder="1" applyAlignment="1">
      <alignment vertical="center"/>
    </xf>
    <xf numFmtId="0" fontId="17" fillId="8" borderId="0" xfId="3" applyFont="1" applyFill="1" applyAlignment="1">
      <alignment horizontal="left" vertical="center" indent="1"/>
    </xf>
    <xf numFmtId="166" fontId="17" fillId="8" borderId="0" xfId="3" applyNumberFormat="1" applyFont="1" applyFill="1" applyAlignment="1">
      <alignment vertical="center"/>
    </xf>
    <xf numFmtId="0" fontId="17" fillId="8" borderId="2" xfId="3" applyFont="1" applyFill="1" applyBorder="1" applyAlignment="1">
      <alignment horizontal="left" vertical="center" indent="1"/>
    </xf>
    <xf numFmtId="166" fontId="17" fillId="8" borderId="2" xfId="3" applyNumberFormat="1" applyFont="1" applyFill="1" applyBorder="1" applyAlignment="1">
      <alignment vertical="center"/>
    </xf>
    <xf numFmtId="167" fontId="20" fillId="3" borderId="1" xfId="3" applyNumberFormat="1" applyFont="1" applyFill="1" applyBorder="1" applyAlignment="1">
      <alignment vertical="center"/>
    </xf>
    <xf numFmtId="167" fontId="17" fillId="8" borderId="0" xfId="3" applyNumberFormat="1" applyFont="1" applyFill="1" applyAlignment="1">
      <alignment vertical="center"/>
    </xf>
    <xf numFmtId="167" fontId="17" fillId="8" borderId="2" xfId="3" applyNumberFormat="1" applyFont="1" applyFill="1" applyBorder="1" applyAlignment="1">
      <alignment vertical="center"/>
    </xf>
    <xf numFmtId="170" fontId="20" fillId="3" borderId="1" xfId="3" applyNumberFormat="1" applyFont="1" applyFill="1" applyBorder="1" applyAlignment="1">
      <alignment vertical="center"/>
    </xf>
    <xf numFmtId="170" fontId="17" fillId="8" borderId="0" xfId="3" applyNumberFormat="1" applyFont="1" applyFill="1" applyAlignment="1">
      <alignment vertical="center"/>
    </xf>
    <xf numFmtId="170" fontId="17" fillId="8" borderId="2" xfId="3" applyNumberFormat="1" applyFont="1" applyFill="1" applyBorder="1" applyAlignment="1">
      <alignment vertical="center"/>
    </xf>
    <xf numFmtId="168" fontId="20" fillId="3" borderId="1" xfId="3" applyNumberFormat="1" applyFont="1" applyFill="1" applyBorder="1" applyAlignment="1">
      <alignment vertical="center"/>
    </xf>
    <xf numFmtId="168" fontId="17" fillId="8" borderId="0" xfId="3" applyNumberFormat="1" applyFont="1" applyFill="1" applyAlignment="1">
      <alignment vertical="center"/>
    </xf>
    <xf numFmtId="168" fontId="17" fillId="8" borderId="2" xfId="3" applyNumberFormat="1" applyFont="1" applyFill="1" applyBorder="1" applyAlignment="1">
      <alignment vertical="center"/>
    </xf>
    <xf numFmtId="0" fontId="21" fillId="5" borderId="1" xfId="3" applyFont="1" applyFill="1" applyBorder="1" applyAlignment="1">
      <alignment horizontal="left" vertical="center"/>
    </xf>
    <xf numFmtId="167" fontId="22" fillId="5" borderId="1" xfId="3" applyNumberFormat="1" applyFont="1" applyFill="1" applyBorder="1" applyAlignment="1">
      <alignment vertical="center"/>
    </xf>
    <xf numFmtId="0" fontId="17" fillId="8" borderId="1" xfId="3" applyFont="1" applyFill="1" applyBorder="1" applyAlignment="1">
      <alignment horizontal="left" vertical="center" indent="1"/>
    </xf>
    <xf numFmtId="170" fontId="17" fillId="8" borderId="1" xfId="3" applyNumberFormat="1" applyFont="1" applyFill="1" applyBorder="1" applyAlignment="1">
      <alignment vertical="center"/>
    </xf>
    <xf numFmtId="0" fontId="23" fillId="8" borderId="0" xfId="3" applyFont="1" applyFill="1" applyAlignment="1">
      <alignment horizontal="left" vertical="center" indent="2"/>
    </xf>
    <xf numFmtId="170" fontId="23" fillId="8" borderId="0" xfId="3" applyNumberFormat="1" applyFont="1" applyFill="1" applyAlignment="1">
      <alignment vertical="center"/>
    </xf>
    <xf numFmtId="0" fontId="23" fillId="8" borderId="2" xfId="3" applyFont="1" applyFill="1" applyBorder="1" applyAlignment="1">
      <alignment horizontal="left" vertical="center" indent="2"/>
    </xf>
    <xf numFmtId="170" fontId="23" fillId="8" borderId="2" xfId="3" applyNumberFormat="1" applyFont="1" applyFill="1" applyBorder="1" applyAlignment="1">
      <alignment vertical="center"/>
    </xf>
    <xf numFmtId="168" fontId="20" fillId="3" borderId="1" xfId="1" applyNumberFormat="1" applyFont="1" applyFill="1" applyBorder="1" applyAlignment="1">
      <alignment vertical="center"/>
    </xf>
    <xf numFmtId="168" fontId="17" fillId="8" borderId="0" xfId="1" applyNumberFormat="1" applyFont="1" applyFill="1" applyAlignment="1">
      <alignment vertical="center"/>
    </xf>
    <xf numFmtId="168" fontId="17" fillId="8" borderId="2" xfId="1" applyNumberFormat="1" applyFont="1" applyFill="1" applyBorder="1" applyAlignment="1">
      <alignment vertical="center"/>
    </xf>
    <xf numFmtId="169" fontId="20" fillId="3" borderId="1" xfId="3" applyNumberFormat="1" applyFont="1" applyFill="1" applyBorder="1" applyAlignment="1">
      <alignment vertical="center"/>
    </xf>
    <xf numFmtId="169" fontId="17" fillId="8" borderId="0" xfId="3" applyNumberFormat="1" applyFont="1" applyFill="1" applyAlignment="1">
      <alignment vertical="center"/>
    </xf>
    <xf numFmtId="169" fontId="17" fillId="8" borderId="2" xfId="3" applyNumberFormat="1" applyFont="1" applyFill="1" applyBorder="1" applyAlignment="1">
      <alignment vertical="center"/>
    </xf>
    <xf numFmtId="171" fontId="20" fillId="3" borderId="1" xfId="1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2"/>
    </xf>
    <xf numFmtId="166" fontId="17" fillId="2" borderId="0" xfId="3" applyNumberFormat="1" applyFont="1" applyFill="1" applyAlignment="1">
      <alignment vertical="center"/>
    </xf>
    <xf numFmtId="0" fontId="17" fillId="2" borderId="2" xfId="3" applyFont="1" applyFill="1" applyBorder="1" applyAlignment="1">
      <alignment horizontal="left" vertical="center" indent="2"/>
    </xf>
    <xf numFmtId="166" fontId="17" fillId="2" borderId="2" xfId="3" applyNumberFormat="1" applyFont="1" applyFill="1" applyBorder="1" applyAlignment="1">
      <alignment vertical="center"/>
    </xf>
    <xf numFmtId="170" fontId="17" fillId="2" borderId="0" xfId="3" applyNumberFormat="1" applyFont="1" applyFill="1" applyAlignment="1">
      <alignment vertical="center"/>
    </xf>
    <xf numFmtId="170" fontId="17" fillId="2" borderId="2" xfId="3" applyNumberFormat="1" applyFont="1" applyFill="1" applyBorder="1" applyAlignment="1">
      <alignment vertical="center"/>
    </xf>
    <xf numFmtId="171" fontId="17" fillId="2" borderId="0" xfId="1" applyNumberFormat="1" applyFont="1" applyFill="1" applyAlignment="1">
      <alignment vertical="center"/>
    </xf>
    <xf numFmtId="171" fontId="17" fillId="2" borderId="2" xfId="1" applyNumberFormat="1" applyFont="1" applyFill="1" applyBorder="1" applyAlignment="1">
      <alignment vertical="center"/>
    </xf>
    <xf numFmtId="167" fontId="17" fillId="2" borderId="0" xfId="3" applyNumberFormat="1" applyFont="1" applyFill="1" applyAlignment="1">
      <alignment vertical="center"/>
    </xf>
    <xf numFmtId="0" fontId="17" fillId="2" borderId="0" xfId="3" applyFont="1" applyFill="1" applyBorder="1" applyAlignment="1">
      <alignment horizontal="left" vertical="center" indent="2"/>
    </xf>
    <xf numFmtId="167" fontId="17" fillId="2" borderId="0" xfId="3" applyNumberFormat="1" applyFont="1" applyFill="1" applyBorder="1" applyAlignment="1">
      <alignment vertical="center"/>
    </xf>
    <xf numFmtId="167" fontId="17" fillId="2" borderId="2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1"/>
    </xf>
    <xf numFmtId="169" fontId="17" fillId="2" borderId="0" xfId="3" applyNumberFormat="1" applyFont="1" applyFill="1" applyAlignment="1">
      <alignment vertical="center"/>
    </xf>
    <xf numFmtId="169" fontId="17" fillId="2" borderId="0" xfId="3" applyNumberFormat="1" applyFont="1" applyFill="1" applyBorder="1" applyAlignment="1">
      <alignment vertical="center"/>
    </xf>
    <xf numFmtId="169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1"/>
    </xf>
    <xf numFmtId="0" fontId="17" fillId="2" borderId="2" xfId="3" applyFont="1" applyFill="1" applyBorder="1" applyAlignment="1">
      <alignment horizontal="left" vertical="center" indent="1"/>
    </xf>
    <xf numFmtId="170" fontId="17" fillId="2" borderId="0" xfId="3" applyNumberFormat="1" applyFont="1" applyFill="1" applyBorder="1" applyAlignment="1">
      <alignment vertical="center"/>
    </xf>
    <xf numFmtId="166" fontId="17" fillId="2" borderId="0" xfId="3" applyNumberFormat="1" applyFont="1" applyFill="1" applyBorder="1" applyAlignment="1">
      <alignment vertical="center"/>
    </xf>
    <xf numFmtId="168" fontId="17" fillId="2" borderId="0" xfId="1" applyNumberFormat="1" applyFont="1" applyFill="1" applyAlignment="1">
      <alignment vertical="center"/>
    </xf>
    <xf numFmtId="168" fontId="17" fillId="2" borderId="0" xfId="1" applyNumberFormat="1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vertical="center"/>
    </xf>
    <xf numFmtId="0" fontId="17" fillId="2" borderId="0" xfId="3" applyNumberFormat="1" applyFont="1" applyFill="1" applyAlignment="1">
      <alignment vertical="center"/>
    </xf>
    <xf numFmtId="0" fontId="17" fillId="2" borderId="5" xfId="3" applyFont="1" applyFill="1" applyBorder="1" applyAlignment="1">
      <alignment horizontal="left" vertical="center" indent="2"/>
    </xf>
    <xf numFmtId="166" fontId="17" fillId="2" borderId="5" xfId="3" applyNumberFormat="1" applyFont="1" applyFill="1" applyBorder="1" applyAlignment="1">
      <alignment vertical="center"/>
    </xf>
    <xf numFmtId="0" fontId="17" fillId="2" borderId="4" xfId="3" applyFont="1" applyFill="1" applyBorder="1" applyAlignment="1">
      <alignment horizontal="left" vertical="center" indent="2"/>
    </xf>
    <xf numFmtId="166" fontId="17" fillId="2" borderId="4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3"/>
    </xf>
    <xf numFmtId="0" fontId="17" fillId="2" borderId="6" xfId="3" applyFont="1" applyFill="1" applyBorder="1" applyAlignment="1">
      <alignment horizontal="left" vertical="center" indent="2"/>
    </xf>
    <xf numFmtId="166" fontId="17" fillId="2" borderId="6" xfId="3" applyNumberFormat="1" applyFont="1" applyFill="1" applyBorder="1" applyAlignment="1">
      <alignment vertical="center"/>
    </xf>
    <xf numFmtId="0" fontId="17" fillId="0" borderId="0" xfId="3" applyNumberFormat="1" applyFont="1" applyFill="1" applyAlignment="1">
      <alignment vertical="center"/>
    </xf>
    <xf numFmtId="170" fontId="17" fillId="2" borderId="5" xfId="3" applyNumberFormat="1" applyFont="1" applyFill="1" applyBorder="1" applyAlignment="1">
      <alignment vertical="center"/>
    </xf>
    <xf numFmtId="170" fontId="17" fillId="2" borderId="4" xfId="3" applyNumberFormat="1" applyFont="1" applyFill="1" applyBorder="1" applyAlignment="1">
      <alignment vertical="center"/>
    </xf>
    <xf numFmtId="170" fontId="17" fillId="2" borderId="6" xfId="3" applyNumberFormat="1" applyFont="1" applyFill="1" applyBorder="1" applyAlignment="1">
      <alignment vertical="center"/>
    </xf>
    <xf numFmtId="171" fontId="17" fillId="2" borderId="5" xfId="3" applyNumberFormat="1" applyFont="1" applyFill="1" applyBorder="1" applyAlignment="1">
      <alignment vertical="center"/>
    </xf>
    <xf numFmtId="171" fontId="17" fillId="2" borderId="4" xfId="3" applyNumberFormat="1" applyFont="1" applyFill="1" applyBorder="1" applyAlignment="1">
      <alignment vertical="center"/>
    </xf>
    <xf numFmtId="171" fontId="17" fillId="2" borderId="0" xfId="3" applyNumberFormat="1" applyFont="1" applyFill="1" applyAlignment="1">
      <alignment vertical="center"/>
    </xf>
    <xf numFmtId="171" fontId="17" fillId="2" borderId="6" xfId="3" applyNumberFormat="1" applyFont="1" applyFill="1" applyBorder="1" applyAlignment="1">
      <alignment vertical="center"/>
    </xf>
    <xf numFmtId="171" fontId="17" fillId="2" borderId="2" xfId="3" applyNumberFormat="1" applyFont="1" applyFill="1" applyBorder="1" applyAlignment="1">
      <alignment vertical="center"/>
    </xf>
    <xf numFmtId="168" fontId="17" fillId="2" borderId="5" xfId="3" applyNumberFormat="1" applyFont="1" applyFill="1" applyBorder="1" applyAlignment="1">
      <alignment vertical="center"/>
    </xf>
    <xf numFmtId="168" fontId="17" fillId="2" borderId="4" xfId="3" applyNumberFormat="1" applyFont="1" applyFill="1" applyBorder="1" applyAlignment="1">
      <alignment vertical="center"/>
    </xf>
    <xf numFmtId="168" fontId="17" fillId="2" borderId="0" xfId="3" applyNumberFormat="1" applyFont="1" applyFill="1" applyAlignment="1">
      <alignment vertical="center"/>
    </xf>
    <xf numFmtId="168" fontId="17" fillId="2" borderId="6" xfId="3" applyNumberFormat="1" applyFont="1" applyFill="1" applyBorder="1" applyAlignment="1">
      <alignment vertical="center"/>
    </xf>
    <xf numFmtId="168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3"/>
    </xf>
    <xf numFmtId="169" fontId="17" fillId="2" borderId="5" xfId="3" applyNumberFormat="1" applyFont="1" applyFill="1" applyBorder="1" applyAlignment="1">
      <alignment vertical="center"/>
    </xf>
    <xf numFmtId="169" fontId="17" fillId="2" borderId="4" xfId="3" applyNumberFormat="1" applyFont="1" applyFill="1" applyBorder="1" applyAlignment="1">
      <alignment vertical="center"/>
    </xf>
    <xf numFmtId="169" fontId="17" fillId="2" borderId="6" xfId="3" applyNumberFormat="1" applyFont="1" applyFill="1" applyBorder="1" applyAlignment="1">
      <alignment vertical="center"/>
    </xf>
    <xf numFmtId="3" fontId="20" fillId="3" borderId="1" xfId="3" applyNumberFormat="1" applyFont="1" applyFill="1" applyBorder="1" applyAlignment="1">
      <alignment vertical="center"/>
    </xf>
    <xf numFmtId="0" fontId="24" fillId="4" borderId="1" xfId="3" applyFont="1" applyFill="1" applyBorder="1" applyAlignment="1">
      <alignment horizontal="left" vertical="center" indent="1"/>
    </xf>
    <xf numFmtId="169" fontId="20" fillId="4" borderId="0" xfId="3" applyNumberFormat="1" applyFont="1" applyFill="1" applyBorder="1" applyAlignment="1">
      <alignment vertical="center"/>
    </xf>
    <xf numFmtId="171" fontId="20" fillId="3" borderId="1" xfId="3" applyNumberFormat="1" applyFont="1" applyFill="1" applyBorder="1" applyAlignment="1">
      <alignment vertical="center"/>
    </xf>
    <xf numFmtId="0" fontId="17" fillId="2" borderId="3" xfId="3" applyFont="1" applyFill="1" applyBorder="1" applyAlignment="1">
      <alignment horizontal="left" vertical="center" indent="2"/>
    </xf>
    <xf numFmtId="166" fontId="17" fillId="2" borderId="3" xfId="3" applyNumberFormat="1" applyFont="1" applyFill="1" applyBorder="1" applyAlignment="1">
      <alignment vertical="center"/>
    </xf>
    <xf numFmtId="0" fontId="17" fillId="2" borderId="2" xfId="3" applyFont="1" applyFill="1" applyBorder="1" applyAlignment="1">
      <alignment horizontal="left" vertical="center" indent="3"/>
    </xf>
    <xf numFmtId="168" fontId="17" fillId="2" borderId="3" xfId="3" applyNumberFormat="1" applyFont="1" applyFill="1" applyBorder="1" applyAlignment="1">
      <alignment vertical="center"/>
    </xf>
    <xf numFmtId="168" fontId="17" fillId="2" borderId="0" xfId="3" applyNumberFormat="1" applyFont="1" applyFill="1" applyBorder="1" applyAlignment="1">
      <alignment vertical="center"/>
    </xf>
    <xf numFmtId="169" fontId="17" fillId="2" borderId="3" xfId="3" applyNumberFormat="1" applyFont="1" applyFill="1" applyBorder="1" applyAlignment="1">
      <alignment vertical="center"/>
    </xf>
    <xf numFmtId="165" fontId="20" fillId="3" borderId="1" xfId="3" applyNumberFormat="1" applyFont="1" applyFill="1" applyBorder="1" applyAlignment="1">
      <alignment vertical="center"/>
    </xf>
    <xf numFmtId="0" fontId="21" fillId="5" borderId="1" xfId="3" applyNumberFormat="1" applyFont="1" applyFill="1" applyBorder="1" applyAlignment="1">
      <alignment horizontal="left" vertical="center"/>
    </xf>
    <xf numFmtId="0" fontId="22" fillId="5" borderId="1" xfId="3" applyNumberFormat="1" applyFont="1" applyFill="1" applyBorder="1" applyAlignment="1">
      <alignment vertical="center"/>
    </xf>
    <xf numFmtId="169" fontId="20" fillId="4" borderId="1" xfId="3" applyNumberFormat="1" applyFont="1" applyFill="1" applyBorder="1" applyAlignment="1">
      <alignment vertical="center"/>
    </xf>
    <xf numFmtId="170" fontId="20" fillId="4" borderId="1" xfId="3" applyNumberFormat="1" applyFont="1" applyFill="1" applyBorder="1" applyAlignment="1">
      <alignment vertical="center"/>
    </xf>
    <xf numFmtId="1" fontId="19" fillId="7" borderId="1" xfId="3" applyNumberFormat="1" applyFont="1" applyFill="1" applyBorder="1" applyAlignment="1">
      <alignment horizontal="center" vertical="center"/>
    </xf>
    <xf numFmtId="0" fontId="21" fillId="6" borderId="1" xfId="3" applyFont="1" applyFill="1" applyBorder="1" applyAlignment="1">
      <alignment horizontal="left" vertical="center"/>
    </xf>
    <xf numFmtId="1" fontId="19" fillId="7" borderId="1" xfId="3" applyNumberFormat="1" applyFont="1" applyFill="1" applyBorder="1" applyAlignment="1">
      <alignment horizontal="right" vertical="center"/>
    </xf>
    <xf numFmtId="167" fontId="17" fillId="2" borderId="3" xfId="3" applyNumberFormat="1" applyFont="1" applyFill="1" applyBorder="1" applyAlignment="1">
      <alignment vertical="center"/>
    </xf>
    <xf numFmtId="167" fontId="17" fillId="2" borderId="4" xfId="3" applyNumberFormat="1" applyFont="1" applyFill="1" applyBorder="1" applyAlignment="1">
      <alignment vertical="center"/>
    </xf>
    <xf numFmtId="170" fontId="17" fillId="2" borderId="3" xfId="3" applyNumberFormat="1" applyFont="1" applyFill="1" applyBorder="1" applyAlignment="1">
      <alignment vertical="center"/>
    </xf>
    <xf numFmtId="172" fontId="17" fillId="2" borderId="3" xfId="1" applyNumberFormat="1" applyFont="1" applyFill="1" applyBorder="1" applyAlignment="1">
      <alignment horizontal="left" vertical="center" indent="2"/>
    </xf>
    <xf numFmtId="168" fontId="17" fillId="2" borderId="3" xfId="1" applyNumberFormat="1" applyFont="1" applyFill="1" applyBorder="1" applyAlignment="1">
      <alignment vertical="center"/>
    </xf>
    <xf numFmtId="172" fontId="17" fillId="2" borderId="4" xfId="1" applyNumberFormat="1" applyFont="1" applyFill="1" applyBorder="1" applyAlignment="1">
      <alignment horizontal="left" vertical="center" indent="2"/>
    </xf>
    <xf numFmtId="168" fontId="17" fillId="2" borderId="4" xfId="1" applyNumberFormat="1" applyFont="1" applyFill="1" applyBorder="1" applyAlignment="1">
      <alignment vertical="center"/>
    </xf>
    <xf numFmtId="172" fontId="17" fillId="2" borderId="0" xfId="1" applyNumberFormat="1" applyFont="1" applyFill="1" applyAlignment="1">
      <alignment horizontal="left" vertical="center" indent="3"/>
    </xf>
    <xf numFmtId="172" fontId="17" fillId="2" borderId="2" xfId="1" applyNumberFormat="1" applyFont="1" applyFill="1" applyBorder="1" applyAlignment="1">
      <alignment horizontal="left" vertical="center" indent="3"/>
    </xf>
    <xf numFmtId="0" fontId="18" fillId="2" borderId="7" xfId="3" applyFont="1" applyFill="1" applyBorder="1" applyAlignment="1">
      <alignment horizontal="left" vertical="center" indent="3"/>
    </xf>
    <xf numFmtId="0" fontId="18" fillId="2" borderId="0" xfId="3" applyFont="1" applyFill="1" applyAlignment="1">
      <alignment horizontal="left" vertical="center" indent="4"/>
    </xf>
    <xf numFmtId="0" fontId="18" fillId="2" borderId="2" xfId="3" applyFont="1" applyFill="1" applyBorder="1" applyAlignment="1">
      <alignment horizontal="left" vertical="center" indent="4"/>
    </xf>
    <xf numFmtId="172" fontId="17" fillId="2" borderId="0" xfId="1" applyNumberFormat="1" applyFont="1" applyFill="1" applyBorder="1" applyAlignment="1">
      <alignment horizontal="left" vertical="center" indent="3"/>
    </xf>
    <xf numFmtId="166" fontId="17" fillId="2" borderId="8" xfId="3" applyNumberFormat="1" applyFont="1" applyFill="1" applyBorder="1" applyAlignment="1">
      <alignment vertical="center"/>
    </xf>
    <xf numFmtId="0" fontId="17" fillId="2" borderId="8" xfId="3" applyFont="1" applyFill="1" applyBorder="1" applyAlignment="1">
      <alignment horizontal="left" vertical="center" indent="3"/>
    </xf>
    <xf numFmtId="170" fontId="17" fillId="2" borderId="8" xfId="3" applyNumberFormat="1" applyFont="1" applyFill="1" applyBorder="1" applyAlignment="1">
      <alignment vertical="center"/>
    </xf>
    <xf numFmtId="0" fontId="17" fillId="2" borderId="7" xfId="3" applyFont="1" applyFill="1" applyBorder="1" applyAlignment="1">
      <alignment horizontal="left" vertical="center" indent="3"/>
    </xf>
    <xf numFmtId="170" fontId="17" fillId="2" borderId="7" xfId="3" applyNumberFormat="1" applyFont="1" applyFill="1" applyBorder="1" applyAlignment="1">
      <alignment vertical="center"/>
    </xf>
    <xf numFmtId="1" fontId="19" fillId="6" borderId="1" xfId="3" applyNumberFormat="1" applyFont="1" applyFill="1" applyBorder="1" applyAlignment="1">
      <alignment vertical="center"/>
    </xf>
    <xf numFmtId="166" fontId="17" fillId="2" borderId="7" xfId="3" applyNumberFormat="1" applyFont="1" applyFill="1" applyBorder="1" applyAlignment="1">
      <alignment vertical="center"/>
    </xf>
    <xf numFmtId="1" fontId="16" fillId="6" borderId="1" xfId="3" applyNumberFormat="1" applyFont="1" applyFill="1" applyBorder="1" applyAlignment="1">
      <alignment horizontal="center" vertical="center" shrinkToFit="1"/>
    </xf>
    <xf numFmtId="0" fontId="17" fillId="2" borderId="0" xfId="3" applyNumberFormat="1" applyFont="1" applyFill="1" applyAlignment="1">
      <alignment vertical="center" shrinkToFit="1"/>
    </xf>
    <xf numFmtId="0" fontId="20" fillId="3" borderId="1" xfId="3" applyNumberFormat="1" applyFont="1" applyFill="1" applyBorder="1" applyAlignment="1">
      <alignment vertical="center" shrinkToFit="1"/>
    </xf>
    <xf numFmtId="0" fontId="12" fillId="4" borderId="1" xfId="3" applyNumberFormat="1" applyFont="1" applyFill="1" applyBorder="1" applyAlignment="1">
      <alignment vertical="center" shrinkToFit="1"/>
    </xf>
    <xf numFmtId="0" fontId="17" fillId="2" borderId="3" xfId="3" applyNumberFormat="1" applyFont="1" applyFill="1" applyBorder="1" applyAlignment="1">
      <alignment vertical="center" shrinkToFit="1"/>
    </xf>
    <xf numFmtId="0" fontId="17" fillId="2" borderId="0" xfId="3" applyNumberFormat="1" applyFont="1" applyFill="1" applyBorder="1" applyAlignment="1">
      <alignment vertical="center" shrinkToFit="1"/>
    </xf>
    <xf numFmtId="0" fontId="17" fillId="2" borderId="4" xfId="3" applyNumberFormat="1" applyFont="1" applyFill="1" applyBorder="1" applyAlignment="1">
      <alignment vertical="center" shrinkToFit="1"/>
    </xf>
    <xf numFmtId="0" fontId="17" fillId="2" borderId="7" xfId="3" applyNumberFormat="1" applyFont="1" applyFill="1" applyBorder="1" applyAlignment="1">
      <alignment vertical="center" shrinkToFit="1"/>
    </xf>
    <xf numFmtId="0" fontId="17" fillId="2" borderId="2" xfId="3" applyNumberFormat="1" applyFont="1" applyFill="1" applyBorder="1" applyAlignment="1">
      <alignment vertical="center" shrinkToFit="1"/>
    </xf>
    <xf numFmtId="0" fontId="22" fillId="5" borderId="1" xfId="3" applyNumberFormat="1" applyFont="1" applyFill="1" applyBorder="1" applyAlignment="1">
      <alignment vertical="center" shrinkToFit="1"/>
    </xf>
    <xf numFmtId="0" fontId="3" fillId="0" borderId="0" xfId="3" applyNumberFormat="1" applyFont="1" applyFill="1" applyAlignment="1">
      <alignment vertical="center" shrinkToFit="1"/>
    </xf>
    <xf numFmtId="0" fontId="17" fillId="8" borderId="0" xfId="3" applyNumberFormat="1" applyFont="1" applyFill="1" applyAlignment="1">
      <alignment vertical="center" shrinkToFit="1"/>
    </xf>
    <xf numFmtId="0" fontId="17" fillId="8" borderId="2" xfId="3" applyNumberFormat="1" applyFont="1" applyFill="1" applyBorder="1" applyAlignment="1">
      <alignment vertical="center" shrinkToFit="1"/>
    </xf>
    <xf numFmtId="0" fontId="20" fillId="3" borderId="1" xfId="1" applyNumberFormat="1" applyFont="1" applyFill="1" applyBorder="1" applyAlignment="1">
      <alignment vertical="center" shrinkToFit="1"/>
    </xf>
    <xf numFmtId="0" fontId="17" fillId="8" borderId="0" xfId="1" applyNumberFormat="1" applyFont="1" applyFill="1" applyAlignment="1">
      <alignment vertical="center" shrinkToFit="1"/>
    </xf>
    <xf numFmtId="0" fontId="17" fillId="8" borderId="2" xfId="1" applyNumberFormat="1" applyFont="1" applyFill="1" applyBorder="1" applyAlignment="1">
      <alignment vertical="center" shrinkToFit="1"/>
    </xf>
    <xf numFmtId="0" fontId="17" fillId="8" borderId="1" xfId="3" applyNumberFormat="1" applyFont="1" applyFill="1" applyBorder="1" applyAlignment="1">
      <alignment vertical="center" shrinkToFit="1"/>
    </xf>
    <xf numFmtId="0" fontId="23" fillId="8" borderId="0" xfId="3" applyNumberFormat="1" applyFont="1" applyFill="1" applyAlignment="1">
      <alignment vertical="center" shrinkToFit="1"/>
    </xf>
    <xf numFmtId="0" fontId="23" fillId="8" borderId="2" xfId="3" applyNumberFormat="1" applyFont="1" applyFill="1" applyBorder="1" applyAlignment="1">
      <alignment vertical="center" shrinkToFit="1"/>
    </xf>
    <xf numFmtId="0" fontId="12" fillId="4" borderId="3" xfId="3" applyNumberFormat="1" applyFont="1" applyFill="1" applyBorder="1" applyAlignment="1">
      <alignment vertical="center" shrinkToFit="1"/>
    </xf>
    <xf numFmtId="0" fontId="12" fillId="4" borderId="3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Alignment="1">
      <alignment vertical="center" shrinkToFit="1"/>
    </xf>
    <xf numFmtId="0" fontId="17" fillId="2" borderId="2" xfId="1" applyNumberFormat="1" applyFont="1" applyFill="1" applyBorder="1" applyAlignment="1">
      <alignment vertical="center" shrinkToFit="1"/>
    </xf>
    <xf numFmtId="0" fontId="12" fillId="4" borderId="4" xfId="3" applyNumberFormat="1" applyFont="1" applyFill="1" applyBorder="1" applyAlignment="1">
      <alignment vertical="center" shrinkToFit="1"/>
    </xf>
    <xf numFmtId="0" fontId="12" fillId="4" borderId="4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Border="1" applyAlignment="1">
      <alignment vertical="center" shrinkToFit="1"/>
    </xf>
    <xf numFmtId="0" fontId="13" fillId="2" borderId="0" xfId="3" applyNumberFormat="1" applyFont="1" applyFill="1" applyBorder="1" applyAlignment="1">
      <alignment vertical="center" shrinkToFit="1"/>
    </xf>
    <xf numFmtId="0" fontId="13" fillId="2" borderId="2" xfId="3" applyNumberFormat="1" applyFont="1" applyFill="1" applyBorder="1" applyAlignment="1">
      <alignment vertical="center" shrinkToFit="1"/>
    </xf>
    <xf numFmtId="0" fontId="13" fillId="2" borderId="0" xfId="3" applyNumberFormat="1" applyFont="1" applyFill="1" applyAlignment="1">
      <alignment vertical="center" shrinkToFit="1"/>
    </xf>
    <xf numFmtId="0" fontId="13" fillId="2" borderId="0" xfId="1" applyNumberFormat="1" applyFont="1" applyFill="1" applyAlignment="1">
      <alignment vertical="center" shrinkToFit="1"/>
    </xf>
    <xf numFmtId="0" fontId="13" fillId="2" borderId="0" xfId="1" applyNumberFormat="1" applyFont="1" applyFill="1" applyBorder="1" applyAlignment="1">
      <alignment vertical="center" shrinkToFit="1"/>
    </xf>
    <xf numFmtId="0" fontId="13" fillId="2" borderId="2" xfId="1" applyNumberFormat="1" applyFont="1" applyFill="1" applyBorder="1" applyAlignment="1">
      <alignment vertical="center" shrinkToFit="1"/>
    </xf>
    <xf numFmtId="0" fontId="11" fillId="4" borderId="0" xfId="3" applyNumberFormat="1" applyFont="1" applyFill="1" applyBorder="1" applyAlignment="1">
      <alignment vertical="center" shrinkToFit="1"/>
    </xf>
    <xf numFmtId="0" fontId="17" fillId="2" borderId="5" xfId="3" applyNumberFormat="1" applyFont="1" applyFill="1" applyBorder="1" applyAlignment="1">
      <alignment vertical="center" shrinkToFit="1"/>
    </xf>
    <xf numFmtId="0" fontId="17" fillId="2" borderId="6" xfId="3" applyNumberFormat="1" applyFont="1" applyFill="1" applyBorder="1" applyAlignment="1">
      <alignment vertical="center" shrinkToFit="1"/>
    </xf>
    <xf numFmtId="0" fontId="20" fillId="4" borderId="0" xfId="3" applyNumberFormat="1" applyFont="1" applyFill="1" applyBorder="1" applyAlignment="1">
      <alignment vertical="center" shrinkToFit="1"/>
    </xf>
    <xf numFmtId="0" fontId="20" fillId="4" borderId="1" xfId="3" applyNumberFormat="1" applyFont="1" applyFill="1" applyBorder="1" applyAlignment="1">
      <alignment vertical="center" shrinkToFit="1"/>
    </xf>
    <xf numFmtId="0" fontId="17" fillId="2" borderId="8" xfId="3" applyNumberFormat="1" applyFont="1" applyFill="1" applyBorder="1" applyAlignment="1">
      <alignment vertical="center" shrinkToFit="1"/>
    </xf>
    <xf numFmtId="0" fontId="3" fillId="2" borderId="0" xfId="3" applyNumberFormat="1" applyFont="1" applyFill="1" applyAlignment="1">
      <alignment vertical="center" shrinkToFit="1"/>
    </xf>
    <xf numFmtId="0" fontId="19" fillId="6" borderId="1" xfId="3" applyNumberFormat="1" applyFont="1" applyFill="1" applyBorder="1" applyAlignment="1">
      <alignment vertical="center" shrinkToFit="1"/>
    </xf>
    <xf numFmtId="0" fontId="19" fillId="7" borderId="1" xfId="3" applyNumberFormat="1" applyFont="1" applyFill="1" applyBorder="1" applyAlignment="1">
      <alignment horizontal="center" vertical="center" shrinkToFit="1"/>
    </xf>
    <xf numFmtId="0" fontId="12" fillId="4" borderId="1" xfId="1" applyNumberFormat="1" applyFont="1" applyFill="1" applyBorder="1" applyAlignment="1">
      <alignment vertical="center" shrinkToFit="1"/>
    </xf>
    <xf numFmtId="0" fontId="17" fillId="2" borderId="3" xfId="1" applyNumberFormat="1" applyFont="1" applyFill="1" applyBorder="1" applyAlignment="1">
      <alignment vertical="center" shrinkToFit="1"/>
    </xf>
    <xf numFmtId="0" fontId="17" fillId="2" borderId="4" xfId="1" applyNumberFormat="1" applyFont="1" applyFill="1" applyBorder="1" applyAlignment="1">
      <alignment vertical="center" shrinkToFit="1"/>
    </xf>
    <xf numFmtId="0" fontId="25" fillId="2" borderId="0" xfId="2" applyFont="1" applyFill="1"/>
    <xf numFmtId="0" fontId="17" fillId="2" borderId="0" xfId="2" applyFont="1" applyFill="1" applyAlignment="1">
      <alignment vertical="center"/>
    </xf>
    <xf numFmtId="0" fontId="17" fillId="2" borderId="0" xfId="2" applyFont="1" applyFill="1" applyAlignment="1">
      <alignment horizontal="center" vertical="center"/>
    </xf>
    <xf numFmtId="0" fontId="26" fillId="2" borderId="1" xfId="2" applyFont="1" applyFill="1" applyBorder="1" applyAlignment="1">
      <alignment vertical="center"/>
    </xf>
    <xf numFmtId="0" fontId="27" fillId="2" borderId="1" xfId="2" applyFont="1" applyFill="1" applyBorder="1" applyAlignment="1">
      <alignment vertical="center"/>
    </xf>
    <xf numFmtId="0" fontId="28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0" fontId="31" fillId="2" borderId="0" xfId="2" applyFont="1" applyFill="1" applyAlignment="1">
      <alignment vertical="center"/>
    </xf>
    <xf numFmtId="0" fontId="32" fillId="2" borderId="0" xfId="3" applyFont="1" applyFill="1" applyAlignment="1">
      <alignment vertical="center"/>
    </xf>
    <xf numFmtId="0" fontId="33" fillId="2" borderId="0" xfId="4" applyFont="1" applyFill="1" applyAlignment="1">
      <alignment horizontal="left" vertical="center" indent="1"/>
    </xf>
    <xf numFmtId="0" fontId="34" fillId="0" borderId="2" xfId="0" applyFont="1" applyBorder="1"/>
    <xf numFmtId="0" fontId="35" fillId="0" borderId="0" xfId="0" applyFont="1"/>
    <xf numFmtId="0" fontId="35" fillId="0" borderId="0" xfId="0" applyFont="1" applyAlignment="1">
      <alignment horizontal="left" indent="1"/>
    </xf>
    <xf numFmtId="0" fontId="29" fillId="2" borderId="0" xfId="2" applyFont="1" applyFill="1" applyAlignment="1">
      <alignment horizontal="left" vertical="center"/>
    </xf>
    <xf numFmtId="164" fontId="30" fillId="2" borderId="0" xfId="2" quotePrefix="1" applyNumberFormat="1" applyFont="1" applyFill="1" applyAlignment="1">
      <alignment horizontal="left" vertical="center"/>
    </xf>
    <xf numFmtId="0" fontId="36" fillId="0" borderId="0" xfId="2" applyFont="1" applyAlignment="1">
      <alignment horizontal="left" vertical="center"/>
    </xf>
    <xf numFmtId="1" fontId="19" fillId="6" borderId="1" xfId="3" applyNumberFormat="1" applyFont="1" applyFill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colors>
    <mruColors>
      <color rgb="FF0564C3"/>
      <color rgb="FF050505"/>
      <color rgb="FFD7D7D7"/>
      <color rgb="FF00143C"/>
      <color rgb="FF001E5F"/>
      <color rgb="FF232D37"/>
      <color rgb="FFDCEBF5"/>
      <color rgb="FFD7E1F0"/>
      <color rgb="FFF0F0F0"/>
      <color rgb="FFBE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15"/>
    <col min="5" max="21" width="9.7109375" style="215" customWidth="1"/>
    <col min="22" max="22" width="9.7109375" style="216" customWidth="1"/>
    <col min="23" max="23" width="107.42578125" style="215" customWidth="1"/>
    <col min="24" max="24" width="44.7109375" style="215" customWidth="1"/>
    <col min="25" max="26" width="9.7109375" style="215" customWidth="1"/>
    <col min="27" max="16384" width="9.140625" style="215"/>
  </cols>
  <sheetData>
    <row r="2" spans="1:23" ht="21" x14ac:dyDescent="0.35">
      <c r="A2" s="214"/>
      <c r="B2" s="230"/>
      <c r="C2" s="230"/>
      <c r="D2" s="230"/>
      <c r="E2" s="230"/>
      <c r="F2" s="230"/>
      <c r="G2" s="230"/>
      <c r="H2" s="230"/>
      <c r="I2" s="230"/>
      <c r="J2" s="230"/>
      <c r="K2" s="230"/>
    </row>
    <row r="3" spans="1:23" ht="15" customHeight="1" x14ac:dyDescent="0.25">
      <c r="B3" s="230"/>
      <c r="C3" s="230"/>
      <c r="D3" s="230"/>
      <c r="E3" s="230"/>
      <c r="F3" s="230"/>
      <c r="G3" s="230"/>
      <c r="H3" s="230"/>
      <c r="I3" s="230"/>
      <c r="J3" s="230"/>
      <c r="K3" s="230"/>
    </row>
    <row r="6" spans="1:23" ht="31.5" x14ac:dyDescent="0.25">
      <c r="A6" s="217"/>
      <c r="B6" s="218" t="s">
        <v>179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V6" s="215"/>
    </row>
    <row r="7" spans="1:23" ht="15" customHeight="1" x14ac:dyDescent="0.25">
      <c r="V7" s="215"/>
    </row>
    <row r="8" spans="1:23" ht="15" customHeight="1" x14ac:dyDescent="0.25">
      <c r="V8" s="215"/>
    </row>
    <row r="9" spans="1:23" ht="15" customHeight="1" x14ac:dyDescent="0.25">
      <c r="V9" s="215"/>
    </row>
    <row r="10" spans="1:23" ht="28.5" x14ac:dyDescent="0.25">
      <c r="C10" s="219" t="s">
        <v>188</v>
      </c>
      <c r="V10" s="215"/>
    </row>
    <row r="11" spans="1:23" ht="15" customHeight="1" x14ac:dyDescent="0.25">
      <c r="V11" s="215"/>
    </row>
    <row r="15" spans="1:23" ht="30" customHeight="1" x14ac:dyDescent="0.25">
      <c r="C15" s="219" t="s">
        <v>142</v>
      </c>
    </row>
    <row r="16" spans="1:23" ht="15" customHeight="1" x14ac:dyDescent="0.25">
      <c r="W16" s="220"/>
    </row>
    <row r="17" spans="12:32" ht="15" customHeight="1" x14ac:dyDescent="0.25">
      <c r="W17" s="220"/>
    </row>
    <row r="28" spans="12:32" ht="21" x14ac:dyDescent="0.25">
      <c r="L28" s="228" t="s">
        <v>0</v>
      </c>
      <c r="M28" s="228"/>
      <c r="N28" s="228"/>
      <c r="O28" s="228"/>
    </row>
    <row r="29" spans="12:32" ht="15" customHeight="1" x14ac:dyDescent="0.25">
      <c r="V29" s="215"/>
    </row>
    <row r="30" spans="12:32" ht="18.75" x14ac:dyDescent="0.25">
      <c r="L30" s="229">
        <v>45967.479467592595</v>
      </c>
      <c r="M30" s="229"/>
      <c r="N30" s="229"/>
      <c r="O30" s="229"/>
      <c r="V30" s="215"/>
    </row>
    <row r="31" spans="12:32" ht="15" customHeight="1" x14ac:dyDescent="0.25">
      <c r="L31" s="221" t="s">
        <v>180</v>
      </c>
      <c r="V31" s="215"/>
      <c r="AA31" s="222"/>
      <c r="AB31" s="222"/>
      <c r="AC31" s="222"/>
      <c r="AD31" s="222"/>
      <c r="AE31" s="222"/>
      <c r="AF31" s="222"/>
    </row>
    <row r="32" spans="12:32" ht="15" customHeight="1" x14ac:dyDescent="0.25">
      <c r="V32" s="215"/>
    </row>
    <row r="33" spans="2:32" ht="15" customHeight="1" x14ac:dyDescent="0.25">
      <c r="B33" s="223" t="s">
        <v>1</v>
      </c>
      <c r="V33" s="215"/>
    </row>
    <row r="34" spans="2:32" ht="15" customHeight="1" x14ac:dyDescent="0.25">
      <c r="B34" s="223"/>
      <c r="V34" s="223"/>
    </row>
    <row r="35" spans="2:32" ht="15" customHeight="1" x14ac:dyDescent="0.25">
      <c r="B35" s="223" t="s">
        <v>2</v>
      </c>
      <c r="V35" s="223"/>
    </row>
    <row r="36" spans="2:32" ht="15" customHeight="1" x14ac:dyDescent="0.25">
      <c r="B36" s="223" t="s">
        <v>3</v>
      </c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W36" s="222"/>
      <c r="X36" s="222"/>
      <c r="Y36" s="222"/>
      <c r="Z36" s="222"/>
    </row>
    <row r="38" spans="2:32" ht="15" customHeight="1" x14ac:dyDescent="0.25">
      <c r="B38" s="223" t="s">
        <v>4</v>
      </c>
    </row>
    <row r="39" spans="2:32" ht="15" customHeight="1" x14ac:dyDescent="0.25">
      <c r="B39" s="223" t="s">
        <v>5</v>
      </c>
    </row>
    <row r="40" spans="2:32" ht="15" customHeight="1" x14ac:dyDescent="0.25">
      <c r="B40" s="224" t="s">
        <v>6</v>
      </c>
      <c r="AA40" s="222"/>
      <c r="AB40" s="222"/>
      <c r="AC40" s="222"/>
      <c r="AD40" s="222"/>
      <c r="AE40" s="222"/>
      <c r="AF40" s="222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6"/>
  <sheetViews>
    <sheetView showGridLines="0" workbookViewId="0"/>
  </sheetViews>
  <sheetFormatPr defaultRowHeight="15" x14ac:dyDescent="0.25"/>
  <cols>
    <col min="1" max="1" width="7.7109375" customWidth="1"/>
    <col min="2" max="2" width="15.85546875" customWidth="1"/>
    <col min="3" max="3" width="2.85546875" customWidth="1"/>
    <col min="4" max="4" width="54.7109375" customWidth="1"/>
  </cols>
  <sheetData>
    <row r="1" spans="1:4" ht="18.75" x14ac:dyDescent="0.3">
      <c r="A1" s="6" t="s">
        <v>187</v>
      </c>
      <c r="B1" s="6" t="s">
        <v>188</v>
      </c>
      <c r="C1" s="2"/>
    </row>
    <row r="2" spans="1:4" ht="18.75" x14ac:dyDescent="0.3">
      <c r="A2" s="1"/>
      <c r="B2" s="2"/>
      <c r="C2" s="2"/>
    </row>
    <row r="3" spans="1:4" ht="18.75" x14ac:dyDescent="0.3">
      <c r="A3" s="1"/>
      <c r="B3" s="225" t="s">
        <v>16</v>
      </c>
      <c r="C3" s="3"/>
      <c r="D3" s="9"/>
    </row>
    <row r="4" spans="1:4" x14ac:dyDescent="0.25">
      <c r="A4" s="4"/>
      <c r="B4" s="7" t="str">
        <f ca="1">HYPERLINK("#"&amp;CELL("address",Transport!$B$2),MID(CELL("filename",Transport!$B$2),FIND("]",CELL("filename",Transport!$B$2))+1,256))</f>
        <v>Transport</v>
      </c>
      <c r="C4" s="5"/>
      <c r="D4" s="226" t="s">
        <v>7</v>
      </c>
    </row>
    <row r="5" spans="1:4" ht="5.0999999999999996" customHeight="1" x14ac:dyDescent="0.25">
      <c r="B5" s="7"/>
      <c r="C5" s="5"/>
      <c r="D5" s="2"/>
    </row>
    <row r="6" spans="1:4" x14ac:dyDescent="0.25">
      <c r="B6" s="7" t="str">
        <f ca="1">HYPERLINK("#"&amp;CELL("address",TrRoad_act!$B$2),MID(CELL("filename",TrRoad_act!$B$2),FIND("]",CELL("filename",TrRoad_act!$B$2))+1,256))</f>
        <v>TrRoad_act</v>
      </c>
      <c r="C6" s="5"/>
      <c r="D6" s="226" t="s">
        <v>8</v>
      </c>
    </row>
    <row r="7" spans="1:4" x14ac:dyDescent="0.25">
      <c r="B7" s="8" t="str">
        <f ca="1">HYPERLINK("#"&amp;CELL("address",TrRoad_ene!$B$2),MID(CELL("filename",TrRoad_ene!$B$2),FIND("]",CELL("filename",TrRoad_ene!$B$2))+1,256))</f>
        <v>TrRoad_ene</v>
      </c>
      <c r="C7" s="5"/>
      <c r="D7" s="227" t="s">
        <v>9</v>
      </c>
    </row>
    <row r="8" spans="1:4" x14ac:dyDescent="0.25">
      <c r="B8" s="8" t="str">
        <f ca="1">HYPERLINK("#"&amp;CELL("address",TrRoad_emi!$B$2),MID(CELL("filename",TrRoad_emi!$B$2),FIND("]",CELL("filename",TrRoad_emi!$B$2))+1,256))</f>
        <v>TrRoad_emi</v>
      </c>
      <c r="C8" s="5"/>
      <c r="D8" s="227" t="s">
        <v>10</v>
      </c>
    </row>
    <row r="9" spans="1:4" x14ac:dyDescent="0.25">
      <c r="B9" s="8" t="str">
        <f ca="1">HYPERLINK("#"&amp;CELL("address",TrRoad_tech!$B$2),MID(CELL("filename",TrRoad_tech!$B$2),FIND("]",CELL("filename",TrRoad_tech!$B$2))+1,256))</f>
        <v>TrRoad_tech</v>
      </c>
      <c r="C9" s="5"/>
      <c r="D9" s="227" t="s">
        <v>11</v>
      </c>
    </row>
    <row r="10" spans="1:4" ht="5.0999999999999996" customHeight="1" x14ac:dyDescent="0.25">
      <c r="B10" s="7"/>
      <c r="C10" s="5"/>
      <c r="D10" s="2"/>
    </row>
    <row r="11" spans="1:4" x14ac:dyDescent="0.25">
      <c r="B11" s="7" t="str">
        <f ca="1">HYPERLINK("#"&amp;CELL("address",TrRail_act!$B$2),MID(CELL("filename",TrRail_act!$B$2),FIND("]",CELL("filename",TrRail_act!$B$2))+1,256))</f>
        <v>TrRail_act</v>
      </c>
      <c r="C11" s="5"/>
      <c r="D11" s="226" t="s">
        <v>12</v>
      </c>
    </row>
    <row r="12" spans="1:4" x14ac:dyDescent="0.25">
      <c r="B12" s="8" t="str">
        <f ca="1">HYPERLINK("#"&amp;CELL("address",TrRail_ene!$B$2),MID(CELL("filename",TrRail_ene!$B$2),FIND("]",CELL("filename",TrRail_ene!$B$2))+1,256))</f>
        <v>TrRail_ene</v>
      </c>
      <c r="C12" s="5"/>
      <c r="D12" s="227" t="s">
        <v>9</v>
      </c>
    </row>
    <row r="13" spans="1:4" x14ac:dyDescent="0.25">
      <c r="B13" s="8" t="str">
        <f ca="1">HYPERLINK("#"&amp;CELL("address",TrRail_emi!$B$2),MID(CELL("filename",TrRail_emi!$B$2),FIND("]",CELL("filename",TrRail_emi!$B$2))+1,256))</f>
        <v>TrRail_emi</v>
      </c>
      <c r="C13" s="5"/>
      <c r="D13" s="227" t="s">
        <v>10</v>
      </c>
    </row>
    <row r="14" spans="1:4" ht="5.0999999999999996" customHeight="1" x14ac:dyDescent="0.25">
      <c r="B14" s="7"/>
      <c r="C14" s="5"/>
      <c r="D14" s="2"/>
    </row>
    <row r="15" spans="1:4" x14ac:dyDescent="0.25">
      <c r="B15" s="7" t="str">
        <f ca="1">HYPERLINK("#"&amp;CELL("address",TrAvia_act!$B$2),MID(CELL("filename",TrAvia_act!$B$2),FIND("]",CELL("filename",TrAvia_act!$B$2))+1,256))</f>
        <v>TrAvia_act</v>
      </c>
      <c r="C15" s="5"/>
      <c r="D15" s="226" t="s">
        <v>13</v>
      </c>
    </row>
    <row r="16" spans="1:4" x14ac:dyDescent="0.25">
      <c r="B16" s="8" t="str">
        <f ca="1">HYPERLINK("#"&amp;CELL("address",TrAvia_ene!$B$2),MID(CELL("filename",TrAvia_ene!$B$2),FIND("]",CELL("filename",TrAvia_ene!$B$2))+1,256))</f>
        <v>TrAvia_ene</v>
      </c>
      <c r="C16" s="5"/>
      <c r="D16" s="227" t="s">
        <v>9</v>
      </c>
    </row>
    <row r="17" spans="2:4" x14ac:dyDescent="0.25">
      <c r="B17" s="8" t="str">
        <f ca="1">HYPERLINK("#"&amp;CELL("address",TrAvia_emi!$B$2),MID(CELL("filename",TrAvia_emi!$B$2),FIND("]",CELL("filename",TrAvia_emi!$B$2))+1,256))</f>
        <v>TrAvia_emi</v>
      </c>
      <c r="C17" s="5"/>
      <c r="D17" s="227" t="s">
        <v>10</v>
      </c>
    </row>
    <row r="18" spans="2:4" x14ac:dyDescent="0.25">
      <c r="B18" s="8" t="str">
        <f ca="1">HYPERLINK("#"&amp;CELL("address",TrAvia_png!$B$2),MID(CELL("filename",TrAvia_png!$B$2),FIND("]",CELL("filename",TrAvia_png!$B$2))+1,256))</f>
        <v>TrAvia_png</v>
      </c>
      <c r="C18" s="5"/>
      <c r="D18" s="227" t="s">
        <v>14</v>
      </c>
    </row>
    <row r="19" spans="2:4" ht="5.0999999999999996" customHeight="1" x14ac:dyDescent="0.25">
      <c r="B19" s="7"/>
      <c r="C19" s="5"/>
      <c r="D19" s="2"/>
    </row>
    <row r="20" spans="2:4" x14ac:dyDescent="0.25">
      <c r="B20" s="7" t="str">
        <f ca="1">HYPERLINK("#"&amp;CELL("address",TrNavi_act!$B$2),MID(CELL("filename",TrNavi_act!$B$2),FIND("]",CELL("filename",TrNavi_act!$B$2))+1,256))</f>
        <v>TrNavi_act</v>
      </c>
      <c r="C20" s="5"/>
      <c r="D20" s="226" t="s">
        <v>15</v>
      </c>
    </row>
    <row r="21" spans="2:4" x14ac:dyDescent="0.25">
      <c r="B21" s="8" t="str">
        <f ca="1">HYPERLINK("#"&amp;CELL("address",TrNavi_ene!$B$2),MID(CELL("filename",TrNavi_ene!$B$2),FIND("]",CELL("filename",TrNavi_ene!$B$2))+1,256))</f>
        <v>TrNavi_ene</v>
      </c>
      <c r="C21" s="5"/>
      <c r="D21" s="227" t="s">
        <v>9</v>
      </c>
    </row>
    <row r="22" spans="2:4" x14ac:dyDescent="0.25">
      <c r="B22" s="8" t="str">
        <f ca="1">HYPERLINK("#"&amp;CELL("address",TrNavi_emi!$B$2),MID(CELL("filename",TrNavi_emi!$B$2),FIND("]",CELL("filename",TrNavi_emi!$B$2))+1,256))</f>
        <v>TrNavi_emi</v>
      </c>
      <c r="C22" s="5"/>
      <c r="D22" s="227" t="s">
        <v>10</v>
      </c>
    </row>
    <row r="23" spans="2:4" ht="5.0999999999999996" customHeight="1" x14ac:dyDescent="0.25">
      <c r="B23" s="7"/>
      <c r="C23" s="5"/>
      <c r="D23" s="2"/>
    </row>
    <row r="24" spans="2:4" x14ac:dyDescent="0.25">
      <c r="B24" s="7" t="str">
        <f ca="1">HYPERLINK("#"&amp;CELL("address",MBunk_act!$B$2),MID(CELL("filename",MBunk_act!$B$2),FIND("]",CELL("filename",MBunk_act!$B$2))+1,256))</f>
        <v>MBunk_act</v>
      </c>
      <c r="C24" s="5"/>
      <c r="D24" s="226" t="s">
        <v>165</v>
      </c>
    </row>
    <row r="25" spans="2:4" x14ac:dyDescent="0.25">
      <c r="B25" s="8" t="str">
        <f ca="1">HYPERLINK("#"&amp;CELL("address",MBunk_ene!$B$2),MID(CELL("filename",MBunk_ene!$B$2),FIND("]",CELL("filename",MBunk_ene!$B$2))+1,256))</f>
        <v>MBunk_ene</v>
      </c>
      <c r="C25" s="5"/>
      <c r="D25" s="227" t="s">
        <v>9</v>
      </c>
    </row>
    <row r="26" spans="2:4" x14ac:dyDescent="0.25">
      <c r="B26" s="8" t="str">
        <f ca="1">HYPERLINK("#"&amp;CELL("address",MBunk_emi!$B$2),MID(CELL("filename",MBunk_emi!$B$2),FIND("]",CELL("filename",MBunk_emi!$B$2))+1,256))</f>
        <v>MBunk_emi</v>
      </c>
      <c r="C26" s="5"/>
      <c r="D26" s="227" t="s">
        <v>10</v>
      </c>
    </row>
  </sheetData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A246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370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17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DA3" s="172"/>
    </row>
    <row r="4" spans="1:105" ht="11.45" customHeight="1" x14ac:dyDescent="0.25">
      <c r="A4" s="27" t="s">
        <v>18</v>
      </c>
      <c r="B4" s="28">
        <f t="shared" ref="B4:Q4" si="0">B5+B9+B13</f>
        <v>78997.995119842046</v>
      </c>
      <c r="C4" s="28">
        <f t="shared" si="0"/>
        <v>78967.983138432188</v>
      </c>
      <c r="D4" s="28">
        <f t="shared" si="0"/>
        <v>77616.276304702958</v>
      </c>
      <c r="E4" s="28">
        <f t="shared" si="0"/>
        <v>82249.880636148519</v>
      </c>
      <c r="F4" s="28">
        <f t="shared" si="0"/>
        <v>85239.389595635585</v>
      </c>
      <c r="G4" s="28">
        <f t="shared" si="0"/>
        <v>91182.181054322311</v>
      </c>
      <c r="H4" s="28">
        <f t="shared" si="0"/>
        <v>95033.331433162326</v>
      </c>
      <c r="I4" s="28">
        <f t="shared" si="0"/>
        <v>99394.316477428278</v>
      </c>
      <c r="J4" s="28">
        <f t="shared" si="0"/>
        <v>110805.98785180855</v>
      </c>
      <c r="K4" s="28">
        <f t="shared" si="0"/>
        <v>111989.51715423746</v>
      </c>
      <c r="L4" s="28">
        <f t="shared" si="0"/>
        <v>110777.26075367301</v>
      </c>
      <c r="M4" s="28">
        <f t="shared" si="0"/>
        <v>110168.89596402229</v>
      </c>
      <c r="N4" s="28">
        <f t="shared" si="0"/>
        <v>113565.84894395364</v>
      </c>
      <c r="O4" s="28">
        <f t="shared" si="0"/>
        <v>117643.82820228214</v>
      </c>
      <c r="P4" s="28">
        <f t="shared" si="0"/>
        <v>125415.03618129733</v>
      </c>
      <c r="Q4" s="28">
        <f t="shared" si="0"/>
        <v>134923.15650886198</v>
      </c>
      <c r="R4" s="28">
        <f t="shared" ref="R4:V4" si="1">R5+R9+R13</f>
        <v>143497.03753349205</v>
      </c>
      <c r="S4" s="28">
        <f t="shared" si="1"/>
        <v>147406.66516274601</v>
      </c>
      <c r="T4" s="28">
        <f t="shared" si="1"/>
        <v>157010.43648148439</v>
      </c>
      <c r="U4" s="28">
        <f t="shared" si="1"/>
        <v>165552.91550207816</v>
      </c>
      <c r="V4" s="28">
        <f t="shared" si="1"/>
        <v>130985.52843926876</v>
      </c>
      <c r="W4" s="28">
        <f t="shared" ref="W4:Y4" si="2">W5+W9+W13</f>
        <v>145136.80345154781</v>
      </c>
      <c r="X4" s="28">
        <f t="shared" si="2"/>
        <v>164140.59090159551</v>
      </c>
      <c r="Y4" s="28">
        <f t="shared" si="2"/>
        <v>177881.76045262694</v>
      </c>
      <c r="DA4" s="173" t="s">
        <v>371</v>
      </c>
    </row>
    <row r="5" spans="1:105" ht="11.45" customHeight="1" x14ac:dyDescent="0.25">
      <c r="A5" s="136" t="s">
        <v>19</v>
      </c>
      <c r="B5" s="137">
        <f t="shared" ref="B5:Q5" si="3">B6+B7+B8</f>
        <v>58977.307773178742</v>
      </c>
      <c r="C5" s="137">
        <f t="shared" si="3"/>
        <v>59849.064464163443</v>
      </c>
      <c r="D5" s="137">
        <f t="shared" si="3"/>
        <v>61261.778102206976</v>
      </c>
      <c r="E5" s="137">
        <f t="shared" si="3"/>
        <v>65732.01231725156</v>
      </c>
      <c r="F5" s="137">
        <f t="shared" si="3"/>
        <v>67718.327757605177</v>
      </c>
      <c r="G5" s="137">
        <f t="shared" si="3"/>
        <v>73094.307151195244</v>
      </c>
      <c r="H5" s="137">
        <f t="shared" si="3"/>
        <v>76144.50778428388</v>
      </c>
      <c r="I5" s="137">
        <f t="shared" si="3"/>
        <v>79990.173250215186</v>
      </c>
      <c r="J5" s="137">
        <f t="shared" si="3"/>
        <v>91109.107745909816</v>
      </c>
      <c r="K5" s="137">
        <f t="shared" si="3"/>
        <v>93062.107590179454</v>
      </c>
      <c r="L5" s="137">
        <f t="shared" si="3"/>
        <v>91790.929005354992</v>
      </c>
      <c r="M5" s="137">
        <f t="shared" si="3"/>
        <v>91015.475080704928</v>
      </c>
      <c r="N5" s="137">
        <f t="shared" si="3"/>
        <v>94477.140270162447</v>
      </c>
      <c r="O5" s="137">
        <f t="shared" si="3"/>
        <v>98015.098044381186</v>
      </c>
      <c r="P5" s="137">
        <f t="shared" si="3"/>
        <v>104133.13795115391</v>
      </c>
      <c r="Q5" s="137">
        <f t="shared" si="3"/>
        <v>115366.21107872232</v>
      </c>
      <c r="R5" s="137">
        <f t="shared" ref="R5:V5" si="4">R6+R7+R8</f>
        <v>121912.71845486473</v>
      </c>
      <c r="S5" s="137">
        <f t="shared" si="4"/>
        <v>122988.77897378545</v>
      </c>
      <c r="T5" s="137">
        <f t="shared" si="4"/>
        <v>131163.04254122192</v>
      </c>
      <c r="U5" s="137">
        <f t="shared" si="4"/>
        <v>137887.670952616</v>
      </c>
      <c r="V5" s="137">
        <f t="shared" si="4"/>
        <v>118442.7931124395</v>
      </c>
      <c r="W5" s="137">
        <f t="shared" ref="W5:Y5" si="5">W6+W7+W8</f>
        <v>129364.80316283407</v>
      </c>
      <c r="X5" s="137">
        <f t="shared" si="5"/>
        <v>138953.29169380898</v>
      </c>
      <c r="Y5" s="137">
        <f t="shared" si="5"/>
        <v>149259.14565017441</v>
      </c>
      <c r="DA5" s="174" t="s">
        <v>372</v>
      </c>
    </row>
    <row r="6" spans="1:105" ht="11.45" customHeight="1" x14ac:dyDescent="0.25">
      <c r="A6" s="128" t="str">
        <f>TrRoad_act!$A$5</f>
        <v>Powered two-wheelers</v>
      </c>
      <c r="B6" s="102">
        <f>TrRoad_act!B$5</f>
        <v>277.30777317873964</v>
      </c>
      <c r="C6" s="102">
        <f>TrRoad_act!C$5</f>
        <v>276.0644641634355</v>
      </c>
      <c r="D6" s="102">
        <f>TrRoad_act!D$5</f>
        <v>274.77810220697341</v>
      </c>
      <c r="E6" s="102">
        <f>TrRoad_act!E$5</f>
        <v>277.01231725156731</v>
      </c>
      <c r="F6" s="102">
        <f>TrRoad_act!F$5</f>
        <v>280.3277576051679</v>
      </c>
      <c r="G6" s="102">
        <f>TrRoad_act!G$5</f>
        <v>283.30715119524132</v>
      </c>
      <c r="H6" s="102">
        <f>TrRoad_act!H$5</f>
        <v>309.50778428388924</v>
      </c>
      <c r="I6" s="102">
        <f>TrRoad_act!I$5</f>
        <v>334.17325021518127</v>
      </c>
      <c r="J6" s="102">
        <f>TrRoad_act!J$5</f>
        <v>415.10774590981339</v>
      </c>
      <c r="K6" s="102">
        <f>TrRoad_act!K$5</f>
        <v>454.10759017945537</v>
      </c>
      <c r="L6" s="102">
        <f>TrRoad_act!L$5</f>
        <v>478.92900535498671</v>
      </c>
      <c r="M6" s="102">
        <f>TrRoad_act!M$5</f>
        <v>508.13692738445474</v>
      </c>
      <c r="N6" s="102">
        <f>TrRoad_act!N$5</f>
        <v>531.08066316236909</v>
      </c>
      <c r="O6" s="102">
        <f>TrRoad_act!O$5</f>
        <v>569.67971832511432</v>
      </c>
      <c r="P6" s="102">
        <f>TrRoad_act!P$5</f>
        <v>600.2780789124397</v>
      </c>
      <c r="Q6" s="102">
        <f>TrRoad_act!Q$5</f>
        <v>635.58169818879969</v>
      </c>
      <c r="R6" s="102">
        <f>TrRoad_act!R$5</f>
        <v>689.34161048830151</v>
      </c>
      <c r="S6" s="102">
        <f>TrRoad_act!S$5</f>
        <v>657.7655935010755</v>
      </c>
      <c r="T6" s="102">
        <f>TrRoad_act!T$5</f>
        <v>633.38280477860326</v>
      </c>
      <c r="U6" s="102">
        <f>TrRoad_act!U$5</f>
        <v>678.5830958757889</v>
      </c>
      <c r="V6" s="102">
        <f>TrRoad_act!V$5</f>
        <v>618.03659897350849</v>
      </c>
      <c r="W6" s="102">
        <f>TrRoad_act!W$5</f>
        <v>653.7406325271196</v>
      </c>
      <c r="X6" s="102">
        <f>TrRoad_act!X$5</f>
        <v>674.40938619745305</v>
      </c>
      <c r="Y6" s="102">
        <f>TrRoad_act!Y$5</f>
        <v>742.98587901519738</v>
      </c>
      <c r="DA6" s="175" t="s">
        <v>373</v>
      </c>
    </row>
    <row r="7" spans="1:105" ht="11.45" customHeight="1" x14ac:dyDescent="0.25">
      <c r="A7" s="128" t="str">
        <f>TrRoad_act!$A$6</f>
        <v>Passenger cars</v>
      </c>
      <c r="B7" s="102">
        <f>TrRoad_act!B$6</f>
        <v>51000</v>
      </c>
      <c r="C7" s="102">
        <f>TrRoad_act!C$6</f>
        <v>52500.000000000007</v>
      </c>
      <c r="D7" s="102">
        <f>TrRoad_act!D$6</f>
        <v>54000</v>
      </c>
      <c r="E7" s="102">
        <f>TrRoad_act!E$6</f>
        <v>56000</v>
      </c>
      <c r="F7" s="102">
        <f>TrRoad_act!F$6</f>
        <v>58000</v>
      </c>
      <c r="G7" s="102">
        <f>TrRoad_act!G$6</f>
        <v>61000.000000000007</v>
      </c>
      <c r="H7" s="102">
        <f>TrRoad_act!H$6</f>
        <v>64099.999999999993</v>
      </c>
      <c r="I7" s="102">
        <f>TrRoad_act!I$6</f>
        <v>67500</v>
      </c>
      <c r="J7" s="102">
        <f>TrRoad_act!J$6</f>
        <v>70500</v>
      </c>
      <c r="K7" s="102">
        <f>TrRoad_act!K$6</f>
        <v>75500</v>
      </c>
      <c r="L7" s="102">
        <f>TrRoad_act!L$6</f>
        <v>75500</v>
      </c>
      <c r="M7" s="102">
        <f>TrRoad_act!M$6</f>
        <v>74978.338153320467</v>
      </c>
      <c r="N7" s="102">
        <f>TrRoad_act!N$6</f>
        <v>77045.059607000076</v>
      </c>
      <c r="O7" s="102">
        <f>TrRoad_act!O$6</f>
        <v>80363.418326056068</v>
      </c>
      <c r="P7" s="102">
        <f>TrRoad_act!P$6</f>
        <v>85193.859872241475</v>
      </c>
      <c r="Q7" s="102">
        <f>TrRoad_act!Q$6</f>
        <v>89866.362080533509</v>
      </c>
      <c r="R7" s="102">
        <f>TrRoad_act!R$6</f>
        <v>95591.682544376425</v>
      </c>
      <c r="S7" s="102">
        <f>TrRoad_act!S$6</f>
        <v>97303.330280284368</v>
      </c>
      <c r="T7" s="102">
        <f>TrRoad_act!T$6</f>
        <v>103803.3617364433</v>
      </c>
      <c r="U7" s="102">
        <f>TrRoad_act!U$6</f>
        <v>110510.03785674022</v>
      </c>
      <c r="V7" s="102">
        <f>TrRoad_act!V$6</f>
        <v>99122.721513465978</v>
      </c>
      <c r="W7" s="102">
        <f>TrRoad_act!W$6</f>
        <v>108998.75153030695</v>
      </c>
      <c r="X7" s="102">
        <f>TrRoad_act!X$6</f>
        <v>117002.61930761153</v>
      </c>
      <c r="Y7" s="102">
        <f>TrRoad_act!Y$6</f>
        <v>124023.67543293408</v>
      </c>
      <c r="DA7" s="175" t="s">
        <v>374</v>
      </c>
    </row>
    <row r="8" spans="1:105" ht="11.45" customHeight="1" x14ac:dyDescent="0.25">
      <c r="A8" s="128" t="str">
        <f>TrRoad_act!$A$13</f>
        <v>Motor coaches, buses and trolley buses</v>
      </c>
      <c r="B8" s="102">
        <f>TrRoad_act!B$13</f>
        <v>7699.9999999999991</v>
      </c>
      <c r="C8" s="102">
        <f>TrRoad_act!C$13</f>
        <v>7073</v>
      </c>
      <c r="D8" s="102">
        <f>TrRoad_act!D$13</f>
        <v>6987</v>
      </c>
      <c r="E8" s="102">
        <f>TrRoad_act!E$13</f>
        <v>9455</v>
      </c>
      <c r="F8" s="102">
        <f>TrRoad_act!F$13</f>
        <v>9438.0000000000018</v>
      </c>
      <c r="G8" s="102">
        <f>TrRoad_act!G$13</f>
        <v>11811</v>
      </c>
      <c r="H8" s="102">
        <f>TrRoad_act!H$13</f>
        <v>11735</v>
      </c>
      <c r="I8" s="102">
        <f>TrRoad_act!I$13</f>
        <v>12156</v>
      </c>
      <c r="J8" s="102">
        <f>TrRoad_act!J$13</f>
        <v>20194</v>
      </c>
      <c r="K8" s="102">
        <f>TrRoad_act!K$13</f>
        <v>17108</v>
      </c>
      <c r="L8" s="102">
        <f>TrRoad_act!L$13</f>
        <v>15811.999999999998</v>
      </c>
      <c r="M8" s="102">
        <f>TrRoad_act!M$13</f>
        <v>15529</v>
      </c>
      <c r="N8" s="102">
        <f>TrRoad_act!N$13</f>
        <v>16901</v>
      </c>
      <c r="O8" s="102">
        <f>TrRoad_act!O$13</f>
        <v>17082</v>
      </c>
      <c r="P8" s="102">
        <f>TrRoad_act!P$13</f>
        <v>18339</v>
      </c>
      <c r="Q8" s="102">
        <f>TrRoad_act!Q$13</f>
        <v>24864.267300000007</v>
      </c>
      <c r="R8" s="102">
        <f>TrRoad_act!R$13</f>
        <v>25631.694299999999</v>
      </c>
      <c r="S8" s="102">
        <f>TrRoad_act!S$13</f>
        <v>25027.683100000009</v>
      </c>
      <c r="T8" s="102">
        <f>TrRoad_act!T$13</f>
        <v>26726.298000000006</v>
      </c>
      <c r="U8" s="102">
        <f>TrRoad_act!U$13</f>
        <v>26699.05</v>
      </c>
      <c r="V8" s="102">
        <f>TrRoad_act!V$13</f>
        <v>18702.035000000003</v>
      </c>
      <c r="W8" s="102">
        <f>TrRoad_act!W$13</f>
        <v>19712.310999999998</v>
      </c>
      <c r="X8" s="102">
        <f>TrRoad_act!X$13</f>
        <v>21276.263000000003</v>
      </c>
      <c r="Y8" s="102">
        <f>TrRoad_act!Y$13</f>
        <v>24492.484338225131</v>
      </c>
      <c r="DA8" s="175" t="s">
        <v>375</v>
      </c>
    </row>
    <row r="9" spans="1:105" ht="11.45" customHeight="1" x14ac:dyDescent="0.25">
      <c r="A9" s="109" t="s">
        <v>22</v>
      </c>
      <c r="B9" s="110">
        <f t="shared" ref="B9:Q9" si="6">B10+B11+B12</f>
        <v>17632</v>
      </c>
      <c r="C9" s="110">
        <f t="shared" si="6"/>
        <v>16965</v>
      </c>
      <c r="D9" s="110">
        <f t="shared" si="6"/>
        <v>14502</v>
      </c>
      <c r="E9" s="110">
        <f t="shared" si="6"/>
        <v>14274.215</v>
      </c>
      <c r="F9" s="110">
        <f t="shared" si="6"/>
        <v>14830.045</v>
      </c>
      <c r="G9" s="110">
        <f t="shared" si="6"/>
        <v>14581.908000000001</v>
      </c>
      <c r="H9" s="110">
        <f t="shared" si="6"/>
        <v>14892</v>
      </c>
      <c r="I9" s="110">
        <f t="shared" si="6"/>
        <v>14376</v>
      </c>
      <c r="J9" s="110">
        <f t="shared" si="6"/>
        <v>13958</v>
      </c>
      <c r="K9" s="110">
        <f t="shared" si="6"/>
        <v>13175</v>
      </c>
      <c r="L9" s="110">
        <f t="shared" si="6"/>
        <v>12575.710097776035</v>
      </c>
      <c r="M9" s="110">
        <f t="shared" si="6"/>
        <v>12134.903365925345</v>
      </c>
      <c r="N9" s="110">
        <f t="shared" si="6"/>
        <v>12119.372713565321</v>
      </c>
      <c r="O9" s="110">
        <f t="shared" si="6"/>
        <v>12162.718100556631</v>
      </c>
      <c r="P9" s="110">
        <f t="shared" si="6"/>
        <v>12976</v>
      </c>
      <c r="Q9" s="110">
        <f t="shared" si="6"/>
        <v>10056.7016</v>
      </c>
      <c r="R9" s="110">
        <f t="shared" ref="R9:V9" si="7">R10+R11+R12</f>
        <v>10056.3649</v>
      </c>
      <c r="S9" s="110">
        <f t="shared" si="7"/>
        <v>10786.612999999999</v>
      </c>
      <c r="T9" s="110">
        <f t="shared" si="7"/>
        <v>10578.557000000001</v>
      </c>
      <c r="U9" s="110">
        <f t="shared" si="7"/>
        <v>10835.231</v>
      </c>
      <c r="V9" s="110">
        <f t="shared" si="7"/>
        <v>7156.1090000000004</v>
      </c>
      <c r="W9" s="110">
        <f t="shared" ref="W9:Y9" si="8">W10+W11+W12</f>
        <v>7473.6129999999994</v>
      </c>
      <c r="X9" s="110">
        <f t="shared" si="8"/>
        <v>9853.2480000000014</v>
      </c>
      <c r="Y9" s="110">
        <f t="shared" si="8"/>
        <v>10667.045</v>
      </c>
      <c r="DA9" s="176" t="s">
        <v>376</v>
      </c>
    </row>
    <row r="10" spans="1:105" ht="11.45" customHeight="1" x14ac:dyDescent="0.25">
      <c r="A10" s="128" t="str">
        <f>TrRail_act!$A$5</f>
        <v>Metro and tram, urban light rail</v>
      </c>
      <c r="B10" s="102">
        <f>TrRail_act!B$5</f>
        <v>6000</v>
      </c>
      <c r="C10" s="102">
        <f>TrRail_act!C$5</f>
        <v>6000</v>
      </c>
      <c r="D10" s="102">
        <f>TrRail_act!D$5</f>
        <v>6000</v>
      </c>
      <c r="E10" s="102">
        <f>TrRail_act!E$5</f>
        <v>5777.2150000000001</v>
      </c>
      <c r="F10" s="102">
        <f>TrRail_act!F$5</f>
        <v>6192.0450000000001</v>
      </c>
      <c r="G10" s="102">
        <f>TrRail_act!G$5</f>
        <v>6596.9080000000013</v>
      </c>
      <c r="H10" s="102">
        <f>TrRail_act!H$5</f>
        <v>6800</v>
      </c>
      <c r="I10" s="102">
        <f>TrRail_act!I$5</f>
        <v>6900</v>
      </c>
      <c r="J10" s="102">
        <f>TrRail_act!J$5</f>
        <v>7000</v>
      </c>
      <c r="K10" s="102">
        <f>TrRail_act!K$5</f>
        <v>7047</v>
      </c>
      <c r="L10" s="102">
        <f>TrRail_act!L$5</f>
        <v>7138.7100977760347</v>
      </c>
      <c r="M10" s="102">
        <f>TrRail_act!M$5</f>
        <v>7061.9033659253455</v>
      </c>
      <c r="N10" s="102">
        <f>TrRail_act!N$5</f>
        <v>7548.3727135653216</v>
      </c>
      <c r="O10" s="102">
        <f>TrRail_act!O$5</f>
        <v>7751.7181005566317</v>
      </c>
      <c r="P10" s="102">
        <f>TrRail_act!P$5</f>
        <v>8000</v>
      </c>
      <c r="Q10" s="102">
        <f>TrRail_act!Q$5</f>
        <v>4907.7016000000003</v>
      </c>
      <c r="R10" s="102">
        <f>TrRail_act!R$5</f>
        <v>5068.3648999999996</v>
      </c>
      <c r="S10" s="102">
        <f>TrRail_act!S$5</f>
        <v>5123.6129999999994</v>
      </c>
      <c r="T10" s="102">
        <f>TrRail_act!T$5</f>
        <v>5001.5569999999998</v>
      </c>
      <c r="U10" s="102">
        <f>TrRail_act!U$5</f>
        <v>4929.2309999999998</v>
      </c>
      <c r="V10" s="102">
        <f>TrRail_act!V$5</f>
        <v>3436.1089999999999</v>
      </c>
      <c r="W10" s="102">
        <f>TrRail_act!W$5</f>
        <v>3202.6129999999998</v>
      </c>
      <c r="X10" s="102">
        <f>TrRail_act!X$5</f>
        <v>4058.248000000001</v>
      </c>
      <c r="Y10" s="102">
        <f>TrRail_act!Y$5</f>
        <v>4516.0450000000001</v>
      </c>
      <c r="DA10" s="175" t="s">
        <v>377</v>
      </c>
    </row>
    <row r="11" spans="1:105" ht="11.45" customHeight="1" x14ac:dyDescent="0.25">
      <c r="A11" s="128" t="str">
        <f>TrRail_act!$A$6</f>
        <v>Conventional passenger trains</v>
      </c>
      <c r="B11" s="102">
        <f>TrRail_act!B$6</f>
        <v>11632</v>
      </c>
      <c r="C11" s="102">
        <f>TrRail_act!C$6</f>
        <v>10965</v>
      </c>
      <c r="D11" s="102">
        <f>TrRail_act!D$6</f>
        <v>8502</v>
      </c>
      <c r="E11" s="102">
        <f>TrRail_act!E$6</f>
        <v>8497</v>
      </c>
      <c r="F11" s="102">
        <f>TrRail_act!F$6</f>
        <v>8638</v>
      </c>
      <c r="G11" s="102">
        <f>TrRail_act!G$6</f>
        <v>7985</v>
      </c>
      <c r="H11" s="102">
        <f>TrRail_act!H$6</f>
        <v>8092.0000000000009</v>
      </c>
      <c r="I11" s="102">
        <f>TrRail_act!I$6</f>
        <v>7476</v>
      </c>
      <c r="J11" s="102">
        <f>TrRail_act!J$6</f>
        <v>6958</v>
      </c>
      <c r="K11" s="102">
        <f>TrRail_act!K$6</f>
        <v>6128</v>
      </c>
      <c r="L11" s="102">
        <f>TrRail_act!L$6</f>
        <v>5437</v>
      </c>
      <c r="M11" s="102">
        <f>TrRail_act!M$6</f>
        <v>5073</v>
      </c>
      <c r="N11" s="102">
        <f>TrRail_act!N$6</f>
        <v>4571</v>
      </c>
      <c r="O11" s="102">
        <f>TrRail_act!O$6</f>
        <v>4411</v>
      </c>
      <c r="P11" s="102">
        <f>TrRail_act!P$6</f>
        <v>4976</v>
      </c>
      <c r="Q11" s="102">
        <f>TrRail_act!Q$6</f>
        <v>5149</v>
      </c>
      <c r="R11" s="102">
        <f>TrRail_act!R$6</f>
        <v>4988</v>
      </c>
      <c r="S11" s="102">
        <f>TrRail_act!S$6</f>
        <v>5663</v>
      </c>
      <c r="T11" s="102">
        <f>TrRail_act!T$6</f>
        <v>5577</v>
      </c>
      <c r="U11" s="102">
        <f>TrRail_act!U$6</f>
        <v>5906</v>
      </c>
      <c r="V11" s="102">
        <f>TrRail_act!V$6</f>
        <v>3720</v>
      </c>
      <c r="W11" s="102">
        <f>TrRail_act!W$6</f>
        <v>4271</v>
      </c>
      <c r="X11" s="102">
        <f>TrRail_act!X$6</f>
        <v>5795</v>
      </c>
      <c r="Y11" s="102">
        <f>TrRail_act!Y$6</f>
        <v>6151</v>
      </c>
      <c r="DA11" s="175" t="s">
        <v>378</v>
      </c>
    </row>
    <row r="12" spans="1:105" ht="11.45" customHeight="1" x14ac:dyDescent="0.25">
      <c r="A12" s="128" t="str">
        <f>TrRail_act!$A$9</f>
        <v>High speed passenger trains</v>
      </c>
      <c r="B12" s="102">
        <f>TrRail_act!B$9</f>
        <v>0</v>
      </c>
      <c r="C12" s="102">
        <f>TrRail_act!C$9</f>
        <v>0</v>
      </c>
      <c r="D12" s="102">
        <f>TrRail_act!D$9</f>
        <v>0</v>
      </c>
      <c r="E12" s="102">
        <f>TrRail_act!E$9</f>
        <v>0</v>
      </c>
      <c r="F12" s="102">
        <f>TrRail_act!F$9</f>
        <v>0</v>
      </c>
      <c r="G12" s="102">
        <f>TrRail_act!G$9</f>
        <v>0</v>
      </c>
      <c r="H12" s="102">
        <f>TrRail_act!H$9</f>
        <v>0</v>
      </c>
      <c r="I12" s="102">
        <f>TrRail_act!I$9</f>
        <v>0</v>
      </c>
      <c r="J12" s="102">
        <f>TrRail_act!J$9</f>
        <v>0</v>
      </c>
      <c r="K12" s="102">
        <f>TrRail_act!K$9</f>
        <v>0</v>
      </c>
      <c r="L12" s="102">
        <f>TrRail_act!L$9</f>
        <v>0</v>
      </c>
      <c r="M12" s="102">
        <f>TrRail_act!M$9</f>
        <v>0</v>
      </c>
      <c r="N12" s="102">
        <f>TrRail_act!N$9</f>
        <v>0</v>
      </c>
      <c r="O12" s="102">
        <f>TrRail_act!O$9</f>
        <v>0</v>
      </c>
      <c r="P12" s="102">
        <f>TrRail_act!P$9</f>
        <v>0</v>
      </c>
      <c r="Q12" s="102">
        <f>TrRail_act!Q$9</f>
        <v>0</v>
      </c>
      <c r="R12" s="102">
        <f>TrRail_act!R$9</f>
        <v>0</v>
      </c>
      <c r="S12" s="102">
        <f>TrRail_act!S$9</f>
        <v>0</v>
      </c>
      <c r="T12" s="102">
        <f>TrRail_act!T$9</f>
        <v>0</v>
      </c>
      <c r="U12" s="102">
        <f>TrRail_act!U$9</f>
        <v>0</v>
      </c>
      <c r="V12" s="102">
        <f>TrRail_act!V$9</f>
        <v>0</v>
      </c>
      <c r="W12" s="102">
        <f>TrRail_act!W$9</f>
        <v>0</v>
      </c>
      <c r="X12" s="102">
        <f>TrRail_act!X$9</f>
        <v>0</v>
      </c>
      <c r="Y12" s="102">
        <f>TrRail_act!Y$9</f>
        <v>0</v>
      </c>
      <c r="DA12" s="175" t="s">
        <v>379</v>
      </c>
    </row>
    <row r="13" spans="1:105" ht="11.45" customHeight="1" x14ac:dyDescent="0.25">
      <c r="A13" s="109" t="s">
        <v>26</v>
      </c>
      <c r="B13" s="110">
        <f t="shared" ref="B13" si="9">B14+B15+B16</f>
        <v>2388.6873466633119</v>
      </c>
      <c r="C13" s="110">
        <f t="shared" ref="C13:V13" si="10">C14+C15+C16</f>
        <v>2153.9186742687493</v>
      </c>
      <c r="D13" s="110">
        <f t="shared" si="10"/>
        <v>1852.4982024959904</v>
      </c>
      <c r="E13" s="110">
        <f t="shared" si="10"/>
        <v>2243.6533188969606</v>
      </c>
      <c r="F13" s="110">
        <f t="shared" si="10"/>
        <v>2691.0168380304044</v>
      </c>
      <c r="G13" s="110">
        <f t="shared" si="10"/>
        <v>3505.965903127073</v>
      </c>
      <c r="H13" s="110">
        <f t="shared" si="10"/>
        <v>3996.8236488784391</v>
      </c>
      <c r="I13" s="110">
        <f t="shared" si="10"/>
        <v>5028.143227213096</v>
      </c>
      <c r="J13" s="110">
        <f t="shared" si="10"/>
        <v>5738.8801058987265</v>
      </c>
      <c r="K13" s="110">
        <f t="shared" si="10"/>
        <v>5752.4095640580017</v>
      </c>
      <c r="L13" s="110">
        <f t="shared" si="10"/>
        <v>6410.621650541987</v>
      </c>
      <c r="M13" s="110">
        <f t="shared" si="10"/>
        <v>7018.5175173920197</v>
      </c>
      <c r="N13" s="110">
        <f t="shared" si="10"/>
        <v>6969.3359602258652</v>
      </c>
      <c r="O13" s="110">
        <f t="shared" si="10"/>
        <v>7466.0120573443055</v>
      </c>
      <c r="P13" s="110">
        <f t="shared" si="10"/>
        <v>8305.8982301434116</v>
      </c>
      <c r="Q13" s="110">
        <f t="shared" si="10"/>
        <v>9500.2438301396669</v>
      </c>
      <c r="R13" s="110">
        <f t="shared" si="10"/>
        <v>11527.954178627322</v>
      </c>
      <c r="S13" s="110">
        <f t="shared" si="10"/>
        <v>13631.27318896056</v>
      </c>
      <c r="T13" s="110">
        <f t="shared" si="10"/>
        <v>15268.836940262478</v>
      </c>
      <c r="U13" s="110">
        <f t="shared" si="10"/>
        <v>16830.013549462154</v>
      </c>
      <c r="V13" s="110">
        <f t="shared" si="10"/>
        <v>5386.626326829266</v>
      </c>
      <c r="W13" s="110">
        <f t="shared" ref="W13:Y13" si="11">W14+W15+W16</f>
        <v>8298.3872887137404</v>
      </c>
      <c r="X13" s="110">
        <f t="shared" si="11"/>
        <v>15334.05120778655</v>
      </c>
      <c r="Y13" s="110">
        <f t="shared" si="11"/>
        <v>17955.569802452515</v>
      </c>
      <c r="DA13" s="176" t="s">
        <v>190</v>
      </c>
    </row>
    <row r="14" spans="1:105" ht="11.45" customHeight="1" x14ac:dyDescent="0.25">
      <c r="A14" s="128" t="s">
        <v>27</v>
      </c>
      <c r="B14" s="102">
        <f>TrAvia_act!B$5</f>
        <v>48.233402877309558</v>
      </c>
      <c r="C14" s="102">
        <f>TrAvia_act!C$5</f>
        <v>24.216685747957509</v>
      </c>
      <c r="D14" s="102">
        <f>TrAvia_act!D$5</f>
        <v>16.27314067450018</v>
      </c>
      <c r="E14" s="102">
        <f>TrAvia_act!E$5</f>
        <v>16.407494590125722</v>
      </c>
      <c r="F14" s="102">
        <f>TrAvia_act!F$5</f>
        <v>97.14829602948457</v>
      </c>
      <c r="G14" s="102">
        <f>TrAvia_act!G$5</f>
        <v>116.55234124135322</v>
      </c>
      <c r="H14" s="102">
        <f>TrAvia_act!H$5</f>
        <v>126.11270827223298</v>
      </c>
      <c r="I14" s="102">
        <f>TrAvia_act!I$5</f>
        <v>148.30793205822903</v>
      </c>
      <c r="J14" s="102">
        <f>TrAvia_act!J$5</f>
        <v>186.33984036548284</v>
      </c>
      <c r="K14" s="102">
        <f>TrAvia_act!K$5</f>
        <v>175.13869463932974</v>
      </c>
      <c r="L14" s="102">
        <f>TrAvia_act!L$5</f>
        <v>221.58644563984163</v>
      </c>
      <c r="M14" s="102">
        <f>TrAvia_act!M$5</f>
        <v>228.5243100313902</v>
      </c>
      <c r="N14" s="102">
        <f>TrAvia_act!N$5</f>
        <v>207.46565117877802</v>
      </c>
      <c r="O14" s="102">
        <f>TrAvia_act!O$5</f>
        <v>195.6343385651974</v>
      </c>
      <c r="P14" s="102">
        <f>TrAvia_act!P$5</f>
        <v>177.32177307416194</v>
      </c>
      <c r="Q14" s="102">
        <f>TrAvia_act!Q$5</f>
        <v>185.43963246210336</v>
      </c>
      <c r="R14" s="102">
        <f>TrAvia_act!R$5</f>
        <v>324.08229509248582</v>
      </c>
      <c r="S14" s="102">
        <f>TrAvia_act!S$5</f>
        <v>498.04271219933332</v>
      </c>
      <c r="T14" s="102">
        <f>TrAvia_act!T$5</f>
        <v>506.45205080587772</v>
      </c>
      <c r="U14" s="102">
        <f>TrAvia_act!U$5</f>
        <v>489.28929636191077</v>
      </c>
      <c r="V14" s="102">
        <f>TrAvia_act!V$5</f>
        <v>157.6958988395229</v>
      </c>
      <c r="W14" s="102">
        <f>TrAvia_act!W$5</f>
        <v>234.7747832775529</v>
      </c>
      <c r="X14" s="102">
        <f>TrAvia_act!X$5</f>
        <v>351.71147086704701</v>
      </c>
      <c r="Y14" s="102">
        <f>TrAvia_act!Y$5</f>
        <v>323.43927468784193</v>
      </c>
      <c r="DA14" s="175" t="s">
        <v>191</v>
      </c>
    </row>
    <row r="15" spans="1:105" ht="11.45" customHeight="1" x14ac:dyDescent="0.25">
      <c r="A15" s="128" t="s">
        <v>181</v>
      </c>
      <c r="B15" s="102">
        <f>TrAvia_act!B$6</f>
        <v>2009.5540127948314</v>
      </c>
      <c r="C15" s="102">
        <f>TrAvia_act!C$6</f>
        <v>1830.5200339866601</v>
      </c>
      <c r="D15" s="102">
        <f>TrAvia_act!D$6</f>
        <v>1579.2312979124545</v>
      </c>
      <c r="E15" s="102">
        <f>TrAvia_act!E$6</f>
        <v>1913.3883258604296</v>
      </c>
      <c r="F15" s="102">
        <f>TrAvia_act!F$6</f>
        <v>2222.6883940648986</v>
      </c>
      <c r="G15" s="102">
        <f>TrAvia_act!G$6</f>
        <v>2961.9277595726276</v>
      </c>
      <c r="H15" s="102">
        <f>TrAvia_act!H$6</f>
        <v>3359.1595918540388</v>
      </c>
      <c r="I15" s="102">
        <f>TrAvia_act!I$6</f>
        <v>4150.480392058741</v>
      </c>
      <c r="J15" s="102">
        <f>TrAvia_act!J$6</f>
        <v>4750.059826297269</v>
      </c>
      <c r="K15" s="102">
        <f>TrAvia_act!K$6</f>
        <v>4900.2592623962919</v>
      </c>
      <c r="L15" s="102">
        <f>TrAvia_act!L$6</f>
        <v>5437.5387250013109</v>
      </c>
      <c r="M15" s="102">
        <f>TrAvia_act!M$6</f>
        <v>6120.7809463338954</v>
      </c>
      <c r="N15" s="102">
        <f>TrAvia_act!N$6</f>
        <v>6013.7291219453773</v>
      </c>
      <c r="O15" s="102">
        <f>TrAvia_act!O$6</f>
        <v>6433.9784075210437</v>
      </c>
      <c r="P15" s="102">
        <f>TrAvia_act!P$6</f>
        <v>6958.7278035177069</v>
      </c>
      <c r="Q15" s="102">
        <f>TrAvia_act!Q$6</f>
        <v>7991.9719248458505</v>
      </c>
      <c r="R15" s="102">
        <f>TrAvia_act!R$6</f>
        <v>9680.5775331511759</v>
      </c>
      <c r="S15" s="102">
        <f>TrAvia_act!S$6</f>
        <v>11390.445385156323</v>
      </c>
      <c r="T15" s="102">
        <f>TrAvia_act!T$6</f>
        <v>12392.009537334108</v>
      </c>
      <c r="U15" s="102">
        <f>TrAvia_act!U$6</f>
        <v>13513.171014050071</v>
      </c>
      <c r="V15" s="102">
        <f>TrAvia_act!V$6</f>
        <v>4565.9222399976743</v>
      </c>
      <c r="W15" s="102">
        <f>TrAvia_act!W$6</f>
        <v>6694.4590099209518</v>
      </c>
      <c r="X15" s="102">
        <f>TrAvia_act!X$6</f>
        <v>12687.768117509022</v>
      </c>
      <c r="Y15" s="102">
        <f>TrAvia_act!Y$6</f>
        <v>14662.114386139645</v>
      </c>
      <c r="DA15" s="175" t="s">
        <v>192</v>
      </c>
    </row>
    <row r="16" spans="1:105" ht="11.45" customHeight="1" x14ac:dyDescent="0.25">
      <c r="A16" s="128" t="s">
        <v>182</v>
      </c>
      <c r="B16" s="102">
        <f>TrAvia_act!B$7</f>
        <v>330.89993099117112</v>
      </c>
      <c r="C16" s="102">
        <f>TrAvia_act!C$7</f>
        <v>299.18195453413199</v>
      </c>
      <c r="D16" s="102">
        <f>TrAvia_act!D$7</f>
        <v>256.99376390903569</v>
      </c>
      <c r="E16" s="102">
        <f>TrAvia_act!E$7</f>
        <v>313.85749844640554</v>
      </c>
      <c r="F16" s="102">
        <f>TrAvia_act!F$7</f>
        <v>371.18014793602106</v>
      </c>
      <c r="G16" s="102">
        <f>TrAvia_act!G$7</f>
        <v>427.48580231309251</v>
      </c>
      <c r="H16" s="102">
        <f>TrAvia_act!H$7</f>
        <v>511.55134875216743</v>
      </c>
      <c r="I16" s="102">
        <f>TrAvia_act!I$7</f>
        <v>729.35490309612555</v>
      </c>
      <c r="J16" s="102">
        <f>TrAvia_act!J$7</f>
        <v>802.48043923597447</v>
      </c>
      <c r="K16" s="102">
        <f>TrAvia_act!K$7</f>
        <v>677.01160702237985</v>
      </c>
      <c r="L16" s="102">
        <f>TrAvia_act!L$7</f>
        <v>751.49647990083463</v>
      </c>
      <c r="M16" s="102">
        <f>TrAvia_act!M$7</f>
        <v>669.21226102673427</v>
      </c>
      <c r="N16" s="102">
        <f>TrAvia_act!N$7</f>
        <v>748.14118710171022</v>
      </c>
      <c r="O16" s="102">
        <f>TrAvia_act!O$7</f>
        <v>836.39931125806481</v>
      </c>
      <c r="P16" s="102">
        <f>TrAvia_act!P$7</f>
        <v>1169.8486535515437</v>
      </c>
      <c r="Q16" s="102">
        <f>TrAvia_act!Q$7</f>
        <v>1322.8322728317128</v>
      </c>
      <c r="R16" s="102">
        <f>TrAvia_act!R$7</f>
        <v>1523.2943503836593</v>
      </c>
      <c r="S16" s="102">
        <f>TrAvia_act!S$7</f>
        <v>1742.7850916049056</v>
      </c>
      <c r="T16" s="102">
        <f>TrAvia_act!T$7</f>
        <v>2370.3753521224908</v>
      </c>
      <c r="U16" s="102">
        <f>TrAvia_act!U$7</f>
        <v>2827.5532390501735</v>
      </c>
      <c r="V16" s="102">
        <f>TrAvia_act!V$7</f>
        <v>663.00818799206934</v>
      </c>
      <c r="W16" s="102">
        <f>TrAvia_act!W$7</f>
        <v>1369.1534955152349</v>
      </c>
      <c r="X16" s="102">
        <f>TrAvia_act!X$7</f>
        <v>2294.5716194104803</v>
      </c>
      <c r="Y16" s="102">
        <f>TrAvia_act!Y$7</f>
        <v>2970.0161416250294</v>
      </c>
      <c r="DA16" s="175" t="s">
        <v>193</v>
      </c>
    </row>
    <row r="17" spans="1:105" ht="11.45" customHeight="1" x14ac:dyDescent="0.25">
      <c r="A17" s="27" t="s">
        <v>28</v>
      </c>
      <c r="B17" s="28">
        <f t="shared" ref="B17:Q17" si="12">B18+B21+B22+B26</f>
        <v>39596.803459143906</v>
      </c>
      <c r="C17" s="28">
        <f t="shared" si="12"/>
        <v>40938.718304364134</v>
      </c>
      <c r="D17" s="28">
        <f t="shared" si="12"/>
        <v>41918.122839554017</v>
      </c>
      <c r="E17" s="28">
        <f t="shared" si="12"/>
        <v>44507.128917330963</v>
      </c>
      <c r="F17" s="28">
        <f t="shared" si="12"/>
        <v>52761.294276574743</v>
      </c>
      <c r="G17" s="28">
        <f t="shared" si="12"/>
        <v>59042.994838186758</v>
      </c>
      <c r="H17" s="28">
        <f t="shared" si="12"/>
        <v>58202.251567985302</v>
      </c>
      <c r="I17" s="28">
        <f t="shared" si="12"/>
        <v>59638.738224839071</v>
      </c>
      <c r="J17" s="28">
        <f t="shared" si="12"/>
        <v>56921.128700897316</v>
      </c>
      <c r="K17" s="28">
        <f t="shared" si="12"/>
        <v>50095.955287318189</v>
      </c>
      <c r="L17" s="28">
        <f t="shared" si="12"/>
        <v>44423.246565256282</v>
      </c>
      <c r="M17" s="28">
        <f t="shared" si="12"/>
        <v>43823.666695201347</v>
      </c>
      <c r="N17" s="28">
        <f t="shared" si="12"/>
        <v>45224.216741520475</v>
      </c>
      <c r="O17" s="28">
        <f t="shared" si="12"/>
        <v>44712.14858296614</v>
      </c>
      <c r="P17" s="28">
        <f t="shared" si="12"/>
        <v>43303.58769164393</v>
      </c>
      <c r="Q17" s="28">
        <f t="shared" si="12"/>
        <v>46198.875636705234</v>
      </c>
      <c r="R17" s="28">
        <f t="shared" ref="R17:V17" si="13">R18+R21+R22+R26</f>
        <v>47700.598128016718</v>
      </c>
      <c r="S17" s="28">
        <f t="shared" si="13"/>
        <v>48878.642238026521</v>
      </c>
      <c r="T17" s="28">
        <f t="shared" si="13"/>
        <v>48743.625015090583</v>
      </c>
      <c r="U17" s="28">
        <f t="shared" si="13"/>
        <v>53254.162764636116</v>
      </c>
      <c r="V17" s="28">
        <f t="shared" si="13"/>
        <v>51468.969946833146</v>
      </c>
      <c r="W17" s="28">
        <f t="shared" ref="W17:Y17" si="14">W18+W21+W22+W26</f>
        <v>57989.193269213873</v>
      </c>
      <c r="X17" s="28">
        <f t="shared" si="14"/>
        <v>56538.35929388251</v>
      </c>
      <c r="Y17" s="28">
        <f t="shared" si="14"/>
        <v>57864.098633042086</v>
      </c>
      <c r="DA17" s="173" t="s">
        <v>380</v>
      </c>
    </row>
    <row r="18" spans="1:105" ht="11.45" customHeight="1" x14ac:dyDescent="0.25">
      <c r="A18" s="136" t="s">
        <v>19</v>
      </c>
      <c r="B18" s="137">
        <f t="shared" ref="B18:Q18" si="15">B19+B20</f>
        <v>20597.183137878626</v>
      </c>
      <c r="C18" s="137">
        <f t="shared" si="15"/>
        <v>22079.669093679699</v>
      </c>
      <c r="D18" s="137">
        <f t="shared" si="15"/>
        <v>23048.892238714288</v>
      </c>
      <c r="E18" s="137">
        <f t="shared" si="15"/>
        <v>25937.177353010833</v>
      </c>
      <c r="F18" s="137">
        <f t="shared" si="15"/>
        <v>28774.311492893572</v>
      </c>
      <c r="G18" s="137">
        <f t="shared" si="15"/>
        <v>34019.260834924571</v>
      </c>
      <c r="H18" s="137">
        <f t="shared" si="15"/>
        <v>34247.514650639532</v>
      </c>
      <c r="I18" s="137">
        <f t="shared" si="15"/>
        <v>35678.886387928644</v>
      </c>
      <c r="J18" s="137">
        <f t="shared" si="15"/>
        <v>32986.294999946884</v>
      </c>
      <c r="K18" s="137">
        <f t="shared" si="15"/>
        <v>27230.648350590189</v>
      </c>
      <c r="L18" s="137">
        <f t="shared" si="15"/>
        <v>17717.505432640704</v>
      </c>
      <c r="M18" s="137">
        <f t="shared" si="15"/>
        <v>17677.448522536462</v>
      </c>
      <c r="N18" s="137">
        <f t="shared" si="15"/>
        <v>19204.73448771752</v>
      </c>
      <c r="O18" s="137">
        <f t="shared" si="15"/>
        <v>19499.483059683989</v>
      </c>
      <c r="P18" s="137">
        <f t="shared" si="15"/>
        <v>19254.76154025297</v>
      </c>
      <c r="Q18" s="137">
        <f t="shared" si="15"/>
        <v>19333.106358937643</v>
      </c>
      <c r="R18" s="137">
        <f t="shared" ref="R18:V18" si="16">R19+R20</f>
        <v>20985.891755656256</v>
      </c>
      <c r="S18" s="137">
        <f t="shared" si="16"/>
        <v>22552.268066572262</v>
      </c>
      <c r="T18" s="137">
        <f t="shared" si="16"/>
        <v>23381.722013088634</v>
      </c>
      <c r="U18" s="137">
        <f t="shared" si="16"/>
        <v>25963.727924404961</v>
      </c>
      <c r="V18" s="137">
        <f t="shared" si="16"/>
        <v>25524.374168579074</v>
      </c>
      <c r="W18" s="137">
        <f t="shared" ref="W18:Y18" si="17">W19+W20</f>
        <v>30825.229003836634</v>
      </c>
      <c r="X18" s="137">
        <f t="shared" si="17"/>
        <v>32434.146164794125</v>
      </c>
      <c r="Y18" s="137">
        <f t="shared" si="17"/>
        <v>33016.379025411108</v>
      </c>
      <c r="DA18" s="174" t="s">
        <v>381</v>
      </c>
    </row>
    <row r="19" spans="1:105" ht="11.45" customHeight="1" x14ac:dyDescent="0.25">
      <c r="A19" s="128" t="str">
        <f>TrRoad_act!$A$20</f>
        <v>Light commercial vehicles</v>
      </c>
      <c r="B19" s="102">
        <f>TrRoad_act!B$20</f>
        <v>1255.8714851009292</v>
      </c>
      <c r="C19" s="102">
        <f>TrRoad_act!C$20</f>
        <v>1299.6119361155752</v>
      </c>
      <c r="D19" s="102">
        <f>TrRoad_act!D$20</f>
        <v>1336.2771149525338</v>
      </c>
      <c r="E19" s="102">
        <f>TrRoad_act!E$20</f>
        <v>1394.4262605624356</v>
      </c>
      <c r="F19" s="102">
        <f>TrRoad_act!F$20</f>
        <v>1464.8664732670027</v>
      </c>
      <c r="G19" s="102">
        <f>TrRoad_act!G$20</f>
        <v>1510.0032937440651</v>
      </c>
      <c r="H19" s="102">
        <f>TrRoad_act!H$20</f>
        <v>1675.1179212927073</v>
      </c>
      <c r="I19" s="102">
        <f>TrRoad_act!I$20</f>
        <v>1764.2543438555024</v>
      </c>
      <c r="J19" s="102">
        <f>TrRoad_act!J$20</f>
        <v>2027.3610765730409</v>
      </c>
      <c r="K19" s="102">
        <f>TrRoad_act!K$20</f>
        <v>2082.3064127024982</v>
      </c>
      <c r="L19" s="102">
        <f>TrRoad_act!L$20</f>
        <v>2102.468762561899</v>
      </c>
      <c r="M19" s="102">
        <f>TrRoad_act!M$20</f>
        <v>2229.9986566954749</v>
      </c>
      <c r="N19" s="102">
        <f>TrRoad_act!N$20</f>
        <v>2335.758884682029</v>
      </c>
      <c r="O19" s="102">
        <f>TrRoad_act!O$20</f>
        <v>2488.166065489102</v>
      </c>
      <c r="P19" s="102">
        <f>TrRoad_act!P$20</f>
        <v>2709.0543420531344</v>
      </c>
      <c r="Q19" s="102">
        <f>TrRoad_act!Q$20</f>
        <v>2872.7284950737712</v>
      </c>
      <c r="R19" s="102">
        <f>TrRoad_act!R$20</f>
        <v>2965.9853231325274</v>
      </c>
      <c r="S19" s="102">
        <f>TrRoad_act!S$20</f>
        <v>3159.6890752589147</v>
      </c>
      <c r="T19" s="102">
        <f>TrRoad_act!T$20</f>
        <v>3433.722013088633</v>
      </c>
      <c r="U19" s="102">
        <f>TrRoad_act!U$20</f>
        <v>3648.72792440496</v>
      </c>
      <c r="V19" s="102">
        <f>TrRoad_act!V$20</f>
        <v>3848.3741685790719</v>
      </c>
      <c r="W19" s="102">
        <f>TrRoad_act!W$20</f>
        <v>4033.2290038366327</v>
      </c>
      <c r="X19" s="102">
        <f>TrRoad_act!X$20</f>
        <v>4160.1461647941251</v>
      </c>
      <c r="Y19" s="102">
        <f>TrRoad_act!Y$20</f>
        <v>4251.3790254111045</v>
      </c>
      <c r="DA19" s="175" t="s">
        <v>382</v>
      </c>
    </row>
    <row r="20" spans="1:105" ht="11.45" customHeight="1" x14ac:dyDescent="0.25">
      <c r="A20" s="128" t="str">
        <f>TrRoad_act!$A$26</f>
        <v>Heavy goods vehicles</v>
      </c>
      <c r="B20" s="102">
        <f>TrRoad_act!B$26</f>
        <v>19341.311652777698</v>
      </c>
      <c r="C20" s="102">
        <f>TrRoad_act!C$26</f>
        <v>20780.057157564122</v>
      </c>
      <c r="D20" s="102">
        <f>TrRoad_act!D$26</f>
        <v>21712.615123761756</v>
      </c>
      <c r="E20" s="102">
        <f>TrRoad_act!E$26</f>
        <v>24542.751092448398</v>
      </c>
      <c r="F20" s="102">
        <f>TrRoad_act!F$26</f>
        <v>27309.445019626568</v>
      </c>
      <c r="G20" s="102">
        <f>TrRoad_act!G$26</f>
        <v>32509.257541180508</v>
      </c>
      <c r="H20" s="102">
        <f>TrRoad_act!H$26</f>
        <v>32572.396729346827</v>
      </c>
      <c r="I20" s="102">
        <f>TrRoad_act!I$26</f>
        <v>33914.632044073143</v>
      </c>
      <c r="J20" s="102">
        <f>TrRoad_act!J$26</f>
        <v>30958.933923373846</v>
      </c>
      <c r="K20" s="102">
        <f>TrRoad_act!K$26</f>
        <v>25148.34193788769</v>
      </c>
      <c r="L20" s="102">
        <f>TrRoad_act!L$26</f>
        <v>15615.036670078807</v>
      </c>
      <c r="M20" s="102">
        <f>TrRoad_act!M$26</f>
        <v>15447.449865840988</v>
      </c>
      <c r="N20" s="102">
        <f>TrRoad_act!N$26</f>
        <v>16868.975603035491</v>
      </c>
      <c r="O20" s="102">
        <f>TrRoad_act!O$26</f>
        <v>17011.316994194887</v>
      </c>
      <c r="P20" s="102">
        <f>TrRoad_act!P$26</f>
        <v>16545.707198199834</v>
      </c>
      <c r="Q20" s="102">
        <f>TrRoad_act!Q$26</f>
        <v>16460.377863863872</v>
      </c>
      <c r="R20" s="102">
        <f>TrRoad_act!R$26</f>
        <v>18019.906432523727</v>
      </c>
      <c r="S20" s="102">
        <f>TrRoad_act!S$26</f>
        <v>19392.578991313349</v>
      </c>
      <c r="T20" s="102">
        <f>TrRoad_act!T$26</f>
        <v>19948</v>
      </c>
      <c r="U20" s="102">
        <f>TrRoad_act!U$26</f>
        <v>22315</v>
      </c>
      <c r="V20" s="102">
        <f>TrRoad_act!V$26</f>
        <v>21676</v>
      </c>
      <c r="W20" s="102">
        <f>TrRoad_act!W$26</f>
        <v>26792</v>
      </c>
      <c r="X20" s="102">
        <f>TrRoad_act!X$26</f>
        <v>28274</v>
      </c>
      <c r="Y20" s="102">
        <f>TrRoad_act!Y$26</f>
        <v>28765</v>
      </c>
      <c r="DA20" s="175" t="s">
        <v>383</v>
      </c>
    </row>
    <row r="21" spans="1:105" ht="11.45" customHeight="1" x14ac:dyDescent="0.25">
      <c r="A21" s="109" t="s">
        <v>29</v>
      </c>
      <c r="B21" s="110">
        <f>TrRail_act!B$10</f>
        <v>16354</v>
      </c>
      <c r="C21" s="110">
        <f>TrRail_act!C$10</f>
        <v>16102</v>
      </c>
      <c r="D21" s="110">
        <f>TrRail_act!D$10</f>
        <v>15218</v>
      </c>
      <c r="E21" s="110">
        <f>TrRail_act!E$10</f>
        <v>15039</v>
      </c>
      <c r="F21" s="110">
        <f>TrRail_act!F$10</f>
        <v>17022</v>
      </c>
      <c r="G21" s="110">
        <f>TrRail_act!G$10</f>
        <v>16582</v>
      </c>
      <c r="H21" s="110">
        <f>TrRail_act!H$10</f>
        <v>15791</v>
      </c>
      <c r="I21" s="110">
        <f>TrRail_act!I$10</f>
        <v>15757</v>
      </c>
      <c r="J21" s="110">
        <f>TrRail_act!J$10</f>
        <v>15236</v>
      </c>
      <c r="K21" s="110">
        <f>TrRail_act!K$10</f>
        <v>11088</v>
      </c>
      <c r="L21" s="110">
        <f>TrRail_act!L$10</f>
        <v>12375</v>
      </c>
      <c r="M21" s="110">
        <f>TrRail_act!M$10</f>
        <v>14719</v>
      </c>
      <c r="N21" s="110">
        <f>TrRail_act!N$10</f>
        <v>13472</v>
      </c>
      <c r="O21" s="110">
        <f>TrRail_act!O$10</f>
        <v>12941</v>
      </c>
      <c r="P21" s="110">
        <f>TrRail_act!P$10</f>
        <v>12264</v>
      </c>
      <c r="Q21" s="110">
        <f>TrRail_act!Q$10</f>
        <v>13673</v>
      </c>
      <c r="R21" s="110">
        <f>TrRail_act!R$10</f>
        <v>13535</v>
      </c>
      <c r="S21" s="110">
        <f>TrRail_act!S$10</f>
        <v>13782</v>
      </c>
      <c r="T21" s="110">
        <f>TrRail_act!T$10</f>
        <v>13076</v>
      </c>
      <c r="U21" s="110">
        <f>TrRail_act!U$10</f>
        <v>13312</v>
      </c>
      <c r="V21" s="110">
        <f>TrRail_act!V$10</f>
        <v>12291</v>
      </c>
      <c r="W21" s="110">
        <f>TrRail_act!W$10</f>
        <v>13625</v>
      </c>
      <c r="X21" s="110">
        <f>TrRail_act!X$10</f>
        <v>13324</v>
      </c>
      <c r="Y21" s="110">
        <f>TrRail_act!Y$10</f>
        <v>12878</v>
      </c>
      <c r="DA21" s="176" t="s">
        <v>384</v>
      </c>
    </row>
    <row r="22" spans="1:105" ht="11.45" customHeight="1" x14ac:dyDescent="0.25">
      <c r="A22" s="109" t="s">
        <v>26</v>
      </c>
      <c r="B22" s="110">
        <f t="shared" ref="B22" si="18">B23+B24+B25</f>
        <v>11.620321265272908</v>
      </c>
      <c r="C22" s="110">
        <f t="shared" ref="C22:V22" si="19">C23+C24+C25</f>
        <v>11.049210684442613</v>
      </c>
      <c r="D22" s="110">
        <f t="shared" si="19"/>
        <v>10.230600839729885</v>
      </c>
      <c r="E22" s="110">
        <f t="shared" si="19"/>
        <v>9.951564320132718</v>
      </c>
      <c r="F22" s="110">
        <f t="shared" si="19"/>
        <v>9.9827836811777786</v>
      </c>
      <c r="G22" s="110">
        <f t="shared" si="19"/>
        <v>6.7340032621878407</v>
      </c>
      <c r="H22" s="110">
        <f t="shared" si="19"/>
        <v>6.7369173457690668</v>
      </c>
      <c r="I22" s="110">
        <f t="shared" si="19"/>
        <v>7.8518369104249137</v>
      </c>
      <c r="J22" s="110">
        <f t="shared" si="19"/>
        <v>11.833700950432053</v>
      </c>
      <c r="K22" s="110">
        <f t="shared" si="19"/>
        <v>12.306936728001034</v>
      </c>
      <c r="L22" s="110">
        <f t="shared" si="19"/>
        <v>13.741132615576955</v>
      </c>
      <c r="M22" s="110">
        <f t="shared" si="19"/>
        <v>18.21817266488252</v>
      </c>
      <c r="N22" s="110">
        <f t="shared" si="19"/>
        <v>27.482253802951078</v>
      </c>
      <c r="O22" s="110">
        <f t="shared" si="19"/>
        <v>29.665523282149024</v>
      </c>
      <c r="P22" s="110">
        <f t="shared" si="19"/>
        <v>24.826151390961613</v>
      </c>
      <c r="Q22" s="110">
        <f t="shared" si="19"/>
        <v>24.769277767593383</v>
      </c>
      <c r="R22" s="110">
        <f t="shared" si="19"/>
        <v>26.706372360469299</v>
      </c>
      <c r="S22" s="110">
        <f t="shared" si="19"/>
        <v>27.374171454262576</v>
      </c>
      <c r="T22" s="110">
        <f t="shared" si="19"/>
        <v>24.903002001948703</v>
      </c>
      <c r="U22" s="110">
        <f t="shared" si="19"/>
        <v>21.434840231158002</v>
      </c>
      <c r="V22" s="110">
        <f t="shared" si="19"/>
        <v>15.595778254072131</v>
      </c>
      <c r="W22" s="110">
        <f t="shared" ref="W22:Y22" si="20">W23+W24+W25</f>
        <v>16.964265377235584</v>
      </c>
      <c r="X22" s="110">
        <f t="shared" si="20"/>
        <v>23.213129088384836</v>
      </c>
      <c r="Y22" s="110">
        <f t="shared" si="20"/>
        <v>22.719607630974373</v>
      </c>
      <c r="DA22" s="176" t="s">
        <v>194</v>
      </c>
    </row>
    <row r="23" spans="1:105" ht="11.45" customHeight="1" x14ac:dyDescent="0.25">
      <c r="A23" s="128" t="s">
        <v>27</v>
      </c>
      <c r="B23" s="102">
        <f>TrAvia_act!B$9</f>
        <v>0.13721582178986091</v>
      </c>
      <c r="C23" s="102">
        <f>TrAvia_act!C$9</f>
        <v>0.11760082709344499</v>
      </c>
      <c r="D23" s="102">
        <f>TrAvia_act!D$9</f>
        <v>0.10820251764653879</v>
      </c>
      <c r="E23" s="102">
        <f>TrAvia_act!E$9</f>
        <v>0.11170913691549723</v>
      </c>
      <c r="F23" s="102">
        <f>TrAvia_act!F$9</f>
        <v>0.11794172775998361</v>
      </c>
      <c r="G23" s="102">
        <f>TrAvia_act!G$9</f>
        <v>5.8163720276666872E-2</v>
      </c>
      <c r="H23" s="102">
        <f>TrAvia_act!H$9</f>
        <v>0.12937237016093933</v>
      </c>
      <c r="I23" s="102">
        <f>TrAvia_act!I$9</f>
        <v>0.12090903965968444</v>
      </c>
      <c r="J23" s="102">
        <f>TrAvia_act!J$9</f>
        <v>6.9749510616225058E-2</v>
      </c>
      <c r="K23" s="102">
        <f>TrAvia_act!K$9</f>
        <v>4.8420890326361113E-2</v>
      </c>
      <c r="L23" s="102">
        <f>TrAvia_act!L$9</f>
        <v>3.6292624431115021E-2</v>
      </c>
      <c r="M23" s="102">
        <f>TrAvia_act!M$9</f>
        <v>2.9635866406062066E-2</v>
      </c>
      <c r="N23" s="102">
        <f>TrAvia_act!N$9</f>
        <v>2.3662339845445926E-2</v>
      </c>
      <c r="O23" s="102">
        <f>TrAvia_act!O$9</f>
        <v>1.683574320278295E-2</v>
      </c>
      <c r="P23" s="102">
        <f>TrAvia_act!P$9</f>
        <v>1.1744932880783846E-2</v>
      </c>
      <c r="Q23" s="102">
        <f>TrAvia_act!Q$9</f>
        <v>8.3636529455186383E-3</v>
      </c>
      <c r="R23" s="102">
        <f>TrAvia_act!R$9</f>
        <v>2.0034789921087606E-2</v>
      </c>
      <c r="S23" s="102">
        <f>TrAvia_act!S$9</f>
        <v>6.723171469615799E-2</v>
      </c>
      <c r="T23" s="102">
        <f>TrAvia_act!T$9</f>
        <v>0.12165437171671972</v>
      </c>
      <c r="U23" s="102">
        <f>TrAvia_act!U$9</f>
        <v>0.1968168804830806</v>
      </c>
      <c r="V23" s="102">
        <f>TrAvia_act!V$9</f>
        <v>0.19267902223241315</v>
      </c>
      <c r="W23" s="102">
        <f>TrAvia_act!W$9</f>
        <v>0.25488188256671346</v>
      </c>
      <c r="X23" s="102">
        <f>TrAvia_act!X$9</f>
        <v>0.3460092428187283</v>
      </c>
      <c r="Y23" s="102">
        <f>TrAvia_act!Y$9</f>
        <v>0.41271438970145607</v>
      </c>
      <c r="DA23" s="175" t="s">
        <v>195</v>
      </c>
    </row>
    <row r="24" spans="1:105" ht="11.45" customHeight="1" x14ac:dyDescent="0.25">
      <c r="A24" s="128" t="s">
        <v>181</v>
      </c>
      <c r="B24" s="102">
        <f>TrAvia_act!B$10</f>
        <v>6.104929091731087</v>
      </c>
      <c r="C24" s="102">
        <f>TrAvia_act!C$10</f>
        <v>5.4718301417533848</v>
      </c>
      <c r="D24" s="102">
        <f>TrAvia_act!D$10</f>
        <v>4.8010996413417724</v>
      </c>
      <c r="E24" s="102">
        <f>TrAvia_act!E$10</f>
        <v>4.702586962547799</v>
      </c>
      <c r="F24" s="102">
        <f>TrAvia_act!F$10</f>
        <v>4.8787240755885737</v>
      </c>
      <c r="G24" s="102">
        <f>TrAvia_act!G$10</f>
        <v>4.6806824773519971</v>
      </c>
      <c r="H24" s="102">
        <f>TrAvia_act!H$10</f>
        <v>4.5412579012244505</v>
      </c>
      <c r="I24" s="102">
        <f>TrAvia_act!I$10</f>
        <v>4.3494594949654708</v>
      </c>
      <c r="J24" s="102">
        <f>TrAvia_act!J$10</f>
        <v>6.7549676898966888</v>
      </c>
      <c r="K24" s="102">
        <f>TrAvia_act!K$10</f>
        <v>8.5327086418193314</v>
      </c>
      <c r="L24" s="102">
        <f>TrAvia_act!L$10</f>
        <v>9.5627796314073787</v>
      </c>
      <c r="M24" s="102">
        <f>TrAvia_act!M$10</f>
        <v>10.427793494497184</v>
      </c>
      <c r="N24" s="102">
        <f>TrAvia_act!N$10</f>
        <v>11.422586131073448</v>
      </c>
      <c r="O24" s="102">
        <f>TrAvia_act!O$10</f>
        <v>12.117207901435695</v>
      </c>
      <c r="P24" s="102">
        <f>TrAvia_act!P$10</f>
        <v>13.783365016222898</v>
      </c>
      <c r="Q24" s="102">
        <f>TrAvia_act!Q$10</f>
        <v>15.724990475235114</v>
      </c>
      <c r="R24" s="102">
        <f>TrAvia_act!R$10</f>
        <v>18.124917456177148</v>
      </c>
      <c r="S24" s="102">
        <f>TrAvia_act!S$10</f>
        <v>19.708951515209673</v>
      </c>
      <c r="T24" s="102">
        <f>TrAvia_act!T$10</f>
        <v>20.632534841091967</v>
      </c>
      <c r="U24" s="102">
        <f>TrAvia_act!U$10</f>
        <v>14.417584894235302</v>
      </c>
      <c r="V24" s="102">
        <f>TrAvia_act!V$10</f>
        <v>11.164874492584325</v>
      </c>
      <c r="W24" s="102">
        <f>TrAvia_act!W$10</f>
        <v>12.040367169150818</v>
      </c>
      <c r="X24" s="102">
        <f>TrAvia_act!X$10</f>
        <v>16.30704646971143</v>
      </c>
      <c r="Y24" s="102">
        <f>TrAvia_act!Y$10</f>
        <v>16.309427205111849</v>
      </c>
      <c r="DA24" s="175" t="s">
        <v>196</v>
      </c>
    </row>
    <row r="25" spans="1:105" ht="11.45" customHeight="1" x14ac:dyDescent="0.25">
      <c r="A25" s="128" t="s">
        <v>182</v>
      </c>
      <c r="B25" s="102">
        <f>TrAvia_act!B$11</f>
        <v>5.3781763517519607</v>
      </c>
      <c r="C25" s="102">
        <f>TrAvia_act!C$11</f>
        <v>5.4597797155957846</v>
      </c>
      <c r="D25" s="102">
        <f>TrAvia_act!D$11</f>
        <v>5.321298680741573</v>
      </c>
      <c r="E25" s="102">
        <f>TrAvia_act!E$11</f>
        <v>5.137268220669422</v>
      </c>
      <c r="F25" s="102">
        <f>TrAvia_act!F$11</f>
        <v>4.9861178778292201</v>
      </c>
      <c r="G25" s="102">
        <f>TrAvia_act!G$11</f>
        <v>1.9951570645591765</v>
      </c>
      <c r="H25" s="102">
        <f>TrAvia_act!H$11</f>
        <v>2.0662870743836774</v>
      </c>
      <c r="I25" s="102">
        <f>TrAvia_act!I$11</f>
        <v>3.3814683757997583</v>
      </c>
      <c r="J25" s="102">
        <f>TrAvia_act!J$11</f>
        <v>5.008983749919139</v>
      </c>
      <c r="K25" s="102">
        <f>TrAvia_act!K$11</f>
        <v>3.7258071958553418</v>
      </c>
      <c r="L25" s="102">
        <f>TrAvia_act!L$11</f>
        <v>4.142060359738462</v>
      </c>
      <c r="M25" s="102">
        <f>TrAvia_act!M$11</f>
        <v>7.7607433039792744</v>
      </c>
      <c r="N25" s="102">
        <f>TrAvia_act!N$11</f>
        <v>16.036005332032186</v>
      </c>
      <c r="O25" s="102">
        <f>TrAvia_act!O$11</f>
        <v>17.531479637510547</v>
      </c>
      <c r="P25" s="102">
        <f>TrAvia_act!P$11</f>
        <v>11.03104144185793</v>
      </c>
      <c r="Q25" s="102">
        <f>TrAvia_act!Q$11</f>
        <v>9.0359236394127507</v>
      </c>
      <c r="R25" s="102">
        <f>TrAvia_act!R$11</f>
        <v>8.5614201143710638</v>
      </c>
      <c r="S25" s="102">
        <f>TrAvia_act!S$11</f>
        <v>7.5979882243567438</v>
      </c>
      <c r="T25" s="102">
        <f>TrAvia_act!T$11</f>
        <v>4.1488127891400159</v>
      </c>
      <c r="U25" s="102">
        <f>TrAvia_act!U$11</f>
        <v>6.8204384564396205</v>
      </c>
      <c r="V25" s="102">
        <f>TrAvia_act!V$11</f>
        <v>4.2382247392553936</v>
      </c>
      <c r="W25" s="102">
        <f>TrAvia_act!W$11</f>
        <v>4.6690163255180526</v>
      </c>
      <c r="X25" s="102">
        <f>TrAvia_act!X$11</f>
        <v>6.5600733758546772</v>
      </c>
      <c r="Y25" s="102">
        <f>TrAvia_act!Y$11</f>
        <v>5.9974660361610672</v>
      </c>
      <c r="DA25" s="175" t="s">
        <v>197</v>
      </c>
    </row>
    <row r="26" spans="1:105" ht="11.45" customHeight="1" x14ac:dyDescent="0.25">
      <c r="A26" s="109" t="s">
        <v>141</v>
      </c>
      <c r="B26" s="110">
        <f t="shared" ref="B26:Q26" si="21">B27+B28</f>
        <v>2634</v>
      </c>
      <c r="C26" s="110">
        <f t="shared" si="21"/>
        <v>2746</v>
      </c>
      <c r="D26" s="110">
        <f t="shared" si="21"/>
        <v>3641</v>
      </c>
      <c r="E26" s="110">
        <f t="shared" si="21"/>
        <v>3521</v>
      </c>
      <c r="F26" s="110">
        <f t="shared" si="21"/>
        <v>6955</v>
      </c>
      <c r="G26" s="110">
        <f t="shared" si="21"/>
        <v>8435</v>
      </c>
      <c r="H26" s="110">
        <f t="shared" si="21"/>
        <v>8157</v>
      </c>
      <c r="I26" s="110">
        <f t="shared" si="21"/>
        <v>8195</v>
      </c>
      <c r="J26" s="110">
        <f t="shared" si="21"/>
        <v>8687</v>
      </c>
      <c r="K26" s="110">
        <f t="shared" si="21"/>
        <v>11765</v>
      </c>
      <c r="L26" s="110">
        <f t="shared" si="21"/>
        <v>14317</v>
      </c>
      <c r="M26" s="110">
        <f t="shared" si="21"/>
        <v>11409</v>
      </c>
      <c r="N26" s="110">
        <f t="shared" si="21"/>
        <v>12520</v>
      </c>
      <c r="O26" s="110">
        <f t="shared" si="21"/>
        <v>12242</v>
      </c>
      <c r="P26" s="110">
        <f t="shared" si="21"/>
        <v>11760</v>
      </c>
      <c r="Q26" s="110">
        <f t="shared" si="21"/>
        <v>13168</v>
      </c>
      <c r="R26" s="110">
        <f t="shared" ref="R26:V26" si="22">R27+R28</f>
        <v>13153</v>
      </c>
      <c r="S26" s="110">
        <f t="shared" si="22"/>
        <v>12517</v>
      </c>
      <c r="T26" s="110">
        <f t="shared" si="22"/>
        <v>12261</v>
      </c>
      <c r="U26" s="110">
        <f t="shared" si="22"/>
        <v>13957</v>
      </c>
      <c r="V26" s="110">
        <f t="shared" si="22"/>
        <v>13638</v>
      </c>
      <c r="W26" s="110">
        <f t="shared" ref="W26:Y26" si="23">W27+W28</f>
        <v>13522</v>
      </c>
      <c r="X26" s="110">
        <f t="shared" si="23"/>
        <v>10757</v>
      </c>
      <c r="Y26" s="110">
        <f t="shared" si="23"/>
        <v>11947</v>
      </c>
      <c r="DA26" s="176" t="s">
        <v>385</v>
      </c>
    </row>
    <row r="27" spans="1:105" ht="11.45" customHeight="1" x14ac:dyDescent="0.25">
      <c r="A27" s="128" t="str">
        <f>TrNavi_act!$A$4</f>
        <v>Domestic coastal shipping</v>
      </c>
      <c r="B27" s="102">
        <f>TrNavi_act!B4</f>
        <v>0</v>
      </c>
      <c r="C27" s="102">
        <f>TrNavi_act!C4</f>
        <v>0</v>
      </c>
      <c r="D27" s="102">
        <f>TrNavi_act!D4</f>
        <v>0</v>
      </c>
      <c r="E27" s="102">
        <f>TrNavi_act!E4</f>
        <v>0</v>
      </c>
      <c r="F27" s="102">
        <f>TrNavi_act!F4</f>
        <v>0</v>
      </c>
      <c r="G27" s="102">
        <f>TrNavi_act!G4</f>
        <v>0</v>
      </c>
      <c r="H27" s="102">
        <f>TrNavi_act!H4</f>
        <v>0</v>
      </c>
      <c r="I27" s="102">
        <f>TrNavi_act!I4</f>
        <v>0</v>
      </c>
      <c r="J27" s="102">
        <f>TrNavi_act!J4</f>
        <v>0</v>
      </c>
      <c r="K27" s="102">
        <f>TrNavi_act!K4</f>
        <v>0</v>
      </c>
      <c r="L27" s="102">
        <f>TrNavi_act!L4</f>
        <v>0</v>
      </c>
      <c r="M27" s="102">
        <f>TrNavi_act!M4</f>
        <v>0</v>
      </c>
      <c r="N27" s="102">
        <f>TrNavi_act!N4</f>
        <v>0</v>
      </c>
      <c r="O27" s="102">
        <f>TrNavi_act!O4</f>
        <v>0</v>
      </c>
      <c r="P27" s="102">
        <f>TrNavi_act!P4</f>
        <v>0</v>
      </c>
      <c r="Q27" s="102">
        <f>TrNavi_act!Q4</f>
        <v>0</v>
      </c>
      <c r="R27" s="102">
        <f>TrNavi_act!R4</f>
        <v>0</v>
      </c>
      <c r="S27" s="102">
        <f>TrNavi_act!S4</f>
        <v>0</v>
      </c>
      <c r="T27" s="102">
        <f>TrNavi_act!T4</f>
        <v>0</v>
      </c>
      <c r="U27" s="102">
        <f>TrNavi_act!U4</f>
        <v>0</v>
      </c>
      <c r="V27" s="102">
        <f>TrNavi_act!V4</f>
        <v>0</v>
      </c>
      <c r="W27" s="102">
        <f>TrNavi_act!W4</f>
        <v>0</v>
      </c>
      <c r="X27" s="102">
        <f>TrNavi_act!X4</f>
        <v>0</v>
      </c>
      <c r="Y27" s="102">
        <f>TrNavi_act!Y4</f>
        <v>0</v>
      </c>
      <c r="DA27" s="175" t="s">
        <v>386</v>
      </c>
    </row>
    <row r="28" spans="1:105" ht="11.45" customHeight="1" x14ac:dyDescent="0.25">
      <c r="A28" s="166" t="str">
        <f>TrNavi_act!$A$5</f>
        <v>Inland waterways</v>
      </c>
      <c r="B28" s="169">
        <f>TrNavi_act!B5</f>
        <v>2634</v>
      </c>
      <c r="C28" s="169">
        <f>TrNavi_act!C5</f>
        <v>2746</v>
      </c>
      <c r="D28" s="169">
        <f>TrNavi_act!D5</f>
        <v>3641</v>
      </c>
      <c r="E28" s="169">
        <f>TrNavi_act!E5</f>
        <v>3521</v>
      </c>
      <c r="F28" s="169">
        <f>TrNavi_act!F5</f>
        <v>6955</v>
      </c>
      <c r="G28" s="169">
        <f>TrNavi_act!G5</f>
        <v>8435</v>
      </c>
      <c r="H28" s="169">
        <f>TrNavi_act!H5</f>
        <v>8157</v>
      </c>
      <c r="I28" s="169">
        <f>TrNavi_act!I5</f>
        <v>8195</v>
      </c>
      <c r="J28" s="169">
        <f>TrNavi_act!J5</f>
        <v>8687</v>
      </c>
      <c r="K28" s="169">
        <f>TrNavi_act!K5</f>
        <v>11765</v>
      </c>
      <c r="L28" s="169">
        <f>TrNavi_act!L5</f>
        <v>14317</v>
      </c>
      <c r="M28" s="169">
        <f>TrNavi_act!M5</f>
        <v>11409</v>
      </c>
      <c r="N28" s="169">
        <f>TrNavi_act!N5</f>
        <v>12520</v>
      </c>
      <c r="O28" s="169">
        <f>TrNavi_act!O5</f>
        <v>12242</v>
      </c>
      <c r="P28" s="169">
        <f>TrNavi_act!P5</f>
        <v>11760</v>
      </c>
      <c r="Q28" s="169">
        <f>TrNavi_act!Q5</f>
        <v>13168</v>
      </c>
      <c r="R28" s="169">
        <f>TrNavi_act!R5</f>
        <v>13153</v>
      </c>
      <c r="S28" s="169">
        <f>TrNavi_act!S5</f>
        <v>12517</v>
      </c>
      <c r="T28" s="169">
        <f>TrNavi_act!T5</f>
        <v>12261</v>
      </c>
      <c r="U28" s="169">
        <f>TrNavi_act!U5</f>
        <v>13957</v>
      </c>
      <c r="V28" s="169">
        <f>TrNavi_act!V5</f>
        <v>13638</v>
      </c>
      <c r="W28" s="169">
        <f>TrNavi_act!W5</f>
        <v>13522</v>
      </c>
      <c r="X28" s="169">
        <f>TrNavi_act!X5</f>
        <v>10757</v>
      </c>
      <c r="Y28" s="169">
        <f>TrNavi_act!Y5</f>
        <v>11947</v>
      </c>
      <c r="DA28" s="177" t="s">
        <v>387</v>
      </c>
    </row>
    <row r="29" spans="1:105" ht="11.45" customHeight="1" x14ac:dyDescent="0.25">
      <c r="A29" s="27" t="s">
        <v>170</v>
      </c>
      <c r="B29" s="28">
        <f t="shared" ref="B29:W29" si="24">B30+B31</f>
        <v>0</v>
      </c>
      <c r="C29" s="28">
        <f t="shared" si="24"/>
        <v>0</v>
      </c>
      <c r="D29" s="28">
        <f t="shared" si="24"/>
        <v>0</v>
      </c>
      <c r="E29" s="28">
        <f t="shared" si="24"/>
        <v>0</v>
      </c>
      <c r="F29" s="28">
        <f t="shared" si="24"/>
        <v>0</v>
      </c>
      <c r="G29" s="28">
        <f t="shared" si="24"/>
        <v>0</v>
      </c>
      <c r="H29" s="28">
        <f t="shared" si="24"/>
        <v>0</v>
      </c>
      <c r="I29" s="28">
        <f t="shared" si="24"/>
        <v>85261.918619999997</v>
      </c>
      <c r="J29" s="28">
        <f t="shared" si="24"/>
        <v>104396.89372399999</v>
      </c>
      <c r="K29" s="28">
        <f t="shared" si="24"/>
        <v>63048.293743999995</v>
      </c>
      <c r="L29" s="28">
        <f t="shared" si="24"/>
        <v>80331.733506000004</v>
      </c>
      <c r="M29" s="28">
        <f t="shared" si="24"/>
        <v>80424.612057999999</v>
      </c>
      <c r="N29" s="28">
        <f t="shared" si="24"/>
        <v>91672.594737000007</v>
      </c>
      <c r="O29" s="28">
        <f t="shared" si="24"/>
        <v>108033.278964</v>
      </c>
      <c r="P29" s="28">
        <f t="shared" si="24"/>
        <v>90164.729099999997</v>
      </c>
      <c r="Q29" s="28">
        <f t="shared" si="24"/>
        <v>98934.049174</v>
      </c>
      <c r="R29" s="28">
        <f t="shared" si="24"/>
        <v>96261.249467000001</v>
      </c>
      <c r="S29" s="28">
        <f t="shared" si="24"/>
        <v>91632.773577</v>
      </c>
      <c r="T29" s="28">
        <f t="shared" si="24"/>
        <v>102288.705162</v>
      </c>
      <c r="U29" s="28">
        <f t="shared" si="24"/>
        <v>111195.10837099999</v>
      </c>
      <c r="V29" s="28">
        <f t="shared" si="24"/>
        <v>93609.529555999994</v>
      </c>
      <c r="W29" s="28">
        <f t="shared" si="24"/>
        <v>110027.25537499999</v>
      </c>
      <c r="X29" s="28">
        <f t="shared" ref="X29:Y29" si="25">X30+X31</f>
        <v>120398.55906299999</v>
      </c>
      <c r="Y29" s="28">
        <f t="shared" si="25"/>
        <v>174212.75916299998</v>
      </c>
      <c r="DA29" s="173" t="s">
        <v>388</v>
      </c>
    </row>
    <row r="30" spans="1:105" ht="11.45" customHeight="1" x14ac:dyDescent="0.25">
      <c r="A30" s="128" t="s">
        <v>166</v>
      </c>
      <c r="B30" s="102">
        <f>MBunk_act!B$4</f>
        <v>0</v>
      </c>
      <c r="C30" s="102">
        <f>MBunk_act!C$4</f>
        <v>0</v>
      </c>
      <c r="D30" s="102">
        <f>MBunk_act!D$4</f>
        <v>0</v>
      </c>
      <c r="E30" s="102">
        <f>MBunk_act!E$4</f>
        <v>0</v>
      </c>
      <c r="F30" s="102">
        <f>MBunk_act!F$4</f>
        <v>0</v>
      </c>
      <c r="G30" s="102">
        <f>MBunk_act!G$4</f>
        <v>0</v>
      </c>
      <c r="H30" s="102">
        <f>MBunk_act!H$4</f>
        <v>0</v>
      </c>
      <c r="I30" s="102">
        <f>MBunk_act!I$4</f>
        <v>9689.2467199999992</v>
      </c>
      <c r="J30" s="102">
        <f>MBunk_act!J$4</f>
        <v>11405.927935</v>
      </c>
      <c r="K30" s="102">
        <f>MBunk_act!K$4</f>
        <v>18991.729664999999</v>
      </c>
      <c r="L30" s="102">
        <f>MBunk_act!L$4</f>
        <v>17284.489803</v>
      </c>
      <c r="M30" s="102">
        <f>MBunk_act!M$4</f>
        <v>15223.862709000001</v>
      </c>
      <c r="N30" s="102">
        <f>MBunk_act!N$4</f>
        <v>13400.720387000001</v>
      </c>
      <c r="O30" s="102">
        <f>MBunk_act!O$4</f>
        <v>14547.731978</v>
      </c>
      <c r="P30" s="102">
        <f>MBunk_act!P$4</f>
        <v>17673.512666000002</v>
      </c>
      <c r="Q30" s="102">
        <f>MBunk_act!Q$4</f>
        <v>19863.921924999999</v>
      </c>
      <c r="R30" s="102">
        <f>MBunk_act!R$4</f>
        <v>20106.713795</v>
      </c>
      <c r="S30" s="102">
        <f>MBunk_act!S$4</f>
        <v>22362.324690999998</v>
      </c>
      <c r="T30" s="102">
        <f>MBunk_act!T$4</f>
        <v>26745.469137</v>
      </c>
      <c r="U30" s="102">
        <f>MBunk_act!U$4</f>
        <v>21818.116918</v>
      </c>
      <c r="V30" s="102">
        <f>MBunk_act!V$4</f>
        <v>20703.574361999999</v>
      </c>
      <c r="W30" s="102">
        <f>MBunk_act!W$4</f>
        <v>22040.858505</v>
      </c>
      <c r="X30" s="102">
        <f>MBunk_act!X$4</f>
        <v>28389.171838999999</v>
      </c>
      <c r="Y30" s="102">
        <f>MBunk_act!Y$4</f>
        <v>40021.564794999998</v>
      </c>
      <c r="DA30" s="175" t="s">
        <v>389</v>
      </c>
    </row>
    <row r="31" spans="1:105" ht="11.45" customHeight="1" x14ac:dyDescent="0.25">
      <c r="A31" s="138" t="s">
        <v>167</v>
      </c>
      <c r="B31" s="86">
        <f>MBunk_act!B$5</f>
        <v>0</v>
      </c>
      <c r="C31" s="86">
        <f>MBunk_act!C$5</f>
        <v>0</v>
      </c>
      <c r="D31" s="86">
        <f>MBunk_act!D$5</f>
        <v>0</v>
      </c>
      <c r="E31" s="86">
        <f>MBunk_act!E$5</f>
        <v>0</v>
      </c>
      <c r="F31" s="86">
        <f>MBunk_act!F$5</f>
        <v>0</v>
      </c>
      <c r="G31" s="86">
        <f>MBunk_act!G$5</f>
        <v>0</v>
      </c>
      <c r="H31" s="86">
        <f>MBunk_act!H$5</f>
        <v>0</v>
      </c>
      <c r="I31" s="86">
        <f>MBunk_act!I$5</f>
        <v>75572.671900000001</v>
      </c>
      <c r="J31" s="86">
        <f>MBunk_act!J$5</f>
        <v>92990.965788999994</v>
      </c>
      <c r="K31" s="86">
        <f>MBunk_act!K$5</f>
        <v>44056.564078999996</v>
      </c>
      <c r="L31" s="86">
        <f>MBunk_act!L$5</f>
        <v>63047.243703</v>
      </c>
      <c r="M31" s="86">
        <f>MBunk_act!M$5</f>
        <v>65200.749348999998</v>
      </c>
      <c r="N31" s="86">
        <f>MBunk_act!N$5</f>
        <v>78271.874349999998</v>
      </c>
      <c r="O31" s="86">
        <f>MBunk_act!O$5</f>
        <v>93485.546986000001</v>
      </c>
      <c r="P31" s="86">
        <f>MBunk_act!P$5</f>
        <v>72491.216434000002</v>
      </c>
      <c r="Q31" s="86">
        <f>MBunk_act!Q$5</f>
        <v>79070.127248999997</v>
      </c>
      <c r="R31" s="86">
        <f>MBunk_act!R$5</f>
        <v>76154.535671999998</v>
      </c>
      <c r="S31" s="86">
        <f>MBunk_act!S$5</f>
        <v>69270.448885999998</v>
      </c>
      <c r="T31" s="86">
        <f>MBunk_act!T$5</f>
        <v>75543.236025000006</v>
      </c>
      <c r="U31" s="86">
        <f>MBunk_act!U$5</f>
        <v>89376.991452999995</v>
      </c>
      <c r="V31" s="86">
        <f>MBunk_act!V$5</f>
        <v>72905.955193999995</v>
      </c>
      <c r="W31" s="86">
        <f>MBunk_act!W$5</f>
        <v>87986.396869999997</v>
      </c>
      <c r="X31" s="86">
        <f>MBunk_act!X$5</f>
        <v>92009.387223999991</v>
      </c>
      <c r="Y31" s="86">
        <f>MBunk_act!Y$5</f>
        <v>134191.194368</v>
      </c>
      <c r="DA31" s="178" t="s">
        <v>390</v>
      </c>
    </row>
    <row r="32" spans="1:105" ht="11.45" customHeight="1" x14ac:dyDescent="0.25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DA32" s="171"/>
    </row>
    <row r="33" spans="1:105" ht="11.45" customHeight="1" x14ac:dyDescent="0.25">
      <c r="A33" s="53" t="s">
        <v>32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DA33" s="172"/>
    </row>
    <row r="34" spans="1:105" ht="11.45" customHeight="1" x14ac:dyDescent="0.25">
      <c r="A34" s="27" t="s">
        <v>33</v>
      </c>
      <c r="B34" s="28">
        <f t="shared" ref="B34:Q34" si="26">B35+B39+B43</f>
        <v>2187.4087389627798</v>
      </c>
      <c r="C34" s="28">
        <f t="shared" si="26"/>
        <v>2572.033839265323</v>
      </c>
      <c r="D34" s="28">
        <f t="shared" si="26"/>
        <v>2616.7936478623183</v>
      </c>
      <c r="E34" s="28">
        <f t="shared" si="26"/>
        <v>2784.3999864290672</v>
      </c>
      <c r="F34" s="28">
        <f t="shared" si="26"/>
        <v>3053.1418407111373</v>
      </c>
      <c r="G34" s="28">
        <f t="shared" si="26"/>
        <v>2868.4821555091057</v>
      </c>
      <c r="H34" s="28">
        <f t="shared" si="26"/>
        <v>2838.6864388340655</v>
      </c>
      <c r="I34" s="28">
        <f t="shared" si="26"/>
        <v>3160.9342714304544</v>
      </c>
      <c r="J34" s="28">
        <f t="shared" si="26"/>
        <v>3649.1225137069541</v>
      </c>
      <c r="K34" s="28">
        <f t="shared" si="26"/>
        <v>3823.6137128678215</v>
      </c>
      <c r="L34" s="28">
        <f t="shared" si="26"/>
        <v>3800.5121899683281</v>
      </c>
      <c r="M34" s="28">
        <f t="shared" si="26"/>
        <v>3946.5346372401546</v>
      </c>
      <c r="N34" s="28">
        <f t="shared" si="26"/>
        <v>4085.3542469914237</v>
      </c>
      <c r="O34" s="28">
        <f t="shared" si="26"/>
        <v>3988.1778807567921</v>
      </c>
      <c r="P34" s="28">
        <f t="shared" si="26"/>
        <v>4122.2872323123947</v>
      </c>
      <c r="Q34" s="28">
        <f t="shared" si="26"/>
        <v>4212.960267854095</v>
      </c>
      <c r="R34" s="28">
        <f t="shared" ref="R34:V34" si="27">R35+R39+R43</f>
        <v>4554.2172153956162</v>
      </c>
      <c r="S34" s="28">
        <f t="shared" si="27"/>
        <v>4883.2865690691742</v>
      </c>
      <c r="T34" s="28">
        <f t="shared" si="27"/>
        <v>4824.7203901687262</v>
      </c>
      <c r="U34" s="28">
        <f t="shared" si="27"/>
        <v>5002.2344641879799</v>
      </c>
      <c r="V34" s="28">
        <f t="shared" si="27"/>
        <v>4785.9531882467018</v>
      </c>
      <c r="W34" s="28">
        <f t="shared" ref="W34:Y34" si="28">W35+W39+W43</f>
        <v>5071.4829979754077</v>
      </c>
      <c r="X34" s="28">
        <f t="shared" si="28"/>
        <v>5457.3675917387109</v>
      </c>
      <c r="Y34" s="28">
        <f t="shared" si="28"/>
        <v>5726.1646973204279</v>
      </c>
      <c r="DA34" s="173"/>
    </row>
    <row r="35" spans="1:105" ht="11.45" customHeight="1" x14ac:dyDescent="0.25">
      <c r="A35" s="136" t="str">
        <f>$A$5</f>
        <v>Road transport</v>
      </c>
      <c r="B35" s="137">
        <f t="shared" ref="B35:Q35" si="29">B36+B37+B38</f>
        <v>1792.5194175296947</v>
      </c>
      <c r="C35" s="137">
        <f t="shared" si="29"/>
        <v>2308.9753049380538</v>
      </c>
      <c r="D35" s="137">
        <f t="shared" si="29"/>
        <v>2311.5822503197887</v>
      </c>
      <c r="E35" s="137">
        <f t="shared" si="29"/>
        <v>2464.8473818888251</v>
      </c>
      <c r="F35" s="137">
        <f t="shared" si="29"/>
        <v>2704.9335998113393</v>
      </c>
      <c r="G35" s="137">
        <f t="shared" si="29"/>
        <v>2631.6177059330053</v>
      </c>
      <c r="H35" s="137">
        <f t="shared" si="29"/>
        <v>2590.7791156280878</v>
      </c>
      <c r="I35" s="137">
        <f t="shared" si="29"/>
        <v>2776.3691853677319</v>
      </c>
      <c r="J35" s="137">
        <f t="shared" si="29"/>
        <v>3264.508891187641</v>
      </c>
      <c r="K35" s="137">
        <f t="shared" si="29"/>
        <v>3440.9739054733627</v>
      </c>
      <c r="L35" s="137">
        <f t="shared" si="29"/>
        <v>3361.9303441987249</v>
      </c>
      <c r="M35" s="137">
        <f t="shared" si="29"/>
        <v>3519.8935011033668</v>
      </c>
      <c r="N35" s="137">
        <f t="shared" si="29"/>
        <v>3708.1825299301936</v>
      </c>
      <c r="O35" s="137">
        <f t="shared" si="29"/>
        <v>3595.9480852024581</v>
      </c>
      <c r="P35" s="137">
        <f t="shared" si="29"/>
        <v>3749.8546810172365</v>
      </c>
      <c r="Q35" s="137">
        <f t="shared" si="29"/>
        <v>3808.8504036799695</v>
      </c>
      <c r="R35" s="137">
        <f t="shared" ref="R35:V35" si="30">R36+R37+R38</f>
        <v>4107.5213499589981</v>
      </c>
      <c r="S35" s="137">
        <f t="shared" si="30"/>
        <v>4358.5558169928245</v>
      </c>
      <c r="T35" s="137">
        <f t="shared" si="30"/>
        <v>4512.2985137155038</v>
      </c>
      <c r="U35" s="137">
        <f t="shared" si="30"/>
        <v>4636.8308451185312</v>
      </c>
      <c r="V35" s="137">
        <f t="shared" si="30"/>
        <v>4560.2907912566807</v>
      </c>
      <c r="W35" s="137">
        <f t="shared" ref="W35:Y35" si="31">W36+W37+W38</f>
        <v>4802.7840098404022</v>
      </c>
      <c r="X35" s="137">
        <f t="shared" si="31"/>
        <v>5188.653650942374</v>
      </c>
      <c r="Y35" s="137">
        <f t="shared" si="31"/>
        <v>5486.2851060107414</v>
      </c>
      <c r="DA35" s="174" t="s">
        <v>391</v>
      </c>
    </row>
    <row r="36" spans="1:105" ht="11.45" customHeight="1" x14ac:dyDescent="0.25">
      <c r="A36" s="128" t="str">
        <f>$A$6</f>
        <v>Powered two-wheelers</v>
      </c>
      <c r="B36" s="102">
        <f>TrRoad_ene!B$19</f>
        <v>11.246861398307887</v>
      </c>
      <c r="C36" s="102">
        <f>TrRoad_ene!C$19</f>
        <v>11.18037148446431</v>
      </c>
      <c r="D36" s="102">
        <f>TrRoad_ene!D$19</f>
        <v>11.113758058581354</v>
      </c>
      <c r="E36" s="102">
        <f>TrRoad_ene!E$19</f>
        <v>11.159508476400392</v>
      </c>
      <c r="F36" s="102">
        <f>TrRoad_ene!F$19</f>
        <v>11.246218357345846</v>
      </c>
      <c r="G36" s="102">
        <f>TrRoad_ene!G$19</f>
        <v>10.776768052152489</v>
      </c>
      <c r="H36" s="102">
        <f>TrRoad_ene!H$19</f>
        <v>11.575487768818149</v>
      </c>
      <c r="I36" s="102">
        <f>TrRoad_ene!I$19</f>
        <v>12.304534976440936</v>
      </c>
      <c r="J36" s="102">
        <f>TrRoad_ene!J$19</f>
        <v>14.662455058652393</v>
      </c>
      <c r="K36" s="102">
        <f>TrRoad_ene!K$19</f>
        <v>15.658307771602765</v>
      </c>
      <c r="L36" s="102">
        <f>TrRoad_ene!L$19</f>
        <v>16.272614719370878</v>
      </c>
      <c r="M36" s="102">
        <f>TrRoad_ene!M$19</f>
        <v>16.988677048865327</v>
      </c>
      <c r="N36" s="102">
        <f>TrRoad_ene!N$19</f>
        <v>17.580656774146785</v>
      </c>
      <c r="O36" s="102">
        <f>TrRoad_ene!O$19</f>
        <v>18.511517876757395</v>
      </c>
      <c r="P36" s="102">
        <f>TrRoad_ene!P$19</f>
        <v>19.149881326372196</v>
      </c>
      <c r="Q36" s="102">
        <f>TrRoad_ene!Q$19</f>
        <v>19.950047514089619</v>
      </c>
      <c r="R36" s="102">
        <f>TrRoad_ene!R$19</f>
        <v>21.285697569738865</v>
      </c>
      <c r="S36" s="102">
        <f>TrRoad_ene!S$19</f>
        <v>20.009597178305089</v>
      </c>
      <c r="T36" s="102">
        <f>TrRoad_ene!T$19</f>
        <v>18.996874005500906</v>
      </c>
      <c r="U36" s="102">
        <f>TrRoad_ene!U$19</f>
        <v>19.968112535370587</v>
      </c>
      <c r="V36" s="102">
        <f>TrRoad_ene!V$19</f>
        <v>17.967904018529751</v>
      </c>
      <c r="W36" s="102">
        <f>TrRoad_ene!W$19</f>
        <v>18.833546208384675</v>
      </c>
      <c r="X36" s="102">
        <f>TrRoad_ene!X$19</f>
        <v>19.269024461321447</v>
      </c>
      <c r="Y36" s="102">
        <f>TrRoad_ene!Y$19</f>
        <v>21.045843797197133</v>
      </c>
      <c r="DA36" s="175" t="s">
        <v>392</v>
      </c>
    </row>
    <row r="37" spans="1:105" ht="11.45" customHeight="1" x14ac:dyDescent="0.25">
      <c r="A37" s="128" t="str">
        <f>$A$7</f>
        <v>Passenger cars</v>
      </c>
      <c r="B37" s="102">
        <f>TrRoad_ene!B$21</f>
        <v>1290.1163407964082</v>
      </c>
      <c r="C37" s="102">
        <f>TrRoad_ene!C$21</f>
        <v>1719.8667859533709</v>
      </c>
      <c r="D37" s="102">
        <f>TrRoad_ene!D$21</f>
        <v>1749.2297420562256</v>
      </c>
      <c r="E37" s="102">
        <f>TrRoad_ene!E$21</f>
        <v>1834.4950659398546</v>
      </c>
      <c r="F37" s="102">
        <f>TrRoad_ene!F$21</f>
        <v>2036.9743421643859</v>
      </c>
      <c r="G37" s="102">
        <f>TrRoad_ene!G$21</f>
        <v>2007.7465362708717</v>
      </c>
      <c r="H37" s="102">
        <f>TrRoad_ene!H$21</f>
        <v>2011.7636461795068</v>
      </c>
      <c r="I37" s="102">
        <f>TrRoad_ene!I$21</f>
        <v>2136.5581694246789</v>
      </c>
      <c r="J37" s="102">
        <f>TrRoad_ene!J$21</f>
        <v>2379.293594721968</v>
      </c>
      <c r="K37" s="102">
        <f>TrRoad_ene!K$21</f>
        <v>2528.1702262986732</v>
      </c>
      <c r="L37" s="102">
        <f>TrRoad_ene!L$21</f>
        <v>2438.1376482543205</v>
      </c>
      <c r="M37" s="102">
        <f>TrRoad_ene!M$21</f>
        <v>2568.8952018816831</v>
      </c>
      <c r="N37" s="102">
        <f>TrRoad_ene!N$21</f>
        <v>2725.0006279959052</v>
      </c>
      <c r="O37" s="102">
        <f>TrRoad_ene!O$21</f>
        <v>2593.4982998012665</v>
      </c>
      <c r="P37" s="102">
        <f>TrRoad_ene!P$21</f>
        <v>2703.4755511082258</v>
      </c>
      <c r="Q37" s="102">
        <f>TrRoad_ene!Q$21</f>
        <v>2725.8074149363074</v>
      </c>
      <c r="R37" s="102">
        <f>TrRoad_ene!R$21</f>
        <v>2964.8834308505648</v>
      </c>
      <c r="S37" s="102">
        <f>TrRoad_ene!S$21</f>
        <v>3157.7979585205958</v>
      </c>
      <c r="T37" s="102">
        <f>TrRoad_ene!T$21</f>
        <v>3290.5766807212763</v>
      </c>
      <c r="U37" s="102">
        <f>TrRoad_ene!U$21</f>
        <v>3395.0063147572819</v>
      </c>
      <c r="V37" s="102">
        <f>TrRoad_ene!V$21</f>
        <v>3254.3725097180572</v>
      </c>
      <c r="W37" s="102">
        <f>TrRoad_ene!W$21</f>
        <v>3473.3073097097204</v>
      </c>
      <c r="X37" s="102">
        <f>TrRoad_ene!X$21</f>
        <v>3811.2619077812769</v>
      </c>
      <c r="Y37" s="102">
        <f>TrRoad_ene!Y$21</f>
        <v>4095.3189507827169</v>
      </c>
      <c r="DA37" s="175" t="s">
        <v>393</v>
      </c>
    </row>
    <row r="38" spans="1:105" ht="11.45" customHeight="1" x14ac:dyDescent="0.25">
      <c r="A38" s="128" t="str">
        <f>$A$8</f>
        <v>Motor coaches, buses and trolley buses</v>
      </c>
      <c r="B38" s="102">
        <f>TrRoad_ene!B$33</f>
        <v>491.1562153349787</v>
      </c>
      <c r="C38" s="102">
        <f>TrRoad_ene!C$33</f>
        <v>577.92814750021864</v>
      </c>
      <c r="D38" s="102">
        <f>TrRoad_ene!D$33</f>
        <v>551.23875020498167</v>
      </c>
      <c r="E38" s="102">
        <f>TrRoad_ene!E$33</f>
        <v>619.19280747257039</v>
      </c>
      <c r="F38" s="102">
        <f>TrRoad_ene!F$33</f>
        <v>656.7130392896072</v>
      </c>
      <c r="G38" s="102">
        <f>TrRoad_ene!G$33</f>
        <v>613.09440160998122</v>
      </c>
      <c r="H38" s="102">
        <f>TrRoad_ene!H$33</f>
        <v>567.43998167976281</v>
      </c>
      <c r="I38" s="102">
        <f>TrRoad_ene!I$33</f>
        <v>627.50648096661178</v>
      </c>
      <c r="J38" s="102">
        <f>TrRoad_ene!J$33</f>
        <v>870.5528414070202</v>
      </c>
      <c r="K38" s="102">
        <f>TrRoad_ene!K$33</f>
        <v>897.14537140308664</v>
      </c>
      <c r="L38" s="102">
        <f>TrRoad_ene!L$33</f>
        <v>907.52008122503378</v>
      </c>
      <c r="M38" s="102">
        <f>TrRoad_ene!M$33</f>
        <v>934.00962217281869</v>
      </c>
      <c r="N38" s="102">
        <f>TrRoad_ene!N$33</f>
        <v>965.6012451601415</v>
      </c>
      <c r="O38" s="102">
        <f>TrRoad_ene!O$33</f>
        <v>983.93826752443408</v>
      </c>
      <c r="P38" s="102">
        <f>TrRoad_ene!P$33</f>
        <v>1027.2292485826388</v>
      </c>
      <c r="Q38" s="102">
        <f>TrRoad_ene!Q$33</f>
        <v>1063.0929412295729</v>
      </c>
      <c r="R38" s="102">
        <f>TrRoad_ene!R$33</f>
        <v>1121.3522215386947</v>
      </c>
      <c r="S38" s="102">
        <f>TrRoad_ene!S$33</f>
        <v>1180.748261293923</v>
      </c>
      <c r="T38" s="102">
        <f>TrRoad_ene!T$33</f>
        <v>1202.7249589887267</v>
      </c>
      <c r="U38" s="102">
        <f>TrRoad_ene!U$33</f>
        <v>1221.8564178258787</v>
      </c>
      <c r="V38" s="102">
        <f>TrRoad_ene!V$33</f>
        <v>1287.9503775200933</v>
      </c>
      <c r="W38" s="102">
        <f>TrRoad_ene!W$33</f>
        <v>1310.643153922297</v>
      </c>
      <c r="X38" s="102">
        <f>TrRoad_ene!X$33</f>
        <v>1358.1227186997755</v>
      </c>
      <c r="Y38" s="102">
        <f>TrRoad_ene!Y$33</f>
        <v>1369.9203114308273</v>
      </c>
      <c r="DA38" s="175" t="s">
        <v>394</v>
      </c>
    </row>
    <row r="39" spans="1:105" ht="11.45" customHeight="1" x14ac:dyDescent="0.25">
      <c r="A39" s="109" t="str">
        <f>$A$9</f>
        <v>Rail, metro and tram</v>
      </c>
      <c r="B39" s="110">
        <f t="shared" ref="B39:Q39" si="32">B40+B41+B42</f>
        <v>260.99613731546702</v>
      </c>
      <c r="C39" s="110">
        <f t="shared" si="32"/>
        <v>145.75659879991056</v>
      </c>
      <c r="D39" s="110">
        <f t="shared" si="32"/>
        <v>205.72351964221383</v>
      </c>
      <c r="E39" s="110">
        <f t="shared" si="32"/>
        <v>198.97298575527159</v>
      </c>
      <c r="F39" s="110">
        <f t="shared" si="32"/>
        <v>197.50085389806486</v>
      </c>
      <c r="G39" s="110">
        <f t="shared" si="32"/>
        <v>100.49224972550448</v>
      </c>
      <c r="H39" s="110">
        <f t="shared" si="32"/>
        <v>92.059000588834436</v>
      </c>
      <c r="I39" s="110">
        <f t="shared" si="32"/>
        <v>178.44542445100183</v>
      </c>
      <c r="J39" s="110">
        <f t="shared" si="32"/>
        <v>170.26016802467933</v>
      </c>
      <c r="K39" s="110">
        <f t="shared" si="32"/>
        <v>149.92854145201832</v>
      </c>
      <c r="L39" s="110">
        <f t="shared" si="32"/>
        <v>162.83832311189707</v>
      </c>
      <c r="M39" s="110">
        <f t="shared" si="32"/>
        <v>201.77576444130048</v>
      </c>
      <c r="N39" s="110">
        <f t="shared" si="32"/>
        <v>205.39559016433691</v>
      </c>
      <c r="O39" s="110">
        <f t="shared" si="32"/>
        <v>183.36647768181976</v>
      </c>
      <c r="P39" s="110">
        <f t="shared" si="32"/>
        <v>143.5230729758714</v>
      </c>
      <c r="Q39" s="110">
        <f t="shared" si="32"/>
        <v>134.2368551801091</v>
      </c>
      <c r="R39" s="110">
        <f t="shared" ref="R39:V39" si="33">R40+R41+R42</f>
        <v>130.39677127576414</v>
      </c>
      <c r="S39" s="110">
        <f t="shared" si="33"/>
        <v>142.36260863467939</v>
      </c>
      <c r="T39" s="110">
        <f t="shared" si="33"/>
        <v>120.62720561822871</v>
      </c>
      <c r="U39" s="110">
        <f t="shared" si="33"/>
        <v>148.99729259691668</v>
      </c>
      <c r="V39" s="110">
        <f t="shared" si="33"/>
        <v>140.49443979755148</v>
      </c>
      <c r="W39" s="110">
        <f t="shared" ref="W39:Y39" si="34">W40+W41+W42</f>
        <v>140.73433198273403</v>
      </c>
      <c r="X39" s="110">
        <f t="shared" si="34"/>
        <v>108.02932222456774</v>
      </c>
      <c r="Y39" s="110">
        <f t="shared" si="34"/>
        <v>106.38052989729943</v>
      </c>
      <c r="DA39" s="176" t="s">
        <v>395</v>
      </c>
    </row>
    <row r="40" spans="1:105" ht="11.45" customHeight="1" x14ac:dyDescent="0.25">
      <c r="A40" s="128" t="str">
        <f>$A$10</f>
        <v>Metro and tram, urban light rail</v>
      </c>
      <c r="B40" s="102">
        <f>TrRail_ene!B$12</f>
        <v>31.080091243056913</v>
      </c>
      <c r="C40" s="102">
        <f>TrRail_ene!C$12</f>
        <v>30.446470249286968</v>
      </c>
      <c r="D40" s="102">
        <f>TrRail_ene!D$12</f>
        <v>30.041630743973609</v>
      </c>
      <c r="E40" s="102">
        <f>TrRail_ene!E$12</f>
        <v>28.35734002312282</v>
      </c>
      <c r="F40" s="102">
        <f>TrRail_ene!F$12</f>
        <v>29.739389647028094</v>
      </c>
      <c r="G40" s="102">
        <f>TrRail_ene!G$12</f>
        <v>31.160788945721517</v>
      </c>
      <c r="H40" s="102">
        <f>TrRail_ene!H$12</f>
        <v>32.456958668576526</v>
      </c>
      <c r="I40" s="102">
        <f>TrRail_ene!I$12</f>
        <v>32.98257380286875</v>
      </c>
      <c r="J40" s="102">
        <f>TrRail_ene!J$12</f>
        <v>33.492719549749964</v>
      </c>
      <c r="K40" s="102">
        <f>TrRail_ene!K$12</f>
        <v>34.499769065241736</v>
      </c>
      <c r="L40" s="102">
        <f>TrRail_ene!L$12</f>
        <v>35.049451734708775</v>
      </c>
      <c r="M40" s="102">
        <f>TrRail_ene!M$12</f>
        <v>35.22562880307219</v>
      </c>
      <c r="N40" s="102">
        <f>TrRail_ene!N$12</f>
        <v>38.097189802315029</v>
      </c>
      <c r="O40" s="102">
        <f>TrRail_ene!O$12</f>
        <v>37.936971808194379</v>
      </c>
      <c r="P40" s="102">
        <f>TrRail_ene!P$12</f>
        <v>37.320114138586419</v>
      </c>
      <c r="Q40" s="102">
        <f>TrRail_ene!Q$12</f>
        <v>22.365994632316912</v>
      </c>
      <c r="R40" s="102">
        <f>TrRail_ene!R$12</f>
        <v>23.165234019544521</v>
      </c>
      <c r="S40" s="102">
        <f>TrRail_ene!S$12</f>
        <v>22.562131754009453</v>
      </c>
      <c r="T40" s="102">
        <f>TrRail_ene!T$12</f>
        <v>21.735494897822633</v>
      </c>
      <c r="U40" s="102">
        <f>TrRail_ene!U$12</f>
        <v>21.018797137020705</v>
      </c>
      <c r="V40" s="102">
        <f>TrRail_ene!V$12</f>
        <v>20.879067044428496</v>
      </c>
      <c r="W40" s="102">
        <f>TrRail_ene!W$12</f>
        <v>20.347753226717295</v>
      </c>
      <c r="X40" s="102">
        <f>TrRail_ene!X$12</f>
        <v>24.051422140508667</v>
      </c>
      <c r="Y40" s="102">
        <f>TrRail_ene!Y$12</f>
        <v>18.594805946515343</v>
      </c>
      <c r="DA40" s="175" t="s">
        <v>396</v>
      </c>
    </row>
    <row r="41" spans="1:105" ht="11.45" customHeight="1" x14ac:dyDescent="0.25">
      <c r="A41" s="128" t="str">
        <f>$A$11</f>
        <v>Conventional passenger trains</v>
      </c>
      <c r="B41" s="102">
        <f>TrRail_ene!B$13</f>
        <v>229.9160460724101</v>
      </c>
      <c r="C41" s="102">
        <f>TrRail_ene!C$13</f>
        <v>115.31012855062359</v>
      </c>
      <c r="D41" s="102">
        <f>TrRail_ene!D$13</f>
        <v>175.68188889824023</v>
      </c>
      <c r="E41" s="102">
        <f>TrRail_ene!E$13</f>
        <v>170.61564573214878</v>
      </c>
      <c r="F41" s="102">
        <f>TrRail_ene!F$13</f>
        <v>167.76146425103676</v>
      </c>
      <c r="G41" s="102">
        <f>TrRail_ene!G$13</f>
        <v>69.331460779782958</v>
      </c>
      <c r="H41" s="102">
        <f>TrRail_ene!H$13</f>
        <v>59.602041920257918</v>
      </c>
      <c r="I41" s="102">
        <f>TrRail_ene!I$13</f>
        <v>145.46285064813307</v>
      </c>
      <c r="J41" s="102">
        <f>TrRail_ene!J$13</f>
        <v>136.76744847492935</v>
      </c>
      <c r="K41" s="102">
        <f>TrRail_ene!K$13</f>
        <v>115.42877238677659</v>
      </c>
      <c r="L41" s="102">
        <f>TrRail_ene!L$13</f>
        <v>127.7888713771883</v>
      </c>
      <c r="M41" s="102">
        <f>TrRail_ene!M$13</f>
        <v>166.55013563822828</v>
      </c>
      <c r="N41" s="102">
        <f>TrRail_ene!N$13</f>
        <v>167.29840036202188</v>
      </c>
      <c r="O41" s="102">
        <f>TrRail_ene!O$13</f>
        <v>145.42950587362537</v>
      </c>
      <c r="P41" s="102">
        <f>TrRail_ene!P$13</f>
        <v>106.20295883728498</v>
      </c>
      <c r="Q41" s="102">
        <f>TrRail_ene!Q$13</f>
        <v>111.87086054779218</v>
      </c>
      <c r="R41" s="102">
        <f>TrRail_ene!R$13</f>
        <v>107.23153725621962</v>
      </c>
      <c r="S41" s="102">
        <f>TrRail_ene!S$13</f>
        <v>119.80047688066995</v>
      </c>
      <c r="T41" s="102">
        <f>TrRail_ene!T$13</f>
        <v>98.891710720406081</v>
      </c>
      <c r="U41" s="102">
        <f>TrRail_ene!U$13</f>
        <v>127.97849545989597</v>
      </c>
      <c r="V41" s="102">
        <f>TrRail_ene!V$13</f>
        <v>119.615372753123</v>
      </c>
      <c r="W41" s="102">
        <f>TrRail_ene!W$13</f>
        <v>120.38657875601675</v>
      </c>
      <c r="X41" s="102">
        <f>TrRail_ene!X$13</f>
        <v>83.977900084059073</v>
      </c>
      <c r="Y41" s="102">
        <f>TrRail_ene!Y$13</f>
        <v>87.785723950784075</v>
      </c>
      <c r="DA41" s="175" t="s">
        <v>397</v>
      </c>
    </row>
    <row r="42" spans="1:105" ht="11.45" customHeight="1" x14ac:dyDescent="0.25">
      <c r="A42" s="128" t="str">
        <f>$A$12</f>
        <v>High speed passenger trains</v>
      </c>
      <c r="B42" s="102">
        <f>TrRail_ene!B$16</f>
        <v>0</v>
      </c>
      <c r="C42" s="102">
        <f>TrRail_ene!C$16</f>
        <v>0</v>
      </c>
      <c r="D42" s="102">
        <f>TrRail_ene!D$16</f>
        <v>0</v>
      </c>
      <c r="E42" s="102">
        <f>TrRail_ene!E$16</f>
        <v>0</v>
      </c>
      <c r="F42" s="102">
        <f>TrRail_ene!F$16</f>
        <v>0</v>
      </c>
      <c r="G42" s="102">
        <f>TrRail_ene!G$16</f>
        <v>0</v>
      </c>
      <c r="H42" s="102">
        <f>TrRail_ene!H$16</f>
        <v>0</v>
      </c>
      <c r="I42" s="102">
        <f>TrRail_ene!I$16</f>
        <v>0</v>
      </c>
      <c r="J42" s="102">
        <f>TrRail_ene!J$16</f>
        <v>0</v>
      </c>
      <c r="K42" s="102">
        <f>TrRail_ene!K$16</f>
        <v>0</v>
      </c>
      <c r="L42" s="102">
        <f>TrRail_ene!L$16</f>
        <v>0</v>
      </c>
      <c r="M42" s="102">
        <f>TrRail_ene!M$16</f>
        <v>0</v>
      </c>
      <c r="N42" s="102">
        <f>TrRail_ene!N$16</f>
        <v>0</v>
      </c>
      <c r="O42" s="102">
        <f>TrRail_ene!O$16</f>
        <v>0</v>
      </c>
      <c r="P42" s="102">
        <f>TrRail_ene!P$16</f>
        <v>0</v>
      </c>
      <c r="Q42" s="102">
        <f>TrRail_ene!Q$16</f>
        <v>0</v>
      </c>
      <c r="R42" s="102">
        <f>TrRail_ene!R$16</f>
        <v>0</v>
      </c>
      <c r="S42" s="102">
        <f>TrRail_ene!S$16</f>
        <v>0</v>
      </c>
      <c r="T42" s="102">
        <f>TrRail_ene!T$16</f>
        <v>0</v>
      </c>
      <c r="U42" s="102">
        <f>TrRail_ene!U$16</f>
        <v>0</v>
      </c>
      <c r="V42" s="102">
        <f>TrRail_ene!V$16</f>
        <v>0</v>
      </c>
      <c r="W42" s="102">
        <f>TrRail_ene!W$16</f>
        <v>0</v>
      </c>
      <c r="X42" s="102">
        <f>TrRail_ene!X$16</f>
        <v>0</v>
      </c>
      <c r="Y42" s="102">
        <f>TrRail_ene!Y$16</f>
        <v>0</v>
      </c>
      <c r="DA42" s="175" t="s">
        <v>398</v>
      </c>
    </row>
    <row r="43" spans="1:105" ht="11.45" customHeight="1" x14ac:dyDescent="0.25">
      <c r="A43" s="109" t="str">
        <f>$A$13</f>
        <v>Aviation</v>
      </c>
      <c r="B43" s="110">
        <f t="shared" ref="B43:Q43" si="35">B44+B45+B46</f>
        <v>133.89318411761823</v>
      </c>
      <c r="C43" s="110">
        <f t="shared" si="35"/>
        <v>117.30193552735885</v>
      </c>
      <c r="D43" s="110">
        <f t="shared" si="35"/>
        <v>99.487877900315866</v>
      </c>
      <c r="E43" s="110">
        <f t="shared" si="35"/>
        <v>120.57961878497056</v>
      </c>
      <c r="F43" s="110">
        <f t="shared" si="35"/>
        <v>150.70738700173359</v>
      </c>
      <c r="G43" s="110">
        <f t="shared" si="35"/>
        <v>136.37219985059633</v>
      </c>
      <c r="H43" s="110">
        <f t="shared" si="35"/>
        <v>155.84832261714348</v>
      </c>
      <c r="I43" s="110">
        <f t="shared" si="35"/>
        <v>206.11966161172072</v>
      </c>
      <c r="J43" s="110">
        <f t="shared" si="35"/>
        <v>214.35345449463389</v>
      </c>
      <c r="K43" s="110">
        <f t="shared" si="35"/>
        <v>232.71126594244078</v>
      </c>
      <c r="L43" s="110">
        <f t="shared" si="35"/>
        <v>275.74352265770654</v>
      </c>
      <c r="M43" s="110">
        <f t="shared" si="35"/>
        <v>224.86537169548748</v>
      </c>
      <c r="N43" s="110">
        <f t="shared" si="35"/>
        <v>171.77612689689357</v>
      </c>
      <c r="O43" s="110">
        <f t="shared" si="35"/>
        <v>208.86331787251461</v>
      </c>
      <c r="P43" s="110">
        <f t="shared" si="35"/>
        <v>228.90947831928713</v>
      </c>
      <c r="Q43" s="110">
        <f t="shared" si="35"/>
        <v>269.87300899401606</v>
      </c>
      <c r="R43" s="110">
        <f t="shared" ref="R43:V43" si="36">R44+R45+R46</f>
        <v>316.29909416085371</v>
      </c>
      <c r="S43" s="110">
        <f t="shared" si="36"/>
        <v>382.36814344167021</v>
      </c>
      <c r="T43" s="110">
        <f t="shared" si="36"/>
        <v>191.79467083499381</v>
      </c>
      <c r="U43" s="110">
        <f t="shared" si="36"/>
        <v>216.40632647253145</v>
      </c>
      <c r="V43" s="110">
        <f t="shared" si="36"/>
        <v>85.167957192469345</v>
      </c>
      <c r="W43" s="110">
        <f t="shared" ref="W43:Y43" si="37">W44+W45+W46</f>
        <v>127.964656152271</v>
      </c>
      <c r="X43" s="110">
        <f t="shared" si="37"/>
        <v>160.68461857176914</v>
      </c>
      <c r="Y43" s="110">
        <f t="shared" si="37"/>
        <v>133.49906141238756</v>
      </c>
      <c r="DA43" s="176" t="s">
        <v>280</v>
      </c>
    </row>
    <row r="44" spans="1:105" ht="11.45" customHeight="1" x14ac:dyDescent="0.25">
      <c r="A44" s="128" t="str">
        <f>$A$14</f>
        <v>Domestic</v>
      </c>
      <c r="B44" s="102">
        <f>TrAvia_ene!B$7</f>
        <v>6.2737625907928596</v>
      </c>
      <c r="C44" s="102">
        <f>TrAvia_ene!C$7</f>
        <v>3.1103652882637642</v>
      </c>
      <c r="D44" s="102">
        <f>TrAvia_ene!D$7</f>
        <v>2.05942207928361</v>
      </c>
      <c r="E44" s="102">
        <f>TrAvia_ene!E$7</f>
        <v>2.0610920732631324</v>
      </c>
      <c r="F44" s="102">
        <f>TrAvia_ene!F$7</f>
        <v>12.354613139019866</v>
      </c>
      <c r="G44" s="102">
        <f>TrAvia_ene!G$7</f>
        <v>11.638633174516047</v>
      </c>
      <c r="H44" s="102">
        <f>TrAvia_ene!H$7</f>
        <v>2.1166078043896532</v>
      </c>
      <c r="I44" s="102">
        <f>TrAvia_ene!I$7</f>
        <v>83.141222197109784</v>
      </c>
      <c r="J44" s="102">
        <f>TrAvia_ene!J$7</f>
        <v>80.884285093823308</v>
      </c>
      <c r="K44" s="102">
        <f>TrAvia_ene!K$7</f>
        <v>85.335674373643755</v>
      </c>
      <c r="L44" s="102">
        <f>TrAvia_ene!L$7</f>
        <v>111.18386157906802</v>
      </c>
      <c r="M44" s="102">
        <f>TrAvia_ene!M$7</f>
        <v>81.291820594573764</v>
      </c>
      <c r="N44" s="102">
        <f>TrAvia_ene!N$7</f>
        <v>40.391830360947417</v>
      </c>
      <c r="O44" s="102">
        <f>TrAvia_ene!O$7</f>
        <v>45.605705111205616</v>
      </c>
      <c r="P44" s="102">
        <f>TrAvia_ene!P$7</f>
        <v>24.26819261217339</v>
      </c>
      <c r="Q44" s="102">
        <f>TrAvia_ene!Q$7</f>
        <v>32.713469809147178</v>
      </c>
      <c r="R44" s="102">
        <f>TrAvia_ene!R$7</f>
        <v>27.989149908369363</v>
      </c>
      <c r="S44" s="102">
        <f>TrAvia_ene!S$7</f>
        <v>49.260975397179315</v>
      </c>
      <c r="T44" s="102">
        <f>TrAvia_ene!T$7</f>
        <v>55.456404215728199</v>
      </c>
      <c r="U44" s="102">
        <f>TrAvia_ene!U$7</f>
        <v>64.536091106046669</v>
      </c>
      <c r="V44" s="102">
        <f>TrAvia_ene!V$7</f>
        <v>38.413657536889758</v>
      </c>
      <c r="W44" s="102">
        <f>TrAvia_ene!W$7</f>
        <v>46.375271371011408</v>
      </c>
      <c r="X44" s="102">
        <f>TrAvia_ene!X$7</f>
        <v>69.679162348378867</v>
      </c>
      <c r="Y44" s="102">
        <f>TrAvia_ene!Y$7</f>
        <v>38.831155884158925</v>
      </c>
      <c r="DA44" s="175" t="s">
        <v>281</v>
      </c>
    </row>
    <row r="45" spans="1:105" ht="11.45" customHeight="1" x14ac:dyDescent="0.25">
      <c r="A45" s="128" t="str">
        <f>$A$15</f>
        <v>International - Intra-EEAwCHUK</v>
      </c>
      <c r="B45" s="102">
        <f>TrAvia_ene!B$8</f>
        <v>109.10149879259582</v>
      </c>
      <c r="C45" s="102">
        <f>TrAvia_ene!C$8</f>
        <v>97.627605315921684</v>
      </c>
      <c r="D45" s="102">
        <f>TrAvia_ene!D$8</f>
        <v>83.30390766360955</v>
      </c>
      <c r="E45" s="102">
        <f>TrAvia_ene!E$8</f>
        <v>101.34732419679204</v>
      </c>
      <c r="F45" s="102">
        <f>TrAvia_ene!F$8</f>
        <v>118.32011690371084</v>
      </c>
      <c r="G45" s="102">
        <f>TrAvia_ene!G$8</f>
        <v>106.91567062353701</v>
      </c>
      <c r="H45" s="102">
        <f>TrAvia_ene!H$8</f>
        <v>132.56173813547227</v>
      </c>
      <c r="I45" s="102">
        <f>TrAvia_ene!I$8</f>
        <v>107.11706669761077</v>
      </c>
      <c r="J45" s="102">
        <f>TrAvia_ene!J$8</f>
        <v>116.66819328721698</v>
      </c>
      <c r="K45" s="102">
        <f>TrAvia_ene!K$8</f>
        <v>128.70734609445961</v>
      </c>
      <c r="L45" s="102">
        <f>TrAvia_ene!L$8</f>
        <v>143.98420781553699</v>
      </c>
      <c r="M45" s="102">
        <f>TrAvia_ene!M$8</f>
        <v>125.27198823919913</v>
      </c>
      <c r="N45" s="102">
        <f>TrAvia_ene!N$8</f>
        <v>114.74847366685162</v>
      </c>
      <c r="O45" s="102">
        <f>TrAvia_ene!O$8</f>
        <v>142.83956815820687</v>
      </c>
      <c r="P45" s="102">
        <f>TrAvia_ene!P$8</f>
        <v>180.91885810012786</v>
      </c>
      <c r="Q45" s="102">
        <f>TrAvia_ene!Q$8</f>
        <v>211.51757867931579</v>
      </c>
      <c r="R45" s="102">
        <f>TrAvia_ene!R$8</f>
        <v>261.36993886575698</v>
      </c>
      <c r="S45" s="102">
        <f>TrAvia_ene!S$8</f>
        <v>304.97894073824136</v>
      </c>
      <c r="T45" s="102">
        <f>TrAvia_ene!T$8</f>
        <v>124.73831312549855</v>
      </c>
      <c r="U45" s="102">
        <f>TrAvia_ene!U$8</f>
        <v>139.33433431943229</v>
      </c>
      <c r="V45" s="102">
        <f>TrAvia_ene!V$8</f>
        <v>41.280209892297385</v>
      </c>
      <c r="W45" s="102">
        <f>TrAvia_ene!W$8</f>
        <v>73.374986892999786</v>
      </c>
      <c r="X45" s="102">
        <f>TrAvia_ene!X$8</f>
        <v>83.954786198145342</v>
      </c>
      <c r="Y45" s="102">
        <f>TrAvia_ene!Y$8</f>
        <v>87.198292751736901</v>
      </c>
      <c r="DA45" s="175" t="s">
        <v>282</v>
      </c>
    </row>
    <row r="46" spans="1:105" ht="11.45" customHeight="1" x14ac:dyDescent="0.25">
      <c r="A46" s="128" t="str">
        <f>$A$16</f>
        <v>International - Extra-EEAwCHUK</v>
      </c>
      <c r="B46" s="102">
        <f>TrAvia_ene!B$9</f>
        <v>18.517922734229547</v>
      </c>
      <c r="C46" s="102">
        <f>TrAvia_ene!C$9</f>
        <v>16.563964923173401</v>
      </c>
      <c r="D46" s="102">
        <f>TrAvia_ene!D$9</f>
        <v>14.124548157422714</v>
      </c>
      <c r="E46" s="102">
        <f>TrAvia_ene!E$9</f>
        <v>17.171202514915386</v>
      </c>
      <c r="F46" s="102">
        <f>TrAvia_ene!F$9</f>
        <v>20.032656959002871</v>
      </c>
      <c r="G46" s="102">
        <f>TrAvia_ene!G$9</f>
        <v>17.817896052543276</v>
      </c>
      <c r="H46" s="102">
        <f>TrAvia_ene!H$9</f>
        <v>21.169976677281579</v>
      </c>
      <c r="I46" s="102">
        <f>TrAvia_ene!I$9</f>
        <v>15.861372717000153</v>
      </c>
      <c r="J46" s="102">
        <f>TrAvia_ene!J$9</f>
        <v>16.80097611359361</v>
      </c>
      <c r="K46" s="102">
        <f>TrAvia_ene!K$9</f>
        <v>18.668245474337432</v>
      </c>
      <c r="L46" s="102">
        <f>TrAvia_ene!L$9</f>
        <v>20.575453263101519</v>
      </c>
      <c r="M46" s="102">
        <f>TrAvia_ene!M$9</f>
        <v>18.301562861714579</v>
      </c>
      <c r="N46" s="102">
        <f>TrAvia_ene!N$9</f>
        <v>16.635822869094547</v>
      </c>
      <c r="O46" s="102">
        <f>TrAvia_ene!O$9</f>
        <v>20.418044603102121</v>
      </c>
      <c r="P46" s="102">
        <f>TrAvia_ene!P$9</f>
        <v>23.722427606985889</v>
      </c>
      <c r="Q46" s="102">
        <f>TrAvia_ene!Q$9</f>
        <v>25.641960505553076</v>
      </c>
      <c r="R46" s="102">
        <f>TrAvia_ene!R$9</f>
        <v>26.940005386727361</v>
      </c>
      <c r="S46" s="102">
        <f>TrAvia_ene!S$9</f>
        <v>28.128227306249521</v>
      </c>
      <c r="T46" s="102">
        <f>TrAvia_ene!T$9</f>
        <v>11.599953493767057</v>
      </c>
      <c r="U46" s="102">
        <f>TrAvia_ene!U$9</f>
        <v>12.535901047052475</v>
      </c>
      <c r="V46" s="102">
        <f>TrAvia_ene!V$9</f>
        <v>5.4740897632821888</v>
      </c>
      <c r="W46" s="102">
        <f>TrAvia_ene!W$9</f>
        <v>8.2143978882598034</v>
      </c>
      <c r="X46" s="102">
        <f>TrAvia_ene!X$9</f>
        <v>7.0506700252449317</v>
      </c>
      <c r="Y46" s="102">
        <f>TrAvia_ene!Y$9</f>
        <v>7.4696127764917435</v>
      </c>
      <c r="DA46" s="175" t="s">
        <v>283</v>
      </c>
    </row>
    <row r="47" spans="1:105" ht="11.45" customHeight="1" x14ac:dyDescent="0.25">
      <c r="A47" s="27" t="s">
        <v>34</v>
      </c>
      <c r="B47" s="28">
        <f t="shared" ref="B47:Q47" si="38">B48+B51+B52+B56</f>
        <v>1139.5879936253543</v>
      </c>
      <c r="C47" s="28">
        <f t="shared" si="38"/>
        <v>1364.036152136224</v>
      </c>
      <c r="D47" s="28">
        <f t="shared" si="38"/>
        <v>1491.6496023526429</v>
      </c>
      <c r="E47" s="28">
        <f t="shared" si="38"/>
        <v>1568.5586550154726</v>
      </c>
      <c r="F47" s="28">
        <f t="shared" si="38"/>
        <v>1480.1128454453542</v>
      </c>
      <c r="G47" s="28">
        <f t="shared" si="38"/>
        <v>1325.6905014126476</v>
      </c>
      <c r="H47" s="28">
        <f t="shared" si="38"/>
        <v>1512.4017812863121</v>
      </c>
      <c r="I47" s="28">
        <f t="shared" si="38"/>
        <v>1456.9450922840767</v>
      </c>
      <c r="J47" s="28">
        <f t="shared" si="38"/>
        <v>1544.8395671184969</v>
      </c>
      <c r="K47" s="28">
        <f t="shared" si="38"/>
        <v>1492.3627971292999</v>
      </c>
      <c r="L47" s="28">
        <f t="shared" si="38"/>
        <v>1280.3858547403893</v>
      </c>
      <c r="M47" s="28">
        <f t="shared" si="38"/>
        <v>1369.6279786612658</v>
      </c>
      <c r="N47" s="28">
        <f t="shared" si="38"/>
        <v>1346.1744898407778</v>
      </c>
      <c r="O47" s="28">
        <f t="shared" si="38"/>
        <v>1357.7682584426125</v>
      </c>
      <c r="P47" s="28">
        <f t="shared" si="38"/>
        <v>1341.9324668783863</v>
      </c>
      <c r="Q47" s="28">
        <f t="shared" si="38"/>
        <v>1357.9716234690729</v>
      </c>
      <c r="R47" s="28">
        <f t="shared" ref="R47:V47" si="39">R48+R51+R52+R56</f>
        <v>1468.7985703495879</v>
      </c>
      <c r="S47" s="28">
        <f t="shared" si="39"/>
        <v>1596.9196717837876</v>
      </c>
      <c r="T47" s="28">
        <f t="shared" si="39"/>
        <v>1611.9514070680518</v>
      </c>
      <c r="U47" s="28">
        <f t="shared" si="39"/>
        <v>1719.0207036000036</v>
      </c>
      <c r="V47" s="28">
        <f t="shared" si="39"/>
        <v>1719.1520911443722</v>
      </c>
      <c r="W47" s="28">
        <f t="shared" ref="W47:Y47" si="40">W48+W51+W52+W56</f>
        <v>1869.8930018176952</v>
      </c>
      <c r="X47" s="28">
        <f t="shared" si="40"/>
        <v>2062.4330755035035</v>
      </c>
      <c r="Y47" s="28">
        <f t="shared" si="40"/>
        <v>2056.6753066657602</v>
      </c>
      <c r="DA47" s="173"/>
    </row>
    <row r="48" spans="1:105" ht="11.45" customHeight="1" x14ac:dyDescent="0.25">
      <c r="A48" s="136" t="str">
        <f>$A$18</f>
        <v>Road transport</v>
      </c>
      <c r="B48" s="137">
        <f t="shared" ref="B48:Q48" si="41">B49+B50</f>
        <v>925.25065985637593</v>
      </c>
      <c r="C48" s="137">
        <f t="shared" si="41"/>
        <v>1188.8321757154281</v>
      </c>
      <c r="D48" s="137">
        <f t="shared" si="41"/>
        <v>1278.8711460688614</v>
      </c>
      <c r="E48" s="137">
        <f t="shared" si="41"/>
        <v>1414.3705888764371</v>
      </c>
      <c r="F48" s="137">
        <f t="shared" si="41"/>
        <v>1341.944732088919</v>
      </c>
      <c r="G48" s="137">
        <f t="shared" si="41"/>
        <v>1222.6589922613193</v>
      </c>
      <c r="H48" s="137">
        <f t="shared" si="41"/>
        <v>1414.9202824802524</v>
      </c>
      <c r="I48" s="137">
        <f t="shared" si="41"/>
        <v>1282.8210123966705</v>
      </c>
      <c r="J48" s="137">
        <f t="shared" si="41"/>
        <v>1388.3456229998051</v>
      </c>
      <c r="K48" s="137">
        <f t="shared" si="41"/>
        <v>1384.3284858651175</v>
      </c>
      <c r="L48" s="137">
        <f t="shared" si="41"/>
        <v>1159.2997727369921</v>
      </c>
      <c r="M48" s="137">
        <f t="shared" si="41"/>
        <v>1228.9817545229034</v>
      </c>
      <c r="N48" s="137">
        <f t="shared" si="41"/>
        <v>1224.1051063001169</v>
      </c>
      <c r="O48" s="137">
        <f t="shared" si="41"/>
        <v>1242.7018373159494</v>
      </c>
      <c r="P48" s="137">
        <f t="shared" si="41"/>
        <v>1251.4872881649464</v>
      </c>
      <c r="Q48" s="137">
        <f t="shared" si="41"/>
        <v>1246.0708255623724</v>
      </c>
      <c r="R48" s="137">
        <f t="shared" ref="R48:V48" si="42">R49+R50</f>
        <v>1361.6656309710727</v>
      </c>
      <c r="S48" s="137">
        <f t="shared" si="42"/>
        <v>1491.9104410570417</v>
      </c>
      <c r="T48" s="137">
        <f t="shared" si="42"/>
        <v>1511.4263359718334</v>
      </c>
      <c r="U48" s="137">
        <f t="shared" si="42"/>
        <v>1608.0049761518248</v>
      </c>
      <c r="V48" s="137">
        <f t="shared" si="42"/>
        <v>1618.9763969907988</v>
      </c>
      <c r="W48" s="137">
        <f t="shared" ref="W48:Y48" si="43">W49+W50</f>
        <v>1732.5864009587192</v>
      </c>
      <c r="X48" s="137">
        <f t="shared" si="43"/>
        <v>1938.6612037461</v>
      </c>
      <c r="Y48" s="137">
        <f t="shared" si="43"/>
        <v>1962.2383029625496</v>
      </c>
      <c r="DA48" s="174" t="s">
        <v>399</v>
      </c>
    </row>
    <row r="49" spans="1:105" ht="11.45" customHeight="1" x14ac:dyDescent="0.25">
      <c r="A49" s="128" t="str">
        <f>$A$19</f>
        <v>Light commercial vehicles</v>
      </c>
      <c r="B49" s="102">
        <f>TrRoad_ene!B$43</f>
        <v>410.78614341779007</v>
      </c>
      <c r="C49" s="102">
        <f>TrRoad_ene!C$43</f>
        <v>430.58841417741803</v>
      </c>
      <c r="D49" s="102">
        <f>TrRoad_ene!D$43</f>
        <v>439.34139505497473</v>
      </c>
      <c r="E49" s="102">
        <f>TrRoad_ene!E$43</f>
        <v>453.92976994325318</v>
      </c>
      <c r="F49" s="102">
        <f>TrRoad_ene!F$43</f>
        <v>458.42893742630702</v>
      </c>
      <c r="G49" s="102">
        <f>TrRoad_ene!G$43</f>
        <v>479.93339085899947</v>
      </c>
      <c r="H49" s="102">
        <f>TrRoad_ene!H$43</f>
        <v>530.91071230448802</v>
      </c>
      <c r="I49" s="102">
        <f>TrRoad_ene!I$43</f>
        <v>544.21395690394343</v>
      </c>
      <c r="J49" s="102">
        <f>TrRoad_ene!J$43</f>
        <v>621.54438189987138</v>
      </c>
      <c r="K49" s="102">
        <f>TrRoad_ene!K$43</f>
        <v>637.56303619506684</v>
      </c>
      <c r="L49" s="102">
        <f>TrRoad_ene!L$43</f>
        <v>631.88808068073445</v>
      </c>
      <c r="M49" s="102">
        <f>TrRoad_ene!M$43</f>
        <v>669.58508337381136</v>
      </c>
      <c r="N49" s="102">
        <f>TrRoad_ene!N$43</f>
        <v>713.39259662652398</v>
      </c>
      <c r="O49" s="102">
        <f>TrRoad_ene!O$43</f>
        <v>732.9826298033114</v>
      </c>
      <c r="P49" s="102">
        <f>TrRoad_ene!P$43</f>
        <v>782.20364984438811</v>
      </c>
      <c r="Q49" s="102">
        <f>TrRoad_ene!Q$43</f>
        <v>812.43473649107727</v>
      </c>
      <c r="R49" s="102">
        <f>TrRoad_ene!R$43</f>
        <v>843.56275886568653</v>
      </c>
      <c r="S49" s="102">
        <f>TrRoad_ene!S$43</f>
        <v>895.09017044694417</v>
      </c>
      <c r="T49" s="102">
        <f>TrRoad_ene!T$43</f>
        <v>950.66417572669786</v>
      </c>
      <c r="U49" s="102">
        <f>TrRoad_ene!U$43</f>
        <v>991.22571087328481</v>
      </c>
      <c r="V49" s="102">
        <f>TrRoad_ene!V$43</f>
        <v>1024.1793729391406</v>
      </c>
      <c r="W49" s="102">
        <f>TrRoad_ene!W$43</f>
        <v>1067.6946940273028</v>
      </c>
      <c r="X49" s="102">
        <f>TrRoad_ene!X$43</f>
        <v>1105.5655477114767</v>
      </c>
      <c r="Y49" s="102">
        <f>TrRoad_ene!Y$43</f>
        <v>1110.5975331473862</v>
      </c>
      <c r="DA49" s="175" t="s">
        <v>400</v>
      </c>
    </row>
    <row r="50" spans="1:105" ht="11.45" customHeight="1" x14ac:dyDescent="0.25">
      <c r="A50" s="128" t="str">
        <f>$A$20</f>
        <v>Heavy goods vehicles</v>
      </c>
      <c r="B50" s="102">
        <f>TrRoad_ene!B$52</f>
        <v>514.46451643858586</v>
      </c>
      <c r="C50" s="102">
        <f>TrRoad_ene!C$52</f>
        <v>758.24376153801006</v>
      </c>
      <c r="D50" s="102">
        <f>TrRoad_ene!D$52</f>
        <v>839.52975101388665</v>
      </c>
      <c r="E50" s="102">
        <f>TrRoad_ene!E$52</f>
        <v>960.44081893318389</v>
      </c>
      <c r="F50" s="102">
        <f>TrRoad_ene!F$52</f>
        <v>883.51579466261182</v>
      </c>
      <c r="G50" s="102">
        <f>TrRoad_ene!G$52</f>
        <v>742.72560140231997</v>
      </c>
      <c r="H50" s="102">
        <f>TrRoad_ene!H$52</f>
        <v>884.00957017576422</v>
      </c>
      <c r="I50" s="102">
        <f>TrRoad_ene!I$52</f>
        <v>738.607055492727</v>
      </c>
      <c r="J50" s="102">
        <f>TrRoad_ene!J$52</f>
        <v>766.80124109993369</v>
      </c>
      <c r="K50" s="102">
        <f>TrRoad_ene!K$52</f>
        <v>746.76544967005066</v>
      </c>
      <c r="L50" s="102">
        <f>TrRoad_ene!L$52</f>
        <v>527.41169205625749</v>
      </c>
      <c r="M50" s="102">
        <f>TrRoad_ene!M$52</f>
        <v>559.39667114909219</v>
      </c>
      <c r="N50" s="102">
        <f>TrRoad_ene!N$52</f>
        <v>510.71250967359276</v>
      </c>
      <c r="O50" s="102">
        <f>TrRoad_ene!O$52</f>
        <v>509.71920751263798</v>
      </c>
      <c r="P50" s="102">
        <f>TrRoad_ene!P$52</f>
        <v>469.28363832055834</v>
      </c>
      <c r="Q50" s="102">
        <f>TrRoad_ene!Q$52</f>
        <v>433.63608907129515</v>
      </c>
      <c r="R50" s="102">
        <f>TrRoad_ene!R$52</f>
        <v>518.10287210538615</v>
      </c>
      <c r="S50" s="102">
        <f>TrRoad_ene!S$52</f>
        <v>596.82027061009762</v>
      </c>
      <c r="T50" s="102">
        <f>TrRoad_ene!T$52</f>
        <v>560.76216024513542</v>
      </c>
      <c r="U50" s="102">
        <f>TrRoad_ene!U$52</f>
        <v>616.77926527854015</v>
      </c>
      <c r="V50" s="102">
        <f>TrRoad_ene!V$52</f>
        <v>594.79702405165813</v>
      </c>
      <c r="W50" s="102">
        <f>TrRoad_ene!W$52</f>
        <v>664.89170693141637</v>
      </c>
      <c r="X50" s="102">
        <f>TrRoad_ene!X$52</f>
        <v>833.09565603462329</v>
      </c>
      <c r="Y50" s="102">
        <f>TrRoad_ene!Y$52</f>
        <v>851.64076981516337</v>
      </c>
      <c r="DA50" s="175" t="s">
        <v>401</v>
      </c>
    </row>
    <row r="51" spans="1:105" ht="11.45" customHeight="1" x14ac:dyDescent="0.25">
      <c r="A51" s="109" t="str">
        <f>$A$21</f>
        <v>Rail transport</v>
      </c>
      <c r="B51" s="110">
        <f>TrRail_ene!B$17</f>
        <v>99.030603871119325</v>
      </c>
      <c r="C51" s="110">
        <f>TrRail_ene!C$17</f>
        <v>72.306685808859839</v>
      </c>
      <c r="D51" s="110">
        <f>TrRail_ene!D$17</f>
        <v>107.93366006543879</v>
      </c>
      <c r="E51" s="110">
        <f>TrRail_ene!E$17</f>
        <v>84.221167297178965</v>
      </c>
      <c r="F51" s="110">
        <f>TrRail_ene!F$17</f>
        <v>94.598200272184442</v>
      </c>
      <c r="G51" s="110">
        <f>TrRail_ene!G$17</f>
        <v>59.868885270196301</v>
      </c>
      <c r="H51" s="110">
        <f>TrRail_ene!H$17</f>
        <v>55.232486943409739</v>
      </c>
      <c r="I51" s="110">
        <f>TrRail_ene!I$17</f>
        <v>87.600233330597419</v>
      </c>
      <c r="J51" s="110">
        <f>TrRail_ene!J$17</f>
        <v>76.391250719946669</v>
      </c>
      <c r="K51" s="110">
        <f>TrRail_ene!K$17</f>
        <v>51.08891340610721</v>
      </c>
      <c r="L51" s="110">
        <f>TrRail_ene!L$17</f>
        <v>59.780421514070248</v>
      </c>
      <c r="M51" s="110">
        <f>TrRail_ene!M$17</f>
        <v>86.492163331700354</v>
      </c>
      <c r="N51" s="110">
        <f>TrRail_ene!N$17</f>
        <v>77.717307514080886</v>
      </c>
      <c r="O51" s="110">
        <f>TrRail_ene!O$17</f>
        <v>71.353986634603288</v>
      </c>
      <c r="P51" s="110">
        <f>TrRail_ene!P$17</f>
        <v>50.877098993174101</v>
      </c>
      <c r="Q51" s="110">
        <f>TrRail_ene!Q$17</f>
        <v>66.190401913614082</v>
      </c>
      <c r="R51" s="110">
        <f>TrRail_ene!R$17</f>
        <v>64.333839214347591</v>
      </c>
      <c r="S51" s="110">
        <f>TrRail_ene!S$17</f>
        <v>61.739369009344657</v>
      </c>
      <c r="T51" s="110">
        <f>TrRail_ene!T$17</f>
        <v>59.068581140154748</v>
      </c>
      <c r="U51" s="110">
        <f>TrRail_ene!U$17</f>
        <v>66.539680747881221</v>
      </c>
      <c r="V51" s="110">
        <f>TrRail_ene!V$17</f>
        <v>57.52000560227647</v>
      </c>
      <c r="W51" s="110">
        <f>TrRail_ene!W$17</f>
        <v>84.675900175477508</v>
      </c>
      <c r="X51" s="110">
        <f>TrRail_ene!X$17</f>
        <v>77.453652839920665</v>
      </c>
      <c r="Y51" s="110">
        <f>TrRail_ene!Y$17</f>
        <v>46.315944737266292</v>
      </c>
      <c r="DA51" s="176" t="s">
        <v>402</v>
      </c>
    </row>
    <row r="52" spans="1:105" ht="11.45" customHeight="1" x14ac:dyDescent="0.25">
      <c r="A52" s="109" t="str">
        <f>$A$22</f>
        <v>Aviation</v>
      </c>
      <c r="B52" s="110">
        <f t="shared" ref="B52:V52" si="44">B53+B54+B55</f>
        <v>2.0124908608856105</v>
      </c>
      <c r="C52" s="110">
        <f t="shared" si="44"/>
        <v>1.7364995543264687</v>
      </c>
      <c r="D52" s="110">
        <f t="shared" si="44"/>
        <v>1.6394651779300093</v>
      </c>
      <c r="E52" s="110">
        <f t="shared" si="44"/>
        <v>1.6139323758205075</v>
      </c>
      <c r="F52" s="110">
        <f t="shared" si="44"/>
        <v>1.8005235743627277</v>
      </c>
      <c r="G52" s="110">
        <f t="shared" si="44"/>
        <v>1.1161922388275924</v>
      </c>
      <c r="H52" s="110">
        <f t="shared" si="44"/>
        <v>1.2296653450232802</v>
      </c>
      <c r="I52" s="110">
        <f t="shared" si="44"/>
        <v>1.1571225671270318</v>
      </c>
      <c r="J52" s="110">
        <f t="shared" si="44"/>
        <v>1.3118077581605367</v>
      </c>
      <c r="K52" s="110">
        <f t="shared" si="44"/>
        <v>1.4853806611705678</v>
      </c>
      <c r="L52" s="110">
        <f t="shared" si="44"/>
        <v>1.7374747627577329</v>
      </c>
      <c r="M52" s="110">
        <f t="shared" si="44"/>
        <v>1.7751270147446554</v>
      </c>
      <c r="N52" s="110">
        <f t="shared" si="44"/>
        <v>1.7832884083513925</v>
      </c>
      <c r="O52" s="110">
        <f t="shared" si="44"/>
        <v>2.1571464439084465</v>
      </c>
      <c r="P52" s="110">
        <f t="shared" si="44"/>
        <v>2.066961921469495</v>
      </c>
      <c r="Q52" s="110">
        <f t="shared" si="44"/>
        <v>2.1280228202573834</v>
      </c>
      <c r="R52" s="110">
        <f t="shared" si="44"/>
        <v>2.2573976706165677</v>
      </c>
      <c r="S52" s="110">
        <f t="shared" si="44"/>
        <v>2.8771704018379918</v>
      </c>
      <c r="T52" s="110">
        <f t="shared" si="44"/>
        <v>1.1053291650061978</v>
      </c>
      <c r="U52" s="110">
        <f t="shared" si="44"/>
        <v>0.8874826418279369</v>
      </c>
      <c r="V52" s="110">
        <f t="shared" si="44"/>
        <v>0.79541340082387113</v>
      </c>
      <c r="W52" s="110">
        <f t="shared" ref="W52:Y52" si="45">W53+W54+W55</f>
        <v>1.0235639681073345</v>
      </c>
      <c r="X52" s="110">
        <f t="shared" si="45"/>
        <v>1.1026557188585135</v>
      </c>
      <c r="Y52" s="110">
        <f t="shared" si="45"/>
        <v>0.88933067703633073</v>
      </c>
      <c r="DA52" s="176" t="s">
        <v>284</v>
      </c>
    </row>
    <row r="53" spans="1:105" ht="11.45" customHeight="1" x14ac:dyDescent="0.25">
      <c r="A53" s="128" t="s">
        <v>27</v>
      </c>
      <c r="B53" s="102">
        <f>TrAvia_ene!B$11</f>
        <v>7.4732680058386736E-2</v>
      </c>
      <c r="C53" s="102">
        <f>TrAvia_ene!C$11</f>
        <v>6.3925339423252167E-2</v>
      </c>
      <c r="D53" s="102">
        <f>TrAvia_ene!D$11</f>
        <v>5.6743011000139197E-2</v>
      </c>
      <c r="E53" s="102">
        <f>TrAvia_ene!E$11</f>
        <v>5.5073017020616767E-2</v>
      </c>
      <c r="F53" s="102">
        <f>TrAvia_ene!F$11</f>
        <v>6.3013688151242406E-2</v>
      </c>
      <c r="G53" s="102">
        <f>TrAvia_ene!G$11</f>
        <v>2.5167341391084831E-2</v>
      </c>
      <c r="H53" s="102">
        <f>TrAvia_ene!H$11</f>
        <v>1.0735273856263014E-2</v>
      </c>
      <c r="I53" s="102">
        <f>TrAvia_ene!I$11</f>
        <v>0.37451297056002664</v>
      </c>
      <c r="J53" s="102">
        <f>TrAvia_ene!J$11</f>
        <v>0.20505282535122701</v>
      </c>
      <c r="K53" s="102">
        <f>TrAvia_ene!K$11</f>
        <v>0.14859045868641249</v>
      </c>
      <c r="L53" s="102">
        <f>TrAvia_ene!L$11</f>
        <v>0.13006791362329062</v>
      </c>
      <c r="M53" s="102">
        <f>TrAvia_ene!M$11</f>
        <v>6.1059886939551389E-2</v>
      </c>
      <c r="N53" s="102">
        <f>TrAvia_ene!N$11</f>
        <v>2.2701023403387588E-2</v>
      </c>
      <c r="O53" s="102">
        <f>TrAvia_ene!O$11</f>
        <v>1.8972446833940997E-2</v>
      </c>
      <c r="P53" s="102">
        <f>TrAvia_ene!P$11</f>
        <v>6.699907173126963E-3</v>
      </c>
      <c r="Q53" s="102">
        <f>TrAvia_ene!Q$11</f>
        <v>6.134662048001057E-3</v>
      </c>
      <c r="R53" s="102">
        <f>TrAvia_ene!R$11</f>
        <v>7.8406333331302487E-3</v>
      </c>
      <c r="S53" s="102">
        <f>TrAvia_ene!S$11</f>
        <v>4.091626232197175E-2</v>
      </c>
      <c r="T53" s="102">
        <f>TrAvia_ene!T$11</f>
        <v>7.7731639817798667E-2</v>
      </c>
      <c r="U53" s="102">
        <f>TrAvia_ene!U$11</f>
        <v>0.1398332275732766</v>
      </c>
      <c r="V53" s="102">
        <f>TrAvia_ene!V$11</f>
        <v>0.23922294462355714</v>
      </c>
      <c r="W53" s="102">
        <f>TrAvia_ene!W$11</f>
        <v>0.33375700388110929</v>
      </c>
      <c r="X53" s="102">
        <f>TrAvia_ene!X$11</f>
        <v>0.44835269891261359</v>
      </c>
      <c r="Y53" s="102">
        <f>TrAvia_ene!Y$11</f>
        <v>0.29498341076798079</v>
      </c>
      <c r="DA53" s="175" t="s">
        <v>285</v>
      </c>
    </row>
    <row r="54" spans="1:105" ht="11.45" customHeight="1" x14ac:dyDescent="0.25">
      <c r="A54" s="128" t="str">
        <f>$A$24</f>
        <v>International - Intra-EEAwCHUK</v>
      </c>
      <c r="B54" s="102">
        <f>TrAvia_ene!B$12</f>
        <v>1.6104865235583388</v>
      </c>
      <c r="C54" s="102">
        <f>TrAvia_ene!C$12</f>
        <v>1.3557574242957409</v>
      </c>
      <c r="D54" s="102">
        <f>TrAvia_ene!D$12</f>
        <v>1.256682664452772</v>
      </c>
      <c r="E54" s="102">
        <f>TrAvia_ene!E$12</f>
        <v>1.211999765571091</v>
      </c>
      <c r="F54" s="102">
        <f>TrAvia_ene!F$12</f>
        <v>1.3910244772345077</v>
      </c>
      <c r="G54" s="102">
        <f>TrAvia_ene!G$12</f>
        <v>0.97785216675806408</v>
      </c>
      <c r="H54" s="102">
        <f>TrAvia_ene!H$12</f>
        <v>1.0925924961418845</v>
      </c>
      <c r="I54" s="102">
        <f>TrAvia_ene!I$12</f>
        <v>0.65827907769978977</v>
      </c>
      <c r="J54" s="102">
        <f>TrAvia_ene!J$12</f>
        <v>0.92274145988658141</v>
      </c>
      <c r="K54" s="102">
        <f>TrAvia_ene!K$12</f>
        <v>1.1785438268550421</v>
      </c>
      <c r="L54" s="102">
        <f>TrAvia_ene!L$12</f>
        <v>1.4097202430430937</v>
      </c>
      <c r="M54" s="102">
        <f>TrAvia_ene!M$12</f>
        <v>1.3864485439054135</v>
      </c>
      <c r="N54" s="102">
        <f>TrAvia_ene!N$12</f>
        <v>1.2006160708790237</v>
      </c>
      <c r="O54" s="102">
        <f>TrAvia_ene!O$12</f>
        <v>1.5234561112952449</v>
      </c>
      <c r="P54" s="102">
        <f>TrAvia_ene!P$12</f>
        <v>1.7957440473864412</v>
      </c>
      <c r="Q54" s="102">
        <f>TrAvia_ene!Q$12</f>
        <v>1.9317832616831636</v>
      </c>
      <c r="R54" s="102">
        <f>TrAvia_ene!R$12</f>
        <v>2.1186181877902928</v>
      </c>
      <c r="S54" s="102">
        <f>TrAvia_ene!S$12</f>
        <v>2.7242018381690638</v>
      </c>
      <c r="T54" s="102">
        <f>TrAvia_ene!T$12</f>
        <v>0.99921612065273258</v>
      </c>
      <c r="U54" s="102">
        <f>TrAvia_ene!U$12</f>
        <v>0.7040762091621906</v>
      </c>
      <c r="V54" s="102">
        <f>TrAvia_ene!V$12</f>
        <v>0.50559811990188241</v>
      </c>
      <c r="W54" s="102">
        <f>TrAvia_ene!W$12</f>
        <v>0.64048662616153629</v>
      </c>
      <c r="X54" s="102">
        <f>TrAvia_ene!X$12</f>
        <v>0.61171977885928175</v>
      </c>
      <c r="Y54" s="102">
        <f>TrAvia_ene!Y$12</f>
        <v>0.56349664669699984</v>
      </c>
      <c r="DA54" s="175" t="s">
        <v>286</v>
      </c>
    </row>
    <row r="55" spans="1:105" ht="11.45" customHeight="1" x14ac:dyDescent="0.25">
      <c r="A55" s="128" t="str">
        <f>$A$25</f>
        <v>International - Extra-EEAwCHUK</v>
      </c>
      <c r="B55" s="102">
        <f>TrAvia_ene!B$13</f>
        <v>0.32727165726888496</v>
      </c>
      <c r="C55" s="102">
        <f>TrAvia_ene!C$13</f>
        <v>0.3168167906074757</v>
      </c>
      <c r="D55" s="102">
        <f>TrAvia_ene!D$13</f>
        <v>0.32603950247709818</v>
      </c>
      <c r="E55" s="102">
        <f>TrAvia_ene!E$13</f>
        <v>0.34685959322879961</v>
      </c>
      <c r="F55" s="102">
        <f>TrAvia_ene!F$13</f>
        <v>0.34648540897697744</v>
      </c>
      <c r="G55" s="102">
        <f>TrAvia_ene!G$13</f>
        <v>0.11317273067844355</v>
      </c>
      <c r="H55" s="102">
        <f>TrAvia_ene!H$13</f>
        <v>0.12633757502513268</v>
      </c>
      <c r="I55" s="102">
        <f>TrAvia_ene!I$13</f>
        <v>0.12433051886721554</v>
      </c>
      <c r="J55" s="102">
        <f>TrAvia_ene!J$13</f>
        <v>0.18401347292272832</v>
      </c>
      <c r="K55" s="102">
        <f>TrAvia_ene!K$13</f>
        <v>0.15824637562911328</v>
      </c>
      <c r="L55" s="102">
        <f>TrAvia_ene!L$13</f>
        <v>0.19768660609134844</v>
      </c>
      <c r="M55" s="102">
        <f>TrAvia_ene!M$13</f>
        <v>0.32761858389969056</v>
      </c>
      <c r="N55" s="102">
        <f>TrAvia_ene!N$13</f>
        <v>0.55997131406898126</v>
      </c>
      <c r="O55" s="102">
        <f>TrAvia_ene!O$13</f>
        <v>0.61471788577926068</v>
      </c>
      <c r="P55" s="102">
        <f>TrAvia_ene!P$13</f>
        <v>0.26451796690992668</v>
      </c>
      <c r="Q55" s="102">
        <f>TrAvia_ene!Q$13</f>
        <v>0.19010489652621892</v>
      </c>
      <c r="R55" s="102">
        <f>TrAvia_ene!R$13</f>
        <v>0.13093884949314474</v>
      </c>
      <c r="S55" s="102">
        <f>TrAvia_ene!S$13</f>
        <v>0.11205230134695592</v>
      </c>
      <c r="T55" s="102">
        <f>TrAvia_ene!T$13</f>
        <v>2.8381404535666441E-2</v>
      </c>
      <c r="U55" s="102">
        <f>TrAvia_ene!U$13</f>
        <v>4.3573205092469751E-2</v>
      </c>
      <c r="V55" s="102">
        <f>TrAvia_ene!V$13</f>
        <v>5.0592336298431552E-2</v>
      </c>
      <c r="W55" s="102">
        <f>TrAvia_ene!W$13</f>
        <v>4.9320338064688836E-2</v>
      </c>
      <c r="X55" s="102">
        <f>TrAvia_ene!X$13</f>
        <v>4.2583241086618283E-2</v>
      </c>
      <c r="Y55" s="102">
        <f>TrAvia_ene!Y$13</f>
        <v>3.0850619571350046E-2</v>
      </c>
      <c r="DA55" s="175" t="s">
        <v>287</v>
      </c>
    </row>
    <row r="56" spans="1:105" ht="11.45" customHeight="1" x14ac:dyDescent="0.25">
      <c r="A56" s="109" t="s">
        <v>141</v>
      </c>
      <c r="B56" s="110">
        <f t="shared" ref="B56:Q56" si="46">B57+B58</f>
        <v>113.29423903697335</v>
      </c>
      <c r="C56" s="110">
        <f t="shared" si="46"/>
        <v>101.16079105760963</v>
      </c>
      <c r="D56" s="110">
        <f t="shared" si="46"/>
        <v>103.20533104041272</v>
      </c>
      <c r="E56" s="110">
        <f t="shared" si="46"/>
        <v>68.352966466036108</v>
      </c>
      <c r="F56" s="110">
        <f t="shared" si="46"/>
        <v>41.769389509888214</v>
      </c>
      <c r="G56" s="110">
        <f t="shared" si="46"/>
        <v>42.046431642304384</v>
      </c>
      <c r="H56" s="110">
        <f t="shared" si="46"/>
        <v>41.019346517626836</v>
      </c>
      <c r="I56" s="110">
        <f t="shared" si="46"/>
        <v>85.366723989681859</v>
      </c>
      <c r="J56" s="110">
        <f t="shared" si="46"/>
        <v>78.790885640584676</v>
      </c>
      <c r="K56" s="110">
        <f t="shared" si="46"/>
        <v>55.460017196904552</v>
      </c>
      <c r="L56" s="110">
        <f t="shared" si="46"/>
        <v>59.568185726569219</v>
      </c>
      <c r="M56" s="110">
        <f t="shared" si="46"/>
        <v>52.378933791917447</v>
      </c>
      <c r="N56" s="110">
        <f t="shared" si="46"/>
        <v>42.568787618228718</v>
      </c>
      <c r="O56" s="110">
        <f t="shared" si="46"/>
        <v>41.555288048151333</v>
      </c>
      <c r="P56" s="110">
        <f t="shared" si="46"/>
        <v>37.501117798796223</v>
      </c>
      <c r="Q56" s="110">
        <f t="shared" si="46"/>
        <v>43.582373172828888</v>
      </c>
      <c r="R56" s="110">
        <f t="shared" ref="R56:V56" si="47">R57+R58</f>
        <v>40.541702493551163</v>
      </c>
      <c r="S56" s="110">
        <f t="shared" si="47"/>
        <v>40.392691315563198</v>
      </c>
      <c r="T56" s="110">
        <f t="shared" si="47"/>
        <v>40.351160791057609</v>
      </c>
      <c r="U56" s="110">
        <f t="shared" si="47"/>
        <v>43.588564058469473</v>
      </c>
      <c r="V56" s="110">
        <f t="shared" si="47"/>
        <v>41.860275150472908</v>
      </c>
      <c r="W56" s="110">
        <f t="shared" ref="W56:Y56" si="48">W57+W58</f>
        <v>51.607136715391228</v>
      </c>
      <c r="X56" s="110">
        <f t="shared" si="48"/>
        <v>45.215563198624253</v>
      </c>
      <c r="Y56" s="110">
        <f t="shared" si="48"/>
        <v>47.231728288907988</v>
      </c>
      <c r="DA56" s="176" t="s">
        <v>993</v>
      </c>
    </row>
    <row r="57" spans="1:105" ht="11.45" customHeight="1" x14ac:dyDescent="0.25">
      <c r="A57" s="128" t="str">
        <f>$A$27</f>
        <v>Domestic coastal shipping</v>
      </c>
      <c r="B57" s="102">
        <f>TrNavi_ene!B4</f>
        <v>0</v>
      </c>
      <c r="C57" s="102">
        <f>TrNavi_ene!C4</f>
        <v>0</v>
      </c>
      <c r="D57" s="102">
        <f>TrNavi_ene!D4</f>
        <v>0</v>
      </c>
      <c r="E57" s="102">
        <f>TrNavi_ene!E4</f>
        <v>0</v>
      </c>
      <c r="F57" s="102">
        <f>TrNavi_ene!F4</f>
        <v>0</v>
      </c>
      <c r="G57" s="102">
        <f>TrNavi_ene!G4</f>
        <v>0</v>
      </c>
      <c r="H57" s="102">
        <f>TrNavi_ene!H4</f>
        <v>0</v>
      </c>
      <c r="I57" s="102">
        <f>TrNavi_ene!I4</f>
        <v>0</v>
      </c>
      <c r="J57" s="102">
        <f>TrNavi_ene!J4</f>
        <v>0</v>
      </c>
      <c r="K57" s="102">
        <f>TrNavi_ene!K4</f>
        <v>0</v>
      </c>
      <c r="L57" s="102">
        <f>TrNavi_ene!L4</f>
        <v>0</v>
      </c>
      <c r="M57" s="102">
        <f>TrNavi_ene!M4</f>
        <v>0</v>
      </c>
      <c r="N57" s="102">
        <f>TrNavi_ene!N4</f>
        <v>0</v>
      </c>
      <c r="O57" s="102">
        <f>TrNavi_ene!O4</f>
        <v>0</v>
      </c>
      <c r="P57" s="102">
        <f>TrNavi_ene!P4</f>
        <v>0</v>
      </c>
      <c r="Q57" s="102">
        <f>TrNavi_ene!Q4</f>
        <v>0</v>
      </c>
      <c r="R57" s="102">
        <f>TrNavi_ene!R4</f>
        <v>0</v>
      </c>
      <c r="S57" s="102">
        <f>TrNavi_ene!S4</f>
        <v>0</v>
      </c>
      <c r="T57" s="102">
        <f>TrNavi_ene!T4</f>
        <v>0</v>
      </c>
      <c r="U57" s="102">
        <f>TrNavi_ene!U4</f>
        <v>0</v>
      </c>
      <c r="V57" s="102">
        <f>TrNavi_ene!V4</f>
        <v>0</v>
      </c>
      <c r="W57" s="102">
        <f>TrNavi_ene!W4</f>
        <v>0</v>
      </c>
      <c r="X57" s="102">
        <f>TrNavi_ene!X4</f>
        <v>0</v>
      </c>
      <c r="Y57" s="102">
        <f>TrNavi_ene!Y4</f>
        <v>0</v>
      </c>
      <c r="DA57" s="175" t="s">
        <v>994</v>
      </c>
    </row>
    <row r="58" spans="1:105" ht="11.45" customHeight="1" x14ac:dyDescent="0.25">
      <c r="A58" s="166" t="str">
        <f>$A$28</f>
        <v>Inland waterways</v>
      </c>
      <c r="B58" s="169">
        <f>TrNavi_ene!B10</f>
        <v>113.29423903697335</v>
      </c>
      <c r="C58" s="169">
        <f>TrNavi_ene!C10</f>
        <v>101.16079105760963</v>
      </c>
      <c r="D58" s="169">
        <f>TrNavi_ene!D10</f>
        <v>103.20533104041272</v>
      </c>
      <c r="E58" s="169">
        <f>TrNavi_ene!E10</f>
        <v>68.352966466036108</v>
      </c>
      <c r="F58" s="169">
        <f>TrNavi_ene!F10</f>
        <v>41.769389509888214</v>
      </c>
      <c r="G58" s="169">
        <f>TrNavi_ene!G10</f>
        <v>42.046431642304384</v>
      </c>
      <c r="H58" s="169">
        <f>TrNavi_ene!H10</f>
        <v>41.019346517626836</v>
      </c>
      <c r="I58" s="169">
        <f>TrNavi_ene!I10</f>
        <v>85.366723989681859</v>
      </c>
      <c r="J58" s="169">
        <f>TrNavi_ene!J10</f>
        <v>78.790885640584676</v>
      </c>
      <c r="K58" s="169">
        <f>TrNavi_ene!K10</f>
        <v>55.460017196904552</v>
      </c>
      <c r="L58" s="169">
        <f>TrNavi_ene!L10</f>
        <v>59.568185726569219</v>
      </c>
      <c r="M58" s="169">
        <f>TrNavi_ene!M10</f>
        <v>52.378933791917447</v>
      </c>
      <c r="N58" s="169">
        <f>TrNavi_ene!N10</f>
        <v>42.568787618228718</v>
      </c>
      <c r="O58" s="169">
        <f>TrNavi_ene!O10</f>
        <v>41.555288048151333</v>
      </c>
      <c r="P58" s="169">
        <f>TrNavi_ene!P10</f>
        <v>37.501117798796223</v>
      </c>
      <c r="Q58" s="169">
        <f>TrNavi_ene!Q10</f>
        <v>43.582373172828888</v>
      </c>
      <c r="R58" s="169">
        <f>TrNavi_ene!R10</f>
        <v>40.541702493551163</v>
      </c>
      <c r="S58" s="169">
        <f>TrNavi_ene!S10</f>
        <v>40.392691315563198</v>
      </c>
      <c r="T58" s="169">
        <f>TrNavi_ene!T10</f>
        <v>40.351160791057609</v>
      </c>
      <c r="U58" s="169">
        <f>TrNavi_ene!U10</f>
        <v>43.588564058469473</v>
      </c>
      <c r="V58" s="169">
        <f>TrNavi_ene!V10</f>
        <v>41.860275150472908</v>
      </c>
      <c r="W58" s="169">
        <f>TrNavi_ene!W10</f>
        <v>51.607136715391228</v>
      </c>
      <c r="X58" s="169">
        <f>TrNavi_ene!X10</f>
        <v>45.215563198624253</v>
      </c>
      <c r="Y58" s="169">
        <f>TrNavi_ene!Y10</f>
        <v>47.231728288907988</v>
      </c>
      <c r="DA58" s="177" t="s">
        <v>995</v>
      </c>
    </row>
    <row r="59" spans="1:105" ht="11.45" customHeight="1" x14ac:dyDescent="0.25">
      <c r="A59" s="27" t="s">
        <v>169</v>
      </c>
      <c r="B59" s="28">
        <f>B60+B61</f>
        <v>0</v>
      </c>
      <c r="C59" s="28">
        <f t="shared" ref="C59:W59" si="49">C60+C61</f>
        <v>0</v>
      </c>
      <c r="D59" s="28">
        <f t="shared" si="49"/>
        <v>0</v>
      </c>
      <c r="E59" s="28">
        <f t="shared" si="49"/>
        <v>0</v>
      </c>
      <c r="F59" s="28">
        <f t="shared" si="49"/>
        <v>0</v>
      </c>
      <c r="G59" s="28">
        <f t="shared" si="49"/>
        <v>0</v>
      </c>
      <c r="H59" s="28">
        <f t="shared" si="49"/>
        <v>0</v>
      </c>
      <c r="I59" s="28">
        <f t="shared" si="49"/>
        <v>34.889681857265685</v>
      </c>
      <c r="J59" s="28">
        <f t="shared" si="49"/>
        <v>69.503267411865863</v>
      </c>
      <c r="K59" s="28">
        <f t="shared" si="49"/>
        <v>15.686500429922614</v>
      </c>
      <c r="L59" s="28">
        <f t="shared" si="49"/>
        <v>15.896646603611348</v>
      </c>
      <c r="M59" s="28">
        <f t="shared" si="49"/>
        <v>9.2433361994840926</v>
      </c>
      <c r="N59" s="28">
        <f t="shared" si="49"/>
        <v>14.189595872742911</v>
      </c>
      <c r="O59" s="28">
        <f t="shared" si="49"/>
        <v>41.555288048151333</v>
      </c>
      <c r="P59" s="28">
        <f t="shared" si="49"/>
        <v>80.069905417024927</v>
      </c>
      <c r="Q59" s="28">
        <f t="shared" si="49"/>
        <v>44.595872742906273</v>
      </c>
      <c r="R59" s="28">
        <f t="shared" si="49"/>
        <v>31.419862424763537</v>
      </c>
      <c r="S59" s="28">
        <f t="shared" si="49"/>
        <v>27.899828030954431</v>
      </c>
      <c r="T59" s="28">
        <f t="shared" si="49"/>
        <v>18.094754944110061</v>
      </c>
      <c r="U59" s="28">
        <f t="shared" si="49"/>
        <v>34.201461736887353</v>
      </c>
      <c r="V59" s="28">
        <f t="shared" si="49"/>
        <v>43.104729148753222</v>
      </c>
      <c r="W59" s="28">
        <f t="shared" si="49"/>
        <v>33.949957007738597</v>
      </c>
      <c r="X59" s="28">
        <f t="shared" ref="X59:Y59" si="50">X60+X61</f>
        <v>17.110662080825449</v>
      </c>
      <c r="Y59" s="28">
        <f t="shared" si="50"/>
        <v>21.980137575236451</v>
      </c>
      <c r="DA59" s="173" t="s">
        <v>956</v>
      </c>
    </row>
    <row r="60" spans="1:105" ht="11.45" customHeight="1" x14ac:dyDescent="0.25">
      <c r="A60" s="128" t="str">
        <f>$A$30</f>
        <v>Intra-EEA</v>
      </c>
      <c r="B60" s="102">
        <f>MBunk_ene!B$4</f>
        <v>0</v>
      </c>
      <c r="C60" s="102">
        <f>MBunk_ene!C$4</f>
        <v>0</v>
      </c>
      <c r="D60" s="102">
        <f>MBunk_ene!D$4</f>
        <v>0</v>
      </c>
      <c r="E60" s="102">
        <f>MBunk_ene!E$4</f>
        <v>0</v>
      </c>
      <c r="F60" s="102">
        <f>MBunk_ene!F$4</f>
        <v>0</v>
      </c>
      <c r="G60" s="102">
        <f>MBunk_ene!G$4</f>
        <v>0</v>
      </c>
      <c r="H60" s="102">
        <f>MBunk_ene!H$4</f>
        <v>0</v>
      </c>
      <c r="I60" s="102">
        <f>MBunk_ene!I$4</f>
        <v>11.854152342648899</v>
      </c>
      <c r="J60" s="102">
        <f>MBunk_ene!J$4</f>
        <v>23.35908251293742</v>
      </c>
      <c r="K60" s="102">
        <f>MBunk_ene!K$4</f>
        <v>8.5103188096359013</v>
      </c>
      <c r="L60" s="102">
        <f>MBunk_ene!L$4</f>
        <v>7.6422674461692299</v>
      </c>
      <c r="M60" s="102">
        <f>MBunk_ene!M$4</f>
        <v>4.1784988868049862</v>
      </c>
      <c r="N60" s="102">
        <f>MBunk_ene!N$4</f>
        <v>5.7229650274029815</v>
      </c>
      <c r="O60" s="102">
        <f>MBunk_ene!O$4</f>
        <v>15.959211609067909</v>
      </c>
      <c r="P60" s="102">
        <f>MBunk_ene!P$4</f>
        <v>36.963624162574739</v>
      </c>
      <c r="Q60" s="102">
        <f>MBunk_ene!Q$4</f>
        <v>20.887959009968611</v>
      </c>
      <c r="R60" s="102">
        <f>MBunk_ene!R$4</f>
        <v>14.855175685770449</v>
      </c>
      <c r="S60" s="102">
        <f>MBunk_ene!S$4</f>
        <v>14.093448680983226</v>
      </c>
      <c r="T60" s="102">
        <f>MBunk_ene!T$4</f>
        <v>9.3507493654090368</v>
      </c>
      <c r="U60" s="102">
        <f>MBunk_ene!U$4</f>
        <v>15.887423460534267</v>
      </c>
      <c r="V60" s="102">
        <f>MBunk_ene!V$4</f>
        <v>18.888096165531991</v>
      </c>
      <c r="W60" s="102">
        <f>MBunk_ene!W$4</f>
        <v>14.399271907973375</v>
      </c>
      <c r="X60" s="102">
        <f>MBunk_ene!X$4</f>
        <v>8.3186219948930891</v>
      </c>
      <c r="Y60" s="102">
        <f>MBunk_ene!Y$4</f>
        <v>10.754499583499888</v>
      </c>
      <c r="DA60" s="175" t="s">
        <v>957</v>
      </c>
    </row>
    <row r="61" spans="1:105" ht="11.45" customHeight="1" x14ac:dyDescent="0.25">
      <c r="A61" s="138" t="str">
        <f>$A$31</f>
        <v>Extra-EEA</v>
      </c>
      <c r="B61" s="86">
        <f>MBunk_ene!B$10</f>
        <v>0</v>
      </c>
      <c r="C61" s="86">
        <f>MBunk_ene!C$10</f>
        <v>0</v>
      </c>
      <c r="D61" s="86">
        <f>MBunk_ene!D$10</f>
        <v>0</v>
      </c>
      <c r="E61" s="86">
        <f>MBunk_ene!E$10</f>
        <v>0</v>
      </c>
      <c r="F61" s="86">
        <f>MBunk_ene!F$10</f>
        <v>0</v>
      </c>
      <c r="G61" s="86">
        <f>MBunk_ene!G$10</f>
        <v>0</v>
      </c>
      <c r="H61" s="86">
        <f>MBunk_ene!H$10</f>
        <v>0</v>
      </c>
      <c r="I61" s="86">
        <f>MBunk_ene!I$10</f>
        <v>23.035529514616787</v>
      </c>
      <c r="J61" s="86">
        <f>MBunk_ene!J$10</f>
        <v>46.144184898928444</v>
      </c>
      <c r="K61" s="86">
        <f>MBunk_ene!K$10</f>
        <v>7.1761816202867115</v>
      </c>
      <c r="L61" s="86">
        <f>MBunk_ene!L$10</f>
        <v>8.2543791574421181</v>
      </c>
      <c r="M61" s="86">
        <f>MBunk_ene!M$10</f>
        <v>5.0648373126791064</v>
      </c>
      <c r="N61" s="86">
        <f>MBunk_ene!N$10</f>
        <v>8.4666308453399299</v>
      </c>
      <c r="O61" s="86">
        <f>MBunk_ene!O$10</f>
        <v>25.596076439083422</v>
      </c>
      <c r="P61" s="86">
        <f>MBunk_ene!P$10</f>
        <v>43.106281254450188</v>
      </c>
      <c r="Q61" s="86">
        <f>MBunk_ene!Q$10</f>
        <v>23.707913732937662</v>
      </c>
      <c r="R61" s="86">
        <f>MBunk_ene!R$10</f>
        <v>16.564686738993089</v>
      </c>
      <c r="S61" s="86">
        <f>MBunk_ene!S$10</f>
        <v>13.806379349971206</v>
      </c>
      <c r="T61" s="86">
        <f>MBunk_ene!T$10</f>
        <v>8.7440055787010245</v>
      </c>
      <c r="U61" s="86">
        <f>MBunk_ene!U$10</f>
        <v>18.314038276353084</v>
      </c>
      <c r="V61" s="86">
        <f>MBunk_ene!V$10</f>
        <v>24.216632983221231</v>
      </c>
      <c r="W61" s="86">
        <f>MBunk_ene!W$10</f>
        <v>19.550685099765222</v>
      </c>
      <c r="X61" s="86">
        <f>MBunk_ene!X$10</f>
        <v>8.79204008593236</v>
      </c>
      <c r="Y61" s="86">
        <f>MBunk_ene!Y$10</f>
        <v>11.225637991736564</v>
      </c>
      <c r="DA61" s="178" t="s">
        <v>958</v>
      </c>
    </row>
    <row r="62" spans="1:105" ht="11.45" customHeight="1" x14ac:dyDescent="0.2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DA62" s="171"/>
    </row>
    <row r="63" spans="1:105" ht="11.45" customHeight="1" x14ac:dyDescent="0.25">
      <c r="A63" s="53" t="s">
        <v>35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DA63" s="172"/>
    </row>
    <row r="64" spans="1:105" ht="11.45" customHeight="1" x14ac:dyDescent="0.25">
      <c r="A64" s="27" t="s">
        <v>33</v>
      </c>
      <c r="B64" s="28">
        <f t="shared" ref="B64:Q64" si="51">B65+B69+B73</f>
        <v>6409.9214084053037</v>
      </c>
      <c r="C64" s="28">
        <f t="shared" si="51"/>
        <v>7519.8144766629248</v>
      </c>
      <c r="D64" s="28">
        <f t="shared" si="51"/>
        <v>7577.8165156472242</v>
      </c>
      <c r="E64" s="28">
        <f t="shared" si="51"/>
        <v>8120.8237773690716</v>
      </c>
      <c r="F64" s="28">
        <f t="shared" si="51"/>
        <v>8955.7761432292245</v>
      </c>
      <c r="G64" s="28">
        <f t="shared" si="51"/>
        <v>8410.736519524693</v>
      </c>
      <c r="H64" s="28">
        <f t="shared" si="51"/>
        <v>8371.1308894367594</v>
      </c>
      <c r="I64" s="28">
        <f t="shared" si="51"/>
        <v>9280.2645009174339</v>
      </c>
      <c r="J64" s="28">
        <f t="shared" si="51"/>
        <v>10665.65483341578</v>
      </c>
      <c r="K64" s="28">
        <f t="shared" si="51"/>
        <v>11066.439696033112</v>
      </c>
      <c r="L64" s="28">
        <f t="shared" si="51"/>
        <v>11068.584205643299</v>
      </c>
      <c r="M64" s="28">
        <f t="shared" si="51"/>
        <v>11328.753715841336</v>
      </c>
      <c r="N64" s="28">
        <f t="shared" si="51"/>
        <v>11744.182112649278</v>
      </c>
      <c r="O64" s="28">
        <f t="shared" si="51"/>
        <v>11439.339072285591</v>
      </c>
      <c r="P64" s="28">
        <f t="shared" si="51"/>
        <v>11918.870924744309</v>
      </c>
      <c r="Q64" s="28">
        <f t="shared" si="51"/>
        <v>12119.286332413229</v>
      </c>
      <c r="R64" s="28">
        <f t="shared" ref="R64:V64" si="52">R65+R69+R73</f>
        <v>13030.744251100939</v>
      </c>
      <c r="S64" s="28">
        <f t="shared" si="52"/>
        <v>13941.097953518651</v>
      </c>
      <c r="T64" s="28">
        <f t="shared" si="52"/>
        <v>13778.333851348263</v>
      </c>
      <c r="U64" s="28">
        <f t="shared" si="52"/>
        <v>14073.612743776763</v>
      </c>
      <c r="V64" s="28">
        <f t="shared" si="52"/>
        <v>13289.48054637407</v>
      </c>
      <c r="W64" s="28">
        <f t="shared" ref="W64:Y64" si="53">W65+W69+W73</f>
        <v>14098.530601880895</v>
      </c>
      <c r="X64" s="28">
        <f t="shared" si="53"/>
        <v>15138.029756285036</v>
      </c>
      <c r="Y64" s="28">
        <f t="shared" si="53"/>
        <v>16017.589608527063</v>
      </c>
      <c r="DA64" s="173"/>
    </row>
    <row r="65" spans="1:105" ht="11.45" customHeight="1" x14ac:dyDescent="0.25">
      <c r="A65" s="136" t="str">
        <f>$A$5</f>
        <v>Road transport</v>
      </c>
      <c r="B65" s="137">
        <f t="shared" ref="B65:Q65" si="54">B66+B67+B68</f>
        <v>5333.0497183852876</v>
      </c>
      <c r="C65" s="137">
        <f t="shared" si="54"/>
        <v>6861.5518421889128</v>
      </c>
      <c r="D65" s="137">
        <f t="shared" si="54"/>
        <v>6875.1415683587775</v>
      </c>
      <c r="E65" s="137">
        <f t="shared" si="54"/>
        <v>7342.813787613175</v>
      </c>
      <c r="F65" s="137">
        <f t="shared" si="54"/>
        <v>8036.0540274319919</v>
      </c>
      <c r="G65" s="137">
        <f t="shared" si="54"/>
        <v>7849.7355824415463</v>
      </c>
      <c r="H65" s="137">
        <f t="shared" si="54"/>
        <v>7761.3890687994772</v>
      </c>
      <c r="I65" s="137">
        <f t="shared" si="54"/>
        <v>8255.5247496366919</v>
      </c>
      <c r="J65" s="137">
        <f t="shared" si="54"/>
        <v>9632.6635473945244</v>
      </c>
      <c r="K65" s="137">
        <f t="shared" si="54"/>
        <v>10054.362915233447</v>
      </c>
      <c r="L65" s="137">
        <f t="shared" si="54"/>
        <v>9890.6845420982845</v>
      </c>
      <c r="M65" s="137">
        <f t="shared" si="54"/>
        <v>10197.789723875901</v>
      </c>
      <c r="N65" s="137">
        <f t="shared" si="54"/>
        <v>10794.998290846121</v>
      </c>
      <c r="O65" s="137">
        <f t="shared" si="54"/>
        <v>10432.510519891055</v>
      </c>
      <c r="P65" s="137">
        <f t="shared" si="54"/>
        <v>10972.975338237566</v>
      </c>
      <c r="Q65" s="137">
        <f t="shared" si="54"/>
        <v>11072.634814869038</v>
      </c>
      <c r="R65" s="137">
        <f t="shared" ref="R65:V65" si="55">R66+R67+R68</f>
        <v>11852.566668066842</v>
      </c>
      <c r="S65" s="137">
        <f t="shared" si="55"/>
        <v>12532.705978758957</v>
      </c>
      <c r="T65" s="137">
        <f t="shared" si="55"/>
        <v>13004.647322534935</v>
      </c>
      <c r="U65" s="137">
        <f t="shared" si="55"/>
        <v>13139.793710560363</v>
      </c>
      <c r="V65" s="137">
        <f t="shared" si="55"/>
        <v>12772.469502555916</v>
      </c>
      <c r="W65" s="137">
        <f t="shared" ref="W65:Y65" si="56">W66+W67+W68</f>
        <v>13458.793901653466</v>
      </c>
      <c r="X65" s="137">
        <f t="shared" si="56"/>
        <v>14490.246881688301</v>
      </c>
      <c r="Y65" s="137">
        <f t="shared" si="56"/>
        <v>15408.63338381102</v>
      </c>
      <c r="DA65" s="174" t="s">
        <v>403</v>
      </c>
    </row>
    <row r="66" spans="1:105" ht="11.45" customHeight="1" x14ac:dyDescent="0.25">
      <c r="A66" s="128" t="str">
        <f>$A$6</f>
        <v>Powered two-wheelers</v>
      </c>
      <c r="B66" s="102">
        <f>TrRoad_emi!B$19</f>
        <v>32.634194884287517</v>
      </c>
      <c r="C66" s="102">
        <f>TrRoad_emi!C$19</f>
        <v>32.440077781891382</v>
      </c>
      <c r="D66" s="102">
        <f>TrRoad_emi!D$19</f>
        <v>32.249138946856064</v>
      </c>
      <c r="E66" s="102">
        <f>TrRoad_emi!E$19</f>
        <v>32.383372954557117</v>
      </c>
      <c r="F66" s="102">
        <f>TrRoad_emi!F$19</f>
        <v>32.633343154641601</v>
      </c>
      <c r="G66" s="102">
        <f>TrRoad_emi!G$19</f>
        <v>31.269783344705171</v>
      </c>
      <c r="H66" s="102">
        <f>TrRoad_emi!H$19</f>
        <v>33.589179236127848</v>
      </c>
      <c r="I66" s="102">
        <f>TrRoad_emi!I$19</f>
        <v>35.706979509056254</v>
      </c>
      <c r="J66" s="102">
        <f>TrRoad_emi!J$19</f>
        <v>42.548445578154734</v>
      </c>
      <c r="K66" s="102">
        <f>TrRoad_emi!K$19</f>
        <v>45.358020020011352</v>
      </c>
      <c r="L66" s="102">
        <f>TrRoad_emi!L$19</f>
        <v>45.69118001609317</v>
      </c>
      <c r="M66" s="102">
        <f>TrRoad_emi!M$19</f>
        <v>47.603814697831851</v>
      </c>
      <c r="N66" s="102">
        <f>TrRoad_emi!N$19</f>
        <v>48.833094340538153</v>
      </c>
      <c r="O66" s="102">
        <f>TrRoad_emi!O$19</f>
        <v>51.450364169542333</v>
      </c>
      <c r="P66" s="102">
        <f>TrRoad_emi!P$19</f>
        <v>53.906116544024101</v>
      </c>
      <c r="Q66" s="102">
        <f>TrRoad_emi!Q$19</f>
        <v>55.210355726653056</v>
      </c>
      <c r="R66" s="102">
        <f>TrRoad_emi!R$19</f>
        <v>58.191958513540968</v>
      </c>
      <c r="S66" s="102">
        <f>TrRoad_emi!S$19</f>
        <v>54.344213321204705</v>
      </c>
      <c r="T66" s="102">
        <f>TrRoad_emi!T$19</f>
        <v>51.585111857096948</v>
      </c>
      <c r="U66" s="102">
        <f>TrRoad_emi!U$19</f>
        <v>53.94616798438107</v>
      </c>
      <c r="V66" s="102">
        <f>TrRoad_emi!V$19</f>
        <v>48.530216823117222</v>
      </c>
      <c r="W66" s="102">
        <f>TrRoad_emi!W$19</f>
        <v>50.047443301547752</v>
      </c>
      <c r="X66" s="102">
        <f>TrRoad_emi!X$19</f>
        <v>50.519326382795235</v>
      </c>
      <c r="Y66" s="102">
        <f>TrRoad_emi!Y$19</f>
        <v>55.011173063260081</v>
      </c>
      <c r="DA66" s="175" t="s">
        <v>404</v>
      </c>
    </row>
    <row r="67" spans="1:105" ht="11.45" customHeight="1" x14ac:dyDescent="0.25">
      <c r="A67" s="128" t="str">
        <f>$A$7</f>
        <v>Passenger cars</v>
      </c>
      <c r="B67" s="102">
        <f>TrRoad_emi!B$20</f>
        <v>3776.5968773718569</v>
      </c>
      <c r="C67" s="102">
        <f>TrRoad_emi!C$20</f>
        <v>5036.1366145531701</v>
      </c>
      <c r="D67" s="102">
        <f>TrRoad_emi!D$20</f>
        <v>5132.7189674874826</v>
      </c>
      <c r="E67" s="102">
        <f>TrRoad_emi!E$20</f>
        <v>5389.4350079309352</v>
      </c>
      <c r="F67" s="102">
        <f>TrRoad_emi!F$20</f>
        <v>5966.0218049801342</v>
      </c>
      <c r="G67" s="102">
        <f>TrRoad_emi!G$20</f>
        <v>5916.0182000256509</v>
      </c>
      <c r="H67" s="102">
        <f>TrRoad_emi!H$20</f>
        <v>5967.3026204168464</v>
      </c>
      <c r="I67" s="102">
        <f>TrRoad_emi!I$20</f>
        <v>6304.4607423955713</v>
      </c>
      <c r="J67" s="102">
        <f>TrRoad_emi!J$20</f>
        <v>6983.2038695101401</v>
      </c>
      <c r="K67" s="102">
        <f>TrRoad_emi!K$20</f>
        <v>7363.289936187467</v>
      </c>
      <c r="L67" s="102">
        <f>TrRoad_emi!L$20</f>
        <v>7093.8928015880265</v>
      </c>
      <c r="M67" s="102">
        <f>TrRoad_emi!M$20</f>
        <v>7384.2771902925342</v>
      </c>
      <c r="N67" s="102">
        <f>TrRoad_emi!N$20</f>
        <v>7861.3146385315886</v>
      </c>
      <c r="O67" s="102">
        <f>TrRoad_emi!O$20</f>
        <v>7459.3359209769587</v>
      </c>
      <c r="P67" s="102">
        <f>TrRoad_emi!P$20</f>
        <v>7845.1737158961623</v>
      </c>
      <c r="Q67" s="102">
        <f>TrRoad_emi!Q$20</f>
        <v>7847.0237242320081</v>
      </c>
      <c r="R67" s="102">
        <f>TrRoad_emi!R$20</f>
        <v>8469.6471078654104</v>
      </c>
      <c r="S67" s="102">
        <f>TrRoad_emi!S$20</f>
        <v>8990.0583781691657</v>
      </c>
      <c r="T67" s="102">
        <f>TrRoad_emi!T$20</f>
        <v>9393.7592303650945</v>
      </c>
      <c r="U67" s="102">
        <f>TrRoad_emi!U$20</f>
        <v>9550.5785817467277</v>
      </c>
      <c r="V67" s="102">
        <f>TrRoad_emi!V$20</f>
        <v>9066.3934597251009</v>
      </c>
      <c r="W67" s="102">
        <f>TrRoad_emi!W$20</f>
        <v>9657.3382349990807</v>
      </c>
      <c r="X67" s="102">
        <f>TrRoad_emi!X$20</f>
        <v>10558.482282953655</v>
      </c>
      <c r="Y67" s="102">
        <f>TrRoad_emi!Y$20</f>
        <v>11415.39388282232</v>
      </c>
      <c r="DA67" s="175" t="s">
        <v>405</v>
      </c>
    </row>
    <row r="68" spans="1:105" ht="11.45" customHeight="1" x14ac:dyDescent="0.25">
      <c r="A68" s="128" t="str">
        <f>$A$8</f>
        <v>Motor coaches, buses and trolley buses</v>
      </c>
      <c r="B68" s="102">
        <f>TrRoad_emi!B$27</f>
        <v>1523.818646129143</v>
      </c>
      <c r="C68" s="102">
        <f>TrRoad_emi!C$27</f>
        <v>1792.9751498538515</v>
      </c>
      <c r="D68" s="102">
        <f>TrRoad_emi!D$27</f>
        <v>1710.1734619244392</v>
      </c>
      <c r="E68" s="102">
        <f>TrRoad_emi!E$27</f>
        <v>1920.9954067276831</v>
      </c>
      <c r="F68" s="102">
        <f>TrRoad_emi!F$27</f>
        <v>2037.3988792972161</v>
      </c>
      <c r="G68" s="102">
        <f>TrRoad_emi!G$27</f>
        <v>1902.4475990711894</v>
      </c>
      <c r="H68" s="102">
        <f>TrRoad_emi!H$27</f>
        <v>1760.4972691465023</v>
      </c>
      <c r="I68" s="102">
        <f>TrRoad_emi!I$27</f>
        <v>1915.3570277320639</v>
      </c>
      <c r="J68" s="102">
        <f>TrRoad_emi!J$27</f>
        <v>2606.9112323062304</v>
      </c>
      <c r="K68" s="102">
        <f>TrRoad_emi!K$27</f>
        <v>2645.7149590259692</v>
      </c>
      <c r="L68" s="102">
        <f>TrRoad_emi!L$27</f>
        <v>2751.1005604941643</v>
      </c>
      <c r="M68" s="102">
        <f>TrRoad_emi!M$27</f>
        <v>2765.908718885536</v>
      </c>
      <c r="N68" s="102">
        <f>TrRoad_emi!N$27</f>
        <v>2884.850557973994</v>
      </c>
      <c r="O68" s="102">
        <f>TrRoad_emi!O$27</f>
        <v>2921.7242347445545</v>
      </c>
      <c r="P68" s="102">
        <f>TrRoad_emi!P$27</f>
        <v>3073.8955057973785</v>
      </c>
      <c r="Q68" s="102">
        <f>TrRoad_emi!Q$27</f>
        <v>3170.4007349103777</v>
      </c>
      <c r="R68" s="102">
        <f>TrRoad_emi!R$27</f>
        <v>3324.7276016878914</v>
      </c>
      <c r="S68" s="102">
        <f>TrRoad_emi!S$27</f>
        <v>3488.303387268586</v>
      </c>
      <c r="T68" s="102">
        <f>TrRoad_emi!T$27</f>
        <v>3559.3029803127429</v>
      </c>
      <c r="U68" s="102">
        <f>TrRoad_emi!U$27</f>
        <v>3535.2689608292553</v>
      </c>
      <c r="V68" s="102">
        <f>TrRoad_emi!V$27</f>
        <v>3657.5458260076971</v>
      </c>
      <c r="W68" s="102">
        <f>TrRoad_emi!W$27</f>
        <v>3751.408223352837</v>
      </c>
      <c r="X68" s="102">
        <f>TrRoad_emi!X$27</f>
        <v>3881.2452723518518</v>
      </c>
      <c r="Y68" s="102">
        <f>TrRoad_emi!Y$27</f>
        <v>3938.2283279254402</v>
      </c>
      <c r="DA68" s="175" t="s">
        <v>406</v>
      </c>
    </row>
    <row r="69" spans="1:105" ht="11.45" customHeight="1" x14ac:dyDescent="0.25">
      <c r="A69" s="109" t="str">
        <f>$A$9</f>
        <v>Rail, metro and tram</v>
      </c>
      <c r="B69" s="110">
        <f t="shared" ref="B69:Q69" si="57">B70+B71+B72</f>
        <v>674.3108788485431</v>
      </c>
      <c r="C69" s="110">
        <f t="shared" si="57"/>
        <v>305.39496584858608</v>
      </c>
      <c r="D69" s="110">
        <f t="shared" si="57"/>
        <v>403.34949853551825</v>
      </c>
      <c r="E69" s="110">
        <f t="shared" si="57"/>
        <v>415.19201222056097</v>
      </c>
      <c r="F69" s="110">
        <f t="shared" si="57"/>
        <v>465.45043355494732</v>
      </c>
      <c r="G69" s="110">
        <f t="shared" si="57"/>
        <v>151.22838016056517</v>
      </c>
      <c r="H69" s="110">
        <f t="shared" si="57"/>
        <v>140.75855571587891</v>
      </c>
      <c r="I69" s="110">
        <f t="shared" si="57"/>
        <v>404.63720839797054</v>
      </c>
      <c r="J69" s="110">
        <f t="shared" si="57"/>
        <v>388.12570070144568</v>
      </c>
      <c r="K69" s="110">
        <f t="shared" si="57"/>
        <v>311.78299617191772</v>
      </c>
      <c r="L69" s="110">
        <f t="shared" si="57"/>
        <v>348.24353550464093</v>
      </c>
      <c r="M69" s="110">
        <f t="shared" si="57"/>
        <v>454.46700437963881</v>
      </c>
      <c r="N69" s="110">
        <f t="shared" si="57"/>
        <v>432.16804298969396</v>
      </c>
      <c r="O69" s="110">
        <f t="shared" si="57"/>
        <v>378.16887356829511</v>
      </c>
      <c r="P69" s="110">
        <f t="shared" si="57"/>
        <v>256.89077814245206</v>
      </c>
      <c r="Q69" s="110">
        <f t="shared" si="57"/>
        <v>234.33382331788729</v>
      </c>
      <c r="R69" s="110">
        <f t="shared" ref="R69:V69" si="58">R70+R71+R72</f>
        <v>226.10300977910231</v>
      </c>
      <c r="S69" s="110">
        <f t="shared" si="58"/>
        <v>257.4176685389242</v>
      </c>
      <c r="T69" s="110">
        <f t="shared" si="58"/>
        <v>196.41374119561348</v>
      </c>
      <c r="U69" s="110">
        <f t="shared" si="58"/>
        <v>282.50853041950216</v>
      </c>
      <c r="V69" s="110">
        <f t="shared" si="58"/>
        <v>260.71620966252766</v>
      </c>
      <c r="W69" s="110">
        <f t="shared" ref="W69:Y69" si="59">W70+W71+W72</f>
        <v>254.64155508321505</v>
      </c>
      <c r="X69" s="110">
        <f t="shared" si="59"/>
        <v>164.13720308695159</v>
      </c>
      <c r="Y69" s="110">
        <f t="shared" si="59"/>
        <v>207.16627644763753</v>
      </c>
      <c r="DA69" s="176" t="s">
        <v>407</v>
      </c>
    </row>
    <row r="70" spans="1:105" ht="11.45" customHeight="1" x14ac:dyDescent="0.25">
      <c r="A70" s="128" t="str">
        <f>$A$10</f>
        <v>Metro and tram, urban light rail</v>
      </c>
      <c r="B70" s="102">
        <f>TrRail_emi!B$10</f>
        <v>0</v>
      </c>
      <c r="C70" s="102">
        <f>TrRail_emi!C$10</f>
        <v>0</v>
      </c>
      <c r="D70" s="102">
        <f>TrRail_emi!D$10</f>
        <v>0</v>
      </c>
      <c r="E70" s="102">
        <f>TrRail_emi!E$10</f>
        <v>0</v>
      </c>
      <c r="F70" s="102">
        <f>TrRail_emi!F$10</f>
        <v>0</v>
      </c>
      <c r="G70" s="102">
        <f>TrRail_emi!G$10</f>
        <v>0</v>
      </c>
      <c r="H70" s="102">
        <f>TrRail_emi!H$10</f>
        <v>0</v>
      </c>
      <c r="I70" s="102">
        <f>TrRail_emi!I$10</f>
        <v>0</v>
      </c>
      <c r="J70" s="102">
        <f>TrRail_emi!J$10</f>
        <v>0</v>
      </c>
      <c r="K70" s="102">
        <f>TrRail_emi!K$10</f>
        <v>0</v>
      </c>
      <c r="L70" s="102">
        <f>TrRail_emi!L$10</f>
        <v>0</v>
      </c>
      <c r="M70" s="102">
        <f>TrRail_emi!M$10</f>
        <v>0</v>
      </c>
      <c r="N70" s="102">
        <f>TrRail_emi!N$10</f>
        <v>0</v>
      </c>
      <c r="O70" s="102">
        <f>TrRail_emi!O$10</f>
        <v>0</v>
      </c>
      <c r="P70" s="102">
        <f>TrRail_emi!P$10</f>
        <v>0</v>
      </c>
      <c r="Q70" s="102">
        <f>TrRail_emi!Q$10</f>
        <v>0</v>
      </c>
      <c r="R70" s="102">
        <f>TrRail_emi!R$10</f>
        <v>0</v>
      </c>
      <c r="S70" s="102">
        <f>TrRail_emi!S$10</f>
        <v>0</v>
      </c>
      <c r="T70" s="102">
        <f>TrRail_emi!T$10</f>
        <v>0</v>
      </c>
      <c r="U70" s="102">
        <f>TrRail_emi!U$10</f>
        <v>0</v>
      </c>
      <c r="V70" s="102">
        <f>TrRail_emi!V$10</f>
        <v>0</v>
      </c>
      <c r="W70" s="102">
        <f>TrRail_emi!W$10</f>
        <v>0</v>
      </c>
      <c r="X70" s="102">
        <f>TrRail_emi!X$10</f>
        <v>0</v>
      </c>
      <c r="Y70" s="102">
        <f>TrRail_emi!Y$10</f>
        <v>0</v>
      </c>
      <c r="DA70" s="175" t="s">
        <v>408</v>
      </c>
    </row>
    <row r="71" spans="1:105" ht="11.45" customHeight="1" x14ac:dyDescent="0.25">
      <c r="A71" s="128" t="str">
        <f>$A$11</f>
        <v>Conventional passenger trains</v>
      </c>
      <c r="B71" s="102">
        <f>TrRail_emi!B$11</f>
        <v>674.3108788485431</v>
      </c>
      <c r="C71" s="102">
        <f>TrRail_emi!C$11</f>
        <v>305.39496584858608</v>
      </c>
      <c r="D71" s="102">
        <f>TrRail_emi!D$11</f>
        <v>403.34949853551825</v>
      </c>
      <c r="E71" s="102">
        <f>TrRail_emi!E$11</f>
        <v>415.19201222056097</v>
      </c>
      <c r="F71" s="102">
        <f>TrRail_emi!F$11</f>
        <v>465.45043355494732</v>
      </c>
      <c r="G71" s="102">
        <f>TrRail_emi!G$11</f>
        <v>151.22838016056517</v>
      </c>
      <c r="H71" s="102">
        <f>TrRail_emi!H$11</f>
        <v>140.75855571587891</v>
      </c>
      <c r="I71" s="102">
        <f>TrRail_emi!I$11</f>
        <v>404.63720839797054</v>
      </c>
      <c r="J71" s="102">
        <f>TrRail_emi!J$11</f>
        <v>388.12570070144568</v>
      </c>
      <c r="K71" s="102">
        <f>TrRail_emi!K$11</f>
        <v>311.78299617191772</v>
      </c>
      <c r="L71" s="102">
        <f>TrRail_emi!L$11</f>
        <v>348.24353550464093</v>
      </c>
      <c r="M71" s="102">
        <f>TrRail_emi!M$11</f>
        <v>454.46700437963881</v>
      </c>
      <c r="N71" s="102">
        <f>TrRail_emi!N$11</f>
        <v>432.16804298969396</v>
      </c>
      <c r="O71" s="102">
        <f>TrRail_emi!O$11</f>
        <v>378.16887356829511</v>
      </c>
      <c r="P71" s="102">
        <f>TrRail_emi!P$11</f>
        <v>256.89077814245206</v>
      </c>
      <c r="Q71" s="102">
        <f>TrRail_emi!Q$11</f>
        <v>234.33382331788729</v>
      </c>
      <c r="R71" s="102">
        <f>TrRail_emi!R$11</f>
        <v>226.10300977910231</v>
      </c>
      <c r="S71" s="102">
        <f>TrRail_emi!S$11</f>
        <v>257.4176685389242</v>
      </c>
      <c r="T71" s="102">
        <f>TrRail_emi!T$11</f>
        <v>196.41374119561348</v>
      </c>
      <c r="U71" s="102">
        <f>TrRail_emi!U$11</f>
        <v>282.50853041950216</v>
      </c>
      <c r="V71" s="102">
        <f>TrRail_emi!V$11</f>
        <v>260.71620966252766</v>
      </c>
      <c r="W71" s="102">
        <f>TrRail_emi!W$11</f>
        <v>254.64155508321505</v>
      </c>
      <c r="X71" s="102">
        <f>TrRail_emi!X$11</f>
        <v>164.13720308695159</v>
      </c>
      <c r="Y71" s="102">
        <f>TrRail_emi!Y$11</f>
        <v>207.16627644763753</v>
      </c>
      <c r="DA71" s="175" t="s">
        <v>409</v>
      </c>
    </row>
    <row r="72" spans="1:105" ht="11.45" customHeight="1" x14ac:dyDescent="0.25">
      <c r="A72" s="128" t="str">
        <f>$A$12</f>
        <v>High speed passenger trains</v>
      </c>
      <c r="B72" s="102">
        <f>TrRail_emi!B$14</f>
        <v>0</v>
      </c>
      <c r="C72" s="102">
        <f>TrRail_emi!C$14</f>
        <v>0</v>
      </c>
      <c r="D72" s="102">
        <f>TrRail_emi!D$14</f>
        <v>0</v>
      </c>
      <c r="E72" s="102">
        <f>TrRail_emi!E$14</f>
        <v>0</v>
      </c>
      <c r="F72" s="102">
        <f>TrRail_emi!F$14</f>
        <v>0</v>
      </c>
      <c r="G72" s="102">
        <f>TrRail_emi!G$14</f>
        <v>0</v>
      </c>
      <c r="H72" s="102">
        <f>TrRail_emi!H$14</f>
        <v>0</v>
      </c>
      <c r="I72" s="102">
        <f>TrRail_emi!I$14</f>
        <v>0</v>
      </c>
      <c r="J72" s="102">
        <f>TrRail_emi!J$14</f>
        <v>0</v>
      </c>
      <c r="K72" s="102">
        <f>TrRail_emi!K$14</f>
        <v>0</v>
      </c>
      <c r="L72" s="102">
        <f>TrRail_emi!L$14</f>
        <v>0</v>
      </c>
      <c r="M72" s="102">
        <f>TrRail_emi!M$14</f>
        <v>0</v>
      </c>
      <c r="N72" s="102">
        <f>TrRail_emi!N$14</f>
        <v>0</v>
      </c>
      <c r="O72" s="102">
        <f>TrRail_emi!O$14</f>
        <v>0</v>
      </c>
      <c r="P72" s="102">
        <f>TrRail_emi!P$14</f>
        <v>0</v>
      </c>
      <c r="Q72" s="102">
        <f>TrRail_emi!Q$14</f>
        <v>0</v>
      </c>
      <c r="R72" s="102">
        <f>TrRail_emi!R$14</f>
        <v>0</v>
      </c>
      <c r="S72" s="102">
        <f>TrRail_emi!S$14</f>
        <v>0</v>
      </c>
      <c r="T72" s="102">
        <f>TrRail_emi!T$14</f>
        <v>0</v>
      </c>
      <c r="U72" s="102">
        <f>TrRail_emi!U$14</f>
        <v>0</v>
      </c>
      <c r="V72" s="102">
        <f>TrRail_emi!V$14</f>
        <v>0</v>
      </c>
      <c r="W72" s="102">
        <f>TrRail_emi!W$14</f>
        <v>0</v>
      </c>
      <c r="X72" s="102">
        <f>TrRail_emi!X$14</f>
        <v>0</v>
      </c>
      <c r="Y72" s="102">
        <f>TrRail_emi!Y$14</f>
        <v>0</v>
      </c>
      <c r="DA72" s="175" t="s">
        <v>410</v>
      </c>
    </row>
    <row r="73" spans="1:105" ht="11.45" customHeight="1" x14ac:dyDescent="0.25">
      <c r="A73" s="109" t="str">
        <f>$A$13</f>
        <v>Aviation</v>
      </c>
      <c r="B73" s="110">
        <f t="shared" ref="B73:Q73" si="60">B74+B75+B76</f>
        <v>402.56081117147266</v>
      </c>
      <c r="C73" s="110">
        <f t="shared" si="60"/>
        <v>352.86766862542606</v>
      </c>
      <c r="D73" s="110">
        <f t="shared" si="60"/>
        <v>299.32544875292831</v>
      </c>
      <c r="E73" s="110">
        <f t="shared" si="60"/>
        <v>362.81797753533533</v>
      </c>
      <c r="F73" s="110">
        <f t="shared" si="60"/>
        <v>454.27168224228382</v>
      </c>
      <c r="G73" s="110">
        <f t="shared" si="60"/>
        <v>409.77255692258069</v>
      </c>
      <c r="H73" s="110">
        <f t="shared" si="60"/>
        <v>468.98326492140245</v>
      </c>
      <c r="I73" s="110">
        <f t="shared" si="60"/>
        <v>620.10254288277054</v>
      </c>
      <c r="J73" s="110">
        <f t="shared" si="60"/>
        <v>644.86558531980859</v>
      </c>
      <c r="K73" s="110">
        <f t="shared" si="60"/>
        <v>700.29378462774753</v>
      </c>
      <c r="L73" s="110">
        <f t="shared" si="60"/>
        <v>829.65612804037221</v>
      </c>
      <c r="M73" s="110">
        <f t="shared" si="60"/>
        <v>676.49698758579518</v>
      </c>
      <c r="N73" s="110">
        <f t="shared" si="60"/>
        <v>517.01577881346452</v>
      </c>
      <c r="O73" s="110">
        <f t="shared" si="60"/>
        <v>628.65967882624125</v>
      </c>
      <c r="P73" s="110">
        <f t="shared" si="60"/>
        <v>689.00480836429153</v>
      </c>
      <c r="Q73" s="110">
        <f t="shared" si="60"/>
        <v>812.31769422630339</v>
      </c>
      <c r="R73" s="110">
        <f t="shared" ref="R73:V73" si="61">R74+R75+R76</f>
        <v>952.0745732549949</v>
      </c>
      <c r="S73" s="110">
        <f t="shared" si="61"/>
        <v>1150.9743062207683</v>
      </c>
      <c r="T73" s="110">
        <f t="shared" si="61"/>
        <v>577.27278761771549</v>
      </c>
      <c r="U73" s="110">
        <f t="shared" si="61"/>
        <v>651.31050279689771</v>
      </c>
      <c r="V73" s="110">
        <f t="shared" si="61"/>
        <v>256.29483415562697</v>
      </c>
      <c r="W73" s="110">
        <f t="shared" ref="W73:Y73" si="62">W74+W75+W76</f>
        <v>385.0951451442142</v>
      </c>
      <c r="X73" s="110">
        <f t="shared" si="62"/>
        <v>483.6456715097824</v>
      </c>
      <c r="Y73" s="110">
        <f t="shared" si="62"/>
        <v>401.78994826840551</v>
      </c>
      <c r="DA73" s="176" t="s">
        <v>327</v>
      </c>
    </row>
    <row r="74" spans="1:105" ht="11.45" customHeight="1" x14ac:dyDescent="0.25">
      <c r="A74" s="128" t="str">
        <f>$A$14</f>
        <v>Domestic</v>
      </c>
      <c r="B74" s="102">
        <f>TrAvia_emi!B$7</f>
        <v>18.386892450592082</v>
      </c>
      <c r="C74" s="102">
        <f>TrAvia_emi!C$7</f>
        <v>9.1157341722319103</v>
      </c>
      <c r="D74" s="102">
        <f>TrAvia_emi!D$7</f>
        <v>6.035671853081233</v>
      </c>
      <c r="E74" s="102">
        <f>TrAvia_emi!E$7</f>
        <v>6.0405662046366579</v>
      </c>
      <c r="F74" s="102">
        <f>TrAvia_emi!F$7</f>
        <v>37.787054237837168</v>
      </c>
      <c r="G74" s="102">
        <f>TrAvia_emi!G$7</f>
        <v>34.28595360876276</v>
      </c>
      <c r="H74" s="102">
        <f>TrAvia_emi!H$7</f>
        <v>6.2032694887930209</v>
      </c>
      <c r="I74" s="102">
        <f>TrAvia_emi!I$7</f>
        <v>249.98244437139454</v>
      </c>
      <c r="J74" s="102">
        <f>TrAvia_emi!J$7</f>
        <v>243.24779622654427</v>
      </c>
      <c r="K74" s="102">
        <f>TrAvia_emi!K$7</f>
        <v>256.6476854727552</v>
      </c>
      <c r="L74" s="102">
        <f>TrAvia_emi!L$7</f>
        <v>334.28066634646439</v>
      </c>
      <c r="M74" s="102">
        <f>TrAvia_emi!M$7</f>
        <v>244.29620583004444</v>
      </c>
      <c r="N74" s="102">
        <f>TrAvia_emi!N$7</f>
        <v>121.50842221577757</v>
      </c>
      <c r="O74" s="102">
        <f>TrAvia_emi!O$7</f>
        <v>137.20378516083542</v>
      </c>
      <c r="P74" s="102">
        <f>TrAvia_emi!P$7</f>
        <v>72.971263300338592</v>
      </c>
      <c r="Q74" s="102">
        <f>TrAvia_emi!Q$7</f>
        <v>98.39415155033214</v>
      </c>
      <c r="R74" s="102">
        <f>TrAvia_emi!R$7</f>
        <v>84.172495620253954</v>
      </c>
      <c r="S74" s="102">
        <f>TrAvia_emi!S$7</f>
        <v>148.21873367049139</v>
      </c>
      <c r="T74" s="102">
        <f>TrAvia_emi!T$7</f>
        <v>166.8524493016873</v>
      </c>
      <c r="U74" s="102">
        <f>TrAvia_emi!U$7</f>
        <v>194.13413606700334</v>
      </c>
      <c r="V74" s="102">
        <f>TrAvia_emi!V$7</f>
        <v>115.54993576287896</v>
      </c>
      <c r="W74" s="102">
        <f>TrAvia_emi!W$7</f>
        <v>139.48586951484845</v>
      </c>
      <c r="X74" s="102">
        <f>TrAvia_emi!X$7</f>
        <v>209.69110939031319</v>
      </c>
      <c r="Y74" s="102">
        <f>TrAvia_emi!Y$7</f>
        <v>116.81028131204792</v>
      </c>
      <c r="DA74" s="175" t="s">
        <v>328</v>
      </c>
    </row>
    <row r="75" spans="1:105" ht="11.45" customHeight="1" x14ac:dyDescent="0.25">
      <c r="A75" s="128" t="str">
        <f>$A$15</f>
        <v>International - Intra-EEAwCHUK</v>
      </c>
      <c r="B75" s="102">
        <f>TrAvia_emi!B$8</f>
        <v>328.42924554914021</v>
      </c>
      <c r="C75" s="102">
        <f>TrAvia_emi!C$8</f>
        <v>293.889278456488</v>
      </c>
      <c r="D75" s="102">
        <f>TrAvia_emi!D$8</f>
        <v>250.77051963571441</v>
      </c>
      <c r="E75" s="102">
        <f>TrAvia_emi!E$8</f>
        <v>305.08678242498576</v>
      </c>
      <c r="F75" s="102">
        <f>TrAvia_emi!F$8</f>
        <v>356.18013646031631</v>
      </c>
      <c r="G75" s="102">
        <f>TrAvia_emi!G$8</f>
        <v>321.84922690220321</v>
      </c>
      <c r="H75" s="102">
        <f>TrAvia_emi!H$8</f>
        <v>399.05181987720323</v>
      </c>
      <c r="I75" s="102">
        <f>TrAvia_emi!I$8</f>
        <v>322.38317112405161</v>
      </c>
      <c r="J75" s="102">
        <f>TrAvia_emi!J$8</f>
        <v>351.06251170866381</v>
      </c>
      <c r="K75" s="102">
        <f>TrAvia_emi!K$8</f>
        <v>387.44890805573596</v>
      </c>
      <c r="L75" s="102">
        <f>TrAvia_emi!L$8</f>
        <v>433.43698544182325</v>
      </c>
      <c r="M75" s="102">
        <f>TrAvia_emi!M$8</f>
        <v>377.10741869875295</v>
      </c>
      <c r="N75" s="102">
        <f>TrAvia_emi!N$8</f>
        <v>345.42838596528128</v>
      </c>
      <c r="O75" s="102">
        <f>TrAvia_emi!O$8</f>
        <v>429.99126615067712</v>
      </c>
      <c r="P75" s="102">
        <f>TrAvia_emi!P$8</f>
        <v>544.62170299230934</v>
      </c>
      <c r="Q75" s="102">
        <f>TrAvia_emi!Q$8</f>
        <v>636.73331306006821</v>
      </c>
      <c r="R75" s="102">
        <f>TrAvia_emi!R$8</f>
        <v>786.80433157102607</v>
      </c>
      <c r="S75" s="102">
        <f>TrAvia_emi!S$8</f>
        <v>918.08091111058286</v>
      </c>
      <c r="T75" s="102">
        <f>TrAvia_emi!T$8</f>
        <v>375.5008915941691</v>
      </c>
      <c r="U75" s="102">
        <f>TrAvia_emi!U$8</f>
        <v>419.43942847766272</v>
      </c>
      <c r="V75" s="102">
        <f>TrAvia_emi!V$8</f>
        <v>124.2661956167138</v>
      </c>
      <c r="W75" s="102">
        <f>TrAvia_emi!W$8</f>
        <v>220.88139809387667</v>
      </c>
      <c r="X75" s="102">
        <f>TrAvia_emi!X$8</f>
        <v>252.72986527631014</v>
      </c>
      <c r="Y75" s="102">
        <f>TrAvia_emi!Y$8</f>
        <v>262.49382289484691</v>
      </c>
      <c r="DA75" s="175" t="s">
        <v>329</v>
      </c>
    </row>
    <row r="76" spans="1:105" ht="11.45" customHeight="1" x14ac:dyDescent="0.25">
      <c r="A76" s="128" t="str">
        <f>$A$16</f>
        <v>International - Extra-EEAwCHUK</v>
      </c>
      <c r="B76" s="102">
        <f>TrAvia_emi!B$9</f>
        <v>55.744673171740381</v>
      </c>
      <c r="C76" s="102">
        <f>TrAvia_emi!C$9</f>
        <v>49.862655996706195</v>
      </c>
      <c r="D76" s="102">
        <f>TrAvia_emi!D$9</f>
        <v>42.519257264132662</v>
      </c>
      <c r="E76" s="102">
        <f>TrAvia_emi!E$9</f>
        <v>51.690628905712927</v>
      </c>
      <c r="F76" s="102">
        <f>TrAvia_emi!F$9</f>
        <v>60.304491544130371</v>
      </c>
      <c r="G76" s="102">
        <f>TrAvia_emi!G$9</f>
        <v>53.637376411614717</v>
      </c>
      <c r="H76" s="102">
        <f>TrAvia_emi!H$9</f>
        <v>63.728175555406189</v>
      </c>
      <c r="I76" s="102">
        <f>TrAvia_emi!I$9</f>
        <v>47.736927387324343</v>
      </c>
      <c r="J76" s="102">
        <f>TrAvia_emi!J$9</f>
        <v>50.55527738460048</v>
      </c>
      <c r="K76" s="102">
        <f>TrAvia_emi!K$9</f>
        <v>56.197191099256358</v>
      </c>
      <c r="L76" s="102">
        <f>TrAvia_emi!L$9</f>
        <v>61.93847625208457</v>
      </c>
      <c r="M76" s="102">
        <f>TrAvia_emi!M$9</f>
        <v>55.093363056997731</v>
      </c>
      <c r="N76" s="102">
        <f>TrAvia_emi!N$9</f>
        <v>50.078970632405728</v>
      </c>
      <c r="O76" s="102">
        <f>TrAvia_emi!O$9</f>
        <v>61.464627514728676</v>
      </c>
      <c r="P76" s="102">
        <f>TrAvia_emi!P$9</f>
        <v>71.411842071643619</v>
      </c>
      <c r="Q76" s="102">
        <f>TrAvia_emi!Q$9</f>
        <v>77.190229615903078</v>
      </c>
      <c r="R76" s="102">
        <f>TrAvia_emi!R$9</f>
        <v>81.097746063714965</v>
      </c>
      <c r="S76" s="102">
        <f>TrAvia_emi!S$9</f>
        <v>84.674661439694162</v>
      </c>
      <c r="T76" s="102">
        <f>TrAvia_emi!T$9</f>
        <v>34.919446721859117</v>
      </c>
      <c r="U76" s="102">
        <f>TrAvia_emi!U$9</f>
        <v>37.736938252231695</v>
      </c>
      <c r="V76" s="102">
        <f>TrAvia_emi!V$9</f>
        <v>16.478702776034194</v>
      </c>
      <c r="W76" s="102">
        <f>TrAvia_emi!W$9</f>
        <v>24.727877535489061</v>
      </c>
      <c r="X76" s="102">
        <f>TrAvia_emi!X$9</f>
        <v>21.224696843159062</v>
      </c>
      <c r="Y76" s="102">
        <f>TrAvia_emi!Y$9</f>
        <v>22.485844061510644</v>
      </c>
      <c r="DA76" s="175" t="s">
        <v>330</v>
      </c>
    </row>
    <row r="77" spans="1:105" ht="11.45" customHeight="1" x14ac:dyDescent="0.25">
      <c r="A77" s="27" t="s">
        <v>34</v>
      </c>
      <c r="B77" s="28">
        <f t="shared" ref="B77:Y77" si="63">B78+B81+B82+B86+B92</f>
        <v>3448.6615045546978</v>
      </c>
      <c r="C77" s="28">
        <f t="shared" si="63"/>
        <v>4138.2785512053324</v>
      </c>
      <c r="D77" s="28">
        <f t="shared" si="63"/>
        <v>4477.9983853527747</v>
      </c>
      <c r="E77" s="28">
        <f t="shared" si="63"/>
        <v>4707.1284594617864</v>
      </c>
      <c r="F77" s="28">
        <f t="shared" si="63"/>
        <v>4427.0091004880451</v>
      </c>
      <c r="G77" s="28">
        <f t="shared" si="63"/>
        <v>3977.3169904753086</v>
      </c>
      <c r="H77" s="28">
        <f t="shared" si="63"/>
        <v>4573.5396852432423</v>
      </c>
      <c r="I77" s="28">
        <f t="shared" si="63"/>
        <v>4327.7418221225671</v>
      </c>
      <c r="J77" s="28">
        <f t="shared" si="63"/>
        <v>4538.5416523042204</v>
      </c>
      <c r="K77" s="28">
        <f t="shared" si="63"/>
        <v>4340.9092947268882</v>
      </c>
      <c r="L77" s="28">
        <f t="shared" si="63"/>
        <v>3780.4375868767033</v>
      </c>
      <c r="M77" s="28">
        <f t="shared" si="63"/>
        <v>3946.6997755986599</v>
      </c>
      <c r="N77" s="28">
        <f t="shared" si="63"/>
        <v>3908.1698054307199</v>
      </c>
      <c r="O77" s="28">
        <f t="shared" si="63"/>
        <v>3931.6037275944095</v>
      </c>
      <c r="P77" s="28">
        <f t="shared" si="63"/>
        <v>3928.5304635756925</v>
      </c>
      <c r="Q77" s="28">
        <f t="shared" si="63"/>
        <v>3952.9658063867714</v>
      </c>
      <c r="R77" s="28">
        <f t="shared" si="63"/>
        <v>4261.4517586990605</v>
      </c>
      <c r="S77" s="28">
        <f t="shared" si="63"/>
        <v>4619.7300549213533</v>
      </c>
      <c r="T77" s="28">
        <f t="shared" si="63"/>
        <v>4674.1212456917356</v>
      </c>
      <c r="U77" s="28">
        <f t="shared" si="63"/>
        <v>4894.9226389032356</v>
      </c>
      <c r="V77" s="28">
        <f t="shared" si="63"/>
        <v>4814.6083923859314</v>
      </c>
      <c r="W77" s="28">
        <f t="shared" si="63"/>
        <v>5268.257405559104</v>
      </c>
      <c r="X77" s="28">
        <f t="shared" si="63"/>
        <v>5839.2475947549619</v>
      </c>
      <c r="Y77" s="28">
        <f t="shared" si="63"/>
        <v>5922.5132220729356</v>
      </c>
      <c r="DA77" s="173"/>
    </row>
    <row r="78" spans="1:105" ht="11.45" customHeight="1" x14ac:dyDescent="0.25">
      <c r="A78" s="136" t="str">
        <f>$A$18</f>
        <v>Road transport</v>
      </c>
      <c r="B78" s="137">
        <f t="shared" ref="B78:Q78" si="64">B79+B80</f>
        <v>2836.5793914547135</v>
      </c>
      <c r="C78" s="137">
        <f t="shared" si="64"/>
        <v>3654.4695561710864</v>
      </c>
      <c r="D78" s="137">
        <f t="shared" si="64"/>
        <v>3934.5365856012222</v>
      </c>
      <c r="E78" s="137">
        <f t="shared" si="64"/>
        <v>4355.3557610668267</v>
      </c>
      <c r="F78" s="137">
        <f t="shared" si="64"/>
        <v>4130.8926179680075</v>
      </c>
      <c r="G78" s="137">
        <f t="shared" si="64"/>
        <v>3762.067453078454</v>
      </c>
      <c r="H78" s="137">
        <f t="shared" si="64"/>
        <v>4356.977494320523</v>
      </c>
      <c r="I78" s="137">
        <f t="shared" si="64"/>
        <v>3891.0497682833079</v>
      </c>
      <c r="J78" s="137">
        <f t="shared" si="64"/>
        <v>4143.029662885474</v>
      </c>
      <c r="K78" s="137">
        <f t="shared" si="64"/>
        <v>4074.6872521265532</v>
      </c>
      <c r="L78" s="137">
        <f t="shared" si="64"/>
        <v>3483.0047962617164</v>
      </c>
      <c r="M78" s="137">
        <f t="shared" si="64"/>
        <v>3618.3660640440939</v>
      </c>
      <c r="N78" s="137">
        <f t="shared" si="64"/>
        <v>3630.6165418338787</v>
      </c>
      <c r="O78" s="137">
        <f t="shared" si="64"/>
        <v>3668.103124348946</v>
      </c>
      <c r="P78" s="137">
        <f t="shared" si="64"/>
        <v>3726.4003795224367</v>
      </c>
      <c r="Q78" s="137">
        <f t="shared" si="64"/>
        <v>3696.6506129309619</v>
      </c>
      <c r="R78" s="137">
        <f t="shared" ref="R78:V78" si="65">R79+R80</f>
        <v>4015.3831688931577</v>
      </c>
      <c r="S78" s="137">
        <f t="shared" si="65"/>
        <v>4385.114823161045</v>
      </c>
      <c r="T78" s="137">
        <f t="shared" si="65"/>
        <v>4450.9066072650648</v>
      </c>
      <c r="U78" s="137">
        <f t="shared" si="65"/>
        <v>4638.5600033596356</v>
      </c>
      <c r="V78" s="137">
        <f t="shared" si="65"/>
        <v>4596.3514261640858</v>
      </c>
      <c r="W78" s="137">
        <f t="shared" ref="W78:Y78" si="66">W79+W80</f>
        <v>4953.7597148265331</v>
      </c>
      <c r="X78" s="137">
        <f t="shared" si="66"/>
        <v>5542.5748804316954</v>
      </c>
      <c r="Y78" s="137">
        <f t="shared" si="66"/>
        <v>5667.4904661089786</v>
      </c>
      <c r="DA78" s="174" t="s">
        <v>411</v>
      </c>
    </row>
    <row r="79" spans="1:105" ht="11.45" customHeight="1" x14ac:dyDescent="0.25">
      <c r="A79" s="128" t="str">
        <f>$A$19</f>
        <v>Light commercial vehicles</v>
      </c>
      <c r="B79" s="102">
        <f>TrRoad_emi!B$34</f>
        <v>1240.446433254725</v>
      </c>
      <c r="C79" s="102">
        <f>TrRoad_emi!C$34</f>
        <v>1302.0798553928471</v>
      </c>
      <c r="D79" s="102">
        <f>TrRoad_emi!D$34</f>
        <v>1329.9637028964214</v>
      </c>
      <c r="E79" s="102">
        <f>TrRoad_emi!E$34</f>
        <v>1375.6661081211207</v>
      </c>
      <c r="F79" s="102">
        <f>TrRoad_emi!F$34</f>
        <v>1389.8566065097816</v>
      </c>
      <c r="G79" s="102">
        <f>TrRoad_emi!G$34</f>
        <v>1457.3709276395807</v>
      </c>
      <c r="H79" s="102">
        <f>TrRoad_emi!H$34</f>
        <v>1614.3148613724829</v>
      </c>
      <c r="I79" s="102">
        <f>TrRoad_emi!I$34</f>
        <v>1636.5770936883277</v>
      </c>
      <c r="J79" s="102">
        <f>TrRoad_emi!J$34</f>
        <v>1846.6263784330388</v>
      </c>
      <c r="K79" s="102">
        <f>TrRoad_emi!K$34</f>
        <v>1872.3070284515086</v>
      </c>
      <c r="L79" s="102">
        <f>TrRoad_emi!L$34</f>
        <v>1883.8679142954829</v>
      </c>
      <c r="M79" s="102">
        <f>TrRoad_emi!M$34</f>
        <v>1961.5133886847673</v>
      </c>
      <c r="N79" s="102">
        <f>TrRoad_emi!N$34</f>
        <v>2104.4998128098473</v>
      </c>
      <c r="O79" s="102">
        <f>TrRoad_emi!O$34</f>
        <v>2154.2300500868469</v>
      </c>
      <c r="P79" s="102">
        <f>TrRoad_emi!P$34</f>
        <v>2321.81516442169</v>
      </c>
      <c r="Q79" s="102">
        <f>TrRoad_emi!Q$34</f>
        <v>2403.1530330069418</v>
      </c>
      <c r="R79" s="102">
        <f>TrRoad_emi!R$34</f>
        <v>2478.915585244029</v>
      </c>
      <c r="S79" s="102">
        <f>TrRoad_emi!S$34</f>
        <v>2621.5676366527109</v>
      </c>
      <c r="T79" s="102">
        <f>TrRoad_emi!T$34</f>
        <v>2790.7461630280613</v>
      </c>
      <c r="U79" s="102">
        <f>TrRoad_emi!U$34</f>
        <v>2852.4478958456116</v>
      </c>
      <c r="V79" s="102">
        <f>TrRoad_emi!V$34</f>
        <v>2902.8482528585428</v>
      </c>
      <c r="W79" s="102">
        <f>TrRoad_emi!W$34</f>
        <v>3045.5508183289853</v>
      </c>
      <c r="X79" s="102">
        <f>TrRoad_emi!X$34</f>
        <v>3151.6592129007581</v>
      </c>
      <c r="Y79" s="102">
        <f>TrRoad_emi!Y$34</f>
        <v>3197.0821308780855</v>
      </c>
      <c r="DA79" s="175" t="s">
        <v>412</v>
      </c>
    </row>
    <row r="80" spans="1:105" ht="11.45" customHeight="1" x14ac:dyDescent="0.25">
      <c r="A80" s="128" t="str">
        <f>$A$20</f>
        <v>Heavy goods vehicles</v>
      </c>
      <c r="B80" s="102">
        <f>TrRoad_emi!B$40</f>
        <v>1596.1329581999885</v>
      </c>
      <c r="C80" s="102">
        <f>TrRoad_emi!C$40</f>
        <v>2352.3897007782393</v>
      </c>
      <c r="D80" s="102">
        <f>TrRoad_emi!D$40</f>
        <v>2604.572882704801</v>
      </c>
      <c r="E80" s="102">
        <f>TrRoad_emi!E$40</f>
        <v>2979.6896529457058</v>
      </c>
      <c r="F80" s="102">
        <f>TrRoad_emi!F$40</f>
        <v>2741.0360114582263</v>
      </c>
      <c r="G80" s="102">
        <f>TrRoad_emi!G$40</f>
        <v>2304.6965254388733</v>
      </c>
      <c r="H80" s="102">
        <f>TrRoad_emi!H$40</f>
        <v>2742.6626329480405</v>
      </c>
      <c r="I80" s="102">
        <f>TrRoad_emi!I$40</f>
        <v>2254.4726745949802</v>
      </c>
      <c r="J80" s="102">
        <f>TrRoad_emi!J$40</f>
        <v>2296.4032844524349</v>
      </c>
      <c r="K80" s="102">
        <f>TrRoad_emi!K$40</f>
        <v>2202.3802236750448</v>
      </c>
      <c r="L80" s="102">
        <f>TrRoad_emi!L$40</f>
        <v>1599.1368819662332</v>
      </c>
      <c r="M80" s="102">
        <f>TrRoad_emi!M$40</f>
        <v>1656.8526753593269</v>
      </c>
      <c r="N80" s="102">
        <f>TrRoad_emi!N$40</f>
        <v>1526.1167290240314</v>
      </c>
      <c r="O80" s="102">
        <f>TrRoad_emi!O$40</f>
        <v>1513.8730742620994</v>
      </c>
      <c r="P80" s="102">
        <f>TrRoad_emi!P$40</f>
        <v>1404.5852151007466</v>
      </c>
      <c r="Q80" s="102">
        <f>TrRoad_emi!Q$40</f>
        <v>1293.4975799240199</v>
      </c>
      <c r="R80" s="102">
        <f>TrRoad_emi!R$40</f>
        <v>1536.4675836491288</v>
      </c>
      <c r="S80" s="102">
        <f>TrRoad_emi!S$40</f>
        <v>1763.5471865083341</v>
      </c>
      <c r="T80" s="102">
        <f>TrRoad_emi!T$40</f>
        <v>1660.1604442370035</v>
      </c>
      <c r="U80" s="102">
        <f>TrRoad_emi!U$40</f>
        <v>1786.112107514024</v>
      </c>
      <c r="V80" s="102">
        <f>TrRoad_emi!V$40</f>
        <v>1693.503173305543</v>
      </c>
      <c r="W80" s="102">
        <f>TrRoad_emi!W$40</f>
        <v>1908.208896497548</v>
      </c>
      <c r="X80" s="102">
        <f>TrRoad_emi!X$40</f>
        <v>2390.9156675309368</v>
      </c>
      <c r="Y80" s="102">
        <f>TrRoad_emi!Y$40</f>
        <v>2470.4083352308926</v>
      </c>
      <c r="DA80" s="175" t="s">
        <v>413</v>
      </c>
    </row>
    <row r="81" spans="1:105" ht="11.45" customHeight="1" x14ac:dyDescent="0.25">
      <c r="A81" s="109" t="str">
        <f>$A$21</f>
        <v>Rail transport</v>
      </c>
      <c r="B81" s="110">
        <f>TrRail_emi!B$15</f>
        <v>246.41113587145688</v>
      </c>
      <c r="C81" s="110">
        <f>TrRail_emi!C$15</f>
        <v>152.611422299672</v>
      </c>
      <c r="D81" s="110">
        <f>TrRail_emi!D$15</f>
        <v>208.42001254448158</v>
      </c>
      <c r="E81" s="110">
        <f>TrRail_emi!E$15</f>
        <v>127.25987177029481</v>
      </c>
      <c r="F81" s="110">
        <f>TrRail_emi!F$15</f>
        <v>158.17413016232138</v>
      </c>
      <c r="G81" s="110">
        <f>TrRail_emi!G$15</f>
        <v>81.312117919434826</v>
      </c>
      <c r="H81" s="110">
        <f>TrRail_emi!H$15</f>
        <v>85.468862844121077</v>
      </c>
      <c r="I81" s="110">
        <f>TrRail_emi!I$15</f>
        <v>168.89679160202925</v>
      </c>
      <c r="J81" s="110">
        <f>TrRail_emi!J$15</f>
        <v>150.29968629855455</v>
      </c>
      <c r="K81" s="110">
        <f>TrRail_emi!K$15</f>
        <v>89.690803828082338</v>
      </c>
      <c r="L81" s="110">
        <f>TrRail_emi!L$15</f>
        <v>107.39748305535905</v>
      </c>
      <c r="M81" s="110">
        <f>TrRail_emi!M$15</f>
        <v>160.48895490036114</v>
      </c>
      <c r="N81" s="110">
        <f>TrRail_emi!N$15</f>
        <v>140.11885401030577</v>
      </c>
      <c r="O81" s="110">
        <f>TrRail_emi!O$15</f>
        <v>128.08505331170494</v>
      </c>
      <c r="P81" s="110">
        <f>TrRail_emi!P$15</f>
        <v>79.56373973754782</v>
      </c>
      <c r="Q81" s="110">
        <f>TrRail_emi!Q$15</f>
        <v>114.69842856211287</v>
      </c>
      <c r="R81" s="110">
        <f>TrRail_emi!R$15</f>
        <v>113.49580822089759</v>
      </c>
      <c r="S81" s="110">
        <f>TrRail_emi!S$15</f>
        <v>100.63907414107572</v>
      </c>
      <c r="T81" s="110">
        <f>TrRail_emi!T$15</f>
        <v>94.701180044386547</v>
      </c>
      <c r="U81" s="110">
        <f>TrRail_emi!U$15</f>
        <v>118.46135994049779</v>
      </c>
      <c r="V81" s="110">
        <f>TrRail_emi!V$15</f>
        <v>85.994963457472167</v>
      </c>
      <c r="W81" s="110">
        <f>TrRail_emi!W$15</f>
        <v>151.31034503678501</v>
      </c>
      <c r="X81" s="110">
        <f>TrRail_emi!X$15</f>
        <v>153.07618275304847</v>
      </c>
      <c r="Y81" s="110">
        <f>TrRail_emi!Y$15</f>
        <v>105.81362819236224</v>
      </c>
      <c r="DA81" s="176" t="s">
        <v>414</v>
      </c>
    </row>
    <row r="82" spans="1:105" ht="11.45" customHeight="1" x14ac:dyDescent="0.25">
      <c r="A82" s="109" t="str">
        <f>$A$22</f>
        <v>Aviation</v>
      </c>
      <c r="B82" s="110">
        <f t="shared" ref="B82:V82" si="67">B83+B84+B85</f>
        <v>6.0522748285273753</v>
      </c>
      <c r="C82" s="110">
        <f t="shared" si="67"/>
        <v>5.2223153745740216</v>
      </c>
      <c r="D82" s="110">
        <f t="shared" si="67"/>
        <v>4.9307832470716946</v>
      </c>
      <c r="E82" s="110">
        <f t="shared" si="67"/>
        <v>4.8540544646647552</v>
      </c>
      <c r="F82" s="110">
        <f t="shared" si="67"/>
        <v>5.423171757716224</v>
      </c>
      <c r="G82" s="110">
        <f t="shared" si="67"/>
        <v>3.3584621174194047</v>
      </c>
      <c r="H82" s="110">
        <f t="shared" si="67"/>
        <v>3.7008189185977094</v>
      </c>
      <c r="I82" s="110">
        <f t="shared" si="67"/>
        <v>3.4814244372294882</v>
      </c>
      <c r="J82" s="110">
        <f t="shared" si="67"/>
        <v>3.9469674401914063</v>
      </c>
      <c r="K82" s="110">
        <f t="shared" si="67"/>
        <v>4.4710387722527454</v>
      </c>
      <c r="L82" s="110">
        <f t="shared" si="67"/>
        <v>5.2298482796281363</v>
      </c>
      <c r="M82" s="110">
        <f t="shared" si="67"/>
        <v>5.3433677342048291</v>
      </c>
      <c r="N82" s="110">
        <f t="shared" si="67"/>
        <v>5.3682025865353236</v>
      </c>
      <c r="O82" s="110">
        <f t="shared" si="67"/>
        <v>6.4936430537587588</v>
      </c>
      <c r="P82" s="110">
        <f t="shared" si="67"/>
        <v>6.2221714357083098</v>
      </c>
      <c r="Q82" s="110">
        <f t="shared" si="67"/>
        <v>6.4059910136966254</v>
      </c>
      <c r="R82" s="110">
        <f t="shared" si="67"/>
        <v>6.7954415850051406</v>
      </c>
      <c r="S82" s="110">
        <f t="shared" si="67"/>
        <v>8.6611126992317846</v>
      </c>
      <c r="T82" s="110">
        <f t="shared" si="67"/>
        <v>3.3272585422846048</v>
      </c>
      <c r="U82" s="110">
        <f t="shared" si="67"/>
        <v>2.671295003102097</v>
      </c>
      <c r="V82" s="110">
        <f t="shared" si="67"/>
        <v>2.393898164373033</v>
      </c>
      <c r="W82" s="110">
        <f t="shared" ref="W82:Y82" si="68">W83+W84+W85</f>
        <v>3.0803945357858358</v>
      </c>
      <c r="X82" s="110">
        <f t="shared" si="68"/>
        <v>3.3189182502177532</v>
      </c>
      <c r="Y82" s="110">
        <f t="shared" si="68"/>
        <v>2.676525971594534</v>
      </c>
      <c r="DA82" s="176" t="s">
        <v>331</v>
      </c>
    </row>
    <row r="83" spans="1:105" ht="11.45" customHeight="1" x14ac:dyDescent="0.25">
      <c r="A83" s="128" t="s">
        <v>27</v>
      </c>
      <c r="B83" s="102">
        <f>TrAvia_emi!B$11</f>
        <v>0.21902354940791752</v>
      </c>
      <c r="C83" s="102">
        <f>TrAvia_emi!C$11</f>
        <v>0.1873498277680905</v>
      </c>
      <c r="D83" s="102">
        <f>TrAvia_emi!D$11</f>
        <v>0.16630014691876796</v>
      </c>
      <c r="E83" s="102">
        <f>TrAvia_emi!E$11</f>
        <v>0.16140579536334279</v>
      </c>
      <c r="F83" s="102">
        <f>TrAvia_emi!F$11</f>
        <v>0.19272976216283652</v>
      </c>
      <c r="G83" s="102">
        <f>TrAvia_emi!G$11</f>
        <v>7.413983123722856E-2</v>
      </c>
      <c r="H83" s="102">
        <f>TrAvia_emi!H$11</f>
        <v>3.1462511206981396E-2</v>
      </c>
      <c r="I83" s="102">
        <f>TrAvia_emi!I$11</f>
        <v>1.1260559486055055</v>
      </c>
      <c r="J83" s="102">
        <f>TrAvia_emi!J$11</f>
        <v>0.61666673345575995</v>
      </c>
      <c r="K83" s="102">
        <f>TrAvia_emi!K$11</f>
        <v>0.44688692724482737</v>
      </c>
      <c r="L83" s="102">
        <f>TrAvia_emi!L$11</f>
        <v>0.39105665353571012</v>
      </c>
      <c r="M83" s="102">
        <f>TrAvia_emi!M$11</f>
        <v>0.18349568995554741</v>
      </c>
      <c r="N83" s="102">
        <f>TrAvia_emi!N$11</f>
        <v>6.8290184222400949E-2</v>
      </c>
      <c r="O83" s="102">
        <f>TrAvia_emi!O$11</f>
        <v>5.7078199164600052E-2</v>
      </c>
      <c r="P83" s="102">
        <f>TrAvia_emi!P$11</f>
        <v>2.0145739661421382E-2</v>
      </c>
      <c r="Q83" s="102">
        <f>TrAvia_emi!Q$11</f>
        <v>1.8451569667865288E-2</v>
      </c>
      <c r="R83" s="102">
        <f>TrAvia_emi!R$11</f>
        <v>2.3579339746062775E-2</v>
      </c>
      <c r="S83" s="102">
        <f>TrAvia_emi!S$11</f>
        <v>0.12311076950862708</v>
      </c>
      <c r="T83" s="102">
        <f>TrAvia_emi!T$11</f>
        <v>0.23387225831273567</v>
      </c>
      <c r="U83" s="102">
        <f>TrAvia_emi!U$11</f>
        <v>0.42063909299668223</v>
      </c>
      <c r="V83" s="102">
        <f>TrAvia_emi!V$11</f>
        <v>0.71959291712103091</v>
      </c>
      <c r="W83" s="102">
        <f>TrAvia_emi!W$11</f>
        <v>1.0038622851515588</v>
      </c>
      <c r="X83" s="102">
        <f>TrAvia_emi!X$11</f>
        <v>1.3492638496868259</v>
      </c>
      <c r="Y83" s="102">
        <f>TrAvia_emi!Y$11</f>
        <v>0.88735692795207033</v>
      </c>
      <c r="DA83" s="175" t="s">
        <v>332</v>
      </c>
    </row>
    <row r="84" spans="1:105" ht="11.45" customHeight="1" x14ac:dyDescent="0.25">
      <c r="A84" s="128" t="str">
        <f>$A$24</f>
        <v>International - Intra-EEAwCHUK</v>
      </c>
      <c r="B84" s="102">
        <f>TrAvia_emi!B$12</f>
        <v>4.8480623983436866</v>
      </c>
      <c r="C84" s="102">
        <f>TrAvia_emi!C$12</f>
        <v>4.0812490473257732</v>
      </c>
      <c r="D84" s="102">
        <f>TrAvia_emi!D$12</f>
        <v>3.7830033862826946</v>
      </c>
      <c r="E84" s="102">
        <f>TrAvia_emi!E$12</f>
        <v>3.6484940446964993</v>
      </c>
      <c r="F84" s="102">
        <f>TrAvia_emi!F$12</f>
        <v>4.1874137812442296</v>
      </c>
      <c r="G84" s="102">
        <f>TrAvia_emi!G$12</f>
        <v>2.9436373738317352</v>
      </c>
      <c r="H84" s="102">
        <f>TrAvia_emi!H$12</f>
        <v>3.2890412429868805</v>
      </c>
      <c r="I84" s="102">
        <f>TrAvia_emi!I$12</f>
        <v>1.9811791257555755</v>
      </c>
      <c r="J84" s="102">
        <f>TrAvia_emi!J$12</f>
        <v>2.7765916779736033</v>
      </c>
      <c r="K84" s="102">
        <f>TrAvia_emi!K$12</f>
        <v>3.5477813245849421</v>
      </c>
      <c r="L84" s="102">
        <f>TrAvia_emi!L$12</f>
        <v>4.2436938170588636</v>
      </c>
      <c r="M84" s="102">
        <f>TrAvia_emi!M$12</f>
        <v>4.1736388070450712</v>
      </c>
      <c r="N84" s="102">
        <f>TrAvia_emi!N$12</f>
        <v>3.6142256038349783</v>
      </c>
      <c r="O84" s="102">
        <f>TrAvia_emi!O$12</f>
        <v>4.586073947628301</v>
      </c>
      <c r="P84" s="102">
        <f>TrAvia_emi!P$12</f>
        <v>5.4057448266926409</v>
      </c>
      <c r="Q84" s="102">
        <f>TrAvia_emi!Q$12</f>
        <v>5.815264925050835</v>
      </c>
      <c r="R84" s="102">
        <f>TrAvia_emi!R$12</f>
        <v>6.3776958219924484</v>
      </c>
      <c r="S84" s="102">
        <f>TrAvia_emi!S$12</f>
        <v>8.2006898560972452</v>
      </c>
      <c r="T84" s="102">
        <f>TrAvia_emi!T$12</f>
        <v>3.0079494807892311</v>
      </c>
      <c r="U84" s="102">
        <f>TrAvia_emi!U$12</f>
        <v>2.1194870899420661</v>
      </c>
      <c r="V84" s="102">
        <f>TrAvia_emi!V$12</f>
        <v>1.5220066718433398</v>
      </c>
      <c r="W84" s="102">
        <f>TrAvia_emi!W$12</f>
        <v>1.9280627832110335</v>
      </c>
      <c r="X84" s="102">
        <f>TrAvia_emi!X$12</f>
        <v>1.8414656781220622</v>
      </c>
      <c r="Y84" s="102">
        <f>TrAvia_emi!Y$12</f>
        <v>1.6962991397211284</v>
      </c>
      <c r="DA84" s="175" t="s">
        <v>333</v>
      </c>
    </row>
    <row r="85" spans="1:105" ht="11.45" customHeight="1" x14ac:dyDescent="0.25">
      <c r="A85" s="128" t="str">
        <f>$A$25</f>
        <v>International - Extra-EEAwCHUK</v>
      </c>
      <c r="B85" s="102">
        <f>TrAvia_emi!B$13</f>
        <v>0.98518888077577171</v>
      </c>
      <c r="C85" s="102">
        <f>TrAvia_emi!C$13</f>
        <v>0.9537164994801578</v>
      </c>
      <c r="D85" s="102">
        <f>TrAvia_emi!D$13</f>
        <v>0.98147971387023192</v>
      </c>
      <c r="E85" s="102">
        <f>TrAvia_emi!E$13</f>
        <v>1.0441546246049132</v>
      </c>
      <c r="F85" s="102">
        <f>TrAvia_emi!F$13</f>
        <v>1.0430282143091578</v>
      </c>
      <c r="G85" s="102">
        <f>TrAvia_emi!G$13</f>
        <v>0.3406849123504409</v>
      </c>
      <c r="H85" s="102">
        <f>TrAvia_emi!H$13</f>
        <v>0.38031516440384727</v>
      </c>
      <c r="I85" s="102">
        <f>TrAvia_emi!I$13</f>
        <v>0.37418936286840737</v>
      </c>
      <c r="J85" s="102">
        <f>TrAvia_emi!J$13</f>
        <v>0.55370902876204287</v>
      </c>
      <c r="K85" s="102">
        <f>TrAvia_emi!K$13</f>
        <v>0.47637052042297573</v>
      </c>
      <c r="L85" s="102">
        <f>TrAvia_emi!L$13</f>
        <v>0.59509780903356269</v>
      </c>
      <c r="M85" s="102">
        <f>TrAvia_emi!M$13</f>
        <v>0.98623323720421052</v>
      </c>
      <c r="N85" s="102">
        <f>TrAvia_emi!N$13</f>
        <v>1.6856867984779442</v>
      </c>
      <c r="O85" s="102">
        <f>TrAvia_emi!O$13</f>
        <v>1.8504909069658577</v>
      </c>
      <c r="P85" s="102">
        <f>TrAvia_emi!P$13</f>
        <v>0.79628086935424791</v>
      </c>
      <c r="Q85" s="102">
        <f>TrAvia_emi!Q$13</f>
        <v>0.57227451897792492</v>
      </c>
      <c r="R85" s="102">
        <f>TrAvia_emi!R$13</f>
        <v>0.3941664232666291</v>
      </c>
      <c r="S85" s="102">
        <f>TrAvia_emi!S$13</f>
        <v>0.33731207362591387</v>
      </c>
      <c r="T85" s="102">
        <f>TrAvia_emi!T$13</f>
        <v>8.5436803182638424E-2</v>
      </c>
      <c r="U85" s="102">
        <f>TrAvia_emi!U$13</f>
        <v>0.13116882016334855</v>
      </c>
      <c r="V85" s="102">
        <f>TrAvia_emi!V$13</f>
        <v>0.15229857540866243</v>
      </c>
      <c r="W85" s="102">
        <f>TrAvia_emi!W$13</f>
        <v>0.14846946742324302</v>
      </c>
      <c r="X85" s="102">
        <f>TrAvia_emi!X$13</f>
        <v>0.12818872240886509</v>
      </c>
      <c r="Y85" s="102">
        <f>TrAvia_emi!Y$13</f>
        <v>9.2869903921335109E-2</v>
      </c>
      <c r="DA85" s="175" t="s">
        <v>334</v>
      </c>
    </row>
    <row r="86" spans="1:105" ht="11.45" customHeight="1" x14ac:dyDescent="0.25">
      <c r="A86" s="109" t="s">
        <v>141</v>
      </c>
      <c r="B86" s="110">
        <f t="shared" ref="B86:Q86" si="69">B87+B88</f>
        <v>359.61870240000007</v>
      </c>
      <c r="C86" s="110">
        <f t="shared" si="69"/>
        <v>325.97525736000006</v>
      </c>
      <c r="D86" s="110">
        <f t="shared" si="69"/>
        <v>330.11100396000001</v>
      </c>
      <c r="E86" s="110">
        <f t="shared" si="69"/>
        <v>219.65877216000001</v>
      </c>
      <c r="F86" s="110">
        <f t="shared" si="69"/>
        <v>132.5191806</v>
      </c>
      <c r="G86" s="110">
        <f t="shared" si="69"/>
        <v>130.57895736</v>
      </c>
      <c r="H86" s="110">
        <f t="shared" si="69"/>
        <v>127.39250916000003</v>
      </c>
      <c r="I86" s="110">
        <f t="shared" si="69"/>
        <v>264.31383779999999</v>
      </c>
      <c r="J86" s="110">
        <f t="shared" si="69"/>
        <v>241.26533567999996</v>
      </c>
      <c r="K86" s="110">
        <f t="shared" si="69"/>
        <v>172.06019999999998</v>
      </c>
      <c r="L86" s="110">
        <f t="shared" si="69"/>
        <v>184.80545928000001</v>
      </c>
      <c r="M86" s="110">
        <f t="shared" si="69"/>
        <v>162.50138891999998</v>
      </c>
      <c r="N86" s="110">
        <f t="shared" si="69"/>
        <v>132.06620699999999</v>
      </c>
      <c r="O86" s="110">
        <f t="shared" si="69"/>
        <v>128.92190687999999</v>
      </c>
      <c r="P86" s="110">
        <f t="shared" si="69"/>
        <v>116.34417288000003</v>
      </c>
      <c r="Q86" s="110">
        <f t="shared" si="69"/>
        <v>135.21077388</v>
      </c>
      <c r="R86" s="110">
        <f t="shared" ref="R86:V86" si="70">R87+R88</f>
        <v>125.77734000000001</v>
      </c>
      <c r="S86" s="110">
        <f t="shared" si="70"/>
        <v>125.31504492000001</v>
      </c>
      <c r="T86" s="110">
        <f t="shared" si="70"/>
        <v>125.18619984</v>
      </c>
      <c r="U86" s="110">
        <f t="shared" si="70"/>
        <v>135.2299806</v>
      </c>
      <c r="V86" s="110">
        <f t="shared" si="70"/>
        <v>129.86810459999998</v>
      </c>
      <c r="W86" s="110">
        <f t="shared" ref="W86:Y86" si="71">W87+W88</f>
        <v>160.10695115999999</v>
      </c>
      <c r="X86" s="110">
        <f t="shared" si="71"/>
        <v>140.27761332000003</v>
      </c>
      <c r="Y86" s="110">
        <f t="shared" si="71"/>
        <v>146.53260179999998</v>
      </c>
      <c r="DA86" s="176" t="s">
        <v>996</v>
      </c>
    </row>
    <row r="87" spans="1:105" ht="11.45" customHeight="1" x14ac:dyDescent="0.25">
      <c r="A87" s="128" t="str">
        <f>$A$27</f>
        <v>Domestic coastal shipping</v>
      </c>
      <c r="B87" s="102">
        <f>TrNavi_emi!B$4</f>
        <v>0</v>
      </c>
      <c r="C87" s="102">
        <f>TrNavi_emi!C$4</f>
        <v>0</v>
      </c>
      <c r="D87" s="102">
        <f>TrNavi_emi!D$4</f>
        <v>0</v>
      </c>
      <c r="E87" s="102">
        <f>TrNavi_emi!E$4</f>
        <v>0</v>
      </c>
      <c r="F87" s="102">
        <f>TrNavi_emi!F$4</f>
        <v>0</v>
      </c>
      <c r="G87" s="102">
        <f>TrNavi_emi!G$4</f>
        <v>0</v>
      </c>
      <c r="H87" s="102">
        <f>TrNavi_emi!H$4</f>
        <v>0</v>
      </c>
      <c r="I87" s="102">
        <f>TrNavi_emi!I$4</f>
        <v>0</v>
      </c>
      <c r="J87" s="102">
        <f>TrNavi_emi!J$4</f>
        <v>0</v>
      </c>
      <c r="K87" s="102">
        <f>TrNavi_emi!K$4</f>
        <v>0</v>
      </c>
      <c r="L87" s="102">
        <f>TrNavi_emi!L$4</f>
        <v>0</v>
      </c>
      <c r="M87" s="102">
        <f>TrNavi_emi!M$4</f>
        <v>0</v>
      </c>
      <c r="N87" s="102">
        <f>TrNavi_emi!N$4</f>
        <v>0</v>
      </c>
      <c r="O87" s="102">
        <f>TrNavi_emi!O$4</f>
        <v>0</v>
      </c>
      <c r="P87" s="102">
        <f>TrNavi_emi!P$4</f>
        <v>0</v>
      </c>
      <c r="Q87" s="102">
        <f>TrNavi_emi!Q$4</f>
        <v>0</v>
      </c>
      <c r="R87" s="102">
        <f>TrNavi_emi!R$4</f>
        <v>0</v>
      </c>
      <c r="S87" s="102">
        <f>TrNavi_emi!S$4</f>
        <v>0</v>
      </c>
      <c r="T87" s="102">
        <f>TrNavi_emi!T$4</f>
        <v>0</v>
      </c>
      <c r="U87" s="102">
        <f>TrNavi_emi!U$4</f>
        <v>0</v>
      </c>
      <c r="V87" s="102">
        <f>TrNavi_emi!V$4</f>
        <v>0</v>
      </c>
      <c r="W87" s="102">
        <f>TrNavi_emi!W$4</f>
        <v>0</v>
      </c>
      <c r="X87" s="102">
        <f>TrNavi_emi!X$4</f>
        <v>0</v>
      </c>
      <c r="Y87" s="102">
        <f>TrNavi_emi!Y$4</f>
        <v>0</v>
      </c>
      <c r="DA87" s="175" t="s">
        <v>997</v>
      </c>
    </row>
    <row r="88" spans="1:105" ht="11.45" customHeight="1" x14ac:dyDescent="0.25">
      <c r="A88" s="166" t="str">
        <f>$A$28</f>
        <v>Inland waterways</v>
      </c>
      <c r="B88" s="169">
        <f>TrNavi_emi!B$5</f>
        <v>359.61870240000007</v>
      </c>
      <c r="C88" s="169">
        <f>TrNavi_emi!C$5</f>
        <v>325.97525736000006</v>
      </c>
      <c r="D88" s="169">
        <f>TrNavi_emi!D$5</f>
        <v>330.11100396000001</v>
      </c>
      <c r="E88" s="169">
        <f>TrNavi_emi!E$5</f>
        <v>219.65877216000001</v>
      </c>
      <c r="F88" s="169">
        <f>TrNavi_emi!F$5</f>
        <v>132.5191806</v>
      </c>
      <c r="G88" s="169">
        <f>TrNavi_emi!G$5</f>
        <v>130.57895736</v>
      </c>
      <c r="H88" s="169">
        <f>TrNavi_emi!H$5</f>
        <v>127.39250916000003</v>
      </c>
      <c r="I88" s="169">
        <f>TrNavi_emi!I$5</f>
        <v>264.31383779999999</v>
      </c>
      <c r="J88" s="169">
        <f>TrNavi_emi!J$5</f>
        <v>241.26533567999996</v>
      </c>
      <c r="K88" s="169">
        <f>TrNavi_emi!K$5</f>
        <v>172.06019999999998</v>
      </c>
      <c r="L88" s="169">
        <f>TrNavi_emi!L$5</f>
        <v>184.80545928000001</v>
      </c>
      <c r="M88" s="169">
        <f>TrNavi_emi!M$5</f>
        <v>162.50138891999998</v>
      </c>
      <c r="N88" s="169">
        <f>TrNavi_emi!N$5</f>
        <v>132.06620699999999</v>
      </c>
      <c r="O88" s="169">
        <f>TrNavi_emi!O$5</f>
        <v>128.92190687999999</v>
      </c>
      <c r="P88" s="169">
        <f>TrNavi_emi!P$5</f>
        <v>116.34417288000003</v>
      </c>
      <c r="Q88" s="169">
        <f>TrNavi_emi!Q$5</f>
        <v>135.21077388</v>
      </c>
      <c r="R88" s="169">
        <f>TrNavi_emi!R$5</f>
        <v>125.77734000000001</v>
      </c>
      <c r="S88" s="169">
        <f>TrNavi_emi!S$5</f>
        <v>125.31504492000001</v>
      </c>
      <c r="T88" s="169">
        <f>TrNavi_emi!T$5</f>
        <v>125.18619984</v>
      </c>
      <c r="U88" s="169">
        <f>TrNavi_emi!U$5</f>
        <v>135.2299806</v>
      </c>
      <c r="V88" s="169">
        <f>TrNavi_emi!V$5</f>
        <v>129.86810459999998</v>
      </c>
      <c r="W88" s="169">
        <f>TrNavi_emi!W$5</f>
        <v>160.10695115999999</v>
      </c>
      <c r="X88" s="169">
        <f>TrNavi_emi!X$5</f>
        <v>140.27761332000003</v>
      </c>
      <c r="Y88" s="169">
        <f>TrNavi_emi!Y$5</f>
        <v>146.53260179999998</v>
      </c>
      <c r="DA88" s="177" t="s">
        <v>998</v>
      </c>
    </row>
    <row r="89" spans="1:105" ht="11.45" customHeight="1" x14ac:dyDescent="0.25">
      <c r="A89" s="27" t="s">
        <v>169</v>
      </c>
      <c r="B89" s="28">
        <f t="shared" ref="B89:W89" si="72">B90+B91</f>
        <v>0</v>
      </c>
      <c r="C89" s="28">
        <f t="shared" si="72"/>
        <v>0</v>
      </c>
      <c r="D89" s="28">
        <f t="shared" si="72"/>
        <v>0</v>
      </c>
      <c r="E89" s="28">
        <f t="shared" si="72"/>
        <v>0</v>
      </c>
      <c r="F89" s="28">
        <f t="shared" si="72"/>
        <v>0</v>
      </c>
      <c r="G89" s="28">
        <f t="shared" si="72"/>
        <v>0</v>
      </c>
      <c r="H89" s="28">
        <f t="shared" si="72"/>
        <v>0</v>
      </c>
      <c r="I89" s="28">
        <f t="shared" si="72"/>
        <v>110.08075464000001</v>
      </c>
      <c r="J89" s="28">
        <f t="shared" si="72"/>
        <v>222.53275980000001</v>
      </c>
      <c r="K89" s="28">
        <f t="shared" si="72"/>
        <v>49.837844879999999</v>
      </c>
      <c r="L89" s="28">
        <f t="shared" si="72"/>
        <v>49.809343679999998</v>
      </c>
      <c r="M89" s="28">
        <f t="shared" si="72"/>
        <v>28.6767</v>
      </c>
      <c r="N89" s="28">
        <f t="shared" si="72"/>
        <v>44.022069000000023</v>
      </c>
      <c r="O89" s="28">
        <f t="shared" si="72"/>
        <v>128.92190687999997</v>
      </c>
      <c r="P89" s="28">
        <f t="shared" si="72"/>
        <v>248.41037987999997</v>
      </c>
      <c r="Q89" s="28">
        <f t="shared" si="72"/>
        <v>138.35507399999997</v>
      </c>
      <c r="R89" s="28">
        <f t="shared" si="72"/>
        <v>97.477571879999999</v>
      </c>
      <c r="S89" s="28">
        <f t="shared" si="72"/>
        <v>86.556951000000026</v>
      </c>
      <c r="T89" s="28">
        <f t="shared" si="72"/>
        <v>56.137507920000004</v>
      </c>
      <c r="U89" s="28">
        <f t="shared" si="72"/>
        <v>106.10725787999998</v>
      </c>
      <c r="V89" s="28">
        <f t="shared" si="72"/>
        <v>133.72892208000002</v>
      </c>
      <c r="W89" s="28">
        <f t="shared" si="72"/>
        <v>105.32698487999997</v>
      </c>
      <c r="X89" s="28">
        <f t="shared" ref="X89:Y89" si="73">X90+X91</f>
        <v>53.084439719999992</v>
      </c>
      <c r="Y89" s="28">
        <f t="shared" si="73"/>
        <v>68.191592039999989</v>
      </c>
      <c r="DA89" s="173" t="s">
        <v>959</v>
      </c>
    </row>
    <row r="90" spans="1:105" ht="11.45" customHeight="1" x14ac:dyDescent="0.25">
      <c r="A90" s="128" t="str">
        <f>$A$30</f>
        <v>Intra-EEA</v>
      </c>
      <c r="B90" s="102">
        <f>MBunk_emi!B$4</f>
        <v>0</v>
      </c>
      <c r="C90" s="102">
        <f>MBunk_emi!C$4</f>
        <v>0</v>
      </c>
      <c r="D90" s="102">
        <f>MBunk_emi!D$4</f>
        <v>0</v>
      </c>
      <c r="E90" s="102">
        <f>MBunk_emi!E$4</f>
        <v>0</v>
      </c>
      <c r="F90" s="102">
        <f>MBunk_emi!F$4</f>
        <v>0</v>
      </c>
      <c r="G90" s="102">
        <f>MBunk_emi!G$4</f>
        <v>0</v>
      </c>
      <c r="H90" s="102">
        <f>MBunk_emi!H$4</f>
        <v>0</v>
      </c>
      <c r="I90" s="102">
        <f>MBunk_emi!I$4</f>
        <v>36.776545085897986</v>
      </c>
      <c r="J90" s="102">
        <f>MBunk_emi!J$4</f>
        <v>73.836771104118128</v>
      </c>
      <c r="K90" s="102">
        <f>MBunk_emi!K$4</f>
        <v>26.800819210707395</v>
      </c>
      <c r="L90" s="102">
        <f>MBunk_emi!L$4</f>
        <v>23.70951419962341</v>
      </c>
      <c r="M90" s="102">
        <f>MBunk_emi!M$4</f>
        <v>12.963453502202862</v>
      </c>
      <c r="N90" s="102">
        <f>MBunk_emi!N$4</f>
        <v>17.755034292757529</v>
      </c>
      <c r="O90" s="102">
        <f>MBunk_emi!O$4</f>
        <v>49.512158129150528</v>
      </c>
      <c r="P90" s="102">
        <f>MBunk_emi!P$4</f>
        <v>114.67664251810612</v>
      </c>
      <c r="Q90" s="102">
        <f>MBunk_emi!Q$4</f>
        <v>64.803196726156003</v>
      </c>
      <c r="R90" s="102">
        <f>MBunk_emi!R$4</f>
        <v>46.086976324837146</v>
      </c>
      <c r="S90" s="102">
        <f>MBunk_emi!S$4</f>
        <v>43.723780144717566</v>
      </c>
      <c r="T90" s="102">
        <f>MBunk_emi!T$4</f>
        <v>29.009940625333069</v>
      </c>
      <c r="U90" s="102">
        <f>MBunk_emi!U$4</f>
        <v>49.289441227522573</v>
      </c>
      <c r="V90" s="102">
        <f>MBunk_emi!V$4</f>
        <v>58.598784640154364</v>
      </c>
      <c r="W90" s="102">
        <f>MBunk_emi!W$4</f>
        <v>44.672571873608469</v>
      </c>
      <c r="X90" s="102">
        <f>MBunk_emi!X$4</f>
        <v>25.807849267049825</v>
      </c>
      <c r="Y90" s="102">
        <f>MBunk_emi!Y$4</f>
        <v>33.364961692442222</v>
      </c>
      <c r="DA90" s="175" t="s">
        <v>960</v>
      </c>
    </row>
    <row r="91" spans="1:105" ht="11.45" customHeight="1" x14ac:dyDescent="0.25">
      <c r="A91" s="138" t="str">
        <f>$A$31</f>
        <v>Extra-EEA</v>
      </c>
      <c r="B91" s="86">
        <f>MBunk_emi!B$5</f>
        <v>0</v>
      </c>
      <c r="C91" s="86">
        <f>MBunk_emi!C$5</f>
        <v>0</v>
      </c>
      <c r="D91" s="86">
        <f>MBunk_emi!D$5</f>
        <v>0</v>
      </c>
      <c r="E91" s="86">
        <f>MBunk_emi!E$5</f>
        <v>0</v>
      </c>
      <c r="F91" s="86">
        <f>MBunk_emi!F$5</f>
        <v>0</v>
      </c>
      <c r="G91" s="86">
        <f>MBunk_emi!G$5</f>
        <v>0</v>
      </c>
      <c r="H91" s="86">
        <f>MBunk_emi!H$5</f>
        <v>0</v>
      </c>
      <c r="I91" s="86">
        <f>MBunk_emi!I$5</f>
        <v>73.304209554102016</v>
      </c>
      <c r="J91" s="86">
        <f>MBunk_emi!J$5</f>
        <v>148.69598869588188</v>
      </c>
      <c r="K91" s="86">
        <f>MBunk_emi!K$5</f>
        <v>23.037025669292603</v>
      </c>
      <c r="L91" s="86">
        <f>MBunk_emi!L$5</f>
        <v>26.099829480376588</v>
      </c>
      <c r="M91" s="86">
        <f>MBunk_emi!M$5</f>
        <v>15.713246497797138</v>
      </c>
      <c r="N91" s="86">
        <f>MBunk_emi!N$5</f>
        <v>26.267034707242495</v>
      </c>
      <c r="O91" s="86">
        <f>MBunk_emi!O$5</f>
        <v>79.409748750849445</v>
      </c>
      <c r="P91" s="86">
        <f>MBunk_emi!P$5</f>
        <v>133.73373736189384</v>
      </c>
      <c r="Q91" s="86">
        <f>MBunk_emi!Q$5</f>
        <v>73.551877273843971</v>
      </c>
      <c r="R91" s="86">
        <f>MBunk_emi!R$5</f>
        <v>51.390595555162847</v>
      </c>
      <c r="S91" s="86">
        <f>MBunk_emi!S$5</f>
        <v>42.833170855282454</v>
      </c>
      <c r="T91" s="86">
        <f>MBunk_emi!T$5</f>
        <v>27.127567294666939</v>
      </c>
      <c r="U91" s="86">
        <f>MBunk_emi!U$5</f>
        <v>56.817816652477404</v>
      </c>
      <c r="V91" s="86">
        <f>MBunk_emi!V$5</f>
        <v>75.13013743984564</v>
      </c>
      <c r="W91" s="86">
        <f>MBunk_emi!W$5</f>
        <v>60.654413006391508</v>
      </c>
      <c r="X91" s="86">
        <f>MBunk_emi!X$5</f>
        <v>27.276590452950167</v>
      </c>
      <c r="Y91" s="86">
        <f>MBunk_emi!Y$5</f>
        <v>34.82663034755776</v>
      </c>
      <c r="DA91" s="178" t="s">
        <v>961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DA92" s="171"/>
    </row>
    <row r="93" spans="1:105" ht="11.45" customHeight="1" x14ac:dyDescent="0.25">
      <c r="A93" s="68" t="s">
        <v>36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DA93" s="179"/>
    </row>
    <row r="94" spans="1:105" x14ac:dyDescent="0.25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DA94" s="171"/>
    </row>
    <row r="95" spans="1:105" ht="11.45" customHeight="1" x14ac:dyDescent="0.25">
      <c r="A95" s="53" t="s">
        <v>37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DA95" s="172"/>
    </row>
    <row r="96" spans="1:105" ht="11.45" customHeight="1" x14ac:dyDescent="0.25">
      <c r="A96" s="27" t="s">
        <v>38</v>
      </c>
      <c r="B96" s="31">
        <f t="shared" ref="B96:Y96" si="74">IF(B4=0,0,B4/B$4)</f>
        <v>1</v>
      </c>
      <c r="C96" s="31">
        <f t="shared" si="74"/>
        <v>1</v>
      </c>
      <c r="D96" s="31">
        <f t="shared" si="74"/>
        <v>1</v>
      </c>
      <c r="E96" s="31">
        <f t="shared" si="74"/>
        <v>1</v>
      </c>
      <c r="F96" s="31">
        <f t="shared" si="74"/>
        <v>1</v>
      </c>
      <c r="G96" s="31">
        <f t="shared" si="74"/>
        <v>1</v>
      </c>
      <c r="H96" s="31">
        <f t="shared" si="74"/>
        <v>1</v>
      </c>
      <c r="I96" s="31">
        <f t="shared" si="74"/>
        <v>1</v>
      </c>
      <c r="J96" s="31">
        <f t="shared" si="74"/>
        <v>1</v>
      </c>
      <c r="K96" s="31">
        <f t="shared" si="74"/>
        <v>1</v>
      </c>
      <c r="L96" s="31">
        <f t="shared" si="74"/>
        <v>1</v>
      </c>
      <c r="M96" s="31">
        <f t="shared" si="74"/>
        <v>1</v>
      </c>
      <c r="N96" s="31">
        <f t="shared" si="74"/>
        <v>1</v>
      </c>
      <c r="O96" s="31">
        <f t="shared" si="74"/>
        <v>1</v>
      </c>
      <c r="P96" s="31">
        <f t="shared" si="74"/>
        <v>1</v>
      </c>
      <c r="Q96" s="31">
        <f t="shared" si="74"/>
        <v>1</v>
      </c>
      <c r="R96" s="31">
        <f t="shared" si="74"/>
        <v>1</v>
      </c>
      <c r="S96" s="31">
        <f t="shared" si="74"/>
        <v>1</v>
      </c>
      <c r="T96" s="31">
        <f t="shared" si="74"/>
        <v>1</v>
      </c>
      <c r="U96" s="31">
        <f t="shared" si="74"/>
        <v>1</v>
      </c>
      <c r="V96" s="31">
        <f t="shared" si="74"/>
        <v>1</v>
      </c>
      <c r="W96" s="31">
        <f t="shared" si="74"/>
        <v>1</v>
      </c>
      <c r="X96" s="31">
        <f t="shared" si="74"/>
        <v>1</v>
      </c>
      <c r="Y96" s="31">
        <f t="shared" si="74"/>
        <v>1</v>
      </c>
      <c r="DA96" s="173"/>
    </row>
    <row r="97" spans="1:105" ht="11.45" customHeight="1" x14ac:dyDescent="0.25">
      <c r="A97" s="136" t="str">
        <f>$A$5</f>
        <v>Road transport</v>
      </c>
      <c r="B97" s="139">
        <f t="shared" ref="B97:Y97" si="75">IF(B5=0,0,B5/B$4)</f>
        <v>0.74656714621312359</v>
      </c>
      <c r="C97" s="139">
        <f t="shared" si="75"/>
        <v>0.75789024976422459</v>
      </c>
      <c r="D97" s="139">
        <f t="shared" si="75"/>
        <v>0.78929035273101578</v>
      </c>
      <c r="E97" s="139">
        <f t="shared" si="75"/>
        <v>0.79917456182134061</v>
      </c>
      <c r="F97" s="139">
        <f t="shared" si="75"/>
        <v>0.79444876457764402</v>
      </c>
      <c r="G97" s="139">
        <f t="shared" si="75"/>
        <v>0.80162929100861147</v>
      </c>
      <c r="H97" s="139">
        <f t="shared" si="75"/>
        <v>0.80124001375072174</v>
      </c>
      <c r="I97" s="139">
        <f t="shared" si="75"/>
        <v>0.80477612890854144</v>
      </c>
      <c r="J97" s="139">
        <f t="shared" si="75"/>
        <v>0.82223993046078658</v>
      </c>
      <c r="K97" s="139">
        <f t="shared" si="75"/>
        <v>0.83098945289682558</v>
      </c>
      <c r="L97" s="139">
        <f t="shared" si="75"/>
        <v>0.82860804086376105</v>
      </c>
      <c r="M97" s="139">
        <f t="shared" si="75"/>
        <v>0.82614493214516493</v>
      </c>
      <c r="N97" s="139">
        <f t="shared" si="75"/>
        <v>0.83191506204288812</v>
      </c>
      <c r="O97" s="139">
        <f t="shared" si="75"/>
        <v>0.83315121194330377</v>
      </c>
      <c r="P97" s="139">
        <f t="shared" si="75"/>
        <v>0.83030823991966363</v>
      </c>
      <c r="Q97" s="139">
        <f t="shared" si="75"/>
        <v>0.85505123111424441</v>
      </c>
      <c r="R97" s="139">
        <f t="shared" si="75"/>
        <v>0.84958352137695137</v>
      </c>
      <c r="S97" s="139">
        <f t="shared" si="75"/>
        <v>0.83435018924007465</v>
      </c>
      <c r="T97" s="139">
        <f t="shared" si="75"/>
        <v>0.83537786073659792</v>
      </c>
      <c r="U97" s="139">
        <f t="shared" si="75"/>
        <v>0.83289183119753096</v>
      </c>
      <c r="V97" s="139">
        <f t="shared" si="75"/>
        <v>0.9042433505725429</v>
      </c>
      <c r="W97" s="139">
        <f t="shared" si="75"/>
        <v>0.89133011122172723</v>
      </c>
      <c r="X97" s="139">
        <f t="shared" si="75"/>
        <v>0.84655045367244564</v>
      </c>
      <c r="Y97" s="139">
        <f t="shared" si="75"/>
        <v>0.83909190728930727</v>
      </c>
      <c r="DA97" s="174"/>
    </row>
    <row r="98" spans="1:105" ht="11.45" customHeight="1" x14ac:dyDescent="0.25">
      <c r="A98" s="128" t="str">
        <f>$A$6</f>
        <v>Powered two-wheelers</v>
      </c>
      <c r="B98" s="140">
        <f t="shared" ref="B98:Y98" si="76">IF(B6=0,0,B6/B$4)</f>
        <v>3.5103140625031867E-3</v>
      </c>
      <c r="C98" s="140">
        <f t="shared" si="76"/>
        <v>3.4959036965587676E-3</v>
      </c>
      <c r="D98" s="140">
        <f t="shared" si="76"/>
        <v>3.5402123792728762E-3</v>
      </c>
      <c r="E98" s="140">
        <f t="shared" si="76"/>
        <v>3.3679357964906446E-3</v>
      </c>
      <c r="F98" s="140">
        <f t="shared" si="76"/>
        <v>3.2887114623298664E-3</v>
      </c>
      <c r="G98" s="140">
        <f t="shared" si="76"/>
        <v>3.1070451256968667E-3</v>
      </c>
      <c r="H98" s="140">
        <f t="shared" si="76"/>
        <v>3.2568339930455709E-3</v>
      </c>
      <c r="I98" s="140">
        <f t="shared" si="76"/>
        <v>3.3620961646340167E-3</v>
      </c>
      <c r="J98" s="140">
        <f t="shared" si="76"/>
        <v>3.7462573454511926E-3</v>
      </c>
      <c r="K98" s="140">
        <f t="shared" si="76"/>
        <v>4.0549115820727767E-3</v>
      </c>
      <c r="L98" s="140">
        <f t="shared" si="76"/>
        <v>4.3233512193440564E-3</v>
      </c>
      <c r="M98" s="140">
        <f t="shared" si="76"/>
        <v>4.6123447361258512E-3</v>
      </c>
      <c r="N98" s="140">
        <f t="shared" si="76"/>
        <v>4.6764116862672775E-3</v>
      </c>
      <c r="O98" s="140">
        <f t="shared" si="76"/>
        <v>4.8424105797167799E-3</v>
      </c>
      <c r="P98" s="140">
        <f t="shared" si="76"/>
        <v>4.7863326215900493E-3</v>
      </c>
      <c r="Q98" s="140">
        <f t="shared" si="76"/>
        <v>4.7106939582091207E-3</v>
      </c>
      <c r="R98" s="140">
        <f t="shared" si="76"/>
        <v>4.803873462038615E-3</v>
      </c>
      <c r="S98" s="140">
        <f t="shared" si="76"/>
        <v>4.4622513695351694E-3</v>
      </c>
      <c r="T98" s="140">
        <f t="shared" si="76"/>
        <v>4.0340172218634365E-3</v>
      </c>
      <c r="U98" s="140">
        <f t="shared" si="76"/>
        <v>4.0988894325287234E-3</v>
      </c>
      <c r="V98" s="140">
        <f t="shared" si="76"/>
        <v>4.7183578700456226E-3</v>
      </c>
      <c r="W98" s="140">
        <f t="shared" si="76"/>
        <v>4.5043063990682633E-3</v>
      </c>
      <c r="X98" s="140">
        <f t="shared" si="76"/>
        <v>4.1087300983445986E-3</v>
      </c>
      <c r="Y98" s="140">
        <f t="shared" si="76"/>
        <v>4.1768525177884536E-3</v>
      </c>
      <c r="DA98" s="175"/>
    </row>
    <row r="99" spans="1:105" ht="11.45" customHeight="1" x14ac:dyDescent="0.25">
      <c r="A99" s="128" t="str">
        <f>$A$7</f>
        <v>Passenger cars</v>
      </c>
      <c r="B99" s="140">
        <f t="shared" ref="B99:Y99" si="77">IF(B7=0,0,B7/B$4)</f>
        <v>0.64558600408316247</v>
      </c>
      <c r="C99" s="140">
        <f t="shared" si="77"/>
        <v>0.66482640069414756</v>
      </c>
      <c r="D99" s="140">
        <f t="shared" si="77"/>
        <v>0.69573036186390724</v>
      </c>
      <c r="E99" s="140">
        <f t="shared" si="77"/>
        <v>0.68085205190423348</v>
      </c>
      <c r="F99" s="140">
        <f t="shared" si="77"/>
        <v>0.68043659480839014</v>
      </c>
      <c r="G99" s="140">
        <f t="shared" si="77"/>
        <v>0.66899035858397493</v>
      </c>
      <c r="H99" s="140">
        <f t="shared" si="77"/>
        <v>0.67450018886354646</v>
      </c>
      <c r="I99" s="140">
        <f t="shared" si="77"/>
        <v>0.67911327721971659</v>
      </c>
      <c r="J99" s="140">
        <f t="shared" si="77"/>
        <v>0.63624720438652105</v>
      </c>
      <c r="K99" s="140">
        <f t="shared" si="77"/>
        <v>0.67417024305960438</v>
      </c>
      <c r="L99" s="140">
        <f t="shared" si="77"/>
        <v>0.68154781483434246</v>
      </c>
      <c r="M99" s="140">
        <f t="shared" si="77"/>
        <v>0.68057628695676542</v>
      </c>
      <c r="N99" s="140">
        <f t="shared" si="77"/>
        <v>0.67841750247491139</v>
      </c>
      <c r="O99" s="140">
        <f t="shared" si="77"/>
        <v>0.68310781410373322</v>
      </c>
      <c r="P99" s="140">
        <f t="shared" si="77"/>
        <v>0.67929542155604872</v>
      </c>
      <c r="Q99" s="140">
        <f t="shared" si="77"/>
        <v>0.66605588251732706</v>
      </c>
      <c r="R99" s="140">
        <f t="shared" si="77"/>
        <v>0.66615788163616574</v>
      </c>
      <c r="S99" s="140">
        <f t="shared" si="77"/>
        <v>0.66010129306470311</v>
      </c>
      <c r="T99" s="140">
        <f t="shared" si="77"/>
        <v>0.66112396132778362</v>
      </c>
      <c r="U99" s="140">
        <f t="shared" si="77"/>
        <v>0.66752094048958632</v>
      </c>
      <c r="V99" s="140">
        <f t="shared" si="77"/>
        <v>0.75674559391821727</v>
      </c>
      <c r="W99" s="140">
        <f t="shared" si="77"/>
        <v>0.75100697368393465</v>
      </c>
      <c r="X99" s="140">
        <f t="shared" si="77"/>
        <v>0.71281953272457865</v>
      </c>
      <c r="Y99" s="140">
        <f t="shared" si="77"/>
        <v>0.69722536541886637</v>
      </c>
      <c r="DA99" s="175"/>
    </row>
    <row r="100" spans="1:105" ht="11.45" customHeight="1" x14ac:dyDescent="0.25">
      <c r="A100" s="128" t="str">
        <f>$A$8</f>
        <v>Motor coaches, buses and trolley buses</v>
      </c>
      <c r="B100" s="140">
        <f t="shared" ref="B100:Y100" si="78">IF(B8=0,0,B8/B$4)</f>
        <v>9.7470828067457854E-2</v>
      </c>
      <c r="C100" s="140">
        <f t="shared" si="78"/>
        <v>8.9567945373518199E-2</v>
      </c>
      <c r="D100" s="140">
        <f t="shared" si="78"/>
        <v>9.0019778487835558E-2</v>
      </c>
      <c r="E100" s="140">
        <f t="shared" si="78"/>
        <v>0.11495457412061656</v>
      </c>
      <c r="F100" s="140">
        <f t="shared" si="78"/>
        <v>0.11072345830692393</v>
      </c>
      <c r="G100" s="140">
        <f t="shared" si="78"/>
        <v>0.12953188729893977</v>
      </c>
      <c r="H100" s="140">
        <f t="shared" si="78"/>
        <v>0.12348299089412977</v>
      </c>
      <c r="I100" s="140">
        <f t="shared" si="78"/>
        <v>0.12230075552419074</v>
      </c>
      <c r="J100" s="140">
        <f t="shared" si="78"/>
        <v>0.18224646872881428</v>
      </c>
      <c r="K100" s="140">
        <f t="shared" si="78"/>
        <v>0.15276429825514851</v>
      </c>
      <c r="L100" s="140">
        <f t="shared" si="78"/>
        <v>0.14273687481007447</v>
      </c>
      <c r="M100" s="140">
        <f t="shared" si="78"/>
        <v>0.14095630045227361</v>
      </c>
      <c r="N100" s="140">
        <f t="shared" si="78"/>
        <v>0.14882114788170944</v>
      </c>
      <c r="O100" s="140">
        <f t="shared" si="78"/>
        <v>0.14520098725985381</v>
      </c>
      <c r="P100" s="140">
        <f t="shared" si="78"/>
        <v>0.14622648574202482</v>
      </c>
      <c r="Q100" s="140">
        <f t="shared" si="78"/>
        <v>0.18428465463870822</v>
      </c>
      <c r="R100" s="140">
        <f t="shared" si="78"/>
        <v>0.17862176627874696</v>
      </c>
      <c r="S100" s="140">
        <f t="shared" si="78"/>
        <v>0.16978664480583636</v>
      </c>
      <c r="T100" s="140">
        <f t="shared" si="78"/>
        <v>0.17021988218695089</v>
      </c>
      <c r="U100" s="140">
        <f t="shared" si="78"/>
        <v>0.16127200127541608</v>
      </c>
      <c r="V100" s="140">
        <f t="shared" si="78"/>
        <v>0.14277939878428</v>
      </c>
      <c r="W100" s="140">
        <f t="shared" si="78"/>
        <v>0.13581883113872437</v>
      </c>
      <c r="X100" s="140">
        <f t="shared" si="78"/>
        <v>0.12962219084952245</v>
      </c>
      <c r="Y100" s="140">
        <f t="shared" si="78"/>
        <v>0.13768968935265238</v>
      </c>
      <c r="DA100" s="175"/>
    </row>
    <row r="101" spans="1:105" ht="11.45" customHeight="1" x14ac:dyDescent="0.25">
      <c r="A101" s="109" t="str">
        <f>$A$9</f>
        <v>Rail, metro and tram</v>
      </c>
      <c r="B101" s="124">
        <f t="shared" ref="B101:Y101" si="79">IF(B9=0,0,B9/B$4)</f>
        <v>0.22319553772537887</v>
      </c>
      <c r="C101" s="124">
        <f t="shared" si="79"/>
        <v>0.21483390262430879</v>
      </c>
      <c r="D101" s="124">
        <f t="shared" si="79"/>
        <v>0.18684225384722933</v>
      </c>
      <c r="E101" s="124">
        <f t="shared" si="79"/>
        <v>0.17354693878700336</v>
      </c>
      <c r="F101" s="124">
        <f t="shared" si="79"/>
        <v>0.17398112621819298</v>
      </c>
      <c r="G101" s="124">
        <f t="shared" si="79"/>
        <v>0.15992058789768085</v>
      </c>
      <c r="H101" s="124">
        <f t="shared" si="79"/>
        <v>0.15670291439244827</v>
      </c>
      <c r="I101" s="124">
        <f t="shared" si="79"/>
        <v>0.14463603664163921</v>
      </c>
      <c r="J101" s="124">
        <f t="shared" si="79"/>
        <v>0.12596792168549023</v>
      </c>
      <c r="K101" s="124">
        <f t="shared" si="79"/>
        <v>0.11764493976569917</v>
      </c>
      <c r="L101" s="124">
        <f t="shared" si="79"/>
        <v>0.11352248658449578</v>
      </c>
      <c r="M101" s="124">
        <f t="shared" si="79"/>
        <v>0.11014817984459266</v>
      </c>
      <c r="N101" s="124">
        <f t="shared" si="79"/>
        <v>0.106716700718245</v>
      </c>
      <c r="O101" s="124">
        <f t="shared" si="79"/>
        <v>0.10338594286173262</v>
      </c>
      <c r="P101" s="124">
        <f t="shared" si="79"/>
        <v>0.10346446801834963</v>
      </c>
      <c r="Q101" s="124">
        <f t="shared" si="79"/>
        <v>7.4536512932377619E-2</v>
      </c>
      <c r="R101" s="124">
        <f t="shared" si="79"/>
        <v>7.0080644679879581E-2</v>
      </c>
      <c r="S101" s="124">
        <f t="shared" si="79"/>
        <v>7.3175883791217422E-2</v>
      </c>
      <c r="T101" s="124">
        <f t="shared" si="79"/>
        <v>6.7374865245008644E-2</v>
      </c>
      <c r="U101" s="124">
        <f t="shared" si="79"/>
        <v>6.544874771392345E-2</v>
      </c>
      <c r="V101" s="124">
        <f t="shared" si="79"/>
        <v>5.4632821543472411E-2</v>
      </c>
      <c r="W101" s="124">
        <f t="shared" si="79"/>
        <v>5.1493575869575876E-2</v>
      </c>
      <c r="X101" s="124">
        <f t="shared" si="79"/>
        <v>6.0029319657482871E-2</v>
      </c>
      <c r="Y101" s="124">
        <f t="shared" si="79"/>
        <v>5.9967053242880528E-2</v>
      </c>
      <c r="DA101" s="176"/>
    </row>
    <row r="102" spans="1:105" ht="11.45" customHeight="1" x14ac:dyDescent="0.25">
      <c r="A102" s="128" t="str">
        <f>$A$10</f>
        <v>Metro and tram, urban light rail</v>
      </c>
      <c r="B102" s="140">
        <f t="shared" ref="B102:Y102" si="80">IF(B10=0,0,B10/B$4)</f>
        <v>7.5951294598019123E-2</v>
      </c>
      <c r="C102" s="140">
        <f t="shared" si="80"/>
        <v>7.5980160079331144E-2</v>
      </c>
      <c r="D102" s="140">
        <f t="shared" si="80"/>
        <v>7.7303373540434137E-2</v>
      </c>
      <c r="E102" s="140">
        <f t="shared" si="80"/>
        <v>7.0239797982891358E-2</v>
      </c>
      <c r="F102" s="140">
        <f t="shared" si="80"/>
        <v>7.2643000253453771E-2</v>
      </c>
      <c r="G102" s="140">
        <f t="shared" si="80"/>
        <v>7.234865325353268E-2</v>
      </c>
      <c r="H102" s="140">
        <f t="shared" si="80"/>
        <v>7.155384218833255E-2</v>
      </c>
      <c r="I102" s="140">
        <f t="shared" si="80"/>
        <v>6.9420468338015476E-2</v>
      </c>
      <c r="J102" s="140">
        <f t="shared" si="80"/>
        <v>6.3173481286604924E-2</v>
      </c>
      <c r="K102" s="140">
        <f t="shared" si="80"/>
        <v>6.2925532487960692E-2</v>
      </c>
      <c r="L102" s="140">
        <f t="shared" si="80"/>
        <v>6.444201679304784E-2</v>
      </c>
      <c r="M102" s="140">
        <f t="shared" si="80"/>
        <v>6.4100700148901749E-2</v>
      </c>
      <c r="N102" s="140">
        <f t="shared" si="80"/>
        <v>6.6466924553089474E-2</v>
      </c>
      <c r="O102" s="140">
        <f t="shared" si="80"/>
        <v>6.5891413251428499E-2</v>
      </c>
      <c r="P102" s="140">
        <f t="shared" si="80"/>
        <v>6.3788204696886341E-2</v>
      </c>
      <c r="Q102" s="140">
        <f t="shared" si="80"/>
        <v>3.6374049696040529E-2</v>
      </c>
      <c r="R102" s="140">
        <f t="shared" si="80"/>
        <v>3.5320345194004781E-2</v>
      </c>
      <c r="S102" s="140">
        <f t="shared" si="80"/>
        <v>3.475835366293116E-2</v>
      </c>
      <c r="T102" s="140">
        <f t="shared" si="80"/>
        <v>3.185493341768917E-2</v>
      </c>
      <c r="U102" s="140">
        <f t="shared" si="80"/>
        <v>2.9774353324137769E-2</v>
      </c>
      <c r="V102" s="140">
        <f t="shared" si="80"/>
        <v>2.6232737623325668E-2</v>
      </c>
      <c r="W102" s="140">
        <f t="shared" si="80"/>
        <v>2.2066167394055595E-2</v>
      </c>
      <c r="X102" s="140">
        <f t="shared" si="80"/>
        <v>2.4724219510291485E-2</v>
      </c>
      <c r="Y102" s="140">
        <f t="shared" si="80"/>
        <v>2.5387903675501922E-2</v>
      </c>
      <c r="DA102" s="175"/>
    </row>
    <row r="103" spans="1:105" ht="11.45" customHeight="1" x14ac:dyDescent="0.25">
      <c r="A103" s="128" t="str">
        <f>$A$11</f>
        <v>Conventional passenger trains</v>
      </c>
      <c r="B103" s="140">
        <f t="shared" ref="B103:Y103" si="81">IF(B11=0,0,B11/B$4)</f>
        <v>0.14724424312735973</v>
      </c>
      <c r="C103" s="140">
        <f t="shared" si="81"/>
        <v>0.13885374254497765</v>
      </c>
      <c r="D103" s="140">
        <f t="shared" si="81"/>
        <v>0.10953888030679518</v>
      </c>
      <c r="E103" s="140">
        <f t="shared" si="81"/>
        <v>0.103307140804112</v>
      </c>
      <c r="F103" s="140">
        <f t="shared" si="81"/>
        <v>0.10133812596473922</v>
      </c>
      <c r="G103" s="140">
        <f t="shared" si="81"/>
        <v>8.7571934644148183E-2</v>
      </c>
      <c r="H103" s="140">
        <f t="shared" si="81"/>
        <v>8.5149072204115744E-2</v>
      </c>
      <c r="I103" s="140">
        <f t="shared" si="81"/>
        <v>7.5215568303623734E-2</v>
      </c>
      <c r="J103" s="140">
        <f t="shared" si="81"/>
        <v>6.2794440398885293E-2</v>
      </c>
      <c r="K103" s="140">
        <f t="shared" si="81"/>
        <v>5.4719407277738483E-2</v>
      </c>
      <c r="L103" s="140">
        <f t="shared" si="81"/>
        <v>4.9080469791447943E-2</v>
      </c>
      <c r="M103" s="140">
        <f t="shared" si="81"/>
        <v>4.6047479695690903E-2</v>
      </c>
      <c r="N103" s="140">
        <f t="shared" si="81"/>
        <v>4.0249776165155543E-2</v>
      </c>
      <c r="O103" s="140">
        <f t="shared" si="81"/>
        <v>3.7494529610304132E-2</v>
      </c>
      <c r="P103" s="140">
        <f t="shared" si="81"/>
        <v>3.9676263321463304E-2</v>
      </c>
      <c r="Q103" s="140">
        <f t="shared" si="81"/>
        <v>3.8162463236337082E-2</v>
      </c>
      <c r="R103" s="140">
        <f t="shared" si="81"/>
        <v>3.4760299485874793E-2</v>
      </c>
      <c r="S103" s="140">
        <f t="shared" si="81"/>
        <v>3.8417530128286262E-2</v>
      </c>
      <c r="T103" s="140">
        <f t="shared" si="81"/>
        <v>3.5519931827319474E-2</v>
      </c>
      <c r="U103" s="140">
        <f t="shared" si="81"/>
        <v>3.5674394389785681E-2</v>
      </c>
      <c r="V103" s="140">
        <f t="shared" si="81"/>
        <v>2.840008392014674E-2</v>
      </c>
      <c r="W103" s="140">
        <f t="shared" si="81"/>
        <v>2.9427408475520288E-2</v>
      </c>
      <c r="X103" s="140">
        <f t="shared" si="81"/>
        <v>3.5305100147191383E-2</v>
      </c>
      <c r="Y103" s="140">
        <f t="shared" si="81"/>
        <v>3.4579149567378606E-2</v>
      </c>
      <c r="DA103" s="175"/>
    </row>
    <row r="104" spans="1:105" ht="11.45" customHeight="1" x14ac:dyDescent="0.25">
      <c r="A104" s="128" t="str">
        <f>$A$12</f>
        <v>High speed passenger trains</v>
      </c>
      <c r="B104" s="140">
        <f t="shared" ref="B104:Y104" si="82">IF(B12=0,0,B12/B$4)</f>
        <v>0</v>
      </c>
      <c r="C104" s="140">
        <f t="shared" si="82"/>
        <v>0</v>
      </c>
      <c r="D104" s="140">
        <f t="shared" si="82"/>
        <v>0</v>
      </c>
      <c r="E104" s="140">
        <f t="shared" si="82"/>
        <v>0</v>
      </c>
      <c r="F104" s="140">
        <f t="shared" si="82"/>
        <v>0</v>
      </c>
      <c r="G104" s="140">
        <f t="shared" si="82"/>
        <v>0</v>
      </c>
      <c r="H104" s="140">
        <f t="shared" si="82"/>
        <v>0</v>
      </c>
      <c r="I104" s="140">
        <f t="shared" si="82"/>
        <v>0</v>
      </c>
      <c r="J104" s="140">
        <f t="shared" si="82"/>
        <v>0</v>
      </c>
      <c r="K104" s="140">
        <f t="shared" si="82"/>
        <v>0</v>
      </c>
      <c r="L104" s="140">
        <f t="shared" si="82"/>
        <v>0</v>
      </c>
      <c r="M104" s="140">
        <f t="shared" si="82"/>
        <v>0</v>
      </c>
      <c r="N104" s="140">
        <f t="shared" si="82"/>
        <v>0</v>
      </c>
      <c r="O104" s="140">
        <f t="shared" si="82"/>
        <v>0</v>
      </c>
      <c r="P104" s="140">
        <f t="shared" si="82"/>
        <v>0</v>
      </c>
      <c r="Q104" s="140">
        <f t="shared" si="82"/>
        <v>0</v>
      </c>
      <c r="R104" s="140">
        <f t="shared" si="82"/>
        <v>0</v>
      </c>
      <c r="S104" s="140">
        <f t="shared" si="82"/>
        <v>0</v>
      </c>
      <c r="T104" s="140">
        <f t="shared" si="82"/>
        <v>0</v>
      </c>
      <c r="U104" s="140">
        <f t="shared" si="82"/>
        <v>0</v>
      </c>
      <c r="V104" s="140">
        <f t="shared" si="82"/>
        <v>0</v>
      </c>
      <c r="W104" s="140">
        <f t="shared" si="82"/>
        <v>0</v>
      </c>
      <c r="X104" s="140">
        <f t="shared" si="82"/>
        <v>0</v>
      </c>
      <c r="Y104" s="140">
        <f t="shared" si="82"/>
        <v>0</v>
      </c>
      <c r="DA104" s="175"/>
    </row>
    <row r="105" spans="1:105" ht="11.45" customHeight="1" x14ac:dyDescent="0.25">
      <c r="A105" s="109" t="str">
        <f>$A$13</f>
        <v>Aviation</v>
      </c>
      <c r="B105" s="124">
        <f t="shared" ref="B105:Y105" si="83">IF(B13=0,0,B13/B$4)</f>
        <v>3.0237316061497637E-2</v>
      </c>
      <c r="C105" s="124">
        <f t="shared" si="83"/>
        <v>2.7275847611466713E-2</v>
      </c>
      <c r="D105" s="124">
        <f t="shared" si="83"/>
        <v>2.3867393421755059E-2</v>
      </c>
      <c r="E105" s="124">
        <f t="shared" si="83"/>
        <v>2.7278499391656056E-2</v>
      </c>
      <c r="F105" s="124">
        <f t="shared" si="83"/>
        <v>3.1570109204162922E-2</v>
      </c>
      <c r="G105" s="124">
        <f t="shared" si="83"/>
        <v>3.8450121093707698E-2</v>
      </c>
      <c r="H105" s="124">
        <f t="shared" si="83"/>
        <v>4.2057071856829893E-2</v>
      </c>
      <c r="I105" s="124">
        <f t="shared" si="83"/>
        <v>5.0587834449819374E-2</v>
      </c>
      <c r="J105" s="124">
        <f t="shared" si="83"/>
        <v>5.1792147853723214E-2</v>
      </c>
      <c r="K105" s="124">
        <f t="shared" si="83"/>
        <v>5.1365607337475173E-2</v>
      </c>
      <c r="L105" s="124">
        <f t="shared" si="83"/>
        <v>5.7869472551743267E-2</v>
      </c>
      <c r="M105" s="124">
        <f t="shared" si="83"/>
        <v>6.3706888010242449E-2</v>
      </c>
      <c r="N105" s="124">
        <f t="shared" si="83"/>
        <v>6.136823723886687E-2</v>
      </c>
      <c r="O105" s="124">
        <f t="shared" si="83"/>
        <v>6.3462845194963438E-2</v>
      </c>
      <c r="P105" s="124">
        <f t="shared" si="83"/>
        <v>6.6227292061986728E-2</v>
      </c>
      <c r="Q105" s="124">
        <f t="shared" si="83"/>
        <v>7.0412255953377981E-2</v>
      </c>
      <c r="R105" s="124">
        <f t="shared" si="83"/>
        <v>8.0335833943169108E-2</v>
      </c>
      <c r="S105" s="124">
        <f t="shared" si="83"/>
        <v>9.2473926968707945E-2</v>
      </c>
      <c r="T105" s="124">
        <f t="shared" si="83"/>
        <v>9.724727401839349E-2</v>
      </c>
      <c r="U105" s="124">
        <f t="shared" si="83"/>
        <v>0.10165942108854549</v>
      </c>
      <c r="V105" s="124">
        <f t="shared" si="83"/>
        <v>4.1123827883984658E-2</v>
      </c>
      <c r="W105" s="124">
        <f t="shared" si="83"/>
        <v>5.7176312908696916E-2</v>
      </c>
      <c r="X105" s="124">
        <f t="shared" si="83"/>
        <v>9.3420226670071632E-2</v>
      </c>
      <c r="Y105" s="124">
        <f t="shared" si="83"/>
        <v>0.1009410394678121</v>
      </c>
      <c r="DA105" s="176"/>
    </row>
    <row r="106" spans="1:105" ht="11.45" customHeight="1" x14ac:dyDescent="0.25">
      <c r="A106" s="128" t="str">
        <f>$A$14</f>
        <v>Domestic</v>
      </c>
      <c r="B106" s="140">
        <f t="shared" ref="B106:Y106" si="84">IF(B14=0,0,B14/B$4)</f>
        <v>6.1056489856658026E-4</v>
      </c>
      <c r="C106" s="140">
        <f t="shared" si="84"/>
        <v>3.0666460995344474E-4</v>
      </c>
      <c r="D106" s="140">
        <f t="shared" si="84"/>
        <v>2.0966144537281996E-4</v>
      </c>
      <c r="E106" s="140">
        <f t="shared" si="84"/>
        <v>1.9948350639811978E-4</v>
      </c>
      <c r="F106" s="140">
        <f t="shared" si="84"/>
        <v>1.1397113058920678E-3</v>
      </c>
      <c r="G106" s="140">
        <f t="shared" si="84"/>
        <v>1.2782359436205686E-3</v>
      </c>
      <c r="H106" s="140">
        <f t="shared" si="84"/>
        <v>1.3270365920080263E-3</v>
      </c>
      <c r="I106" s="140">
        <f t="shared" si="84"/>
        <v>1.4921168263369333E-3</v>
      </c>
      <c r="J106" s="140">
        <f t="shared" si="84"/>
        <v>1.68167663118254E-3</v>
      </c>
      <c r="K106" s="140">
        <f t="shared" si="84"/>
        <v>1.5638847196574671E-3</v>
      </c>
      <c r="L106" s="140">
        <f t="shared" si="84"/>
        <v>2.0002881830826868E-3</v>
      </c>
      <c r="M106" s="140">
        <f t="shared" si="84"/>
        <v>2.0743087967952322E-3</v>
      </c>
      <c r="N106" s="140">
        <f t="shared" si="84"/>
        <v>1.8268313327289552E-3</v>
      </c>
      <c r="O106" s="140">
        <f t="shared" si="84"/>
        <v>1.6629375425357192E-3</v>
      </c>
      <c r="P106" s="140">
        <f t="shared" si="84"/>
        <v>1.4138796947586838E-3</v>
      </c>
      <c r="Q106" s="140">
        <f t="shared" si="84"/>
        <v>1.37440923604484E-3</v>
      </c>
      <c r="R106" s="140">
        <f t="shared" si="84"/>
        <v>2.2584598306905489E-3</v>
      </c>
      <c r="S106" s="140">
        <f t="shared" si="84"/>
        <v>3.378698728781793E-3</v>
      </c>
      <c r="T106" s="140">
        <f t="shared" si="84"/>
        <v>3.2255948213073186E-3</v>
      </c>
      <c r="U106" s="140">
        <f t="shared" si="84"/>
        <v>2.9554858329013771E-3</v>
      </c>
      <c r="V106" s="140">
        <f t="shared" si="84"/>
        <v>1.2039184841143604E-3</v>
      </c>
      <c r="W106" s="140">
        <f t="shared" si="84"/>
        <v>1.617610266274947E-3</v>
      </c>
      <c r="X106" s="140">
        <f t="shared" si="84"/>
        <v>2.1427452462255527E-3</v>
      </c>
      <c r="Y106" s="140">
        <f t="shared" si="84"/>
        <v>1.8182824021127199E-3</v>
      </c>
      <c r="DA106" s="175"/>
    </row>
    <row r="107" spans="1:105" ht="11.45" customHeight="1" x14ac:dyDescent="0.25">
      <c r="A107" s="128" t="str">
        <f>$A$15</f>
        <v>International - Intra-EEAwCHUK</v>
      </c>
      <c r="B107" s="140">
        <f t="shared" ref="B107:Y107" si="85">IF(B15=0,0,B15/B$4)</f>
        <v>2.5438038139401955E-2</v>
      </c>
      <c r="C107" s="140">
        <f t="shared" si="85"/>
        <v>2.3180534201788186E-2</v>
      </c>
      <c r="D107" s="140">
        <f t="shared" si="85"/>
        <v>2.0346651154878517E-2</v>
      </c>
      <c r="E107" s="140">
        <f t="shared" si="85"/>
        <v>2.3263113709851423E-2</v>
      </c>
      <c r="F107" s="140">
        <f t="shared" si="85"/>
        <v>2.6075836589269808E-2</v>
      </c>
      <c r="G107" s="140">
        <f t="shared" si="85"/>
        <v>3.2483624819283956E-2</v>
      </c>
      <c r="H107" s="140">
        <f t="shared" si="85"/>
        <v>3.5347172841315805E-2</v>
      </c>
      <c r="I107" s="140">
        <f t="shared" si="85"/>
        <v>4.1757723571662013E-2</v>
      </c>
      <c r="J107" s="140">
        <f t="shared" si="85"/>
        <v>4.2868259363834912E-2</v>
      </c>
      <c r="K107" s="140">
        <f t="shared" si="85"/>
        <v>4.3756410304434244E-2</v>
      </c>
      <c r="L107" s="140">
        <f t="shared" si="85"/>
        <v>4.9085332928500133E-2</v>
      </c>
      <c r="M107" s="140">
        <f t="shared" si="85"/>
        <v>5.555815816047345E-2</v>
      </c>
      <c r="N107" s="140">
        <f t="shared" si="85"/>
        <v>5.2953675579999741E-2</v>
      </c>
      <c r="O107" s="140">
        <f t="shared" si="85"/>
        <v>5.4690318275414915E-2</v>
      </c>
      <c r="P107" s="140">
        <f t="shared" si="85"/>
        <v>5.5485594195087716E-2</v>
      </c>
      <c r="Q107" s="140">
        <f t="shared" si="85"/>
        <v>5.9233508403140005E-2</v>
      </c>
      <c r="R107" s="140">
        <f t="shared" si="85"/>
        <v>6.7461863321685231E-2</v>
      </c>
      <c r="S107" s="140">
        <f t="shared" si="85"/>
        <v>7.727225476935233E-2</v>
      </c>
      <c r="T107" s="140">
        <f t="shared" si="85"/>
        <v>7.8924750577299668E-2</v>
      </c>
      <c r="U107" s="140">
        <f t="shared" si="85"/>
        <v>8.162448225733869E-2</v>
      </c>
      <c r="V107" s="140">
        <f t="shared" si="85"/>
        <v>3.4858219029246865E-2</v>
      </c>
      <c r="W107" s="140">
        <f t="shared" si="85"/>
        <v>4.6125165021674304E-2</v>
      </c>
      <c r="X107" s="140">
        <f t="shared" si="85"/>
        <v>7.7298174984123877E-2</v>
      </c>
      <c r="Y107" s="140">
        <f t="shared" si="85"/>
        <v>8.2426182138243598E-2</v>
      </c>
      <c r="DA107" s="175"/>
    </row>
    <row r="108" spans="1:105" ht="11.45" customHeight="1" x14ac:dyDescent="0.25">
      <c r="A108" s="128" t="str">
        <f>$A$16</f>
        <v>International - Extra-EEAwCHUK</v>
      </c>
      <c r="B108" s="140">
        <f t="shared" ref="B108:Y108" si="86">IF(B16=0,0,B16/B$4)</f>
        <v>4.1887130235291059E-3</v>
      </c>
      <c r="C108" s="140">
        <f t="shared" si="86"/>
        <v>3.7886487997250869E-3</v>
      </c>
      <c r="D108" s="140">
        <f t="shared" si="86"/>
        <v>3.3110808215037215E-3</v>
      </c>
      <c r="E108" s="140">
        <f t="shared" si="86"/>
        <v>3.8159021754065178E-3</v>
      </c>
      <c r="F108" s="140">
        <f t="shared" si="86"/>
        <v>4.354561309001046E-3</v>
      </c>
      <c r="G108" s="140">
        <f t="shared" si="86"/>
        <v>4.6882603308031796E-3</v>
      </c>
      <c r="H108" s="140">
        <f t="shared" si="86"/>
        <v>5.3828624235060666E-3</v>
      </c>
      <c r="I108" s="140">
        <f t="shared" si="86"/>
        <v>7.3379940518204251E-3</v>
      </c>
      <c r="J108" s="140">
        <f t="shared" si="86"/>
        <v>7.242211858705762E-3</v>
      </c>
      <c r="K108" s="140">
        <f t="shared" si="86"/>
        <v>6.0453123133834595E-3</v>
      </c>
      <c r="L108" s="140">
        <f t="shared" si="86"/>
        <v>6.7838514401604528E-3</v>
      </c>
      <c r="M108" s="140">
        <f t="shared" si="86"/>
        <v>6.0744210529737721E-3</v>
      </c>
      <c r="N108" s="140">
        <f t="shared" si="86"/>
        <v>6.5877303261381737E-3</v>
      </c>
      <c r="O108" s="140">
        <f t="shared" si="86"/>
        <v>7.1095893770128076E-3</v>
      </c>
      <c r="P108" s="140">
        <f t="shared" si="86"/>
        <v>9.3278181721403418E-3</v>
      </c>
      <c r="Q108" s="140">
        <f t="shared" si="86"/>
        <v>9.8043383141931378E-3</v>
      </c>
      <c r="R108" s="140">
        <f t="shared" si="86"/>
        <v>1.0615510790793323E-2</v>
      </c>
      <c r="S108" s="140">
        <f t="shared" si="86"/>
        <v>1.1822973470573829E-2</v>
      </c>
      <c r="T108" s="140">
        <f t="shared" si="86"/>
        <v>1.5096928619786492E-2</v>
      </c>
      <c r="U108" s="140">
        <f t="shared" si="86"/>
        <v>1.7079452998305426E-2</v>
      </c>
      <c r="V108" s="140">
        <f t="shared" si="86"/>
        <v>5.0616903706234397E-3</v>
      </c>
      <c r="W108" s="140">
        <f t="shared" si="86"/>
        <v>9.4335376207476587E-3</v>
      </c>
      <c r="X108" s="140">
        <f t="shared" si="86"/>
        <v>1.3979306439722193E-2</v>
      </c>
      <c r="Y108" s="140">
        <f t="shared" si="86"/>
        <v>1.6696574927455798E-2</v>
      </c>
      <c r="DA108" s="175"/>
    </row>
    <row r="109" spans="1:105" ht="11.45" customHeight="1" x14ac:dyDescent="0.25">
      <c r="A109" s="27" t="s">
        <v>39</v>
      </c>
      <c r="B109" s="31">
        <f t="shared" ref="B109:Y109" si="87">IF(B17=0,0,B17/B$17)</f>
        <v>1</v>
      </c>
      <c r="C109" s="31">
        <f t="shared" si="87"/>
        <v>1</v>
      </c>
      <c r="D109" s="31">
        <f t="shared" si="87"/>
        <v>1</v>
      </c>
      <c r="E109" s="31">
        <f t="shared" si="87"/>
        <v>1</v>
      </c>
      <c r="F109" s="31">
        <f t="shared" si="87"/>
        <v>1</v>
      </c>
      <c r="G109" s="31">
        <f t="shared" si="87"/>
        <v>1</v>
      </c>
      <c r="H109" s="31">
        <f t="shared" si="87"/>
        <v>1</v>
      </c>
      <c r="I109" s="31">
        <f t="shared" si="87"/>
        <v>1</v>
      </c>
      <c r="J109" s="31">
        <f t="shared" si="87"/>
        <v>1</v>
      </c>
      <c r="K109" s="31">
        <f t="shared" si="87"/>
        <v>1</v>
      </c>
      <c r="L109" s="31">
        <f t="shared" si="87"/>
        <v>1</v>
      </c>
      <c r="M109" s="31">
        <f t="shared" si="87"/>
        <v>1</v>
      </c>
      <c r="N109" s="31">
        <f t="shared" si="87"/>
        <v>1</v>
      </c>
      <c r="O109" s="31">
        <f t="shared" si="87"/>
        <v>1</v>
      </c>
      <c r="P109" s="31">
        <f t="shared" si="87"/>
        <v>1</v>
      </c>
      <c r="Q109" s="31">
        <f t="shared" si="87"/>
        <v>1</v>
      </c>
      <c r="R109" s="31">
        <f t="shared" si="87"/>
        <v>1</v>
      </c>
      <c r="S109" s="31">
        <f t="shared" si="87"/>
        <v>1</v>
      </c>
      <c r="T109" s="31">
        <f t="shared" si="87"/>
        <v>1</v>
      </c>
      <c r="U109" s="31">
        <f t="shared" si="87"/>
        <v>1</v>
      </c>
      <c r="V109" s="31">
        <f t="shared" si="87"/>
        <v>1</v>
      </c>
      <c r="W109" s="31">
        <f t="shared" si="87"/>
        <v>1</v>
      </c>
      <c r="X109" s="31">
        <f t="shared" si="87"/>
        <v>1</v>
      </c>
      <c r="Y109" s="31">
        <f t="shared" si="87"/>
        <v>1</v>
      </c>
      <c r="DA109" s="173"/>
    </row>
    <row r="110" spans="1:105" ht="11.45" customHeight="1" x14ac:dyDescent="0.25">
      <c r="A110" s="136" t="str">
        <f>$A$18</f>
        <v>Road transport</v>
      </c>
      <c r="B110" s="139">
        <f t="shared" ref="B110:Y110" si="88">IF(B18=0,0,B18/B$17)</f>
        <v>0.52017287605376672</v>
      </c>
      <c r="C110" s="139">
        <f t="shared" si="88"/>
        <v>0.53933464476160631</v>
      </c>
      <c r="D110" s="139">
        <f t="shared" si="88"/>
        <v>0.54985506691070885</v>
      </c>
      <c r="E110" s="139">
        <f t="shared" si="88"/>
        <v>0.5827645589358823</v>
      </c>
      <c r="F110" s="139">
        <f t="shared" si="88"/>
        <v>0.54536780963064724</v>
      </c>
      <c r="G110" s="139">
        <f t="shared" si="88"/>
        <v>0.57617776551067168</v>
      </c>
      <c r="H110" s="139">
        <f t="shared" si="88"/>
        <v>0.58842250476573832</v>
      </c>
      <c r="I110" s="139">
        <f t="shared" si="88"/>
        <v>0.59825018855057976</v>
      </c>
      <c r="J110" s="139">
        <f t="shared" si="88"/>
        <v>0.57950880020808304</v>
      </c>
      <c r="K110" s="139">
        <f t="shared" si="88"/>
        <v>0.54356979908682646</v>
      </c>
      <c r="L110" s="139">
        <f t="shared" si="88"/>
        <v>0.39883409706704515</v>
      </c>
      <c r="M110" s="139">
        <f t="shared" si="88"/>
        <v>0.40337675634230141</v>
      </c>
      <c r="N110" s="139">
        <f t="shared" si="88"/>
        <v>0.42465598901319612</v>
      </c>
      <c r="O110" s="139">
        <f t="shared" si="88"/>
        <v>0.43611151952363686</v>
      </c>
      <c r="P110" s="139">
        <f t="shared" si="88"/>
        <v>0.4446458727014081</v>
      </c>
      <c r="Q110" s="139">
        <f t="shared" si="88"/>
        <v>0.41847568999227752</v>
      </c>
      <c r="R110" s="139">
        <f t="shared" si="88"/>
        <v>0.43995028530533858</v>
      </c>
      <c r="S110" s="139">
        <f t="shared" si="88"/>
        <v>0.461393095920064</v>
      </c>
      <c r="T110" s="139">
        <f t="shared" si="88"/>
        <v>0.47968779519065036</v>
      </c>
      <c r="U110" s="139">
        <f t="shared" si="88"/>
        <v>0.4875436318312828</v>
      </c>
      <c r="V110" s="139">
        <f t="shared" si="88"/>
        <v>0.49591771886916447</v>
      </c>
      <c r="W110" s="139">
        <f t="shared" si="88"/>
        <v>0.53156850899323638</v>
      </c>
      <c r="X110" s="139">
        <f t="shared" si="88"/>
        <v>0.57366620768394883</v>
      </c>
      <c r="Y110" s="139">
        <f t="shared" si="88"/>
        <v>0.57058486704842226</v>
      </c>
      <c r="DA110" s="174"/>
    </row>
    <row r="111" spans="1:105" ht="11.45" customHeight="1" x14ac:dyDescent="0.25">
      <c r="A111" s="128" t="str">
        <f>$A$19</f>
        <v>Light commercial vehicles</v>
      </c>
      <c r="B111" s="140">
        <f t="shared" ref="B111:Y111" si="89">IF(B19=0,0,B19/B$17)</f>
        <v>3.1716486569344948E-2</v>
      </c>
      <c r="C111" s="140">
        <f t="shared" si="89"/>
        <v>3.1745301024166027E-2</v>
      </c>
      <c r="D111" s="140">
        <f t="shared" si="89"/>
        <v>3.1878267070003914E-2</v>
      </c>
      <c r="E111" s="140">
        <f t="shared" si="89"/>
        <v>3.1330402442999408E-2</v>
      </c>
      <c r="F111" s="140">
        <f t="shared" si="89"/>
        <v>2.7764035991766457E-2</v>
      </c>
      <c r="G111" s="140">
        <f t="shared" si="89"/>
        <v>2.5574639258770331E-2</v>
      </c>
      <c r="H111" s="140">
        <f t="shared" si="89"/>
        <v>2.8780981425366742E-2</v>
      </c>
      <c r="I111" s="140">
        <f t="shared" si="89"/>
        <v>2.9582355300748198E-2</v>
      </c>
      <c r="J111" s="140">
        <f t="shared" si="89"/>
        <v>3.5617021707812363E-2</v>
      </c>
      <c r="K111" s="140">
        <f t="shared" si="89"/>
        <v>4.156635801752312E-2</v>
      </c>
      <c r="L111" s="140">
        <f t="shared" si="89"/>
        <v>4.732812041266371E-2</v>
      </c>
      <c r="M111" s="140">
        <f t="shared" si="89"/>
        <v>5.0885715980941819E-2</v>
      </c>
      <c r="N111" s="140">
        <f t="shared" si="89"/>
        <v>5.1648409922322933E-2</v>
      </c>
      <c r="O111" s="140">
        <f t="shared" si="89"/>
        <v>5.5648546185879597E-2</v>
      </c>
      <c r="P111" s="140">
        <f t="shared" si="89"/>
        <v>6.2559581929879829E-2</v>
      </c>
      <c r="Q111" s="140">
        <f t="shared" si="89"/>
        <v>6.2181783765996555E-2</v>
      </c>
      <c r="R111" s="140">
        <f t="shared" si="89"/>
        <v>6.2179206121746093E-2</v>
      </c>
      <c r="S111" s="140">
        <f t="shared" si="89"/>
        <v>6.4643552492150549E-2</v>
      </c>
      <c r="T111" s="140">
        <f t="shared" si="89"/>
        <v>7.0444535301294964E-2</v>
      </c>
      <c r="U111" s="140">
        <f t="shared" si="89"/>
        <v>6.8515356077063883E-2</v>
      </c>
      <c r="V111" s="140">
        <f t="shared" si="89"/>
        <v>7.4770763288140377E-2</v>
      </c>
      <c r="W111" s="140">
        <f t="shared" si="89"/>
        <v>6.9551390120439052E-2</v>
      </c>
      <c r="X111" s="140">
        <f t="shared" si="89"/>
        <v>7.358094958451078E-2</v>
      </c>
      <c r="Y111" s="140">
        <f t="shared" si="89"/>
        <v>7.3471792110202216E-2</v>
      </c>
      <c r="DA111" s="175"/>
    </row>
    <row r="112" spans="1:105" ht="11.45" customHeight="1" x14ac:dyDescent="0.25">
      <c r="A112" s="128" t="str">
        <f>$A$20</f>
        <v>Heavy goods vehicles</v>
      </c>
      <c r="B112" s="140">
        <f t="shared" ref="B112:Y112" si="90">IF(B20=0,0,B20/B$17)</f>
        <v>0.48845638948442183</v>
      </c>
      <c r="C112" s="140">
        <f t="shared" si="90"/>
        <v>0.50758934373744025</v>
      </c>
      <c r="D112" s="140">
        <f t="shared" si="90"/>
        <v>0.51797679984070499</v>
      </c>
      <c r="E112" s="140">
        <f t="shared" si="90"/>
        <v>0.55143415649288297</v>
      </c>
      <c r="F112" s="140">
        <f t="shared" si="90"/>
        <v>0.51760377363888077</v>
      </c>
      <c r="G112" s="140">
        <f t="shared" si="90"/>
        <v>0.55060312625190144</v>
      </c>
      <c r="H112" s="140">
        <f t="shared" si="90"/>
        <v>0.55964152334037165</v>
      </c>
      <c r="I112" s="140">
        <f t="shared" si="90"/>
        <v>0.56866783324983161</v>
      </c>
      <c r="J112" s="140">
        <f t="shared" si="90"/>
        <v>0.54389177850027071</v>
      </c>
      <c r="K112" s="140">
        <f t="shared" si="90"/>
        <v>0.50200344106930328</v>
      </c>
      <c r="L112" s="140">
        <f t="shared" si="90"/>
        <v>0.35150597665438149</v>
      </c>
      <c r="M112" s="140">
        <f t="shared" si="90"/>
        <v>0.35249104036135959</v>
      </c>
      <c r="N112" s="140">
        <f t="shared" si="90"/>
        <v>0.37300757909087323</v>
      </c>
      <c r="O112" s="140">
        <f t="shared" si="90"/>
        <v>0.38046297333775725</v>
      </c>
      <c r="P112" s="140">
        <f t="shared" si="90"/>
        <v>0.38208629077152823</v>
      </c>
      <c r="Q112" s="140">
        <f t="shared" si="90"/>
        <v>0.35629390622628099</v>
      </c>
      <c r="R112" s="140">
        <f t="shared" si="90"/>
        <v>0.37777107918359248</v>
      </c>
      <c r="S112" s="140">
        <f t="shared" si="90"/>
        <v>0.39674954342791346</v>
      </c>
      <c r="T112" s="140">
        <f t="shared" si="90"/>
        <v>0.40924325988935539</v>
      </c>
      <c r="U112" s="140">
        <f t="shared" si="90"/>
        <v>0.41902827575421892</v>
      </c>
      <c r="V112" s="140">
        <f t="shared" si="90"/>
        <v>0.42114695558102405</v>
      </c>
      <c r="W112" s="140">
        <f t="shared" si="90"/>
        <v>0.46201711887279723</v>
      </c>
      <c r="X112" s="140">
        <f t="shared" si="90"/>
        <v>0.50008525809943816</v>
      </c>
      <c r="Y112" s="140">
        <f t="shared" si="90"/>
        <v>0.49711307493821993</v>
      </c>
      <c r="DA112" s="175"/>
    </row>
    <row r="113" spans="1:105" ht="11.45" customHeight="1" x14ac:dyDescent="0.25">
      <c r="A113" s="109" t="str">
        <f>$A$21</f>
        <v>Rail transport</v>
      </c>
      <c r="B113" s="124">
        <f t="shared" ref="B113:Y113" si="91">IF(B21=0,0,B21/B$17)</f>
        <v>0.4130131367011507</v>
      </c>
      <c r="C113" s="124">
        <f t="shared" si="91"/>
        <v>0.39331959247692178</v>
      </c>
      <c r="D113" s="124">
        <f t="shared" si="91"/>
        <v>0.36304106599068092</v>
      </c>
      <c r="E113" s="124">
        <f t="shared" si="91"/>
        <v>0.33790092432010038</v>
      </c>
      <c r="F113" s="124">
        <f t="shared" si="91"/>
        <v>0.32262286650457556</v>
      </c>
      <c r="G113" s="124">
        <f t="shared" si="91"/>
        <v>0.28084618751885188</v>
      </c>
      <c r="H113" s="124">
        <f t="shared" si="91"/>
        <v>0.27131252785907667</v>
      </c>
      <c r="I113" s="124">
        <f t="shared" si="91"/>
        <v>0.26420746764621073</v>
      </c>
      <c r="J113" s="124">
        <f t="shared" si="91"/>
        <v>0.26766862055846435</v>
      </c>
      <c r="K113" s="124">
        <f t="shared" si="91"/>
        <v>0.22133523428002044</v>
      </c>
      <c r="L113" s="124">
        <f t="shared" si="91"/>
        <v>0.27857036477110098</v>
      </c>
      <c r="M113" s="124">
        <f t="shared" si="91"/>
        <v>0.33586874650111642</v>
      </c>
      <c r="N113" s="124">
        <f t="shared" si="91"/>
        <v>0.29789349535889964</v>
      </c>
      <c r="O113" s="124">
        <f t="shared" si="91"/>
        <v>0.28942916880827541</v>
      </c>
      <c r="P113" s="124">
        <f t="shared" si="91"/>
        <v>0.28320979054505735</v>
      </c>
      <c r="Q113" s="124">
        <f t="shared" si="91"/>
        <v>0.29595958368165859</v>
      </c>
      <c r="R113" s="124">
        <f t="shared" si="91"/>
        <v>0.28374906251018855</v>
      </c>
      <c r="S113" s="124">
        <f t="shared" si="91"/>
        <v>0.28196364237953203</v>
      </c>
      <c r="T113" s="124">
        <f t="shared" si="91"/>
        <v>0.2682607211907565</v>
      </c>
      <c r="U113" s="124">
        <f t="shared" si="91"/>
        <v>0.24997106909433844</v>
      </c>
      <c r="V113" s="124">
        <f t="shared" si="91"/>
        <v>0.23880407967551054</v>
      </c>
      <c r="W113" s="124">
        <f t="shared" si="91"/>
        <v>0.23495757108994708</v>
      </c>
      <c r="X113" s="124">
        <f t="shared" si="91"/>
        <v>0.23566301120877531</v>
      </c>
      <c r="Y113" s="124">
        <f t="shared" si="91"/>
        <v>0.22255595964034056</v>
      </c>
      <c r="DA113" s="176"/>
    </row>
    <row r="114" spans="1:105" ht="11.45" customHeight="1" x14ac:dyDescent="0.25">
      <c r="A114" s="109" t="str">
        <f>$A$22</f>
        <v>Aviation</v>
      </c>
      <c r="B114" s="124">
        <f t="shared" ref="B114:Y114" si="92">IF(B22=0,0,B22/B$17)</f>
        <v>2.9346614499482993E-4</v>
      </c>
      <c r="C114" s="124">
        <f t="shared" si="92"/>
        <v>2.6989635098724496E-4</v>
      </c>
      <c r="D114" s="124">
        <f t="shared" si="92"/>
        <v>2.4406152152587021E-4</v>
      </c>
      <c r="E114" s="124">
        <f t="shared" si="92"/>
        <v>2.2359483889911408E-4</v>
      </c>
      <c r="F114" s="124">
        <f t="shared" si="92"/>
        <v>1.8920657307699881E-4</v>
      </c>
      <c r="G114" s="124">
        <f t="shared" si="92"/>
        <v>1.1405253545561249E-4</v>
      </c>
      <c r="H114" s="124">
        <f t="shared" si="92"/>
        <v>1.1575011557585123E-4</v>
      </c>
      <c r="I114" s="124">
        <f t="shared" si="92"/>
        <v>1.3165665713488694E-4</v>
      </c>
      <c r="J114" s="124">
        <f t="shared" si="92"/>
        <v>2.0789645638642272E-4</v>
      </c>
      <c r="K114" s="124">
        <f t="shared" si="92"/>
        <v>2.4566727308455061E-4</v>
      </c>
      <c r="L114" s="124">
        <f t="shared" si="92"/>
        <v>3.0932301616883593E-4</v>
      </c>
      <c r="M114" s="124">
        <f t="shared" si="92"/>
        <v>4.1571538939432E-4</v>
      </c>
      <c r="N114" s="124">
        <f t="shared" si="92"/>
        <v>6.0768888403366301E-4</v>
      </c>
      <c r="O114" s="124">
        <f t="shared" si="92"/>
        <v>6.6347791869368167E-4</v>
      </c>
      <c r="P114" s="124">
        <f t="shared" si="92"/>
        <v>5.7330472402757028E-4</v>
      </c>
      <c r="Q114" s="124">
        <f t="shared" si="92"/>
        <v>5.3614460149142829E-4</v>
      </c>
      <c r="R114" s="124">
        <f t="shared" si="92"/>
        <v>5.5987499965505548E-4</v>
      </c>
      <c r="S114" s="124">
        <f t="shared" si="92"/>
        <v>5.6004361416091188E-4</v>
      </c>
      <c r="T114" s="124">
        <f t="shared" si="92"/>
        <v>5.1089761982698169E-4</v>
      </c>
      <c r="U114" s="124">
        <f t="shared" si="92"/>
        <v>4.0250074582699085E-4</v>
      </c>
      <c r="V114" s="124">
        <f t="shared" si="92"/>
        <v>3.0301321884200114E-4</v>
      </c>
      <c r="W114" s="124">
        <f t="shared" si="92"/>
        <v>2.9254184134756389E-4</v>
      </c>
      <c r="X114" s="124">
        <f t="shared" si="92"/>
        <v>4.1057309370660342E-4</v>
      </c>
      <c r="Y114" s="124">
        <f t="shared" si="92"/>
        <v>3.9263737218228807E-4</v>
      </c>
      <c r="DA114" s="176"/>
    </row>
    <row r="115" spans="1:105" ht="11.45" customHeight="1" x14ac:dyDescent="0.25">
      <c r="A115" s="128" t="s">
        <v>27</v>
      </c>
      <c r="B115" s="140">
        <f t="shared" ref="B115:Q115" si="93">IF(B23=0,0,B23/B$17)</f>
        <v>3.4653257284124104E-6</v>
      </c>
      <c r="C115" s="140">
        <f t="shared" si="93"/>
        <v>2.8726064704597396E-6</v>
      </c>
      <c r="D115" s="140">
        <f t="shared" si="93"/>
        <v>2.5812825173659421E-6</v>
      </c>
      <c r="E115" s="140">
        <f t="shared" si="93"/>
        <v>2.5099155940386437E-6</v>
      </c>
      <c r="F115" s="140">
        <f t="shared" si="93"/>
        <v>2.2353835207630235E-6</v>
      </c>
      <c r="G115" s="140">
        <f t="shared" si="93"/>
        <v>9.8510789359635931E-7</v>
      </c>
      <c r="H115" s="140">
        <f t="shared" si="93"/>
        <v>2.2228069649474148E-6</v>
      </c>
      <c r="I115" s="140">
        <f t="shared" si="93"/>
        <v>2.0273574401231506E-6</v>
      </c>
      <c r="J115" s="140">
        <f t="shared" si="93"/>
        <v>1.2253711795269709E-6</v>
      </c>
      <c r="K115" s="140">
        <f t="shared" si="93"/>
        <v>9.6656287016885938E-7</v>
      </c>
      <c r="L115" s="140">
        <f t="shared" si="93"/>
        <v>8.169737071738409E-7</v>
      </c>
      <c r="M115" s="140">
        <f t="shared" si="93"/>
        <v>6.7625255121126518E-7</v>
      </c>
      <c r="N115" s="140">
        <f t="shared" si="93"/>
        <v>5.2322276758685061E-7</v>
      </c>
      <c r="O115" s="140">
        <f t="shared" si="93"/>
        <v>3.7653621524233384E-7</v>
      </c>
      <c r="P115" s="140">
        <f t="shared" si="93"/>
        <v>2.7122309043807485E-7</v>
      </c>
      <c r="Q115" s="140">
        <f t="shared" si="93"/>
        <v>1.8103585488287674E-7</v>
      </c>
      <c r="R115" s="140">
        <f t="shared" ref="R115:V116" si="94">IF(R23=0,0,R23/R$17)</f>
        <v>4.2001129351290602E-7</v>
      </c>
      <c r="S115" s="140">
        <f t="shared" si="94"/>
        <v>1.3754824524125831E-6</v>
      </c>
      <c r="T115" s="140">
        <f t="shared" si="94"/>
        <v>2.4958006647855309E-6</v>
      </c>
      <c r="U115" s="140">
        <f t="shared" si="94"/>
        <v>3.695802736641248E-6</v>
      </c>
      <c r="V115" s="140">
        <f t="shared" si="94"/>
        <v>3.7435958487501957E-6</v>
      </c>
      <c r="W115" s="140">
        <f t="shared" ref="W115:Y120" si="95">IF(W23=0,0,W23/W$17)</f>
        <v>4.3953341682721563E-6</v>
      </c>
      <c r="X115" s="140">
        <f t="shared" si="95"/>
        <v>6.1199024368605393E-6</v>
      </c>
      <c r="Y115" s="140">
        <f t="shared" si="95"/>
        <v>7.1324776407349782E-6</v>
      </c>
      <c r="DA115" s="175"/>
    </row>
    <row r="116" spans="1:105" ht="11.45" customHeight="1" x14ac:dyDescent="0.25">
      <c r="A116" s="128" t="str">
        <f>$A$24</f>
        <v>International - Intra-EEAwCHUK</v>
      </c>
      <c r="B116" s="140">
        <f t="shared" ref="B116:Q116" si="96">IF(B24=0,0,B24/B$17)</f>
        <v>1.5417732135954282E-4</v>
      </c>
      <c r="C116" s="140">
        <f t="shared" si="96"/>
        <v>1.3365904865590477E-4</v>
      </c>
      <c r="D116" s="140">
        <f t="shared" si="96"/>
        <v>1.145351775345113E-4</v>
      </c>
      <c r="E116" s="140">
        <f t="shared" si="96"/>
        <v>1.0565918487536102E-4</v>
      </c>
      <c r="F116" s="140">
        <f t="shared" si="96"/>
        <v>9.2467861952254208E-5</v>
      </c>
      <c r="G116" s="140">
        <f t="shared" si="96"/>
        <v>7.927583094624309E-5</v>
      </c>
      <c r="H116" s="140">
        <f t="shared" si="96"/>
        <v>7.8025467724729958E-5</v>
      </c>
      <c r="I116" s="140">
        <f t="shared" si="96"/>
        <v>7.2930105908142006E-5</v>
      </c>
      <c r="J116" s="140">
        <f t="shared" si="96"/>
        <v>1.1867241293460511E-4</v>
      </c>
      <c r="K116" s="140">
        <f t="shared" si="96"/>
        <v>1.703272967424456E-4</v>
      </c>
      <c r="L116" s="140">
        <f t="shared" si="96"/>
        <v>2.1526521294115618E-4</v>
      </c>
      <c r="M116" s="140">
        <f t="shared" si="96"/>
        <v>2.3794890480122738E-4</v>
      </c>
      <c r="N116" s="140">
        <f t="shared" si="96"/>
        <v>2.5257675984438534E-4</v>
      </c>
      <c r="O116" s="140">
        <f t="shared" si="96"/>
        <v>2.7100482274859753E-4</v>
      </c>
      <c r="P116" s="140">
        <f t="shared" si="96"/>
        <v>3.182961447529809E-4</v>
      </c>
      <c r="Q116" s="140">
        <f t="shared" si="96"/>
        <v>3.4037604289099911E-4</v>
      </c>
      <c r="R116" s="140">
        <f t="shared" si="94"/>
        <v>3.7997254054413133E-4</v>
      </c>
      <c r="S116" s="140">
        <f t="shared" si="94"/>
        <v>4.0322215619722221E-4</v>
      </c>
      <c r="T116" s="140">
        <f t="shared" si="94"/>
        <v>4.2328683668283438E-4</v>
      </c>
      <c r="U116" s="140">
        <f t="shared" si="94"/>
        <v>2.7073160379885691E-4</v>
      </c>
      <c r="V116" s="140">
        <f t="shared" si="94"/>
        <v>2.1692438189684993E-4</v>
      </c>
      <c r="W116" s="140">
        <f t="shared" si="95"/>
        <v>2.0763122386017015E-4</v>
      </c>
      <c r="X116" s="140">
        <f t="shared" si="95"/>
        <v>2.8842447275394961E-4</v>
      </c>
      <c r="Y116" s="140">
        <f t="shared" si="95"/>
        <v>2.8185744858036534E-4</v>
      </c>
      <c r="DA116" s="175"/>
    </row>
    <row r="117" spans="1:105" ht="11.45" customHeight="1" x14ac:dyDescent="0.25">
      <c r="A117" s="128" t="str">
        <f>$A$25</f>
        <v>International - Extra-EEAwCHUK</v>
      </c>
      <c r="B117" s="140">
        <f t="shared" ref="B117:Q117" si="97">IF(B25=0,0,B25/B$17)</f>
        <v>1.358234979068747E-4</v>
      </c>
      <c r="C117" s="140">
        <f t="shared" si="97"/>
        <v>1.3336469586088052E-4</v>
      </c>
      <c r="D117" s="140">
        <f t="shared" si="97"/>
        <v>1.2694506147399297E-4</v>
      </c>
      <c r="E117" s="140">
        <f t="shared" si="97"/>
        <v>1.154257384297144E-4</v>
      </c>
      <c r="F117" s="140">
        <f t="shared" si="97"/>
        <v>9.4503327603981553E-5</v>
      </c>
      <c r="G117" s="140">
        <f t="shared" si="97"/>
        <v>3.3791596615773036E-5</v>
      </c>
      <c r="H117" s="140">
        <f t="shared" si="97"/>
        <v>3.5501840886173861E-5</v>
      </c>
      <c r="I117" s="140">
        <f t="shared" si="97"/>
        <v>5.669919378662178E-5</v>
      </c>
      <c r="J117" s="140">
        <f t="shared" si="97"/>
        <v>8.7998672272290632E-5</v>
      </c>
      <c r="K117" s="140">
        <f t="shared" si="97"/>
        <v>7.4373413471936147E-5</v>
      </c>
      <c r="L117" s="140">
        <f t="shared" si="97"/>
        <v>9.3240829520505937E-5</v>
      </c>
      <c r="M117" s="140">
        <f t="shared" si="97"/>
        <v>1.7709023204188134E-4</v>
      </c>
      <c r="N117" s="140">
        <f t="shared" si="97"/>
        <v>3.545889014216909E-4</v>
      </c>
      <c r="O117" s="140">
        <f t="shared" si="97"/>
        <v>3.9209655972984183E-4</v>
      </c>
      <c r="P117" s="140">
        <f t="shared" si="97"/>
        <v>2.5473735618415129E-4</v>
      </c>
      <c r="Q117" s="140">
        <f t="shared" si="97"/>
        <v>1.9558752274554631E-4</v>
      </c>
      <c r="R117" s="140">
        <f t="shared" ref="R117:V120" si="98">IF(R25=0,0,R25/R$17)</f>
        <v>1.7948244781741121E-4</v>
      </c>
      <c r="S117" s="140">
        <f t="shared" si="98"/>
        <v>1.5544597551127708E-4</v>
      </c>
      <c r="T117" s="140">
        <f t="shared" si="98"/>
        <v>8.5114982479361781E-5</v>
      </c>
      <c r="U117" s="140">
        <f t="shared" si="98"/>
        <v>1.2807333929149275E-4</v>
      </c>
      <c r="V117" s="140">
        <f t="shared" si="98"/>
        <v>8.2345241096401021E-5</v>
      </c>
      <c r="W117" s="140">
        <f t="shared" si="95"/>
        <v>8.0515283319121565E-5</v>
      </c>
      <c r="X117" s="140">
        <f t="shared" si="95"/>
        <v>1.1602871851579326E-4</v>
      </c>
      <c r="Y117" s="140">
        <f t="shared" si="95"/>
        <v>1.0364744596118774E-4</v>
      </c>
      <c r="DA117" s="175"/>
    </row>
    <row r="118" spans="1:105" ht="11.45" customHeight="1" x14ac:dyDescent="0.25">
      <c r="A118" s="109" t="s">
        <v>141</v>
      </c>
      <c r="B118" s="124">
        <f t="shared" ref="B118:Q118" si="99">IF(B26=0,0,B26/B$17)</f>
        <v>6.6520521100087507E-2</v>
      </c>
      <c r="C118" s="124">
        <f t="shared" si="99"/>
        <v>6.7075866410484866E-2</v>
      </c>
      <c r="D118" s="124">
        <f t="shared" si="99"/>
        <v>8.6859805577084337E-2</v>
      </c>
      <c r="E118" s="124">
        <f t="shared" si="99"/>
        <v>7.9110921905118245E-2</v>
      </c>
      <c r="F118" s="124">
        <f t="shared" si="99"/>
        <v>0.13182011729170034</v>
      </c>
      <c r="G118" s="124">
        <f t="shared" si="99"/>
        <v>0.14286199443502082</v>
      </c>
      <c r="H118" s="124">
        <f t="shared" si="99"/>
        <v>0.14014921725960916</v>
      </c>
      <c r="I118" s="124">
        <f t="shared" si="99"/>
        <v>0.13741068714607457</v>
      </c>
      <c r="J118" s="124">
        <f t="shared" si="99"/>
        <v>0.15261468277706616</v>
      </c>
      <c r="K118" s="124">
        <f t="shared" si="99"/>
        <v>0.2348492993600686</v>
      </c>
      <c r="L118" s="124">
        <f t="shared" si="99"/>
        <v>0.32228621514568506</v>
      </c>
      <c r="M118" s="124">
        <f t="shared" si="99"/>
        <v>0.26033878176718783</v>
      </c>
      <c r="N118" s="124">
        <f t="shared" si="99"/>
        <v>0.27684282674387051</v>
      </c>
      <c r="O118" s="124">
        <f t="shared" si="99"/>
        <v>0.27379583374939398</v>
      </c>
      <c r="P118" s="124">
        <f t="shared" si="99"/>
        <v>0.27157103202950705</v>
      </c>
      <c r="Q118" s="124">
        <f t="shared" si="99"/>
        <v>0.28502858172457252</v>
      </c>
      <c r="R118" s="124">
        <f t="shared" si="98"/>
        <v>0.27574077718481793</v>
      </c>
      <c r="S118" s="124">
        <f t="shared" si="98"/>
        <v>0.25608321808624313</v>
      </c>
      <c r="T118" s="124">
        <f t="shared" si="98"/>
        <v>0.25154058599876611</v>
      </c>
      <c r="U118" s="124">
        <f t="shared" si="98"/>
        <v>0.2620827983285518</v>
      </c>
      <c r="V118" s="124">
        <f t="shared" si="98"/>
        <v>0.26497518823648303</v>
      </c>
      <c r="W118" s="124">
        <f t="shared" si="95"/>
        <v>0.23318137807546896</v>
      </c>
      <c r="X118" s="124">
        <f t="shared" si="95"/>
        <v>0.19026020801356922</v>
      </c>
      <c r="Y118" s="124">
        <f t="shared" si="95"/>
        <v>0.20646653593905487</v>
      </c>
      <c r="DA118" s="176"/>
    </row>
    <row r="119" spans="1:105" ht="11.45" customHeight="1" x14ac:dyDescent="0.25">
      <c r="A119" s="128" t="str">
        <f>$A$27</f>
        <v>Domestic coastal shipping</v>
      </c>
      <c r="B119" s="140">
        <f t="shared" ref="B119:Q119" si="100">IF(B27=0,0,B27/B$17)</f>
        <v>0</v>
      </c>
      <c r="C119" s="140">
        <f t="shared" si="100"/>
        <v>0</v>
      </c>
      <c r="D119" s="140">
        <f t="shared" si="100"/>
        <v>0</v>
      </c>
      <c r="E119" s="140">
        <f t="shared" si="100"/>
        <v>0</v>
      </c>
      <c r="F119" s="140">
        <f t="shared" si="100"/>
        <v>0</v>
      </c>
      <c r="G119" s="140">
        <f t="shared" si="100"/>
        <v>0</v>
      </c>
      <c r="H119" s="140">
        <f t="shared" si="100"/>
        <v>0</v>
      </c>
      <c r="I119" s="140">
        <f t="shared" si="100"/>
        <v>0</v>
      </c>
      <c r="J119" s="140">
        <f t="shared" si="100"/>
        <v>0</v>
      </c>
      <c r="K119" s="140">
        <f t="shared" si="100"/>
        <v>0</v>
      </c>
      <c r="L119" s="140">
        <f t="shared" si="100"/>
        <v>0</v>
      </c>
      <c r="M119" s="140">
        <f t="shared" si="100"/>
        <v>0</v>
      </c>
      <c r="N119" s="140">
        <f t="shared" si="100"/>
        <v>0</v>
      </c>
      <c r="O119" s="140">
        <f t="shared" si="100"/>
        <v>0</v>
      </c>
      <c r="P119" s="140">
        <f t="shared" si="100"/>
        <v>0</v>
      </c>
      <c r="Q119" s="140">
        <f t="shared" si="100"/>
        <v>0</v>
      </c>
      <c r="R119" s="140">
        <f t="shared" si="98"/>
        <v>0</v>
      </c>
      <c r="S119" s="140">
        <f t="shared" si="98"/>
        <v>0</v>
      </c>
      <c r="T119" s="140">
        <f t="shared" si="98"/>
        <v>0</v>
      </c>
      <c r="U119" s="140">
        <f t="shared" si="98"/>
        <v>0</v>
      </c>
      <c r="V119" s="140">
        <f t="shared" si="98"/>
        <v>0</v>
      </c>
      <c r="W119" s="140">
        <f t="shared" si="95"/>
        <v>0</v>
      </c>
      <c r="X119" s="140">
        <f t="shared" si="95"/>
        <v>0</v>
      </c>
      <c r="Y119" s="140">
        <f t="shared" si="95"/>
        <v>0</v>
      </c>
      <c r="DA119" s="175"/>
    </row>
    <row r="120" spans="1:105" ht="11.45" customHeight="1" x14ac:dyDescent="0.25">
      <c r="A120" s="138" t="str">
        <f>$A$28</f>
        <v>Inland waterways</v>
      </c>
      <c r="B120" s="127">
        <f t="shared" ref="B120:Q120" si="101">IF(B28=0,0,B28/B$17)</f>
        <v>6.6520521100087507E-2</v>
      </c>
      <c r="C120" s="127">
        <f t="shared" si="101"/>
        <v>6.7075866410484866E-2</v>
      </c>
      <c r="D120" s="127">
        <f t="shared" si="101"/>
        <v>8.6859805577084337E-2</v>
      </c>
      <c r="E120" s="127">
        <f t="shared" si="101"/>
        <v>7.9110921905118245E-2</v>
      </c>
      <c r="F120" s="127">
        <f t="shared" si="101"/>
        <v>0.13182011729170034</v>
      </c>
      <c r="G120" s="127">
        <f t="shared" si="101"/>
        <v>0.14286199443502082</v>
      </c>
      <c r="H120" s="127">
        <f t="shared" si="101"/>
        <v>0.14014921725960916</v>
      </c>
      <c r="I120" s="127">
        <f t="shared" si="101"/>
        <v>0.13741068714607457</v>
      </c>
      <c r="J120" s="127">
        <f t="shared" si="101"/>
        <v>0.15261468277706616</v>
      </c>
      <c r="K120" s="127">
        <f t="shared" si="101"/>
        <v>0.2348492993600686</v>
      </c>
      <c r="L120" s="127">
        <f t="shared" si="101"/>
        <v>0.32228621514568506</v>
      </c>
      <c r="M120" s="127">
        <f t="shared" si="101"/>
        <v>0.26033878176718783</v>
      </c>
      <c r="N120" s="127">
        <f t="shared" si="101"/>
        <v>0.27684282674387051</v>
      </c>
      <c r="O120" s="127">
        <f t="shared" si="101"/>
        <v>0.27379583374939398</v>
      </c>
      <c r="P120" s="127">
        <f t="shared" si="101"/>
        <v>0.27157103202950705</v>
      </c>
      <c r="Q120" s="127">
        <f t="shared" si="101"/>
        <v>0.28502858172457252</v>
      </c>
      <c r="R120" s="127">
        <f t="shared" si="98"/>
        <v>0.27574077718481793</v>
      </c>
      <c r="S120" s="127">
        <f t="shared" si="98"/>
        <v>0.25608321808624313</v>
      </c>
      <c r="T120" s="127">
        <f t="shared" si="98"/>
        <v>0.25154058599876611</v>
      </c>
      <c r="U120" s="127">
        <f t="shared" si="98"/>
        <v>0.2620827983285518</v>
      </c>
      <c r="V120" s="127">
        <f t="shared" si="98"/>
        <v>0.26497518823648303</v>
      </c>
      <c r="W120" s="127">
        <f t="shared" si="95"/>
        <v>0.23318137807546896</v>
      </c>
      <c r="X120" s="127">
        <f t="shared" si="95"/>
        <v>0.19026020801356922</v>
      </c>
      <c r="Y120" s="127">
        <f t="shared" si="95"/>
        <v>0.20646653593905487</v>
      </c>
      <c r="DA120" s="178"/>
    </row>
    <row r="121" spans="1:105" ht="11.45" customHeight="1" x14ac:dyDescent="0.25">
      <c r="A121" s="27" t="s">
        <v>171</v>
      </c>
      <c r="B121" s="31">
        <f t="shared" ref="B121:Y121" si="102">IF(B29=0,0,B29/B$29)</f>
        <v>0</v>
      </c>
      <c r="C121" s="31">
        <f t="shared" si="102"/>
        <v>0</v>
      </c>
      <c r="D121" s="31">
        <f t="shared" si="102"/>
        <v>0</v>
      </c>
      <c r="E121" s="31">
        <f t="shared" si="102"/>
        <v>0</v>
      </c>
      <c r="F121" s="31">
        <f t="shared" si="102"/>
        <v>0</v>
      </c>
      <c r="G121" s="31">
        <f t="shared" si="102"/>
        <v>0</v>
      </c>
      <c r="H121" s="31">
        <f t="shared" si="102"/>
        <v>0</v>
      </c>
      <c r="I121" s="31">
        <f t="shared" si="102"/>
        <v>1</v>
      </c>
      <c r="J121" s="31">
        <f t="shared" si="102"/>
        <v>1</v>
      </c>
      <c r="K121" s="31">
        <f t="shared" si="102"/>
        <v>1</v>
      </c>
      <c r="L121" s="31">
        <f t="shared" si="102"/>
        <v>1</v>
      </c>
      <c r="M121" s="31">
        <f t="shared" si="102"/>
        <v>1</v>
      </c>
      <c r="N121" s="31">
        <f t="shared" si="102"/>
        <v>1</v>
      </c>
      <c r="O121" s="31">
        <f t="shared" si="102"/>
        <v>1</v>
      </c>
      <c r="P121" s="31">
        <f t="shared" si="102"/>
        <v>1</v>
      </c>
      <c r="Q121" s="31">
        <f t="shared" si="102"/>
        <v>1</v>
      </c>
      <c r="R121" s="31">
        <f t="shared" si="102"/>
        <v>1</v>
      </c>
      <c r="S121" s="31">
        <f t="shared" si="102"/>
        <v>1</v>
      </c>
      <c r="T121" s="31">
        <f t="shared" si="102"/>
        <v>1</v>
      </c>
      <c r="U121" s="31">
        <f t="shared" si="102"/>
        <v>1</v>
      </c>
      <c r="V121" s="31">
        <f t="shared" si="102"/>
        <v>1</v>
      </c>
      <c r="W121" s="31">
        <f t="shared" si="102"/>
        <v>1</v>
      </c>
      <c r="X121" s="31">
        <f t="shared" si="102"/>
        <v>1</v>
      </c>
      <c r="Y121" s="31">
        <f t="shared" si="102"/>
        <v>1</v>
      </c>
      <c r="DA121" s="173"/>
    </row>
    <row r="122" spans="1:105" ht="11.45" customHeight="1" x14ac:dyDescent="0.25">
      <c r="A122" s="128" t="str">
        <f>$A$30</f>
        <v>Intra-EEA</v>
      </c>
      <c r="B122" s="140">
        <f t="shared" ref="B122:Y122" si="103">IF(B30=0,0,B30/B$29)</f>
        <v>0</v>
      </c>
      <c r="C122" s="140">
        <f t="shared" si="103"/>
        <v>0</v>
      </c>
      <c r="D122" s="140">
        <f t="shared" si="103"/>
        <v>0</v>
      </c>
      <c r="E122" s="140">
        <f t="shared" si="103"/>
        <v>0</v>
      </c>
      <c r="F122" s="140">
        <f t="shared" si="103"/>
        <v>0</v>
      </c>
      <c r="G122" s="140">
        <f t="shared" si="103"/>
        <v>0</v>
      </c>
      <c r="H122" s="140">
        <f t="shared" si="103"/>
        <v>0</v>
      </c>
      <c r="I122" s="140">
        <f t="shared" si="103"/>
        <v>0.11364096512047267</v>
      </c>
      <c r="J122" s="140">
        <f t="shared" si="103"/>
        <v>0.10925543402808996</v>
      </c>
      <c r="K122" s="140">
        <f t="shared" si="103"/>
        <v>0.30122511708427241</v>
      </c>
      <c r="L122" s="140">
        <f t="shared" si="103"/>
        <v>0.21516390906352115</v>
      </c>
      <c r="M122" s="140">
        <f t="shared" si="103"/>
        <v>0.18929357965719465</v>
      </c>
      <c r="N122" s="140">
        <f t="shared" si="103"/>
        <v>0.14618022349476853</v>
      </c>
      <c r="O122" s="140">
        <f t="shared" si="103"/>
        <v>0.13465972816439045</v>
      </c>
      <c r="P122" s="140">
        <f t="shared" si="103"/>
        <v>0.19601359469952651</v>
      </c>
      <c r="Q122" s="140">
        <f t="shared" si="103"/>
        <v>0.20077942923436176</v>
      </c>
      <c r="R122" s="140">
        <f t="shared" si="103"/>
        <v>0.20887650956466053</v>
      </c>
      <c r="S122" s="140">
        <f t="shared" si="103"/>
        <v>0.24404286608446593</v>
      </c>
      <c r="T122" s="140">
        <f t="shared" si="103"/>
        <v>0.26147040472006949</v>
      </c>
      <c r="U122" s="140">
        <f t="shared" si="103"/>
        <v>0.19621471877345845</v>
      </c>
      <c r="V122" s="140">
        <f t="shared" si="103"/>
        <v>0.22116951618279962</v>
      </c>
      <c r="W122" s="140">
        <f t="shared" si="103"/>
        <v>0.20032180599142752</v>
      </c>
      <c r="X122" s="140">
        <f t="shared" si="103"/>
        <v>0.23579328573313757</v>
      </c>
      <c r="Y122" s="140">
        <f t="shared" si="103"/>
        <v>0.22972809217466283</v>
      </c>
      <c r="DA122" s="175"/>
    </row>
    <row r="123" spans="1:105" ht="11.45" customHeight="1" x14ac:dyDescent="0.25">
      <c r="A123" s="138" t="str">
        <f>$A$31</f>
        <v>Extra-EEA</v>
      </c>
      <c r="B123" s="127">
        <f t="shared" ref="B123:Y123" si="104">IF(B31=0,0,B31/B$29)</f>
        <v>0</v>
      </c>
      <c r="C123" s="127">
        <f t="shared" si="104"/>
        <v>0</v>
      </c>
      <c r="D123" s="127">
        <f t="shared" si="104"/>
        <v>0</v>
      </c>
      <c r="E123" s="127">
        <f t="shared" si="104"/>
        <v>0</v>
      </c>
      <c r="F123" s="127">
        <f t="shared" si="104"/>
        <v>0</v>
      </c>
      <c r="G123" s="127">
        <f t="shared" si="104"/>
        <v>0</v>
      </c>
      <c r="H123" s="127">
        <f t="shared" si="104"/>
        <v>0</v>
      </c>
      <c r="I123" s="127">
        <f t="shared" si="104"/>
        <v>0.88635903487952739</v>
      </c>
      <c r="J123" s="127">
        <f t="shared" si="104"/>
        <v>0.8907445659719101</v>
      </c>
      <c r="K123" s="127">
        <f t="shared" si="104"/>
        <v>0.69877488291572754</v>
      </c>
      <c r="L123" s="127">
        <f t="shared" si="104"/>
        <v>0.78483609093647877</v>
      </c>
      <c r="M123" s="127">
        <f t="shared" si="104"/>
        <v>0.81070642034280538</v>
      </c>
      <c r="N123" s="127">
        <f t="shared" si="104"/>
        <v>0.85381977650523144</v>
      </c>
      <c r="O123" s="127">
        <f t="shared" si="104"/>
        <v>0.86534027183560958</v>
      </c>
      <c r="P123" s="127">
        <f t="shared" si="104"/>
        <v>0.80398640530047361</v>
      </c>
      <c r="Q123" s="127">
        <f t="shared" si="104"/>
        <v>0.79922057076563824</v>
      </c>
      <c r="R123" s="127">
        <f t="shared" si="104"/>
        <v>0.79112349043533947</v>
      </c>
      <c r="S123" s="127">
        <f t="shared" si="104"/>
        <v>0.7559571339155341</v>
      </c>
      <c r="T123" s="127">
        <f t="shared" si="104"/>
        <v>0.73852959527993056</v>
      </c>
      <c r="U123" s="127">
        <f t="shared" si="104"/>
        <v>0.80378528122654158</v>
      </c>
      <c r="V123" s="127">
        <f t="shared" si="104"/>
        <v>0.77883048381720044</v>
      </c>
      <c r="W123" s="127">
        <f t="shared" si="104"/>
        <v>0.79967819400857254</v>
      </c>
      <c r="X123" s="127">
        <f t="shared" si="104"/>
        <v>0.76420671426686237</v>
      </c>
      <c r="Y123" s="127">
        <f t="shared" si="104"/>
        <v>0.77027190782533728</v>
      </c>
      <c r="DA123" s="178"/>
    </row>
    <row r="124" spans="1:105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DA124" s="171"/>
    </row>
    <row r="125" spans="1:105" ht="11.45" customHeight="1" x14ac:dyDescent="0.25">
      <c r="A125" s="53" t="s">
        <v>40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DA125" s="172"/>
    </row>
    <row r="126" spans="1:105" ht="11.45" customHeight="1" x14ac:dyDescent="0.25">
      <c r="A126" s="27" t="s">
        <v>33</v>
      </c>
      <c r="B126" s="31">
        <f t="shared" ref="B126:B138" si="105">IF(B34=0,0,B34/B$34)</f>
        <v>1</v>
      </c>
      <c r="C126" s="31">
        <f t="shared" ref="C126:Y126" si="106">IF(C34=0,0,C34/C$34)</f>
        <v>1</v>
      </c>
      <c r="D126" s="31">
        <f t="shared" si="106"/>
        <v>1</v>
      </c>
      <c r="E126" s="31">
        <f t="shared" si="106"/>
        <v>1</v>
      </c>
      <c r="F126" s="31">
        <f t="shared" si="106"/>
        <v>1</v>
      </c>
      <c r="G126" s="31">
        <f t="shared" si="106"/>
        <v>1</v>
      </c>
      <c r="H126" s="31">
        <f t="shared" si="106"/>
        <v>1</v>
      </c>
      <c r="I126" s="31">
        <f t="shared" si="106"/>
        <v>1</v>
      </c>
      <c r="J126" s="31">
        <f t="shared" si="106"/>
        <v>1</v>
      </c>
      <c r="K126" s="31">
        <f t="shared" si="106"/>
        <v>1</v>
      </c>
      <c r="L126" s="31">
        <f t="shared" si="106"/>
        <v>1</v>
      </c>
      <c r="M126" s="31">
        <f t="shared" si="106"/>
        <v>1</v>
      </c>
      <c r="N126" s="31">
        <f t="shared" si="106"/>
        <v>1</v>
      </c>
      <c r="O126" s="31">
        <f t="shared" si="106"/>
        <v>1</v>
      </c>
      <c r="P126" s="31">
        <f t="shared" si="106"/>
        <v>1</v>
      </c>
      <c r="Q126" s="31">
        <f t="shared" si="106"/>
        <v>1</v>
      </c>
      <c r="R126" s="31">
        <f t="shared" si="106"/>
        <v>1</v>
      </c>
      <c r="S126" s="31">
        <f t="shared" si="106"/>
        <v>1</v>
      </c>
      <c r="T126" s="31">
        <f t="shared" si="106"/>
        <v>1</v>
      </c>
      <c r="U126" s="31">
        <f t="shared" si="106"/>
        <v>1</v>
      </c>
      <c r="V126" s="31">
        <f t="shared" si="106"/>
        <v>1</v>
      </c>
      <c r="W126" s="31">
        <f t="shared" si="106"/>
        <v>1</v>
      </c>
      <c r="X126" s="31">
        <f t="shared" si="106"/>
        <v>1</v>
      </c>
      <c r="Y126" s="31">
        <f t="shared" si="106"/>
        <v>1</v>
      </c>
      <c r="DA126" s="173"/>
    </row>
    <row r="127" spans="1:105" ht="11.45" customHeight="1" x14ac:dyDescent="0.25">
      <c r="A127" s="136" t="str">
        <f>$A$5</f>
        <v>Road transport</v>
      </c>
      <c r="B127" s="139">
        <f t="shared" si="105"/>
        <v>0.81947163582224103</v>
      </c>
      <c r="C127" s="139">
        <f t="shared" ref="C127:Y127" si="107">IF(C35=0,0,C35/C$34)</f>
        <v>0.89772353290561324</v>
      </c>
      <c r="D127" s="139">
        <f t="shared" si="107"/>
        <v>0.88336436165233767</v>
      </c>
      <c r="E127" s="139">
        <f t="shared" si="107"/>
        <v>0.88523466236973325</v>
      </c>
      <c r="F127" s="139">
        <f t="shared" si="107"/>
        <v>0.88595084700726079</v>
      </c>
      <c r="G127" s="139">
        <f t="shared" si="107"/>
        <v>0.91742516190272028</v>
      </c>
      <c r="H127" s="139">
        <f t="shared" si="107"/>
        <v>0.91266829621809131</v>
      </c>
      <c r="I127" s="139">
        <f t="shared" si="107"/>
        <v>0.87833815794951953</v>
      </c>
      <c r="J127" s="139">
        <f t="shared" si="107"/>
        <v>0.89460106612627699</v>
      </c>
      <c r="K127" s="139">
        <f t="shared" si="107"/>
        <v>0.89992717985429871</v>
      </c>
      <c r="L127" s="139">
        <f t="shared" si="107"/>
        <v>0.88459927929523152</v>
      </c>
      <c r="M127" s="139">
        <f t="shared" si="107"/>
        <v>0.89189474428757543</v>
      </c>
      <c r="N127" s="139">
        <f t="shared" si="107"/>
        <v>0.9076771084566313</v>
      </c>
      <c r="O127" s="139">
        <f t="shared" si="107"/>
        <v>0.90165188031184185</v>
      </c>
      <c r="P127" s="139">
        <f t="shared" si="107"/>
        <v>0.90965390563378035</v>
      </c>
      <c r="Q127" s="139">
        <f t="shared" si="107"/>
        <v>0.90407935549319529</v>
      </c>
      <c r="R127" s="139">
        <f t="shared" si="107"/>
        <v>0.90191599471220774</v>
      </c>
      <c r="S127" s="139">
        <f t="shared" si="107"/>
        <v>0.89254557465457718</v>
      </c>
      <c r="T127" s="139">
        <f t="shared" si="107"/>
        <v>0.9352455994983998</v>
      </c>
      <c r="U127" s="139">
        <f t="shared" si="107"/>
        <v>0.92695192084948275</v>
      </c>
      <c r="V127" s="139">
        <f t="shared" si="107"/>
        <v>0.95284901708938552</v>
      </c>
      <c r="W127" s="139">
        <f t="shared" si="107"/>
        <v>0.94701766953723931</v>
      </c>
      <c r="X127" s="139">
        <f t="shared" si="107"/>
        <v>0.95076125324540861</v>
      </c>
      <c r="Y127" s="139">
        <f t="shared" si="107"/>
        <v>0.95810815720652631</v>
      </c>
      <c r="DA127" s="174"/>
    </row>
    <row r="128" spans="1:105" ht="11.45" customHeight="1" x14ac:dyDescent="0.25">
      <c r="A128" s="128" t="str">
        <f>$A$6</f>
        <v>Powered two-wheelers</v>
      </c>
      <c r="B128" s="140">
        <f t="shared" si="105"/>
        <v>5.1416368591637321E-3</v>
      </c>
      <c r="C128" s="140">
        <f t="shared" ref="C128:Y128" si="108">IF(C36=0,0,C36/C$34)</f>
        <v>4.3468990624391923E-3</v>
      </c>
      <c r="D128" s="140">
        <f t="shared" si="108"/>
        <v>4.2470899712173642E-3</v>
      </c>
      <c r="E128" s="140">
        <f t="shared" si="108"/>
        <v>4.0078683130264697E-3</v>
      </c>
      <c r="F128" s="140">
        <f t="shared" si="108"/>
        <v>3.6834903008392096E-3</v>
      </c>
      <c r="G128" s="140">
        <f t="shared" si="108"/>
        <v>3.7569583730737207E-3</v>
      </c>
      <c r="H128" s="140">
        <f t="shared" si="108"/>
        <v>4.0777620276977664E-3</v>
      </c>
      <c r="I128" s="140">
        <f t="shared" si="108"/>
        <v>3.892689287358266E-3</v>
      </c>
      <c r="J128" s="140">
        <f t="shared" si="108"/>
        <v>4.0180769496164616E-3</v>
      </c>
      <c r="K128" s="140">
        <f t="shared" si="108"/>
        <v>4.095159434884069E-3</v>
      </c>
      <c r="L128" s="140">
        <f t="shared" si="108"/>
        <v>4.2816899159864256E-3</v>
      </c>
      <c r="M128" s="140">
        <f t="shared" si="108"/>
        <v>4.3047074485441875E-3</v>
      </c>
      <c r="N128" s="140">
        <f t="shared" si="108"/>
        <v>4.3033371676626823E-3</v>
      </c>
      <c r="O128" s="140">
        <f t="shared" si="108"/>
        <v>4.6415978500047922E-3</v>
      </c>
      <c r="P128" s="140">
        <f t="shared" si="108"/>
        <v>4.6454505101601274E-3</v>
      </c>
      <c r="Q128" s="140">
        <f t="shared" si="108"/>
        <v>4.7353989227748722E-3</v>
      </c>
      <c r="R128" s="140">
        <f t="shared" si="108"/>
        <v>4.6738432892006482E-3</v>
      </c>
      <c r="S128" s="140">
        <f t="shared" si="108"/>
        <v>4.0975676719540157E-3</v>
      </c>
      <c r="T128" s="140">
        <f t="shared" si="108"/>
        <v>3.9374041331411876E-3</v>
      </c>
      <c r="U128" s="140">
        <f t="shared" si="108"/>
        <v>3.9918385830025344E-3</v>
      </c>
      <c r="V128" s="140">
        <f t="shared" si="108"/>
        <v>3.7542999924560813E-3</v>
      </c>
      <c r="W128" s="140">
        <f t="shared" si="108"/>
        <v>3.7136171443152301E-3</v>
      </c>
      <c r="X128" s="140">
        <f t="shared" si="108"/>
        <v>3.5308276632291793E-3</v>
      </c>
      <c r="Y128" s="140">
        <f t="shared" si="108"/>
        <v>3.6753821990215519E-3</v>
      </c>
      <c r="DA128" s="175"/>
    </row>
    <row r="129" spans="1:105" ht="11.45" customHeight="1" x14ac:dyDescent="0.25">
      <c r="A129" s="128" t="str">
        <f>$A$7</f>
        <v>Passenger cars</v>
      </c>
      <c r="B129" s="140">
        <f t="shared" si="105"/>
        <v>0.58979207580936721</v>
      </c>
      <c r="C129" s="140">
        <f t="shared" ref="C129:Y129" si="109">IF(C37=0,0,C37/C$34)</f>
        <v>0.66867968830636948</v>
      </c>
      <c r="D129" s="140">
        <f t="shared" si="109"/>
        <v>0.66846300375468537</v>
      </c>
      <c r="E129" s="140">
        <f t="shared" si="109"/>
        <v>0.65884753443507771</v>
      </c>
      <c r="F129" s="140">
        <f t="shared" si="109"/>
        <v>0.66717317715246871</v>
      </c>
      <c r="G129" s="140">
        <f t="shared" si="109"/>
        <v>0.69993342381958501</v>
      </c>
      <c r="H129" s="140">
        <f t="shared" si="109"/>
        <v>0.70869526787389703</v>
      </c>
      <c r="I129" s="140">
        <f t="shared" si="109"/>
        <v>0.67592616168440522</v>
      </c>
      <c r="J129" s="140">
        <f t="shared" si="109"/>
        <v>0.652018008654077</v>
      </c>
      <c r="K129" s="140">
        <f t="shared" si="109"/>
        <v>0.66119917338680956</v>
      </c>
      <c r="L129" s="140">
        <f t="shared" si="109"/>
        <v>0.64152870097086545</v>
      </c>
      <c r="M129" s="140">
        <f t="shared" si="109"/>
        <v>0.6509242761082501</v>
      </c>
      <c r="N129" s="140">
        <f t="shared" si="109"/>
        <v>0.66701697411006078</v>
      </c>
      <c r="O129" s="140">
        <f t="shared" si="109"/>
        <v>0.65029654577722273</v>
      </c>
      <c r="P129" s="140">
        <f t="shared" si="109"/>
        <v>0.65581930582544889</v>
      </c>
      <c r="Q129" s="140">
        <f t="shared" si="109"/>
        <v>0.64700525085291616</v>
      </c>
      <c r="R129" s="140">
        <f t="shared" si="109"/>
        <v>0.65101932793800898</v>
      </c>
      <c r="S129" s="140">
        <f t="shared" si="109"/>
        <v>0.64665423866830696</v>
      </c>
      <c r="T129" s="140">
        <f t="shared" si="109"/>
        <v>0.68202432775719901</v>
      </c>
      <c r="U129" s="140">
        <f t="shared" si="109"/>
        <v>0.6786979576952713</v>
      </c>
      <c r="V129" s="140">
        <f t="shared" si="109"/>
        <v>0.67998419159429191</v>
      </c>
      <c r="W129" s="140">
        <f t="shared" si="109"/>
        <v>0.68487014766613696</v>
      </c>
      <c r="X129" s="140">
        <f t="shared" si="109"/>
        <v>0.6983700188256905</v>
      </c>
      <c r="Y129" s="140">
        <f t="shared" si="109"/>
        <v>0.71519405522847268</v>
      </c>
      <c r="DA129" s="175"/>
    </row>
    <row r="130" spans="1:105" ht="11.45" customHeight="1" x14ac:dyDescent="0.25">
      <c r="A130" s="128" t="str">
        <f>$A$8</f>
        <v>Motor coaches, buses and trolley buses</v>
      </c>
      <c r="B130" s="140">
        <f t="shared" si="105"/>
        <v>0.22453792315371016</v>
      </c>
      <c r="C130" s="140">
        <f t="shared" ref="C130:Y130" si="110">IF(C38=0,0,C38/C$34)</f>
        <v>0.22469694553680458</v>
      </c>
      <c r="D130" s="140">
        <f t="shared" si="110"/>
        <v>0.21065426792643488</v>
      </c>
      <c r="E130" s="140">
        <f t="shared" si="110"/>
        <v>0.22237925962162922</v>
      </c>
      <c r="F130" s="140">
        <f t="shared" si="110"/>
        <v>0.21509417955395277</v>
      </c>
      <c r="G130" s="140">
        <f t="shared" si="110"/>
        <v>0.21373477971006155</v>
      </c>
      <c r="H130" s="140">
        <f t="shared" si="110"/>
        <v>0.19989526631649659</v>
      </c>
      <c r="I130" s="140">
        <f t="shared" si="110"/>
        <v>0.19851930697775597</v>
      </c>
      <c r="J130" s="140">
        <f t="shared" si="110"/>
        <v>0.23856498052258343</v>
      </c>
      <c r="K130" s="140">
        <f t="shared" si="110"/>
        <v>0.23463284703260506</v>
      </c>
      <c r="L130" s="140">
        <f t="shared" si="110"/>
        <v>0.23878888840837967</v>
      </c>
      <c r="M130" s="140">
        <f t="shared" si="110"/>
        <v>0.23666576073078116</v>
      </c>
      <c r="N130" s="140">
        <f t="shared" si="110"/>
        <v>0.23635679717890778</v>
      </c>
      <c r="O130" s="140">
        <f t="shared" si="110"/>
        <v>0.24671373668461424</v>
      </c>
      <c r="P130" s="140">
        <f t="shared" si="110"/>
        <v>0.24918914929817132</v>
      </c>
      <c r="Q130" s="140">
        <f t="shared" si="110"/>
        <v>0.25233870571750439</v>
      </c>
      <c r="R130" s="140">
        <f t="shared" si="110"/>
        <v>0.24622282348499816</v>
      </c>
      <c r="S130" s="140">
        <f t="shared" si="110"/>
        <v>0.24179376831431598</v>
      </c>
      <c r="T130" s="140">
        <f t="shared" si="110"/>
        <v>0.24928386760805965</v>
      </c>
      <c r="U130" s="140">
        <f t="shared" si="110"/>
        <v>0.24426212457120888</v>
      </c>
      <c r="V130" s="140">
        <f t="shared" si="110"/>
        <v>0.26911052550263748</v>
      </c>
      <c r="W130" s="140">
        <f t="shared" si="110"/>
        <v>0.25843390472678707</v>
      </c>
      <c r="X130" s="140">
        <f t="shared" si="110"/>
        <v>0.24886040675648885</v>
      </c>
      <c r="Y130" s="140">
        <f t="shared" si="110"/>
        <v>0.23923871977903197</v>
      </c>
      <c r="DA130" s="175"/>
    </row>
    <row r="131" spans="1:105" ht="11.45" customHeight="1" x14ac:dyDescent="0.25">
      <c r="A131" s="109" t="str">
        <f>$A$9</f>
        <v>Rail, metro and tram</v>
      </c>
      <c r="B131" s="124">
        <f t="shared" si="105"/>
        <v>0.11931749776186117</v>
      </c>
      <c r="C131" s="124">
        <f t="shared" ref="C131:Y131" si="111">IF(C39=0,0,C39/C$34)</f>
        <v>5.666978271232409E-2</v>
      </c>
      <c r="D131" s="124">
        <f t="shared" si="111"/>
        <v>7.861663827037764E-2</v>
      </c>
      <c r="E131" s="124">
        <f t="shared" si="111"/>
        <v>7.1459914784172282E-2</v>
      </c>
      <c r="F131" s="124">
        <f t="shared" si="111"/>
        <v>6.4687742726051337E-2</v>
      </c>
      <c r="G131" s="124">
        <f t="shared" si="111"/>
        <v>3.5033249041658707E-2</v>
      </c>
      <c r="H131" s="124">
        <f t="shared" si="111"/>
        <v>3.2430140690933744E-2</v>
      </c>
      <c r="I131" s="124">
        <f t="shared" si="111"/>
        <v>5.6453380275524628E-2</v>
      </c>
      <c r="J131" s="124">
        <f t="shared" si="111"/>
        <v>4.665783825704467E-2</v>
      </c>
      <c r="K131" s="124">
        <f t="shared" si="111"/>
        <v>3.9211215543938291E-2</v>
      </c>
      <c r="L131" s="124">
        <f t="shared" si="111"/>
        <v>4.2846415159966664E-2</v>
      </c>
      <c r="M131" s="124">
        <f t="shared" si="111"/>
        <v>5.1127326373196107E-2</v>
      </c>
      <c r="N131" s="124">
        <f t="shared" si="111"/>
        <v>5.0276078339007275E-2</v>
      </c>
      <c r="O131" s="124">
        <f t="shared" si="111"/>
        <v>4.5977507313947681E-2</v>
      </c>
      <c r="P131" s="124">
        <f t="shared" si="111"/>
        <v>3.4816368896099993E-2</v>
      </c>
      <c r="Q131" s="124">
        <f t="shared" si="111"/>
        <v>3.1862834360050524E-2</v>
      </c>
      <c r="R131" s="124">
        <f t="shared" si="111"/>
        <v>2.8632093092739497E-2</v>
      </c>
      <c r="S131" s="124">
        <f t="shared" si="111"/>
        <v>2.9153031799609454E-2</v>
      </c>
      <c r="T131" s="124">
        <f t="shared" si="111"/>
        <v>2.5001905989003901E-2</v>
      </c>
      <c r="U131" s="124">
        <f t="shared" si="111"/>
        <v>2.9786147303493826E-2</v>
      </c>
      <c r="V131" s="124">
        <f t="shared" si="111"/>
        <v>2.9355581693230177E-2</v>
      </c>
      <c r="W131" s="124">
        <f t="shared" si="111"/>
        <v>2.7750133844265425E-2</v>
      </c>
      <c r="X131" s="124">
        <f t="shared" si="111"/>
        <v>1.9795133900839125E-2</v>
      </c>
      <c r="Y131" s="124">
        <f t="shared" si="111"/>
        <v>1.8577972433639647E-2</v>
      </c>
      <c r="DA131" s="176"/>
    </row>
    <row r="132" spans="1:105" ht="11.45" customHeight="1" x14ac:dyDescent="0.25">
      <c r="A132" s="128" t="str">
        <f>$A$10</f>
        <v>Metro and tram, urban light rail</v>
      </c>
      <c r="B132" s="140">
        <f t="shared" si="105"/>
        <v>1.4208634485841176E-2</v>
      </c>
      <c r="C132" s="140">
        <f t="shared" ref="C132:Y132" si="112">IF(C40=0,0,C40/C$34)</f>
        <v>1.1837507650359574E-2</v>
      </c>
      <c r="D132" s="140">
        <f t="shared" si="112"/>
        <v>1.148032087609005E-2</v>
      </c>
      <c r="E132" s="140">
        <f t="shared" si="112"/>
        <v>1.0184362936838861E-2</v>
      </c>
      <c r="F132" s="140">
        <f t="shared" si="112"/>
        <v>9.740585665060749E-3</v>
      </c>
      <c r="G132" s="140">
        <f t="shared" si="112"/>
        <v>1.0863162905118724E-2</v>
      </c>
      <c r="H132" s="140">
        <f t="shared" si="112"/>
        <v>1.143379494985983E-2</v>
      </c>
      <c r="I132" s="140">
        <f t="shared" si="112"/>
        <v>1.0434438356082223E-2</v>
      </c>
      <c r="J132" s="140">
        <f t="shared" si="112"/>
        <v>9.1782940758890694E-3</v>
      </c>
      <c r="K132" s="140">
        <f t="shared" si="112"/>
        <v>9.0228175898464137E-3</v>
      </c>
      <c r="L132" s="140">
        <f t="shared" si="112"/>
        <v>9.2222968859891653E-3</v>
      </c>
      <c r="M132" s="140">
        <f t="shared" si="112"/>
        <v>8.9257112988892391E-3</v>
      </c>
      <c r="N132" s="140">
        <f t="shared" si="112"/>
        <v>9.3253087734976557E-3</v>
      </c>
      <c r="O132" s="140">
        <f t="shared" si="112"/>
        <v>9.5123570067530451E-3</v>
      </c>
      <c r="P132" s="140">
        <f t="shared" si="112"/>
        <v>9.0532541852139988E-3</v>
      </c>
      <c r="Q132" s="140">
        <f t="shared" si="112"/>
        <v>5.308854869336143E-3</v>
      </c>
      <c r="R132" s="140">
        <f t="shared" si="112"/>
        <v>5.086545705644872E-3</v>
      </c>
      <c r="S132" s="140">
        <f t="shared" si="112"/>
        <v>4.6202760036485272E-3</v>
      </c>
      <c r="T132" s="140">
        <f t="shared" si="112"/>
        <v>4.5050268492476345E-3</v>
      </c>
      <c r="U132" s="140">
        <f t="shared" si="112"/>
        <v>4.2018816365963201E-3</v>
      </c>
      <c r="V132" s="140">
        <f t="shared" si="112"/>
        <v>4.3625723493708858E-3</v>
      </c>
      <c r="W132" s="140">
        <f t="shared" si="112"/>
        <v>4.0121899718169899E-3</v>
      </c>
      <c r="X132" s="140">
        <f t="shared" si="112"/>
        <v>4.4071471705364662E-3</v>
      </c>
      <c r="Y132" s="140">
        <f t="shared" si="112"/>
        <v>3.2473403978786754E-3</v>
      </c>
      <c r="DA132" s="175"/>
    </row>
    <row r="133" spans="1:105" ht="11.45" customHeight="1" x14ac:dyDescent="0.25">
      <c r="A133" s="128" t="str">
        <f>$A$11</f>
        <v>Conventional passenger trains</v>
      </c>
      <c r="B133" s="140">
        <f t="shared" si="105"/>
        <v>0.10510886327601998</v>
      </c>
      <c r="C133" s="140">
        <f t="shared" ref="C133:Y133" si="113">IF(C41=0,0,C41/C$34)</f>
        <v>4.4832275061964515E-2</v>
      </c>
      <c r="D133" s="140">
        <f t="shared" si="113"/>
        <v>6.713631739428759E-2</v>
      </c>
      <c r="E133" s="140">
        <f t="shared" si="113"/>
        <v>6.1275551847333416E-2</v>
      </c>
      <c r="F133" s="140">
        <f t="shared" si="113"/>
        <v>5.4947157060990584E-2</v>
      </c>
      <c r="G133" s="140">
        <f t="shared" si="113"/>
        <v>2.4170086136539981E-2</v>
      </c>
      <c r="H133" s="140">
        <f t="shared" si="113"/>
        <v>2.0996345741073917E-2</v>
      </c>
      <c r="I133" s="140">
        <f t="shared" si="113"/>
        <v>4.6018941919442405E-2</v>
      </c>
      <c r="J133" s="140">
        <f t="shared" si="113"/>
        <v>3.7479544181155594E-2</v>
      </c>
      <c r="K133" s="140">
        <f t="shared" si="113"/>
        <v>3.0188397954091877E-2</v>
      </c>
      <c r="L133" s="140">
        <f t="shared" si="113"/>
        <v>3.3624118273977495E-2</v>
      </c>
      <c r="M133" s="140">
        <f t="shared" si="113"/>
        <v>4.2201615074306864E-2</v>
      </c>
      <c r="N133" s="140">
        <f t="shared" si="113"/>
        <v>4.0950769565509623E-2</v>
      </c>
      <c r="O133" s="140">
        <f t="shared" si="113"/>
        <v>3.6465150307194633E-2</v>
      </c>
      <c r="P133" s="140">
        <f t="shared" si="113"/>
        <v>2.5763114710886E-2</v>
      </c>
      <c r="Q133" s="140">
        <f t="shared" si="113"/>
        <v>2.6553979490714374E-2</v>
      </c>
      <c r="R133" s="140">
        <f t="shared" si="113"/>
        <v>2.3545547387094627E-2</v>
      </c>
      <c r="S133" s="140">
        <f t="shared" si="113"/>
        <v>2.4532755795960929E-2</v>
      </c>
      <c r="T133" s="140">
        <f t="shared" si="113"/>
        <v>2.0496879139756268E-2</v>
      </c>
      <c r="U133" s="140">
        <f t="shared" si="113"/>
        <v>2.5584265666897504E-2</v>
      </c>
      <c r="V133" s="140">
        <f t="shared" si="113"/>
        <v>2.4993009343859295E-2</v>
      </c>
      <c r="W133" s="140">
        <f t="shared" si="113"/>
        <v>2.3737943872448434E-2</v>
      </c>
      <c r="X133" s="140">
        <f t="shared" si="113"/>
        <v>1.5387986730302661E-2</v>
      </c>
      <c r="Y133" s="140">
        <f t="shared" si="113"/>
        <v>1.5330632035760971E-2</v>
      </c>
      <c r="DA133" s="175"/>
    </row>
    <row r="134" spans="1:105" ht="11.45" customHeight="1" x14ac:dyDescent="0.25">
      <c r="A134" s="128" t="str">
        <f>$A$12</f>
        <v>High speed passenger trains</v>
      </c>
      <c r="B134" s="140">
        <f t="shared" si="105"/>
        <v>0</v>
      </c>
      <c r="C134" s="140">
        <f t="shared" ref="C134:Y134" si="114">IF(C42=0,0,C42/C$34)</f>
        <v>0</v>
      </c>
      <c r="D134" s="140">
        <f t="shared" si="114"/>
        <v>0</v>
      </c>
      <c r="E134" s="140">
        <f t="shared" si="114"/>
        <v>0</v>
      </c>
      <c r="F134" s="140">
        <f t="shared" si="114"/>
        <v>0</v>
      </c>
      <c r="G134" s="140">
        <f t="shared" si="114"/>
        <v>0</v>
      </c>
      <c r="H134" s="140">
        <f t="shared" si="114"/>
        <v>0</v>
      </c>
      <c r="I134" s="140">
        <f t="shared" si="114"/>
        <v>0</v>
      </c>
      <c r="J134" s="140">
        <f t="shared" si="114"/>
        <v>0</v>
      </c>
      <c r="K134" s="140">
        <f t="shared" si="114"/>
        <v>0</v>
      </c>
      <c r="L134" s="140">
        <f t="shared" si="114"/>
        <v>0</v>
      </c>
      <c r="M134" s="140">
        <f t="shared" si="114"/>
        <v>0</v>
      </c>
      <c r="N134" s="140">
        <f t="shared" si="114"/>
        <v>0</v>
      </c>
      <c r="O134" s="140">
        <f t="shared" si="114"/>
        <v>0</v>
      </c>
      <c r="P134" s="140">
        <f t="shared" si="114"/>
        <v>0</v>
      </c>
      <c r="Q134" s="140">
        <f t="shared" si="114"/>
        <v>0</v>
      </c>
      <c r="R134" s="140">
        <f t="shared" si="114"/>
        <v>0</v>
      </c>
      <c r="S134" s="140">
        <f t="shared" si="114"/>
        <v>0</v>
      </c>
      <c r="T134" s="140">
        <f t="shared" si="114"/>
        <v>0</v>
      </c>
      <c r="U134" s="140">
        <f t="shared" si="114"/>
        <v>0</v>
      </c>
      <c r="V134" s="140">
        <f t="shared" si="114"/>
        <v>0</v>
      </c>
      <c r="W134" s="140">
        <f t="shared" si="114"/>
        <v>0</v>
      </c>
      <c r="X134" s="140">
        <f t="shared" si="114"/>
        <v>0</v>
      </c>
      <c r="Y134" s="140">
        <f t="shared" si="114"/>
        <v>0</v>
      </c>
      <c r="DA134" s="175"/>
    </row>
    <row r="135" spans="1:105" ht="11.45" customHeight="1" x14ac:dyDescent="0.25">
      <c r="A135" s="109" t="str">
        <f>$A$13</f>
        <v>Aviation</v>
      </c>
      <c r="B135" s="124">
        <f t="shared" si="105"/>
        <v>6.1210866415897826E-2</v>
      </c>
      <c r="C135" s="124">
        <f t="shared" ref="C135:Y135" si="115">IF(C43=0,0,C43/C$34)</f>
        <v>4.5606684382062807E-2</v>
      </c>
      <c r="D135" s="124">
        <f t="shared" si="115"/>
        <v>3.8019000077284808E-2</v>
      </c>
      <c r="E135" s="124">
        <f t="shared" si="115"/>
        <v>4.330542284609451E-2</v>
      </c>
      <c r="F135" s="124">
        <f t="shared" si="115"/>
        <v>4.9361410266688055E-2</v>
      </c>
      <c r="G135" s="124">
        <f t="shared" si="115"/>
        <v>4.754158905562117E-2</v>
      </c>
      <c r="H135" s="124">
        <f t="shared" si="115"/>
        <v>5.4901563090974964E-2</v>
      </c>
      <c r="I135" s="124">
        <f t="shared" si="115"/>
        <v>6.5208461774955859E-2</v>
      </c>
      <c r="J135" s="124">
        <f t="shared" si="115"/>
        <v>5.8741095616678361E-2</v>
      </c>
      <c r="K135" s="124">
        <f t="shared" si="115"/>
        <v>6.0861604601763118E-2</v>
      </c>
      <c r="L135" s="124">
        <f t="shared" si="115"/>
        <v>7.2554305544801967E-2</v>
      </c>
      <c r="M135" s="124">
        <f t="shared" si="115"/>
        <v>5.6977929339228545E-2</v>
      </c>
      <c r="N135" s="124">
        <f t="shared" si="115"/>
        <v>4.2046813204361558E-2</v>
      </c>
      <c r="O135" s="124">
        <f t="shared" si="115"/>
        <v>5.237061237421059E-2</v>
      </c>
      <c r="P135" s="124">
        <f t="shared" si="115"/>
        <v>5.5529725470119772E-2</v>
      </c>
      <c r="Q135" s="124">
        <f t="shared" si="115"/>
        <v>6.4057810146754129E-2</v>
      </c>
      <c r="R135" s="124">
        <f t="shared" si="115"/>
        <v>6.9451912195052687E-2</v>
      </c>
      <c r="S135" s="124">
        <f t="shared" si="115"/>
        <v>7.8301393545813378E-2</v>
      </c>
      <c r="T135" s="124">
        <f t="shared" si="115"/>
        <v>3.9752494512596305E-2</v>
      </c>
      <c r="U135" s="124">
        <f t="shared" si="115"/>
        <v>4.3261931847023288E-2</v>
      </c>
      <c r="V135" s="124">
        <f t="shared" si="115"/>
        <v>1.7795401217384241E-2</v>
      </c>
      <c r="W135" s="124">
        <f t="shared" si="115"/>
        <v>2.5232196618495205E-2</v>
      </c>
      <c r="X135" s="124">
        <f t="shared" si="115"/>
        <v>2.9443612853752299E-2</v>
      </c>
      <c r="Y135" s="124">
        <f t="shared" si="115"/>
        <v>2.3313870359834177E-2</v>
      </c>
      <c r="DA135" s="176"/>
    </row>
    <row r="136" spans="1:105" ht="11.45" customHeight="1" x14ac:dyDescent="0.25">
      <c r="A136" s="128" t="str">
        <f>$A$14</f>
        <v>Domestic</v>
      </c>
      <c r="B136" s="140">
        <f t="shared" si="105"/>
        <v>2.8681254120652994E-3</v>
      </c>
      <c r="C136" s="140">
        <f t="shared" ref="C136:Y136" si="116">IF(C44=0,0,C44/C$34)</f>
        <v>1.2093018531794319E-3</v>
      </c>
      <c r="D136" s="140">
        <f t="shared" si="116"/>
        <v>7.8700209356055641E-4</v>
      </c>
      <c r="E136" s="140">
        <f t="shared" si="116"/>
        <v>7.4022844537736064E-4</v>
      </c>
      <c r="F136" s="140">
        <f t="shared" si="116"/>
        <v>4.0465244602400233E-3</v>
      </c>
      <c r="G136" s="140">
        <f t="shared" si="116"/>
        <v>4.0574187125979842E-3</v>
      </c>
      <c r="H136" s="140">
        <f t="shared" si="116"/>
        <v>7.4562930777906139E-4</v>
      </c>
      <c r="I136" s="140">
        <f t="shared" si="116"/>
        <v>2.6302736804294548E-2</v>
      </c>
      <c r="J136" s="140">
        <f t="shared" si="116"/>
        <v>2.2165406831369212E-2</v>
      </c>
      <c r="K136" s="140">
        <f t="shared" si="116"/>
        <v>2.2318068921674497E-2</v>
      </c>
      <c r="L136" s="140">
        <f t="shared" si="116"/>
        <v>2.925496775738393E-2</v>
      </c>
      <c r="M136" s="140">
        <f t="shared" si="116"/>
        <v>2.0598278760178786E-2</v>
      </c>
      <c r="N136" s="140">
        <f t="shared" si="116"/>
        <v>9.8869835806021378E-3</v>
      </c>
      <c r="O136" s="140">
        <f t="shared" si="116"/>
        <v>1.1435223421516878E-2</v>
      </c>
      <c r="P136" s="140">
        <f t="shared" si="116"/>
        <v>5.8870697854210806E-3</v>
      </c>
      <c r="Q136" s="140">
        <f t="shared" si="116"/>
        <v>7.7649604385683054E-3</v>
      </c>
      <c r="R136" s="140">
        <f t="shared" si="116"/>
        <v>6.1457652511064951E-3</v>
      </c>
      <c r="S136" s="140">
        <f t="shared" si="116"/>
        <v>1.008766835622534E-2</v>
      </c>
      <c r="T136" s="140">
        <f t="shared" si="116"/>
        <v>1.1494221370575389E-2</v>
      </c>
      <c r="U136" s="140">
        <f t="shared" si="116"/>
        <v>1.2901452654423488E-2</v>
      </c>
      <c r="V136" s="140">
        <f t="shared" si="116"/>
        <v>8.0263337366578615E-3</v>
      </c>
      <c r="W136" s="140">
        <f t="shared" si="116"/>
        <v>9.1443215701452474E-3</v>
      </c>
      <c r="X136" s="140">
        <f t="shared" si="116"/>
        <v>1.2767907086533485E-2</v>
      </c>
      <c r="Y136" s="140">
        <f t="shared" si="116"/>
        <v>6.7813550494504734E-3</v>
      </c>
      <c r="DA136" s="175"/>
    </row>
    <row r="137" spans="1:105" ht="11.45" customHeight="1" x14ac:dyDescent="0.25">
      <c r="A137" s="128" t="str">
        <f>$A$15</f>
        <v>International - Intra-EEAwCHUK</v>
      </c>
      <c r="B137" s="140">
        <f t="shared" si="105"/>
        <v>4.9877051713859984E-2</v>
      </c>
      <c r="C137" s="140">
        <f t="shared" ref="C137:Y137" si="117">IF(C45=0,0,C45/C$34)</f>
        <v>3.7957356480118505E-2</v>
      </c>
      <c r="D137" s="140">
        <f t="shared" si="117"/>
        <v>3.1834343426987925E-2</v>
      </c>
      <c r="E137" s="140">
        <f t="shared" si="117"/>
        <v>3.6398263428656236E-2</v>
      </c>
      <c r="F137" s="140">
        <f t="shared" si="117"/>
        <v>3.8753560455662202E-2</v>
      </c>
      <c r="G137" s="140">
        <f t="shared" si="117"/>
        <v>3.7272559084322192E-2</v>
      </c>
      <c r="H137" s="140">
        <f t="shared" si="117"/>
        <v>4.6698267311947067E-2</v>
      </c>
      <c r="I137" s="140">
        <f t="shared" si="117"/>
        <v>3.3887786805872379E-2</v>
      </c>
      <c r="J137" s="140">
        <f t="shared" si="117"/>
        <v>3.1971574768724281E-2</v>
      </c>
      <c r="K137" s="140">
        <f t="shared" si="117"/>
        <v>3.3661179125211722E-2</v>
      </c>
      <c r="L137" s="140">
        <f t="shared" si="117"/>
        <v>3.7885474540929415E-2</v>
      </c>
      <c r="M137" s="140">
        <f t="shared" si="117"/>
        <v>3.1742275123373277E-2</v>
      </c>
      <c r="N137" s="140">
        <f t="shared" si="117"/>
        <v>2.8087765889911704E-2</v>
      </c>
      <c r="O137" s="140">
        <f t="shared" si="117"/>
        <v>3.5815746546165039E-2</v>
      </c>
      <c r="P137" s="140">
        <f t="shared" si="117"/>
        <v>4.3887979634704283E-2</v>
      </c>
      <c r="Q137" s="140">
        <f t="shared" si="117"/>
        <v>5.0206402441828384E-2</v>
      </c>
      <c r="R137" s="140">
        <f t="shared" si="117"/>
        <v>5.7390749387664475E-2</v>
      </c>
      <c r="S137" s="140">
        <f t="shared" si="117"/>
        <v>6.2453623481772198E-2</v>
      </c>
      <c r="T137" s="140">
        <f t="shared" si="117"/>
        <v>2.5853998374636651E-2</v>
      </c>
      <c r="U137" s="140">
        <f t="shared" si="117"/>
        <v>2.7854418923574115E-2</v>
      </c>
      <c r="V137" s="140">
        <f t="shared" si="117"/>
        <v>8.6252849262447723E-3</v>
      </c>
      <c r="W137" s="140">
        <f t="shared" si="117"/>
        <v>1.4468152002538882E-2</v>
      </c>
      <c r="X137" s="140">
        <f t="shared" si="117"/>
        <v>1.5383751375889534E-2</v>
      </c>
      <c r="Y137" s="140">
        <f t="shared" si="117"/>
        <v>1.5228044836457733E-2</v>
      </c>
      <c r="DA137" s="175"/>
    </row>
    <row r="138" spans="1:105" ht="11.45" customHeight="1" x14ac:dyDescent="0.25">
      <c r="A138" s="128" t="str">
        <f>$A$16</f>
        <v>International - Extra-EEAwCHUK</v>
      </c>
      <c r="B138" s="140">
        <f t="shared" si="105"/>
        <v>8.465689289972541E-3</v>
      </c>
      <c r="C138" s="140">
        <f t="shared" ref="C138:Y138" si="118">IF(C46=0,0,C46/C$34)</f>
        <v>6.4400260487648721E-3</v>
      </c>
      <c r="D138" s="140">
        <f t="shared" si="118"/>
        <v>5.3976545567363254E-3</v>
      </c>
      <c r="E138" s="140">
        <f t="shared" si="118"/>
        <v>6.1669309720609076E-3</v>
      </c>
      <c r="F138" s="140">
        <f t="shared" si="118"/>
        <v>6.5613253507858212E-3</v>
      </c>
      <c r="G138" s="140">
        <f t="shared" si="118"/>
        <v>6.2116112587010004E-3</v>
      </c>
      <c r="H138" s="140">
        <f t="shared" si="118"/>
        <v>7.4576664712488394E-3</v>
      </c>
      <c r="I138" s="140">
        <f t="shared" si="118"/>
        <v>5.0179381647889251E-3</v>
      </c>
      <c r="J138" s="140">
        <f t="shared" si="118"/>
        <v>4.6041140165848718E-3</v>
      </c>
      <c r="K138" s="140">
        <f t="shared" si="118"/>
        <v>4.8823565548769057E-3</v>
      </c>
      <c r="L138" s="140">
        <f t="shared" si="118"/>
        <v>5.4138632464886226E-3</v>
      </c>
      <c r="M138" s="140">
        <f t="shared" si="118"/>
        <v>4.6373754556764818E-3</v>
      </c>
      <c r="N138" s="140">
        <f t="shared" si="118"/>
        <v>4.0720637338477221E-3</v>
      </c>
      <c r="O138" s="140">
        <f t="shared" si="118"/>
        <v>5.1196424065286716E-3</v>
      </c>
      <c r="P138" s="140">
        <f t="shared" si="118"/>
        <v>5.7546760499944116E-3</v>
      </c>
      <c r="Q138" s="140">
        <f t="shared" si="118"/>
        <v>6.0864472663574422E-3</v>
      </c>
      <c r="R138" s="140">
        <f t="shared" si="118"/>
        <v>5.9153975562817188E-3</v>
      </c>
      <c r="S138" s="140">
        <f t="shared" si="118"/>
        <v>5.7601017078158434E-3</v>
      </c>
      <c r="T138" s="140">
        <f t="shared" si="118"/>
        <v>2.4042747673842695E-3</v>
      </c>
      <c r="U138" s="140">
        <f t="shared" si="118"/>
        <v>2.5060602690256833E-3</v>
      </c>
      <c r="V138" s="140">
        <f t="shared" si="118"/>
        <v>1.1437825544816039E-3</v>
      </c>
      <c r="W138" s="140">
        <f t="shared" si="118"/>
        <v>1.6197230458110739E-3</v>
      </c>
      <c r="X138" s="140">
        <f t="shared" si="118"/>
        <v>1.2919543913292812E-3</v>
      </c>
      <c r="Y138" s="140">
        <f t="shared" si="118"/>
        <v>1.304470473925971E-3</v>
      </c>
      <c r="DA138" s="175"/>
    </row>
    <row r="139" spans="1:105" ht="11.45" customHeight="1" x14ac:dyDescent="0.25">
      <c r="A139" s="27" t="s">
        <v>34</v>
      </c>
      <c r="B139" s="31">
        <f t="shared" ref="B139:B150" si="119">IF(B47=0,0,B47/B$47)</f>
        <v>1</v>
      </c>
      <c r="C139" s="31">
        <f t="shared" ref="C139:Y139" si="120">IF(C47=0,0,C47/C$47)</f>
        <v>1</v>
      </c>
      <c r="D139" s="31">
        <f t="shared" si="120"/>
        <v>1</v>
      </c>
      <c r="E139" s="31">
        <f t="shared" si="120"/>
        <v>1</v>
      </c>
      <c r="F139" s="31">
        <f t="shared" si="120"/>
        <v>1</v>
      </c>
      <c r="G139" s="31">
        <f t="shared" si="120"/>
        <v>1</v>
      </c>
      <c r="H139" s="31">
        <f t="shared" si="120"/>
        <v>1</v>
      </c>
      <c r="I139" s="31">
        <f t="shared" si="120"/>
        <v>1</v>
      </c>
      <c r="J139" s="31">
        <f t="shared" si="120"/>
        <v>1</v>
      </c>
      <c r="K139" s="31">
        <f t="shared" si="120"/>
        <v>1</v>
      </c>
      <c r="L139" s="31">
        <f t="shared" si="120"/>
        <v>1</v>
      </c>
      <c r="M139" s="31">
        <f t="shared" si="120"/>
        <v>1</v>
      </c>
      <c r="N139" s="31">
        <f t="shared" si="120"/>
        <v>1</v>
      </c>
      <c r="O139" s="31">
        <f t="shared" si="120"/>
        <v>1</v>
      </c>
      <c r="P139" s="31">
        <f t="shared" si="120"/>
        <v>1</v>
      </c>
      <c r="Q139" s="31">
        <f t="shared" si="120"/>
        <v>1</v>
      </c>
      <c r="R139" s="31">
        <f t="shared" si="120"/>
        <v>1</v>
      </c>
      <c r="S139" s="31">
        <f t="shared" si="120"/>
        <v>1</v>
      </c>
      <c r="T139" s="31">
        <f t="shared" si="120"/>
        <v>1</v>
      </c>
      <c r="U139" s="31">
        <f t="shared" si="120"/>
        <v>1</v>
      </c>
      <c r="V139" s="31">
        <f t="shared" si="120"/>
        <v>1</v>
      </c>
      <c r="W139" s="31">
        <f t="shared" si="120"/>
        <v>1</v>
      </c>
      <c r="X139" s="31">
        <f t="shared" si="120"/>
        <v>1</v>
      </c>
      <c r="Y139" s="31">
        <f t="shared" si="120"/>
        <v>1</v>
      </c>
      <c r="DA139" s="173"/>
    </row>
    <row r="140" spans="1:105" ht="11.45" customHeight="1" x14ac:dyDescent="0.25">
      <c r="A140" s="136" t="str">
        <f>$A$18</f>
        <v>Road transport</v>
      </c>
      <c r="B140" s="139">
        <f t="shared" si="119"/>
        <v>0.81191681996656506</v>
      </c>
      <c r="C140" s="139">
        <f t="shared" ref="C140:Y140" si="121">IF(C48=0,0,C48/C$47)</f>
        <v>0.87155474131209199</v>
      </c>
      <c r="D140" s="139">
        <f t="shared" si="121"/>
        <v>0.85735359299651515</v>
      </c>
      <c r="E140" s="139">
        <f t="shared" si="121"/>
        <v>0.90170079668616887</v>
      </c>
      <c r="F140" s="139">
        <f t="shared" si="121"/>
        <v>0.90665028427960059</v>
      </c>
      <c r="G140" s="139">
        <f t="shared" si="121"/>
        <v>0.92228087246492407</v>
      </c>
      <c r="H140" s="139">
        <f t="shared" si="121"/>
        <v>0.9355452367140491</v>
      </c>
      <c r="I140" s="139">
        <f t="shared" si="121"/>
        <v>0.88048686198981663</v>
      </c>
      <c r="J140" s="139">
        <f t="shared" si="121"/>
        <v>0.89869890217105763</v>
      </c>
      <c r="K140" s="139">
        <f t="shared" si="121"/>
        <v>0.92760854701551354</v>
      </c>
      <c r="L140" s="139">
        <f t="shared" si="121"/>
        <v>0.90543000646633309</v>
      </c>
      <c r="M140" s="139">
        <f t="shared" si="121"/>
        <v>0.89731063739232597</v>
      </c>
      <c r="N140" s="139">
        <f t="shared" si="121"/>
        <v>0.90932127709900445</v>
      </c>
      <c r="O140" s="139">
        <f t="shared" si="121"/>
        <v>0.91525326917080341</v>
      </c>
      <c r="P140" s="139">
        <f t="shared" si="121"/>
        <v>0.93260079702532706</v>
      </c>
      <c r="Q140" s="139">
        <f t="shared" si="121"/>
        <v>0.9175971014616352</v>
      </c>
      <c r="R140" s="139">
        <f t="shared" si="121"/>
        <v>0.92706083629083558</v>
      </c>
      <c r="S140" s="139">
        <f t="shared" si="121"/>
        <v>0.93424263437781518</v>
      </c>
      <c r="T140" s="139">
        <f t="shared" si="121"/>
        <v>0.93763765417776357</v>
      </c>
      <c r="U140" s="139">
        <f t="shared" si="121"/>
        <v>0.93541920279628532</v>
      </c>
      <c r="V140" s="139">
        <f t="shared" si="121"/>
        <v>0.94172959177399462</v>
      </c>
      <c r="W140" s="139">
        <f t="shared" si="121"/>
        <v>0.92656980868664551</v>
      </c>
      <c r="X140" s="139">
        <f t="shared" si="121"/>
        <v>0.93998744820983493</v>
      </c>
      <c r="Y140" s="139">
        <f t="shared" si="121"/>
        <v>0.95408268704489385</v>
      </c>
      <c r="DA140" s="174"/>
    </row>
    <row r="141" spans="1:105" ht="11.45" customHeight="1" x14ac:dyDescent="0.25">
      <c r="A141" s="128" t="str">
        <f>$A$19</f>
        <v>Light commercial vehicles</v>
      </c>
      <c r="B141" s="140">
        <f t="shared" si="119"/>
        <v>0.36046899907304414</v>
      </c>
      <c r="C141" s="140">
        <f t="shared" ref="C141:Y141" si="122">IF(C49=0,0,C49/C$47)</f>
        <v>0.31567228881952381</v>
      </c>
      <c r="D141" s="140">
        <f t="shared" si="122"/>
        <v>0.29453391356927366</v>
      </c>
      <c r="E141" s="140">
        <f t="shared" si="122"/>
        <v>0.28939292036788739</v>
      </c>
      <c r="F141" s="140">
        <f t="shared" si="122"/>
        <v>0.30972566641590721</v>
      </c>
      <c r="G141" s="140">
        <f t="shared" si="122"/>
        <v>0.3620252165551352</v>
      </c>
      <c r="H141" s="140">
        <f t="shared" si="122"/>
        <v>0.35103814269045847</v>
      </c>
      <c r="I141" s="140">
        <f t="shared" si="122"/>
        <v>0.37353086247798828</v>
      </c>
      <c r="J141" s="140">
        <f t="shared" si="122"/>
        <v>0.40233587689575007</v>
      </c>
      <c r="K141" s="140">
        <f t="shared" si="122"/>
        <v>0.42721718701476563</v>
      </c>
      <c r="L141" s="140">
        <f t="shared" si="122"/>
        <v>0.49351379378434007</v>
      </c>
      <c r="M141" s="140">
        <f t="shared" si="122"/>
        <v>0.48888099090111536</v>
      </c>
      <c r="N141" s="140">
        <f t="shared" si="122"/>
        <v>0.52994065926097167</v>
      </c>
      <c r="O141" s="140">
        <f t="shared" si="122"/>
        <v>0.53984369221008099</v>
      </c>
      <c r="P141" s="140">
        <f t="shared" si="122"/>
        <v>0.58289345339706722</v>
      </c>
      <c r="Q141" s="140">
        <f t="shared" si="122"/>
        <v>0.59827077565555631</v>
      </c>
      <c r="R141" s="140">
        <f t="shared" si="122"/>
        <v>0.5743216094395508</v>
      </c>
      <c r="S141" s="140">
        <f t="shared" si="122"/>
        <v>0.5605104541339343</v>
      </c>
      <c r="T141" s="140">
        <f t="shared" si="122"/>
        <v>0.58975982250968906</v>
      </c>
      <c r="U141" s="140">
        <f t="shared" si="122"/>
        <v>0.57662232269654601</v>
      </c>
      <c r="V141" s="140">
        <f t="shared" si="122"/>
        <v>0.5957468092642022</v>
      </c>
      <c r="W141" s="140">
        <f t="shared" si="122"/>
        <v>0.57099240062902668</v>
      </c>
      <c r="X141" s="140">
        <f t="shared" si="122"/>
        <v>0.53604917456125167</v>
      </c>
      <c r="Y141" s="140">
        <f t="shared" si="122"/>
        <v>0.53999653204757159</v>
      </c>
      <c r="DA141" s="175"/>
    </row>
    <row r="142" spans="1:105" ht="11.45" customHeight="1" x14ac:dyDescent="0.25">
      <c r="A142" s="128" t="str">
        <f>$A$20</f>
        <v>Heavy goods vehicles</v>
      </c>
      <c r="B142" s="140">
        <f t="shared" si="119"/>
        <v>0.45144782089352098</v>
      </c>
      <c r="C142" s="140">
        <f t="shared" ref="C142:Y142" si="123">IF(C50=0,0,C50/C$47)</f>
        <v>0.55588245249256818</v>
      </c>
      <c r="D142" s="140">
        <f t="shared" si="123"/>
        <v>0.56281967942724143</v>
      </c>
      <c r="E142" s="140">
        <f t="shared" si="123"/>
        <v>0.61230787631828143</v>
      </c>
      <c r="F142" s="140">
        <f t="shared" si="123"/>
        <v>0.59692461786369333</v>
      </c>
      <c r="G142" s="140">
        <f t="shared" si="123"/>
        <v>0.56025565590978899</v>
      </c>
      <c r="H142" s="140">
        <f t="shared" si="123"/>
        <v>0.58450709402359047</v>
      </c>
      <c r="I142" s="140">
        <f t="shared" si="123"/>
        <v>0.50695599951182824</v>
      </c>
      <c r="J142" s="140">
        <f t="shared" si="123"/>
        <v>0.49636302527530757</v>
      </c>
      <c r="K142" s="140">
        <f t="shared" si="123"/>
        <v>0.50039136000074791</v>
      </c>
      <c r="L142" s="140">
        <f t="shared" si="123"/>
        <v>0.41191621268199291</v>
      </c>
      <c r="M142" s="140">
        <f t="shared" si="123"/>
        <v>0.40842964649121061</v>
      </c>
      <c r="N142" s="140">
        <f t="shared" si="123"/>
        <v>0.37938061783803267</v>
      </c>
      <c r="O142" s="140">
        <f t="shared" si="123"/>
        <v>0.37540957696072241</v>
      </c>
      <c r="P142" s="140">
        <f t="shared" si="123"/>
        <v>0.34970734362825989</v>
      </c>
      <c r="Q142" s="140">
        <f t="shared" si="123"/>
        <v>0.31932632580607895</v>
      </c>
      <c r="R142" s="140">
        <f t="shared" si="123"/>
        <v>0.35273922685128484</v>
      </c>
      <c r="S142" s="140">
        <f t="shared" si="123"/>
        <v>0.37373218024388088</v>
      </c>
      <c r="T142" s="140">
        <f t="shared" si="123"/>
        <v>0.3478778316680744</v>
      </c>
      <c r="U142" s="140">
        <f t="shared" si="123"/>
        <v>0.35879688009973942</v>
      </c>
      <c r="V142" s="140">
        <f t="shared" si="123"/>
        <v>0.34598278250979242</v>
      </c>
      <c r="W142" s="140">
        <f t="shared" si="123"/>
        <v>0.35557740805761884</v>
      </c>
      <c r="X142" s="140">
        <f t="shared" si="123"/>
        <v>0.4039382736485832</v>
      </c>
      <c r="Y142" s="140">
        <f t="shared" si="123"/>
        <v>0.41408615499732232</v>
      </c>
      <c r="DA142" s="175"/>
    </row>
    <row r="143" spans="1:105" ht="11.45" customHeight="1" x14ac:dyDescent="0.25">
      <c r="A143" s="109" t="str">
        <f>$A$21</f>
        <v>Rail transport</v>
      </c>
      <c r="B143" s="124">
        <f t="shared" si="119"/>
        <v>8.6900357344126392E-2</v>
      </c>
      <c r="C143" s="124">
        <f t="shared" ref="C143:Y143" si="124">IF(C51=0,0,C51/C$47)</f>
        <v>5.3009361735478905E-2</v>
      </c>
      <c r="D143" s="124">
        <f t="shared" si="124"/>
        <v>7.2358588702872886E-2</v>
      </c>
      <c r="E143" s="124">
        <f t="shared" si="124"/>
        <v>5.3693349004120088E-2</v>
      </c>
      <c r="F143" s="124">
        <f t="shared" si="124"/>
        <v>6.3912829730033593E-2</v>
      </c>
      <c r="G143" s="124">
        <f t="shared" si="124"/>
        <v>4.5160529706142115E-2</v>
      </c>
      <c r="H143" s="124">
        <f t="shared" si="124"/>
        <v>3.6519718256635469E-2</v>
      </c>
      <c r="I143" s="124">
        <f t="shared" si="124"/>
        <v>6.012596754299443E-2</v>
      </c>
      <c r="J143" s="124">
        <f t="shared" si="124"/>
        <v>4.9449310042229827E-2</v>
      </c>
      <c r="K143" s="124">
        <f t="shared" si="124"/>
        <v>3.4233574774432556E-2</v>
      </c>
      <c r="L143" s="124">
        <f t="shared" si="124"/>
        <v>4.6689379840260191E-2</v>
      </c>
      <c r="M143" s="124">
        <f t="shared" si="124"/>
        <v>6.3150114249448649E-2</v>
      </c>
      <c r="N143" s="124">
        <f t="shared" si="124"/>
        <v>5.7731971672760708E-2</v>
      </c>
      <c r="O143" s="124">
        <f t="shared" si="124"/>
        <v>5.2552404426104163E-2</v>
      </c>
      <c r="P143" s="124">
        <f t="shared" si="124"/>
        <v>3.7913308045616337E-2</v>
      </c>
      <c r="Q143" s="124">
        <f t="shared" si="124"/>
        <v>4.8742109753754759E-2</v>
      </c>
      <c r="R143" s="124">
        <f t="shared" si="124"/>
        <v>4.3800314429115715E-2</v>
      </c>
      <c r="S143" s="124">
        <f t="shared" si="124"/>
        <v>3.8661537020444295E-2</v>
      </c>
      <c r="T143" s="124">
        <f t="shared" si="124"/>
        <v>3.6644145028908462E-2</v>
      </c>
      <c r="U143" s="124">
        <f t="shared" si="124"/>
        <v>3.8707899566615252E-2</v>
      </c>
      <c r="V143" s="124">
        <f t="shared" si="124"/>
        <v>3.3458357697711119E-2</v>
      </c>
      <c r="W143" s="124">
        <f t="shared" si="124"/>
        <v>4.5283821102686264E-2</v>
      </c>
      <c r="X143" s="124">
        <f t="shared" si="124"/>
        <v>3.7554504803028257E-2</v>
      </c>
      <c r="Y143" s="124">
        <f t="shared" si="124"/>
        <v>2.2519813695022553E-2</v>
      </c>
      <c r="DA143" s="176"/>
    </row>
    <row r="144" spans="1:105" ht="11.45" customHeight="1" x14ac:dyDescent="0.25">
      <c r="A144" s="109" t="str">
        <f>$A$22</f>
        <v>Aviation</v>
      </c>
      <c r="B144" s="124">
        <f t="shared" si="119"/>
        <v>1.7659811020676896E-3</v>
      </c>
      <c r="C144" s="124">
        <f t="shared" ref="C144:Y144" si="125">IF(C52=0,0,C52/C$47)</f>
        <v>1.2730597730910048E-3</v>
      </c>
      <c r="D144" s="124">
        <f t="shared" si="125"/>
        <v>1.0990953742381793E-3</v>
      </c>
      <c r="E144" s="124">
        <f t="shared" si="125"/>
        <v>1.0289270156777065E-3</v>
      </c>
      <c r="F144" s="124">
        <f t="shared" si="125"/>
        <v>1.216477230032393E-3</v>
      </c>
      <c r="G144" s="124">
        <f t="shared" si="125"/>
        <v>8.419704581410102E-4</v>
      </c>
      <c r="H144" s="124">
        <f t="shared" si="125"/>
        <v>8.1305467914580081E-4</v>
      </c>
      <c r="I144" s="124">
        <f t="shared" si="125"/>
        <v>7.9421151370433034E-4</v>
      </c>
      <c r="J144" s="124">
        <f t="shared" si="125"/>
        <v>8.4915468640370121E-4</v>
      </c>
      <c r="K144" s="124">
        <f t="shared" si="125"/>
        <v>9.9532142186058051E-4</v>
      </c>
      <c r="L144" s="124">
        <f t="shared" si="125"/>
        <v>1.3569930941716181E-3</v>
      </c>
      <c r="M144" s="124">
        <f t="shared" si="125"/>
        <v>1.296065093880268E-3</v>
      </c>
      <c r="N144" s="124">
        <f t="shared" si="125"/>
        <v>1.3247082171066215E-3</v>
      </c>
      <c r="O144" s="124">
        <f t="shared" si="125"/>
        <v>1.58874419879482E-3</v>
      </c>
      <c r="P144" s="124">
        <f t="shared" si="125"/>
        <v>1.5402875871076268E-3</v>
      </c>
      <c r="Q144" s="124">
        <f t="shared" si="125"/>
        <v>1.5670598586008289E-3</v>
      </c>
      <c r="R144" s="124">
        <f t="shared" si="125"/>
        <v>1.5369007814865219E-3</v>
      </c>
      <c r="S144" s="124">
        <f t="shared" si="125"/>
        <v>1.8017001435170132E-3</v>
      </c>
      <c r="T144" s="124">
        <f t="shared" si="125"/>
        <v>6.8570873796788964E-4</v>
      </c>
      <c r="U144" s="124">
        <f t="shared" si="125"/>
        <v>5.1627222404555979E-4</v>
      </c>
      <c r="V144" s="124">
        <f t="shared" si="125"/>
        <v>4.6267773800885503E-4</v>
      </c>
      <c r="W144" s="124">
        <f t="shared" si="125"/>
        <v>5.473917315655726E-4</v>
      </c>
      <c r="X144" s="124">
        <f t="shared" si="125"/>
        <v>5.346383026704133E-4</v>
      </c>
      <c r="Y144" s="124">
        <f t="shared" si="125"/>
        <v>4.3241180275465811E-4</v>
      </c>
      <c r="DA144" s="176"/>
    </row>
    <row r="145" spans="1:105" ht="11.45" customHeight="1" x14ac:dyDescent="0.25">
      <c r="A145" s="128" t="s">
        <v>27</v>
      </c>
      <c r="B145" s="140">
        <f t="shared" si="119"/>
        <v>6.5578683240282982E-5</v>
      </c>
      <c r="C145" s="140">
        <f t="shared" ref="C145:Y145" si="126">IF(C53=0,0,C53/C$47)</f>
        <v>4.6864842491995808E-5</v>
      </c>
      <c r="D145" s="140">
        <f t="shared" si="126"/>
        <v>3.8040442548064656E-5</v>
      </c>
      <c r="E145" s="140">
        <f t="shared" si="126"/>
        <v>3.5110588210724907E-5</v>
      </c>
      <c r="F145" s="140">
        <f t="shared" si="126"/>
        <v>4.2573570214696763E-5</v>
      </c>
      <c r="G145" s="140">
        <f t="shared" si="126"/>
        <v>1.8984326556060157E-5</v>
      </c>
      <c r="H145" s="140">
        <f t="shared" si="126"/>
        <v>7.0981626635830601E-6</v>
      </c>
      <c r="I145" s="140">
        <f t="shared" si="126"/>
        <v>2.570535928522169E-4</v>
      </c>
      <c r="J145" s="140">
        <f t="shared" si="126"/>
        <v>1.3273405841986597E-4</v>
      </c>
      <c r="K145" s="140">
        <f t="shared" si="126"/>
        <v>9.9567249312459543E-5</v>
      </c>
      <c r="L145" s="140">
        <f t="shared" si="126"/>
        <v>1.0158493483955519E-4</v>
      </c>
      <c r="M145" s="140">
        <f t="shared" si="126"/>
        <v>4.4581366539572293E-5</v>
      </c>
      <c r="N145" s="140">
        <f t="shared" si="126"/>
        <v>1.686335878053417E-5</v>
      </c>
      <c r="O145" s="140">
        <f t="shared" si="126"/>
        <v>1.3973258482049636E-5</v>
      </c>
      <c r="P145" s="140">
        <f t="shared" si="126"/>
        <v>4.9927305125214972E-6</v>
      </c>
      <c r="Q145" s="140">
        <f t="shared" si="126"/>
        <v>4.5175185857930197E-6</v>
      </c>
      <c r="R145" s="140">
        <f t="shared" si="126"/>
        <v>5.3381270185088103E-6</v>
      </c>
      <c r="S145" s="140">
        <f t="shared" si="126"/>
        <v>2.562199154091925E-5</v>
      </c>
      <c r="T145" s="140">
        <f t="shared" si="126"/>
        <v>4.8222073864610649E-5</v>
      </c>
      <c r="U145" s="140">
        <f t="shared" si="126"/>
        <v>8.1344702411341167E-5</v>
      </c>
      <c r="V145" s="140">
        <f t="shared" si="126"/>
        <v>1.3915170499214865E-4</v>
      </c>
      <c r="W145" s="140">
        <f t="shared" si="126"/>
        <v>1.7848989410445895E-4</v>
      </c>
      <c r="X145" s="140">
        <f t="shared" si="126"/>
        <v>2.1739018067442353E-4</v>
      </c>
      <c r="Y145" s="140">
        <f t="shared" si="126"/>
        <v>1.4342731193977423E-4</v>
      </c>
      <c r="DA145" s="175"/>
    </row>
    <row r="146" spans="1:105" ht="11.45" customHeight="1" x14ac:dyDescent="0.25">
      <c r="A146" s="128" t="str">
        <f>$A$24</f>
        <v>International - Intra-EEAwCHUK</v>
      </c>
      <c r="B146" s="140">
        <f t="shared" si="119"/>
        <v>1.4132182267337882E-3</v>
      </c>
      <c r="C146" s="140">
        <f t="shared" ref="C146:Y146" si="127">IF(C54=0,0,C54/C$47)</f>
        <v>9.9393071230002394E-4</v>
      </c>
      <c r="D146" s="140">
        <f t="shared" si="127"/>
        <v>8.4247846308591577E-4</v>
      </c>
      <c r="E146" s="140">
        <f t="shared" si="127"/>
        <v>7.7268373847271627E-4</v>
      </c>
      <c r="F146" s="140">
        <f t="shared" si="127"/>
        <v>9.3980974593593206E-4</v>
      </c>
      <c r="G146" s="140">
        <f t="shared" si="127"/>
        <v>7.3761723850029166E-4</v>
      </c>
      <c r="H146" s="140">
        <f t="shared" si="127"/>
        <v>7.224221167027614E-4</v>
      </c>
      <c r="I146" s="140">
        <f t="shared" si="127"/>
        <v>4.5182147301638857E-4</v>
      </c>
      <c r="J146" s="140">
        <f t="shared" si="127"/>
        <v>5.973056876111217E-4</v>
      </c>
      <c r="K146" s="140">
        <f t="shared" si="127"/>
        <v>7.8971670234750013E-4</v>
      </c>
      <c r="L146" s="140">
        <f t="shared" si="127"/>
        <v>1.1010120408811673E-3</v>
      </c>
      <c r="M146" s="140">
        <f t="shared" si="127"/>
        <v>1.0122811197684416E-3</v>
      </c>
      <c r="N146" s="140">
        <f t="shared" si="127"/>
        <v>8.9187254693931213E-4</v>
      </c>
      <c r="O146" s="140">
        <f t="shared" si="127"/>
        <v>1.1220295524088035E-3</v>
      </c>
      <c r="P146" s="140">
        <f t="shared" si="127"/>
        <v>1.3381776592407179E-3</v>
      </c>
      <c r="Q146" s="140">
        <f t="shared" si="127"/>
        <v>1.4225505366218419E-3</v>
      </c>
      <c r="R146" s="140">
        <f t="shared" si="127"/>
        <v>1.4424157475085516E-3</v>
      </c>
      <c r="S146" s="140">
        <f t="shared" si="127"/>
        <v>1.7059103762721401E-3</v>
      </c>
      <c r="T146" s="140">
        <f t="shared" si="127"/>
        <v>6.1987980299616353E-4</v>
      </c>
      <c r="U146" s="140">
        <f t="shared" si="127"/>
        <v>4.0957983093961679E-4</v>
      </c>
      <c r="V146" s="140">
        <f t="shared" si="127"/>
        <v>2.94097376553418E-4</v>
      </c>
      <c r="W146" s="140">
        <f t="shared" si="127"/>
        <v>3.4252581593648872E-4</v>
      </c>
      <c r="X146" s="140">
        <f t="shared" si="127"/>
        <v>2.9660103211346246E-4</v>
      </c>
      <c r="Y146" s="140">
        <f t="shared" si="127"/>
        <v>2.7398425258021354E-4</v>
      </c>
      <c r="DA146" s="175"/>
    </row>
    <row r="147" spans="1:105" ht="11.45" customHeight="1" x14ac:dyDescent="0.25">
      <c r="A147" s="128" t="str">
        <f>$A$25</f>
        <v>International - Extra-EEAwCHUK</v>
      </c>
      <c r="B147" s="140">
        <f t="shared" si="119"/>
        <v>2.8718419209361842E-4</v>
      </c>
      <c r="C147" s="140">
        <f t="shared" ref="C147:Y147" si="128">IF(C55=0,0,C55/C$47)</f>
        <v>2.3226421829898518E-4</v>
      </c>
      <c r="D147" s="140">
        <f t="shared" si="128"/>
        <v>2.1857646860419888E-4</v>
      </c>
      <c r="E147" s="140">
        <f t="shared" si="128"/>
        <v>2.2113268899426531E-4</v>
      </c>
      <c r="F147" s="140">
        <f t="shared" si="128"/>
        <v>2.3409391388176402E-4</v>
      </c>
      <c r="G147" s="140">
        <f t="shared" si="128"/>
        <v>8.5368893084658445E-5</v>
      </c>
      <c r="H147" s="140">
        <f t="shared" si="128"/>
        <v>8.3534399779456328E-5</v>
      </c>
      <c r="I147" s="140">
        <f t="shared" si="128"/>
        <v>8.5336447835724909E-5</v>
      </c>
      <c r="J147" s="140">
        <f t="shared" si="128"/>
        <v>1.1911494037271352E-4</v>
      </c>
      <c r="K147" s="140">
        <f t="shared" si="128"/>
        <v>1.0603747020062083E-4</v>
      </c>
      <c r="L147" s="140">
        <f t="shared" si="128"/>
        <v>1.5439611845089566E-4</v>
      </c>
      <c r="M147" s="140">
        <f t="shared" si="128"/>
        <v>2.3920260757225422E-4</v>
      </c>
      <c r="N147" s="140">
        <f t="shared" si="128"/>
        <v>4.1597231138677516E-4</v>
      </c>
      <c r="O147" s="140">
        <f t="shared" si="128"/>
        <v>4.5274138790396708E-4</v>
      </c>
      <c r="P147" s="140">
        <f t="shared" si="128"/>
        <v>1.971171973543873E-4</v>
      </c>
      <c r="Q147" s="140">
        <f t="shared" si="128"/>
        <v>1.3999180339319399E-4</v>
      </c>
      <c r="R147" s="140">
        <f t="shared" si="128"/>
        <v>8.9146906959461475E-5</v>
      </c>
      <c r="S147" s="140">
        <f t="shared" si="128"/>
        <v>7.0167775703953539E-5</v>
      </c>
      <c r="T147" s="140">
        <f t="shared" si="128"/>
        <v>1.7606861107115409E-5</v>
      </c>
      <c r="U147" s="140">
        <f t="shared" si="128"/>
        <v>2.5347690694601857E-5</v>
      </c>
      <c r="V147" s="140">
        <f t="shared" si="128"/>
        <v>2.9428656463288375E-5</v>
      </c>
      <c r="W147" s="140">
        <f t="shared" si="128"/>
        <v>2.6376021524624815E-5</v>
      </c>
      <c r="X147" s="140">
        <f t="shared" si="128"/>
        <v>2.0647089882527413E-5</v>
      </c>
      <c r="Y147" s="140">
        <f t="shared" si="128"/>
        <v>1.5000238234670322E-5</v>
      </c>
      <c r="DA147" s="175"/>
    </row>
    <row r="148" spans="1:105" ht="11.45" customHeight="1" x14ac:dyDescent="0.25">
      <c r="A148" s="109" t="s">
        <v>141</v>
      </c>
      <c r="B148" s="124">
        <f t="shared" si="119"/>
        <v>9.9416841587240734E-2</v>
      </c>
      <c r="C148" s="124">
        <f t="shared" ref="C148:Y148" si="129">IF(C56=0,0,C56/C$47)</f>
        <v>7.4162837179338095E-2</v>
      </c>
      <c r="D148" s="124">
        <f t="shared" si="129"/>
        <v>6.9188722926373833E-2</v>
      </c>
      <c r="E148" s="124">
        <f t="shared" si="129"/>
        <v>4.3576927294033424E-2</v>
      </c>
      <c r="F148" s="124">
        <f t="shared" si="129"/>
        <v>2.8220408760333496E-2</v>
      </c>
      <c r="G148" s="124">
        <f t="shared" si="129"/>
        <v>3.1716627370792783E-2</v>
      </c>
      <c r="H148" s="124">
        <f t="shared" si="129"/>
        <v>2.7121990350169708E-2</v>
      </c>
      <c r="I148" s="124">
        <f t="shared" si="129"/>
        <v>5.8592958953484681E-2</v>
      </c>
      <c r="J148" s="124">
        <f t="shared" si="129"/>
        <v>5.1002633100308871E-2</v>
      </c>
      <c r="K148" s="124">
        <f t="shared" si="129"/>
        <v>3.7162556788193267E-2</v>
      </c>
      <c r="L148" s="124">
        <f t="shared" si="129"/>
        <v>4.6523620599235101E-2</v>
      </c>
      <c r="M148" s="124">
        <f t="shared" si="129"/>
        <v>3.8243183264345185E-2</v>
      </c>
      <c r="N148" s="124">
        <f t="shared" si="129"/>
        <v>3.162204301112826E-2</v>
      </c>
      <c r="O148" s="124">
        <f t="shared" si="129"/>
        <v>3.0605582204297575E-2</v>
      </c>
      <c r="P148" s="124">
        <f t="shared" si="129"/>
        <v>2.7945607341948894E-2</v>
      </c>
      <c r="Q148" s="124">
        <f t="shared" si="129"/>
        <v>3.209372892600907E-2</v>
      </c>
      <c r="R148" s="124">
        <f t="shared" si="129"/>
        <v>2.7601948498562234E-2</v>
      </c>
      <c r="S148" s="124">
        <f t="shared" si="129"/>
        <v>2.5294128458223479E-2</v>
      </c>
      <c r="T148" s="124">
        <f t="shared" si="129"/>
        <v>2.503249205536014E-2</v>
      </c>
      <c r="U148" s="124">
        <f t="shared" si="129"/>
        <v>2.53566254130538E-2</v>
      </c>
      <c r="V148" s="124">
        <f t="shared" si="129"/>
        <v>2.4349372790285335E-2</v>
      </c>
      <c r="W148" s="124">
        <f t="shared" si="129"/>
        <v>2.7598978479102653E-2</v>
      </c>
      <c r="X148" s="124">
        <f t="shared" si="129"/>
        <v>2.1923408684466399E-2</v>
      </c>
      <c r="Y148" s="124">
        <f t="shared" si="129"/>
        <v>2.2965087457328934E-2</v>
      </c>
      <c r="DA148" s="176"/>
    </row>
    <row r="149" spans="1:105" ht="11.45" customHeight="1" x14ac:dyDescent="0.25">
      <c r="A149" s="128" t="str">
        <f>$A$27</f>
        <v>Domestic coastal shipping</v>
      </c>
      <c r="B149" s="140">
        <f t="shared" si="119"/>
        <v>0</v>
      </c>
      <c r="C149" s="140">
        <f t="shared" ref="C149:Y149" si="130">IF(C57=0,0,C57/C$47)</f>
        <v>0</v>
      </c>
      <c r="D149" s="140">
        <f t="shared" si="130"/>
        <v>0</v>
      </c>
      <c r="E149" s="140">
        <f t="shared" si="130"/>
        <v>0</v>
      </c>
      <c r="F149" s="140">
        <f t="shared" si="130"/>
        <v>0</v>
      </c>
      <c r="G149" s="140">
        <f t="shared" si="130"/>
        <v>0</v>
      </c>
      <c r="H149" s="140">
        <f t="shared" si="130"/>
        <v>0</v>
      </c>
      <c r="I149" s="140">
        <f t="shared" si="130"/>
        <v>0</v>
      </c>
      <c r="J149" s="140">
        <f t="shared" si="130"/>
        <v>0</v>
      </c>
      <c r="K149" s="140">
        <f t="shared" si="130"/>
        <v>0</v>
      </c>
      <c r="L149" s="140">
        <f t="shared" si="130"/>
        <v>0</v>
      </c>
      <c r="M149" s="140">
        <f t="shared" si="130"/>
        <v>0</v>
      </c>
      <c r="N149" s="140">
        <f t="shared" si="130"/>
        <v>0</v>
      </c>
      <c r="O149" s="140">
        <f t="shared" si="130"/>
        <v>0</v>
      </c>
      <c r="P149" s="140">
        <f t="shared" si="130"/>
        <v>0</v>
      </c>
      <c r="Q149" s="140">
        <f t="shared" si="130"/>
        <v>0</v>
      </c>
      <c r="R149" s="140">
        <f t="shared" si="130"/>
        <v>0</v>
      </c>
      <c r="S149" s="140">
        <f t="shared" si="130"/>
        <v>0</v>
      </c>
      <c r="T149" s="140">
        <f t="shared" si="130"/>
        <v>0</v>
      </c>
      <c r="U149" s="140">
        <f t="shared" si="130"/>
        <v>0</v>
      </c>
      <c r="V149" s="140">
        <f t="shared" si="130"/>
        <v>0</v>
      </c>
      <c r="W149" s="140">
        <f t="shared" si="130"/>
        <v>0</v>
      </c>
      <c r="X149" s="140">
        <f t="shared" si="130"/>
        <v>0</v>
      </c>
      <c r="Y149" s="140">
        <f t="shared" si="130"/>
        <v>0</v>
      </c>
      <c r="DA149" s="175"/>
    </row>
    <row r="150" spans="1:105" ht="11.45" customHeight="1" x14ac:dyDescent="0.25">
      <c r="A150" s="138" t="str">
        <f>$A$28</f>
        <v>Inland waterways</v>
      </c>
      <c r="B150" s="127">
        <f t="shared" si="119"/>
        <v>9.9416841587240734E-2</v>
      </c>
      <c r="C150" s="127">
        <f t="shared" ref="C150:Y150" si="131">IF(C58=0,0,C58/C$47)</f>
        <v>7.4162837179338095E-2</v>
      </c>
      <c r="D150" s="127">
        <f t="shared" si="131"/>
        <v>6.9188722926373833E-2</v>
      </c>
      <c r="E150" s="127">
        <f t="shared" si="131"/>
        <v>4.3576927294033424E-2</v>
      </c>
      <c r="F150" s="127">
        <f t="shared" si="131"/>
        <v>2.8220408760333496E-2</v>
      </c>
      <c r="G150" s="127">
        <f t="shared" si="131"/>
        <v>3.1716627370792783E-2</v>
      </c>
      <c r="H150" s="127">
        <f t="shared" si="131"/>
        <v>2.7121990350169708E-2</v>
      </c>
      <c r="I150" s="127">
        <f t="shared" si="131"/>
        <v>5.8592958953484681E-2</v>
      </c>
      <c r="J150" s="127">
        <f t="shared" si="131"/>
        <v>5.1002633100308871E-2</v>
      </c>
      <c r="K150" s="127">
        <f t="shared" si="131"/>
        <v>3.7162556788193267E-2</v>
      </c>
      <c r="L150" s="127">
        <f t="shared" si="131"/>
        <v>4.6523620599235101E-2</v>
      </c>
      <c r="M150" s="127">
        <f t="shared" si="131"/>
        <v>3.8243183264345185E-2</v>
      </c>
      <c r="N150" s="127">
        <f t="shared" si="131"/>
        <v>3.162204301112826E-2</v>
      </c>
      <c r="O150" s="127">
        <f t="shared" si="131"/>
        <v>3.0605582204297575E-2</v>
      </c>
      <c r="P150" s="127">
        <f t="shared" si="131"/>
        <v>2.7945607341948894E-2</v>
      </c>
      <c r="Q150" s="127">
        <f t="shared" si="131"/>
        <v>3.209372892600907E-2</v>
      </c>
      <c r="R150" s="127">
        <f t="shared" si="131"/>
        <v>2.7601948498562234E-2</v>
      </c>
      <c r="S150" s="127">
        <f t="shared" si="131"/>
        <v>2.5294128458223479E-2</v>
      </c>
      <c r="T150" s="127">
        <f t="shared" si="131"/>
        <v>2.503249205536014E-2</v>
      </c>
      <c r="U150" s="127">
        <f t="shared" si="131"/>
        <v>2.53566254130538E-2</v>
      </c>
      <c r="V150" s="127">
        <f t="shared" si="131"/>
        <v>2.4349372790285335E-2</v>
      </c>
      <c r="W150" s="127">
        <f t="shared" si="131"/>
        <v>2.7598978479102653E-2</v>
      </c>
      <c r="X150" s="127">
        <f t="shared" si="131"/>
        <v>2.1923408684466399E-2</v>
      </c>
      <c r="Y150" s="127">
        <f t="shared" si="131"/>
        <v>2.2965087457328934E-2</v>
      </c>
      <c r="DA150" s="178"/>
    </row>
    <row r="151" spans="1:105" ht="11.45" customHeight="1" x14ac:dyDescent="0.25">
      <c r="A151" s="27" t="s">
        <v>169</v>
      </c>
      <c r="B151" s="31">
        <f t="shared" ref="B151:Y151" si="132">IF(B59=0,0,B59/B$59)</f>
        <v>0</v>
      </c>
      <c r="C151" s="31">
        <f t="shared" si="132"/>
        <v>0</v>
      </c>
      <c r="D151" s="31">
        <f t="shared" si="132"/>
        <v>0</v>
      </c>
      <c r="E151" s="31">
        <f t="shared" si="132"/>
        <v>0</v>
      </c>
      <c r="F151" s="31">
        <f t="shared" si="132"/>
        <v>0</v>
      </c>
      <c r="G151" s="31">
        <f t="shared" si="132"/>
        <v>0</v>
      </c>
      <c r="H151" s="31">
        <f t="shared" si="132"/>
        <v>0</v>
      </c>
      <c r="I151" s="31">
        <f t="shared" si="132"/>
        <v>1</v>
      </c>
      <c r="J151" s="31">
        <f t="shared" si="132"/>
        <v>1</v>
      </c>
      <c r="K151" s="31">
        <f t="shared" si="132"/>
        <v>1</v>
      </c>
      <c r="L151" s="31">
        <f t="shared" si="132"/>
        <v>1</v>
      </c>
      <c r="M151" s="31">
        <f t="shared" si="132"/>
        <v>1</v>
      </c>
      <c r="N151" s="31">
        <f t="shared" si="132"/>
        <v>1</v>
      </c>
      <c r="O151" s="31">
        <f t="shared" si="132"/>
        <v>1</v>
      </c>
      <c r="P151" s="31">
        <f t="shared" si="132"/>
        <v>1</v>
      </c>
      <c r="Q151" s="31">
        <f t="shared" si="132"/>
        <v>1</v>
      </c>
      <c r="R151" s="31">
        <f t="shared" si="132"/>
        <v>1</v>
      </c>
      <c r="S151" s="31">
        <f t="shared" si="132"/>
        <v>1</v>
      </c>
      <c r="T151" s="31">
        <f t="shared" si="132"/>
        <v>1</v>
      </c>
      <c r="U151" s="31">
        <f t="shared" si="132"/>
        <v>1</v>
      </c>
      <c r="V151" s="31">
        <f t="shared" si="132"/>
        <v>1</v>
      </c>
      <c r="W151" s="31">
        <f t="shared" si="132"/>
        <v>1</v>
      </c>
      <c r="X151" s="31">
        <f t="shared" si="132"/>
        <v>1</v>
      </c>
      <c r="Y151" s="31">
        <f t="shared" si="132"/>
        <v>1</v>
      </c>
      <c r="DA151" s="173"/>
    </row>
    <row r="152" spans="1:105" ht="11.45" customHeight="1" x14ac:dyDescent="0.25">
      <c r="A152" s="128" t="str">
        <f>$A$30</f>
        <v>Intra-EEA</v>
      </c>
      <c r="B152" s="140">
        <f t="shared" ref="B152:Y152" si="133">IF(B60=0,0,B60/B$59)</f>
        <v>0</v>
      </c>
      <c r="C152" s="140">
        <f t="shared" si="133"/>
        <v>0</v>
      </c>
      <c r="D152" s="140">
        <f t="shared" si="133"/>
        <v>0</v>
      </c>
      <c r="E152" s="140">
        <f t="shared" si="133"/>
        <v>0</v>
      </c>
      <c r="F152" s="140">
        <f t="shared" si="133"/>
        <v>0</v>
      </c>
      <c r="G152" s="140">
        <f t="shared" si="133"/>
        <v>0</v>
      </c>
      <c r="H152" s="140">
        <f t="shared" si="133"/>
        <v>0</v>
      </c>
      <c r="I152" s="140">
        <f t="shared" si="133"/>
        <v>0.3397609754982705</v>
      </c>
      <c r="J152" s="140">
        <f t="shared" si="133"/>
        <v>0.33608610620440366</v>
      </c>
      <c r="K152" s="140">
        <f t="shared" si="133"/>
        <v>0.54252501044797319</v>
      </c>
      <c r="L152" s="140">
        <f t="shared" si="133"/>
        <v>0.48074714351598435</v>
      </c>
      <c r="M152" s="140">
        <f t="shared" si="133"/>
        <v>0.45205527491666969</v>
      </c>
      <c r="N152" s="140">
        <f t="shared" si="133"/>
        <v>0.40332121356580308</v>
      </c>
      <c r="O152" s="140">
        <f t="shared" si="133"/>
        <v>0.38404767139564766</v>
      </c>
      <c r="P152" s="140">
        <f t="shared" si="133"/>
        <v>0.46164191115324232</v>
      </c>
      <c r="Q152" s="140">
        <f t="shared" si="133"/>
        <v>0.46838323201761295</v>
      </c>
      <c r="R152" s="140">
        <f t="shared" si="133"/>
        <v>0.47279569480426353</v>
      </c>
      <c r="S152" s="140">
        <f t="shared" si="133"/>
        <v>0.50514464337725529</v>
      </c>
      <c r="T152" s="140">
        <f t="shared" si="133"/>
        <v>0.51676573649607538</v>
      </c>
      <c r="U152" s="140">
        <f t="shared" si="133"/>
        <v>0.46452469145197911</v>
      </c>
      <c r="V152" s="140">
        <f t="shared" si="133"/>
        <v>0.4381908096522239</v>
      </c>
      <c r="W152" s="140">
        <f t="shared" si="133"/>
        <v>0.42413225750745981</v>
      </c>
      <c r="X152" s="140">
        <f t="shared" si="133"/>
        <v>0.48616599145015571</v>
      </c>
      <c r="Y152" s="140">
        <f t="shared" si="133"/>
        <v>0.48928263286287443</v>
      </c>
      <c r="DA152" s="175"/>
    </row>
    <row r="153" spans="1:105" ht="11.45" customHeight="1" x14ac:dyDescent="0.25">
      <c r="A153" s="138" t="str">
        <f>$A$31</f>
        <v>Extra-EEA</v>
      </c>
      <c r="B153" s="127">
        <f t="shared" ref="B153:Y153" si="134">IF(B61=0,0,B61/B$59)</f>
        <v>0</v>
      </c>
      <c r="C153" s="127">
        <f t="shared" si="134"/>
        <v>0</v>
      </c>
      <c r="D153" s="127">
        <f t="shared" si="134"/>
        <v>0</v>
      </c>
      <c r="E153" s="127">
        <f t="shared" si="134"/>
        <v>0</v>
      </c>
      <c r="F153" s="127">
        <f t="shared" si="134"/>
        <v>0</v>
      </c>
      <c r="G153" s="127">
        <f t="shared" si="134"/>
        <v>0</v>
      </c>
      <c r="H153" s="127">
        <f t="shared" si="134"/>
        <v>0</v>
      </c>
      <c r="I153" s="127">
        <f t="shared" si="134"/>
        <v>0.66023902450172955</v>
      </c>
      <c r="J153" s="127">
        <f t="shared" si="134"/>
        <v>0.66391389379559629</v>
      </c>
      <c r="K153" s="127">
        <f t="shared" si="134"/>
        <v>0.45747498955202681</v>
      </c>
      <c r="L153" s="127">
        <f t="shared" si="134"/>
        <v>0.51925285648401565</v>
      </c>
      <c r="M153" s="127">
        <f t="shared" si="134"/>
        <v>0.54794472508333036</v>
      </c>
      <c r="N153" s="127">
        <f t="shared" si="134"/>
        <v>0.59667878643419692</v>
      </c>
      <c r="O153" s="127">
        <f t="shared" si="134"/>
        <v>0.61595232860435223</v>
      </c>
      <c r="P153" s="127">
        <f t="shared" si="134"/>
        <v>0.53835808884675762</v>
      </c>
      <c r="Q153" s="127">
        <f t="shared" si="134"/>
        <v>0.531616767982387</v>
      </c>
      <c r="R153" s="127">
        <f t="shared" si="134"/>
        <v>0.52720430519573647</v>
      </c>
      <c r="S153" s="127">
        <f t="shared" si="134"/>
        <v>0.49485535662274477</v>
      </c>
      <c r="T153" s="127">
        <f t="shared" si="134"/>
        <v>0.48323426350392462</v>
      </c>
      <c r="U153" s="127">
        <f t="shared" si="134"/>
        <v>0.53547530854802083</v>
      </c>
      <c r="V153" s="127">
        <f t="shared" si="134"/>
        <v>0.5618091903477761</v>
      </c>
      <c r="W153" s="127">
        <f t="shared" si="134"/>
        <v>0.57586774249254025</v>
      </c>
      <c r="X153" s="127">
        <f t="shared" si="134"/>
        <v>0.51383400854984429</v>
      </c>
      <c r="Y153" s="127">
        <f t="shared" si="134"/>
        <v>0.51071736713712557</v>
      </c>
      <c r="DA153" s="178"/>
    </row>
    <row r="154" spans="1:105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DA154" s="171"/>
    </row>
    <row r="155" spans="1:105" ht="11.45" customHeight="1" x14ac:dyDescent="0.25">
      <c r="A155" s="53" t="s">
        <v>41</v>
      </c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DA155" s="172"/>
    </row>
    <row r="156" spans="1:105" ht="11.45" customHeight="1" x14ac:dyDescent="0.25">
      <c r="A156" s="27" t="s">
        <v>33</v>
      </c>
      <c r="B156" s="31">
        <f t="shared" ref="B156:B168" si="135">IF(B64=0,0,B64/B$64)</f>
        <v>1</v>
      </c>
      <c r="C156" s="31">
        <f t="shared" ref="C156:W156" si="136">IF(C64=0,0,C64/C$64)</f>
        <v>1</v>
      </c>
      <c r="D156" s="31">
        <f t="shared" si="136"/>
        <v>1</v>
      </c>
      <c r="E156" s="31">
        <f t="shared" si="136"/>
        <v>1</v>
      </c>
      <c r="F156" s="31">
        <f t="shared" si="136"/>
        <v>1</v>
      </c>
      <c r="G156" s="31">
        <f t="shared" si="136"/>
        <v>1</v>
      </c>
      <c r="H156" s="31">
        <f t="shared" si="136"/>
        <v>1</v>
      </c>
      <c r="I156" s="31">
        <f t="shared" si="136"/>
        <v>1</v>
      </c>
      <c r="J156" s="31">
        <f t="shared" si="136"/>
        <v>1</v>
      </c>
      <c r="K156" s="31">
        <f t="shared" si="136"/>
        <v>1</v>
      </c>
      <c r="L156" s="31">
        <f t="shared" si="136"/>
        <v>1</v>
      </c>
      <c r="M156" s="31">
        <f t="shared" si="136"/>
        <v>1</v>
      </c>
      <c r="N156" s="31">
        <f t="shared" si="136"/>
        <v>1</v>
      </c>
      <c r="O156" s="31">
        <f t="shared" si="136"/>
        <v>1</v>
      </c>
      <c r="P156" s="31">
        <f t="shared" si="136"/>
        <v>1</v>
      </c>
      <c r="Q156" s="31">
        <f t="shared" si="136"/>
        <v>1</v>
      </c>
      <c r="R156" s="31">
        <f t="shared" si="136"/>
        <v>1</v>
      </c>
      <c r="S156" s="31">
        <f t="shared" si="136"/>
        <v>1</v>
      </c>
      <c r="T156" s="31">
        <f t="shared" si="136"/>
        <v>1</v>
      </c>
      <c r="U156" s="31">
        <f t="shared" si="136"/>
        <v>1</v>
      </c>
      <c r="V156" s="31">
        <f t="shared" si="136"/>
        <v>1</v>
      </c>
      <c r="W156" s="31">
        <f t="shared" si="136"/>
        <v>1</v>
      </c>
      <c r="X156" s="31">
        <f t="shared" ref="X156:Y156" si="137">IF(X64=0,0,X64/X$64)</f>
        <v>1</v>
      </c>
      <c r="Y156" s="31">
        <f t="shared" si="137"/>
        <v>1</v>
      </c>
      <c r="DA156" s="173"/>
    </row>
    <row r="157" spans="1:105" ht="11.45" customHeight="1" x14ac:dyDescent="0.25">
      <c r="A157" s="136" t="str">
        <f>$A$5</f>
        <v>Road transport</v>
      </c>
      <c r="B157" s="139">
        <f t="shared" si="135"/>
        <v>0.83199923658846753</v>
      </c>
      <c r="C157" s="139">
        <f t="shared" ref="C157:W157" si="138">IF(C65=0,0,C65/C$64)</f>
        <v>0.91246291560558157</v>
      </c>
      <c r="D157" s="139">
        <f t="shared" si="138"/>
        <v>0.9072721085503308</v>
      </c>
      <c r="E157" s="139">
        <f t="shared" si="138"/>
        <v>0.90419568124061045</v>
      </c>
      <c r="F157" s="139">
        <f t="shared" si="138"/>
        <v>0.89730403026067551</v>
      </c>
      <c r="G157" s="139">
        <f t="shared" si="138"/>
        <v>0.93329942796557253</v>
      </c>
      <c r="H157" s="139">
        <f t="shared" si="138"/>
        <v>0.92716135625036111</v>
      </c>
      <c r="I157" s="139">
        <f t="shared" si="138"/>
        <v>0.88957860509477527</v>
      </c>
      <c r="J157" s="139">
        <f t="shared" si="138"/>
        <v>0.90314787960464782</v>
      </c>
      <c r="K157" s="139">
        <f t="shared" si="138"/>
        <v>0.90854540316498944</v>
      </c>
      <c r="L157" s="139">
        <f t="shared" si="138"/>
        <v>0.89358172267917835</v>
      </c>
      <c r="M157" s="139">
        <f t="shared" si="138"/>
        <v>0.90016871931958642</v>
      </c>
      <c r="N157" s="139">
        <f t="shared" si="138"/>
        <v>0.9191783801801896</v>
      </c>
      <c r="O157" s="139">
        <f t="shared" si="138"/>
        <v>0.91198542625300727</v>
      </c>
      <c r="P157" s="139">
        <f t="shared" si="138"/>
        <v>0.92063882623789417</v>
      </c>
      <c r="Q157" s="139">
        <f t="shared" si="138"/>
        <v>0.91363752874252135</v>
      </c>
      <c r="R157" s="139">
        <f t="shared" si="138"/>
        <v>0.90958478193334535</v>
      </c>
      <c r="S157" s="139">
        <f t="shared" si="138"/>
        <v>0.89897553410388142</v>
      </c>
      <c r="T157" s="139">
        <f t="shared" si="138"/>
        <v>0.94384759890706083</v>
      </c>
      <c r="U157" s="139">
        <f t="shared" si="138"/>
        <v>0.93364752532150452</v>
      </c>
      <c r="V157" s="139">
        <f t="shared" si="138"/>
        <v>0.96109621877137874</v>
      </c>
      <c r="W157" s="139">
        <f t="shared" si="138"/>
        <v>0.95462387405520954</v>
      </c>
      <c r="X157" s="139">
        <f t="shared" ref="X157:Y157" si="139">IF(X65=0,0,X65/X$64)</f>
        <v>0.95720824406968896</v>
      </c>
      <c r="Y157" s="139">
        <f t="shared" si="139"/>
        <v>0.96198203102969615</v>
      </c>
      <c r="DA157" s="174"/>
    </row>
    <row r="158" spans="1:105" ht="11.45" customHeight="1" x14ac:dyDescent="0.25">
      <c r="A158" s="128" t="str">
        <f>$A$6</f>
        <v>Powered two-wheelers</v>
      </c>
      <c r="B158" s="140">
        <f t="shared" si="135"/>
        <v>5.0912004695555912E-3</v>
      </c>
      <c r="C158" s="140">
        <f t="shared" ref="C158:W158" si="140">IF(C66=0,0,C66/C$64)</f>
        <v>4.3139465584644777E-3</v>
      </c>
      <c r="D158" s="140">
        <f t="shared" si="140"/>
        <v>4.255729718483643E-3</v>
      </c>
      <c r="E158" s="140">
        <f t="shared" si="140"/>
        <v>3.9876955641867723E-3</v>
      </c>
      <c r="F158" s="140">
        <f t="shared" si="140"/>
        <v>3.6438319396039356E-3</v>
      </c>
      <c r="G158" s="140">
        <f t="shared" si="140"/>
        <v>3.7178412701569549E-3</v>
      </c>
      <c r="H158" s="140">
        <f t="shared" si="140"/>
        <v>4.0125019761084934E-3</v>
      </c>
      <c r="I158" s="140">
        <f t="shared" si="140"/>
        <v>3.8476251948989506E-3</v>
      </c>
      <c r="J158" s="140">
        <f t="shared" si="140"/>
        <v>3.9892951949700569E-3</v>
      </c>
      <c r="K158" s="140">
        <f t="shared" si="140"/>
        <v>4.0987003287308778E-3</v>
      </c>
      <c r="L158" s="140">
        <f t="shared" si="140"/>
        <v>4.1280058196420093E-3</v>
      </c>
      <c r="M158" s="140">
        <f t="shared" si="140"/>
        <v>4.2020345654849934E-3</v>
      </c>
      <c r="N158" s="140">
        <f t="shared" si="140"/>
        <v>4.1580668514959087E-3</v>
      </c>
      <c r="O158" s="140">
        <f t="shared" si="140"/>
        <v>4.4976693010344085E-3</v>
      </c>
      <c r="P158" s="140">
        <f t="shared" si="140"/>
        <v>4.5227536135248924E-3</v>
      </c>
      <c r="Q158" s="140">
        <f t="shared" si="140"/>
        <v>4.5555781266585034E-3</v>
      </c>
      <c r="R158" s="140">
        <f t="shared" si="140"/>
        <v>4.4657432754560012E-3</v>
      </c>
      <c r="S158" s="140">
        <f t="shared" si="140"/>
        <v>3.8981300828955547E-3</v>
      </c>
      <c r="T158" s="140">
        <f t="shared" si="140"/>
        <v>3.743929593638722E-3</v>
      </c>
      <c r="U158" s="140">
        <f t="shared" si="140"/>
        <v>3.8331428444509123E-3</v>
      </c>
      <c r="V158" s="140">
        <f t="shared" si="140"/>
        <v>3.6517768060060339E-3</v>
      </c>
      <c r="W158" s="140">
        <f t="shared" si="140"/>
        <v>3.5498340014860049E-3</v>
      </c>
      <c r="X158" s="140">
        <f t="shared" ref="X158:Y158" si="141">IF(X66=0,0,X66/X$64)</f>
        <v>3.337245810460937E-3</v>
      </c>
      <c r="Y158" s="140">
        <f t="shared" si="141"/>
        <v>3.4344226820478994E-3</v>
      </c>
      <c r="DA158" s="175"/>
    </row>
    <row r="159" spans="1:105" ht="11.45" customHeight="1" x14ac:dyDescent="0.25">
      <c r="A159" s="128" t="str">
        <f>$A$7</f>
        <v>Passenger cars</v>
      </c>
      <c r="B159" s="140">
        <f t="shared" si="135"/>
        <v>0.58917990358190986</v>
      </c>
      <c r="C159" s="140">
        <f t="shared" ref="C159:W159" si="142">IF(C67=0,0,C67/C$64)</f>
        <v>0.66971554021477153</v>
      </c>
      <c r="D159" s="140">
        <f t="shared" si="142"/>
        <v>0.67733481760729797</v>
      </c>
      <c r="E159" s="140">
        <f t="shared" si="142"/>
        <v>0.66365619494786854</v>
      </c>
      <c r="F159" s="140">
        <f t="shared" si="142"/>
        <v>0.66616468629473125</v>
      </c>
      <c r="G159" s="140">
        <f t="shared" si="142"/>
        <v>0.70338883952578946</v>
      </c>
      <c r="H159" s="140">
        <f t="shared" si="142"/>
        <v>0.71284306735028824</v>
      </c>
      <c r="I159" s="140">
        <f t="shared" si="142"/>
        <v>0.67934063105338438</v>
      </c>
      <c r="J159" s="140">
        <f t="shared" si="142"/>
        <v>0.6547374707487793</v>
      </c>
      <c r="K159" s="140">
        <f t="shared" si="142"/>
        <v>0.66537117071418372</v>
      </c>
      <c r="L159" s="140">
        <f t="shared" si="142"/>
        <v>0.64090335943518562</v>
      </c>
      <c r="M159" s="140">
        <f t="shared" si="142"/>
        <v>0.65181725858925488</v>
      </c>
      <c r="N159" s="140">
        <f t="shared" si="142"/>
        <v>0.66937949046825673</v>
      </c>
      <c r="O159" s="140">
        <f t="shared" si="142"/>
        <v>0.65207752596903978</v>
      </c>
      <c r="P159" s="140">
        <f t="shared" si="142"/>
        <v>0.65821450416155602</v>
      </c>
      <c r="Q159" s="140">
        <f t="shared" si="142"/>
        <v>0.6474823276718048</v>
      </c>
      <c r="R159" s="140">
        <f t="shared" si="142"/>
        <v>0.64997416453398882</v>
      </c>
      <c r="S159" s="140">
        <f t="shared" si="142"/>
        <v>0.64486014000784841</v>
      </c>
      <c r="T159" s="140">
        <f t="shared" si="142"/>
        <v>0.68177758876454275</v>
      </c>
      <c r="U159" s="140">
        <f t="shared" si="142"/>
        <v>0.67861598550591895</v>
      </c>
      <c r="V159" s="140">
        <f t="shared" si="142"/>
        <v>0.68222331400295366</v>
      </c>
      <c r="W159" s="140">
        <f t="shared" si="142"/>
        <v>0.68498898982498846</v>
      </c>
      <c r="X159" s="140">
        <f t="shared" ref="X159:Y159" si="143">IF(X67=0,0,X67/X$64)</f>
        <v>0.69748061358975499</v>
      </c>
      <c r="Y159" s="140">
        <f t="shared" si="143"/>
        <v>0.71267863404024689</v>
      </c>
      <c r="DA159" s="175"/>
    </row>
    <row r="160" spans="1:105" ht="11.45" customHeight="1" x14ac:dyDescent="0.25">
      <c r="A160" s="128" t="str">
        <f>$A$8</f>
        <v>Motor coaches, buses and trolley buses</v>
      </c>
      <c r="B160" s="140">
        <f t="shared" si="135"/>
        <v>0.23772813253700206</v>
      </c>
      <c r="C160" s="140">
        <f t="shared" ref="C160:W160" si="144">IF(C68=0,0,C68/C$64)</f>
        <v>0.23843342883234558</v>
      </c>
      <c r="D160" s="140">
        <f t="shared" si="144"/>
        <v>0.22568156122454922</v>
      </c>
      <c r="E160" s="140">
        <f t="shared" si="144"/>
        <v>0.23655179072855512</v>
      </c>
      <c r="F160" s="140">
        <f t="shared" si="144"/>
        <v>0.22749551202634036</v>
      </c>
      <c r="G160" s="140">
        <f t="shared" si="144"/>
        <v>0.22619274716962603</v>
      </c>
      <c r="H160" s="140">
        <f t="shared" si="144"/>
        <v>0.21030578692396423</v>
      </c>
      <c r="I160" s="140">
        <f t="shared" si="144"/>
        <v>0.20639034884649185</v>
      </c>
      <c r="J160" s="140">
        <f t="shared" si="144"/>
        <v>0.24442111366089855</v>
      </c>
      <c r="K160" s="140">
        <f t="shared" si="144"/>
        <v>0.23907553212207491</v>
      </c>
      <c r="L160" s="140">
        <f t="shared" si="144"/>
        <v>0.24855035742435064</v>
      </c>
      <c r="M160" s="140">
        <f t="shared" si="144"/>
        <v>0.24414942616484661</v>
      </c>
      <c r="N160" s="140">
        <f t="shared" si="144"/>
        <v>0.24564082286043701</v>
      </c>
      <c r="O160" s="140">
        <f t="shared" si="144"/>
        <v>0.25541023098293308</v>
      </c>
      <c r="P160" s="140">
        <f t="shared" si="144"/>
        <v>0.2579015684628132</v>
      </c>
      <c r="Q160" s="140">
        <f t="shared" si="144"/>
        <v>0.26159962294405814</v>
      </c>
      <c r="R160" s="140">
        <f t="shared" si="144"/>
        <v>0.25514487412390063</v>
      </c>
      <c r="S160" s="140">
        <f t="shared" si="144"/>
        <v>0.25021726401313743</v>
      </c>
      <c r="T160" s="140">
        <f t="shared" si="144"/>
        <v>0.2583260805488794</v>
      </c>
      <c r="U160" s="140">
        <f t="shared" si="144"/>
        <v>0.25119839697113466</v>
      </c>
      <c r="V160" s="140">
        <f t="shared" si="144"/>
        <v>0.2752211279624191</v>
      </c>
      <c r="W160" s="140">
        <f t="shared" si="144"/>
        <v>0.26608505022873513</v>
      </c>
      <c r="X160" s="140">
        <f t="shared" ref="X160:Y160" si="145">IF(X68=0,0,X68/X$64)</f>
        <v>0.25639038466947317</v>
      </c>
      <c r="Y160" s="140">
        <f t="shared" si="145"/>
        <v>0.2458689743074014</v>
      </c>
      <c r="DA160" s="175"/>
    </row>
    <row r="161" spans="1:105" ht="11.45" customHeight="1" x14ac:dyDescent="0.25">
      <c r="A161" s="109" t="str">
        <f>$A$9</f>
        <v>Rail, metro and tram</v>
      </c>
      <c r="B161" s="124">
        <f t="shared" si="135"/>
        <v>0.10519799477795812</v>
      </c>
      <c r="C161" s="124">
        <f t="shared" ref="C161:W161" si="146">IF(C69=0,0,C69/C$64)</f>
        <v>4.0612034618188013E-2</v>
      </c>
      <c r="D161" s="124">
        <f t="shared" si="146"/>
        <v>5.3227667587708548E-2</v>
      </c>
      <c r="E161" s="124">
        <f t="shared" si="146"/>
        <v>5.1126834370868714E-2</v>
      </c>
      <c r="F161" s="124">
        <f t="shared" si="146"/>
        <v>5.1972093329603675E-2</v>
      </c>
      <c r="G161" s="124">
        <f t="shared" si="146"/>
        <v>1.7980396818935349E-2</v>
      </c>
      <c r="H161" s="124">
        <f t="shared" si="146"/>
        <v>1.6814759866375675E-2</v>
      </c>
      <c r="I161" s="124">
        <f t="shared" si="146"/>
        <v>4.3601904704113625E-2</v>
      </c>
      <c r="J161" s="124">
        <f t="shared" si="146"/>
        <v>3.6390236395559848E-2</v>
      </c>
      <c r="K161" s="124">
        <f t="shared" si="146"/>
        <v>2.8173740131045018E-2</v>
      </c>
      <c r="L161" s="124">
        <f t="shared" si="146"/>
        <v>3.1462337823394755E-2</v>
      </c>
      <c r="M161" s="124">
        <f t="shared" si="146"/>
        <v>4.0116240124820082E-2</v>
      </c>
      <c r="N161" s="124">
        <f t="shared" si="146"/>
        <v>3.6798479352957221E-2</v>
      </c>
      <c r="O161" s="124">
        <f t="shared" si="146"/>
        <v>3.30586296269944E-2</v>
      </c>
      <c r="P161" s="124">
        <f t="shared" si="146"/>
        <v>2.1553281327103813E-2</v>
      </c>
      <c r="Q161" s="124">
        <f t="shared" si="146"/>
        <v>1.9335612418955535E-2</v>
      </c>
      <c r="R161" s="124">
        <f t="shared" si="146"/>
        <v>1.7351503906616796E-2</v>
      </c>
      <c r="S161" s="124">
        <f t="shared" si="146"/>
        <v>1.8464662496252924E-2</v>
      </c>
      <c r="T161" s="124">
        <f t="shared" si="146"/>
        <v>1.4255260709653486E-2</v>
      </c>
      <c r="U161" s="124">
        <f t="shared" si="146"/>
        <v>2.0073632518020305E-2</v>
      </c>
      <c r="V161" s="124">
        <f t="shared" si="146"/>
        <v>1.9618239309862416E-2</v>
      </c>
      <c r="W161" s="124">
        <f t="shared" si="146"/>
        <v>1.8061567001120184E-2</v>
      </c>
      <c r="X161" s="124">
        <f t="shared" ref="X161:Y161" si="147">IF(X69=0,0,X69/X$64)</f>
        <v>1.0842705803164696E-2</v>
      </c>
      <c r="Y161" s="124">
        <f t="shared" si="147"/>
        <v>1.293367363697165E-2</v>
      </c>
      <c r="DA161" s="176"/>
    </row>
    <row r="162" spans="1:105" ht="11.45" customHeight="1" x14ac:dyDescent="0.25">
      <c r="A162" s="128" t="str">
        <f>$A$10</f>
        <v>Metro and tram, urban light rail</v>
      </c>
      <c r="B162" s="140">
        <f t="shared" si="135"/>
        <v>0</v>
      </c>
      <c r="C162" s="140">
        <f t="shared" ref="C162:W162" si="148">IF(C70=0,0,C70/C$64)</f>
        <v>0</v>
      </c>
      <c r="D162" s="140">
        <f t="shared" si="148"/>
        <v>0</v>
      </c>
      <c r="E162" s="140">
        <f t="shared" si="148"/>
        <v>0</v>
      </c>
      <c r="F162" s="140">
        <f t="shared" si="148"/>
        <v>0</v>
      </c>
      <c r="G162" s="140">
        <f t="shared" si="148"/>
        <v>0</v>
      </c>
      <c r="H162" s="140">
        <f t="shared" si="148"/>
        <v>0</v>
      </c>
      <c r="I162" s="140">
        <f t="shared" si="148"/>
        <v>0</v>
      </c>
      <c r="J162" s="140">
        <f t="shared" si="148"/>
        <v>0</v>
      </c>
      <c r="K162" s="140">
        <f t="shared" si="148"/>
        <v>0</v>
      </c>
      <c r="L162" s="140">
        <f t="shared" si="148"/>
        <v>0</v>
      </c>
      <c r="M162" s="140">
        <f t="shared" si="148"/>
        <v>0</v>
      </c>
      <c r="N162" s="140">
        <f t="shared" si="148"/>
        <v>0</v>
      </c>
      <c r="O162" s="140">
        <f t="shared" si="148"/>
        <v>0</v>
      </c>
      <c r="P162" s="140">
        <f t="shared" si="148"/>
        <v>0</v>
      </c>
      <c r="Q162" s="140">
        <f t="shared" si="148"/>
        <v>0</v>
      </c>
      <c r="R162" s="140">
        <f t="shared" si="148"/>
        <v>0</v>
      </c>
      <c r="S162" s="140">
        <f t="shared" si="148"/>
        <v>0</v>
      </c>
      <c r="T162" s="140">
        <f t="shared" si="148"/>
        <v>0</v>
      </c>
      <c r="U162" s="140">
        <f t="shared" si="148"/>
        <v>0</v>
      </c>
      <c r="V162" s="140">
        <f t="shared" si="148"/>
        <v>0</v>
      </c>
      <c r="W162" s="140">
        <f t="shared" si="148"/>
        <v>0</v>
      </c>
      <c r="X162" s="140">
        <f t="shared" ref="X162:Y162" si="149">IF(X70=0,0,X70/X$64)</f>
        <v>0</v>
      </c>
      <c r="Y162" s="140">
        <f t="shared" si="149"/>
        <v>0</v>
      </c>
      <c r="DA162" s="175"/>
    </row>
    <row r="163" spans="1:105" ht="11.45" customHeight="1" x14ac:dyDescent="0.25">
      <c r="A163" s="128" t="str">
        <f>$A$11</f>
        <v>Conventional passenger trains</v>
      </c>
      <c r="B163" s="140">
        <f t="shared" si="135"/>
        <v>0.10519799477795812</v>
      </c>
      <c r="C163" s="140">
        <f t="shared" ref="C163:W163" si="150">IF(C71=0,0,C71/C$64)</f>
        <v>4.0612034618188013E-2</v>
      </c>
      <c r="D163" s="140">
        <f t="shared" si="150"/>
        <v>5.3227667587708548E-2</v>
      </c>
      <c r="E163" s="140">
        <f t="shared" si="150"/>
        <v>5.1126834370868714E-2</v>
      </c>
      <c r="F163" s="140">
        <f t="shared" si="150"/>
        <v>5.1972093329603675E-2</v>
      </c>
      <c r="G163" s="140">
        <f t="shared" si="150"/>
        <v>1.7980396818935349E-2</v>
      </c>
      <c r="H163" s="140">
        <f t="shared" si="150"/>
        <v>1.6814759866375675E-2</v>
      </c>
      <c r="I163" s="140">
        <f t="shared" si="150"/>
        <v>4.3601904704113625E-2</v>
      </c>
      <c r="J163" s="140">
        <f t="shared" si="150"/>
        <v>3.6390236395559848E-2</v>
      </c>
      <c r="K163" s="140">
        <f t="shared" si="150"/>
        <v>2.8173740131045018E-2</v>
      </c>
      <c r="L163" s="140">
        <f t="shared" si="150"/>
        <v>3.1462337823394755E-2</v>
      </c>
      <c r="M163" s="140">
        <f t="shared" si="150"/>
        <v>4.0116240124820082E-2</v>
      </c>
      <c r="N163" s="140">
        <f t="shared" si="150"/>
        <v>3.6798479352957221E-2</v>
      </c>
      <c r="O163" s="140">
        <f t="shared" si="150"/>
        <v>3.30586296269944E-2</v>
      </c>
      <c r="P163" s="140">
        <f t="shared" si="150"/>
        <v>2.1553281327103813E-2</v>
      </c>
      <c r="Q163" s="140">
        <f t="shared" si="150"/>
        <v>1.9335612418955535E-2</v>
      </c>
      <c r="R163" s="140">
        <f t="shared" si="150"/>
        <v>1.7351503906616796E-2</v>
      </c>
      <c r="S163" s="140">
        <f t="shared" si="150"/>
        <v>1.8464662496252924E-2</v>
      </c>
      <c r="T163" s="140">
        <f t="shared" si="150"/>
        <v>1.4255260709653486E-2</v>
      </c>
      <c r="U163" s="140">
        <f t="shared" si="150"/>
        <v>2.0073632518020305E-2</v>
      </c>
      <c r="V163" s="140">
        <f t="shared" si="150"/>
        <v>1.9618239309862416E-2</v>
      </c>
      <c r="W163" s="140">
        <f t="shared" si="150"/>
        <v>1.8061567001120184E-2</v>
      </c>
      <c r="X163" s="140">
        <f t="shared" ref="X163:Y163" si="151">IF(X71=0,0,X71/X$64)</f>
        <v>1.0842705803164696E-2</v>
      </c>
      <c r="Y163" s="140">
        <f t="shared" si="151"/>
        <v>1.293367363697165E-2</v>
      </c>
      <c r="DA163" s="175"/>
    </row>
    <row r="164" spans="1:105" ht="11.45" customHeight="1" x14ac:dyDescent="0.25">
      <c r="A164" s="128" t="str">
        <f>$A$12</f>
        <v>High speed passenger trains</v>
      </c>
      <c r="B164" s="140">
        <f t="shared" si="135"/>
        <v>0</v>
      </c>
      <c r="C164" s="140">
        <f t="shared" ref="C164:W164" si="152">IF(C72=0,0,C72/C$64)</f>
        <v>0</v>
      </c>
      <c r="D164" s="140">
        <f t="shared" si="152"/>
        <v>0</v>
      </c>
      <c r="E164" s="140">
        <f t="shared" si="152"/>
        <v>0</v>
      </c>
      <c r="F164" s="140">
        <f t="shared" si="152"/>
        <v>0</v>
      </c>
      <c r="G164" s="140">
        <f t="shared" si="152"/>
        <v>0</v>
      </c>
      <c r="H164" s="140">
        <f t="shared" si="152"/>
        <v>0</v>
      </c>
      <c r="I164" s="140">
        <f t="shared" si="152"/>
        <v>0</v>
      </c>
      <c r="J164" s="140">
        <f t="shared" si="152"/>
        <v>0</v>
      </c>
      <c r="K164" s="140">
        <f t="shared" si="152"/>
        <v>0</v>
      </c>
      <c r="L164" s="140">
        <f t="shared" si="152"/>
        <v>0</v>
      </c>
      <c r="M164" s="140">
        <f t="shared" si="152"/>
        <v>0</v>
      </c>
      <c r="N164" s="140">
        <f t="shared" si="152"/>
        <v>0</v>
      </c>
      <c r="O164" s="140">
        <f t="shared" si="152"/>
        <v>0</v>
      </c>
      <c r="P164" s="140">
        <f t="shared" si="152"/>
        <v>0</v>
      </c>
      <c r="Q164" s="140">
        <f t="shared" si="152"/>
        <v>0</v>
      </c>
      <c r="R164" s="140">
        <f t="shared" si="152"/>
        <v>0</v>
      </c>
      <c r="S164" s="140">
        <f t="shared" si="152"/>
        <v>0</v>
      </c>
      <c r="T164" s="140">
        <f t="shared" si="152"/>
        <v>0</v>
      </c>
      <c r="U164" s="140">
        <f t="shared" si="152"/>
        <v>0</v>
      </c>
      <c r="V164" s="140">
        <f t="shared" si="152"/>
        <v>0</v>
      </c>
      <c r="W164" s="140">
        <f t="shared" si="152"/>
        <v>0</v>
      </c>
      <c r="X164" s="140">
        <f t="shared" ref="X164:Y164" si="153">IF(X72=0,0,X72/X$64)</f>
        <v>0</v>
      </c>
      <c r="Y164" s="140">
        <f t="shared" si="153"/>
        <v>0</v>
      </c>
      <c r="DA164" s="175"/>
    </row>
    <row r="165" spans="1:105" ht="11.45" customHeight="1" x14ac:dyDescent="0.25">
      <c r="A165" s="109" t="str">
        <f>$A$13</f>
        <v>Aviation</v>
      </c>
      <c r="B165" s="124">
        <f t="shared" si="135"/>
        <v>6.2802768633574244E-2</v>
      </c>
      <c r="C165" s="124">
        <f t="shared" ref="C165:W165" si="154">IF(C73=0,0,C73/C$64)</f>
        <v>4.6925049776230451E-2</v>
      </c>
      <c r="D165" s="124">
        <f t="shared" si="154"/>
        <v>3.9500223861960691E-2</v>
      </c>
      <c r="E165" s="124">
        <f t="shared" si="154"/>
        <v>4.4677484388520816E-2</v>
      </c>
      <c r="F165" s="124">
        <f t="shared" si="154"/>
        <v>5.0723876409720647E-2</v>
      </c>
      <c r="G165" s="124">
        <f t="shared" si="154"/>
        <v>4.8720175215492038E-2</v>
      </c>
      <c r="H165" s="124">
        <f t="shared" si="154"/>
        <v>5.6023883883263161E-2</v>
      </c>
      <c r="I165" s="124">
        <f t="shared" si="154"/>
        <v>6.6819490201110984E-2</v>
      </c>
      <c r="J165" s="124">
        <f t="shared" si="154"/>
        <v>6.0461883999792264E-2</v>
      </c>
      <c r="K165" s="124">
        <f t="shared" si="154"/>
        <v>6.3280856703965563E-2</v>
      </c>
      <c r="L165" s="124">
        <f t="shared" si="154"/>
        <v>7.4955939497426724E-2</v>
      </c>
      <c r="M165" s="124">
        <f t="shared" si="154"/>
        <v>5.9715040555593429E-2</v>
      </c>
      <c r="N165" s="124">
        <f t="shared" si="154"/>
        <v>4.4023140466853253E-2</v>
      </c>
      <c r="O165" s="124">
        <f t="shared" si="154"/>
        <v>5.49559441199984E-2</v>
      </c>
      <c r="P165" s="124">
        <f t="shared" si="154"/>
        <v>5.7807892435001972E-2</v>
      </c>
      <c r="Q165" s="124">
        <f t="shared" si="154"/>
        <v>6.7026858838523065E-2</v>
      </c>
      <c r="R165" s="124">
        <f t="shared" si="154"/>
        <v>7.3063714160037804E-2</v>
      </c>
      <c r="S165" s="124">
        <f t="shared" si="154"/>
        <v>8.2559803399865586E-2</v>
      </c>
      <c r="T165" s="124">
        <f t="shared" si="154"/>
        <v>4.1897140383285687E-2</v>
      </c>
      <c r="U165" s="124">
        <f t="shared" si="154"/>
        <v>4.6278842160475245E-2</v>
      </c>
      <c r="V165" s="124">
        <f t="shared" si="154"/>
        <v>1.9285541918758819E-2</v>
      </c>
      <c r="W165" s="124">
        <f t="shared" si="154"/>
        <v>2.7314558943670228E-2</v>
      </c>
      <c r="X165" s="124">
        <f t="shared" ref="X165:Y165" si="155">IF(X73=0,0,X73/X$64)</f>
        <v>3.1949050127146265E-2</v>
      </c>
      <c r="Y165" s="124">
        <f t="shared" si="155"/>
        <v>2.5084295333332184E-2</v>
      </c>
      <c r="DA165" s="176"/>
    </row>
    <row r="166" spans="1:105" ht="11.45" customHeight="1" x14ac:dyDescent="0.25">
      <c r="A166" s="128" t="str">
        <f>$A$14</f>
        <v>Domestic</v>
      </c>
      <c r="B166" s="140">
        <f t="shared" si="135"/>
        <v>2.8685051311988672E-3</v>
      </c>
      <c r="C166" s="140">
        <f t="shared" ref="C166:W166" si="156">IF(C74=0,0,C74/C$64)</f>
        <v>1.2122285995913569E-3</v>
      </c>
      <c r="D166" s="140">
        <f t="shared" si="156"/>
        <v>7.9649221390071148E-4</v>
      </c>
      <c r="E166" s="140">
        <f t="shared" si="156"/>
        <v>7.4383663163217159E-4</v>
      </c>
      <c r="F166" s="140">
        <f t="shared" si="156"/>
        <v>4.2192941888576641E-3</v>
      </c>
      <c r="G166" s="140">
        <f t="shared" si="156"/>
        <v>4.076450799424201E-3</v>
      </c>
      <c r="H166" s="140">
        <f t="shared" si="156"/>
        <v>7.4103123827877449E-4</v>
      </c>
      <c r="I166" s="140">
        <f t="shared" si="156"/>
        <v>2.6936995636997373E-2</v>
      </c>
      <c r="J166" s="140">
        <f t="shared" si="156"/>
        <v>2.2806644320088297E-2</v>
      </c>
      <c r="K166" s="140">
        <f t="shared" si="156"/>
        <v>2.3191531560484931E-2</v>
      </c>
      <c r="L166" s="140">
        <f t="shared" si="156"/>
        <v>3.0200851358752091E-2</v>
      </c>
      <c r="M166" s="140">
        <f t="shared" si="156"/>
        <v>2.156426134398506E-2</v>
      </c>
      <c r="N166" s="140">
        <f t="shared" si="156"/>
        <v>1.0346265159231888E-2</v>
      </c>
      <c r="O166" s="140">
        <f t="shared" si="156"/>
        <v>1.1994030799667692E-2</v>
      </c>
      <c r="P166" s="140">
        <f t="shared" si="156"/>
        <v>6.1223301905926142E-3</v>
      </c>
      <c r="Q166" s="140">
        <f t="shared" si="156"/>
        <v>8.1188073993412775E-3</v>
      </c>
      <c r="R166" s="140">
        <f t="shared" si="156"/>
        <v>6.4595309368566884E-3</v>
      </c>
      <c r="S166" s="140">
        <f t="shared" si="156"/>
        <v>1.0631783390710763E-2</v>
      </c>
      <c r="T166" s="140">
        <f t="shared" si="156"/>
        <v>1.2109769664592656E-2</v>
      </c>
      <c r="U166" s="140">
        <f t="shared" si="156"/>
        <v>1.3794193403029927E-2</v>
      </c>
      <c r="V166" s="140">
        <f t="shared" si="156"/>
        <v>8.6948421617883218E-3</v>
      </c>
      <c r="W166" s="140">
        <f t="shared" si="156"/>
        <v>9.8936459020941888E-3</v>
      </c>
      <c r="X166" s="140">
        <f t="shared" ref="X166:Y166" si="157">IF(X74=0,0,X74/X$64)</f>
        <v>1.3851941947944266E-2</v>
      </c>
      <c r="Y166" s="140">
        <f t="shared" si="157"/>
        <v>7.2926254303495976E-3</v>
      </c>
      <c r="DA166" s="175"/>
    </row>
    <row r="167" spans="1:105" ht="11.45" customHeight="1" x14ac:dyDescent="0.25">
      <c r="A167" s="128" t="str">
        <f>$A$15</f>
        <v>International - Intra-EEAwCHUK</v>
      </c>
      <c r="B167" s="140">
        <f t="shared" si="135"/>
        <v>5.1237639999528274E-2</v>
      </c>
      <c r="C167" s="140">
        <f t="shared" ref="C167:W167" si="158">IF(C75=0,0,C75/C$64)</f>
        <v>3.9081985249575936E-2</v>
      </c>
      <c r="D167" s="140">
        <f t="shared" si="158"/>
        <v>3.309271465176087E-2</v>
      </c>
      <c r="E167" s="140">
        <f t="shared" si="158"/>
        <v>3.7568452510346885E-2</v>
      </c>
      <c r="F167" s="140">
        <f t="shared" si="158"/>
        <v>3.977099592083895E-2</v>
      </c>
      <c r="G167" s="140">
        <f t="shared" si="158"/>
        <v>3.8266473590637638E-2</v>
      </c>
      <c r="H167" s="140">
        <f t="shared" si="158"/>
        <v>4.7670001239707403E-2</v>
      </c>
      <c r="I167" s="140">
        <f t="shared" si="158"/>
        <v>3.4738575726174753E-2</v>
      </c>
      <c r="J167" s="140">
        <f t="shared" si="158"/>
        <v>3.2915232790843338E-2</v>
      </c>
      <c r="K167" s="140">
        <f t="shared" si="158"/>
        <v>3.5011161556739993E-2</v>
      </c>
      <c r="L167" s="140">
        <f t="shared" si="158"/>
        <v>3.9159207482094782E-2</v>
      </c>
      <c r="M167" s="140">
        <f t="shared" si="158"/>
        <v>3.328763500008234E-2</v>
      </c>
      <c r="N167" s="140">
        <f t="shared" si="158"/>
        <v>2.9412723904649909E-2</v>
      </c>
      <c r="O167" s="140">
        <f t="shared" si="158"/>
        <v>3.7588820773083738E-2</v>
      </c>
      <c r="P167" s="140">
        <f t="shared" si="158"/>
        <v>4.5694068375356021E-2</v>
      </c>
      <c r="Q167" s="140">
        <f t="shared" si="158"/>
        <v>5.2538845571881126E-2</v>
      </c>
      <c r="R167" s="140">
        <f t="shared" si="158"/>
        <v>6.0380613448426067E-2</v>
      </c>
      <c r="S167" s="140">
        <f t="shared" si="158"/>
        <v>6.5854275909370874E-2</v>
      </c>
      <c r="T167" s="140">
        <f t="shared" si="158"/>
        <v>2.7252997034719468E-2</v>
      </c>
      <c r="U167" s="140">
        <f t="shared" si="158"/>
        <v>2.9803252094110336E-2</v>
      </c>
      <c r="V167" s="140">
        <f t="shared" si="158"/>
        <v>9.3507188022197638E-3</v>
      </c>
      <c r="W167" s="140">
        <f t="shared" si="158"/>
        <v>1.5666980079782834E-2</v>
      </c>
      <c r="X167" s="140">
        <f t="shared" ref="X167:Y167" si="159">IF(X75=0,0,X75/X$64)</f>
        <v>1.6695030287635765E-2</v>
      </c>
      <c r="Y167" s="140">
        <f t="shared" si="159"/>
        <v>1.6387847941559616E-2</v>
      </c>
      <c r="DA167" s="175"/>
    </row>
    <row r="168" spans="1:105" ht="11.45" customHeight="1" x14ac:dyDescent="0.25">
      <c r="A168" s="128" t="str">
        <f>$A$16</f>
        <v>International - Extra-EEAwCHUK</v>
      </c>
      <c r="B168" s="140">
        <f t="shared" si="135"/>
        <v>8.6966235028471048E-3</v>
      </c>
      <c r="C168" s="140">
        <f t="shared" ref="C168:W168" si="160">IF(C76=0,0,C76/C$64)</f>
        <v>6.6308359270631622E-3</v>
      </c>
      <c r="D168" s="140">
        <f t="shared" si="160"/>
        <v>5.6110169962991082E-3</v>
      </c>
      <c r="E168" s="140">
        <f t="shared" si="160"/>
        <v>6.3651952465417615E-3</v>
      </c>
      <c r="F168" s="140">
        <f t="shared" si="160"/>
        <v>6.7335863000240323E-3</v>
      </c>
      <c r="G168" s="140">
        <f t="shared" si="160"/>
        <v>6.3772508254301931E-3</v>
      </c>
      <c r="H168" s="140">
        <f t="shared" si="160"/>
        <v>7.6128514052769825E-3</v>
      </c>
      <c r="I168" s="140">
        <f t="shared" si="160"/>
        <v>5.1439188379388476E-3</v>
      </c>
      <c r="J168" s="140">
        <f t="shared" si="160"/>
        <v>4.7400068888606307E-3</v>
      </c>
      <c r="K168" s="140">
        <f t="shared" si="160"/>
        <v>5.0781635867406267E-3</v>
      </c>
      <c r="L168" s="140">
        <f t="shared" si="160"/>
        <v>5.5958806565798488E-3</v>
      </c>
      <c r="M168" s="140">
        <f t="shared" si="160"/>
        <v>4.8631442115260239E-3</v>
      </c>
      <c r="N168" s="140">
        <f t="shared" si="160"/>
        <v>4.264151402971459E-3</v>
      </c>
      <c r="O168" s="140">
        <f t="shared" si="160"/>
        <v>5.3730925472469607E-3</v>
      </c>
      <c r="P168" s="140">
        <f t="shared" si="160"/>
        <v>5.9914938690533376E-3</v>
      </c>
      <c r="Q168" s="140">
        <f t="shared" si="160"/>
        <v>6.3692058673006638E-3</v>
      </c>
      <c r="R168" s="140">
        <f t="shared" si="160"/>
        <v>6.2235697747550518E-3</v>
      </c>
      <c r="S168" s="140">
        <f t="shared" si="160"/>
        <v>6.0737440997839613E-3</v>
      </c>
      <c r="T168" s="140">
        <f t="shared" si="160"/>
        <v>2.5343736839735609E-3</v>
      </c>
      <c r="U168" s="140">
        <f t="shared" si="160"/>
        <v>2.6813966633349824E-3</v>
      </c>
      <c r="V168" s="140">
        <f t="shared" si="160"/>
        <v>1.2399809547507315E-3</v>
      </c>
      <c r="W168" s="140">
        <f t="shared" si="160"/>
        <v>1.7539329617932025E-3</v>
      </c>
      <c r="X168" s="140">
        <f t="shared" ref="X168:Y168" si="161">IF(X76=0,0,X76/X$64)</f>
        <v>1.4020778915662358E-3</v>
      </c>
      <c r="Y168" s="140">
        <f t="shared" si="161"/>
        <v>1.4038219614229701E-3</v>
      </c>
      <c r="DA168" s="175"/>
    </row>
    <row r="169" spans="1:105" ht="11.45" customHeight="1" x14ac:dyDescent="0.25">
      <c r="A169" s="27" t="s">
        <v>34</v>
      </c>
      <c r="B169" s="31">
        <f t="shared" ref="B169:B180" si="162">IF(B77=0,0,B77/B$77)</f>
        <v>1</v>
      </c>
      <c r="C169" s="31">
        <f t="shared" ref="C169:W169" si="163">IF(C77=0,0,C77/C$77)</f>
        <v>1</v>
      </c>
      <c r="D169" s="31">
        <f t="shared" si="163"/>
        <v>1</v>
      </c>
      <c r="E169" s="31">
        <f t="shared" si="163"/>
        <v>1</v>
      </c>
      <c r="F169" s="31">
        <f t="shared" si="163"/>
        <v>1</v>
      </c>
      <c r="G169" s="31">
        <f t="shared" si="163"/>
        <v>1</v>
      </c>
      <c r="H169" s="31">
        <f t="shared" si="163"/>
        <v>1</v>
      </c>
      <c r="I169" s="31">
        <f t="shared" si="163"/>
        <v>1</v>
      </c>
      <c r="J169" s="31">
        <f t="shared" si="163"/>
        <v>1</v>
      </c>
      <c r="K169" s="31">
        <f t="shared" si="163"/>
        <v>1</v>
      </c>
      <c r="L169" s="31">
        <f t="shared" si="163"/>
        <v>1</v>
      </c>
      <c r="M169" s="31">
        <f t="shared" si="163"/>
        <v>1</v>
      </c>
      <c r="N169" s="31">
        <f t="shared" si="163"/>
        <v>1</v>
      </c>
      <c r="O169" s="31">
        <f t="shared" si="163"/>
        <v>1</v>
      </c>
      <c r="P169" s="31">
        <f t="shared" si="163"/>
        <v>1</v>
      </c>
      <c r="Q169" s="31">
        <f t="shared" si="163"/>
        <v>1</v>
      </c>
      <c r="R169" s="31">
        <f t="shared" si="163"/>
        <v>1</v>
      </c>
      <c r="S169" s="31">
        <f t="shared" si="163"/>
        <v>1</v>
      </c>
      <c r="T169" s="31">
        <f t="shared" si="163"/>
        <v>1</v>
      </c>
      <c r="U169" s="31">
        <f t="shared" si="163"/>
        <v>1</v>
      </c>
      <c r="V169" s="31">
        <f t="shared" si="163"/>
        <v>1</v>
      </c>
      <c r="W169" s="31">
        <f t="shared" si="163"/>
        <v>1</v>
      </c>
      <c r="X169" s="31">
        <f t="shared" ref="X169:Y169" si="164">IF(X77=0,0,X77/X$77)</f>
        <v>1</v>
      </c>
      <c r="Y169" s="31">
        <f t="shared" si="164"/>
        <v>1</v>
      </c>
      <c r="DA169" s="173"/>
    </row>
    <row r="170" spans="1:105" ht="11.45" customHeight="1" x14ac:dyDescent="0.25">
      <c r="A170" s="136" t="str">
        <f>$A$18</f>
        <v>Road transport</v>
      </c>
      <c r="B170" s="139">
        <f t="shared" si="162"/>
        <v>0.82251603635451076</v>
      </c>
      <c r="C170" s="139">
        <f t="shared" ref="C170:W170" si="165">IF(C78=0,0,C78/C$77)</f>
        <v>0.88308931140139668</v>
      </c>
      <c r="D170" s="139">
        <f t="shared" si="165"/>
        <v>0.87863733905550778</v>
      </c>
      <c r="E170" s="139">
        <f t="shared" si="165"/>
        <v>0.92526809042403291</v>
      </c>
      <c r="F170" s="139">
        <f t="shared" si="165"/>
        <v>0.93311139060288062</v>
      </c>
      <c r="G170" s="139">
        <f t="shared" si="165"/>
        <v>0.94588071860695944</v>
      </c>
      <c r="H170" s="139">
        <f t="shared" si="165"/>
        <v>0.95264888777034817</v>
      </c>
      <c r="I170" s="139">
        <f t="shared" si="165"/>
        <v>0.89909470763552135</v>
      </c>
      <c r="J170" s="139">
        <f t="shared" si="165"/>
        <v>0.91285482877127622</v>
      </c>
      <c r="K170" s="139">
        <f t="shared" si="165"/>
        <v>0.93867136479360958</v>
      </c>
      <c r="L170" s="139">
        <f t="shared" si="165"/>
        <v>0.92132318447803874</v>
      </c>
      <c r="M170" s="139">
        <f t="shared" si="165"/>
        <v>0.91680803450402759</v>
      </c>
      <c r="N170" s="139">
        <f t="shared" si="165"/>
        <v>0.92898126810888348</v>
      </c>
      <c r="O170" s="139">
        <f t="shared" si="165"/>
        <v>0.93297884998021174</v>
      </c>
      <c r="P170" s="139">
        <f t="shared" si="165"/>
        <v>0.94854816936578368</v>
      </c>
      <c r="Q170" s="139">
        <f t="shared" si="165"/>
        <v>0.93515876281001886</v>
      </c>
      <c r="R170" s="139">
        <f t="shared" si="165"/>
        <v>0.94225709834598181</v>
      </c>
      <c r="S170" s="139">
        <f t="shared" si="165"/>
        <v>0.94921451492379405</v>
      </c>
      <c r="T170" s="139">
        <f t="shared" si="165"/>
        <v>0.95224457674639618</v>
      </c>
      <c r="U170" s="139">
        <f t="shared" si="165"/>
        <v>0.94762682590606973</v>
      </c>
      <c r="V170" s="139">
        <f t="shared" si="165"/>
        <v>0.95466776351592619</v>
      </c>
      <c r="W170" s="139">
        <f t="shared" si="165"/>
        <v>0.94030327933469793</v>
      </c>
      <c r="X170" s="139">
        <f t="shared" ref="X170:Y170" si="166">IF(X78=0,0,X78/X$77)</f>
        <v>0.94919333193034161</v>
      </c>
      <c r="Y170" s="139">
        <f t="shared" si="166"/>
        <v>0.95694011200962814</v>
      </c>
      <c r="DA170" s="174"/>
    </row>
    <row r="171" spans="1:105" ht="11.45" customHeight="1" x14ac:dyDescent="0.25">
      <c r="A171" s="128" t="str">
        <f>$A$19</f>
        <v>Light commercial vehicles</v>
      </c>
      <c r="B171" s="140">
        <f t="shared" si="162"/>
        <v>0.35968923932269059</v>
      </c>
      <c r="C171" s="140">
        <f t="shared" ref="C171:W171" si="167">IF(C79=0,0,C79/C$77)</f>
        <v>0.31464287366871374</v>
      </c>
      <c r="D171" s="140">
        <f t="shared" si="167"/>
        <v>0.29699959411478161</v>
      </c>
      <c r="E171" s="140">
        <f t="shared" si="167"/>
        <v>0.29225166042704825</v>
      </c>
      <c r="F171" s="140">
        <f t="shared" si="167"/>
        <v>0.31394934479727188</v>
      </c>
      <c r="G171" s="140">
        <f t="shared" si="167"/>
        <v>0.3664206124705735</v>
      </c>
      <c r="H171" s="140">
        <f t="shared" si="167"/>
        <v>0.3529683729609151</v>
      </c>
      <c r="I171" s="140">
        <f t="shared" si="167"/>
        <v>0.37815959476197653</v>
      </c>
      <c r="J171" s="140">
        <f t="shared" si="167"/>
        <v>0.40687659603068871</v>
      </c>
      <c r="K171" s="140">
        <f t="shared" si="167"/>
        <v>0.43131678211426583</v>
      </c>
      <c r="L171" s="140">
        <f t="shared" si="167"/>
        <v>0.49832006771784437</v>
      </c>
      <c r="M171" s="140">
        <f t="shared" si="167"/>
        <v>0.49700091220828491</v>
      </c>
      <c r="N171" s="140">
        <f t="shared" si="167"/>
        <v>0.5384873016227375</v>
      </c>
      <c r="O171" s="140">
        <f t="shared" si="167"/>
        <v>0.54792654584365597</v>
      </c>
      <c r="P171" s="140">
        <f t="shared" si="167"/>
        <v>0.59101365916567361</v>
      </c>
      <c r="Q171" s="140">
        <f t="shared" si="167"/>
        <v>0.60793671150005624</v>
      </c>
      <c r="R171" s="140">
        <f t="shared" si="167"/>
        <v>0.58170682800379614</v>
      </c>
      <c r="S171" s="140">
        <f t="shared" si="167"/>
        <v>0.56747203959676829</v>
      </c>
      <c r="T171" s="140">
        <f t="shared" si="167"/>
        <v>0.5970632802048873</v>
      </c>
      <c r="U171" s="140">
        <f t="shared" si="167"/>
        <v>0.5827360524914722</v>
      </c>
      <c r="V171" s="140">
        <f t="shared" si="167"/>
        <v>0.60292510133311272</v>
      </c>
      <c r="W171" s="140">
        <f t="shared" si="167"/>
        <v>0.57809453560778901</v>
      </c>
      <c r="X171" s="140">
        <f t="shared" ref="X171:Y171" si="168">IF(X79=0,0,X79/X$77)</f>
        <v>0.5397372113029939</v>
      </c>
      <c r="Y171" s="140">
        <f t="shared" si="168"/>
        <v>0.53981848769247265</v>
      </c>
      <c r="DA171" s="175"/>
    </row>
    <row r="172" spans="1:105" ht="11.45" customHeight="1" x14ac:dyDescent="0.25">
      <c r="A172" s="128" t="str">
        <f>$A$20</f>
        <v>Heavy goods vehicles</v>
      </c>
      <c r="B172" s="140">
        <f t="shared" si="162"/>
        <v>0.46282679703182011</v>
      </c>
      <c r="C172" s="140">
        <f t="shared" ref="C172:W172" si="169">IF(C80=0,0,C80/C$77)</f>
        <v>0.56844643773268289</v>
      </c>
      <c r="D172" s="140">
        <f t="shared" si="169"/>
        <v>0.58163774494072618</v>
      </c>
      <c r="E172" s="140">
        <f t="shared" si="169"/>
        <v>0.6330164299969846</v>
      </c>
      <c r="F172" s="140">
        <f t="shared" si="169"/>
        <v>0.61916204580560885</v>
      </c>
      <c r="G172" s="140">
        <f t="shared" si="169"/>
        <v>0.57946010613638588</v>
      </c>
      <c r="H172" s="140">
        <f t="shared" si="169"/>
        <v>0.59968051480943318</v>
      </c>
      <c r="I172" s="140">
        <f t="shared" si="169"/>
        <v>0.52093511287354488</v>
      </c>
      <c r="J172" s="140">
        <f t="shared" si="169"/>
        <v>0.5059782327405874</v>
      </c>
      <c r="K172" s="140">
        <f t="shared" si="169"/>
        <v>0.50735458267934375</v>
      </c>
      <c r="L172" s="140">
        <f t="shared" si="169"/>
        <v>0.42300311676019425</v>
      </c>
      <c r="M172" s="140">
        <f t="shared" si="169"/>
        <v>0.41980712229574269</v>
      </c>
      <c r="N172" s="140">
        <f t="shared" si="169"/>
        <v>0.39049396648614604</v>
      </c>
      <c r="O172" s="140">
        <f t="shared" si="169"/>
        <v>0.38505230413655589</v>
      </c>
      <c r="P172" s="140">
        <f t="shared" si="169"/>
        <v>0.35753451020011007</v>
      </c>
      <c r="Q172" s="140">
        <f t="shared" si="169"/>
        <v>0.32722205130996262</v>
      </c>
      <c r="R172" s="140">
        <f t="shared" si="169"/>
        <v>0.36055027034218567</v>
      </c>
      <c r="S172" s="140">
        <f t="shared" si="169"/>
        <v>0.38174247532702577</v>
      </c>
      <c r="T172" s="140">
        <f t="shared" si="169"/>
        <v>0.35518129654150893</v>
      </c>
      <c r="U172" s="140">
        <f t="shared" si="169"/>
        <v>0.36489077341459747</v>
      </c>
      <c r="V172" s="140">
        <f t="shared" si="169"/>
        <v>0.35174266218281341</v>
      </c>
      <c r="W172" s="140">
        <f t="shared" si="169"/>
        <v>0.36220874372690903</v>
      </c>
      <c r="X172" s="140">
        <f t="shared" ref="X172:Y172" si="170">IF(X80=0,0,X80/X$77)</f>
        <v>0.40945612062734754</v>
      </c>
      <c r="Y172" s="140">
        <f t="shared" si="170"/>
        <v>0.41712162431715538</v>
      </c>
      <c r="DA172" s="175"/>
    </row>
    <row r="173" spans="1:105" ht="11.45" customHeight="1" x14ac:dyDescent="0.25">
      <c r="A173" s="109" t="str">
        <f>$A$21</f>
        <v>Rail transport</v>
      </c>
      <c r="B173" s="124">
        <f t="shared" si="162"/>
        <v>7.145123855908099E-2</v>
      </c>
      <c r="C173" s="124">
        <f t="shared" ref="C173:W173" si="171">IF(C81=0,0,C81/C$77)</f>
        <v>3.6877996589964143E-2</v>
      </c>
      <c r="D173" s="124">
        <f t="shared" si="171"/>
        <v>4.654311918159889E-2</v>
      </c>
      <c r="E173" s="124">
        <f t="shared" si="171"/>
        <v>2.7035563797816072E-2</v>
      </c>
      <c r="F173" s="124">
        <f t="shared" si="171"/>
        <v>3.5729343801187093E-2</v>
      </c>
      <c r="G173" s="124">
        <f t="shared" si="171"/>
        <v>2.0443962126769695E-2</v>
      </c>
      <c r="H173" s="124">
        <f t="shared" si="171"/>
        <v>1.8687683659964885E-2</v>
      </c>
      <c r="I173" s="124">
        <f t="shared" si="171"/>
        <v>3.9026540524821046E-2</v>
      </c>
      <c r="J173" s="124">
        <f t="shared" si="171"/>
        <v>3.311629545632732E-2</v>
      </c>
      <c r="K173" s="124">
        <f t="shared" si="171"/>
        <v>2.066175488555683E-2</v>
      </c>
      <c r="L173" s="124">
        <f t="shared" si="171"/>
        <v>2.8408743852345406E-2</v>
      </c>
      <c r="M173" s="124">
        <f t="shared" si="171"/>
        <v>4.0664090005685112E-2</v>
      </c>
      <c r="N173" s="124">
        <f t="shared" si="171"/>
        <v>3.5852806041231686E-2</v>
      </c>
      <c r="O173" s="124">
        <f t="shared" si="171"/>
        <v>3.2578322279207685E-2</v>
      </c>
      <c r="P173" s="124">
        <f t="shared" si="171"/>
        <v>2.0252799481954388E-2</v>
      </c>
      <c r="Q173" s="124">
        <f t="shared" si="171"/>
        <v>2.9015790720171585E-2</v>
      </c>
      <c r="R173" s="124">
        <f t="shared" si="171"/>
        <v>2.6633132239315946E-2</v>
      </c>
      <c r="S173" s="124">
        <f t="shared" si="171"/>
        <v>2.1784622249489644E-2</v>
      </c>
      <c r="T173" s="124">
        <f t="shared" si="171"/>
        <v>2.0260745296599911E-2</v>
      </c>
      <c r="U173" s="124">
        <f t="shared" si="171"/>
        <v>2.4200864585480035E-2</v>
      </c>
      <c r="V173" s="124">
        <f t="shared" si="171"/>
        <v>1.7861258164520506E-2</v>
      </c>
      <c r="W173" s="124">
        <f t="shared" si="171"/>
        <v>2.8721137444256466E-2</v>
      </c>
      <c r="X173" s="124">
        <f t="shared" ref="X173:Y173" si="172">IF(X81=0,0,X81/X$77)</f>
        <v>2.6215052584950743E-2</v>
      </c>
      <c r="Y173" s="124">
        <f t="shared" si="172"/>
        <v>1.7866338870802297E-2</v>
      </c>
      <c r="DA173" s="176"/>
    </row>
    <row r="174" spans="1:105" ht="11.45" customHeight="1" x14ac:dyDescent="0.25">
      <c r="A174" s="109" t="str">
        <f>$A$22</f>
        <v>Aviation</v>
      </c>
      <c r="B174" s="124">
        <f t="shared" si="162"/>
        <v>1.7549634316194986E-3</v>
      </c>
      <c r="C174" s="124">
        <f t="shared" ref="C174:W174" si="173">IF(C82=0,0,C82/C$77)</f>
        <v>1.2619535659466297E-3</v>
      </c>
      <c r="D174" s="124">
        <f t="shared" si="173"/>
        <v>1.1011132257662147E-3</v>
      </c>
      <c r="E174" s="124">
        <f t="shared" si="173"/>
        <v>1.0312135108417602E-3</v>
      </c>
      <c r="F174" s="124">
        <f t="shared" si="173"/>
        <v>1.2250193380262894E-3</v>
      </c>
      <c r="G174" s="124">
        <f t="shared" si="173"/>
        <v>8.4440393497980969E-4</v>
      </c>
      <c r="H174" s="124">
        <f t="shared" si="173"/>
        <v>8.0918045393562222E-4</v>
      </c>
      <c r="I174" s="124">
        <f t="shared" si="173"/>
        <v>8.0444365221444809E-4</v>
      </c>
      <c r="J174" s="124">
        <f t="shared" si="173"/>
        <v>8.6965544057253027E-4</v>
      </c>
      <c r="K174" s="124">
        <f t="shared" si="173"/>
        <v>1.0299774698549753E-3</v>
      </c>
      <c r="L174" s="124">
        <f t="shared" si="173"/>
        <v>1.3833975986755802E-3</v>
      </c>
      <c r="M174" s="124">
        <f t="shared" si="173"/>
        <v>1.3538824937334671E-3</v>
      </c>
      <c r="N174" s="124">
        <f t="shared" si="173"/>
        <v>1.3735847861768365E-3</v>
      </c>
      <c r="O174" s="124">
        <f t="shared" si="173"/>
        <v>1.6516524817041921E-3</v>
      </c>
      <c r="P174" s="124">
        <f t="shared" si="173"/>
        <v>1.5838419718005644E-3</v>
      </c>
      <c r="Q174" s="124">
        <f t="shared" si="173"/>
        <v>1.6205531055559659E-3</v>
      </c>
      <c r="R174" s="124">
        <f t="shared" si="173"/>
        <v>1.5946306493164805E-3</v>
      </c>
      <c r="S174" s="124">
        <f t="shared" si="173"/>
        <v>1.8748092629363021E-3</v>
      </c>
      <c r="T174" s="124">
        <f t="shared" si="173"/>
        <v>7.1184686219926991E-4</v>
      </c>
      <c r="U174" s="124">
        <f t="shared" si="173"/>
        <v>5.4572772649592513E-4</v>
      </c>
      <c r="V174" s="124">
        <f t="shared" si="173"/>
        <v>4.9721555093844522E-4</v>
      </c>
      <c r="W174" s="124">
        <f t="shared" si="173"/>
        <v>5.8470843367208682E-4</v>
      </c>
      <c r="X174" s="124">
        <f t="shared" ref="X174:Y174" si="174">IF(X82=0,0,X82/X$77)</f>
        <v>5.6838114780385983E-4</v>
      </c>
      <c r="Y174" s="124">
        <f t="shared" si="174"/>
        <v>4.5192401793536639E-4</v>
      </c>
      <c r="DA174" s="176"/>
    </row>
    <row r="175" spans="1:105" ht="11.45" customHeight="1" x14ac:dyDescent="0.25">
      <c r="A175" s="128" t="s">
        <v>27</v>
      </c>
      <c r="B175" s="140">
        <f t="shared" si="162"/>
        <v>6.3509726634130339E-5</v>
      </c>
      <c r="C175" s="140">
        <f t="shared" ref="C175:W175" si="175">IF(C83=0,0,C83/C$77)</f>
        <v>4.5272406255379356E-5</v>
      </c>
      <c r="D175" s="140">
        <f t="shared" si="175"/>
        <v>3.7137160983068761E-5</v>
      </c>
      <c r="E175" s="140">
        <f t="shared" si="175"/>
        <v>3.4289651696014675E-5</v>
      </c>
      <c r="F175" s="140">
        <f t="shared" si="175"/>
        <v>4.3534982148916178E-5</v>
      </c>
      <c r="G175" s="140">
        <f t="shared" si="175"/>
        <v>1.8640664401347728E-5</v>
      </c>
      <c r="H175" s="140">
        <f t="shared" si="175"/>
        <v>6.8792474477693465E-6</v>
      </c>
      <c r="I175" s="140">
        <f t="shared" si="175"/>
        <v>2.6019480710455701E-4</v>
      </c>
      <c r="J175" s="140">
        <f t="shared" si="175"/>
        <v>1.3587332246751065E-4</v>
      </c>
      <c r="K175" s="140">
        <f t="shared" si="175"/>
        <v>1.0294776898187724E-4</v>
      </c>
      <c r="L175" s="140">
        <f t="shared" si="175"/>
        <v>1.0344216629662459E-4</v>
      </c>
      <c r="M175" s="140">
        <f t="shared" si="175"/>
        <v>4.6493450322735444E-5</v>
      </c>
      <c r="N175" s="140">
        <f t="shared" si="175"/>
        <v>1.7473699358586257E-5</v>
      </c>
      <c r="O175" s="140">
        <f t="shared" si="175"/>
        <v>1.4517790479236296E-5</v>
      </c>
      <c r="P175" s="140">
        <f t="shared" si="175"/>
        <v>5.1280599318771777E-6</v>
      </c>
      <c r="Q175" s="140">
        <f t="shared" si="175"/>
        <v>4.6677787189692493E-6</v>
      </c>
      <c r="R175" s="140">
        <f t="shared" si="175"/>
        <v>5.5331706379004264E-6</v>
      </c>
      <c r="S175" s="140">
        <f t="shared" si="175"/>
        <v>2.664890979451892E-5</v>
      </c>
      <c r="T175" s="140">
        <f t="shared" si="175"/>
        <v>5.0035556636084717E-5</v>
      </c>
      <c r="U175" s="140">
        <f t="shared" si="175"/>
        <v>8.5933757084040728E-5</v>
      </c>
      <c r="V175" s="140">
        <f t="shared" si="175"/>
        <v>1.4946032127120289E-4</v>
      </c>
      <c r="W175" s="140">
        <f t="shared" si="175"/>
        <v>1.9054920970495404E-4</v>
      </c>
      <c r="X175" s="140">
        <f t="shared" ref="X175:Y175" si="176">IF(X83=0,0,X83/X$77)</f>
        <v>2.3106810043451264E-4</v>
      </c>
      <c r="Y175" s="140">
        <f t="shared" si="176"/>
        <v>1.4982776646997286E-4</v>
      </c>
      <c r="DA175" s="175"/>
    </row>
    <row r="176" spans="1:105" ht="11.45" customHeight="1" x14ac:dyDescent="0.25">
      <c r="A176" s="128" t="str">
        <f>$A$24</f>
        <v>International - Intra-EEAwCHUK</v>
      </c>
      <c r="B176" s="140">
        <f t="shared" si="162"/>
        <v>1.4057808781583173E-3</v>
      </c>
      <c r="C176" s="140">
        <f t="shared" ref="C176:W176" si="177">IF(C84=0,0,C84/C$77)</f>
        <v>9.862190272660722E-4</v>
      </c>
      <c r="D176" s="140">
        <f t="shared" si="177"/>
        <v>8.4479784509450446E-4</v>
      </c>
      <c r="E176" s="140">
        <f t="shared" si="177"/>
        <v>7.750997399194983E-4</v>
      </c>
      <c r="F176" s="140">
        <f t="shared" si="177"/>
        <v>9.4587873803616033E-4</v>
      </c>
      <c r="G176" s="140">
        <f t="shared" si="177"/>
        <v>7.4010630303820871E-4</v>
      </c>
      <c r="H176" s="140">
        <f t="shared" si="177"/>
        <v>7.191456660142556E-4</v>
      </c>
      <c r="I176" s="140">
        <f t="shared" si="177"/>
        <v>4.5778588630869256E-4</v>
      </c>
      <c r="J176" s="140">
        <f t="shared" si="177"/>
        <v>6.1178058739725922E-4</v>
      </c>
      <c r="K176" s="140">
        <f t="shared" si="177"/>
        <v>8.1728990027379823E-4</v>
      </c>
      <c r="L176" s="140">
        <f t="shared" si="177"/>
        <v>1.122540372519386E-3</v>
      </c>
      <c r="M176" s="140">
        <f t="shared" si="177"/>
        <v>1.0575009613980552E-3</v>
      </c>
      <c r="N176" s="140">
        <f t="shared" si="177"/>
        <v>9.2478724921642803E-4</v>
      </c>
      <c r="O176" s="140">
        <f t="shared" si="177"/>
        <v>1.1664639331376194E-3</v>
      </c>
      <c r="P176" s="140">
        <f t="shared" si="177"/>
        <v>1.3760221224738598E-3</v>
      </c>
      <c r="Q176" s="140">
        <f t="shared" si="177"/>
        <v>1.4711144011554979E-3</v>
      </c>
      <c r="R176" s="140">
        <f t="shared" si="177"/>
        <v>1.4966016707741486E-3</v>
      </c>
      <c r="S176" s="140">
        <f t="shared" si="177"/>
        <v>1.7751448155203637E-3</v>
      </c>
      <c r="T176" s="140">
        <f t="shared" si="177"/>
        <v>6.4353261772183163E-4</v>
      </c>
      <c r="U176" s="140">
        <f t="shared" si="177"/>
        <v>4.3299705558103816E-4</v>
      </c>
      <c r="V176" s="140">
        <f t="shared" si="177"/>
        <v>3.1612263091850197E-4</v>
      </c>
      <c r="W176" s="140">
        <f t="shared" si="177"/>
        <v>3.65977330791872E-4</v>
      </c>
      <c r="X176" s="140">
        <f t="shared" ref="X176:Y176" si="178">IF(X84=0,0,X84/X$77)</f>
        <v>3.1536009532737364E-4</v>
      </c>
      <c r="Y176" s="140">
        <f t="shared" si="178"/>
        <v>2.8641542468813735E-4</v>
      </c>
      <c r="DA176" s="175"/>
    </row>
    <row r="177" spans="1:105" ht="11.45" customHeight="1" x14ac:dyDescent="0.25">
      <c r="A177" s="128" t="str">
        <f>$A$25</f>
        <v>International - Extra-EEAwCHUK</v>
      </c>
      <c r="B177" s="140">
        <f t="shared" si="162"/>
        <v>2.8567282682705111E-4</v>
      </c>
      <c r="C177" s="140">
        <f t="shared" ref="C177:W177" si="179">IF(C85=0,0,C85/C$77)</f>
        <v>2.3046213242517818E-4</v>
      </c>
      <c r="D177" s="140">
        <f t="shared" si="179"/>
        <v>2.191782196886414E-4</v>
      </c>
      <c r="E177" s="140">
        <f t="shared" si="179"/>
        <v>2.2182411922624731E-4</v>
      </c>
      <c r="F177" s="140">
        <f t="shared" si="179"/>
        <v>2.3560561784121285E-4</v>
      </c>
      <c r="G177" s="140">
        <f t="shared" si="179"/>
        <v>8.5656967540253165E-5</v>
      </c>
      <c r="H177" s="140">
        <f t="shared" si="179"/>
        <v>8.3155540473597164E-5</v>
      </c>
      <c r="I177" s="140">
        <f t="shared" si="179"/>
        <v>8.6462958801198525E-5</v>
      </c>
      <c r="J177" s="140">
        <f t="shared" si="179"/>
        <v>1.2200153070776037E-4</v>
      </c>
      <c r="K177" s="140">
        <f t="shared" si="179"/>
        <v>1.0973980059929977E-4</v>
      </c>
      <c r="L177" s="140">
        <f t="shared" si="179"/>
        <v>1.574150598595695E-4</v>
      </c>
      <c r="M177" s="140">
        <f t="shared" si="179"/>
        <v>2.4988808201267668E-4</v>
      </c>
      <c r="N177" s="140">
        <f t="shared" si="179"/>
        <v>4.3132383760182205E-4</v>
      </c>
      <c r="O177" s="140">
        <f t="shared" si="179"/>
        <v>4.7067075808733625E-4</v>
      </c>
      <c r="P177" s="140">
        <f t="shared" si="179"/>
        <v>2.0269178939482741E-4</v>
      </c>
      <c r="Q177" s="140">
        <f t="shared" si="179"/>
        <v>1.4477092568149872E-4</v>
      </c>
      <c r="R177" s="140">
        <f t="shared" si="179"/>
        <v>9.2495807904431263E-5</v>
      </c>
      <c r="S177" s="140">
        <f t="shared" si="179"/>
        <v>7.3015537621419813E-5</v>
      </c>
      <c r="T177" s="140">
        <f t="shared" si="179"/>
        <v>1.8278687841353675E-5</v>
      </c>
      <c r="U177" s="140">
        <f t="shared" si="179"/>
        <v>2.6796913830846252E-5</v>
      </c>
      <c r="V177" s="140">
        <f t="shared" si="179"/>
        <v>3.1632598748740439E-5</v>
      </c>
      <c r="W177" s="140">
        <f t="shared" si="179"/>
        <v>2.8181893175260749E-5</v>
      </c>
      <c r="X177" s="140">
        <f t="shared" ref="X177:Y177" si="180">IF(X85=0,0,X85/X$77)</f>
        <v>2.1952952041973552E-5</v>
      </c>
      <c r="Y177" s="140">
        <f t="shared" si="180"/>
        <v>1.5680826777256188E-5</v>
      </c>
      <c r="DA177" s="175"/>
    </row>
    <row r="178" spans="1:105" ht="11.45" customHeight="1" x14ac:dyDescent="0.25">
      <c r="A178" s="109" t="s">
        <v>141</v>
      </c>
      <c r="B178" s="124">
        <f t="shared" si="162"/>
        <v>0.10427776165478879</v>
      </c>
      <c r="C178" s="124">
        <f t="shared" ref="C178:W178" si="181">IF(C86=0,0,C86/C$77)</f>
        <v>7.8770738442692584E-2</v>
      </c>
      <c r="D178" s="124">
        <f t="shared" si="181"/>
        <v>7.3718428537127317E-2</v>
      </c>
      <c r="E178" s="124">
        <f t="shared" si="181"/>
        <v>4.6665132267309277E-2</v>
      </c>
      <c r="F178" s="124">
        <f t="shared" si="181"/>
        <v>2.9934246257905982E-2</v>
      </c>
      <c r="G178" s="124">
        <f t="shared" si="181"/>
        <v>3.2830915331291004E-2</v>
      </c>
      <c r="H178" s="124">
        <f t="shared" si="181"/>
        <v>2.7854248115751226E-2</v>
      </c>
      <c r="I178" s="124">
        <f t="shared" si="181"/>
        <v>6.1074308187443048E-2</v>
      </c>
      <c r="J178" s="124">
        <f t="shared" si="181"/>
        <v>5.315922033182386E-2</v>
      </c>
      <c r="K178" s="124">
        <f t="shared" si="181"/>
        <v>3.9636902850978664E-2</v>
      </c>
      <c r="L178" s="124">
        <f t="shared" si="181"/>
        <v>4.8884674070940382E-2</v>
      </c>
      <c r="M178" s="124">
        <f t="shared" si="181"/>
        <v>4.1173992996553881E-2</v>
      </c>
      <c r="N178" s="124">
        <f t="shared" si="181"/>
        <v>3.3792341063707938E-2</v>
      </c>
      <c r="O178" s="124">
        <f t="shared" si="181"/>
        <v>3.2791175258876391E-2</v>
      </c>
      <c r="P178" s="124">
        <f t="shared" si="181"/>
        <v>2.9615189180461444E-2</v>
      </c>
      <c r="Q178" s="124">
        <f t="shared" si="181"/>
        <v>3.4204893364253537E-2</v>
      </c>
      <c r="R178" s="124">
        <f t="shared" si="181"/>
        <v>2.9515138765385772E-2</v>
      </c>
      <c r="S178" s="124">
        <f t="shared" si="181"/>
        <v>2.7126053563779794E-2</v>
      </c>
      <c r="T178" s="124">
        <f t="shared" si="181"/>
        <v>2.6782831094804723E-2</v>
      </c>
      <c r="U178" s="124">
        <f t="shared" si="181"/>
        <v>2.7626581781954342E-2</v>
      </c>
      <c r="V178" s="124">
        <f t="shared" si="181"/>
        <v>2.6973762768614799E-2</v>
      </c>
      <c r="W178" s="124">
        <f t="shared" si="181"/>
        <v>3.0390874787373519E-2</v>
      </c>
      <c r="X178" s="124">
        <f t="shared" ref="X178:Y178" si="182">IF(X86=0,0,X86/X$77)</f>
        <v>2.4023234336903749E-2</v>
      </c>
      <c r="Y178" s="124">
        <f t="shared" si="182"/>
        <v>2.4741625101634166E-2</v>
      </c>
      <c r="DA178" s="176"/>
    </row>
    <row r="179" spans="1:105" ht="11.45" customHeight="1" x14ac:dyDescent="0.25">
      <c r="A179" s="128" t="str">
        <f>$A$27</f>
        <v>Domestic coastal shipping</v>
      </c>
      <c r="B179" s="140">
        <f t="shared" si="162"/>
        <v>0</v>
      </c>
      <c r="C179" s="140">
        <f t="shared" ref="C179:W179" si="183">IF(C87=0,0,C87/C$77)</f>
        <v>0</v>
      </c>
      <c r="D179" s="140">
        <f t="shared" si="183"/>
        <v>0</v>
      </c>
      <c r="E179" s="140">
        <f t="shared" si="183"/>
        <v>0</v>
      </c>
      <c r="F179" s="140">
        <f t="shared" si="183"/>
        <v>0</v>
      </c>
      <c r="G179" s="140">
        <f t="shared" si="183"/>
        <v>0</v>
      </c>
      <c r="H179" s="140">
        <f t="shared" si="183"/>
        <v>0</v>
      </c>
      <c r="I179" s="140">
        <f t="shared" si="183"/>
        <v>0</v>
      </c>
      <c r="J179" s="140">
        <f t="shared" si="183"/>
        <v>0</v>
      </c>
      <c r="K179" s="140">
        <f t="shared" si="183"/>
        <v>0</v>
      </c>
      <c r="L179" s="140">
        <f t="shared" si="183"/>
        <v>0</v>
      </c>
      <c r="M179" s="140">
        <f t="shared" si="183"/>
        <v>0</v>
      </c>
      <c r="N179" s="140">
        <f t="shared" si="183"/>
        <v>0</v>
      </c>
      <c r="O179" s="140">
        <f t="shared" si="183"/>
        <v>0</v>
      </c>
      <c r="P179" s="140">
        <f t="shared" si="183"/>
        <v>0</v>
      </c>
      <c r="Q179" s="140">
        <f t="shared" si="183"/>
        <v>0</v>
      </c>
      <c r="R179" s="140">
        <f t="shared" si="183"/>
        <v>0</v>
      </c>
      <c r="S179" s="140">
        <f t="shared" si="183"/>
        <v>0</v>
      </c>
      <c r="T179" s="140">
        <f t="shared" si="183"/>
        <v>0</v>
      </c>
      <c r="U179" s="140">
        <f t="shared" si="183"/>
        <v>0</v>
      </c>
      <c r="V179" s="140">
        <f t="shared" si="183"/>
        <v>0</v>
      </c>
      <c r="W179" s="140">
        <f t="shared" si="183"/>
        <v>0</v>
      </c>
      <c r="X179" s="140">
        <f t="shared" ref="X179:Y179" si="184">IF(X87=0,0,X87/X$77)</f>
        <v>0</v>
      </c>
      <c r="Y179" s="140">
        <f t="shared" si="184"/>
        <v>0</v>
      </c>
      <c r="DA179" s="175"/>
    </row>
    <row r="180" spans="1:105" ht="11.45" customHeight="1" x14ac:dyDescent="0.25">
      <c r="A180" s="138" t="str">
        <f>$A$28</f>
        <v>Inland waterways</v>
      </c>
      <c r="B180" s="127">
        <f t="shared" si="162"/>
        <v>0.10427776165478879</v>
      </c>
      <c r="C180" s="127">
        <f t="shared" ref="C180:W180" si="185">IF(C88=0,0,C88/C$77)</f>
        <v>7.8770738442692584E-2</v>
      </c>
      <c r="D180" s="127">
        <f t="shared" si="185"/>
        <v>7.3718428537127317E-2</v>
      </c>
      <c r="E180" s="127">
        <f t="shared" si="185"/>
        <v>4.6665132267309277E-2</v>
      </c>
      <c r="F180" s="127">
        <f t="shared" si="185"/>
        <v>2.9934246257905982E-2</v>
      </c>
      <c r="G180" s="127">
        <f t="shared" si="185"/>
        <v>3.2830915331291004E-2</v>
      </c>
      <c r="H180" s="127">
        <f t="shared" si="185"/>
        <v>2.7854248115751226E-2</v>
      </c>
      <c r="I180" s="127">
        <f t="shared" si="185"/>
        <v>6.1074308187443048E-2</v>
      </c>
      <c r="J180" s="127">
        <f t="shared" si="185"/>
        <v>5.315922033182386E-2</v>
      </c>
      <c r="K180" s="127">
        <f t="shared" si="185"/>
        <v>3.9636902850978664E-2</v>
      </c>
      <c r="L180" s="127">
        <f t="shared" si="185"/>
        <v>4.8884674070940382E-2</v>
      </c>
      <c r="M180" s="127">
        <f t="shared" si="185"/>
        <v>4.1173992996553881E-2</v>
      </c>
      <c r="N180" s="127">
        <f t="shared" si="185"/>
        <v>3.3792341063707938E-2</v>
      </c>
      <c r="O180" s="127">
        <f t="shared" si="185"/>
        <v>3.2791175258876391E-2</v>
      </c>
      <c r="P180" s="127">
        <f t="shared" si="185"/>
        <v>2.9615189180461444E-2</v>
      </c>
      <c r="Q180" s="127">
        <f t="shared" si="185"/>
        <v>3.4204893364253537E-2</v>
      </c>
      <c r="R180" s="127">
        <f t="shared" si="185"/>
        <v>2.9515138765385772E-2</v>
      </c>
      <c r="S180" s="127">
        <f t="shared" si="185"/>
        <v>2.7126053563779794E-2</v>
      </c>
      <c r="T180" s="127">
        <f t="shared" si="185"/>
        <v>2.6782831094804723E-2</v>
      </c>
      <c r="U180" s="127">
        <f t="shared" si="185"/>
        <v>2.7626581781954342E-2</v>
      </c>
      <c r="V180" s="127">
        <f t="shared" si="185"/>
        <v>2.6973762768614799E-2</v>
      </c>
      <c r="W180" s="127">
        <f t="shared" si="185"/>
        <v>3.0390874787373519E-2</v>
      </c>
      <c r="X180" s="127">
        <f t="shared" ref="X180:Y180" si="186">IF(X88=0,0,X88/X$77)</f>
        <v>2.4023234336903749E-2</v>
      </c>
      <c r="Y180" s="127">
        <f t="shared" si="186"/>
        <v>2.4741625101634166E-2</v>
      </c>
      <c r="DA180" s="178"/>
    </row>
    <row r="181" spans="1:105" ht="11.45" customHeight="1" x14ac:dyDescent="0.25">
      <c r="A181" s="27" t="s">
        <v>169</v>
      </c>
      <c r="B181" s="31">
        <f>IF(B89=0,0,B89/B$89)</f>
        <v>0</v>
      </c>
      <c r="C181" s="31">
        <f t="shared" ref="C181:W181" si="187">IF(C89=0,0,C89/C$89)</f>
        <v>0</v>
      </c>
      <c r="D181" s="31">
        <f t="shared" si="187"/>
        <v>0</v>
      </c>
      <c r="E181" s="31">
        <f t="shared" si="187"/>
        <v>0</v>
      </c>
      <c r="F181" s="31">
        <f t="shared" si="187"/>
        <v>0</v>
      </c>
      <c r="G181" s="31">
        <f t="shared" si="187"/>
        <v>0</v>
      </c>
      <c r="H181" s="31">
        <f t="shared" si="187"/>
        <v>0</v>
      </c>
      <c r="I181" s="31">
        <f t="shared" si="187"/>
        <v>1</v>
      </c>
      <c r="J181" s="31">
        <f t="shared" si="187"/>
        <v>1</v>
      </c>
      <c r="K181" s="31">
        <f t="shared" si="187"/>
        <v>1</v>
      </c>
      <c r="L181" s="31">
        <f t="shared" si="187"/>
        <v>1</v>
      </c>
      <c r="M181" s="31">
        <f t="shared" si="187"/>
        <v>1</v>
      </c>
      <c r="N181" s="31">
        <f t="shared" si="187"/>
        <v>1</v>
      </c>
      <c r="O181" s="31">
        <f t="shared" si="187"/>
        <v>1</v>
      </c>
      <c r="P181" s="31">
        <f t="shared" si="187"/>
        <v>1</v>
      </c>
      <c r="Q181" s="31">
        <f t="shared" si="187"/>
        <v>1</v>
      </c>
      <c r="R181" s="31">
        <f t="shared" si="187"/>
        <v>1</v>
      </c>
      <c r="S181" s="31">
        <f t="shared" si="187"/>
        <v>1</v>
      </c>
      <c r="T181" s="31">
        <f t="shared" si="187"/>
        <v>1</v>
      </c>
      <c r="U181" s="31">
        <f t="shared" si="187"/>
        <v>1</v>
      </c>
      <c r="V181" s="31">
        <f t="shared" si="187"/>
        <v>1</v>
      </c>
      <c r="W181" s="31">
        <f t="shared" si="187"/>
        <v>1</v>
      </c>
      <c r="X181" s="31">
        <f t="shared" ref="X181:Y181" si="188">IF(X89=0,0,X89/X$89)</f>
        <v>1</v>
      </c>
      <c r="Y181" s="31">
        <f t="shared" si="188"/>
        <v>1</v>
      </c>
      <c r="DA181" s="173"/>
    </row>
    <row r="182" spans="1:105" ht="11.45" customHeight="1" x14ac:dyDescent="0.25">
      <c r="A182" s="128" t="str">
        <f>$A$30</f>
        <v>Intra-EEA</v>
      </c>
      <c r="B182" s="140">
        <f>IF(B90=0,0,B90/B$89)</f>
        <v>0</v>
      </c>
      <c r="C182" s="140">
        <f t="shared" ref="C182:W182" si="189">IF(C90=0,0,C90/C$89)</f>
        <v>0</v>
      </c>
      <c r="D182" s="140">
        <f t="shared" si="189"/>
        <v>0</v>
      </c>
      <c r="E182" s="140">
        <f t="shared" si="189"/>
        <v>0</v>
      </c>
      <c r="F182" s="140">
        <f t="shared" si="189"/>
        <v>0</v>
      </c>
      <c r="G182" s="140">
        <f t="shared" si="189"/>
        <v>0</v>
      </c>
      <c r="H182" s="140">
        <f t="shared" si="189"/>
        <v>0</v>
      </c>
      <c r="I182" s="140">
        <f t="shared" si="189"/>
        <v>0.33408696375828173</v>
      </c>
      <c r="J182" s="140">
        <f t="shared" si="189"/>
        <v>0.33180180379050028</v>
      </c>
      <c r="K182" s="140">
        <f t="shared" si="189"/>
        <v>0.53776039624583771</v>
      </c>
      <c r="L182" s="140">
        <f t="shared" si="189"/>
        <v>0.47600535256888998</v>
      </c>
      <c r="M182" s="140">
        <f t="shared" si="189"/>
        <v>0.45205527491666969</v>
      </c>
      <c r="N182" s="140">
        <f t="shared" si="189"/>
        <v>0.40332121356580308</v>
      </c>
      <c r="O182" s="140">
        <f t="shared" si="189"/>
        <v>0.38404767139564777</v>
      </c>
      <c r="P182" s="140">
        <f t="shared" si="189"/>
        <v>0.46164191115324232</v>
      </c>
      <c r="Q182" s="140">
        <f t="shared" si="189"/>
        <v>0.468383232017613</v>
      </c>
      <c r="R182" s="140">
        <f t="shared" si="189"/>
        <v>0.47279569480426359</v>
      </c>
      <c r="S182" s="140">
        <f t="shared" si="189"/>
        <v>0.50514464337725518</v>
      </c>
      <c r="T182" s="140">
        <f t="shared" si="189"/>
        <v>0.51676573649607538</v>
      </c>
      <c r="U182" s="140">
        <f t="shared" si="189"/>
        <v>0.46452469145197917</v>
      </c>
      <c r="V182" s="140">
        <f t="shared" si="189"/>
        <v>0.43819080965222384</v>
      </c>
      <c r="W182" s="140">
        <f t="shared" si="189"/>
        <v>0.42413225750745975</v>
      </c>
      <c r="X182" s="140">
        <f t="shared" ref="X182:Y182" si="190">IF(X90=0,0,X90/X$89)</f>
        <v>0.48616599145015577</v>
      </c>
      <c r="Y182" s="140">
        <f t="shared" si="190"/>
        <v>0.48928263286287438</v>
      </c>
      <c r="DA182" s="175"/>
    </row>
    <row r="183" spans="1:105" ht="11.45" customHeight="1" x14ac:dyDescent="0.25">
      <c r="A183" s="138" t="str">
        <f>$A$31</f>
        <v>Extra-EEA</v>
      </c>
      <c r="B183" s="127">
        <f>IF(B91=0,0,B91/B$89)</f>
        <v>0</v>
      </c>
      <c r="C183" s="127">
        <f t="shared" ref="C183:W183" si="191">IF(C91=0,0,C91/C$89)</f>
        <v>0</v>
      </c>
      <c r="D183" s="127">
        <f t="shared" si="191"/>
        <v>0</v>
      </c>
      <c r="E183" s="127">
        <f t="shared" si="191"/>
        <v>0</v>
      </c>
      <c r="F183" s="127">
        <f t="shared" si="191"/>
        <v>0</v>
      </c>
      <c r="G183" s="127">
        <f t="shared" si="191"/>
        <v>0</v>
      </c>
      <c r="H183" s="127">
        <f t="shared" si="191"/>
        <v>0</v>
      </c>
      <c r="I183" s="127">
        <f t="shared" si="191"/>
        <v>0.66591303624171816</v>
      </c>
      <c r="J183" s="127">
        <f t="shared" si="191"/>
        <v>0.66819819620949972</v>
      </c>
      <c r="K183" s="127">
        <f t="shared" si="191"/>
        <v>0.46223960375416223</v>
      </c>
      <c r="L183" s="127">
        <f t="shared" si="191"/>
        <v>0.52399464743111002</v>
      </c>
      <c r="M183" s="127">
        <f t="shared" si="191"/>
        <v>0.54794472508333036</v>
      </c>
      <c r="N183" s="127">
        <f t="shared" si="191"/>
        <v>0.59667878643419692</v>
      </c>
      <c r="O183" s="127">
        <f t="shared" si="191"/>
        <v>0.61595232860435234</v>
      </c>
      <c r="P183" s="127">
        <f t="shared" si="191"/>
        <v>0.53835808884675762</v>
      </c>
      <c r="Q183" s="127">
        <f t="shared" si="191"/>
        <v>0.531616767982387</v>
      </c>
      <c r="R183" s="127">
        <f t="shared" si="191"/>
        <v>0.52720430519573636</v>
      </c>
      <c r="S183" s="127">
        <f t="shared" si="191"/>
        <v>0.49485535662274471</v>
      </c>
      <c r="T183" s="127">
        <f t="shared" si="191"/>
        <v>0.48323426350392462</v>
      </c>
      <c r="U183" s="127">
        <f t="shared" si="191"/>
        <v>0.53547530854802083</v>
      </c>
      <c r="V183" s="127">
        <f t="shared" si="191"/>
        <v>0.56180919034777599</v>
      </c>
      <c r="W183" s="127">
        <f t="shared" si="191"/>
        <v>0.57586774249254025</v>
      </c>
      <c r="X183" s="127">
        <f t="shared" ref="X183:Y183" si="192">IF(X91=0,0,X91/X$89)</f>
        <v>0.51383400854984429</v>
      </c>
      <c r="Y183" s="127">
        <f t="shared" si="192"/>
        <v>0.51071736713712557</v>
      </c>
      <c r="DA183" s="178"/>
    </row>
    <row r="184" spans="1:105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DA184" s="171"/>
    </row>
    <row r="185" spans="1:105" ht="11.45" customHeight="1" x14ac:dyDescent="0.25">
      <c r="A185" s="53" t="s">
        <v>42</v>
      </c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DA185" s="172"/>
    </row>
    <row r="186" spans="1:105" ht="11.45" customHeight="1" x14ac:dyDescent="0.25">
      <c r="A186" s="27" t="s">
        <v>155</v>
      </c>
      <c r="B186" s="32">
        <f t="shared" ref="B186:Y186" si="193">IF(B34=0,0,B34/B4*1000)</f>
        <v>27.689420923207265</v>
      </c>
      <c r="C186" s="32">
        <f t="shared" si="193"/>
        <v>32.570590472805982</v>
      </c>
      <c r="D186" s="32">
        <f t="shared" si="193"/>
        <v>33.714496139822678</v>
      </c>
      <c r="E186" s="32">
        <f t="shared" si="193"/>
        <v>33.852936501470538</v>
      </c>
      <c r="F186" s="32">
        <f t="shared" si="193"/>
        <v>35.818438578629426</v>
      </c>
      <c r="G186" s="32">
        <f t="shared" si="193"/>
        <v>31.458801734520815</v>
      </c>
      <c r="H186" s="32">
        <f t="shared" si="193"/>
        <v>29.870429627425359</v>
      </c>
      <c r="I186" s="32">
        <f t="shared" si="193"/>
        <v>31.801961957737088</v>
      </c>
      <c r="J186" s="32">
        <f t="shared" si="193"/>
        <v>32.93253897602785</v>
      </c>
      <c r="K186" s="32">
        <f t="shared" si="193"/>
        <v>34.14260379033292</v>
      </c>
      <c r="L186" s="32">
        <f t="shared" si="193"/>
        <v>34.307692428135034</v>
      </c>
      <c r="M186" s="32">
        <f t="shared" si="193"/>
        <v>35.822584974700746</v>
      </c>
      <c r="N186" s="32">
        <f t="shared" si="193"/>
        <v>35.973439946788972</v>
      </c>
      <c r="O186" s="32">
        <f t="shared" si="193"/>
        <v>33.900442902107351</v>
      </c>
      <c r="P186" s="32">
        <f t="shared" si="193"/>
        <v>32.869162724263013</v>
      </c>
      <c r="Q186" s="32">
        <f t="shared" si="193"/>
        <v>31.224886645587635</v>
      </c>
      <c r="R186" s="32">
        <f t="shared" si="193"/>
        <v>31.737360531451159</v>
      </c>
      <c r="S186" s="32">
        <f t="shared" si="193"/>
        <v>33.127990268809938</v>
      </c>
      <c r="T186" s="32">
        <f t="shared" si="193"/>
        <v>30.72866045269345</v>
      </c>
      <c r="U186" s="32">
        <f t="shared" si="193"/>
        <v>30.215320878025778</v>
      </c>
      <c r="V186" s="32">
        <f t="shared" si="193"/>
        <v>36.538030157016181</v>
      </c>
      <c r="W186" s="32">
        <f t="shared" si="193"/>
        <v>34.942777278875802</v>
      </c>
      <c r="X186" s="32">
        <f t="shared" si="193"/>
        <v>33.248129312574953</v>
      </c>
      <c r="Y186" s="32">
        <f t="shared" si="193"/>
        <v>32.190847913524038</v>
      </c>
      <c r="DA186" s="173" t="s">
        <v>415</v>
      </c>
    </row>
    <row r="187" spans="1:105" ht="11.45" customHeight="1" x14ac:dyDescent="0.25">
      <c r="A187" s="136" t="str">
        <f>$A$5</f>
        <v>Road transport</v>
      </c>
      <c r="B187" s="141">
        <f t="shared" ref="B187:Y187" si="194">IF(B35=0,0,B35/B5*1000)</f>
        <v>30.393374760739473</v>
      </c>
      <c r="C187" s="141">
        <f t="shared" si="194"/>
        <v>38.57997323117101</v>
      </c>
      <c r="D187" s="141">
        <f t="shared" si="194"/>
        <v>37.732862511160334</v>
      </c>
      <c r="E187" s="141">
        <f t="shared" si="194"/>
        <v>37.498431814203236</v>
      </c>
      <c r="F187" s="141">
        <f t="shared" si="194"/>
        <v>39.943892434756101</v>
      </c>
      <c r="G187" s="141">
        <f t="shared" si="194"/>
        <v>36.003046044194875</v>
      </c>
      <c r="H187" s="141">
        <f t="shared" si="194"/>
        <v>34.024504078058023</v>
      </c>
      <c r="I187" s="141">
        <f t="shared" si="194"/>
        <v>34.708878260371357</v>
      </c>
      <c r="J187" s="141">
        <f t="shared" si="194"/>
        <v>35.830763487355036</v>
      </c>
      <c r="K187" s="141">
        <f t="shared" si="194"/>
        <v>36.975026620141556</v>
      </c>
      <c r="L187" s="141">
        <f t="shared" si="194"/>
        <v>36.625954009056741</v>
      </c>
      <c r="M187" s="141">
        <f t="shared" si="194"/>
        <v>38.673571697364856</v>
      </c>
      <c r="N187" s="141">
        <f t="shared" si="194"/>
        <v>39.249521305645445</v>
      </c>
      <c r="O187" s="141">
        <f t="shared" si="194"/>
        <v>36.687695640259577</v>
      </c>
      <c r="P187" s="141">
        <f t="shared" si="194"/>
        <v>36.010195743608477</v>
      </c>
      <c r="Q187" s="141">
        <f t="shared" si="194"/>
        <v>33.015302904252692</v>
      </c>
      <c r="R187" s="141">
        <f t="shared" si="194"/>
        <v>33.692312024685997</v>
      </c>
      <c r="S187" s="141">
        <f t="shared" si="194"/>
        <v>35.438646137968675</v>
      </c>
      <c r="T187" s="141">
        <f t="shared" si="194"/>
        <v>34.402209847315632</v>
      </c>
      <c r="U187" s="141">
        <f t="shared" si="194"/>
        <v>33.627595658729646</v>
      </c>
      <c r="V187" s="141">
        <f t="shared" si="194"/>
        <v>38.502053788342607</v>
      </c>
      <c r="W187" s="141">
        <f t="shared" si="194"/>
        <v>37.125894311415152</v>
      </c>
      <c r="X187" s="141">
        <f t="shared" si="194"/>
        <v>37.340991261839633</v>
      </c>
      <c r="Y187" s="141">
        <f t="shared" si="194"/>
        <v>36.756776826722586</v>
      </c>
      <c r="DA187" s="174" t="s">
        <v>416</v>
      </c>
    </row>
    <row r="188" spans="1:105" ht="11.45" customHeight="1" x14ac:dyDescent="0.25">
      <c r="A188" s="128" t="str">
        <f>$A$6</f>
        <v>Powered two-wheelers</v>
      </c>
      <c r="B188" s="97">
        <f t="shared" ref="B188:Y188" si="195">IF(B36=0,0,B36/B6*1000)</f>
        <v>40.557324698787603</v>
      </c>
      <c r="C188" s="97">
        <f t="shared" si="195"/>
        <v>40.499133122201904</v>
      </c>
      <c r="D188" s="97">
        <f t="shared" si="195"/>
        <v>40.446301831614093</v>
      </c>
      <c r="E188" s="97">
        <f t="shared" si="195"/>
        <v>40.285242862561745</v>
      </c>
      <c r="F188" s="97">
        <f t="shared" si="195"/>
        <v>40.118104797833688</v>
      </c>
      <c r="G188" s="97">
        <f t="shared" si="195"/>
        <v>38.039167054860798</v>
      </c>
      <c r="H188" s="97">
        <f t="shared" si="195"/>
        <v>37.3996660394195</v>
      </c>
      <c r="I188" s="97">
        <f t="shared" si="195"/>
        <v>36.820825630171726</v>
      </c>
      <c r="J188" s="97">
        <f t="shared" si="195"/>
        <v>35.322046391873322</v>
      </c>
      <c r="K188" s="97">
        <f t="shared" si="195"/>
        <v>34.481493175251437</v>
      </c>
      <c r="L188" s="97">
        <f t="shared" si="195"/>
        <v>33.977091672093366</v>
      </c>
      <c r="M188" s="97">
        <f t="shared" si="195"/>
        <v>33.433265982678229</v>
      </c>
      <c r="N188" s="97">
        <f t="shared" si="195"/>
        <v>33.103552800173766</v>
      </c>
      <c r="O188" s="97">
        <f t="shared" si="195"/>
        <v>32.494605795660313</v>
      </c>
      <c r="P188" s="97">
        <f t="shared" si="195"/>
        <v>31.901683568167609</v>
      </c>
      <c r="Q188" s="97">
        <f t="shared" si="195"/>
        <v>31.388643774578064</v>
      </c>
      <c r="R188" s="97">
        <f t="shared" si="195"/>
        <v>30.878300752309066</v>
      </c>
      <c r="S188" s="97">
        <f t="shared" si="195"/>
        <v>30.42055920225382</v>
      </c>
      <c r="T188" s="97">
        <f t="shared" si="195"/>
        <v>29.99272140351394</v>
      </c>
      <c r="U188" s="97">
        <f t="shared" si="195"/>
        <v>29.42618620583152</v>
      </c>
      <c r="V188" s="97">
        <f t="shared" si="195"/>
        <v>29.072556622653877</v>
      </c>
      <c r="W188" s="97">
        <f t="shared" si="195"/>
        <v>28.808896481745595</v>
      </c>
      <c r="X188" s="97">
        <f t="shared" si="195"/>
        <v>28.571702671528179</v>
      </c>
      <c r="Y188" s="97">
        <f t="shared" si="195"/>
        <v>28.326034708886645</v>
      </c>
      <c r="DA188" s="175" t="s">
        <v>417</v>
      </c>
    </row>
    <row r="189" spans="1:105" ht="11.45" customHeight="1" x14ac:dyDescent="0.25">
      <c r="A189" s="128" t="str">
        <f>$A$7</f>
        <v>Passenger cars</v>
      </c>
      <c r="B189" s="97">
        <f t="shared" ref="B189:Y189" si="196">IF(B37=0,0,B37/B7*1000)</f>
        <v>25.296398839145258</v>
      </c>
      <c r="C189" s="97">
        <f t="shared" si="196"/>
        <v>32.759367351492777</v>
      </c>
      <c r="D189" s="97">
        <f t="shared" si="196"/>
        <v>32.39314337141159</v>
      </c>
      <c r="E189" s="97">
        <f t="shared" si="196"/>
        <v>32.758840463211691</v>
      </c>
      <c r="F189" s="97">
        <f t="shared" si="196"/>
        <v>35.120247278696311</v>
      </c>
      <c r="G189" s="97">
        <f t="shared" si="196"/>
        <v>32.91387764378478</v>
      </c>
      <c r="H189" s="97">
        <f t="shared" si="196"/>
        <v>31.384768271131154</v>
      </c>
      <c r="I189" s="97">
        <f t="shared" si="196"/>
        <v>31.652713621106354</v>
      </c>
      <c r="J189" s="97">
        <f t="shared" si="196"/>
        <v>33.748845315205223</v>
      </c>
      <c r="K189" s="97">
        <f t="shared" si="196"/>
        <v>33.485698361571828</v>
      </c>
      <c r="L189" s="97">
        <f t="shared" si="196"/>
        <v>32.293213884163187</v>
      </c>
      <c r="M189" s="97">
        <f t="shared" si="196"/>
        <v>34.26183168568825</v>
      </c>
      <c r="N189" s="97">
        <f t="shared" si="196"/>
        <v>35.368921017076097</v>
      </c>
      <c r="O189" s="97">
        <f t="shared" si="196"/>
        <v>32.272125225917392</v>
      </c>
      <c r="P189" s="97">
        <f t="shared" si="196"/>
        <v>31.733220623674228</v>
      </c>
      <c r="Q189" s="97">
        <f t="shared" si="196"/>
        <v>30.331787688185063</v>
      </c>
      <c r="R189" s="97">
        <f t="shared" si="196"/>
        <v>31.016123494574753</v>
      </c>
      <c r="S189" s="97">
        <f t="shared" si="196"/>
        <v>32.453133406888433</v>
      </c>
      <c r="T189" s="97">
        <f t="shared" si="196"/>
        <v>31.70009743110295</v>
      </c>
      <c r="U189" s="97">
        <f t="shared" si="196"/>
        <v>30.721248319165372</v>
      </c>
      <c r="V189" s="97">
        <f t="shared" si="196"/>
        <v>32.831750985327268</v>
      </c>
      <c r="W189" s="97">
        <f t="shared" si="196"/>
        <v>31.865569659703599</v>
      </c>
      <c r="X189" s="97">
        <f t="shared" si="196"/>
        <v>32.574158855034604</v>
      </c>
      <c r="Y189" s="97">
        <f t="shared" si="196"/>
        <v>33.020461105406156</v>
      </c>
      <c r="DA189" s="175" t="s">
        <v>418</v>
      </c>
    </row>
    <row r="190" spans="1:105" ht="11.45" customHeight="1" x14ac:dyDescent="0.25">
      <c r="A190" s="128" t="str">
        <f>$A$8</f>
        <v>Motor coaches, buses and trolley buses</v>
      </c>
      <c r="B190" s="97">
        <f t="shared" ref="B190:Y190" si="197">IF(B38=0,0,B38/B8*1000)</f>
        <v>63.786521472075172</v>
      </c>
      <c r="C190" s="97">
        <f t="shared" si="197"/>
        <v>81.709055209984257</v>
      </c>
      <c r="D190" s="97">
        <f t="shared" si="197"/>
        <v>78.894912008727871</v>
      </c>
      <c r="E190" s="97">
        <f t="shared" si="197"/>
        <v>65.488398463518806</v>
      </c>
      <c r="F190" s="97">
        <f t="shared" si="197"/>
        <v>69.58180115380452</v>
      </c>
      <c r="G190" s="97">
        <f t="shared" si="197"/>
        <v>51.908763153838052</v>
      </c>
      <c r="H190" s="97">
        <f t="shared" si="197"/>
        <v>48.354493538965727</v>
      </c>
      <c r="I190" s="97">
        <f t="shared" si="197"/>
        <v>51.62113203081703</v>
      </c>
      <c r="J190" s="97">
        <f t="shared" si="197"/>
        <v>43.109480113252459</v>
      </c>
      <c r="K190" s="97">
        <f t="shared" si="197"/>
        <v>52.440108218557789</v>
      </c>
      <c r="L190" s="97">
        <f t="shared" si="197"/>
        <v>57.394389149066143</v>
      </c>
      <c r="M190" s="97">
        <f t="shared" si="197"/>
        <v>60.146153787933464</v>
      </c>
      <c r="N190" s="97">
        <f t="shared" si="197"/>
        <v>57.132787714344801</v>
      </c>
      <c r="O190" s="97">
        <f t="shared" si="197"/>
        <v>57.6008820702748</v>
      </c>
      <c r="P190" s="97">
        <f t="shared" si="197"/>
        <v>56.013373061924788</v>
      </c>
      <c r="Q190" s="97">
        <f t="shared" si="197"/>
        <v>42.755852340341143</v>
      </c>
      <c r="R190" s="97">
        <f t="shared" si="197"/>
        <v>43.748657752160177</v>
      </c>
      <c r="S190" s="97">
        <f t="shared" si="197"/>
        <v>47.177689463948923</v>
      </c>
      <c r="T190" s="97">
        <f t="shared" si="197"/>
        <v>45.001554610695663</v>
      </c>
      <c r="U190" s="97">
        <f t="shared" si="197"/>
        <v>45.764040961228162</v>
      </c>
      <c r="V190" s="97">
        <f t="shared" si="197"/>
        <v>68.86685740456015</v>
      </c>
      <c r="W190" s="97">
        <f t="shared" si="197"/>
        <v>66.488559049332011</v>
      </c>
      <c r="X190" s="97">
        <f t="shared" si="197"/>
        <v>63.832766059517851</v>
      </c>
      <c r="Y190" s="97">
        <f t="shared" si="197"/>
        <v>55.932272631601066</v>
      </c>
      <c r="DA190" s="175" t="s">
        <v>419</v>
      </c>
    </row>
    <row r="191" spans="1:105" ht="11.45" customHeight="1" x14ac:dyDescent="0.25">
      <c r="A191" s="109" t="str">
        <f>$A$9</f>
        <v>Rail, metro and tram</v>
      </c>
      <c r="B191" s="130">
        <f t="shared" ref="B191:Y191" si="198">IF(B39=0,0,B39/B9*1000)</f>
        <v>14.802412506548718</v>
      </c>
      <c r="C191" s="130">
        <f t="shared" si="198"/>
        <v>8.5916061774188357</v>
      </c>
      <c r="D191" s="130">
        <f t="shared" si="198"/>
        <v>14.185872268805257</v>
      </c>
      <c r="E191" s="130">
        <f t="shared" si="198"/>
        <v>13.939329466122768</v>
      </c>
      <c r="F191" s="130">
        <f t="shared" si="198"/>
        <v>13.317616628814333</v>
      </c>
      <c r="G191" s="130">
        <f t="shared" si="198"/>
        <v>6.8915706864632851</v>
      </c>
      <c r="H191" s="130">
        <f t="shared" si="198"/>
        <v>6.1817754894463093</v>
      </c>
      <c r="I191" s="130">
        <f t="shared" si="198"/>
        <v>12.412731250069687</v>
      </c>
      <c r="J191" s="130">
        <f t="shared" si="198"/>
        <v>12.198034677223051</v>
      </c>
      <c r="K191" s="130">
        <f t="shared" si="198"/>
        <v>11.379775442278431</v>
      </c>
      <c r="L191" s="130">
        <f t="shared" si="198"/>
        <v>12.948638434396987</v>
      </c>
      <c r="M191" s="130">
        <f t="shared" si="198"/>
        <v>16.627719097284636</v>
      </c>
      <c r="N191" s="130">
        <f t="shared" si="198"/>
        <v>16.9477080224157</v>
      </c>
      <c r="O191" s="130">
        <f t="shared" si="198"/>
        <v>15.076110139675762</v>
      </c>
      <c r="P191" s="130">
        <f t="shared" si="198"/>
        <v>11.060656055477143</v>
      </c>
      <c r="Q191" s="130">
        <f t="shared" si="198"/>
        <v>13.348000221077365</v>
      </c>
      <c r="R191" s="130">
        <f t="shared" si="198"/>
        <v>12.966591066694898</v>
      </c>
      <c r="S191" s="130">
        <f t="shared" si="198"/>
        <v>13.198082533848149</v>
      </c>
      <c r="T191" s="130">
        <f t="shared" si="198"/>
        <v>11.402992451449542</v>
      </c>
      <c r="U191" s="130">
        <f t="shared" si="198"/>
        <v>13.751187454786766</v>
      </c>
      <c r="V191" s="130">
        <f t="shared" si="198"/>
        <v>19.632797627530753</v>
      </c>
      <c r="W191" s="130">
        <f t="shared" si="198"/>
        <v>18.830829477353731</v>
      </c>
      <c r="X191" s="130">
        <f t="shared" si="198"/>
        <v>10.963828599926412</v>
      </c>
      <c r="Y191" s="130">
        <f t="shared" si="198"/>
        <v>9.9728209543785962</v>
      </c>
      <c r="DA191" s="176" t="s">
        <v>420</v>
      </c>
    </row>
    <row r="192" spans="1:105" ht="11.45" customHeight="1" x14ac:dyDescent="0.25">
      <c r="A192" s="128" t="str">
        <f>$A$10</f>
        <v>Metro and tram, urban light rail</v>
      </c>
      <c r="B192" s="97">
        <f t="shared" ref="B192:Y192" si="199">IF(B40=0,0,B40/B10*1000)</f>
        <v>5.1800152071761518</v>
      </c>
      <c r="C192" s="97">
        <f t="shared" si="199"/>
        <v>5.0744117082144946</v>
      </c>
      <c r="D192" s="97">
        <f t="shared" si="199"/>
        <v>5.0069384573289346</v>
      </c>
      <c r="E192" s="97">
        <f t="shared" si="199"/>
        <v>4.9084792626071243</v>
      </c>
      <c r="F192" s="97">
        <f t="shared" si="199"/>
        <v>4.8028381006643359</v>
      </c>
      <c r="G192" s="97">
        <f t="shared" si="199"/>
        <v>4.7235445675036711</v>
      </c>
      <c r="H192" s="97">
        <f t="shared" si="199"/>
        <v>4.7730821571436071</v>
      </c>
      <c r="I192" s="97">
        <f t="shared" si="199"/>
        <v>4.7800831598360505</v>
      </c>
      <c r="J192" s="97">
        <f t="shared" si="199"/>
        <v>4.7846742213928524</v>
      </c>
      <c r="K192" s="97">
        <f t="shared" si="199"/>
        <v>4.8956675273508923</v>
      </c>
      <c r="L192" s="97">
        <f t="shared" si="199"/>
        <v>4.9097737903137348</v>
      </c>
      <c r="M192" s="97">
        <f t="shared" si="199"/>
        <v>4.9881210458133269</v>
      </c>
      <c r="N192" s="97">
        <f t="shared" si="199"/>
        <v>5.047073223325321</v>
      </c>
      <c r="O192" s="97">
        <f t="shared" si="199"/>
        <v>4.8940081819371395</v>
      </c>
      <c r="P192" s="97">
        <f t="shared" si="199"/>
        <v>4.6650142673233024</v>
      </c>
      <c r="Q192" s="97">
        <f t="shared" si="199"/>
        <v>4.5573257005513357</v>
      </c>
      <c r="R192" s="97">
        <f t="shared" si="199"/>
        <v>4.5705537143832169</v>
      </c>
      <c r="S192" s="97">
        <f t="shared" si="199"/>
        <v>4.4035589249245515</v>
      </c>
      <c r="T192" s="97">
        <f t="shared" si="199"/>
        <v>4.3457457143490785</v>
      </c>
      <c r="U192" s="97">
        <f t="shared" si="199"/>
        <v>4.2641128275426139</v>
      </c>
      <c r="V192" s="97">
        <f t="shared" si="199"/>
        <v>6.0763692433588394</v>
      </c>
      <c r="W192" s="97">
        <f t="shared" si="199"/>
        <v>6.3534848658633738</v>
      </c>
      <c r="X192" s="97">
        <f t="shared" si="199"/>
        <v>5.9265530693315593</v>
      </c>
      <c r="Y192" s="97">
        <f t="shared" si="199"/>
        <v>4.1174979316006253</v>
      </c>
      <c r="DA192" s="175" t="s">
        <v>421</v>
      </c>
    </row>
    <row r="193" spans="1:105" ht="11.45" customHeight="1" x14ac:dyDescent="0.25">
      <c r="A193" s="128" t="str">
        <f>$A$11</f>
        <v>Conventional passenger trains</v>
      </c>
      <c r="B193" s="97">
        <f t="shared" ref="B193:Y193" si="200">IF(B41=0,0,B41/B11*1000)</f>
        <v>19.765822392745022</v>
      </c>
      <c r="C193" s="97">
        <f t="shared" si="200"/>
        <v>10.516199594220119</v>
      </c>
      <c r="D193" s="97">
        <f t="shared" si="200"/>
        <v>20.663595494970622</v>
      </c>
      <c r="E193" s="97">
        <f t="shared" si="200"/>
        <v>20.079515797593121</v>
      </c>
      <c r="F193" s="97">
        <f t="shared" si="200"/>
        <v>19.421331818828058</v>
      </c>
      <c r="G193" s="97">
        <f t="shared" si="200"/>
        <v>8.6827126837549109</v>
      </c>
      <c r="H193" s="97">
        <f t="shared" si="200"/>
        <v>7.3655513989443779</v>
      </c>
      <c r="I193" s="97">
        <f t="shared" si="200"/>
        <v>19.457310145550171</v>
      </c>
      <c r="J193" s="97">
        <f t="shared" si="200"/>
        <v>19.656143787716207</v>
      </c>
      <c r="K193" s="97">
        <f t="shared" si="200"/>
        <v>18.836287922124118</v>
      </c>
      <c r="L193" s="97">
        <f t="shared" si="200"/>
        <v>23.503562879747712</v>
      </c>
      <c r="M193" s="97">
        <f t="shared" si="200"/>
        <v>32.830698923364537</v>
      </c>
      <c r="N193" s="97">
        <f t="shared" si="200"/>
        <v>36.599956325097764</v>
      </c>
      <c r="O193" s="97">
        <f t="shared" si="200"/>
        <v>32.969736085609924</v>
      </c>
      <c r="P193" s="97">
        <f t="shared" si="200"/>
        <v>21.343038351544411</v>
      </c>
      <c r="Q193" s="97">
        <f t="shared" si="200"/>
        <v>21.726715973546742</v>
      </c>
      <c r="R193" s="97">
        <f t="shared" si="200"/>
        <v>21.497902417044831</v>
      </c>
      <c r="S193" s="97">
        <f t="shared" si="200"/>
        <v>21.154949122491605</v>
      </c>
      <c r="T193" s="97">
        <f t="shared" si="200"/>
        <v>17.732062169698061</v>
      </c>
      <c r="U193" s="97">
        <f t="shared" si="200"/>
        <v>21.669233907872666</v>
      </c>
      <c r="V193" s="97">
        <f t="shared" si="200"/>
        <v>32.154670094925535</v>
      </c>
      <c r="W193" s="97">
        <f t="shared" si="200"/>
        <v>28.186976997428413</v>
      </c>
      <c r="X193" s="97">
        <f t="shared" si="200"/>
        <v>14.491440911830729</v>
      </c>
      <c r="Y193" s="97">
        <f t="shared" si="200"/>
        <v>14.27178084064121</v>
      </c>
      <c r="DA193" s="175" t="s">
        <v>422</v>
      </c>
    </row>
    <row r="194" spans="1:105" ht="11.45" customHeight="1" x14ac:dyDescent="0.25">
      <c r="A194" s="128" t="str">
        <f>$A$12</f>
        <v>High speed passenger trains</v>
      </c>
      <c r="B194" s="97">
        <f t="shared" ref="B194:Y194" si="201">IF(B42=0,0,B42/B12*1000)</f>
        <v>0</v>
      </c>
      <c r="C194" s="97">
        <f t="shared" si="201"/>
        <v>0</v>
      </c>
      <c r="D194" s="97">
        <f t="shared" si="201"/>
        <v>0</v>
      </c>
      <c r="E194" s="97">
        <f t="shared" si="201"/>
        <v>0</v>
      </c>
      <c r="F194" s="97">
        <f t="shared" si="201"/>
        <v>0</v>
      </c>
      <c r="G194" s="97">
        <f t="shared" si="201"/>
        <v>0</v>
      </c>
      <c r="H194" s="97">
        <f t="shared" si="201"/>
        <v>0</v>
      </c>
      <c r="I194" s="97">
        <f t="shared" si="201"/>
        <v>0</v>
      </c>
      <c r="J194" s="97">
        <f t="shared" si="201"/>
        <v>0</v>
      </c>
      <c r="K194" s="97">
        <f t="shared" si="201"/>
        <v>0</v>
      </c>
      <c r="L194" s="97">
        <f t="shared" si="201"/>
        <v>0</v>
      </c>
      <c r="M194" s="97">
        <f t="shared" si="201"/>
        <v>0</v>
      </c>
      <c r="N194" s="97">
        <f t="shared" si="201"/>
        <v>0</v>
      </c>
      <c r="O194" s="97">
        <f t="shared" si="201"/>
        <v>0</v>
      </c>
      <c r="P194" s="97">
        <f t="shared" si="201"/>
        <v>0</v>
      </c>
      <c r="Q194" s="97">
        <f t="shared" si="201"/>
        <v>0</v>
      </c>
      <c r="R194" s="97">
        <f t="shared" si="201"/>
        <v>0</v>
      </c>
      <c r="S194" s="97">
        <f t="shared" si="201"/>
        <v>0</v>
      </c>
      <c r="T194" s="97">
        <f t="shared" si="201"/>
        <v>0</v>
      </c>
      <c r="U194" s="97">
        <f t="shared" si="201"/>
        <v>0</v>
      </c>
      <c r="V194" s="97">
        <f t="shared" si="201"/>
        <v>0</v>
      </c>
      <c r="W194" s="97">
        <f t="shared" si="201"/>
        <v>0</v>
      </c>
      <c r="X194" s="97">
        <f t="shared" si="201"/>
        <v>0</v>
      </c>
      <c r="Y194" s="97">
        <f t="shared" si="201"/>
        <v>0</v>
      </c>
      <c r="DA194" s="175" t="s">
        <v>423</v>
      </c>
    </row>
    <row r="195" spans="1:105" ht="11.45" customHeight="1" x14ac:dyDescent="0.25">
      <c r="A195" s="109" t="str">
        <f>$A$13</f>
        <v>Aviation</v>
      </c>
      <c r="B195" s="130">
        <f t="shared" ref="B195:Y195" si="202">IF(B43=0,0,B43/B13*1000)</f>
        <v>56.053038630044966</v>
      </c>
      <c r="C195" s="130">
        <f t="shared" si="202"/>
        <v>54.459779251963916</v>
      </c>
      <c r="D195" s="130">
        <f t="shared" si="202"/>
        <v>53.704709546421917</v>
      </c>
      <c r="E195" s="130">
        <f t="shared" si="202"/>
        <v>53.742535787235923</v>
      </c>
      <c r="F195" s="130">
        <f t="shared" si="202"/>
        <v>56.003881087581227</v>
      </c>
      <c r="G195" s="130">
        <f t="shared" si="202"/>
        <v>38.897183720173089</v>
      </c>
      <c r="H195" s="130">
        <f t="shared" si="202"/>
        <v>38.993044554486801</v>
      </c>
      <c r="I195" s="130">
        <f t="shared" si="202"/>
        <v>40.993196155624389</v>
      </c>
      <c r="J195" s="130">
        <f t="shared" si="202"/>
        <v>37.351094732630848</v>
      </c>
      <c r="K195" s="130">
        <f t="shared" si="202"/>
        <v>40.454571836549839</v>
      </c>
      <c r="L195" s="130">
        <f t="shared" si="202"/>
        <v>43.013538731363717</v>
      </c>
      <c r="M195" s="130">
        <f t="shared" si="202"/>
        <v>32.038870194206517</v>
      </c>
      <c r="N195" s="130">
        <f t="shared" si="202"/>
        <v>24.647416608586994</v>
      </c>
      <c r="O195" s="130">
        <f t="shared" si="202"/>
        <v>27.975218398831284</v>
      </c>
      <c r="P195" s="130">
        <f t="shared" si="202"/>
        <v>27.559870344731483</v>
      </c>
      <c r="Q195" s="130">
        <f t="shared" si="202"/>
        <v>28.406956054942491</v>
      </c>
      <c r="R195" s="130">
        <f t="shared" si="202"/>
        <v>27.437573853933959</v>
      </c>
      <c r="S195" s="130">
        <f t="shared" si="202"/>
        <v>28.050801868701107</v>
      </c>
      <c r="T195" s="130">
        <f t="shared" si="202"/>
        <v>12.561184036830561</v>
      </c>
      <c r="U195" s="130">
        <f t="shared" si="202"/>
        <v>12.858357234028922</v>
      </c>
      <c r="V195" s="130">
        <f t="shared" si="202"/>
        <v>15.811001548088045</v>
      </c>
      <c r="W195" s="130">
        <f t="shared" si="202"/>
        <v>15.420424680143565</v>
      </c>
      <c r="X195" s="130">
        <f t="shared" si="202"/>
        <v>10.478941043980234</v>
      </c>
      <c r="Y195" s="130">
        <f t="shared" si="202"/>
        <v>7.4349665803506388</v>
      </c>
      <c r="DA195" s="176" t="s">
        <v>297</v>
      </c>
    </row>
    <row r="196" spans="1:105" ht="11.45" customHeight="1" x14ac:dyDescent="0.25">
      <c r="A196" s="128" t="str">
        <f>$A$14</f>
        <v>Domestic</v>
      </c>
      <c r="B196" s="97">
        <f t="shared" ref="B196:Y196" si="203">IF(B44=0,0,B44/B14*1000)</f>
        <v>130.07090971274238</v>
      </c>
      <c r="C196" s="97">
        <f t="shared" si="203"/>
        <v>128.43893341292994</v>
      </c>
      <c r="D196" s="97">
        <f t="shared" si="203"/>
        <v>126.55344905305834</v>
      </c>
      <c r="E196" s="97">
        <f t="shared" si="203"/>
        <v>125.61893968281595</v>
      </c>
      <c r="F196" s="97">
        <f t="shared" si="203"/>
        <v>127.17272092214807</v>
      </c>
      <c r="G196" s="97">
        <f t="shared" si="203"/>
        <v>99.857566571014658</v>
      </c>
      <c r="H196" s="97">
        <f t="shared" si="203"/>
        <v>16.783461662092304</v>
      </c>
      <c r="I196" s="97">
        <f t="shared" si="203"/>
        <v>560.59862101284421</v>
      </c>
      <c r="J196" s="97">
        <f t="shared" si="203"/>
        <v>434.06866151209891</v>
      </c>
      <c r="K196" s="97">
        <f t="shared" si="203"/>
        <v>487.2462624514759</v>
      </c>
      <c r="L196" s="97">
        <f t="shared" si="203"/>
        <v>501.76291811540739</v>
      </c>
      <c r="M196" s="97">
        <f t="shared" si="203"/>
        <v>355.72504554726572</v>
      </c>
      <c r="N196" s="97">
        <f t="shared" si="203"/>
        <v>194.69165199853168</v>
      </c>
      <c r="O196" s="97">
        <f t="shared" si="203"/>
        <v>233.11707671405031</v>
      </c>
      <c r="P196" s="97">
        <f t="shared" si="203"/>
        <v>136.85963202061833</v>
      </c>
      <c r="Q196" s="97">
        <f t="shared" si="203"/>
        <v>176.41034645510601</v>
      </c>
      <c r="R196" s="97">
        <f t="shared" si="203"/>
        <v>86.3643288516637</v>
      </c>
      <c r="S196" s="97">
        <f t="shared" si="203"/>
        <v>98.909138093086739</v>
      </c>
      <c r="T196" s="97">
        <f t="shared" si="203"/>
        <v>109.49981173436802</v>
      </c>
      <c r="U196" s="97">
        <f t="shared" si="203"/>
        <v>131.89761473611208</v>
      </c>
      <c r="V196" s="97">
        <f t="shared" si="203"/>
        <v>243.59325651189508</v>
      </c>
      <c r="W196" s="97">
        <f t="shared" si="203"/>
        <v>197.53088778783425</v>
      </c>
      <c r="X196" s="97">
        <f t="shared" si="203"/>
        <v>198.11455730063122</v>
      </c>
      <c r="Y196" s="97">
        <f t="shared" si="203"/>
        <v>120.05702128053464</v>
      </c>
      <c r="DA196" s="175" t="s">
        <v>298</v>
      </c>
    </row>
    <row r="197" spans="1:105" ht="11.45" customHeight="1" x14ac:dyDescent="0.25">
      <c r="A197" s="128" t="str">
        <f>$A$15</f>
        <v>International - Intra-EEAwCHUK</v>
      </c>
      <c r="B197" s="97">
        <f t="shared" ref="B197:Y197" si="204">IF(B45=0,0,B45/B15*1000)</f>
        <v>54.291399035779342</v>
      </c>
      <c r="C197" s="97">
        <f t="shared" si="204"/>
        <v>53.333262408114756</v>
      </c>
      <c r="D197" s="97">
        <f t="shared" si="204"/>
        <v>52.749655971058111</v>
      </c>
      <c r="E197" s="97">
        <f t="shared" si="204"/>
        <v>52.967462394868157</v>
      </c>
      <c r="F197" s="97">
        <f t="shared" si="204"/>
        <v>53.232885554112492</v>
      </c>
      <c r="G197" s="97">
        <f t="shared" si="204"/>
        <v>36.096650324437256</v>
      </c>
      <c r="H197" s="97">
        <f t="shared" si="204"/>
        <v>39.462768740411875</v>
      </c>
      <c r="I197" s="97">
        <f t="shared" si="204"/>
        <v>25.808353872135278</v>
      </c>
      <c r="J197" s="97">
        <f t="shared" si="204"/>
        <v>24.561415551298708</v>
      </c>
      <c r="K197" s="97">
        <f t="shared" si="204"/>
        <v>26.265415604055207</v>
      </c>
      <c r="L197" s="97">
        <f t="shared" si="204"/>
        <v>26.479665726978759</v>
      </c>
      <c r="M197" s="97">
        <f t="shared" si="204"/>
        <v>20.466667462463608</v>
      </c>
      <c r="N197" s="97">
        <f t="shared" si="204"/>
        <v>19.081084521767039</v>
      </c>
      <c r="O197" s="97">
        <f t="shared" si="204"/>
        <v>22.200815593542181</v>
      </c>
      <c r="P197" s="97">
        <f t="shared" si="204"/>
        <v>25.998841053773013</v>
      </c>
      <c r="Q197" s="97">
        <f t="shared" si="204"/>
        <v>26.466256471915163</v>
      </c>
      <c r="R197" s="97">
        <f t="shared" si="204"/>
        <v>26.999415889258113</v>
      </c>
      <c r="S197" s="97">
        <f t="shared" si="204"/>
        <v>26.774979417019154</v>
      </c>
      <c r="T197" s="97">
        <f t="shared" si="204"/>
        <v>10.066027850421868</v>
      </c>
      <c r="U197" s="97">
        <f t="shared" si="204"/>
        <v>10.311002071576091</v>
      </c>
      <c r="V197" s="97">
        <f t="shared" si="204"/>
        <v>9.0409358115390095</v>
      </c>
      <c r="W197" s="97">
        <f t="shared" si="204"/>
        <v>10.960555107479284</v>
      </c>
      <c r="X197" s="97">
        <f t="shared" si="204"/>
        <v>6.6169861728705763</v>
      </c>
      <c r="Y197" s="97">
        <f t="shared" si="204"/>
        <v>5.9471840455812419</v>
      </c>
      <c r="DA197" s="175" t="s">
        <v>299</v>
      </c>
    </row>
    <row r="198" spans="1:105" ht="11.45" customHeight="1" x14ac:dyDescent="0.25">
      <c r="A198" s="128" t="str">
        <f>$A$16</f>
        <v>International - Extra-EEAwCHUK</v>
      </c>
      <c r="B198" s="97">
        <f t="shared" ref="B198:Y198" si="205">IF(B46=0,0,B46/B16*1000)</f>
        <v>55.962304612035808</v>
      </c>
      <c r="C198" s="97">
        <f t="shared" si="205"/>
        <v>55.364184477522393</v>
      </c>
      <c r="D198" s="97">
        <f t="shared" si="205"/>
        <v>54.960664969373234</v>
      </c>
      <c r="E198" s="97">
        <f t="shared" si="205"/>
        <v>54.710187266236524</v>
      </c>
      <c r="F198" s="97">
        <f t="shared" si="205"/>
        <v>53.970173433024833</v>
      </c>
      <c r="G198" s="97">
        <f t="shared" si="205"/>
        <v>41.680673267116759</v>
      </c>
      <c r="H198" s="97">
        <f t="shared" si="205"/>
        <v>41.38387422674522</v>
      </c>
      <c r="I198" s="97">
        <f t="shared" si="205"/>
        <v>21.747125644413057</v>
      </c>
      <c r="J198" s="97">
        <f t="shared" si="205"/>
        <v>20.936306098114343</v>
      </c>
      <c r="K198" s="97">
        <f t="shared" si="205"/>
        <v>27.57448362878706</v>
      </c>
      <c r="L198" s="97">
        <f t="shared" si="205"/>
        <v>27.379307572826686</v>
      </c>
      <c r="M198" s="97">
        <f t="shared" si="205"/>
        <v>27.347919229147916</v>
      </c>
      <c r="N198" s="97">
        <f t="shared" si="205"/>
        <v>22.236207758513498</v>
      </c>
      <c r="O198" s="97">
        <f t="shared" si="205"/>
        <v>24.411838135531752</v>
      </c>
      <c r="P198" s="97">
        <f t="shared" si="205"/>
        <v>20.278202257161187</v>
      </c>
      <c r="Q198" s="97">
        <f t="shared" si="205"/>
        <v>19.384135866796456</v>
      </c>
      <c r="R198" s="97">
        <f t="shared" si="205"/>
        <v>17.685357646040117</v>
      </c>
      <c r="S198" s="97">
        <f t="shared" si="205"/>
        <v>16.139814049216273</v>
      </c>
      <c r="T198" s="97">
        <f t="shared" si="205"/>
        <v>4.8937200951655946</v>
      </c>
      <c r="U198" s="97">
        <f t="shared" si="205"/>
        <v>4.4334801106215469</v>
      </c>
      <c r="V198" s="97">
        <f t="shared" si="205"/>
        <v>8.256443679618128</v>
      </c>
      <c r="W198" s="97">
        <f t="shared" si="205"/>
        <v>5.9996179501908884</v>
      </c>
      <c r="X198" s="97">
        <f t="shared" si="205"/>
        <v>3.0727609308862558</v>
      </c>
      <c r="Y198" s="97">
        <f t="shared" si="205"/>
        <v>2.5150074680755043</v>
      </c>
      <c r="DA198" s="175" t="s">
        <v>300</v>
      </c>
    </row>
    <row r="199" spans="1:105" ht="11.45" customHeight="1" x14ac:dyDescent="0.25">
      <c r="A199" s="27" t="s">
        <v>156</v>
      </c>
      <c r="B199" s="32">
        <f t="shared" ref="B199:Y199" si="206">IF(B47=0,0,B47/B17*1000)</f>
        <v>28.779797712741747</v>
      </c>
      <c r="C199" s="32">
        <f t="shared" si="206"/>
        <v>33.318975498820528</v>
      </c>
      <c r="D199" s="32">
        <f t="shared" si="206"/>
        <v>35.584837805406679</v>
      </c>
      <c r="E199" s="32">
        <f t="shared" si="206"/>
        <v>35.24286318106401</v>
      </c>
      <c r="F199" s="32">
        <f t="shared" si="206"/>
        <v>28.053004872977557</v>
      </c>
      <c r="G199" s="32">
        <f t="shared" si="206"/>
        <v>22.452968468923963</v>
      </c>
      <c r="H199" s="32">
        <f t="shared" si="206"/>
        <v>25.98527961619655</v>
      </c>
      <c r="I199" s="32">
        <f t="shared" si="206"/>
        <v>24.429509001202685</v>
      </c>
      <c r="J199" s="32">
        <f t="shared" si="206"/>
        <v>27.14000235722915</v>
      </c>
      <c r="K199" s="32">
        <f t="shared" si="206"/>
        <v>29.790085618091648</v>
      </c>
      <c r="L199" s="32">
        <f t="shared" si="206"/>
        <v>28.822428654770757</v>
      </c>
      <c r="M199" s="32">
        <f t="shared" si="206"/>
        <v>31.25315798395388</v>
      </c>
      <c r="N199" s="32">
        <f t="shared" si="206"/>
        <v>29.766673407189192</v>
      </c>
      <c r="O199" s="32">
        <f t="shared" si="206"/>
        <v>30.366875703214976</v>
      </c>
      <c r="P199" s="32">
        <f t="shared" si="206"/>
        <v>30.988944297964764</v>
      </c>
      <c r="Q199" s="32">
        <f t="shared" si="206"/>
        <v>29.394040542193583</v>
      </c>
      <c r="R199" s="32">
        <f t="shared" si="206"/>
        <v>30.792036745696404</v>
      </c>
      <c r="S199" s="32">
        <f t="shared" si="206"/>
        <v>32.671113571592194</v>
      </c>
      <c r="T199" s="32">
        <f t="shared" si="206"/>
        <v>33.069994416069918</v>
      </c>
      <c r="U199" s="32">
        <f t="shared" si="206"/>
        <v>32.279555519395636</v>
      </c>
      <c r="V199" s="32">
        <f t="shared" si="206"/>
        <v>33.40171938393631</v>
      </c>
      <c r="W199" s="32">
        <f t="shared" si="206"/>
        <v>32.245542598545008</v>
      </c>
      <c r="X199" s="32">
        <f t="shared" si="206"/>
        <v>36.478474106104102</v>
      </c>
      <c r="Y199" s="32">
        <f t="shared" si="206"/>
        <v>35.543201315700422</v>
      </c>
      <c r="DA199" s="173" t="s">
        <v>424</v>
      </c>
    </row>
    <row r="200" spans="1:105" ht="11.45" customHeight="1" x14ac:dyDescent="0.25">
      <c r="A200" s="136" t="str">
        <f>$A$18</f>
        <v>Road transport</v>
      </c>
      <c r="B200" s="141">
        <f t="shared" ref="B200:Y200" si="207">IF(B48=0,0,B48/B18*1000)</f>
        <v>44.921223143121047</v>
      </c>
      <c r="C200" s="141">
        <f t="shared" si="207"/>
        <v>53.842843870143469</v>
      </c>
      <c r="D200" s="141">
        <f t="shared" si="207"/>
        <v>55.485145785913019</v>
      </c>
      <c r="E200" s="141">
        <f t="shared" si="207"/>
        <v>54.530628742925046</v>
      </c>
      <c r="F200" s="141">
        <f t="shared" si="207"/>
        <v>46.636901543946266</v>
      </c>
      <c r="G200" s="141">
        <f t="shared" si="207"/>
        <v>35.940198647882532</v>
      </c>
      <c r="H200" s="141">
        <f t="shared" si="207"/>
        <v>41.314539081563112</v>
      </c>
      <c r="I200" s="141">
        <f t="shared" si="207"/>
        <v>35.954625894116802</v>
      </c>
      <c r="J200" s="141">
        <f t="shared" si="207"/>
        <v>42.088558991000369</v>
      </c>
      <c r="K200" s="141">
        <f t="shared" si="207"/>
        <v>50.837147468621104</v>
      </c>
      <c r="L200" s="141">
        <f t="shared" si="207"/>
        <v>65.432449119006947</v>
      </c>
      <c r="M200" s="141">
        <f t="shared" si="207"/>
        <v>69.522575781007674</v>
      </c>
      <c r="N200" s="141">
        <f t="shared" si="207"/>
        <v>63.739756833555759</v>
      </c>
      <c r="O200" s="141">
        <f t="shared" si="207"/>
        <v>63.729988816231156</v>
      </c>
      <c r="P200" s="141">
        <f t="shared" si="207"/>
        <v>64.996249657449894</v>
      </c>
      <c r="Q200" s="141">
        <f t="shared" si="207"/>
        <v>64.452695931418049</v>
      </c>
      <c r="R200" s="141">
        <f t="shared" si="207"/>
        <v>64.884811511717984</v>
      </c>
      <c r="S200" s="141">
        <f t="shared" si="207"/>
        <v>66.153454572864092</v>
      </c>
      <c r="T200" s="141">
        <f t="shared" si="207"/>
        <v>64.641361107867354</v>
      </c>
      <c r="U200" s="141">
        <f t="shared" si="207"/>
        <v>61.932746361910475</v>
      </c>
      <c r="V200" s="141">
        <f t="shared" si="207"/>
        <v>63.428642218534215</v>
      </c>
      <c r="W200" s="141">
        <f t="shared" si="207"/>
        <v>56.206764943841115</v>
      </c>
      <c r="X200" s="141">
        <f t="shared" si="207"/>
        <v>59.772228746087158</v>
      </c>
      <c r="Y200" s="141">
        <f t="shared" si="207"/>
        <v>59.432268494746495</v>
      </c>
      <c r="DA200" s="174" t="s">
        <v>425</v>
      </c>
    </row>
    <row r="201" spans="1:105" ht="11.45" customHeight="1" x14ac:dyDescent="0.25">
      <c r="A201" s="128" t="str">
        <f>$A$19</f>
        <v>Light commercial vehicles</v>
      </c>
      <c r="B201" s="97">
        <f t="shared" ref="B201:Y201" si="208">IF(B49=0,0,B49/B19*1000)</f>
        <v>327.09249974313803</v>
      </c>
      <c r="C201" s="97">
        <f t="shared" si="208"/>
        <v>331.32075984498005</v>
      </c>
      <c r="D201" s="97">
        <f t="shared" si="208"/>
        <v>328.7801535616216</v>
      </c>
      <c r="E201" s="97">
        <f t="shared" si="208"/>
        <v>325.53157006679049</v>
      </c>
      <c r="F201" s="97">
        <f t="shared" si="208"/>
        <v>312.94930001633583</v>
      </c>
      <c r="G201" s="97">
        <f t="shared" si="208"/>
        <v>317.83598939642098</v>
      </c>
      <c r="H201" s="97">
        <f t="shared" si="208"/>
        <v>316.93930651448005</v>
      </c>
      <c r="I201" s="97">
        <f t="shared" si="208"/>
        <v>308.46683688172129</v>
      </c>
      <c r="J201" s="97">
        <f t="shared" si="208"/>
        <v>306.57803835836773</v>
      </c>
      <c r="K201" s="97">
        <f t="shared" si="208"/>
        <v>306.1811807838659</v>
      </c>
      <c r="L201" s="97">
        <f t="shared" si="208"/>
        <v>300.5457640715511</v>
      </c>
      <c r="M201" s="97">
        <f t="shared" si="208"/>
        <v>300.26255009769221</v>
      </c>
      <c r="N201" s="97">
        <f t="shared" si="208"/>
        <v>305.42219117948014</v>
      </c>
      <c r="O201" s="97">
        <f t="shared" si="208"/>
        <v>294.58750361151158</v>
      </c>
      <c r="P201" s="97">
        <f t="shared" si="208"/>
        <v>288.73678822240709</v>
      </c>
      <c r="Q201" s="97">
        <f t="shared" si="208"/>
        <v>282.80943983542522</v>
      </c>
      <c r="R201" s="97">
        <f t="shared" si="208"/>
        <v>284.41231731206182</v>
      </c>
      <c r="S201" s="97">
        <f t="shared" si="208"/>
        <v>283.28425649716741</v>
      </c>
      <c r="T201" s="97">
        <f t="shared" si="208"/>
        <v>276.86113555580914</v>
      </c>
      <c r="U201" s="97">
        <f t="shared" si="208"/>
        <v>271.66336635936904</v>
      </c>
      <c r="V201" s="97">
        <f t="shared" si="208"/>
        <v>266.13300268494851</v>
      </c>
      <c r="W201" s="97">
        <f t="shared" si="208"/>
        <v>264.72454031537808</v>
      </c>
      <c r="X201" s="97">
        <f t="shared" si="208"/>
        <v>265.75161158218305</v>
      </c>
      <c r="Y201" s="97">
        <f t="shared" si="208"/>
        <v>261.23230286200896</v>
      </c>
      <c r="DA201" s="175" t="s">
        <v>426</v>
      </c>
    </row>
    <row r="202" spans="1:105" ht="11.45" customHeight="1" x14ac:dyDescent="0.25">
      <c r="A202" s="128" t="str">
        <f>$A$20</f>
        <v>Heavy goods vehicles</v>
      </c>
      <c r="B202" s="97">
        <f t="shared" ref="B202:Y202" si="209">IF(B50=0,0,B50/B20*1000)</f>
        <v>26.599256848472383</v>
      </c>
      <c r="C202" s="97">
        <f t="shared" si="209"/>
        <v>36.489012315445088</v>
      </c>
      <c r="D202" s="97">
        <f t="shared" si="209"/>
        <v>38.665529058962861</v>
      </c>
      <c r="E202" s="97">
        <f t="shared" si="209"/>
        <v>39.13338057805197</v>
      </c>
      <c r="F202" s="97">
        <f t="shared" si="209"/>
        <v>32.352023046519349</v>
      </c>
      <c r="G202" s="97">
        <f t="shared" si="209"/>
        <v>22.846587636198269</v>
      </c>
      <c r="H202" s="97">
        <f t="shared" si="209"/>
        <v>27.139837989855259</v>
      </c>
      <c r="I202" s="97">
        <f t="shared" si="209"/>
        <v>21.778418664041045</v>
      </c>
      <c r="J202" s="97">
        <f t="shared" si="209"/>
        <v>24.76833482050241</v>
      </c>
      <c r="K202" s="97">
        <f t="shared" si="209"/>
        <v>29.694420869353522</v>
      </c>
      <c r="L202" s="97">
        <f t="shared" si="209"/>
        <v>33.775885590257516</v>
      </c>
      <c r="M202" s="97">
        <f t="shared" si="209"/>
        <v>36.21288147929765</v>
      </c>
      <c r="N202" s="97">
        <f t="shared" si="209"/>
        <v>30.27525332253682</v>
      </c>
      <c r="O202" s="97">
        <f t="shared" si="209"/>
        <v>29.963535902986209</v>
      </c>
      <c r="P202" s="97">
        <f t="shared" si="209"/>
        <v>28.362863714378808</v>
      </c>
      <c r="Q202" s="97">
        <f t="shared" si="209"/>
        <v>26.344236606091155</v>
      </c>
      <c r="R202" s="97">
        <f t="shared" si="209"/>
        <v>28.751696022698201</v>
      </c>
      <c r="S202" s="97">
        <f t="shared" si="209"/>
        <v>30.775703988491447</v>
      </c>
      <c r="T202" s="97">
        <f t="shared" si="209"/>
        <v>28.111197124781203</v>
      </c>
      <c r="U202" s="97">
        <f t="shared" si="209"/>
        <v>27.639671309815828</v>
      </c>
      <c r="V202" s="97">
        <f t="shared" si="209"/>
        <v>27.440349882434862</v>
      </c>
      <c r="W202" s="97">
        <f t="shared" si="209"/>
        <v>24.81680004969455</v>
      </c>
      <c r="X202" s="97">
        <f t="shared" si="209"/>
        <v>29.465079438163094</v>
      </c>
      <c r="Y202" s="97">
        <f t="shared" si="209"/>
        <v>29.60684059847604</v>
      </c>
      <c r="DA202" s="175" t="s">
        <v>427</v>
      </c>
    </row>
    <row r="203" spans="1:105" ht="11.45" customHeight="1" x14ac:dyDescent="0.25">
      <c r="A203" s="109" t="str">
        <f>$A$21</f>
        <v>Rail transport</v>
      </c>
      <c r="B203" s="130">
        <f t="shared" ref="B203:Y203" si="210">IF(B51=0,0,B51/B21*1000)</f>
        <v>6.0554362156731889</v>
      </c>
      <c r="C203" s="130">
        <f t="shared" si="210"/>
        <v>4.490540666306039</v>
      </c>
      <c r="D203" s="130">
        <f t="shared" si="210"/>
        <v>7.0924996757418048</v>
      </c>
      <c r="E203" s="130">
        <f t="shared" si="210"/>
        <v>5.6001840080576475</v>
      </c>
      <c r="F203" s="130">
        <f t="shared" si="210"/>
        <v>5.557408076147599</v>
      </c>
      <c r="G203" s="130">
        <f t="shared" si="210"/>
        <v>3.6104743257867749</v>
      </c>
      <c r="H203" s="130">
        <f t="shared" si="210"/>
        <v>3.497719393541241</v>
      </c>
      <c r="I203" s="130">
        <f t="shared" si="210"/>
        <v>5.559448710452334</v>
      </c>
      <c r="J203" s="130">
        <f t="shared" si="210"/>
        <v>5.0138652349663078</v>
      </c>
      <c r="K203" s="130">
        <f t="shared" si="210"/>
        <v>4.6075859853992798</v>
      </c>
      <c r="L203" s="130">
        <f t="shared" si="210"/>
        <v>4.8307411324501208</v>
      </c>
      <c r="M203" s="130">
        <f t="shared" si="210"/>
        <v>5.8762255133976726</v>
      </c>
      <c r="N203" s="130">
        <f t="shared" si="210"/>
        <v>5.768802517375363</v>
      </c>
      <c r="O203" s="130">
        <f t="shared" si="210"/>
        <v>5.5137923371148512</v>
      </c>
      <c r="P203" s="130">
        <f t="shared" si="210"/>
        <v>4.148491437799585</v>
      </c>
      <c r="Q203" s="130">
        <f t="shared" si="210"/>
        <v>4.840956769810143</v>
      </c>
      <c r="R203" s="130">
        <f t="shared" si="210"/>
        <v>4.7531465987696775</v>
      </c>
      <c r="S203" s="130">
        <f t="shared" si="210"/>
        <v>4.4797104200656408</v>
      </c>
      <c r="T203" s="130">
        <f t="shared" si="210"/>
        <v>4.5173280162247442</v>
      </c>
      <c r="U203" s="130">
        <f t="shared" si="210"/>
        <v>4.9984736138732888</v>
      </c>
      <c r="V203" s="130">
        <f t="shared" si="210"/>
        <v>4.679847498354607</v>
      </c>
      <c r="W203" s="130">
        <f t="shared" si="210"/>
        <v>6.2147449670075243</v>
      </c>
      <c r="X203" s="130">
        <f t="shared" si="210"/>
        <v>5.8130931281837785</v>
      </c>
      <c r="Y203" s="130">
        <f t="shared" si="210"/>
        <v>3.5965169076926768</v>
      </c>
      <c r="DA203" s="176" t="s">
        <v>428</v>
      </c>
    </row>
    <row r="204" spans="1:105" ht="11.45" customHeight="1" x14ac:dyDescent="0.25">
      <c r="A204" s="109" t="str">
        <f>$A$22</f>
        <v>Aviation</v>
      </c>
      <c r="B204" s="130">
        <f t="shared" ref="B204:Y204" si="211">IF(B52=0,0,B52/B22*1000)</f>
        <v>173.18719637295209</v>
      </c>
      <c r="C204" s="130">
        <f t="shared" si="211"/>
        <v>157.16050710947846</v>
      </c>
      <c r="D204" s="130">
        <f t="shared" si="211"/>
        <v>160.25111365534377</v>
      </c>
      <c r="E204" s="130">
        <f t="shared" si="211"/>
        <v>162.17876143908433</v>
      </c>
      <c r="F204" s="130">
        <f t="shared" si="211"/>
        <v>180.36287591381529</v>
      </c>
      <c r="G204" s="130">
        <f t="shared" si="211"/>
        <v>165.75463292320231</v>
      </c>
      <c r="H204" s="130">
        <f t="shared" si="211"/>
        <v>182.52641110337169</v>
      </c>
      <c r="I204" s="130">
        <f t="shared" si="211"/>
        <v>147.36966398152205</v>
      </c>
      <c r="J204" s="130">
        <f t="shared" si="211"/>
        <v>110.85354984508393</v>
      </c>
      <c r="K204" s="130">
        <f t="shared" si="211"/>
        <v>120.69458826346238</v>
      </c>
      <c r="L204" s="130">
        <f t="shared" si="211"/>
        <v>126.44334432724494</v>
      </c>
      <c r="M204" s="130">
        <f t="shared" si="211"/>
        <v>97.437160542802573</v>
      </c>
      <c r="N204" s="130">
        <f t="shared" si="211"/>
        <v>64.888724961847956</v>
      </c>
      <c r="O204" s="130">
        <f t="shared" si="211"/>
        <v>72.715604015874248</v>
      </c>
      <c r="P204" s="130">
        <f t="shared" si="211"/>
        <v>83.257444495485032</v>
      </c>
      <c r="Q204" s="130">
        <f t="shared" si="211"/>
        <v>85.913801775906407</v>
      </c>
      <c r="R204" s="130">
        <f t="shared" si="211"/>
        <v>84.526555690429973</v>
      </c>
      <c r="S204" s="130">
        <f t="shared" si="211"/>
        <v>105.10529630623661</v>
      </c>
      <c r="T204" s="130">
        <f t="shared" si="211"/>
        <v>44.385378313815501</v>
      </c>
      <c r="U204" s="130">
        <f t="shared" si="211"/>
        <v>41.403744196697069</v>
      </c>
      <c r="V204" s="130">
        <f t="shared" si="211"/>
        <v>51.001840874224079</v>
      </c>
      <c r="W204" s="130">
        <f t="shared" si="211"/>
        <v>60.336474662843877</v>
      </c>
      <c r="X204" s="130">
        <f t="shared" si="211"/>
        <v>47.501382285003963</v>
      </c>
      <c r="Y204" s="130">
        <f t="shared" si="211"/>
        <v>39.143751577112525</v>
      </c>
      <c r="DA204" s="176" t="s">
        <v>301</v>
      </c>
    </row>
    <row r="205" spans="1:105" ht="11.45" customHeight="1" x14ac:dyDescent="0.25">
      <c r="A205" s="128" t="s">
        <v>27</v>
      </c>
      <c r="B205" s="97">
        <f t="shared" ref="B205:Y205" si="212">IF(B53=0,0,B53/B23*1000)</f>
        <v>544.63602727122861</v>
      </c>
      <c r="C205" s="97">
        <f t="shared" si="212"/>
        <v>543.57899517541171</v>
      </c>
      <c r="D205" s="97">
        <f t="shared" si="212"/>
        <v>524.41488640310115</v>
      </c>
      <c r="E205" s="97">
        <f t="shared" si="212"/>
        <v>493.0036928158969</v>
      </c>
      <c r="F205" s="97">
        <f t="shared" si="212"/>
        <v>534.27815030383408</v>
      </c>
      <c r="G205" s="97">
        <f t="shared" si="212"/>
        <v>432.6982743086507</v>
      </c>
      <c r="H205" s="97">
        <f t="shared" si="212"/>
        <v>82.979648922782545</v>
      </c>
      <c r="I205" s="97">
        <f t="shared" si="212"/>
        <v>3097.4770092802514</v>
      </c>
      <c r="J205" s="97">
        <f t="shared" si="212"/>
        <v>2939.846079773466</v>
      </c>
      <c r="K205" s="97">
        <f t="shared" si="212"/>
        <v>3068.7262808448909</v>
      </c>
      <c r="L205" s="97">
        <f t="shared" si="212"/>
        <v>3583.8662996159228</v>
      </c>
      <c r="M205" s="97">
        <f t="shared" si="212"/>
        <v>2060.3375012873416</v>
      </c>
      <c r="N205" s="97">
        <f t="shared" si="212"/>
        <v>959.37356794225263</v>
      </c>
      <c r="O205" s="97">
        <f t="shared" si="212"/>
        <v>1126.9147197971545</v>
      </c>
      <c r="P205" s="97">
        <f t="shared" si="212"/>
        <v>570.4508694203638</v>
      </c>
      <c r="Q205" s="97">
        <f t="shared" si="212"/>
        <v>733.49074716067628</v>
      </c>
      <c r="R205" s="97">
        <f t="shared" si="212"/>
        <v>391.35091328697166</v>
      </c>
      <c r="S205" s="97">
        <f t="shared" si="212"/>
        <v>608.58573229740841</v>
      </c>
      <c r="T205" s="97">
        <f t="shared" si="212"/>
        <v>638.95475946233933</v>
      </c>
      <c r="U205" s="97">
        <f t="shared" si="212"/>
        <v>710.47375220083006</v>
      </c>
      <c r="V205" s="97">
        <f t="shared" si="212"/>
        <v>1241.5619606736525</v>
      </c>
      <c r="W205" s="97">
        <f t="shared" si="212"/>
        <v>1309.4575437065475</v>
      </c>
      <c r="X205" s="97">
        <f t="shared" si="212"/>
        <v>1295.7824341920896</v>
      </c>
      <c r="Y205" s="97">
        <f t="shared" si="212"/>
        <v>714.73982523691996</v>
      </c>
      <c r="DA205" s="175" t="s">
        <v>302</v>
      </c>
    </row>
    <row r="206" spans="1:105" ht="11.45" customHeight="1" x14ac:dyDescent="0.25">
      <c r="A206" s="128" t="str">
        <f>$A$24</f>
        <v>International - Intra-EEAwCHUK</v>
      </c>
      <c r="B206" s="97">
        <f t="shared" ref="B206:Y206" si="213">IF(B54=0,0,B54/B24*1000)</f>
        <v>263.80102034922675</v>
      </c>
      <c r="C206" s="97">
        <f t="shared" si="213"/>
        <v>247.77037831464995</v>
      </c>
      <c r="D206" s="97">
        <f t="shared" si="213"/>
        <v>261.74892385727793</v>
      </c>
      <c r="E206" s="97">
        <f t="shared" si="213"/>
        <v>257.73043119110037</v>
      </c>
      <c r="F206" s="97">
        <f t="shared" si="213"/>
        <v>285.12054702882398</v>
      </c>
      <c r="G206" s="97">
        <f t="shared" si="213"/>
        <v>208.91230530793544</v>
      </c>
      <c r="H206" s="97">
        <f t="shared" si="213"/>
        <v>240.59247897973179</v>
      </c>
      <c r="I206" s="97">
        <f t="shared" si="213"/>
        <v>151.34732912486075</v>
      </c>
      <c r="J206" s="97">
        <f t="shared" si="213"/>
        <v>136.60190577472531</v>
      </c>
      <c r="K206" s="97">
        <f t="shared" si="213"/>
        <v>138.1207159797917</v>
      </c>
      <c r="L206" s="97">
        <f t="shared" si="213"/>
        <v>147.41741390893284</v>
      </c>
      <c r="M206" s="97">
        <f t="shared" si="213"/>
        <v>132.95703876731463</v>
      </c>
      <c r="N206" s="97">
        <f t="shared" si="213"/>
        <v>105.10895318293342</v>
      </c>
      <c r="O206" s="97">
        <f t="shared" si="213"/>
        <v>125.72666274998384</v>
      </c>
      <c r="P206" s="97">
        <f t="shared" si="213"/>
        <v>130.28342826826878</v>
      </c>
      <c r="Q206" s="97">
        <f t="shared" si="213"/>
        <v>122.84797658386374</v>
      </c>
      <c r="R206" s="97">
        <f t="shared" si="213"/>
        <v>116.88981165915584</v>
      </c>
      <c r="S206" s="97">
        <f t="shared" si="213"/>
        <v>138.22155055111679</v>
      </c>
      <c r="T206" s="97">
        <f t="shared" si="213"/>
        <v>48.429149803866252</v>
      </c>
      <c r="U206" s="97">
        <f t="shared" si="213"/>
        <v>48.834545752784642</v>
      </c>
      <c r="V206" s="97">
        <f t="shared" si="213"/>
        <v>45.284711461620027</v>
      </c>
      <c r="W206" s="97">
        <f t="shared" si="213"/>
        <v>53.194941413627042</v>
      </c>
      <c r="X206" s="97">
        <f t="shared" si="213"/>
        <v>37.512604136836487</v>
      </c>
      <c r="Y206" s="97">
        <f t="shared" si="213"/>
        <v>34.550364007902353</v>
      </c>
      <c r="DA206" s="175" t="s">
        <v>303</v>
      </c>
    </row>
    <row r="207" spans="1:105" ht="11.45" customHeight="1" x14ac:dyDescent="0.25">
      <c r="A207" s="128" t="str">
        <f>$A$25</f>
        <v>International - Extra-EEAwCHUK</v>
      </c>
      <c r="B207" s="97">
        <f t="shared" ref="B207:Y207" si="214">IF(B55=0,0,B55/B25*1000)</f>
        <v>60.851789875256699</v>
      </c>
      <c r="C207" s="97">
        <f t="shared" si="214"/>
        <v>58.027394347521557</v>
      </c>
      <c r="D207" s="97">
        <f t="shared" si="214"/>
        <v>61.270663805637298</v>
      </c>
      <c r="E207" s="97">
        <f t="shared" si="214"/>
        <v>67.518295391553721</v>
      </c>
      <c r="F207" s="97">
        <f t="shared" si="214"/>
        <v>69.490015572561035</v>
      </c>
      <c r="G207" s="97">
        <f t="shared" si="214"/>
        <v>56.723719996174182</v>
      </c>
      <c r="H207" s="97">
        <f t="shared" si="214"/>
        <v>61.142314923891234</v>
      </c>
      <c r="I207" s="97">
        <f t="shared" si="214"/>
        <v>36.768203942705767</v>
      </c>
      <c r="J207" s="97">
        <f t="shared" si="214"/>
        <v>36.736687941081641</v>
      </c>
      <c r="K207" s="97">
        <f t="shared" si="214"/>
        <v>42.473044715021629</v>
      </c>
      <c r="L207" s="97">
        <f t="shared" si="214"/>
        <v>47.726635761491117</v>
      </c>
      <c r="M207" s="97">
        <f t="shared" si="214"/>
        <v>42.214846061421213</v>
      </c>
      <c r="N207" s="97">
        <f t="shared" si="214"/>
        <v>34.919626333026294</v>
      </c>
      <c r="O207" s="97">
        <f t="shared" si="214"/>
        <v>35.063662536732124</v>
      </c>
      <c r="P207" s="97">
        <f t="shared" si="214"/>
        <v>23.979419196649722</v>
      </c>
      <c r="Q207" s="97">
        <f t="shared" si="214"/>
        <v>21.038789626001524</v>
      </c>
      <c r="R207" s="97">
        <f t="shared" si="214"/>
        <v>15.294057264326145</v>
      </c>
      <c r="S207" s="97">
        <f t="shared" si="214"/>
        <v>14.747627666459355</v>
      </c>
      <c r="T207" s="97">
        <f t="shared" si="214"/>
        <v>6.8408496546187765</v>
      </c>
      <c r="U207" s="97">
        <f t="shared" si="214"/>
        <v>6.3886222815088152</v>
      </c>
      <c r="V207" s="97">
        <f t="shared" si="214"/>
        <v>11.937152796507915</v>
      </c>
      <c r="W207" s="97">
        <f t="shared" si="214"/>
        <v>10.563325254429579</v>
      </c>
      <c r="X207" s="97">
        <f t="shared" si="214"/>
        <v>6.4912751194753726</v>
      </c>
      <c r="Y207" s="97">
        <f t="shared" si="214"/>
        <v>5.1439423558782327</v>
      </c>
      <c r="DA207" s="175" t="s">
        <v>304</v>
      </c>
    </row>
    <row r="208" spans="1:105" ht="11.45" customHeight="1" x14ac:dyDescent="0.25">
      <c r="A208" s="109" t="s">
        <v>141</v>
      </c>
      <c r="B208" s="130">
        <f t="shared" ref="B208:Y208" si="215">IF(B56=0,0,B56/B26*1000)</f>
        <v>43.01223957364212</v>
      </c>
      <c r="C208" s="130">
        <f t="shared" si="215"/>
        <v>36.839326677935041</v>
      </c>
      <c r="D208" s="130">
        <f t="shared" si="215"/>
        <v>28.345325745787616</v>
      </c>
      <c r="E208" s="130">
        <f t="shared" si="215"/>
        <v>19.412941342242576</v>
      </c>
      <c r="F208" s="130">
        <f t="shared" si="215"/>
        <v>6.0056634809328848</v>
      </c>
      <c r="G208" s="130">
        <f t="shared" si="215"/>
        <v>4.9847577524960744</v>
      </c>
      <c r="H208" s="130">
        <f t="shared" si="215"/>
        <v>5.0287294982992314</v>
      </c>
      <c r="I208" s="130">
        <f t="shared" si="215"/>
        <v>10.416927881596321</v>
      </c>
      <c r="J208" s="130">
        <f t="shared" si="215"/>
        <v>9.0699764752601215</v>
      </c>
      <c r="K208" s="130">
        <f t="shared" si="215"/>
        <v>4.713983612146583</v>
      </c>
      <c r="L208" s="130">
        <f t="shared" si="215"/>
        <v>4.1606611529349173</v>
      </c>
      <c r="M208" s="130">
        <f t="shared" si="215"/>
        <v>4.5910188265332144</v>
      </c>
      <c r="N208" s="130">
        <f t="shared" si="215"/>
        <v>3.4000629088042107</v>
      </c>
      <c r="O208" s="130">
        <f t="shared" si="215"/>
        <v>3.3944852187674672</v>
      </c>
      <c r="P208" s="130">
        <f t="shared" si="215"/>
        <v>3.188870561122128</v>
      </c>
      <c r="Q208" s="130">
        <f t="shared" si="215"/>
        <v>3.3097184973290465</v>
      </c>
      <c r="R208" s="130">
        <f t="shared" si="215"/>
        <v>3.0823160110660046</v>
      </c>
      <c r="S208" s="130">
        <f t="shared" si="215"/>
        <v>3.2270265491382282</v>
      </c>
      <c r="T208" s="130">
        <f t="shared" si="215"/>
        <v>3.2910171104361479</v>
      </c>
      <c r="U208" s="130">
        <f t="shared" si="215"/>
        <v>3.1230611204749925</v>
      </c>
      <c r="V208" s="130">
        <f t="shared" si="215"/>
        <v>3.0693851848125027</v>
      </c>
      <c r="W208" s="130">
        <f t="shared" si="215"/>
        <v>3.8165313352604073</v>
      </c>
      <c r="X208" s="130">
        <f t="shared" si="215"/>
        <v>4.2033618293784745</v>
      </c>
      <c r="Y208" s="130">
        <f t="shared" si="215"/>
        <v>3.9534383769070049</v>
      </c>
      <c r="DA208" s="176" t="s">
        <v>429</v>
      </c>
    </row>
    <row r="209" spans="1:105" ht="11.45" customHeight="1" x14ac:dyDescent="0.25">
      <c r="A209" s="128" t="str">
        <f>$A$27</f>
        <v>Domestic coastal shipping</v>
      </c>
      <c r="B209" s="97">
        <f t="shared" ref="B209:Y209" si="216">IF(B57=0,0,B57/B27*1000)</f>
        <v>0</v>
      </c>
      <c r="C209" s="97">
        <f t="shared" si="216"/>
        <v>0</v>
      </c>
      <c r="D209" s="97">
        <f t="shared" si="216"/>
        <v>0</v>
      </c>
      <c r="E209" s="97">
        <f t="shared" si="216"/>
        <v>0</v>
      </c>
      <c r="F209" s="97">
        <f t="shared" si="216"/>
        <v>0</v>
      </c>
      <c r="G209" s="97">
        <f t="shared" si="216"/>
        <v>0</v>
      </c>
      <c r="H209" s="97">
        <f t="shared" si="216"/>
        <v>0</v>
      </c>
      <c r="I209" s="97">
        <f t="shared" si="216"/>
        <v>0</v>
      </c>
      <c r="J209" s="97">
        <f t="shared" si="216"/>
        <v>0</v>
      </c>
      <c r="K209" s="97">
        <f t="shared" si="216"/>
        <v>0</v>
      </c>
      <c r="L209" s="97">
        <f t="shared" si="216"/>
        <v>0</v>
      </c>
      <c r="M209" s="97">
        <f t="shared" si="216"/>
        <v>0</v>
      </c>
      <c r="N209" s="97">
        <f t="shared" si="216"/>
        <v>0</v>
      </c>
      <c r="O209" s="97">
        <f t="shared" si="216"/>
        <v>0</v>
      </c>
      <c r="P209" s="97">
        <f t="shared" si="216"/>
        <v>0</v>
      </c>
      <c r="Q209" s="97">
        <f t="shared" si="216"/>
        <v>0</v>
      </c>
      <c r="R209" s="97">
        <f t="shared" si="216"/>
        <v>0</v>
      </c>
      <c r="S209" s="97">
        <f t="shared" si="216"/>
        <v>0</v>
      </c>
      <c r="T209" s="97">
        <f t="shared" si="216"/>
        <v>0</v>
      </c>
      <c r="U209" s="97">
        <f t="shared" si="216"/>
        <v>0</v>
      </c>
      <c r="V209" s="97">
        <f t="shared" si="216"/>
        <v>0</v>
      </c>
      <c r="W209" s="97">
        <f t="shared" si="216"/>
        <v>0</v>
      </c>
      <c r="X209" s="97">
        <f t="shared" si="216"/>
        <v>0</v>
      </c>
      <c r="Y209" s="97">
        <f t="shared" si="216"/>
        <v>0</v>
      </c>
      <c r="DA209" s="175" t="s">
        <v>430</v>
      </c>
    </row>
    <row r="210" spans="1:105" ht="11.45" customHeight="1" x14ac:dyDescent="0.25">
      <c r="A210" s="138" t="str">
        <f>$A$28</f>
        <v>Inland waterways</v>
      </c>
      <c r="B210" s="98">
        <f t="shared" ref="B210:Y210" si="217">IF(B58=0,0,B58/B28*1000)</f>
        <v>43.01223957364212</v>
      </c>
      <c r="C210" s="98">
        <f t="shared" si="217"/>
        <v>36.839326677935041</v>
      </c>
      <c r="D210" s="98">
        <f t="shared" si="217"/>
        <v>28.345325745787616</v>
      </c>
      <c r="E210" s="98">
        <f t="shared" si="217"/>
        <v>19.412941342242576</v>
      </c>
      <c r="F210" s="98">
        <f t="shared" si="217"/>
        <v>6.0056634809328848</v>
      </c>
      <c r="G210" s="98">
        <f t="shared" si="217"/>
        <v>4.9847577524960744</v>
      </c>
      <c r="H210" s="98">
        <f t="shared" si="217"/>
        <v>5.0287294982992314</v>
      </c>
      <c r="I210" s="98">
        <f t="shared" si="217"/>
        <v>10.416927881596321</v>
      </c>
      <c r="J210" s="98">
        <f t="shared" si="217"/>
        <v>9.0699764752601215</v>
      </c>
      <c r="K210" s="98">
        <f t="shared" si="217"/>
        <v>4.713983612146583</v>
      </c>
      <c r="L210" s="98">
        <f t="shared" si="217"/>
        <v>4.1606611529349173</v>
      </c>
      <c r="M210" s="98">
        <f t="shared" si="217"/>
        <v>4.5910188265332144</v>
      </c>
      <c r="N210" s="98">
        <f t="shared" si="217"/>
        <v>3.4000629088042107</v>
      </c>
      <c r="O210" s="98">
        <f t="shared" si="217"/>
        <v>3.3944852187674672</v>
      </c>
      <c r="P210" s="98">
        <f t="shared" si="217"/>
        <v>3.188870561122128</v>
      </c>
      <c r="Q210" s="98">
        <f t="shared" si="217"/>
        <v>3.3097184973290465</v>
      </c>
      <c r="R210" s="98">
        <f t="shared" si="217"/>
        <v>3.0823160110660046</v>
      </c>
      <c r="S210" s="98">
        <f t="shared" si="217"/>
        <v>3.2270265491382282</v>
      </c>
      <c r="T210" s="98">
        <f t="shared" si="217"/>
        <v>3.2910171104361479</v>
      </c>
      <c r="U210" s="98">
        <f t="shared" si="217"/>
        <v>3.1230611204749925</v>
      </c>
      <c r="V210" s="98">
        <f t="shared" si="217"/>
        <v>3.0693851848125027</v>
      </c>
      <c r="W210" s="98">
        <f t="shared" si="217"/>
        <v>3.8165313352604073</v>
      </c>
      <c r="X210" s="98">
        <f t="shared" si="217"/>
        <v>4.2033618293784745</v>
      </c>
      <c r="Y210" s="98">
        <f t="shared" si="217"/>
        <v>3.9534383769070049</v>
      </c>
      <c r="DA210" s="178" t="s">
        <v>431</v>
      </c>
    </row>
    <row r="211" spans="1:105" ht="11.45" customHeight="1" x14ac:dyDescent="0.25">
      <c r="A211" s="27" t="s">
        <v>172</v>
      </c>
      <c r="B211" s="32">
        <f t="shared" ref="B211:Y211" si="218">IF(B59=0,0,B59/B29*1000)</f>
        <v>0</v>
      </c>
      <c r="C211" s="32">
        <f t="shared" si="218"/>
        <v>0</v>
      </c>
      <c r="D211" s="32">
        <f t="shared" si="218"/>
        <v>0</v>
      </c>
      <c r="E211" s="32">
        <f t="shared" si="218"/>
        <v>0</v>
      </c>
      <c r="F211" s="32">
        <f t="shared" si="218"/>
        <v>0</v>
      </c>
      <c r="G211" s="32">
        <f t="shared" si="218"/>
        <v>0</v>
      </c>
      <c r="H211" s="32">
        <f t="shared" si="218"/>
        <v>0</v>
      </c>
      <c r="I211" s="32">
        <f t="shared" si="218"/>
        <v>0.40920592008683193</v>
      </c>
      <c r="J211" s="32">
        <f t="shared" si="218"/>
        <v>0.66575991806437851</v>
      </c>
      <c r="K211" s="32">
        <f t="shared" si="218"/>
        <v>0.24880134732298639</v>
      </c>
      <c r="L211" s="32">
        <f t="shared" si="218"/>
        <v>0.19788750858244608</v>
      </c>
      <c r="M211" s="32">
        <f t="shared" si="218"/>
        <v>0.1149316852510032</v>
      </c>
      <c r="N211" s="32">
        <f t="shared" si="218"/>
        <v>0.1547855813774173</v>
      </c>
      <c r="O211" s="32">
        <f t="shared" si="218"/>
        <v>0.38465265931619858</v>
      </c>
      <c r="P211" s="32">
        <f t="shared" si="218"/>
        <v>0.88804021501823516</v>
      </c>
      <c r="Q211" s="32">
        <f t="shared" si="218"/>
        <v>0.45076364623945997</v>
      </c>
      <c r="R211" s="32">
        <f t="shared" si="218"/>
        <v>0.32640198001517529</v>
      </c>
      <c r="S211" s="32">
        <f t="shared" si="218"/>
        <v>0.30447433753066427</v>
      </c>
      <c r="T211" s="32">
        <f t="shared" si="218"/>
        <v>0.17689885618800674</v>
      </c>
      <c r="U211" s="32">
        <f t="shared" si="218"/>
        <v>0.30758063225924415</v>
      </c>
      <c r="V211" s="32">
        <f t="shared" si="218"/>
        <v>0.46047372904450606</v>
      </c>
      <c r="W211" s="32">
        <f t="shared" si="218"/>
        <v>0.3085595191121398</v>
      </c>
      <c r="X211" s="32">
        <f t="shared" si="218"/>
        <v>0.14211683440390754</v>
      </c>
      <c r="Y211" s="32">
        <f t="shared" si="218"/>
        <v>0.12616835690358943</v>
      </c>
      <c r="DA211" s="173" t="s">
        <v>432</v>
      </c>
    </row>
    <row r="212" spans="1:105" ht="11.45" customHeight="1" x14ac:dyDescent="0.25">
      <c r="A212" s="128" t="str">
        <f>$A$30</f>
        <v>Intra-EEA</v>
      </c>
      <c r="B212" s="97">
        <f t="shared" ref="B212:Y212" si="219">IF(B60=0,0,B60/B30*1000)</f>
        <v>0</v>
      </c>
      <c r="C212" s="97">
        <f t="shared" si="219"/>
        <v>0</v>
      </c>
      <c r="D212" s="97">
        <f t="shared" si="219"/>
        <v>0</v>
      </c>
      <c r="E212" s="97">
        <f t="shared" si="219"/>
        <v>0</v>
      </c>
      <c r="F212" s="97">
        <f t="shared" si="219"/>
        <v>0</v>
      </c>
      <c r="G212" s="97">
        <f t="shared" si="219"/>
        <v>0</v>
      </c>
      <c r="H212" s="97">
        <f t="shared" si="219"/>
        <v>0</v>
      </c>
      <c r="I212" s="97">
        <f t="shared" si="219"/>
        <v>1.2234338421974769</v>
      </c>
      <c r="J212" s="97">
        <f t="shared" si="219"/>
        <v>2.0479773891309807</v>
      </c>
      <c r="K212" s="97">
        <f t="shared" si="219"/>
        <v>0.44810656847752167</v>
      </c>
      <c r="L212" s="97">
        <f t="shared" si="219"/>
        <v>0.44214596631268754</v>
      </c>
      <c r="M212" s="97">
        <f t="shared" si="219"/>
        <v>0.27447034741943338</v>
      </c>
      <c r="N212" s="97">
        <f t="shared" si="219"/>
        <v>0.42706398328815315</v>
      </c>
      <c r="O212" s="97">
        <f t="shared" si="219"/>
        <v>1.0970240332446624</v>
      </c>
      <c r="P212" s="97">
        <f t="shared" si="219"/>
        <v>2.0914701486414029</v>
      </c>
      <c r="Q212" s="97">
        <f t="shared" si="219"/>
        <v>1.0515526132671613</v>
      </c>
      <c r="R212" s="97">
        <f t="shared" si="219"/>
        <v>0.73881668766104047</v>
      </c>
      <c r="S212" s="97">
        <f t="shared" si="219"/>
        <v>0.63023182409364242</v>
      </c>
      <c r="T212" s="97">
        <f t="shared" si="219"/>
        <v>0.34961994188664647</v>
      </c>
      <c r="U212" s="97">
        <f t="shared" si="219"/>
        <v>0.7281757412999792</v>
      </c>
      <c r="V212" s="97">
        <f t="shared" si="219"/>
        <v>0.91231088097521007</v>
      </c>
      <c r="W212" s="97">
        <f t="shared" si="219"/>
        <v>0.65329904934088123</v>
      </c>
      <c r="X212" s="97">
        <f t="shared" si="219"/>
        <v>0.29302094622800062</v>
      </c>
      <c r="Y212" s="97">
        <f t="shared" si="219"/>
        <v>0.26871761857855886</v>
      </c>
      <c r="DA212" s="175" t="s">
        <v>433</v>
      </c>
    </row>
    <row r="213" spans="1:105" ht="11.45" customHeight="1" x14ac:dyDescent="0.25">
      <c r="A213" s="138" t="str">
        <f>$A$31</f>
        <v>Extra-EEA</v>
      </c>
      <c r="B213" s="98">
        <f t="shared" ref="B213:Y213" si="220">IF(B61=0,0,B61/B31*1000)</f>
        <v>0</v>
      </c>
      <c r="C213" s="98">
        <f t="shared" si="220"/>
        <v>0</v>
      </c>
      <c r="D213" s="98">
        <f t="shared" si="220"/>
        <v>0</v>
      </c>
      <c r="E213" s="98">
        <f t="shared" si="220"/>
        <v>0</v>
      </c>
      <c r="F213" s="98">
        <f t="shared" si="220"/>
        <v>0</v>
      </c>
      <c r="G213" s="98">
        <f t="shared" si="220"/>
        <v>0</v>
      </c>
      <c r="H213" s="98">
        <f t="shared" si="220"/>
        <v>0</v>
      </c>
      <c r="I213" s="98">
        <f t="shared" si="220"/>
        <v>0.30481295599946606</v>
      </c>
      <c r="J213" s="98">
        <f t="shared" si="220"/>
        <v>0.49622223521832576</v>
      </c>
      <c r="K213" s="98">
        <f t="shared" si="220"/>
        <v>0.16288563963859612</v>
      </c>
      <c r="L213" s="98">
        <f t="shared" si="220"/>
        <v>0.13092371169033909</v>
      </c>
      <c r="M213" s="98">
        <f t="shared" si="220"/>
        <v>7.7680661085174893E-2</v>
      </c>
      <c r="N213" s="98">
        <f t="shared" si="220"/>
        <v>0.10816951702830827</v>
      </c>
      <c r="O213" s="98">
        <f t="shared" si="220"/>
        <v>0.27379715115660158</v>
      </c>
      <c r="P213" s="98">
        <f t="shared" si="220"/>
        <v>0.59464143899001232</v>
      </c>
      <c r="Q213" s="98">
        <f t="shared" si="220"/>
        <v>0.29983401516832009</v>
      </c>
      <c r="R213" s="98">
        <f t="shared" si="220"/>
        <v>0.21751411905835419</v>
      </c>
      <c r="S213" s="98">
        <f t="shared" si="220"/>
        <v>0.1993112441452875</v>
      </c>
      <c r="T213" s="98">
        <f t="shared" si="220"/>
        <v>0.11574835867247353</v>
      </c>
      <c r="U213" s="98">
        <f t="shared" si="220"/>
        <v>0.20490775062599584</v>
      </c>
      <c r="V213" s="98">
        <f t="shared" si="220"/>
        <v>0.33216261852384599</v>
      </c>
      <c r="W213" s="98">
        <f t="shared" si="220"/>
        <v>0.22220122422618785</v>
      </c>
      <c r="X213" s="98">
        <f t="shared" si="220"/>
        <v>9.5555903057237393E-2</v>
      </c>
      <c r="Y213" s="98">
        <f t="shared" si="220"/>
        <v>8.3654058260722169E-2</v>
      </c>
      <c r="DA213" s="178" t="s">
        <v>434</v>
      </c>
    </row>
    <row r="214" spans="1:105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DA214" s="171"/>
    </row>
    <row r="215" spans="1:105" ht="11.45" customHeight="1" x14ac:dyDescent="0.25">
      <c r="A215" s="53" t="s">
        <v>43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DA215" s="172"/>
    </row>
    <row r="216" spans="1:105" ht="11.45" customHeight="1" x14ac:dyDescent="0.25">
      <c r="A216" s="27" t="s">
        <v>160</v>
      </c>
      <c r="B216" s="32">
        <f t="shared" ref="B216:Y216" si="221">IF(B4=0,0,B64/B4*1000)</f>
        <v>81.140304873323473</v>
      </c>
      <c r="C216" s="32">
        <f t="shared" si="221"/>
        <v>95.226117950620122</v>
      </c>
      <c r="D216" s="32">
        <f t="shared" si="221"/>
        <v>97.631796788324749</v>
      </c>
      <c r="E216" s="32">
        <f t="shared" si="221"/>
        <v>98.733563070971798</v>
      </c>
      <c r="F216" s="32">
        <f t="shared" si="221"/>
        <v>105.06616935801915</v>
      </c>
      <c r="G216" s="32">
        <f t="shared" si="221"/>
        <v>92.241010494297655</v>
      </c>
      <c r="H216" s="32">
        <f t="shared" si="221"/>
        <v>88.086261558916732</v>
      </c>
      <c r="I216" s="32">
        <f t="shared" si="221"/>
        <v>93.368160573093874</v>
      </c>
      <c r="J216" s="32">
        <f t="shared" si="221"/>
        <v>96.255220861168439</v>
      </c>
      <c r="K216" s="32">
        <f t="shared" si="221"/>
        <v>98.816746220915206</v>
      </c>
      <c r="L216" s="32">
        <f t="shared" si="221"/>
        <v>99.917475214120614</v>
      </c>
      <c r="M216" s="32">
        <f t="shared" si="221"/>
        <v>102.83078192542614</v>
      </c>
      <c r="N216" s="32">
        <f t="shared" si="221"/>
        <v>103.41297337058784</v>
      </c>
      <c r="O216" s="32">
        <f t="shared" si="221"/>
        <v>97.237052271167784</v>
      </c>
      <c r="P216" s="32">
        <f t="shared" si="221"/>
        <v>95.035422287919616</v>
      </c>
      <c r="Q216" s="32">
        <f t="shared" si="221"/>
        <v>89.823619947827211</v>
      </c>
      <c r="R216" s="32">
        <f t="shared" si="221"/>
        <v>90.808454830014014</v>
      </c>
      <c r="S216" s="32">
        <f t="shared" si="221"/>
        <v>94.575763844374492</v>
      </c>
      <c r="T216" s="32">
        <f t="shared" si="221"/>
        <v>87.754254813329482</v>
      </c>
      <c r="U216" s="32">
        <f t="shared" si="221"/>
        <v>85.009754742737215</v>
      </c>
      <c r="V216" s="32">
        <f t="shared" si="221"/>
        <v>101.45762440112397</v>
      </c>
      <c r="W216" s="32">
        <f t="shared" si="221"/>
        <v>97.139597032585343</v>
      </c>
      <c r="X216" s="32">
        <f t="shared" si="221"/>
        <v>92.225997683659415</v>
      </c>
      <c r="Y216" s="32">
        <f t="shared" si="221"/>
        <v>90.046273253478574</v>
      </c>
      <c r="DA216" s="173" t="s">
        <v>435</v>
      </c>
    </row>
    <row r="217" spans="1:105" ht="11.45" customHeight="1" x14ac:dyDescent="0.25">
      <c r="A217" s="136" t="str">
        <f>$A$5</f>
        <v>Road transport</v>
      </c>
      <c r="B217" s="141">
        <f t="shared" ref="B217:Y217" si="222">IF(B5=0,0,B65/B5*1000)</f>
        <v>90.425452089059448</v>
      </c>
      <c r="C217" s="141">
        <f t="shared" si="222"/>
        <v>114.64760399550586</v>
      </c>
      <c r="D217" s="141">
        <f t="shared" si="222"/>
        <v>112.22562879073695</v>
      </c>
      <c r="E217" s="141">
        <f t="shared" si="222"/>
        <v>111.70833706069321</v>
      </c>
      <c r="F217" s="141">
        <f t="shared" si="222"/>
        <v>118.66881970560023</v>
      </c>
      <c r="G217" s="141">
        <f t="shared" si="222"/>
        <v>107.39188711652199</v>
      </c>
      <c r="H217" s="141">
        <f t="shared" si="222"/>
        <v>101.92972933500816</v>
      </c>
      <c r="I217" s="141">
        <f t="shared" si="222"/>
        <v>103.20673670518001</v>
      </c>
      <c r="J217" s="141">
        <f t="shared" si="222"/>
        <v>105.72668074259531</v>
      </c>
      <c r="K217" s="141">
        <f t="shared" si="222"/>
        <v>108.03927802183637</v>
      </c>
      <c r="L217" s="141">
        <f t="shared" si="222"/>
        <v>107.75230896204647</v>
      </c>
      <c r="M217" s="141">
        <f t="shared" si="222"/>
        <v>112.04456950681576</v>
      </c>
      <c r="N217" s="141">
        <f t="shared" si="222"/>
        <v>114.26042596100226</v>
      </c>
      <c r="O217" s="141">
        <f t="shared" si="222"/>
        <v>106.43779099386525</v>
      </c>
      <c r="P217" s="141">
        <f t="shared" si="222"/>
        <v>105.37448072855248</v>
      </c>
      <c r="Q217" s="141">
        <f t="shared" si="222"/>
        <v>95.978143958575671</v>
      </c>
      <c r="R217" s="141">
        <f t="shared" si="222"/>
        <v>97.221740424523219</v>
      </c>
      <c r="S217" s="141">
        <f t="shared" si="222"/>
        <v>101.9012147557807</v>
      </c>
      <c r="T217" s="141">
        <f t="shared" si="222"/>
        <v>99.148716517824255</v>
      </c>
      <c r="U217" s="141">
        <f t="shared" si="222"/>
        <v>95.293463293580103</v>
      </c>
      <c r="V217" s="141">
        <f t="shared" si="222"/>
        <v>107.83661180998004</v>
      </c>
      <c r="W217" s="141">
        <f t="shared" si="222"/>
        <v>104.03752467904745</v>
      </c>
      <c r="X217" s="141">
        <f t="shared" si="222"/>
        <v>104.2814222322875</v>
      </c>
      <c r="Y217" s="141">
        <f t="shared" si="222"/>
        <v>103.23409876621531</v>
      </c>
      <c r="DA217" s="174" t="s">
        <v>436</v>
      </c>
    </row>
    <row r="218" spans="1:105" ht="11.45" customHeight="1" x14ac:dyDescent="0.25">
      <c r="A218" s="128" t="str">
        <f>$A$6</f>
        <v>Powered two-wheelers</v>
      </c>
      <c r="B218" s="97">
        <f t="shared" ref="B218:Y218" si="223">IF(B6=0,0,B66/B6*1000)</f>
        <v>117.68222185121742</v>
      </c>
      <c r="C218" s="97">
        <f t="shared" si="223"/>
        <v>117.50906760200121</v>
      </c>
      <c r="D218" s="97">
        <f t="shared" si="223"/>
        <v>117.36429754713414</v>
      </c>
      <c r="E218" s="97">
        <f t="shared" si="223"/>
        <v>116.90228534187642</v>
      </c>
      <c r="F218" s="97">
        <f t="shared" si="223"/>
        <v>116.41138727547828</v>
      </c>
      <c r="G218" s="97">
        <f t="shared" si="223"/>
        <v>110.3741406201059</v>
      </c>
      <c r="H218" s="97">
        <f t="shared" si="223"/>
        <v>108.52450549456589</v>
      </c>
      <c r="I218" s="97">
        <f t="shared" si="223"/>
        <v>106.85169888991345</v>
      </c>
      <c r="J218" s="97">
        <f t="shared" si="223"/>
        <v>102.49976300706959</v>
      </c>
      <c r="K218" s="97">
        <f t="shared" si="223"/>
        <v>99.883862328939841</v>
      </c>
      <c r="L218" s="97">
        <f t="shared" si="223"/>
        <v>95.40282485548444</v>
      </c>
      <c r="M218" s="97">
        <f t="shared" si="223"/>
        <v>93.683045124990414</v>
      </c>
      <c r="N218" s="97">
        <f t="shared" si="223"/>
        <v>91.95042811341871</v>
      </c>
      <c r="O218" s="97">
        <f t="shared" si="223"/>
        <v>90.314544321165002</v>
      </c>
      <c r="P218" s="97">
        <f t="shared" si="223"/>
        <v>89.801907545398109</v>
      </c>
      <c r="Q218" s="97">
        <f t="shared" si="223"/>
        <v>86.865867730276904</v>
      </c>
      <c r="R218" s="97">
        <f t="shared" si="223"/>
        <v>84.416721155596804</v>
      </c>
      <c r="S218" s="97">
        <f t="shared" si="223"/>
        <v>82.619422265533629</v>
      </c>
      <c r="T218" s="97">
        <f t="shared" si="223"/>
        <v>81.443814811373585</v>
      </c>
      <c r="U218" s="97">
        <f t="shared" si="223"/>
        <v>79.498249090271514</v>
      </c>
      <c r="V218" s="97">
        <f t="shared" si="223"/>
        <v>78.523208663889207</v>
      </c>
      <c r="W218" s="97">
        <f t="shared" si="223"/>
        <v>76.555503530632379</v>
      </c>
      <c r="X218" s="97">
        <f t="shared" si="223"/>
        <v>74.908990617168286</v>
      </c>
      <c r="Y218" s="97">
        <f t="shared" si="223"/>
        <v>74.040671050404796</v>
      </c>
      <c r="DA218" s="175" t="s">
        <v>437</v>
      </c>
    </row>
    <row r="219" spans="1:105" ht="11.45" customHeight="1" x14ac:dyDescent="0.25">
      <c r="A219" s="128" t="str">
        <f>$A$7</f>
        <v>Passenger cars</v>
      </c>
      <c r="B219" s="97">
        <f t="shared" ref="B219:Y219" si="224">IF(B7=0,0,B67/B7*1000)</f>
        <v>74.050919164154053</v>
      </c>
      <c r="C219" s="97">
        <f t="shared" si="224"/>
        <v>95.926411705774655</v>
      </c>
      <c r="D219" s="97">
        <f t="shared" si="224"/>
        <v>95.050351249768198</v>
      </c>
      <c r="E219" s="97">
        <f t="shared" si="224"/>
        <v>96.239910855909557</v>
      </c>
      <c r="F219" s="97">
        <f t="shared" si="224"/>
        <v>102.86244491345059</v>
      </c>
      <c r="G219" s="97">
        <f t="shared" si="224"/>
        <v>96.983904918453277</v>
      </c>
      <c r="H219" s="97">
        <f t="shared" si="224"/>
        <v>93.093644624287791</v>
      </c>
      <c r="I219" s="97">
        <f t="shared" si="224"/>
        <v>93.399418405860317</v>
      </c>
      <c r="J219" s="97">
        <f t="shared" si="224"/>
        <v>99.052537156172193</v>
      </c>
      <c r="K219" s="97">
        <f t="shared" si="224"/>
        <v>97.527019022350558</v>
      </c>
      <c r="L219" s="97">
        <f t="shared" si="224"/>
        <v>93.958845054146053</v>
      </c>
      <c r="M219" s="97">
        <f t="shared" si="224"/>
        <v>98.485474233807309</v>
      </c>
      <c r="N219" s="97">
        <f t="shared" si="224"/>
        <v>102.03528530747394</v>
      </c>
      <c r="O219" s="97">
        <f t="shared" si="224"/>
        <v>92.820042705406337</v>
      </c>
      <c r="P219" s="97">
        <f t="shared" si="224"/>
        <v>92.086140100483206</v>
      </c>
      <c r="Q219" s="97">
        <f t="shared" si="224"/>
        <v>87.318809202490229</v>
      </c>
      <c r="R219" s="97">
        <f t="shared" si="224"/>
        <v>88.60234366032374</v>
      </c>
      <c r="S219" s="97">
        <f t="shared" si="224"/>
        <v>92.3920933874833</v>
      </c>
      <c r="T219" s="97">
        <f t="shared" si="224"/>
        <v>90.495712982936396</v>
      </c>
      <c r="U219" s="97">
        <f t="shared" si="224"/>
        <v>86.422724731373521</v>
      </c>
      <c r="V219" s="97">
        <f t="shared" si="224"/>
        <v>91.466349201211315</v>
      </c>
      <c r="W219" s="97">
        <f t="shared" si="224"/>
        <v>88.600448164893621</v>
      </c>
      <c r="X219" s="97">
        <f t="shared" si="224"/>
        <v>90.241418059149197</v>
      </c>
      <c r="Y219" s="97">
        <f t="shared" si="224"/>
        <v>92.042054413999409</v>
      </c>
      <c r="DA219" s="175" t="s">
        <v>438</v>
      </c>
    </row>
    <row r="220" spans="1:105" ht="11.45" customHeight="1" x14ac:dyDescent="0.25">
      <c r="A220" s="128" t="str">
        <f>$A$8</f>
        <v>Motor coaches, buses and trolley buses</v>
      </c>
      <c r="B220" s="97">
        <f t="shared" ref="B220:Y220" si="225">IF(B8=0,0,B68/B8*1000)</f>
        <v>197.89852547131727</v>
      </c>
      <c r="C220" s="97">
        <f t="shared" si="225"/>
        <v>253.4957090136931</v>
      </c>
      <c r="D220" s="97">
        <f t="shared" si="225"/>
        <v>244.76505824022314</v>
      </c>
      <c r="E220" s="97">
        <f t="shared" si="225"/>
        <v>203.17243857511193</v>
      </c>
      <c r="F220" s="97">
        <f t="shared" si="225"/>
        <v>215.87188803742487</v>
      </c>
      <c r="G220" s="97">
        <f t="shared" si="225"/>
        <v>161.07421886979844</v>
      </c>
      <c r="H220" s="97">
        <f t="shared" si="225"/>
        <v>150.02107108193456</v>
      </c>
      <c r="I220" s="97">
        <f t="shared" si="225"/>
        <v>157.56474397269363</v>
      </c>
      <c r="J220" s="97">
        <f t="shared" si="225"/>
        <v>129.09335606151484</v>
      </c>
      <c r="K220" s="97">
        <f t="shared" si="225"/>
        <v>154.64782318365496</v>
      </c>
      <c r="L220" s="97">
        <f t="shared" si="225"/>
        <v>173.98814574336987</v>
      </c>
      <c r="M220" s="97">
        <f t="shared" si="225"/>
        <v>178.11248109250667</v>
      </c>
      <c r="N220" s="97">
        <f t="shared" si="225"/>
        <v>170.69111638210723</v>
      </c>
      <c r="O220" s="97">
        <f t="shared" si="225"/>
        <v>171.04110963262818</v>
      </c>
      <c r="P220" s="97">
        <f t="shared" si="225"/>
        <v>167.61521924845295</v>
      </c>
      <c r="Q220" s="97">
        <f t="shared" si="225"/>
        <v>127.50831129097365</v>
      </c>
      <c r="R220" s="97">
        <f t="shared" si="225"/>
        <v>129.71158140286855</v>
      </c>
      <c r="S220" s="97">
        <f t="shared" si="225"/>
        <v>139.37779910872311</v>
      </c>
      <c r="T220" s="97">
        <f t="shared" si="225"/>
        <v>133.1760567929289</v>
      </c>
      <c r="U220" s="97">
        <f t="shared" si="225"/>
        <v>132.41178846547933</v>
      </c>
      <c r="V220" s="97">
        <f t="shared" si="225"/>
        <v>195.5694033300492</v>
      </c>
      <c r="W220" s="97">
        <f t="shared" si="225"/>
        <v>190.30788543021856</v>
      </c>
      <c r="X220" s="97">
        <f t="shared" si="225"/>
        <v>182.4213806885096</v>
      </c>
      <c r="Y220" s="97">
        <f t="shared" si="225"/>
        <v>160.79333862343617</v>
      </c>
      <c r="DA220" s="175" t="s">
        <v>439</v>
      </c>
    </row>
    <row r="221" spans="1:105" ht="11.45" customHeight="1" x14ac:dyDescent="0.25">
      <c r="A221" s="109" t="str">
        <f>$A$9</f>
        <v>Rail, metro and tram</v>
      </c>
      <c r="B221" s="130">
        <f t="shared" ref="B221:Y221" si="226">IF(B9=0,0,B69/B9*1000)</f>
        <v>38.243584326709566</v>
      </c>
      <c r="C221" s="130">
        <f t="shared" si="226"/>
        <v>18.001471609112059</v>
      </c>
      <c r="D221" s="130">
        <f t="shared" si="226"/>
        <v>27.813370468591799</v>
      </c>
      <c r="E221" s="130">
        <f t="shared" si="226"/>
        <v>29.086854318823203</v>
      </c>
      <c r="F221" s="130">
        <f t="shared" si="226"/>
        <v>31.385638651463793</v>
      </c>
      <c r="G221" s="130">
        <f t="shared" si="226"/>
        <v>10.370959696122425</v>
      </c>
      <c r="H221" s="130">
        <f t="shared" si="226"/>
        <v>9.4519578106284516</v>
      </c>
      <c r="I221" s="130">
        <f t="shared" si="226"/>
        <v>28.14671733430513</v>
      </c>
      <c r="J221" s="130">
        <f t="shared" si="226"/>
        <v>27.806684388984504</v>
      </c>
      <c r="K221" s="130">
        <f t="shared" si="226"/>
        <v>23.664743542460545</v>
      </c>
      <c r="L221" s="130">
        <f t="shared" si="226"/>
        <v>27.69175917678211</v>
      </c>
      <c r="M221" s="130">
        <f t="shared" si="226"/>
        <v>37.451225664950606</v>
      </c>
      <c r="N221" s="130">
        <f t="shared" si="226"/>
        <v>35.659274881938771</v>
      </c>
      <c r="O221" s="130">
        <f t="shared" si="226"/>
        <v>31.092463908292679</v>
      </c>
      <c r="P221" s="130">
        <f t="shared" si="226"/>
        <v>19.797378093592176</v>
      </c>
      <c r="Q221" s="130">
        <f t="shared" si="226"/>
        <v>23.301260456797017</v>
      </c>
      <c r="R221" s="130">
        <f t="shared" si="226"/>
        <v>22.483572546089921</v>
      </c>
      <c r="S221" s="130">
        <f t="shared" si="226"/>
        <v>23.864550303132614</v>
      </c>
      <c r="T221" s="130">
        <f t="shared" si="226"/>
        <v>18.567158185716014</v>
      </c>
      <c r="U221" s="130">
        <f t="shared" si="226"/>
        <v>26.073143287808279</v>
      </c>
      <c r="V221" s="130">
        <f t="shared" si="226"/>
        <v>36.432677263933186</v>
      </c>
      <c r="W221" s="130">
        <f t="shared" si="226"/>
        <v>34.072082014845442</v>
      </c>
      <c r="X221" s="130">
        <f t="shared" si="226"/>
        <v>16.658182468050285</v>
      </c>
      <c r="Y221" s="130">
        <f t="shared" si="226"/>
        <v>19.421149573067101</v>
      </c>
      <c r="DA221" s="176" t="s">
        <v>440</v>
      </c>
    </row>
    <row r="222" spans="1:105" ht="11.45" customHeight="1" x14ac:dyDescent="0.25">
      <c r="A222" s="128" t="str">
        <f>$A$10</f>
        <v>Metro and tram, urban light rail</v>
      </c>
      <c r="B222" s="97">
        <f t="shared" ref="B222:Y222" si="227">IF(B10=0,0,B70/B10*1000)</f>
        <v>0</v>
      </c>
      <c r="C222" s="97">
        <f t="shared" si="227"/>
        <v>0</v>
      </c>
      <c r="D222" s="97">
        <f t="shared" si="227"/>
        <v>0</v>
      </c>
      <c r="E222" s="97">
        <f t="shared" si="227"/>
        <v>0</v>
      </c>
      <c r="F222" s="97">
        <f t="shared" si="227"/>
        <v>0</v>
      </c>
      <c r="G222" s="97">
        <f t="shared" si="227"/>
        <v>0</v>
      </c>
      <c r="H222" s="97">
        <f t="shared" si="227"/>
        <v>0</v>
      </c>
      <c r="I222" s="97">
        <f t="shared" si="227"/>
        <v>0</v>
      </c>
      <c r="J222" s="97">
        <f t="shared" si="227"/>
        <v>0</v>
      </c>
      <c r="K222" s="97">
        <f t="shared" si="227"/>
        <v>0</v>
      </c>
      <c r="L222" s="97">
        <f t="shared" si="227"/>
        <v>0</v>
      </c>
      <c r="M222" s="97">
        <f t="shared" si="227"/>
        <v>0</v>
      </c>
      <c r="N222" s="97">
        <f t="shared" si="227"/>
        <v>0</v>
      </c>
      <c r="O222" s="97">
        <f t="shared" si="227"/>
        <v>0</v>
      </c>
      <c r="P222" s="97">
        <f t="shared" si="227"/>
        <v>0</v>
      </c>
      <c r="Q222" s="97">
        <f t="shared" si="227"/>
        <v>0</v>
      </c>
      <c r="R222" s="97">
        <f t="shared" si="227"/>
        <v>0</v>
      </c>
      <c r="S222" s="97">
        <f t="shared" si="227"/>
        <v>0</v>
      </c>
      <c r="T222" s="97">
        <f t="shared" si="227"/>
        <v>0</v>
      </c>
      <c r="U222" s="97">
        <f t="shared" si="227"/>
        <v>0</v>
      </c>
      <c r="V222" s="97">
        <f t="shared" si="227"/>
        <v>0</v>
      </c>
      <c r="W222" s="97">
        <f t="shared" si="227"/>
        <v>0</v>
      </c>
      <c r="X222" s="97">
        <f t="shared" si="227"/>
        <v>0</v>
      </c>
      <c r="Y222" s="97">
        <f t="shared" si="227"/>
        <v>0</v>
      </c>
      <c r="DA222" s="175" t="s">
        <v>441</v>
      </c>
    </row>
    <row r="223" spans="1:105" ht="11.45" customHeight="1" x14ac:dyDescent="0.25">
      <c r="A223" s="128" t="str">
        <f>$A$11</f>
        <v>Conventional passenger trains</v>
      </c>
      <c r="B223" s="97">
        <f t="shared" ref="B223:Y223" si="228">IF(B11=0,0,B71/B11*1000)</f>
        <v>57.970330024805975</v>
      </c>
      <c r="C223" s="97">
        <f t="shared" si="228"/>
        <v>27.851798071006481</v>
      </c>
      <c r="D223" s="97">
        <f t="shared" si="228"/>
        <v>47.441719423137876</v>
      </c>
      <c r="E223" s="97">
        <f t="shared" si="228"/>
        <v>48.863364978293625</v>
      </c>
      <c r="F223" s="97">
        <f t="shared" si="228"/>
        <v>53.884051117729491</v>
      </c>
      <c r="G223" s="97">
        <f t="shared" si="228"/>
        <v>18.939058254297453</v>
      </c>
      <c r="H223" s="97">
        <f t="shared" si="228"/>
        <v>17.394779500232193</v>
      </c>
      <c r="I223" s="97">
        <f t="shared" si="228"/>
        <v>54.124827233543414</v>
      </c>
      <c r="J223" s="97">
        <f t="shared" si="228"/>
        <v>55.781215967439735</v>
      </c>
      <c r="K223" s="97">
        <f t="shared" si="228"/>
        <v>50.878426268263333</v>
      </c>
      <c r="L223" s="97">
        <f t="shared" si="228"/>
        <v>64.050677856288573</v>
      </c>
      <c r="M223" s="97">
        <f t="shared" si="228"/>
        <v>89.585453258355756</v>
      </c>
      <c r="N223" s="97">
        <f t="shared" si="228"/>
        <v>94.545623056157069</v>
      </c>
      <c r="O223" s="97">
        <f t="shared" si="228"/>
        <v>85.733138419472922</v>
      </c>
      <c r="P223" s="97">
        <f t="shared" si="228"/>
        <v>51.625960237631041</v>
      </c>
      <c r="Q223" s="97">
        <f t="shared" si="228"/>
        <v>45.510550265660768</v>
      </c>
      <c r="R223" s="97">
        <f t="shared" si="228"/>
        <v>45.329392497815213</v>
      </c>
      <c r="S223" s="97">
        <f t="shared" si="228"/>
        <v>45.456060134014514</v>
      </c>
      <c r="T223" s="97">
        <f t="shared" si="228"/>
        <v>35.218529889835665</v>
      </c>
      <c r="U223" s="97">
        <f t="shared" si="228"/>
        <v>47.834156860735213</v>
      </c>
      <c r="V223" s="97">
        <f t="shared" si="228"/>
        <v>70.085002597453681</v>
      </c>
      <c r="W223" s="97">
        <f t="shared" si="228"/>
        <v>59.621061831705703</v>
      </c>
      <c r="X223" s="97">
        <f t="shared" si="228"/>
        <v>28.323934958921757</v>
      </c>
      <c r="Y223" s="97">
        <f t="shared" si="228"/>
        <v>33.680096967588604</v>
      </c>
      <c r="DA223" s="175" t="s">
        <v>442</v>
      </c>
    </row>
    <row r="224" spans="1:105" ht="11.45" customHeight="1" x14ac:dyDescent="0.25">
      <c r="A224" s="128" t="str">
        <f>$A$12</f>
        <v>High speed passenger trains</v>
      </c>
      <c r="B224" s="97">
        <f t="shared" ref="B224:Y224" si="229">IF(B12=0,0,B72/B12*1000)</f>
        <v>0</v>
      </c>
      <c r="C224" s="97">
        <f t="shared" si="229"/>
        <v>0</v>
      </c>
      <c r="D224" s="97">
        <f t="shared" si="229"/>
        <v>0</v>
      </c>
      <c r="E224" s="97">
        <f t="shared" si="229"/>
        <v>0</v>
      </c>
      <c r="F224" s="97">
        <f t="shared" si="229"/>
        <v>0</v>
      </c>
      <c r="G224" s="97">
        <f t="shared" si="229"/>
        <v>0</v>
      </c>
      <c r="H224" s="97">
        <f t="shared" si="229"/>
        <v>0</v>
      </c>
      <c r="I224" s="97">
        <f t="shared" si="229"/>
        <v>0</v>
      </c>
      <c r="J224" s="97">
        <f t="shared" si="229"/>
        <v>0</v>
      </c>
      <c r="K224" s="97">
        <f t="shared" si="229"/>
        <v>0</v>
      </c>
      <c r="L224" s="97">
        <f t="shared" si="229"/>
        <v>0</v>
      </c>
      <c r="M224" s="97">
        <f t="shared" si="229"/>
        <v>0</v>
      </c>
      <c r="N224" s="97">
        <f t="shared" si="229"/>
        <v>0</v>
      </c>
      <c r="O224" s="97">
        <f t="shared" si="229"/>
        <v>0</v>
      </c>
      <c r="P224" s="97">
        <f t="shared" si="229"/>
        <v>0</v>
      </c>
      <c r="Q224" s="97">
        <f t="shared" si="229"/>
        <v>0</v>
      </c>
      <c r="R224" s="97">
        <f t="shared" si="229"/>
        <v>0</v>
      </c>
      <c r="S224" s="97">
        <f t="shared" si="229"/>
        <v>0</v>
      </c>
      <c r="T224" s="97">
        <f t="shared" si="229"/>
        <v>0</v>
      </c>
      <c r="U224" s="97">
        <f t="shared" si="229"/>
        <v>0</v>
      </c>
      <c r="V224" s="97">
        <f t="shared" si="229"/>
        <v>0</v>
      </c>
      <c r="W224" s="97">
        <f t="shared" si="229"/>
        <v>0</v>
      </c>
      <c r="X224" s="97">
        <f t="shared" si="229"/>
        <v>0</v>
      </c>
      <c r="Y224" s="97">
        <f t="shared" si="229"/>
        <v>0</v>
      </c>
      <c r="DA224" s="175" t="s">
        <v>443</v>
      </c>
    </row>
    <row r="225" spans="1:105" ht="11.45" customHeight="1" x14ac:dyDescent="0.25">
      <c r="A225" s="109" t="str">
        <f>$A$13</f>
        <v>Aviation</v>
      </c>
      <c r="B225" s="130">
        <f t="shared" ref="B225:Y225" si="230">IF(B13=0,0,B73/B13*1000)</f>
        <v>168.52804605583825</v>
      </c>
      <c r="C225" s="130">
        <f t="shared" si="230"/>
        <v>163.82590152584282</v>
      </c>
      <c r="D225" s="130">
        <f t="shared" si="230"/>
        <v>161.57934639268626</v>
      </c>
      <c r="E225" s="130">
        <f t="shared" si="230"/>
        <v>161.70857345898085</v>
      </c>
      <c r="F225" s="130">
        <f t="shared" si="230"/>
        <v>168.81041984663764</v>
      </c>
      <c r="G225" s="130">
        <f t="shared" si="230"/>
        <v>116.87864863634088</v>
      </c>
      <c r="H225" s="130">
        <f t="shared" si="230"/>
        <v>117.33899369140424</v>
      </c>
      <c r="I225" s="130">
        <f t="shared" si="230"/>
        <v>123.32634828830626</v>
      </c>
      <c r="J225" s="130">
        <f t="shared" si="230"/>
        <v>112.36784414732438</v>
      </c>
      <c r="K225" s="130">
        <f t="shared" si="230"/>
        <v>121.7392080361068</v>
      </c>
      <c r="L225" s="130">
        <f t="shared" si="230"/>
        <v>129.41898200625033</v>
      </c>
      <c r="M225" s="130">
        <f t="shared" si="230"/>
        <v>96.387447336196388</v>
      </c>
      <c r="N225" s="130">
        <f t="shared" si="230"/>
        <v>74.184367314774832</v>
      </c>
      <c r="O225" s="130">
        <f t="shared" si="230"/>
        <v>84.20287484103774</v>
      </c>
      <c r="P225" s="130">
        <f t="shared" si="230"/>
        <v>82.953678130052765</v>
      </c>
      <c r="Q225" s="130">
        <f t="shared" si="230"/>
        <v>85.50493111021143</v>
      </c>
      <c r="R225" s="130">
        <f t="shared" si="230"/>
        <v>82.588337748611877</v>
      </c>
      <c r="S225" s="130">
        <f t="shared" si="230"/>
        <v>84.436302483681246</v>
      </c>
      <c r="T225" s="130">
        <f t="shared" si="230"/>
        <v>37.807253419250408</v>
      </c>
      <c r="U225" s="130">
        <f t="shared" si="230"/>
        <v>38.699345124277215</v>
      </c>
      <c r="V225" s="130">
        <f t="shared" si="230"/>
        <v>47.57984285620384</v>
      </c>
      <c r="W225" s="130">
        <f t="shared" si="230"/>
        <v>46.406022248198106</v>
      </c>
      <c r="X225" s="130">
        <f t="shared" si="230"/>
        <v>31.540632345364131</v>
      </c>
      <c r="Y225" s="130">
        <f t="shared" si="230"/>
        <v>22.376897680714414</v>
      </c>
      <c r="DA225" s="176" t="s">
        <v>344</v>
      </c>
    </row>
    <row r="226" spans="1:105" ht="11.45" customHeight="1" x14ac:dyDescent="0.25">
      <c r="A226" s="128" t="str">
        <f>$A$14</f>
        <v>Domestic</v>
      </c>
      <c r="B226" s="97">
        <f t="shared" ref="B226:Y226" si="231">IF(B14=0,0,B74/B14*1000)</f>
        <v>381.20661934971685</v>
      </c>
      <c r="C226" s="97">
        <f t="shared" si="231"/>
        <v>376.42368848927862</v>
      </c>
      <c r="D226" s="97">
        <f t="shared" si="231"/>
        <v>370.89778634674127</v>
      </c>
      <c r="E226" s="97">
        <f t="shared" si="231"/>
        <v>368.15896366480973</v>
      </c>
      <c r="F226" s="97">
        <f t="shared" si="231"/>
        <v>388.96260441221506</v>
      </c>
      <c r="G226" s="97">
        <f t="shared" si="231"/>
        <v>294.16786693082724</v>
      </c>
      <c r="H226" s="97">
        <f t="shared" si="231"/>
        <v>49.188298100793652</v>
      </c>
      <c r="I226" s="97">
        <f t="shared" si="231"/>
        <v>1685.5635494482237</v>
      </c>
      <c r="J226" s="97">
        <f t="shared" si="231"/>
        <v>1305.398758255043</v>
      </c>
      <c r="K226" s="97">
        <f t="shared" si="231"/>
        <v>1465.3968159422466</v>
      </c>
      <c r="L226" s="97">
        <f t="shared" si="231"/>
        <v>1508.5790350633258</v>
      </c>
      <c r="M226" s="97">
        <f t="shared" si="231"/>
        <v>1069.0162713826278</v>
      </c>
      <c r="N226" s="97">
        <f t="shared" si="231"/>
        <v>585.67970902841603</v>
      </c>
      <c r="O226" s="97">
        <f t="shared" si="231"/>
        <v>701.32772276637252</v>
      </c>
      <c r="P226" s="97">
        <f t="shared" si="231"/>
        <v>411.51891296405859</v>
      </c>
      <c r="Q226" s="97">
        <f t="shared" si="231"/>
        <v>530.59936672620449</v>
      </c>
      <c r="R226" s="97">
        <f t="shared" si="231"/>
        <v>259.72568355279327</v>
      </c>
      <c r="S226" s="97">
        <f t="shared" si="231"/>
        <v>297.60245464884804</v>
      </c>
      <c r="T226" s="97">
        <f t="shared" si="231"/>
        <v>329.45359592519765</v>
      </c>
      <c r="U226" s="97">
        <f t="shared" si="231"/>
        <v>396.76759232314964</v>
      </c>
      <c r="V226" s="97">
        <f t="shared" si="231"/>
        <v>732.73900344400715</v>
      </c>
      <c r="W226" s="97">
        <f t="shared" si="231"/>
        <v>594.12628378383795</v>
      </c>
      <c r="X226" s="97">
        <f t="shared" si="231"/>
        <v>596.20207687107268</v>
      </c>
      <c r="Y226" s="97">
        <f t="shared" si="231"/>
        <v>361.15057896040605</v>
      </c>
      <c r="DA226" s="175" t="s">
        <v>345</v>
      </c>
    </row>
    <row r="227" spans="1:105" ht="11.45" customHeight="1" x14ac:dyDescent="0.25">
      <c r="A227" s="128" t="str">
        <f>$A$15</f>
        <v>International - Intra-EEAwCHUK</v>
      </c>
      <c r="B227" s="97">
        <f t="shared" ref="B227:Y227" si="232">IF(B15=0,0,B75/B15*1000)</f>
        <v>163.43389799827776</v>
      </c>
      <c r="C227" s="97">
        <f t="shared" si="232"/>
        <v>160.54961049316202</v>
      </c>
      <c r="D227" s="97">
        <f t="shared" si="232"/>
        <v>158.79277466651121</v>
      </c>
      <c r="E227" s="97">
        <f t="shared" si="232"/>
        <v>159.4484393479257</v>
      </c>
      <c r="F227" s="97">
        <f t="shared" si="232"/>
        <v>160.24744512609195</v>
      </c>
      <c r="G227" s="97">
        <f t="shared" si="232"/>
        <v>108.66207856083646</v>
      </c>
      <c r="H227" s="97">
        <f t="shared" si="232"/>
        <v>118.79513579673434</v>
      </c>
      <c r="I227" s="97">
        <f t="shared" si="232"/>
        <v>77.673700553044071</v>
      </c>
      <c r="J227" s="97">
        <f t="shared" si="232"/>
        <v>73.906966342847397</v>
      </c>
      <c r="K227" s="97">
        <f t="shared" si="232"/>
        <v>79.067022234710961</v>
      </c>
      <c r="L227" s="97">
        <f t="shared" si="232"/>
        <v>79.711981350848902</v>
      </c>
      <c r="M227" s="97">
        <f t="shared" si="232"/>
        <v>61.610997355594847</v>
      </c>
      <c r="N227" s="97">
        <f t="shared" si="232"/>
        <v>57.43996428185293</v>
      </c>
      <c r="O227" s="97">
        <f t="shared" si="232"/>
        <v>66.83131942874347</v>
      </c>
      <c r="P227" s="97">
        <f t="shared" si="232"/>
        <v>78.264550413510591</v>
      </c>
      <c r="Q227" s="97">
        <f t="shared" si="232"/>
        <v>79.671615346965766</v>
      </c>
      <c r="R227" s="97">
        <f t="shared" si="232"/>
        <v>81.276590046059908</v>
      </c>
      <c r="S227" s="97">
        <f t="shared" si="232"/>
        <v>80.600966868863409</v>
      </c>
      <c r="T227" s="97">
        <f t="shared" si="232"/>
        <v>30.301856245581178</v>
      </c>
      <c r="U227" s="97">
        <f t="shared" si="232"/>
        <v>31.039304397284567</v>
      </c>
      <c r="V227" s="97">
        <f t="shared" si="232"/>
        <v>27.216012250085338</v>
      </c>
      <c r="W227" s="97">
        <f t="shared" si="232"/>
        <v>32.994659877151875</v>
      </c>
      <c r="X227" s="97">
        <f t="shared" si="232"/>
        <v>19.919174352465099</v>
      </c>
      <c r="Y227" s="97">
        <f t="shared" si="232"/>
        <v>17.902862846506434</v>
      </c>
      <c r="DA227" s="175" t="s">
        <v>346</v>
      </c>
    </row>
    <row r="228" spans="1:105" ht="11.45" customHeight="1" x14ac:dyDescent="0.25">
      <c r="A228" s="128" t="str">
        <f>$A$16</f>
        <v>International - Extra-EEAwCHUK</v>
      </c>
      <c r="B228" s="97">
        <f t="shared" ref="B228:Y228" si="233">IF(B16=0,0,B76/B16*1000)</f>
        <v>168.4638404268139</v>
      </c>
      <c r="C228" s="97">
        <f t="shared" si="233"/>
        <v>166.66331388318289</v>
      </c>
      <c r="D228" s="97">
        <f t="shared" si="233"/>
        <v>165.44859539542205</v>
      </c>
      <c r="E228" s="97">
        <f t="shared" si="233"/>
        <v>164.69458006127465</v>
      </c>
      <c r="F228" s="97">
        <f t="shared" si="233"/>
        <v>162.46690961103025</v>
      </c>
      <c r="G228" s="97">
        <f t="shared" si="233"/>
        <v>125.47171419819567</v>
      </c>
      <c r="H228" s="97">
        <f t="shared" si="233"/>
        <v>124.57825731641407</v>
      </c>
      <c r="I228" s="97">
        <f t="shared" si="233"/>
        <v>65.450889799575165</v>
      </c>
      <c r="J228" s="97">
        <f t="shared" si="233"/>
        <v>62.99876596709715</v>
      </c>
      <c r="K228" s="97">
        <f t="shared" si="233"/>
        <v>83.007721752987109</v>
      </c>
      <c r="L228" s="97">
        <f t="shared" si="233"/>
        <v>82.420181476109917</v>
      </c>
      <c r="M228" s="97">
        <f t="shared" si="233"/>
        <v>82.325692856360874</v>
      </c>
      <c r="N228" s="97">
        <f t="shared" si="233"/>
        <v>66.937860788564578</v>
      </c>
      <c r="O228" s="97">
        <f t="shared" si="233"/>
        <v>73.487180928302095</v>
      </c>
      <c r="P228" s="97">
        <f t="shared" si="233"/>
        <v>61.043658814193094</v>
      </c>
      <c r="Q228" s="97">
        <f t="shared" si="233"/>
        <v>58.352242533867347</v>
      </c>
      <c r="R228" s="97">
        <f t="shared" si="233"/>
        <v>53.238394827164932</v>
      </c>
      <c r="S228" s="97">
        <f t="shared" si="233"/>
        <v>48.585830718644999</v>
      </c>
      <c r="T228" s="97">
        <f t="shared" si="233"/>
        <v>14.731610624701867</v>
      </c>
      <c r="U228" s="97">
        <f t="shared" si="233"/>
        <v>13.346145965021059</v>
      </c>
      <c r="V228" s="97">
        <f t="shared" si="233"/>
        <v>24.854448368036302</v>
      </c>
      <c r="W228" s="97">
        <f t="shared" si="233"/>
        <v>18.060705111944777</v>
      </c>
      <c r="X228" s="97">
        <f t="shared" si="233"/>
        <v>9.249960499647468</v>
      </c>
      <c r="Y228" s="97">
        <f t="shared" si="233"/>
        <v>7.5709501192163984</v>
      </c>
      <c r="DA228" s="175" t="s">
        <v>347</v>
      </c>
    </row>
    <row r="229" spans="1:105" ht="11.45" customHeight="1" x14ac:dyDescent="0.25">
      <c r="A229" s="27" t="s">
        <v>159</v>
      </c>
      <c r="B229" s="32">
        <f t="shared" ref="B229:Y229" si="234">IF(B17=0,0,B77/B17*1000)</f>
        <v>87.094442058006948</v>
      </c>
      <c r="C229" s="32">
        <f t="shared" si="234"/>
        <v>101.08471204298023</v>
      </c>
      <c r="D229" s="32">
        <f t="shared" si="234"/>
        <v>106.82726424779995</v>
      </c>
      <c r="E229" s="32">
        <f t="shared" si="234"/>
        <v>105.76122463897784</v>
      </c>
      <c r="F229" s="32">
        <f t="shared" si="234"/>
        <v>83.906377983861816</v>
      </c>
      <c r="G229" s="32">
        <f t="shared" si="234"/>
        <v>67.363063160592446</v>
      </c>
      <c r="H229" s="32">
        <f t="shared" si="234"/>
        <v>78.580116095696894</v>
      </c>
      <c r="I229" s="32">
        <f t="shared" si="234"/>
        <v>72.565952113321146</v>
      </c>
      <c r="J229" s="32">
        <f t="shared" si="234"/>
        <v>79.733866068482826</v>
      </c>
      <c r="K229" s="32">
        <f t="shared" si="234"/>
        <v>86.651891751144845</v>
      </c>
      <c r="L229" s="32">
        <f t="shared" si="234"/>
        <v>85.100434551161527</v>
      </c>
      <c r="M229" s="32">
        <f t="shared" si="234"/>
        <v>90.058638932438299</v>
      </c>
      <c r="N229" s="32">
        <f t="shared" si="234"/>
        <v>86.417633892211086</v>
      </c>
      <c r="O229" s="32">
        <f t="shared" si="234"/>
        <v>87.93144262121686</v>
      </c>
      <c r="P229" s="32">
        <f t="shared" si="234"/>
        <v>90.720669417738819</v>
      </c>
      <c r="Q229" s="32">
        <f t="shared" si="234"/>
        <v>85.564112803778286</v>
      </c>
      <c r="R229" s="32">
        <f t="shared" si="234"/>
        <v>89.337491057499292</v>
      </c>
      <c r="S229" s="32">
        <f t="shared" si="234"/>
        <v>94.514287701046314</v>
      </c>
      <c r="T229" s="32">
        <f t="shared" si="234"/>
        <v>95.891949854871697</v>
      </c>
      <c r="U229" s="32">
        <f t="shared" si="234"/>
        <v>91.916244379561462</v>
      </c>
      <c r="V229" s="32">
        <f t="shared" si="234"/>
        <v>93.543904169043344</v>
      </c>
      <c r="W229" s="32">
        <f t="shared" si="234"/>
        <v>90.848951477929788</v>
      </c>
      <c r="X229" s="32">
        <f t="shared" si="234"/>
        <v>103.2793959301676</v>
      </c>
      <c r="Y229" s="32">
        <f t="shared" si="234"/>
        <v>102.35212095209253</v>
      </c>
      <c r="DA229" s="173" t="s">
        <v>444</v>
      </c>
    </row>
    <row r="230" spans="1:105" ht="11.45" customHeight="1" x14ac:dyDescent="0.25">
      <c r="A230" s="136" t="str">
        <f>$A$18</f>
        <v>Road transport</v>
      </c>
      <c r="B230" s="141">
        <f t="shared" ref="B230:Y230" si="235">IF(B18=0,0,B78/B18*1000)</f>
        <v>137.71686023600907</v>
      </c>
      <c r="C230" s="141">
        <f t="shared" si="235"/>
        <v>165.51287705743641</v>
      </c>
      <c r="D230" s="141">
        <f t="shared" si="235"/>
        <v>170.70393426511583</v>
      </c>
      <c r="E230" s="141">
        <f t="shared" si="235"/>
        <v>167.91941936431451</v>
      </c>
      <c r="F230" s="141">
        <f t="shared" si="235"/>
        <v>143.56182315563726</v>
      </c>
      <c r="G230" s="141">
        <f t="shared" si="235"/>
        <v>110.58639608113624</v>
      </c>
      <c r="H230" s="141">
        <f t="shared" si="235"/>
        <v>127.22025346266</v>
      </c>
      <c r="I230" s="141">
        <f t="shared" si="235"/>
        <v>109.05748923822296</v>
      </c>
      <c r="J230" s="141">
        <f t="shared" si="235"/>
        <v>125.598514864799</v>
      </c>
      <c r="K230" s="141">
        <f t="shared" si="235"/>
        <v>149.63607181384793</v>
      </c>
      <c r="L230" s="141">
        <f t="shared" si="235"/>
        <v>196.58550745213978</v>
      </c>
      <c r="M230" s="141">
        <f t="shared" si="235"/>
        <v>204.68825347906656</v>
      </c>
      <c r="N230" s="141">
        <f t="shared" si="235"/>
        <v>189.04799460548944</v>
      </c>
      <c r="O230" s="141">
        <f t="shared" si="235"/>
        <v>188.11283935690096</v>
      </c>
      <c r="P230" s="141">
        <f t="shared" si="235"/>
        <v>193.53136997995139</v>
      </c>
      <c r="Q230" s="141">
        <f t="shared" si="235"/>
        <v>191.20831098216198</v>
      </c>
      <c r="R230" s="141">
        <f t="shared" si="235"/>
        <v>191.33726675259845</v>
      </c>
      <c r="S230" s="141">
        <f t="shared" si="235"/>
        <v>194.44229778648344</v>
      </c>
      <c r="T230" s="141">
        <f t="shared" si="235"/>
        <v>190.35837500649154</v>
      </c>
      <c r="U230" s="141">
        <f t="shared" si="235"/>
        <v>178.65539251008551</v>
      </c>
      <c r="V230" s="141">
        <f t="shared" si="235"/>
        <v>180.07694902946025</v>
      </c>
      <c r="W230" s="141">
        <f t="shared" si="235"/>
        <v>160.70471736673775</v>
      </c>
      <c r="X230" s="141">
        <f t="shared" si="235"/>
        <v>170.8870291288236</v>
      </c>
      <c r="Y230" s="141">
        <f t="shared" si="235"/>
        <v>171.6569361451474</v>
      </c>
      <c r="DA230" s="174" t="s">
        <v>445</v>
      </c>
    </row>
    <row r="231" spans="1:105" ht="11.45" customHeight="1" x14ac:dyDescent="0.25">
      <c r="A231" s="128" t="str">
        <f>$A$19</f>
        <v>Light commercial vehicles</v>
      </c>
      <c r="B231" s="97">
        <f t="shared" ref="B231:Y231" si="236">IF(B19=0,0,B79/B19*1000)</f>
        <v>987.71765102623965</v>
      </c>
      <c r="C231" s="97">
        <f t="shared" si="236"/>
        <v>1001.8989663057791</v>
      </c>
      <c r="D231" s="97">
        <f t="shared" si="236"/>
        <v>995.27537216235521</v>
      </c>
      <c r="E231" s="97">
        <f t="shared" si="236"/>
        <v>986.5463287863297</v>
      </c>
      <c r="F231" s="97">
        <f t="shared" si="236"/>
        <v>948.79405862164958</v>
      </c>
      <c r="G231" s="97">
        <f t="shared" si="236"/>
        <v>965.14420443813594</v>
      </c>
      <c r="H231" s="97">
        <f t="shared" si="236"/>
        <v>963.70222111091618</v>
      </c>
      <c r="I231" s="97">
        <f t="shared" si="236"/>
        <v>927.63104106171227</v>
      </c>
      <c r="J231" s="97">
        <f t="shared" si="236"/>
        <v>910.85224027014078</v>
      </c>
      <c r="K231" s="97">
        <f t="shared" si="236"/>
        <v>899.15058467382607</v>
      </c>
      <c r="L231" s="97">
        <f t="shared" si="236"/>
        <v>896.02658923690888</v>
      </c>
      <c r="M231" s="97">
        <f t="shared" si="236"/>
        <v>879.60294630465705</v>
      </c>
      <c r="N231" s="97">
        <f t="shared" si="236"/>
        <v>900.99189030649302</v>
      </c>
      <c r="O231" s="97">
        <f t="shared" si="236"/>
        <v>865.79030232991579</v>
      </c>
      <c r="P231" s="97">
        <f t="shared" si="236"/>
        <v>857.05743453711443</v>
      </c>
      <c r="Q231" s="97">
        <f t="shared" si="236"/>
        <v>836.54025680739778</v>
      </c>
      <c r="R231" s="97">
        <f t="shared" si="236"/>
        <v>835.78147400470641</v>
      </c>
      <c r="S231" s="97">
        <f t="shared" si="236"/>
        <v>829.69164820050901</v>
      </c>
      <c r="T231" s="97">
        <f t="shared" si="236"/>
        <v>812.74667908185882</v>
      </c>
      <c r="U231" s="97">
        <f t="shared" si="236"/>
        <v>781.76503015384264</v>
      </c>
      <c r="V231" s="97">
        <f t="shared" si="236"/>
        <v>754.30509760706457</v>
      </c>
      <c r="W231" s="97">
        <f t="shared" si="236"/>
        <v>755.11477662981372</v>
      </c>
      <c r="X231" s="97">
        <f t="shared" si="236"/>
        <v>757.58376942910263</v>
      </c>
      <c r="Y231" s="97">
        <f t="shared" si="236"/>
        <v>752.01060920907435</v>
      </c>
      <c r="DA231" s="175" t="s">
        <v>446</v>
      </c>
    </row>
    <row r="232" spans="1:105" ht="11.45" customHeight="1" x14ac:dyDescent="0.25">
      <c r="A232" s="128" t="str">
        <f>$A$20</f>
        <v>Heavy goods vehicles</v>
      </c>
      <c r="B232" s="97">
        <f t="shared" ref="B232:Y232" si="237">IF(B20=0,0,B80/B20*1000)</f>
        <v>82.524545742002971</v>
      </c>
      <c r="C232" s="97">
        <f t="shared" si="237"/>
        <v>113.20419780086836</v>
      </c>
      <c r="D232" s="97">
        <f t="shared" si="237"/>
        <v>119.95666426447268</v>
      </c>
      <c r="E232" s="97">
        <f t="shared" si="237"/>
        <v>121.40813561290331</v>
      </c>
      <c r="F232" s="97">
        <f t="shared" si="237"/>
        <v>100.36952451755491</v>
      </c>
      <c r="G232" s="97">
        <f t="shared" si="237"/>
        <v>70.893545400704426</v>
      </c>
      <c r="H232" s="97">
        <f t="shared" si="237"/>
        <v>84.202051686205138</v>
      </c>
      <c r="I232" s="97">
        <f t="shared" si="237"/>
        <v>66.474926564593744</v>
      </c>
      <c r="J232" s="97">
        <f t="shared" si="237"/>
        <v>74.175786870963975</v>
      </c>
      <c r="K232" s="97">
        <f t="shared" si="237"/>
        <v>87.575563793214101</v>
      </c>
      <c r="L232" s="97">
        <f t="shared" si="237"/>
        <v>102.41006254122121</v>
      </c>
      <c r="M232" s="97">
        <f t="shared" si="237"/>
        <v>107.25735896532233</v>
      </c>
      <c r="N232" s="97">
        <f t="shared" si="237"/>
        <v>90.468844400333012</v>
      </c>
      <c r="O232" s="97">
        <f t="shared" si="237"/>
        <v>88.992114765641517</v>
      </c>
      <c r="P232" s="97">
        <f t="shared" si="237"/>
        <v>84.891216692965827</v>
      </c>
      <c r="Q232" s="97">
        <f t="shared" si="237"/>
        <v>78.582496138420197</v>
      </c>
      <c r="R232" s="97">
        <f t="shared" si="237"/>
        <v>85.265014521717646</v>
      </c>
      <c r="S232" s="97">
        <f t="shared" si="237"/>
        <v>90.939280809339081</v>
      </c>
      <c r="T232" s="97">
        <f t="shared" si="237"/>
        <v>83.224405666583294</v>
      </c>
      <c r="U232" s="97">
        <f t="shared" si="237"/>
        <v>80.04087418839454</v>
      </c>
      <c r="V232" s="97">
        <f t="shared" si="237"/>
        <v>78.128029770508533</v>
      </c>
      <c r="W232" s="97">
        <f t="shared" si="237"/>
        <v>71.223085118600636</v>
      </c>
      <c r="X232" s="97">
        <f t="shared" si="237"/>
        <v>84.562342347419431</v>
      </c>
      <c r="Y232" s="97">
        <f t="shared" si="237"/>
        <v>85.882438214180169</v>
      </c>
      <c r="DA232" s="175" t="s">
        <v>447</v>
      </c>
    </row>
    <row r="233" spans="1:105" ht="11.45" customHeight="1" x14ac:dyDescent="0.25">
      <c r="A233" s="109" t="str">
        <f>$A$21</f>
        <v>Rail transport</v>
      </c>
      <c r="B233" s="130">
        <f t="shared" ref="B233:Y233" si="238">IF(B21=0,0,B81/B21*1000)</f>
        <v>15.067331287235959</v>
      </c>
      <c r="C233" s="130">
        <f t="shared" si="238"/>
        <v>9.4777929635866354</v>
      </c>
      <c r="D233" s="130">
        <f t="shared" si="238"/>
        <v>13.695624427945958</v>
      </c>
      <c r="E233" s="130">
        <f t="shared" si="238"/>
        <v>8.46199027663374</v>
      </c>
      <c r="F233" s="130">
        <f t="shared" si="238"/>
        <v>9.2923352227894132</v>
      </c>
      <c r="G233" s="130">
        <f t="shared" si="238"/>
        <v>4.9036375539401051</v>
      </c>
      <c r="H233" s="130">
        <f t="shared" si="238"/>
        <v>5.412504771333106</v>
      </c>
      <c r="I233" s="130">
        <f t="shared" si="238"/>
        <v>10.718841886274625</v>
      </c>
      <c r="J233" s="130">
        <f t="shared" si="238"/>
        <v>9.8647733196740965</v>
      </c>
      <c r="K233" s="130">
        <f t="shared" si="238"/>
        <v>8.0889974592426359</v>
      </c>
      <c r="L233" s="130">
        <f t="shared" si="238"/>
        <v>8.6785844893219437</v>
      </c>
      <c r="M233" s="130">
        <f t="shared" si="238"/>
        <v>10.903522990716837</v>
      </c>
      <c r="N233" s="130">
        <f t="shared" si="238"/>
        <v>10.400746289363552</v>
      </c>
      <c r="O233" s="130">
        <f t="shared" si="238"/>
        <v>9.8976163597639228</v>
      </c>
      <c r="P233" s="130">
        <f t="shared" si="238"/>
        <v>6.4875847796434947</v>
      </c>
      <c r="Q233" s="130">
        <f t="shared" si="238"/>
        <v>8.3886805062614531</v>
      </c>
      <c r="R233" s="130">
        <f t="shared" si="238"/>
        <v>8.3853570905724126</v>
      </c>
      <c r="S233" s="130">
        <f t="shared" si="238"/>
        <v>7.3022111552079325</v>
      </c>
      <c r="T233" s="130">
        <f t="shared" si="238"/>
        <v>7.2423661704180597</v>
      </c>
      <c r="U233" s="130">
        <f t="shared" si="238"/>
        <v>8.8988401397609511</v>
      </c>
      <c r="V233" s="130">
        <f t="shared" si="238"/>
        <v>6.9965798923986791</v>
      </c>
      <c r="W233" s="130">
        <f t="shared" si="238"/>
        <v>11.105346424718165</v>
      </c>
      <c r="X233" s="130">
        <f t="shared" si="238"/>
        <v>11.488755835563529</v>
      </c>
      <c r="Y233" s="130">
        <f t="shared" si="238"/>
        <v>8.2166196763753874</v>
      </c>
      <c r="DA233" s="176" t="s">
        <v>448</v>
      </c>
    </row>
    <row r="234" spans="1:105" ht="11.45" customHeight="1" x14ac:dyDescent="0.25">
      <c r="A234" s="109" t="str">
        <f>$A$22</f>
        <v>Aviation</v>
      </c>
      <c r="B234" s="130">
        <f t="shared" ref="B234:Y234" si="239">IF(B22=0,0,B82/B22*1000)</f>
        <v>520.83541326989587</v>
      </c>
      <c r="C234" s="130">
        <f t="shared" si="239"/>
        <v>472.64148758852866</v>
      </c>
      <c r="D234" s="130">
        <f t="shared" si="239"/>
        <v>481.96419001348511</v>
      </c>
      <c r="E234" s="130">
        <f t="shared" si="239"/>
        <v>487.76798385804125</v>
      </c>
      <c r="F234" s="130">
        <f t="shared" si="239"/>
        <v>543.25245652086414</v>
      </c>
      <c r="G234" s="130">
        <f t="shared" si="239"/>
        <v>498.73188156553681</v>
      </c>
      <c r="H234" s="130">
        <f t="shared" si="239"/>
        <v>549.33417298371728</v>
      </c>
      <c r="I234" s="130">
        <f t="shared" si="239"/>
        <v>443.38980507952061</v>
      </c>
      <c r="J234" s="130">
        <f t="shared" si="239"/>
        <v>333.53618252853522</v>
      </c>
      <c r="K234" s="130">
        <f t="shared" si="239"/>
        <v>363.29420318543862</v>
      </c>
      <c r="L234" s="130">
        <f t="shared" si="239"/>
        <v>380.59805009811038</v>
      </c>
      <c r="M234" s="130">
        <f t="shared" si="239"/>
        <v>293.29877548612455</v>
      </c>
      <c r="N234" s="130">
        <f t="shared" si="239"/>
        <v>195.33341861353742</v>
      </c>
      <c r="O234" s="130">
        <f t="shared" si="239"/>
        <v>218.89528096294373</v>
      </c>
      <c r="P234" s="130">
        <f t="shared" si="239"/>
        <v>250.62972257446225</v>
      </c>
      <c r="Q234" s="130">
        <f t="shared" si="239"/>
        <v>258.62647566082182</v>
      </c>
      <c r="R234" s="130">
        <f t="shared" si="239"/>
        <v>254.45019238418675</v>
      </c>
      <c r="S234" s="130">
        <f t="shared" si="239"/>
        <v>316.39725475172753</v>
      </c>
      <c r="T234" s="130">
        <f t="shared" si="239"/>
        <v>133.60873287582922</v>
      </c>
      <c r="U234" s="130">
        <f t="shared" si="239"/>
        <v>124.62397546677595</v>
      </c>
      <c r="V234" s="130">
        <f t="shared" si="239"/>
        <v>153.49655050064428</v>
      </c>
      <c r="W234" s="130">
        <f t="shared" si="239"/>
        <v>181.58136926574079</v>
      </c>
      <c r="X234" s="130">
        <f t="shared" si="239"/>
        <v>142.97590977850726</v>
      </c>
      <c r="Y234" s="130">
        <f t="shared" si="239"/>
        <v>117.80687479591592</v>
      </c>
      <c r="DA234" s="176" t="s">
        <v>348</v>
      </c>
    </row>
    <row r="235" spans="1:105" ht="11.45" customHeight="1" x14ac:dyDescent="0.25">
      <c r="A235" s="128" t="s">
        <v>27</v>
      </c>
      <c r="B235" s="97">
        <f t="shared" ref="B235:Y235" si="240">IF(B23=0,0,B83/B23*1000)</f>
        <v>1596.197483285426</v>
      </c>
      <c r="C235" s="97">
        <f t="shared" si="240"/>
        <v>1593.0995759002894</v>
      </c>
      <c r="D235" s="97">
        <f t="shared" si="240"/>
        <v>1536.934172474753</v>
      </c>
      <c r="E235" s="97">
        <f t="shared" si="240"/>
        <v>1444.8755027571178</v>
      </c>
      <c r="F235" s="97">
        <f t="shared" si="240"/>
        <v>1634.110045895289</v>
      </c>
      <c r="G235" s="97">
        <f t="shared" si="240"/>
        <v>1274.6748468730725</v>
      </c>
      <c r="H235" s="97">
        <f t="shared" si="240"/>
        <v>243.19343587693422</v>
      </c>
      <c r="I235" s="97">
        <f t="shared" si="240"/>
        <v>9313.248635295995</v>
      </c>
      <c r="J235" s="97">
        <f t="shared" si="240"/>
        <v>8841.1621530762623</v>
      </c>
      <c r="K235" s="97">
        <f t="shared" si="240"/>
        <v>9229.2174768528566</v>
      </c>
      <c r="L235" s="97">
        <f t="shared" si="240"/>
        <v>10775.099890556348</v>
      </c>
      <c r="M235" s="97">
        <f t="shared" si="240"/>
        <v>6191.6762426089581</v>
      </c>
      <c r="N235" s="97">
        <f t="shared" si="240"/>
        <v>2886.0283754036327</v>
      </c>
      <c r="O235" s="97">
        <f t="shared" si="240"/>
        <v>3390.2987517156371</v>
      </c>
      <c r="P235" s="97">
        <f t="shared" si="240"/>
        <v>1715.270735551183</v>
      </c>
      <c r="Q235" s="97">
        <f t="shared" si="240"/>
        <v>2206.1615645771021</v>
      </c>
      <c r="R235" s="97">
        <f t="shared" si="240"/>
        <v>1176.919740058984</v>
      </c>
      <c r="S235" s="97">
        <f t="shared" si="240"/>
        <v>1831.1413008727316</v>
      </c>
      <c r="T235" s="97">
        <f t="shared" si="240"/>
        <v>1922.4320097375764</v>
      </c>
      <c r="U235" s="97">
        <f t="shared" si="240"/>
        <v>2137.2104464019412</v>
      </c>
      <c r="V235" s="97">
        <f t="shared" si="240"/>
        <v>3734.6718328944189</v>
      </c>
      <c r="W235" s="97">
        <f t="shared" si="240"/>
        <v>3938.5391972252296</v>
      </c>
      <c r="X235" s="97">
        <f t="shared" si="240"/>
        <v>3899.502333218582</v>
      </c>
      <c r="Y235" s="97">
        <f t="shared" si="240"/>
        <v>2150.050858643322</v>
      </c>
      <c r="DA235" s="175" t="s">
        <v>349</v>
      </c>
    </row>
    <row r="236" spans="1:105" ht="11.45" customHeight="1" x14ac:dyDescent="0.25">
      <c r="A236" s="128" t="str">
        <f>$A$24</f>
        <v>International - Intra-EEAwCHUK</v>
      </c>
      <c r="B236" s="97">
        <f t="shared" ref="B236:Y236" si="241">IF(B24=0,0,B84/B24*1000)</f>
        <v>794.1226385266649</v>
      </c>
      <c r="C236" s="97">
        <f t="shared" si="241"/>
        <v>745.86544932807146</v>
      </c>
      <c r="D236" s="97">
        <f t="shared" si="241"/>
        <v>787.94519357766364</v>
      </c>
      <c r="E236" s="97">
        <f t="shared" si="241"/>
        <v>775.84828813453646</v>
      </c>
      <c r="F236" s="97">
        <f t="shared" si="241"/>
        <v>858.30100582990156</v>
      </c>
      <c r="G236" s="97">
        <f t="shared" si="241"/>
        <v>628.89063466168705</v>
      </c>
      <c r="H236" s="97">
        <f t="shared" si="241"/>
        <v>724.25775292349351</v>
      </c>
      <c r="I236" s="97">
        <f t="shared" si="241"/>
        <v>455.50007490558403</v>
      </c>
      <c r="J236" s="97">
        <f t="shared" si="241"/>
        <v>411.04440545681854</v>
      </c>
      <c r="K236" s="97">
        <f t="shared" si="241"/>
        <v>415.78606202455421</v>
      </c>
      <c r="L236" s="97">
        <f t="shared" si="241"/>
        <v>443.77199733026873</v>
      </c>
      <c r="M236" s="97">
        <f t="shared" si="241"/>
        <v>400.24179700600405</v>
      </c>
      <c r="N236" s="97">
        <f t="shared" si="241"/>
        <v>316.41044876895387</v>
      </c>
      <c r="O236" s="97">
        <f t="shared" si="241"/>
        <v>378.47612956157371</v>
      </c>
      <c r="P236" s="97">
        <f t="shared" si="241"/>
        <v>392.19340272350962</v>
      </c>
      <c r="Q236" s="97">
        <f t="shared" si="241"/>
        <v>369.81039411178961</v>
      </c>
      <c r="R236" s="97">
        <f t="shared" si="241"/>
        <v>351.87447542382421</v>
      </c>
      <c r="S236" s="97">
        <f t="shared" si="241"/>
        <v>416.08960526229203</v>
      </c>
      <c r="T236" s="97">
        <f t="shared" si="241"/>
        <v>145.78671520275677</v>
      </c>
      <c r="U236" s="97">
        <f t="shared" si="241"/>
        <v>147.00708235742849</v>
      </c>
      <c r="V236" s="97">
        <f t="shared" si="241"/>
        <v>136.32098353226021</v>
      </c>
      <c r="W236" s="97">
        <f t="shared" si="241"/>
        <v>160.13322153090252</v>
      </c>
      <c r="X236" s="97">
        <f t="shared" si="241"/>
        <v>112.92453734907697</v>
      </c>
      <c r="Y236" s="97">
        <f t="shared" si="241"/>
        <v>104.00727863633732</v>
      </c>
      <c r="DA236" s="175" t="s">
        <v>350</v>
      </c>
    </row>
    <row r="237" spans="1:105" ht="11.45" customHeight="1" x14ac:dyDescent="0.25">
      <c r="A237" s="128" t="str">
        <f>$A$25</f>
        <v>International - Extra-EEAwCHUK</v>
      </c>
      <c r="B237" s="97">
        <f t="shared" ref="B237:Y237" si="242">IF(B25=0,0,B85/B25*1000)</f>
        <v>183.18270289795217</v>
      </c>
      <c r="C237" s="97">
        <f t="shared" si="242"/>
        <v>174.68039905637218</v>
      </c>
      <c r="D237" s="97">
        <f t="shared" si="242"/>
        <v>184.44364294421706</v>
      </c>
      <c r="E237" s="97">
        <f t="shared" si="242"/>
        <v>203.25094578551176</v>
      </c>
      <c r="F237" s="97">
        <f t="shared" si="242"/>
        <v>209.18643318622372</v>
      </c>
      <c r="G237" s="97">
        <f t="shared" si="242"/>
        <v>170.75593616270712</v>
      </c>
      <c r="H237" s="97">
        <f t="shared" si="242"/>
        <v>184.05727312468716</v>
      </c>
      <c r="I237" s="97">
        <f t="shared" si="242"/>
        <v>110.65883849347165</v>
      </c>
      <c r="J237" s="97">
        <f t="shared" si="242"/>
        <v>110.54318728244657</v>
      </c>
      <c r="K237" s="97">
        <f t="shared" si="242"/>
        <v>127.85699725764104</v>
      </c>
      <c r="L237" s="97">
        <f t="shared" si="242"/>
        <v>143.67193071786582</v>
      </c>
      <c r="M237" s="97">
        <f t="shared" si="242"/>
        <v>127.07973947528009</v>
      </c>
      <c r="N237" s="97">
        <f t="shared" si="242"/>
        <v>105.11887241087136</v>
      </c>
      <c r="O237" s="97">
        <f t="shared" si="242"/>
        <v>105.55246592002007</v>
      </c>
      <c r="P237" s="97">
        <f t="shared" si="242"/>
        <v>72.185466218331271</v>
      </c>
      <c r="Q237" s="97">
        <f t="shared" si="242"/>
        <v>63.333261968016963</v>
      </c>
      <c r="R237" s="97">
        <f t="shared" si="242"/>
        <v>46.039841288127839</v>
      </c>
      <c r="S237" s="97">
        <f t="shared" si="242"/>
        <v>44.39491924251714</v>
      </c>
      <c r="T237" s="97">
        <f t="shared" si="242"/>
        <v>20.593072651115726</v>
      </c>
      <c r="U237" s="97">
        <f t="shared" si="242"/>
        <v>19.23172842935098</v>
      </c>
      <c r="V237" s="97">
        <f t="shared" si="242"/>
        <v>35.934520885133502</v>
      </c>
      <c r="W237" s="97">
        <f t="shared" si="242"/>
        <v>31.798875196001706</v>
      </c>
      <c r="X237" s="97">
        <f t="shared" si="242"/>
        <v>19.540745211887824</v>
      </c>
      <c r="Y237" s="97">
        <f t="shared" si="242"/>
        <v>15.484856998169921</v>
      </c>
      <c r="DA237" s="175" t="s">
        <v>351</v>
      </c>
    </row>
    <row r="238" spans="1:105" ht="11.45" customHeight="1" x14ac:dyDescent="0.25">
      <c r="A238" s="109" t="s">
        <v>141</v>
      </c>
      <c r="B238" s="130">
        <f t="shared" ref="B238:Y238" si="243">IF(B26=0,0,B86/B26*1000)</f>
        <v>136.52949977220959</v>
      </c>
      <c r="C238" s="130">
        <f t="shared" si="243"/>
        <v>118.70912504005828</v>
      </c>
      <c r="D238" s="130">
        <f t="shared" si="243"/>
        <v>90.664928305410612</v>
      </c>
      <c r="E238" s="130">
        <f t="shared" si="243"/>
        <v>62.385337165577965</v>
      </c>
      <c r="F238" s="130">
        <f t="shared" si="243"/>
        <v>19.053800230050321</v>
      </c>
      <c r="G238" s="130">
        <f t="shared" si="243"/>
        <v>15.480611423829282</v>
      </c>
      <c r="H238" s="130">
        <f t="shared" si="243"/>
        <v>15.617568856197137</v>
      </c>
      <c r="I238" s="130">
        <f t="shared" si="243"/>
        <v>32.253061354484444</v>
      </c>
      <c r="J238" s="130">
        <f t="shared" si="243"/>
        <v>27.773147885345917</v>
      </c>
      <c r="K238" s="130">
        <f t="shared" si="243"/>
        <v>14.624751381215468</v>
      </c>
      <c r="L238" s="130">
        <f t="shared" si="243"/>
        <v>12.908113381294966</v>
      </c>
      <c r="M238" s="130">
        <f t="shared" si="243"/>
        <v>14.243263118590585</v>
      </c>
      <c r="N238" s="130">
        <f t="shared" si="243"/>
        <v>10.548419089456869</v>
      </c>
      <c r="O238" s="130">
        <f t="shared" si="243"/>
        <v>10.531114759026304</v>
      </c>
      <c r="P238" s="130">
        <f t="shared" si="243"/>
        <v>9.8932119795918396</v>
      </c>
      <c r="Q238" s="130">
        <f t="shared" si="243"/>
        <v>10.268132888821386</v>
      </c>
      <c r="R238" s="130">
        <f t="shared" si="243"/>
        <v>9.5626351402721834</v>
      </c>
      <c r="S238" s="130">
        <f t="shared" si="243"/>
        <v>10.011587834145562</v>
      </c>
      <c r="T238" s="130">
        <f t="shared" si="243"/>
        <v>10.210113354538782</v>
      </c>
      <c r="U238" s="130">
        <f t="shared" si="243"/>
        <v>9.6890435337106826</v>
      </c>
      <c r="V238" s="130">
        <f t="shared" si="243"/>
        <v>9.5225183018037818</v>
      </c>
      <c r="W238" s="130">
        <f t="shared" si="243"/>
        <v>11.840478565300989</v>
      </c>
      <c r="X238" s="130">
        <f t="shared" si="243"/>
        <v>13.040588762666173</v>
      </c>
      <c r="Y238" s="130">
        <f t="shared" si="243"/>
        <v>12.265221545157779</v>
      </c>
      <c r="DA238" s="176" t="s">
        <v>449</v>
      </c>
    </row>
    <row r="239" spans="1:105" ht="11.45" customHeight="1" x14ac:dyDescent="0.25">
      <c r="A239" s="128" t="str">
        <f>$A$27</f>
        <v>Domestic coastal shipping</v>
      </c>
      <c r="B239" s="97">
        <f t="shared" ref="B239:Y239" si="244">IF(B27=0,0,B87/B27*1000)</f>
        <v>0</v>
      </c>
      <c r="C239" s="97">
        <f t="shared" si="244"/>
        <v>0</v>
      </c>
      <c r="D239" s="97">
        <f t="shared" si="244"/>
        <v>0</v>
      </c>
      <c r="E239" s="97">
        <f t="shared" si="244"/>
        <v>0</v>
      </c>
      <c r="F239" s="97">
        <f t="shared" si="244"/>
        <v>0</v>
      </c>
      <c r="G239" s="97">
        <f t="shared" si="244"/>
        <v>0</v>
      </c>
      <c r="H239" s="97">
        <f t="shared" si="244"/>
        <v>0</v>
      </c>
      <c r="I239" s="97">
        <f t="shared" si="244"/>
        <v>0</v>
      </c>
      <c r="J239" s="97">
        <f t="shared" si="244"/>
        <v>0</v>
      </c>
      <c r="K239" s="97">
        <f t="shared" si="244"/>
        <v>0</v>
      </c>
      <c r="L239" s="97">
        <f t="shared" si="244"/>
        <v>0</v>
      </c>
      <c r="M239" s="97">
        <f t="shared" si="244"/>
        <v>0</v>
      </c>
      <c r="N239" s="97">
        <f t="shared" si="244"/>
        <v>0</v>
      </c>
      <c r="O239" s="97">
        <f t="shared" si="244"/>
        <v>0</v>
      </c>
      <c r="P239" s="97">
        <f t="shared" si="244"/>
        <v>0</v>
      </c>
      <c r="Q239" s="97">
        <f t="shared" si="244"/>
        <v>0</v>
      </c>
      <c r="R239" s="97">
        <f t="shared" si="244"/>
        <v>0</v>
      </c>
      <c r="S239" s="97">
        <f t="shared" si="244"/>
        <v>0</v>
      </c>
      <c r="T239" s="97">
        <f t="shared" si="244"/>
        <v>0</v>
      </c>
      <c r="U239" s="97">
        <f t="shared" si="244"/>
        <v>0</v>
      </c>
      <c r="V239" s="97">
        <f t="shared" si="244"/>
        <v>0</v>
      </c>
      <c r="W239" s="97">
        <f t="shared" si="244"/>
        <v>0</v>
      </c>
      <c r="X239" s="97">
        <f t="shared" si="244"/>
        <v>0</v>
      </c>
      <c r="Y239" s="97">
        <f t="shared" si="244"/>
        <v>0</v>
      </c>
      <c r="DA239" s="175" t="s">
        <v>450</v>
      </c>
    </row>
    <row r="240" spans="1:105" ht="11.45" customHeight="1" x14ac:dyDescent="0.25">
      <c r="A240" s="138" t="str">
        <f>$A$28</f>
        <v>Inland waterways</v>
      </c>
      <c r="B240" s="98">
        <f t="shared" ref="B240:Y240" si="245">IF(B28=0,0,B88/B28*1000)</f>
        <v>136.52949977220959</v>
      </c>
      <c r="C240" s="98">
        <f t="shared" si="245"/>
        <v>118.70912504005828</v>
      </c>
      <c r="D240" s="98">
        <f t="shared" si="245"/>
        <v>90.664928305410612</v>
      </c>
      <c r="E240" s="98">
        <f t="shared" si="245"/>
        <v>62.385337165577965</v>
      </c>
      <c r="F240" s="98">
        <f t="shared" si="245"/>
        <v>19.053800230050321</v>
      </c>
      <c r="G240" s="98">
        <f t="shared" si="245"/>
        <v>15.480611423829282</v>
      </c>
      <c r="H240" s="98">
        <f t="shared" si="245"/>
        <v>15.617568856197137</v>
      </c>
      <c r="I240" s="98">
        <f t="shared" si="245"/>
        <v>32.253061354484444</v>
      </c>
      <c r="J240" s="98">
        <f t="shared" si="245"/>
        <v>27.773147885345917</v>
      </c>
      <c r="K240" s="98">
        <f t="shared" si="245"/>
        <v>14.624751381215468</v>
      </c>
      <c r="L240" s="98">
        <f t="shared" si="245"/>
        <v>12.908113381294966</v>
      </c>
      <c r="M240" s="98">
        <f t="shared" si="245"/>
        <v>14.243263118590585</v>
      </c>
      <c r="N240" s="98">
        <f t="shared" si="245"/>
        <v>10.548419089456869</v>
      </c>
      <c r="O240" s="98">
        <f t="shared" si="245"/>
        <v>10.531114759026304</v>
      </c>
      <c r="P240" s="98">
        <f t="shared" si="245"/>
        <v>9.8932119795918396</v>
      </c>
      <c r="Q240" s="98">
        <f t="shared" si="245"/>
        <v>10.268132888821386</v>
      </c>
      <c r="R240" s="98">
        <f t="shared" si="245"/>
        <v>9.5626351402721834</v>
      </c>
      <c r="S240" s="98">
        <f t="shared" si="245"/>
        <v>10.011587834145562</v>
      </c>
      <c r="T240" s="98">
        <f t="shared" si="245"/>
        <v>10.210113354538782</v>
      </c>
      <c r="U240" s="98">
        <f t="shared" si="245"/>
        <v>9.6890435337106826</v>
      </c>
      <c r="V240" s="98">
        <f t="shared" si="245"/>
        <v>9.5225183018037818</v>
      </c>
      <c r="W240" s="98">
        <f t="shared" si="245"/>
        <v>11.840478565300989</v>
      </c>
      <c r="X240" s="98">
        <f t="shared" si="245"/>
        <v>13.040588762666173</v>
      </c>
      <c r="Y240" s="98">
        <f t="shared" si="245"/>
        <v>12.265221545157779</v>
      </c>
      <c r="DA240" s="178" t="s">
        <v>451</v>
      </c>
    </row>
    <row r="241" spans="1:105" ht="11.45" customHeight="1" x14ac:dyDescent="0.25">
      <c r="A241" s="27" t="s">
        <v>172</v>
      </c>
      <c r="B241" s="32">
        <f t="shared" ref="B241:Y241" si="246">IF(B29=0,0,B89/B29*1000)</f>
        <v>0</v>
      </c>
      <c r="C241" s="32">
        <f t="shared" si="246"/>
        <v>0</v>
      </c>
      <c r="D241" s="32">
        <f t="shared" si="246"/>
        <v>0</v>
      </c>
      <c r="E241" s="32">
        <f t="shared" si="246"/>
        <v>0</v>
      </c>
      <c r="F241" s="32">
        <f t="shared" si="246"/>
        <v>0</v>
      </c>
      <c r="G241" s="32">
        <f t="shared" si="246"/>
        <v>0</v>
      </c>
      <c r="H241" s="32">
        <f t="shared" si="246"/>
        <v>0</v>
      </c>
      <c r="I241" s="32">
        <f t="shared" si="246"/>
        <v>1.2910893447121918</v>
      </c>
      <c r="J241" s="32">
        <f t="shared" si="246"/>
        <v>2.1316032677018391</v>
      </c>
      <c r="K241" s="32">
        <f t="shared" si="246"/>
        <v>0.7904709536210538</v>
      </c>
      <c r="L241" s="32">
        <f t="shared" si="246"/>
        <v>0.6200456719420816</v>
      </c>
      <c r="M241" s="32">
        <f t="shared" si="246"/>
        <v>0.35656622103839508</v>
      </c>
      <c r="N241" s="32">
        <f t="shared" si="246"/>
        <v>0.48020969763422938</v>
      </c>
      <c r="O241" s="32">
        <f t="shared" si="246"/>
        <v>1.1933536417325692</v>
      </c>
      <c r="P241" s="32">
        <f t="shared" si="246"/>
        <v>2.7550726582286154</v>
      </c>
      <c r="Q241" s="32">
        <f t="shared" si="246"/>
        <v>1.3984576104498498</v>
      </c>
      <c r="R241" s="32">
        <f t="shared" si="246"/>
        <v>1.0126356391563043</v>
      </c>
      <c r="S241" s="32">
        <f t="shared" si="246"/>
        <v>0.94460690887267862</v>
      </c>
      <c r="T241" s="32">
        <f t="shared" si="246"/>
        <v>0.54881433713616845</v>
      </c>
      <c r="U241" s="32">
        <f t="shared" si="246"/>
        <v>0.95424393603696567</v>
      </c>
      <c r="V241" s="32">
        <f t="shared" si="246"/>
        <v>1.4285823538937821</v>
      </c>
      <c r="W241" s="32">
        <f t="shared" si="246"/>
        <v>0.9572808530124618</v>
      </c>
      <c r="X241" s="32">
        <f t="shared" si="246"/>
        <v>0.44090593885116952</v>
      </c>
      <c r="Y241" s="32">
        <f t="shared" si="246"/>
        <v>0.39142708242280566</v>
      </c>
      <c r="DA241" s="173" t="s">
        <v>452</v>
      </c>
    </row>
    <row r="242" spans="1:105" ht="11.45" customHeight="1" x14ac:dyDescent="0.25">
      <c r="A242" s="128" t="str">
        <f>$A$30</f>
        <v>Intra-EEA</v>
      </c>
      <c r="B242" s="97">
        <f t="shared" ref="B242:Y242" si="247">IF(B30=0,0,B90/B30*1000)</f>
        <v>0</v>
      </c>
      <c r="C242" s="97">
        <f t="shared" si="247"/>
        <v>0</v>
      </c>
      <c r="D242" s="97">
        <f t="shared" si="247"/>
        <v>0</v>
      </c>
      <c r="E242" s="97">
        <f t="shared" si="247"/>
        <v>0</v>
      </c>
      <c r="F242" s="97">
        <f t="shared" si="247"/>
        <v>0</v>
      </c>
      <c r="G242" s="97">
        <f t="shared" si="247"/>
        <v>0</v>
      </c>
      <c r="H242" s="97">
        <f t="shared" si="247"/>
        <v>0</v>
      </c>
      <c r="I242" s="97">
        <f t="shared" si="247"/>
        <v>3.7956041525896853</v>
      </c>
      <c r="J242" s="97">
        <f t="shared" si="247"/>
        <v>6.4735435402449024</v>
      </c>
      <c r="K242" s="97">
        <f t="shared" si="247"/>
        <v>1.4111836932946042</v>
      </c>
      <c r="L242" s="97">
        <f t="shared" si="247"/>
        <v>1.3717219582326488</v>
      </c>
      <c r="M242" s="97">
        <f t="shared" si="247"/>
        <v>0.85152196587658158</v>
      </c>
      <c r="N242" s="97">
        <f t="shared" si="247"/>
        <v>1.3249313305560524</v>
      </c>
      <c r="O242" s="97">
        <f t="shared" si="247"/>
        <v>3.4034279847900653</v>
      </c>
      <c r="P242" s="97">
        <f t="shared" si="247"/>
        <v>6.4886163087838824</v>
      </c>
      <c r="Q242" s="97">
        <f t="shared" si="247"/>
        <v>3.2623565965891705</v>
      </c>
      <c r="R242" s="97">
        <f t="shared" si="247"/>
        <v>2.292118781553341</v>
      </c>
      <c r="S242" s="97">
        <f t="shared" si="247"/>
        <v>1.9552430594264092</v>
      </c>
      <c r="T242" s="97">
        <f t="shared" si="247"/>
        <v>1.0846674805640397</v>
      </c>
      <c r="U242" s="97">
        <f t="shared" si="247"/>
        <v>2.2591061095129925</v>
      </c>
      <c r="V242" s="97">
        <f t="shared" si="247"/>
        <v>2.8303704285820541</v>
      </c>
      <c r="W242" s="97">
        <f t="shared" si="247"/>
        <v>2.0268072526972776</v>
      </c>
      <c r="X242" s="97">
        <f t="shared" si="247"/>
        <v>0.90907369237153834</v>
      </c>
      <c r="Y242" s="97">
        <f t="shared" si="247"/>
        <v>0.83367459176935022</v>
      </c>
      <c r="DA242" s="175" t="s">
        <v>453</v>
      </c>
    </row>
    <row r="243" spans="1:105" ht="11.45" customHeight="1" x14ac:dyDescent="0.25">
      <c r="A243" s="138" t="str">
        <f>$A$31</f>
        <v>Extra-EEA</v>
      </c>
      <c r="B243" s="98">
        <f t="shared" ref="B243:Y243" si="248">IF(B31=0,0,B91/B31*1000)</f>
        <v>0</v>
      </c>
      <c r="C243" s="98">
        <f t="shared" si="248"/>
        <v>0</v>
      </c>
      <c r="D243" s="98">
        <f t="shared" si="248"/>
        <v>0</v>
      </c>
      <c r="E243" s="98">
        <f t="shared" si="248"/>
        <v>0</v>
      </c>
      <c r="F243" s="98">
        <f t="shared" si="248"/>
        <v>0</v>
      </c>
      <c r="G243" s="98">
        <f t="shared" si="248"/>
        <v>0</v>
      </c>
      <c r="H243" s="98">
        <f t="shared" si="248"/>
        <v>0</v>
      </c>
      <c r="I243" s="98">
        <f t="shared" si="248"/>
        <v>0.96998303369636474</v>
      </c>
      <c r="J243" s="98">
        <f t="shared" si="248"/>
        <v>1.5990369326121281</v>
      </c>
      <c r="K243" s="98">
        <f t="shared" si="248"/>
        <v>0.52289655698033499</v>
      </c>
      <c r="L243" s="98">
        <f t="shared" si="248"/>
        <v>0.41397256957538764</v>
      </c>
      <c r="M243" s="98">
        <f t="shared" si="248"/>
        <v>0.240997943347075</v>
      </c>
      <c r="N243" s="98">
        <f t="shared" si="248"/>
        <v>0.33558714321554373</v>
      </c>
      <c r="O243" s="98">
        <f t="shared" si="248"/>
        <v>0.84943342913468234</v>
      </c>
      <c r="P243" s="98">
        <f t="shared" si="248"/>
        <v>1.8448267795816671</v>
      </c>
      <c r="Q243" s="98">
        <f t="shared" si="248"/>
        <v>0.93021068553768116</v>
      </c>
      <c r="R243" s="98">
        <f t="shared" si="248"/>
        <v>0.67481989223207628</v>
      </c>
      <c r="S243" s="98">
        <f t="shared" si="248"/>
        <v>0.61834695088772995</v>
      </c>
      <c r="T243" s="98">
        <f t="shared" si="248"/>
        <v>0.35909988401462495</v>
      </c>
      <c r="U243" s="98">
        <f t="shared" si="248"/>
        <v>0.6357096578078012</v>
      </c>
      <c r="V243" s="98">
        <f t="shared" si="248"/>
        <v>1.0305075523656082</v>
      </c>
      <c r="W243" s="98">
        <f t="shared" si="248"/>
        <v>0.68936125542234072</v>
      </c>
      <c r="X243" s="98">
        <f t="shared" si="248"/>
        <v>0.29645443009575079</v>
      </c>
      <c r="Y243" s="98">
        <f t="shared" si="248"/>
        <v>0.25952992304435973</v>
      </c>
      <c r="DA243" s="178" t="s">
        <v>454</v>
      </c>
    </row>
    <row r="245" spans="1:105" x14ac:dyDescent="0.25">
      <c r="A245" s="18" t="s">
        <v>168</v>
      </c>
    </row>
    <row r="246" spans="1:105" x14ac:dyDescent="0.25">
      <c r="A246" s="18" t="s">
        <v>184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DA273"/>
  <sheetViews>
    <sheetView showGridLines="0" zoomScaleNormal="10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455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DA3" s="172"/>
    </row>
    <row r="4" spans="1:105" ht="11.45" customHeight="1" x14ac:dyDescent="0.25">
      <c r="A4" s="27" t="s">
        <v>18</v>
      </c>
      <c r="B4" s="29">
        <f t="shared" ref="B4:K4" si="0">B5+B6+B13</f>
        <v>58977.307773178742</v>
      </c>
      <c r="C4" s="29">
        <f t="shared" si="0"/>
        <v>59849.064464163443</v>
      </c>
      <c r="D4" s="29">
        <f t="shared" si="0"/>
        <v>61261.778102206976</v>
      </c>
      <c r="E4" s="29">
        <f t="shared" si="0"/>
        <v>65732.01231725156</v>
      </c>
      <c r="F4" s="29">
        <f t="shared" si="0"/>
        <v>67718.327757605177</v>
      </c>
      <c r="G4" s="29">
        <f t="shared" si="0"/>
        <v>73094.307151195244</v>
      </c>
      <c r="H4" s="29">
        <f t="shared" si="0"/>
        <v>76144.50778428388</v>
      </c>
      <c r="I4" s="29">
        <f t="shared" si="0"/>
        <v>79990.173250215186</v>
      </c>
      <c r="J4" s="29">
        <f t="shared" si="0"/>
        <v>91109.107745909816</v>
      </c>
      <c r="K4" s="29">
        <f t="shared" si="0"/>
        <v>93062.107590179454</v>
      </c>
      <c r="L4" s="29">
        <f t="shared" ref="L4" si="1">L5+L6+L13</f>
        <v>91790.929005354992</v>
      </c>
      <c r="M4" s="29">
        <f t="shared" ref="M4:V4" si="2">M5+M6+M13</f>
        <v>91015.475080704928</v>
      </c>
      <c r="N4" s="29">
        <f t="shared" si="2"/>
        <v>94477.140270162447</v>
      </c>
      <c r="O4" s="29">
        <f t="shared" si="2"/>
        <v>98015.098044381186</v>
      </c>
      <c r="P4" s="29">
        <f t="shared" si="2"/>
        <v>104133.13795115391</v>
      </c>
      <c r="Q4" s="29">
        <f t="shared" si="2"/>
        <v>115366.21107872232</v>
      </c>
      <c r="R4" s="29">
        <f t="shared" si="2"/>
        <v>121912.71845486473</v>
      </c>
      <c r="S4" s="29">
        <f t="shared" si="2"/>
        <v>122988.77897378545</v>
      </c>
      <c r="T4" s="29">
        <f t="shared" si="2"/>
        <v>131163.04254122192</v>
      </c>
      <c r="U4" s="29">
        <f t="shared" si="2"/>
        <v>137887.670952616</v>
      </c>
      <c r="V4" s="29">
        <f t="shared" si="2"/>
        <v>118442.7931124395</v>
      </c>
      <c r="W4" s="29">
        <f t="shared" ref="W4:Y4" si="3">W5+W6+W13</f>
        <v>129364.80316283407</v>
      </c>
      <c r="X4" s="29">
        <f t="shared" si="3"/>
        <v>138953.29169380898</v>
      </c>
      <c r="Y4" s="29">
        <f t="shared" si="3"/>
        <v>149259.14565017441</v>
      </c>
      <c r="DA4" s="173" t="s">
        <v>372</v>
      </c>
    </row>
    <row r="5" spans="1:105" ht="11.45" customHeight="1" x14ac:dyDescent="0.25">
      <c r="A5" s="136" t="s">
        <v>173</v>
      </c>
      <c r="B5" s="152">
        <f t="shared" ref="B5:K5" si="4">IF(B32=0,0,B32*B142)</f>
        <v>277.30777317873964</v>
      </c>
      <c r="C5" s="152">
        <f t="shared" si="4"/>
        <v>276.0644641634355</v>
      </c>
      <c r="D5" s="152">
        <f t="shared" si="4"/>
        <v>274.77810220697341</v>
      </c>
      <c r="E5" s="152">
        <f t="shared" si="4"/>
        <v>277.01231725156731</v>
      </c>
      <c r="F5" s="152">
        <f t="shared" si="4"/>
        <v>280.3277576051679</v>
      </c>
      <c r="G5" s="152">
        <f t="shared" si="4"/>
        <v>283.30715119524132</v>
      </c>
      <c r="H5" s="152">
        <f t="shared" si="4"/>
        <v>309.50778428388924</v>
      </c>
      <c r="I5" s="152">
        <f t="shared" si="4"/>
        <v>334.17325021518127</v>
      </c>
      <c r="J5" s="152">
        <f t="shared" si="4"/>
        <v>415.10774590981339</v>
      </c>
      <c r="K5" s="152">
        <f t="shared" si="4"/>
        <v>454.10759017945537</v>
      </c>
      <c r="L5" s="152">
        <f t="shared" ref="L5:L7" si="5">IF(L32=0,0,L32*L142)</f>
        <v>478.92900535498671</v>
      </c>
      <c r="M5" s="152">
        <f t="shared" ref="M5:V5" si="6">IF(M32=0,0,M32*M142)</f>
        <v>508.13692738445474</v>
      </c>
      <c r="N5" s="152">
        <f t="shared" si="6"/>
        <v>531.08066316236909</v>
      </c>
      <c r="O5" s="152">
        <f t="shared" si="6"/>
        <v>569.67971832511432</v>
      </c>
      <c r="P5" s="152">
        <f t="shared" si="6"/>
        <v>600.2780789124397</v>
      </c>
      <c r="Q5" s="152">
        <f t="shared" si="6"/>
        <v>635.58169818879969</v>
      </c>
      <c r="R5" s="152">
        <f t="shared" si="6"/>
        <v>689.34161048830151</v>
      </c>
      <c r="S5" s="152">
        <f t="shared" si="6"/>
        <v>657.7655935010755</v>
      </c>
      <c r="T5" s="152">
        <f t="shared" si="6"/>
        <v>633.38280477860326</v>
      </c>
      <c r="U5" s="152">
        <f t="shared" si="6"/>
        <v>678.5830958757889</v>
      </c>
      <c r="V5" s="152">
        <f t="shared" si="6"/>
        <v>618.03659897350849</v>
      </c>
      <c r="W5" s="152">
        <f t="shared" ref="W5:Y5" si="7">IF(W32=0,0,W32*W142)</f>
        <v>653.7406325271196</v>
      </c>
      <c r="X5" s="152">
        <f t="shared" si="7"/>
        <v>674.40938619745305</v>
      </c>
      <c r="Y5" s="152">
        <f t="shared" si="7"/>
        <v>742.98587901519738</v>
      </c>
      <c r="DA5" s="174" t="s">
        <v>373</v>
      </c>
    </row>
    <row r="6" spans="1:105" ht="11.45" customHeight="1" x14ac:dyDescent="0.25">
      <c r="A6" s="109" t="s">
        <v>20</v>
      </c>
      <c r="B6" s="116">
        <f t="shared" ref="B6:K6" si="8">SUM(B7:B12)</f>
        <v>51000</v>
      </c>
      <c r="C6" s="116">
        <f t="shared" si="8"/>
        <v>52500.000000000007</v>
      </c>
      <c r="D6" s="116">
        <f t="shared" si="8"/>
        <v>54000</v>
      </c>
      <c r="E6" s="116">
        <f t="shared" si="8"/>
        <v>56000</v>
      </c>
      <c r="F6" s="116">
        <f t="shared" si="8"/>
        <v>58000</v>
      </c>
      <c r="G6" s="116">
        <f t="shared" si="8"/>
        <v>61000.000000000007</v>
      </c>
      <c r="H6" s="116">
        <f t="shared" si="8"/>
        <v>64099.999999999993</v>
      </c>
      <c r="I6" s="116">
        <f t="shared" si="8"/>
        <v>67500</v>
      </c>
      <c r="J6" s="116">
        <f t="shared" si="8"/>
        <v>70500</v>
      </c>
      <c r="K6" s="116">
        <f t="shared" si="8"/>
        <v>75500</v>
      </c>
      <c r="L6" s="116">
        <f t="shared" ref="L6" si="9">SUM(L7:L12)</f>
        <v>75500</v>
      </c>
      <c r="M6" s="116">
        <f t="shared" ref="M6:V6" si="10">SUM(M7:M12)</f>
        <v>74978.338153320467</v>
      </c>
      <c r="N6" s="116">
        <f t="shared" si="10"/>
        <v>77045.059607000076</v>
      </c>
      <c r="O6" s="116">
        <f t="shared" si="10"/>
        <v>80363.418326056068</v>
      </c>
      <c r="P6" s="116">
        <f t="shared" si="10"/>
        <v>85193.859872241475</v>
      </c>
      <c r="Q6" s="116">
        <f t="shared" si="10"/>
        <v>89866.362080533509</v>
      </c>
      <c r="R6" s="116">
        <f t="shared" si="10"/>
        <v>95591.682544376425</v>
      </c>
      <c r="S6" s="116">
        <f t="shared" si="10"/>
        <v>97303.330280284368</v>
      </c>
      <c r="T6" s="116">
        <f t="shared" si="10"/>
        <v>103803.3617364433</v>
      </c>
      <c r="U6" s="116">
        <f t="shared" si="10"/>
        <v>110510.03785674022</v>
      </c>
      <c r="V6" s="116">
        <f t="shared" si="10"/>
        <v>99122.721513465978</v>
      </c>
      <c r="W6" s="116">
        <f t="shared" ref="W6:Y6" si="11">SUM(W7:W12)</f>
        <v>108998.75153030695</v>
      </c>
      <c r="X6" s="116">
        <f t="shared" si="11"/>
        <v>117002.61930761153</v>
      </c>
      <c r="Y6" s="116">
        <f t="shared" si="11"/>
        <v>124023.67543293408</v>
      </c>
      <c r="DA6" s="176" t="s">
        <v>374</v>
      </c>
    </row>
    <row r="7" spans="1:105" ht="11.45" customHeight="1" x14ac:dyDescent="0.25">
      <c r="A7" s="111" t="s">
        <v>110</v>
      </c>
      <c r="B7" s="87">
        <f t="shared" ref="B7:K7" si="12">IF(B34=0,0,B34*B144)</f>
        <v>44078.073770595343</v>
      </c>
      <c r="C7" s="87">
        <f t="shared" si="12"/>
        <v>45023.051006492082</v>
      </c>
      <c r="D7" s="87">
        <f t="shared" si="12"/>
        <v>44366.912739173895</v>
      </c>
      <c r="E7" s="87">
        <f t="shared" si="12"/>
        <v>43899.596140308007</v>
      </c>
      <c r="F7" s="87">
        <f t="shared" si="12"/>
        <v>43954.646703064449</v>
      </c>
      <c r="G7" s="87">
        <f t="shared" si="12"/>
        <v>41873.028928666863</v>
      </c>
      <c r="H7" s="87">
        <f t="shared" si="12"/>
        <v>40591.066731632811</v>
      </c>
      <c r="I7" s="87">
        <f t="shared" si="12"/>
        <v>38826.496757958143</v>
      </c>
      <c r="J7" s="87">
        <f t="shared" si="12"/>
        <v>34774.766433376848</v>
      </c>
      <c r="K7" s="87">
        <f t="shared" si="12"/>
        <v>35240.700401302325</v>
      </c>
      <c r="L7" s="87">
        <f t="shared" si="5"/>
        <v>35599.948665991156</v>
      </c>
      <c r="M7" s="87">
        <f t="shared" ref="M7:V7" si="13">IF(M34=0,0,M34*M144)</f>
        <v>30676.525109318289</v>
      </c>
      <c r="N7" s="87">
        <f t="shared" si="13"/>
        <v>29903.453829852791</v>
      </c>
      <c r="O7" s="87">
        <f t="shared" si="13"/>
        <v>32642.461284547331</v>
      </c>
      <c r="P7" s="87">
        <f t="shared" si="13"/>
        <v>36317.568417978364</v>
      </c>
      <c r="Q7" s="87">
        <f t="shared" si="13"/>
        <v>36578.320892849501</v>
      </c>
      <c r="R7" s="87">
        <f t="shared" si="13"/>
        <v>36020.029606464763</v>
      </c>
      <c r="S7" s="87">
        <f t="shared" si="13"/>
        <v>35302.651600872363</v>
      </c>
      <c r="T7" s="87">
        <f t="shared" si="13"/>
        <v>35678.440603518167</v>
      </c>
      <c r="U7" s="87">
        <f t="shared" si="13"/>
        <v>36407.397121979775</v>
      </c>
      <c r="V7" s="87">
        <f t="shared" si="13"/>
        <v>34008.679290309112</v>
      </c>
      <c r="W7" s="87">
        <f t="shared" ref="W7:Y7" si="14">IF(W34=0,0,W34*W144)</f>
        <v>37892.953283445488</v>
      </c>
      <c r="X7" s="87">
        <f t="shared" si="14"/>
        <v>38719.379931480376</v>
      </c>
      <c r="Y7" s="87">
        <f t="shared" si="14"/>
        <v>40010.583708941042</v>
      </c>
      <c r="DA7" s="171" t="s">
        <v>456</v>
      </c>
    </row>
    <row r="8" spans="1:105" ht="11.45" customHeight="1" x14ac:dyDescent="0.25">
      <c r="A8" s="111" t="s">
        <v>111</v>
      </c>
      <c r="B8" s="87">
        <f t="shared" ref="B8:K8" si="15">IF(B35=0,0,B35*B145)</f>
        <v>6921.9262294046566</v>
      </c>
      <c r="C8" s="87">
        <f t="shared" si="15"/>
        <v>7476.9489935079255</v>
      </c>
      <c r="D8" s="87">
        <f t="shared" si="15"/>
        <v>9546.2652633329562</v>
      </c>
      <c r="E8" s="87">
        <f t="shared" si="15"/>
        <v>11886.423130088799</v>
      </c>
      <c r="F8" s="87">
        <f t="shared" si="15"/>
        <v>13540.556184678258</v>
      </c>
      <c r="G8" s="87">
        <f t="shared" si="15"/>
        <v>18596.508262424919</v>
      </c>
      <c r="H8" s="87">
        <f t="shared" si="15"/>
        <v>22963.914380953782</v>
      </c>
      <c r="I8" s="87">
        <f t="shared" si="15"/>
        <v>27931.5754291302</v>
      </c>
      <c r="J8" s="87">
        <f t="shared" si="15"/>
        <v>35062.534155964458</v>
      </c>
      <c r="K8" s="87">
        <f t="shared" si="15"/>
        <v>39653.319679770299</v>
      </c>
      <c r="L8" s="87">
        <f t="shared" ref="L8" si="16">IF(L35=0,0,L35*L145)</f>
        <v>39388.553710982123</v>
      </c>
      <c r="M8" s="87">
        <f t="shared" ref="M8:V8" si="17">IF(M35=0,0,M35*M145)</f>
        <v>42792.64930691979</v>
      </c>
      <c r="N8" s="87">
        <f t="shared" si="17"/>
        <v>45837.937931159613</v>
      </c>
      <c r="O8" s="87">
        <f t="shared" si="17"/>
        <v>46523.878061219461</v>
      </c>
      <c r="P8" s="87">
        <f t="shared" si="17"/>
        <v>47524.556134247447</v>
      </c>
      <c r="Q8" s="87">
        <f t="shared" si="17"/>
        <v>51609.508643742411</v>
      </c>
      <c r="R8" s="87">
        <f t="shared" si="17"/>
        <v>57814.851711183495</v>
      </c>
      <c r="S8" s="87">
        <f t="shared" si="17"/>
        <v>59794.955982268606</v>
      </c>
      <c r="T8" s="87">
        <f t="shared" si="17"/>
        <v>65685.483429848828</v>
      </c>
      <c r="U8" s="87">
        <f t="shared" si="17"/>
        <v>71399.637276649504</v>
      </c>
      <c r="V8" s="87">
        <f t="shared" si="17"/>
        <v>62084.196016384056</v>
      </c>
      <c r="W8" s="87">
        <f t="shared" ref="W8:Y8" si="18">IF(W35=0,0,W35*W145)</f>
        <v>66958.72738509241</v>
      </c>
      <c r="X8" s="87">
        <f t="shared" si="18"/>
        <v>73842.63903657443</v>
      </c>
      <c r="Y8" s="87">
        <f t="shared" si="18"/>
        <v>79023.949833087885</v>
      </c>
      <c r="DA8" s="171" t="s">
        <v>457</v>
      </c>
    </row>
    <row r="9" spans="1:105" ht="11.45" customHeight="1" x14ac:dyDescent="0.25">
      <c r="A9" s="111" t="s">
        <v>112</v>
      </c>
      <c r="B9" s="87">
        <f t="shared" ref="B9:K9" si="19">IF(B36=0,0,B36*B146)</f>
        <v>0</v>
      </c>
      <c r="C9" s="87">
        <f t="shared" si="19"/>
        <v>0</v>
      </c>
      <c r="D9" s="87">
        <f t="shared" si="19"/>
        <v>86.821997493151031</v>
      </c>
      <c r="E9" s="87">
        <f t="shared" si="19"/>
        <v>213.98072960319743</v>
      </c>
      <c r="F9" s="87">
        <f t="shared" si="19"/>
        <v>504.7971122572913</v>
      </c>
      <c r="G9" s="87">
        <f t="shared" si="19"/>
        <v>530.46280890822652</v>
      </c>
      <c r="H9" s="87">
        <f t="shared" si="19"/>
        <v>545.01888741339974</v>
      </c>
      <c r="I9" s="87">
        <f t="shared" si="19"/>
        <v>741.92781291166057</v>
      </c>
      <c r="J9" s="87">
        <f t="shared" si="19"/>
        <v>662.69941065869057</v>
      </c>
      <c r="K9" s="87">
        <f t="shared" si="19"/>
        <v>605.96088726281494</v>
      </c>
      <c r="L9" s="87">
        <f t="shared" ref="L9" si="20">IF(L36=0,0,L36*L146)</f>
        <v>508.01453415187814</v>
      </c>
      <c r="M9" s="87">
        <f t="shared" ref="M9:V9" si="21">IF(M36=0,0,M36*M146)</f>
        <v>1501.2657220143667</v>
      </c>
      <c r="N9" s="87">
        <f t="shared" si="21"/>
        <v>1287.3768287977493</v>
      </c>
      <c r="O9" s="87">
        <f t="shared" si="21"/>
        <v>1176.3368965786999</v>
      </c>
      <c r="P9" s="87">
        <f t="shared" si="21"/>
        <v>1327.3900436148613</v>
      </c>
      <c r="Q9" s="87">
        <f t="shared" si="21"/>
        <v>1651.4334184716668</v>
      </c>
      <c r="R9" s="87">
        <f t="shared" si="21"/>
        <v>1726.2641261746173</v>
      </c>
      <c r="S9" s="87">
        <f t="shared" si="21"/>
        <v>2167.5394624774331</v>
      </c>
      <c r="T9" s="87">
        <f t="shared" si="21"/>
        <v>2389.0792127088412</v>
      </c>
      <c r="U9" s="87">
        <f t="shared" si="21"/>
        <v>2623.9480925192156</v>
      </c>
      <c r="V9" s="87">
        <f t="shared" si="21"/>
        <v>2910.6547876057534</v>
      </c>
      <c r="W9" s="87">
        <f t="shared" ref="W9:Y9" si="22">IF(W36=0,0,W36*W146)</f>
        <v>3865.299257574382</v>
      </c>
      <c r="X9" s="87">
        <f t="shared" si="22"/>
        <v>3913.5343691365611</v>
      </c>
      <c r="Y9" s="87">
        <f t="shared" si="22"/>
        <v>4199.8657819716409</v>
      </c>
      <c r="DA9" s="171" t="s">
        <v>458</v>
      </c>
    </row>
    <row r="10" spans="1:105" ht="11.45" customHeight="1" x14ac:dyDescent="0.25">
      <c r="A10" s="111" t="s">
        <v>113</v>
      </c>
      <c r="B10" s="87">
        <f t="shared" ref="B10:K10" si="23">IF(B37=0,0,B37*B147)</f>
        <v>0</v>
      </c>
      <c r="C10" s="87">
        <f t="shared" si="23"/>
        <v>0</v>
      </c>
      <c r="D10" s="87">
        <f t="shared" si="23"/>
        <v>0</v>
      </c>
      <c r="E10" s="87">
        <f t="shared" si="23"/>
        <v>0</v>
      </c>
      <c r="F10" s="87">
        <f t="shared" si="23"/>
        <v>0</v>
      </c>
      <c r="G10" s="87">
        <f t="shared" si="23"/>
        <v>0</v>
      </c>
      <c r="H10" s="87">
        <f t="shared" si="23"/>
        <v>0</v>
      </c>
      <c r="I10" s="87">
        <f t="shared" si="23"/>
        <v>0</v>
      </c>
      <c r="J10" s="87">
        <f t="shared" si="23"/>
        <v>0</v>
      </c>
      <c r="K10" s="87">
        <f t="shared" si="23"/>
        <v>0</v>
      </c>
      <c r="L10" s="87">
        <f t="shared" ref="L10" si="24">IF(L37=0,0,L37*L147)</f>
        <v>0</v>
      </c>
      <c r="M10" s="87">
        <f t="shared" ref="M10:V10" si="25">IF(M37=0,0,M37*M147)</f>
        <v>0</v>
      </c>
      <c r="N10" s="87">
        <f t="shared" si="25"/>
        <v>0</v>
      </c>
      <c r="O10" s="87">
        <f t="shared" si="25"/>
        <v>0</v>
      </c>
      <c r="P10" s="87">
        <f t="shared" si="25"/>
        <v>0</v>
      </c>
      <c r="Q10" s="87">
        <f t="shared" si="25"/>
        <v>0</v>
      </c>
      <c r="R10" s="87">
        <f t="shared" si="25"/>
        <v>0</v>
      </c>
      <c r="S10" s="87">
        <f t="shared" si="25"/>
        <v>0</v>
      </c>
      <c r="T10" s="87">
        <f t="shared" si="25"/>
        <v>0</v>
      </c>
      <c r="U10" s="87">
        <f t="shared" si="25"/>
        <v>0</v>
      </c>
      <c r="V10" s="87">
        <f t="shared" si="25"/>
        <v>0</v>
      </c>
      <c r="W10" s="87">
        <f t="shared" ref="W10:Y10" si="26">IF(W37=0,0,W37*W147)</f>
        <v>0</v>
      </c>
      <c r="X10" s="87">
        <f t="shared" si="26"/>
        <v>0</v>
      </c>
      <c r="Y10" s="87">
        <f t="shared" si="26"/>
        <v>0</v>
      </c>
      <c r="DA10" s="171" t="s">
        <v>459</v>
      </c>
    </row>
    <row r="11" spans="1:105" ht="11.45" customHeight="1" x14ac:dyDescent="0.25">
      <c r="A11" s="111" t="s">
        <v>114</v>
      </c>
      <c r="B11" s="87">
        <f t="shared" ref="B11:K11" si="27">IF(B38=0,0,B38*B148)</f>
        <v>0</v>
      </c>
      <c r="C11" s="87">
        <f t="shared" si="27"/>
        <v>0</v>
      </c>
      <c r="D11" s="87">
        <f t="shared" si="27"/>
        <v>0</v>
      </c>
      <c r="E11" s="87">
        <f t="shared" si="27"/>
        <v>0</v>
      </c>
      <c r="F11" s="87">
        <f t="shared" si="27"/>
        <v>0</v>
      </c>
      <c r="G11" s="87">
        <f t="shared" si="27"/>
        <v>0</v>
      </c>
      <c r="H11" s="87">
        <f t="shared" si="27"/>
        <v>0</v>
      </c>
      <c r="I11" s="87">
        <f t="shared" si="27"/>
        <v>0</v>
      </c>
      <c r="J11" s="87">
        <f t="shared" si="27"/>
        <v>0</v>
      </c>
      <c r="K11" s="87">
        <f t="shared" si="27"/>
        <v>0</v>
      </c>
      <c r="L11" s="87">
        <f t="shared" ref="L11" si="28">IF(L38=0,0,L38*L148)</f>
        <v>0</v>
      </c>
      <c r="M11" s="87">
        <f t="shared" ref="M11:V11" si="29">IF(M38=0,0,M38*M148)</f>
        <v>0</v>
      </c>
      <c r="N11" s="87">
        <f t="shared" si="29"/>
        <v>1.8132146285660076</v>
      </c>
      <c r="O11" s="87">
        <f t="shared" si="29"/>
        <v>1.8804315335406483</v>
      </c>
      <c r="P11" s="87">
        <f t="shared" si="29"/>
        <v>2.2519189490519631</v>
      </c>
      <c r="Q11" s="87">
        <f t="shared" si="29"/>
        <v>2.8553242680396727</v>
      </c>
      <c r="R11" s="87">
        <f t="shared" si="29"/>
        <v>2.3086426191961285</v>
      </c>
      <c r="S11" s="87">
        <f t="shared" si="29"/>
        <v>4.4662085592772112</v>
      </c>
      <c r="T11" s="87">
        <f t="shared" si="29"/>
        <v>8.1897129099164232</v>
      </c>
      <c r="U11" s="87">
        <f t="shared" si="29"/>
        <v>12.303819289610608</v>
      </c>
      <c r="V11" s="87">
        <f t="shared" si="29"/>
        <v>27.461984296322086</v>
      </c>
      <c r="W11" s="87">
        <f t="shared" ref="W11:Y11" si="30">IF(W38=0,0,W38*W148)</f>
        <v>76.228613286978657</v>
      </c>
      <c r="X11" s="87">
        <f t="shared" si="30"/>
        <v>136.7897266216284</v>
      </c>
      <c r="Y11" s="87">
        <f t="shared" si="30"/>
        <v>172.82730300317533</v>
      </c>
      <c r="DA11" s="171" t="s">
        <v>460</v>
      </c>
    </row>
    <row r="12" spans="1:105" ht="11.45" customHeight="1" x14ac:dyDescent="0.25">
      <c r="A12" s="111" t="s">
        <v>115</v>
      </c>
      <c r="B12" s="87">
        <f t="shared" ref="B12:K12" si="31">IF(B39=0,0,B39*B149)</f>
        <v>0</v>
      </c>
      <c r="C12" s="87">
        <f t="shared" si="31"/>
        <v>0</v>
      </c>
      <c r="D12" s="87">
        <f t="shared" si="31"/>
        <v>0</v>
      </c>
      <c r="E12" s="87">
        <f t="shared" si="31"/>
        <v>0</v>
      </c>
      <c r="F12" s="87">
        <f t="shared" si="31"/>
        <v>0</v>
      </c>
      <c r="G12" s="87">
        <f t="shared" si="31"/>
        <v>0</v>
      </c>
      <c r="H12" s="87">
        <f t="shared" si="31"/>
        <v>0</v>
      </c>
      <c r="I12" s="87">
        <f t="shared" si="31"/>
        <v>0</v>
      </c>
      <c r="J12" s="87">
        <f t="shared" si="31"/>
        <v>0</v>
      </c>
      <c r="K12" s="87">
        <f t="shared" si="31"/>
        <v>1.9031664563002777E-2</v>
      </c>
      <c r="L12" s="87">
        <f t="shared" ref="L12" si="32">IF(L39=0,0,L39*L149)</f>
        <v>3.4830888748393027</v>
      </c>
      <c r="M12" s="87">
        <f t="shared" ref="M12:V12" si="33">IF(M39=0,0,M39*M149)</f>
        <v>7.8980150680127768</v>
      </c>
      <c r="N12" s="87">
        <f t="shared" si="33"/>
        <v>14.477802561360731</v>
      </c>
      <c r="O12" s="87">
        <f t="shared" si="33"/>
        <v>18.86165217705112</v>
      </c>
      <c r="P12" s="87">
        <f t="shared" si="33"/>
        <v>22.093357451756603</v>
      </c>
      <c r="Q12" s="87">
        <f t="shared" si="33"/>
        <v>24.243801201877691</v>
      </c>
      <c r="R12" s="87">
        <f t="shared" si="33"/>
        <v>28.228457934355195</v>
      </c>
      <c r="S12" s="87">
        <f t="shared" si="33"/>
        <v>33.71702610668779</v>
      </c>
      <c r="T12" s="87">
        <f t="shared" si="33"/>
        <v>42.168777457548309</v>
      </c>
      <c r="U12" s="87">
        <f t="shared" si="33"/>
        <v>66.75154630213197</v>
      </c>
      <c r="V12" s="87">
        <f t="shared" si="33"/>
        <v>91.729434870724802</v>
      </c>
      <c r="W12" s="87">
        <f t="shared" ref="W12:Y12" si="34">IF(W39=0,0,W39*W149)</f>
        <v>205.54299090768518</v>
      </c>
      <c r="X12" s="87">
        <f t="shared" si="34"/>
        <v>390.27624379853341</v>
      </c>
      <c r="Y12" s="87">
        <f t="shared" si="34"/>
        <v>616.44880593034634</v>
      </c>
      <c r="DA12" s="171" t="s">
        <v>461</v>
      </c>
    </row>
    <row r="13" spans="1:105" ht="11.45" customHeight="1" x14ac:dyDescent="0.25">
      <c r="A13" s="109" t="s">
        <v>21</v>
      </c>
      <c r="B13" s="116">
        <f t="shared" ref="B13:K13" si="35">SUM(B14:B18)</f>
        <v>7699.9999999999991</v>
      </c>
      <c r="C13" s="116">
        <f t="shared" si="35"/>
        <v>7073</v>
      </c>
      <c r="D13" s="116">
        <f t="shared" si="35"/>
        <v>6987</v>
      </c>
      <c r="E13" s="116">
        <f t="shared" si="35"/>
        <v>9455</v>
      </c>
      <c r="F13" s="116">
        <f t="shared" si="35"/>
        <v>9438.0000000000018</v>
      </c>
      <c r="G13" s="116">
        <f t="shared" si="35"/>
        <v>11811</v>
      </c>
      <c r="H13" s="116">
        <f t="shared" si="35"/>
        <v>11735</v>
      </c>
      <c r="I13" s="116">
        <f t="shared" si="35"/>
        <v>12156</v>
      </c>
      <c r="J13" s="116">
        <f t="shared" si="35"/>
        <v>20194</v>
      </c>
      <c r="K13" s="116">
        <f t="shared" si="35"/>
        <v>17108</v>
      </c>
      <c r="L13" s="116">
        <f t="shared" ref="L13" si="36">SUM(L14:L18)</f>
        <v>15811.999999999998</v>
      </c>
      <c r="M13" s="116">
        <f t="shared" ref="M13:V13" si="37">SUM(M14:M18)</f>
        <v>15529</v>
      </c>
      <c r="N13" s="116">
        <f t="shared" si="37"/>
        <v>16901</v>
      </c>
      <c r="O13" s="116">
        <f t="shared" si="37"/>
        <v>17082</v>
      </c>
      <c r="P13" s="116">
        <f t="shared" si="37"/>
        <v>18339</v>
      </c>
      <c r="Q13" s="116">
        <f t="shared" si="37"/>
        <v>24864.267300000007</v>
      </c>
      <c r="R13" s="116">
        <f t="shared" si="37"/>
        <v>25631.694299999999</v>
      </c>
      <c r="S13" s="116">
        <f t="shared" si="37"/>
        <v>25027.683100000009</v>
      </c>
      <c r="T13" s="116">
        <f t="shared" si="37"/>
        <v>26726.298000000006</v>
      </c>
      <c r="U13" s="116">
        <f t="shared" si="37"/>
        <v>26699.05</v>
      </c>
      <c r="V13" s="116">
        <f t="shared" si="37"/>
        <v>18702.035000000003</v>
      </c>
      <c r="W13" s="116">
        <f t="shared" ref="W13:Y13" si="38">SUM(W14:W18)</f>
        <v>19712.310999999998</v>
      </c>
      <c r="X13" s="116">
        <f t="shared" si="38"/>
        <v>21276.263000000003</v>
      </c>
      <c r="Y13" s="116">
        <f t="shared" si="38"/>
        <v>24492.484338225131</v>
      </c>
      <c r="DA13" s="176" t="s">
        <v>375</v>
      </c>
    </row>
    <row r="14" spans="1:105" ht="11.45" customHeight="1" x14ac:dyDescent="0.25">
      <c r="A14" s="111" t="s">
        <v>110</v>
      </c>
      <c r="B14" s="101">
        <f t="shared" ref="B14:K14" si="39">IF(B41=0,0,B41*B151)</f>
        <v>0</v>
      </c>
      <c r="C14" s="101">
        <f t="shared" si="39"/>
        <v>0</v>
      </c>
      <c r="D14" s="101">
        <f t="shared" si="39"/>
        <v>0</v>
      </c>
      <c r="E14" s="101">
        <f t="shared" si="39"/>
        <v>0</v>
      </c>
      <c r="F14" s="101">
        <f t="shared" si="39"/>
        <v>0</v>
      </c>
      <c r="G14" s="101">
        <f t="shared" si="39"/>
        <v>0</v>
      </c>
      <c r="H14" s="101">
        <f t="shared" si="39"/>
        <v>0</v>
      </c>
      <c r="I14" s="101">
        <f t="shared" si="39"/>
        <v>0</v>
      </c>
      <c r="J14" s="101">
        <f t="shared" si="39"/>
        <v>35.49709242927868</v>
      </c>
      <c r="K14" s="101">
        <f t="shared" si="39"/>
        <v>35.25247759744736</v>
      </c>
      <c r="L14" s="101">
        <f t="shared" ref="L14" si="40">IF(L41=0,0,L41*L151)</f>
        <v>35.317776654691883</v>
      </c>
      <c r="M14" s="101">
        <f t="shared" ref="M14:V14" si="41">IF(M41=0,0,M41*M151)</f>
        <v>35.730404176303878</v>
      </c>
      <c r="N14" s="101">
        <f t="shared" si="41"/>
        <v>34.927303574910923</v>
      </c>
      <c r="O14" s="101">
        <f t="shared" si="41"/>
        <v>34.056021197193679</v>
      </c>
      <c r="P14" s="101">
        <f t="shared" si="41"/>
        <v>33.376092448807775</v>
      </c>
      <c r="Q14" s="101">
        <f t="shared" si="41"/>
        <v>30.8757807545026</v>
      </c>
      <c r="R14" s="101">
        <f t="shared" si="41"/>
        <v>30.231855135342027</v>
      </c>
      <c r="S14" s="101">
        <f t="shared" si="41"/>
        <v>29.008374442014571</v>
      </c>
      <c r="T14" s="101">
        <f t="shared" si="41"/>
        <v>27.555349210886945</v>
      </c>
      <c r="U14" s="101">
        <f t="shared" si="41"/>
        <v>26.607467540893754</v>
      </c>
      <c r="V14" s="101">
        <f t="shared" si="41"/>
        <v>26.830630968310931</v>
      </c>
      <c r="W14" s="101">
        <f t="shared" ref="W14:Y14" si="42">IF(W41=0,0,W41*W151)</f>
        <v>27.429513103883188</v>
      </c>
      <c r="X14" s="101">
        <f t="shared" si="42"/>
        <v>29.687156662434788</v>
      </c>
      <c r="Y14" s="101">
        <f t="shared" si="42"/>
        <v>30.431268557486003</v>
      </c>
      <c r="DA14" s="175" t="s">
        <v>462</v>
      </c>
    </row>
    <row r="15" spans="1:105" ht="11.45" customHeight="1" x14ac:dyDescent="0.25">
      <c r="A15" s="111" t="s">
        <v>111</v>
      </c>
      <c r="B15" s="101">
        <f t="shared" ref="B15:K15" si="43">IF(B42=0,0,B42*B152)</f>
        <v>7699.9999999999991</v>
      </c>
      <c r="C15" s="101">
        <f t="shared" si="43"/>
        <v>7073</v>
      </c>
      <c r="D15" s="101">
        <f t="shared" si="43"/>
        <v>6987</v>
      </c>
      <c r="E15" s="101">
        <f t="shared" si="43"/>
        <v>9455</v>
      </c>
      <c r="F15" s="101">
        <f t="shared" si="43"/>
        <v>9438.0000000000018</v>
      </c>
      <c r="G15" s="101">
        <f t="shared" si="43"/>
        <v>11811</v>
      </c>
      <c r="H15" s="101">
        <f t="shared" si="43"/>
        <v>11735</v>
      </c>
      <c r="I15" s="101">
        <f t="shared" si="43"/>
        <v>12156</v>
      </c>
      <c r="J15" s="101">
        <f t="shared" si="43"/>
        <v>20149.043770849752</v>
      </c>
      <c r="K15" s="101">
        <f t="shared" si="43"/>
        <v>17063.639546290331</v>
      </c>
      <c r="L15" s="101">
        <f t="shared" ref="L15" si="44">IF(L42=0,0,L42*L152)</f>
        <v>15758.732249421035</v>
      </c>
      <c r="M15" s="101">
        <f t="shared" ref="M15:V15" si="45">IF(M42=0,0,M42*M152)</f>
        <v>15472.089808937073</v>
      </c>
      <c r="N15" s="101">
        <f t="shared" si="45"/>
        <v>16843.609751507091</v>
      </c>
      <c r="O15" s="101">
        <f t="shared" si="45"/>
        <v>17024.715542868038</v>
      </c>
      <c r="P15" s="101">
        <f t="shared" si="45"/>
        <v>18281.037420989509</v>
      </c>
      <c r="Q15" s="101">
        <f t="shared" si="45"/>
        <v>24802.043452472099</v>
      </c>
      <c r="R15" s="101">
        <f t="shared" si="45"/>
        <v>25572.112936329588</v>
      </c>
      <c r="S15" s="101">
        <f t="shared" si="45"/>
        <v>24971.182458929219</v>
      </c>
      <c r="T15" s="101">
        <f t="shared" si="45"/>
        <v>26668.24367332305</v>
      </c>
      <c r="U15" s="101">
        <f t="shared" si="45"/>
        <v>26618.974949688065</v>
      </c>
      <c r="V15" s="101">
        <f t="shared" si="45"/>
        <v>18573.700013286925</v>
      </c>
      <c r="W15" s="101">
        <f t="shared" ref="W15:Y15" si="46">IF(W42=0,0,W42*W152)</f>
        <v>19575.369635201634</v>
      </c>
      <c r="X15" s="101">
        <f t="shared" si="46"/>
        <v>21067.282581071227</v>
      </c>
      <c r="Y15" s="101">
        <f t="shared" si="46"/>
        <v>24022.890618929494</v>
      </c>
      <c r="DA15" s="175" t="s">
        <v>463</v>
      </c>
    </row>
    <row r="16" spans="1:105" ht="11.45" customHeight="1" x14ac:dyDescent="0.25">
      <c r="A16" s="111" t="s">
        <v>112</v>
      </c>
      <c r="B16" s="101">
        <f t="shared" ref="B16:K16" si="47">IF(B43=0,0,B43*B153)</f>
        <v>0</v>
      </c>
      <c r="C16" s="101">
        <f t="shared" si="47"/>
        <v>0</v>
      </c>
      <c r="D16" s="101">
        <f t="shared" si="47"/>
        <v>0</v>
      </c>
      <c r="E16" s="101">
        <f t="shared" si="47"/>
        <v>0</v>
      </c>
      <c r="F16" s="101">
        <f t="shared" si="47"/>
        <v>0</v>
      </c>
      <c r="G16" s="101">
        <f t="shared" si="47"/>
        <v>0</v>
      </c>
      <c r="H16" s="101">
        <f t="shared" si="47"/>
        <v>0</v>
      </c>
      <c r="I16" s="101">
        <f t="shared" si="47"/>
        <v>0</v>
      </c>
      <c r="J16" s="101">
        <f t="shared" si="47"/>
        <v>9.4591367209677433</v>
      </c>
      <c r="K16" s="101">
        <f t="shared" si="47"/>
        <v>9.1079761122210279</v>
      </c>
      <c r="L16" s="101">
        <f t="shared" ref="L16" si="48">IF(L43=0,0,L43*L153)</f>
        <v>17.949973924271802</v>
      </c>
      <c r="M16" s="101">
        <f t="shared" ref="M16:V16" si="49">IF(M43=0,0,M43*M153)</f>
        <v>21.179786886622949</v>
      </c>
      <c r="N16" s="101">
        <f t="shared" si="49"/>
        <v>22.462944917999252</v>
      </c>
      <c r="O16" s="101">
        <f t="shared" si="49"/>
        <v>22.796594031497733</v>
      </c>
      <c r="P16" s="101">
        <f t="shared" si="49"/>
        <v>23.694627619804535</v>
      </c>
      <c r="Q16" s="101">
        <f t="shared" si="49"/>
        <v>29.017715604649553</v>
      </c>
      <c r="R16" s="101">
        <f t="shared" si="49"/>
        <v>26.458980519182592</v>
      </c>
      <c r="S16" s="101">
        <f t="shared" si="49"/>
        <v>24.736629899761475</v>
      </c>
      <c r="T16" s="101">
        <f t="shared" si="49"/>
        <v>16.144358720419707</v>
      </c>
      <c r="U16" s="101">
        <f t="shared" si="49"/>
        <v>14.909210768793111</v>
      </c>
      <c r="V16" s="101">
        <f t="shared" si="49"/>
        <v>10.161325083605156</v>
      </c>
      <c r="W16" s="101">
        <f t="shared" ref="W16:Y16" si="50">IF(W43=0,0,W43*W153)</f>
        <v>10.486911757516198</v>
      </c>
      <c r="X16" s="101">
        <f t="shared" si="50"/>
        <v>4.0763583476476288</v>
      </c>
      <c r="Y16" s="101">
        <f t="shared" si="50"/>
        <v>3.5092005887134787</v>
      </c>
      <c r="DA16" s="175" t="s">
        <v>464</v>
      </c>
    </row>
    <row r="17" spans="1:105" ht="11.45" customHeight="1" x14ac:dyDescent="0.25">
      <c r="A17" s="111" t="s">
        <v>113</v>
      </c>
      <c r="B17" s="101">
        <f t="shared" ref="B17:K17" si="51">IF(B44=0,0,B44*B154)</f>
        <v>0</v>
      </c>
      <c r="C17" s="101">
        <f t="shared" si="51"/>
        <v>0</v>
      </c>
      <c r="D17" s="101">
        <f t="shared" si="51"/>
        <v>0</v>
      </c>
      <c r="E17" s="101">
        <f t="shared" si="51"/>
        <v>0</v>
      </c>
      <c r="F17" s="101">
        <f t="shared" si="51"/>
        <v>0</v>
      </c>
      <c r="G17" s="101">
        <f t="shared" si="51"/>
        <v>0</v>
      </c>
      <c r="H17" s="101">
        <f t="shared" si="51"/>
        <v>0</v>
      </c>
      <c r="I17" s="101">
        <f t="shared" si="51"/>
        <v>0</v>
      </c>
      <c r="J17" s="101">
        <f t="shared" si="51"/>
        <v>0</v>
      </c>
      <c r="K17" s="101">
        <f t="shared" si="51"/>
        <v>0</v>
      </c>
      <c r="L17" s="101">
        <f t="shared" ref="L17" si="52">IF(L44=0,0,L44*L154)</f>
        <v>0</v>
      </c>
      <c r="M17" s="101">
        <f t="shared" ref="M17:V17" si="53">IF(M44=0,0,M44*M154)</f>
        <v>0</v>
      </c>
      <c r="N17" s="101">
        <f t="shared" si="53"/>
        <v>0</v>
      </c>
      <c r="O17" s="101">
        <f t="shared" si="53"/>
        <v>0</v>
      </c>
      <c r="P17" s="101">
        <f t="shared" si="53"/>
        <v>0</v>
      </c>
      <c r="Q17" s="101">
        <f t="shared" si="53"/>
        <v>0</v>
      </c>
      <c r="R17" s="101">
        <f t="shared" si="53"/>
        <v>0</v>
      </c>
      <c r="S17" s="101">
        <f t="shared" si="53"/>
        <v>0</v>
      </c>
      <c r="T17" s="101">
        <f t="shared" si="53"/>
        <v>0</v>
      </c>
      <c r="U17" s="101">
        <f t="shared" si="53"/>
        <v>0</v>
      </c>
      <c r="V17" s="101">
        <f t="shared" si="53"/>
        <v>0</v>
      </c>
      <c r="W17" s="101">
        <f t="shared" ref="W17:Y17" si="54">IF(W44=0,0,W44*W154)</f>
        <v>0</v>
      </c>
      <c r="X17" s="101">
        <f t="shared" si="54"/>
        <v>0</v>
      </c>
      <c r="Y17" s="101">
        <f t="shared" si="54"/>
        <v>0</v>
      </c>
      <c r="DA17" s="175" t="s">
        <v>465</v>
      </c>
    </row>
    <row r="18" spans="1:105" ht="11.45" customHeight="1" x14ac:dyDescent="0.25">
      <c r="A18" s="111" t="s">
        <v>115</v>
      </c>
      <c r="B18" s="101">
        <f t="shared" ref="B18:K18" si="55">IF(B45=0,0,B45*B155)</f>
        <v>0</v>
      </c>
      <c r="C18" s="101">
        <f t="shared" si="55"/>
        <v>0</v>
      </c>
      <c r="D18" s="101">
        <f t="shared" si="55"/>
        <v>0</v>
      </c>
      <c r="E18" s="101">
        <f t="shared" si="55"/>
        <v>0</v>
      </c>
      <c r="F18" s="101">
        <f t="shared" si="55"/>
        <v>0</v>
      </c>
      <c r="G18" s="101">
        <f t="shared" si="55"/>
        <v>0</v>
      </c>
      <c r="H18" s="101">
        <f t="shared" si="55"/>
        <v>0</v>
      </c>
      <c r="I18" s="101">
        <f t="shared" si="55"/>
        <v>0</v>
      </c>
      <c r="J18" s="101">
        <f t="shared" si="55"/>
        <v>0</v>
      </c>
      <c r="K18" s="101">
        <f t="shared" si="55"/>
        <v>0</v>
      </c>
      <c r="L18" s="101">
        <f t="shared" ref="L18" si="56">IF(L45=0,0,L45*L155)</f>
        <v>0</v>
      </c>
      <c r="M18" s="101">
        <f t="shared" ref="M18:V18" si="57">IF(M45=0,0,M45*M155)</f>
        <v>0</v>
      </c>
      <c r="N18" s="101">
        <f t="shared" si="57"/>
        <v>0</v>
      </c>
      <c r="O18" s="101">
        <f t="shared" si="57"/>
        <v>0.43184190327058009</v>
      </c>
      <c r="P18" s="101">
        <f t="shared" si="57"/>
        <v>0.8918589418786006</v>
      </c>
      <c r="Q18" s="101">
        <f t="shared" si="57"/>
        <v>2.3303511687536655</v>
      </c>
      <c r="R18" s="101">
        <f t="shared" si="57"/>
        <v>2.8905280158865732</v>
      </c>
      <c r="S18" s="101">
        <f t="shared" si="57"/>
        <v>2.7556367290119366</v>
      </c>
      <c r="T18" s="101">
        <f t="shared" si="57"/>
        <v>14.354618745648889</v>
      </c>
      <c r="U18" s="101">
        <f t="shared" si="57"/>
        <v>38.558372002248554</v>
      </c>
      <c r="V18" s="101">
        <f t="shared" si="57"/>
        <v>91.343030661162487</v>
      </c>
      <c r="W18" s="101">
        <f t="shared" ref="W18:Y18" si="58">IF(W45=0,0,W45*W155)</f>
        <v>99.024939936968721</v>
      </c>
      <c r="X18" s="101">
        <f t="shared" si="58"/>
        <v>175.21690391869339</v>
      </c>
      <c r="Y18" s="101">
        <f t="shared" si="58"/>
        <v>435.65325014943824</v>
      </c>
      <c r="DA18" s="175" t="s">
        <v>466</v>
      </c>
    </row>
    <row r="19" spans="1:105" ht="11.45" customHeight="1" x14ac:dyDescent="0.25">
      <c r="A19" s="27" t="s">
        <v>28</v>
      </c>
      <c r="B19" s="29">
        <f t="shared" ref="B19:K19" si="59">B20+B26</f>
        <v>20597.183137878626</v>
      </c>
      <c r="C19" s="29">
        <f t="shared" si="59"/>
        <v>22079.669093679699</v>
      </c>
      <c r="D19" s="29">
        <f t="shared" si="59"/>
        <v>23048.892238714288</v>
      </c>
      <c r="E19" s="29">
        <f t="shared" si="59"/>
        <v>25937.177353010833</v>
      </c>
      <c r="F19" s="29">
        <f t="shared" si="59"/>
        <v>28774.311492893572</v>
      </c>
      <c r="G19" s="29">
        <f t="shared" si="59"/>
        <v>34019.260834924571</v>
      </c>
      <c r="H19" s="29">
        <f t="shared" si="59"/>
        <v>34247.514650639532</v>
      </c>
      <c r="I19" s="29">
        <f t="shared" si="59"/>
        <v>35678.886387928644</v>
      </c>
      <c r="J19" s="29">
        <f t="shared" si="59"/>
        <v>32986.294999946884</v>
      </c>
      <c r="K19" s="29">
        <f t="shared" si="59"/>
        <v>27230.648350590189</v>
      </c>
      <c r="L19" s="29">
        <f t="shared" ref="L19" si="60">L20+L26</f>
        <v>17717.505432640704</v>
      </c>
      <c r="M19" s="29">
        <f t="shared" ref="M19:V19" si="61">M20+M26</f>
        <v>17677.448522536462</v>
      </c>
      <c r="N19" s="29">
        <f t="shared" si="61"/>
        <v>19204.73448771752</v>
      </c>
      <c r="O19" s="29">
        <f t="shared" si="61"/>
        <v>19499.483059683989</v>
      </c>
      <c r="P19" s="29">
        <f t="shared" si="61"/>
        <v>19254.76154025297</v>
      </c>
      <c r="Q19" s="29">
        <f t="shared" si="61"/>
        <v>19333.106358937643</v>
      </c>
      <c r="R19" s="29">
        <f t="shared" si="61"/>
        <v>20985.891755656256</v>
      </c>
      <c r="S19" s="29">
        <f t="shared" si="61"/>
        <v>22552.268066572262</v>
      </c>
      <c r="T19" s="29">
        <f t="shared" si="61"/>
        <v>23381.722013088634</v>
      </c>
      <c r="U19" s="29">
        <f t="shared" si="61"/>
        <v>25963.727924404961</v>
      </c>
      <c r="V19" s="29">
        <f t="shared" si="61"/>
        <v>25524.374168579074</v>
      </c>
      <c r="W19" s="29">
        <f t="shared" ref="W19:Y19" si="62">W20+W26</f>
        <v>30825.229003836634</v>
      </c>
      <c r="X19" s="29">
        <f t="shared" si="62"/>
        <v>32434.146164794125</v>
      </c>
      <c r="Y19" s="29">
        <f t="shared" si="62"/>
        <v>33016.379025411108</v>
      </c>
      <c r="DA19" s="173" t="s">
        <v>381</v>
      </c>
    </row>
    <row r="20" spans="1:105" ht="11.45" customHeight="1" x14ac:dyDescent="0.25">
      <c r="A20" s="136" t="s">
        <v>153</v>
      </c>
      <c r="B20" s="152">
        <f t="shared" ref="B20:K20" si="63">SUM(B21:B25)</f>
        <v>1255.8714851009292</v>
      </c>
      <c r="C20" s="152">
        <f t="shared" si="63"/>
        <v>1299.6119361155752</v>
      </c>
      <c r="D20" s="152">
        <f t="shared" si="63"/>
        <v>1336.2771149525338</v>
      </c>
      <c r="E20" s="152">
        <f t="shared" si="63"/>
        <v>1394.4262605624356</v>
      </c>
      <c r="F20" s="152">
        <f t="shared" si="63"/>
        <v>1464.8664732670027</v>
      </c>
      <c r="G20" s="152">
        <f t="shared" si="63"/>
        <v>1510.0032937440651</v>
      </c>
      <c r="H20" s="152">
        <f t="shared" si="63"/>
        <v>1675.1179212927073</v>
      </c>
      <c r="I20" s="152">
        <f t="shared" si="63"/>
        <v>1764.2543438555024</v>
      </c>
      <c r="J20" s="152">
        <f t="shared" si="63"/>
        <v>2027.3610765730409</v>
      </c>
      <c r="K20" s="152">
        <f t="shared" si="63"/>
        <v>2082.3064127024982</v>
      </c>
      <c r="L20" s="152">
        <f t="shared" ref="L20" si="64">SUM(L21:L25)</f>
        <v>2102.468762561899</v>
      </c>
      <c r="M20" s="152">
        <f t="shared" ref="M20:V20" si="65">SUM(M21:M25)</f>
        <v>2229.9986566954749</v>
      </c>
      <c r="N20" s="152">
        <f t="shared" si="65"/>
        <v>2335.758884682029</v>
      </c>
      <c r="O20" s="152">
        <f t="shared" si="65"/>
        <v>2488.166065489102</v>
      </c>
      <c r="P20" s="152">
        <f t="shared" si="65"/>
        <v>2709.0543420531344</v>
      </c>
      <c r="Q20" s="152">
        <f t="shared" si="65"/>
        <v>2872.7284950737712</v>
      </c>
      <c r="R20" s="152">
        <f t="shared" si="65"/>
        <v>2965.9853231325274</v>
      </c>
      <c r="S20" s="152">
        <f t="shared" si="65"/>
        <v>3159.6890752589147</v>
      </c>
      <c r="T20" s="152">
        <f t="shared" si="65"/>
        <v>3433.722013088633</v>
      </c>
      <c r="U20" s="152">
        <f t="shared" si="65"/>
        <v>3648.72792440496</v>
      </c>
      <c r="V20" s="152">
        <f t="shared" si="65"/>
        <v>3848.3741685790719</v>
      </c>
      <c r="W20" s="152">
        <f t="shared" ref="W20:Y20" si="66">SUM(W21:W25)</f>
        <v>4033.2290038366327</v>
      </c>
      <c r="X20" s="152">
        <f t="shared" si="66"/>
        <v>4160.1461647941251</v>
      </c>
      <c r="Y20" s="152">
        <f t="shared" si="66"/>
        <v>4251.3790254111045</v>
      </c>
      <c r="DA20" s="174" t="s">
        <v>382</v>
      </c>
    </row>
    <row r="21" spans="1:105" ht="11.45" customHeight="1" x14ac:dyDescent="0.25">
      <c r="A21" s="111" t="s">
        <v>110</v>
      </c>
      <c r="B21" s="87">
        <f t="shared" ref="B21:K21" si="67">IF(B48=0,0,B48*B158)</f>
        <v>362.36130257369092</v>
      </c>
      <c r="C21" s="87">
        <f t="shared" si="67"/>
        <v>366.68552668520829</v>
      </c>
      <c r="D21" s="87">
        <f t="shared" si="67"/>
        <v>366.89441620980915</v>
      </c>
      <c r="E21" s="87">
        <f t="shared" si="67"/>
        <v>371.85999510619155</v>
      </c>
      <c r="F21" s="87">
        <f t="shared" si="67"/>
        <v>379.11673127696542</v>
      </c>
      <c r="G21" s="87">
        <f t="shared" si="67"/>
        <v>380.15445763442972</v>
      </c>
      <c r="H21" s="87">
        <f t="shared" si="67"/>
        <v>406.31062866386719</v>
      </c>
      <c r="I21" s="87">
        <f t="shared" si="67"/>
        <v>414.91133185307535</v>
      </c>
      <c r="J21" s="87">
        <f t="shared" si="67"/>
        <v>411.20850095197648</v>
      </c>
      <c r="K21" s="87">
        <f t="shared" si="67"/>
        <v>402.49875976393781</v>
      </c>
      <c r="L21" s="87">
        <f t="shared" ref="L21" si="68">IF(L48=0,0,L48*L158)</f>
        <v>383.34341168809141</v>
      </c>
      <c r="M21" s="87">
        <f t="shared" ref="M21:V21" si="69">IF(M48=0,0,M48*M158)</f>
        <v>370.12196858658865</v>
      </c>
      <c r="N21" s="87">
        <f t="shared" si="69"/>
        <v>358.9486582651835</v>
      </c>
      <c r="O21" s="87">
        <f t="shared" si="69"/>
        <v>331.3804530482663</v>
      </c>
      <c r="P21" s="87">
        <f t="shared" si="69"/>
        <v>307.43884495108665</v>
      </c>
      <c r="Q21" s="87">
        <f t="shared" si="69"/>
        <v>271.6609352240028</v>
      </c>
      <c r="R21" s="87">
        <f t="shared" si="69"/>
        <v>288.30960037175879</v>
      </c>
      <c r="S21" s="87">
        <f t="shared" si="69"/>
        <v>294.92246877018096</v>
      </c>
      <c r="T21" s="87">
        <f t="shared" si="69"/>
        <v>297.16206895537755</v>
      </c>
      <c r="U21" s="87">
        <f t="shared" si="69"/>
        <v>286.38766836740643</v>
      </c>
      <c r="V21" s="87">
        <f t="shared" si="69"/>
        <v>279.23011482331765</v>
      </c>
      <c r="W21" s="87">
        <f t="shared" ref="W21:Y21" si="70">IF(W48=0,0,W48*W158)</f>
        <v>275.34133173758562</v>
      </c>
      <c r="X21" s="87">
        <f t="shared" si="70"/>
        <v>271.41008160719389</v>
      </c>
      <c r="Y21" s="87">
        <f t="shared" si="70"/>
        <v>270.618404252814</v>
      </c>
      <c r="DA21" s="171" t="s">
        <v>467</v>
      </c>
    </row>
    <row r="22" spans="1:105" ht="11.45" customHeight="1" x14ac:dyDescent="0.25">
      <c r="A22" s="111" t="s">
        <v>111</v>
      </c>
      <c r="B22" s="87">
        <f t="shared" ref="B22:K22" si="71">IF(B49=0,0,B49*B159)</f>
        <v>893.51018252723827</v>
      </c>
      <c r="C22" s="87">
        <f t="shared" si="71"/>
        <v>932.92640943036702</v>
      </c>
      <c r="D22" s="87">
        <f t="shared" si="71"/>
        <v>969.38269874272464</v>
      </c>
      <c r="E22" s="87">
        <f t="shared" si="71"/>
        <v>1022.5662654562441</v>
      </c>
      <c r="F22" s="87">
        <f t="shared" si="71"/>
        <v>1085.7497419900371</v>
      </c>
      <c r="G22" s="87">
        <f t="shared" si="71"/>
        <v>1129.8488361096354</v>
      </c>
      <c r="H22" s="87">
        <f t="shared" si="71"/>
        <v>1268.8072926288401</v>
      </c>
      <c r="I22" s="87">
        <f t="shared" si="71"/>
        <v>1349.343012002427</v>
      </c>
      <c r="J22" s="87">
        <f t="shared" si="71"/>
        <v>1616.1479457500061</v>
      </c>
      <c r="K22" s="87">
        <f t="shared" si="71"/>
        <v>1679.8030374352895</v>
      </c>
      <c r="L22" s="87">
        <f t="shared" ref="L22" si="72">IF(L49=0,0,L49*L159)</f>
        <v>1719.1144187650932</v>
      </c>
      <c r="M22" s="87">
        <f t="shared" ref="M22:V22" si="73">IF(M49=0,0,M49*M159)</f>
        <v>1859.8579327220996</v>
      </c>
      <c r="N22" s="87">
        <f t="shared" si="73"/>
        <v>1976.7679544949031</v>
      </c>
      <c r="O22" s="87">
        <f t="shared" si="73"/>
        <v>2156.7307088046709</v>
      </c>
      <c r="P22" s="87">
        <f t="shared" si="73"/>
        <v>2401.5464732059263</v>
      </c>
      <c r="Q22" s="87">
        <f t="shared" si="73"/>
        <v>2601.0063895865246</v>
      </c>
      <c r="R22" s="87">
        <f t="shared" si="73"/>
        <v>2677.594785349695</v>
      </c>
      <c r="S22" s="87">
        <f t="shared" si="73"/>
        <v>2864.6411363641496</v>
      </c>
      <c r="T22" s="87">
        <f t="shared" si="73"/>
        <v>3136.3163036986343</v>
      </c>
      <c r="U22" s="87">
        <f t="shared" si="73"/>
        <v>3361.919356647621</v>
      </c>
      <c r="V22" s="87">
        <f t="shared" si="73"/>
        <v>3568.4478860220242</v>
      </c>
      <c r="W22" s="87">
        <f t="shared" ref="W22:Y22" si="74">IF(W49=0,0,W49*W159)</f>
        <v>3756.8995799818649</v>
      </c>
      <c r="X22" s="87">
        <f t="shared" si="74"/>
        <v>3887.0739022350444</v>
      </c>
      <c r="Y22" s="87">
        <f t="shared" si="74"/>
        <v>3977.4285430438304</v>
      </c>
      <c r="DA22" s="171" t="s">
        <v>468</v>
      </c>
    </row>
    <row r="23" spans="1:105" ht="11.45" customHeight="1" x14ac:dyDescent="0.25">
      <c r="A23" s="111" t="s">
        <v>112</v>
      </c>
      <c r="B23" s="87">
        <f t="shared" ref="B23:K23" si="75">IF(B50=0,0,B50*B160)</f>
        <v>0</v>
      </c>
      <c r="C23" s="87">
        <f t="shared" si="75"/>
        <v>0</v>
      </c>
      <c r="D23" s="87">
        <f t="shared" si="75"/>
        <v>0</v>
      </c>
      <c r="E23" s="87">
        <f t="shared" si="75"/>
        <v>0</v>
      </c>
      <c r="F23" s="87">
        <f t="shared" si="75"/>
        <v>0</v>
      </c>
      <c r="G23" s="87">
        <f t="shared" si="75"/>
        <v>0</v>
      </c>
      <c r="H23" s="87">
        <f t="shared" si="75"/>
        <v>0</v>
      </c>
      <c r="I23" s="87">
        <f t="shared" si="75"/>
        <v>0</v>
      </c>
      <c r="J23" s="87">
        <f t="shared" si="75"/>
        <v>4.629871058353198E-3</v>
      </c>
      <c r="K23" s="87">
        <f t="shared" si="75"/>
        <v>4.6155032707729067E-3</v>
      </c>
      <c r="L23" s="87">
        <f t="shared" ref="L23" si="76">IF(L50=0,0,L50*L160)</f>
        <v>4.5977773429028736E-3</v>
      </c>
      <c r="M23" s="87">
        <f t="shared" ref="M23:V23" si="77">IF(M50=0,0,M50*M160)</f>
        <v>9.2511615333151498E-3</v>
      </c>
      <c r="N23" s="87">
        <f t="shared" si="77"/>
        <v>2.3258378667107771E-2</v>
      </c>
      <c r="O23" s="87">
        <f t="shared" si="77"/>
        <v>2.3211342407230641E-2</v>
      </c>
      <c r="P23" s="87">
        <f t="shared" si="77"/>
        <v>2.7821662562734793E-2</v>
      </c>
      <c r="Q23" s="87">
        <f t="shared" si="77"/>
        <v>2.3133420413119856E-2</v>
      </c>
      <c r="R23" s="87">
        <f t="shared" si="77"/>
        <v>3.0234519373985417E-2</v>
      </c>
      <c r="S23" s="87">
        <f t="shared" si="77"/>
        <v>3.0431613405290086E-2</v>
      </c>
      <c r="T23" s="87">
        <f t="shared" si="77"/>
        <v>2.829362783979731E-2</v>
      </c>
      <c r="U23" s="87">
        <f t="shared" si="77"/>
        <v>2.8242183598000372E-2</v>
      </c>
      <c r="V23" s="87">
        <f t="shared" si="77"/>
        <v>2.5835507767606639E-2</v>
      </c>
      <c r="W23" s="87">
        <f t="shared" ref="W23:Y23" si="78">IF(W50=0,0,W50*W160)</f>
        <v>3.5147896448033039E-2</v>
      </c>
      <c r="X23" s="87">
        <f t="shared" si="78"/>
        <v>7.9436759729202083E-2</v>
      </c>
      <c r="Y23" s="87">
        <f t="shared" si="78"/>
        <v>0.11643967349026113</v>
      </c>
      <c r="DA23" s="171" t="s">
        <v>469</v>
      </c>
    </row>
    <row r="24" spans="1:105" ht="11.45" customHeight="1" x14ac:dyDescent="0.25">
      <c r="A24" s="111" t="s">
        <v>113</v>
      </c>
      <c r="B24" s="87">
        <f t="shared" ref="B24:K24" si="79">IF(B51=0,0,B51*B161)</f>
        <v>0</v>
      </c>
      <c r="C24" s="87">
        <f t="shared" si="79"/>
        <v>0</v>
      </c>
      <c r="D24" s="87">
        <f t="shared" si="79"/>
        <v>0</v>
      </c>
      <c r="E24" s="87">
        <f t="shared" si="79"/>
        <v>0</v>
      </c>
      <c r="F24" s="87">
        <f t="shared" si="79"/>
        <v>0</v>
      </c>
      <c r="G24" s="87">
        <f t="shared" si="79"/>
        <v>0</v>
      </c>
      <c r="H24" s="87">
        <f t="shared" si="79"/>
        <v>0</v>
      </c>
      <c r="I24" s="87">
        <f t="shared" si="79"/>
        <v>0</v>
      </c>
      <c r="J24" s="87">
        <f t="shared" si="79"/>
        <v>0</v>
      </c>
      <c r="K24" s="87">
        <f t="shared" si="79"/>
        <v>0</v>
      </c>
      <c r="L24" s="87">
        <f t="shared" ref="L24" si="80">IF(L51=0,0,L51*L161)</f>
        <v>0</v>
      </c>
      <c r="M24" s="87">
        <f t="shared" ref="M24:V24" si="81">IF(M51=0,0,M51*M161)</f>
        <v>0</v>
      </c>
      <c r="N24" s="87">
        <f t="shared" si="81"/>
        <v>0</v>
      </c>
      <c r="O24" s="87">
        <f t="shared" si="81"/>
        <v>0</v>
      </c>
      <c r="P24" s="87">
        <f t="shared" si="81"/>
        <v>0</v>
      </c>
      <c r="Q24" s="87">
        <f t="shared" si="81"/>
        <v>0</v>
      </c>
      <c r="R24" s="87">
        <f t="shared" si="81"/>
        <v>0</v>
      </c>
      <c r="S24" s="87">
        <f t="shared" si="81"/>
        <v>0</v>
      </c>
      <c r="T24" s="87">
        <f t="shared" si="81"/>
        <v>0</v>
      </c>
      <c r="U24" s="87">
        <f t="shared" si="81"/>
        <v>0</v>
      </c>
      <c r="V24" s="87">
        <f t="shared" si="81"/>
        <v>0</v>
      </c>
      <c r="W24" s="87">
        <f t="shared" ref="W24:Y24" si="82">IF(W51=0,0,W51*W161)</f>
        <v>0</v>
      </c>
      <c r="X24" s="87">
        <f t="shared" si="82"/>
        <v>0</v>
      </c>
      <c r="Y24" s="87">
        <f t="shared" si="82"/>
        <v>0</v>
      </c>
      <c r="DA24" s="171" t="s">
        <v>470</v>
      </c>
    </row>
    <row r="25" spans="1:105" ht="11.45" customHeight="1" x14ac:dyDescent="0.25">
      <c r="A25" s="111" t="s">
        <v>115</v>
      </c>
      <c r="B25" s="87">
        <f t="shared" ref="B25:K25" si="83">IF(B52=0,0,B52*B162)</f>
        <v>0</v>
      </c>
      <c r="C25" s="87">
        <f t="shared" si="83"/>
        <v>0</v>
      </c>
      <c r="D25" s="87">
        <f t="shared" si="83"/>
        <v>0</v>
      </c>
      <c r="E25" s="87">
        <f t="shared" si="83"/>
        <v>0</v>
      </c>
      <c r="F25" s="87">
        <f t="shared" si="83"/>
        <v>0</v>
      </c>
      <c r="G25" s="87">
        <f t="shared" si="83"/>
        <v>0</v>
      </c>
      <c r="H25" s="87">
        <f t="shared" si="83"/>
        <v>0</v>
      </c>
      <c r="I25" s="87">
        <f t="shared" si="83"/>
        <v>0</v>
      </c>
      <c r="J25" s="87">
        <f t="shared" si="83"/>
        <v>0</v>
      </c>
      <c r="K25" s="87">
        <f t="shared" si="83"/>
        <v>0</v>
      </c>
      <c r="L25" s="87">
        <f t="shared" ref="L25" si="84">IF(L52=0,0,L52*L162)</f>
        <v>6.3343313715234616E-3</v>
      </c>
      <c r="M25" s="87">
        <f t="shared" ref="M25:V25" si="85">IF(M52=0,0,M52*M162)</f>
        <v>9.5042252535196756E-3</v>
      </c>
      <c r="N25" s="87">
        <f t="shared" si="85"/>
        <v>1.9013543275342784E-2</v>
      </c>
      <c r="O25" s="87">
        <f t="shared" si="85"/>
        <v>3.169229375770112E-2</v>
      </c>
      <c r="P25" s="87">
        <f t="shared" si="85"/>
        <v>4.1202233558366975E-2</v>
      </c>
      <c r="Q25" s="87">
        <f t="shared" si="85"/>
        <v>3.8036842830407494E-2</v>
      </c>
      <c r="R25" s="87">
        <f t="shared" si="85"/>
        <v>5.0702891699446868E-2</v>
      </c>
      <c r="S25" s="87">
        <f t="shared" si="85"/>
        <v>9.5038511179358465E-2</v>
      </c>
      <c r="T25" s="87">
        <f t="shared" si="85"/>
        <v>0.21534680678139487</v>
      </c>
      <c r="U25" s="87">
        <f t="shared" si="85"/>
        <v>0.39265720633401469</v>
      </c>
      <c r="V25" s="87">
        <f t="shared" si="85"/>
        <v>0.67033222596246389</v>
      </c>
      <c r="W25" s="87">
        <f t="shared" ref="W25:Y25" si="86">IF(W52=0,0,W52*W162)</f>
        <v>0.95294422073384932</v>
      </c>
      <c r="X25" s="87">
        <f t="shared" si="86"/>
        <v>1.582744192157709</v>
      </c>
      <c r="Y25" s="87">
        <f t="shared" si="86"/>
        <v>3.2156384409699301</v>
      </c>
      <c r="DA25" s="171" t="s">
        <v>471</v>
      </c>
    </row>
    <row r="26" spans="1:105" ht="11.45" customHeight="1" x14ac:dyDescent="0.25">
      <c r="A26" s="109" t="s">
        <v>154</v>
      </c>
      <c r="B26" s="116">
        <f t="shared" ref="B26:K26" si="87">SUM(B27:B28)</f>
        <v>19341.311652777698</v>
      </c>
      <c r="C26" s="116">
        <f t="shared" si="87"/>
        <v>20780.057157564122</v>
      </c>
      <c r="D26" s="116">
        <f t="shared" si="87"/>
        <v>21712.615123761756</v>
      </c>
      <c r="E26" s="116">
        <f t="shared" si="87"/>
        <v>24542.751092448398</v>
      </c>
      <c r="F26" s="116">
        <f t="shared" si="87"/>
        <v>27309.445019626568</v>
      </c>
      <c r="G26" s="116">
        <f t="shared" si="87"/>
        <v>32509.257541180508</v>
      </c>
      <c r="H26" s="116">
        <f t="shared" si="87"/>
        <v>32572.396729346827</v>
      </c>
      <c r="I26" s="116">
        <f t="shared" si="87"/>
        <v>33914.632044073143</v>
      </c>
      <c r="J26" s="116">
        <f t="shared" si="87"/>
        <v>30958.933923373846</v>
      </c>
      <c r="K26" s="116">
        <f t="shared" si="87"/>
        <v>25148.34193788769</v>
      </c>
      <c r="L26" s="116">
        <f t="shared" ref="L26" si="88">SUM(L27:L28)</f>
        <v>15615.036670078807</v>
      </c>
      <c r="M26" s="116">
        <f t="shared" ref="M26:V26" si="89">SUM(M27:M28)</f>
        <v>15447.449865840988</v>
      </c>
      <c r="N26" s="116">
        <f t="shared" si="89"/>
        <v>16868.975603035491</v>
      </c>
      <c r="O26" s="116">
        <f t="shared" si="89"/>
        <v>17011.316994194887</v>
      </c>
      <c r="P26" s="116">
        <f t="shared" si="89"/>
        <v>16545.707198199834</v>
      </c>
      <c r="Q26" s="116">
        <f t="shared" si="89"/>
        <v>16460.377863863872</v>
      </c>
      <c r="R26" s="116">
        <f t="shared" si="89"/>
        <v>18019.906432523727</v>
      </c>
      <c r="S26" s="116">
        <f t="shared" si="89"/>
        <v>19392.578991313349</v>
      </c>
      <c r="T26" s="116">
        <f t="shared" si="89"/>
        <v>19948</v>
      </c>
      <c r="U26" s="116">
        <f t="shared" si="89"/>
        <v>22315</v>
      </c>
      <c r="V26" s="116">
        <f t="shared" si="89"/>
        <v>21676</v>
      </c>
      <c r="W26" s="116">
        <f t="shared" ref="W26:Y26" si="90">SUM(W27:W28)</f>
        <v>26792</v>
      </c>
      <c r="X26" s="116">
        <f t="shared" si="90"/>
        <v>28274</v>
      </c>
      <c r="Y26" s="116">
        <f t="shared" si="90"/>
        <v>28765</v>
      </c>
      <c r="DA26" s="176" t="s">
        <v>383</v>
      </c>
    </row>
    <row r="27" spans="1:105" ht="11.45" customHeight="1" x14ac:dyDescent="0.25">
      <c r="A27" s="128" t="s">
        <v>27</v>
      </c>
      <c r="B27" s="101">
        <f t="shared" ref="B27:K27" si="91">IF(B54=0,0,B54*B164)</f>
        <v>9880</v>
      </c>
      <c r="C27" s="101">
        <f t="shared" si="91"/>
        <v>10645</v>
      </c>
      <c r="D27" s="101">
        <f t="shared" si="91"/>
        <v>10980</v>
      </c>
      <c r="E27" s="101">
        <f t="shared" si="91"/>
        <v>13637</v>
      </c>
      <c r="F27" s="101">
        <f t="shared" si="91"/>
        <v>14651</v>
      </c>
      <c r="G27" s="101">
        <f t="shared" si="91"/>
        <v>19399</v>
      </c>
      <c r="H27" s="101">
        <f t="shared" si="91"/>
        <v>22723</v>
      </c>
      <c r="I27" s="101">
        <f t="shared" si="91"/>
        <v>23932</v>
      </c>
      <c r="J27" s="101">
        <f t="shared" si="91"/>
        <v>23190</v>
      </c>
      <c r="K27" s="101">
        <f t="shared" si="91"/>
        <v>20879</v>
      </c>
      <c r="L27" s="101">
        <f t="shared" ref="L27:V27" si="92">IF(L54=0,0,L54*L164)</f>
        <v>12096</v>
      </c>
      <c r="M27" s="101">
        <f t="shared" si="92"/>
        <v>11858</v>
      </c>
      <c r="N27" s="101">
        <f t="shared" si="92"/>
        <v>12673</v>
      </c>
      <c r="O27" s="101">
        <f t="shared" si="92"/>
        <v>12505</v>
      </c>
      <c r="P27" s="101">
        <f t="shared" si="92"/>
        <v>12136</v>
      </c>
      <c r="Q27" s="101">
        <f t="shared" si="92"/>
        <v>12068</v>
      </c>
      <c r="R27" s="101">
        <f t="shared" si="92"/>
        <v>13140</v>
      </c>
      <c r="S27" s="101">
        <f t="shared" si="92"/>
        <v>13548</v>
      </c>
      <c r="T27" s="101">
        <f t="shared" si="92"/>
        <v>14358</v>
      </c>
      <c r="U27" s="101">
        <f t="shared" si="92"/>
        <v>16675</v>
      </c>
      <c r="V27" s="101">
        <f t="shared" si="92"/>
        <v>17281</v>
      </c>
      <c r="W27" s="101">
        <f t="shared" ref="W27:Y27" si="93">IF(W54=0,0,W54*W164)</f>
        <v>20458</v>
      </c>
      <c r="X27" s="101">
        <f t="shared" si="93"/>
        <v>21994</v>
      </c>
      <c r="Y27" s="101">
        <f t="shared" si="93"/>
        <v>22313</v>
      </c>
      <c r="DA27" s="175" t="s">
        <v>472</v>
      </c>
    </row>
    <row r="28" spans="1:105" ht="11.45" customHeight="1" x14ac:dyDescent="0.25">
      <c r="A28" s="138" t="s">
        <v>116</v>
      </c>
      <c r="B28" s="88">
        <f t="shared" ref="B28:K28" si="94">IF(B55=0,0,B55*B165)</f>
        <v>9461.3116527776983</v>
      </c>
      <c r="C28" s="88">
        <f t="shared" si="94"/>
        <v>10135.057157564122</v>
      </c>
      <c r="D28" s="88">
        <f t="shared" si="94"/>
        <v>10732.615123761756</v>
      </c>
      <c r="E28" s="88">
        <f t="shared" si="94"/>
        <v>10905.751092448398</v>
      </c>
      <c r="F28" s="88">
        <f t="shared" si="94"/>
        <v>12658.445019626568</v>
      </c>
      <c r="G28" s="88">
        <f t="shared" si="94"/>
        <v>13110.257541180508</v>
      </c>
      <c r="H28" s="88">
        <f t="shared" si="94"/>
        <v>9849.3967293468268</v>
      </c>
      <c r="I28" s="88">
        <f t="shared" si="94"/>
        <v>9982.6320440731433</v>
      </c>
      <c r="J28" s="88">
        <f t="shared" si="94"/>
        <v>7768.9339233738465</v>
      </c>
      <c r="K28" s="88">
        <f t="shared" si="94"/>
        <v>4269.3419378876897</v>
      </c>
      <c r="L28" s="88">
        <f t="shared" ref="L28:V28" si="95">IF(L55=0,0,L55*L165)</f>
        <v>3519.0366700788072</v>
      </c>
      <c r="M28" s="88">
        <f t="shared" si="95"/>
        <v>3589.4498658409884</v>
      </c>
      <c r="N28" s="88">
        <f t="shared" si="95"/>
        <v>4195.9756030354911</v>
      </c>
      <c r="O28" s="88">
        <f t="shared" si="95"/>
        <v>4506.3169941948872</v>
      </c>
      <c r="P28" s="88">
        <f t="shared" si="95"/>
        <v>4409.7071981998342</v>
      </c>
      <c r="Q28" s="88">
        <f t="shared" si="95"/>
        <v>4392.3778638638723</v>
      </c>
      <c r="R28" s="88">
        <f t="shared" si="95"/>
        <v>4879.9064325237268</v>
      </c>
      <c r="S28" s="88">
        <f t="shared" si="95"/>
        <v>5844.5789913133485</v>
      </c>
      <c r="T28" s="88">
        <f t="shared" si="95"/>
        <v>5590</v>
      </c>
      <c r="U28" s="88">
        <f t="shared" si="95"/>
        <v>5640</v>
      </c>
      <c r="V28" s="88">
        <f t="shared" si="95"/>
        <v>4395</v>
      </c>
      <c r="W28" s="88">
        <f t="shared" ref="W28:Y28" si="96">IF(W55=0,0,W55*W165)</f>
        <v>6334</v>
      </c>
      <c r="X28" s="88">
        <f t="shared" si="96"/>
        <v>6280</v>
      </c>
      <c r="Y28" s="88">
        <f t="shared" si="96"/>
        <v>6452</v>
      </c>
      <c r="DA28" s="178" t="s">
        <v>473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DA29" s="171"/>
    </row>
    <row r="30" spans="1:105" ht="11.45" customHeight="1" x14ac:dyDescent="0.25">
      <c r="A30" s="53" t="s">
        <v>134</v>
      </c>
      <c r="B30" s="62">
        <f t="shared" ref="B30" si="97">B31+B46</f>
        <v>26129.350373884106</v>
      </c>
      <c r="C30" s="62">
        <f t="shared" ref="C30:V30" si="98">C31+C46</f>
        <v>32074.188262896743</v>
      </c>
      <c r="D30" s="62">
        <f t="shared" si="98"/>
        <v>32991.414664044976</v>
      </c>
      <c r="E30" s="62">
        <f t="shared" si="98"/>
        <v>35530.073965629243</v>
      </c>
      <c r="F30" s="62">
        <f t="shared" si="98"/>
        <v>37828.622751218056</v>
      </c>
      <c r="G30" s="62">
        <f t="shared" si="98"/>
        <v>38188.193280706233</v>
      </c>
      <c r="H30" s="62">
        <f t="shared" si="98"/>
        <v>39230.575876144096</v>
      </c>
      <c r="I30" s="62">
        <f t="shared" si="98"/>
        <v>42463.946018027884</v>
      </c>
      <c r="J30" s="62">
        <f t="shared" si="98"/>
        <v>43982.626253711365</v>
      </c>
      <c r="K30" s="62">
        <f t="shared" si="98"/>
        <v>45775.179997771862</v>
      </c>
      <c r="L30" s="62">
        <f t="shared" si="98"/>
        <v>46156.79510932041</v>
      </c>
      <c r="M30" s="62">
        <f t="shared" si="98"/>
        <v>48335.289082282732</v>
      </c>
      <c r="N30" s="62">
        <f t="shared" si="98"/>
        <v>50624.376619186551</v>
      </c>
      <c r="O30" s="62">
        <f t="shared" si="98"/>
        <v>53052.536576849743</v>
      </c>
      <c r="P30" s="62">
        <f t="shared" si="98"/>
        <v>55703.592775302262</v>
      </c>
      <c r="Q30" s="62">
        <f t="shared" si="98"/>
        <v>58337.393306073129</v>
      </c>
      <c r="R30" s="62">
        <f t="shared" si="98"/>
        <v>61040.219529171743</v>
      </c>
      <c r="S30" s="62">
        <f t="shared" si="98"/>
        <v>62722.264395625432</v>
      </c>
      <c r="T30" s="62">
        <f t="shared" si="98"/>
        <v>66847.920189940196</v>
      </c>
      <c r="U30" s="62">
        <f t="shared" si="98"/>
        <v>71643.822648347705</v>
      </c>
      <c r="V30" s="62">
        <f t="shared" si="98"/>
        <v>67217.753306251587</v>
      </c>
      <c r="W30" s="62">
        <f t="shared" ref="W30:Y30" si="99">W31+W46</f>
        <v>73466.462206414464</v>
      </c>
      <c r="X30" s="62">
        <f t="shared" si="99"/>
        <v>80499.924344434126</v>
      </c>
      <c r="Y30" s="62">
        <f t="shared" si="99"/>
        <v>87200.247968652213</v>
      </c>
      <c r="DA30" s="172" t="s">
        <v>474</v>
      </c>
    </row>
    <row r="31" spans="1:105" ht="11.45" customHeight="1" x14ac:dyDescent="0.25">
      <c r="A31" s="27" t="s">
        <v>33</v>
      </c>
      <c r="B31" s="29">
        <f t="shared" ref="B31" si="100">B32+B33+B40</f>
        <v>20830.937498234278</v>
      </c>
      <c r="C31" s="29">
        <f t="shared" ref="C31:V31" si="101">C32+C33+C40</f>
        <v>26539.363375368473</v>
      </c>
      <c r="D31" s="29">
        <f t="shared" si="101"/>
        <v>27287.884482216155</v>
      </c>
      <c r="E31" s="29">
        <f t="shared" si="101"/>
        <v>29448.032298077502</v>
      </c>
      <c r="F31" s="29">
        <f t="shared" si="101"/>
        <v>31322.24686230989</v>
      </c>
      <c r="G31" s="29">
        <f t="shared" si="101"/>
        <v>31181.989587060987</v>
      </c>
      <c r="H31" s="29">
        <f t="shared" si="101"/>
        <v>31730.508441528196</v>
      </c>
      <c r="I31" s="29">
        <f t="shared" si="101"/>
        <v>34701.309654384662</v>
      </c>
      <c r="J31" s="29">
        <f t="shared" si="101"/>
        <v>35621.017835785962</v>
      </c>
      <c r="K31" s="29">
        <f t="shared" si="101"/>
        <v>37655.843697948527</v>
      </c>
      <c r="L31" s="29">
        <f t="shared" si="101"/>
        <v>38698.6958464458</v>
      </c>
      <c r="M31" s="29">
        <f t="shared" si="101"/>
        <v>40506.594017485855</v>
      </c>
      <c r="N31" s="29">
        <f t="shared" si="101"/>
        <v>42394.613566426517</v>
      </c>
      <c r="O31" s="29">
        <f t="shared" si="101"/>
        <v>44378.048374268124</v>
      </c>
      <c r="P31" s="29">
        <f t="shared" si="101"/>
        <v>46446.878265275198</v>
      </c>
      <c r="Q31" s="29">
        <f t="shared" si="101"/>
        <v>48646.552172904361</v>
      </c>
      <c r="R31" s="29">
        <f t="shared" si="101"/>
        <v>50945.677553077789</v>
      </c>
      <c r="S31" s="29">
        <f t="shared" si="101"/>
        <v>51934.977952746769</v>
      </c>
      <c r="T31" s="29">
        <f t="shared" si="101"/>
        <v>55194.674416486276</v>
      </c>
      <c r="U31" s="29">
        <f t="shared" si="101"/>
        <v>59214.558186018839</v>
      </c>
      <c r="V31" s="29">
        <f t="shared" si="101"/>
        <v>54316.096904649829</v>
      </c>
      <c r="W31" s="29">
        <f t="shared" ref="W31:Y31" si="102">W32+W33+W40</f>
        <v>59718.98089095913</v>
      </c>
      <c r="X31" s="29">
        <f t="shared" si="102"/>
        <v>66291.854804383824</v>
      </c>
      <c r="Y31" s="29">
        <f t="shared" si="102"/>
        <v>72692.220520663002</v>
      </c>
      <c r="DA31" s="173" t="s">
        <v>475</v>
      </c>
    </row>
    <row r="32" spans="1:105" ht="11.45" customHeight="1" x14ac:dyDescent="0.25">
      <c r="A32" s="136" t="s">
        <v>173</v>
      </c>
      <c r="B32" s="152">
        <v>230.09992738204568</v>
      </c>
      <c r="C32" s="152">
        <v>229.07266834369096</v>
      </c>
      <c r="D32" s="152">
        <v>228.04489719644454</v>
      </c>
      <c r="E32" s="152">
        <v>229.80261542419271</v>
      </c>
      <c r="F32" s="152">
        <v>232.52188440687289</v>
      </c>
      <c r="G32" s="152">
        <v>235.20617065247765</v>
      </c>
      <c r="H32" s="152">
        <v>256.88670200056049</v>
      </c>
      <c r="I32" s="152">
        <v>276.91419334708405</v>
      </c>
      <c r="J32" s="152">
        <v>343.8</v>
      </c>
      <c r="K32" s="152">
        <v>375.92</v>
      </c>
      <c r="L32" s="152">
        <v>397.15000000000003</v>
      </c>
      <c r="M32" s="152">
        <v>421.73999999999995</v>
      </c>
      <c r="N32" s="152">
        <v>443.52</v>
      </c>
      <c r="O32" s="152">
        <v>476</v>
      </c>
      <c r="P32" s="152">
        <v>500.48</v>
      </c>
      <c r="Q32" s="152">
        <v>529</v>
      </c>
      <c r="R32" s="152">
        <v>573.27915717345115</v>
      </c>
      <c r="S32" s="152">
        <v>547.2760512817631</v>
      </c>
      <c r="T32" s="152">
        <v>527.18811269303581</v>
      </c>
      <c r="U32" s="152">
        <v>564.42079903202603</v>
      </c>
      <c r="V32" s="152">
        <v>514.54108129901533</v>
      </c>
      <c r="W32" s="152">
        <v>543.96057844230711</v>
      </c>
      <c r="X32" s="152">
        <v>561.06066382363497</v>
      </c>
      <c r="Y32" s="152">
        <v>617.27219644178274</v>
      </c>
      <c r="DA32" s="174" t="s">
        <v>476</v>
      </c>
    </row>
    <row r="33" spans="1:105" ht="11.45" customHeight="1" x14ac:dyDescent="0.25">
      <c r="A33" s="109" t="s">
        <v>20</v>
      </c>
      <c r="B33" s="116">
        <f t="shared" ref="B33" si="103">SUM(B34:B39)</f>
        <v>19779.593427977696</v>
      </c>
      <c r="C33" s="116">
        <f t="shared" ref="C33:V33" si="104">SUM(C34:C39)</f>
        <v>25406.114406169232</v>
      </c>
      <c r="D33" s="116">
        <f t="shared" si="104"/>
        <v>26208.517298198516</v>
      </c>
      <c r="E33" s="116">
        <f t="shared" si="104"/>
        <v>28243.396344235196</v>
      </c>
      <c r="F33" s="116">
        <f t="shared" si="104"/>
        <v>29972.796426645364</v>
      </c>
      <c r="G33" s="116">
        <f t="shared" si="104"/>
        <v>29823.709904235118</v>
      </c>
      <c r="H33" s="116">
        <f t="shared" si="104"/>
        <v>30456.808337305378</v>
      </c>
      <c r="I33" s="116">
        <f t="shared" si="104"/>
        <v>33225.231792916195</v>
      </c>
      <c r="J33" s="116">
        <f t="shared" si="104"/>
        <v>33644.217835785959</v>
      </c>
      <c r="K33" s="116">
        <f t="shared" si="104"/>
        <v>35620.923697948529</v>
      </c>
      <c r="L33" s="116">
        <f t="shared" si="104"/>
        <v>36611.545846445799</v>
      </c>
      <c r="M33" s="116">
        <f t="shared" si="104"/>
        <v>38327.854017485857</v>
      </c>
      <c r="N33" s="116">
        <f t="shared" si="104"/>
        <v>40124.09356642652</v>
      </c>
      <c r="O33" s="116">
        <f t="shared" si="104"/>
        <v>42002.048374268124</v>
      </c>
      <c r="P33" s="116">
        <f t="shared" si="104"/>
        <v>43970.398265275195</v>
      </c>
      <c r="Q33" s="116">
        <f t="shared" si="104"/>
        <v>46063.552172904361</v>
      </c>
      <c r="R33" s="116">
        <f t="shared" si="104"/>
        <v>48239.522555359079</v>
      </c>
      <c r="S33" s="116">
        <f t="shared" si="104"/>
        <v>49204.136790339384</v>
      </c>
      <c r="T33" s="116">
        <f t="shared" si="104"/>
        <v>52429.963931439968</v>
      </c>
      <c r="U33" s="116">
        <f t="shared" si="104"/>
        <v>56354.958196040556</v>
      </c>
      <c r="V33" s="116">
        <f t="shared" si="104"/>
        <v>51444.969420279638</v>
      </c>
      <c r="W33" s="116">
        <f t="shared" ref="W33:Y33" si="105">SUM(W34:W39)</f>
        <v>56752.306970466831</v>
      </c>
      <c r="X33" s="116">
        <f t="shared" si="105"/>
        <v>63237.30495235922</v>
      </c>
      <c r="Y33" s="116">
        <f t="shared" si="105"/>
        <v>69505.53147738085</v>
      </c>
      <c r="DA33" s="176" t="s">
        <v>477</v>
      </c>
    </row>
    <row r="34" spans="1:105" ht="11.45" customHeight="1" x14ac:dyDescent="0.25">
      <c r="A34" s="111" t="s">
        <v>110</v>
      </c>
      <c r="B34" s="87">
        <v>17228.015919761041</v>
      </c>
      <c r="C34" s="87">
        <v>21965.748434681977</v>
      </c>
      <c r="D34" s="87">
        <v>21751.144554495659</v>
      </c>
      <c r="E34" s="87">
        <v>22409.545340970508</v>
      </c>
      <c r="F34" s="87">
        <v>23016.6763284767</v>
      </c>
      <c r="G34" s="87">
        <v>20831.084831510838</v>
      </c>
      <c r="H34" s="87">
        <v>19686.092381450984</v>
      </c>
      <c r="I34" s="87">
        <v>19570.541238116512</v>
      </c>
      <c r="J34" s="87">
        <v>17078.108186560927</v>
      </c>
      <c r="K34" s="87">
        <v>17138.505774612433</v>
      </c>
      <c r="L34" s="87">
        <v>17790.84173286206</v>
      </c>
      <c r="M34" s="87">
        <v>16208.001279291706</v>
      </c>
      <c r="N34" s="87">
        <v>16119.225014609479</v>
      </c>
      <c r="O34" s="87">
        <v>17641.402296182368</v>
      </c>
      <c r="P34" s="87">
        <v>19357.930872639692</v>
      </c>
      <c r="Q34" s="87">
        <v>19382.216372361989</v>
      </c>
      <c r="R34" s="87">
        <v>18825.161891365573</v>
      </c>
      <c r="S34" s="87">
        <v>18499.129350760002</v>
      </c>
      <c r="T34" s="87">
        <v>18694.738421993825</v>
      </c>
      <c r="U34" s="87">
        <v>19275.18827700222</v>
      </c>
      <c r="V34" s="87">
        <v>18302.149925454065</v>
      </c>
      <c r="W34" s="87">
        <v>20439.208740093785</v>
      </c>
      <c r="X34" s="87">
        <v>21694.544210810749</v>
      </c>
      <c r="Y34" s="87">
        <v>23245.473746791984</v>
      </c>
      <c r="DA34" s="171" t="s">
        <v>478</v>
      </c>
    </row>
    <row r="35" spans="1:105" ht="11.45" customHeight="1" x14ac:dyDescent="0.25">
      <c r="A35" s="111" t="s">
        <v>111</v>
      </c>
      <c r="B35" s="87">
        <v>2551.5775082166547</v>
      </c>
      <c r="C35" s="87">
        <v>3440.365971487256</v>
      </c>
      <c r="D35" s="87">
        <v>4413.9310517753402</v>
      </c>
      <c r="E35" s="87">
        <v>5722.5928560590219</v>
      </c>
      <c r="F35" s="87">
        <v>6687.1869114916954</v>
      </c>
      <c r="G35" s="87">
        <v>8725.253618814113</v>
      </c>
      <c r="H35" s="87">
        <v>10503.743670376462</v>
      </c>
      <c r="I35" s="87">
        <v>13278.199931544983</v>
      </c>
      <c r="J35" s="87">
        <v>16240.07318900937</v>
      </c>
      <c r="K35" s="87">
        <v>18187.672142633623</v>
      </c>
      <c r="L35" s="87">
        <v>18564.630116491695</v>
      </c>
      <c r="M35" s="87">
        <v>21323.653433273987</v>
      </c>
      <c r="N35" s="87">
        <v>23303.278196221567</v>
      </c>
      <c r="O35" s="87">
        <v>23713.478056666045</v>
      </c>
      <c r="P35" s="87">
        <v>23890.727925364994</v>
      </c>
      <c r="Q35" s="87">
        <v>25791.615042823811</v>
      </c>
      <c r="R35" s="87">
        <v>28497.267042377705</v>
      </c>
      <c r="S35" s="87">
        <v>29551.372391800454</v>
      </c>
      <c r="T35" s="87">
        <v>32460.265730418072</v>
      </c>
      <c r="U35" s="87">
        <v>35651.199392764414</v>
      </c>
      <c r="V35" s="87">
        <v>31511.026082840781</v>
      </c>
      <c r="W35" s="87">
        <v>34062.926485079865</v>
      </c>
      <c r="X35" s="87">
        <v>39021.008337760068</v>
      </c>
      <c r="Y35" s="87">
        <v>43300.348246576104</v>
      </c>
      <c r="DA35" s="171" t="s">
        <v>479</v>
      </c>
    </row>
    <row r="36" spans="1:105" ht="11.45" customHeight="1" x14ac:dyDescent="0.25">
      <c r="A36" s="111" t="s">
        <v>112</v>
      </c>
      <c r="B36" s="87">
        <v>0</v>
      </c>
      <c r="C36" s="87">
        <v>0</v>
      </c>
      <c r="D36" s="87">
        <v>43.441691927518086</v>
      </c>
      <c r="E36" s="87">
        <v>111.25814720566507</v>
      </c>
      <c r="F36" s="87">
        <v>268.93318667696838</v>
      </c>
      <c r="G36" s="87">
        <v>267.37145391016833</v>
      </c>
      <c r="H36" s="87">
        <v>266.97228547793134</v>
      </c>
      <c r="I36" s="87">
        <v>376.49062325469691</v>
      </c>
      <c r="J36" s="87">
        <v>326.03646021566072</v>
      </c>
      <c r="K36" s="87">
        <v>294.73457403058535</v>
      </c>
      <c r="L36" s="87">
        <v>253.96596446729421</v>
      </c>
      <c r="M36" s="87">
        <v>791.16037511648824</v>
      </c>
      <c r="N36" s="87">
        <v>691.18514043462096</v>
      </c>
      <c r="O36" s="87">
        <v>633.82892447421136</v>
      </c>
      <c r="P36" s="87">
        <v>706.2832805841399</v>
      </c>
      <c r="Q36" s="87">
        <v>872.66910039310289</v>
      </c>
      <c r="R36" s="87">
        <v>898.08699214780097</v>
      </c>
      <c r="S36" s="87">
        <v>1129.9759270164895</v>
      </c>
      <c r="T36" s="87">
        <v>1244.0188342980121</v>
      </c>
      <c r="U36" s="87">
        <v>1379.4752390438896</v>
      </c>
      <c r="V36" s="87">
        <v>1557.3587291858903</v>
      </c>
      <c r="W36" s="87">
        <v>2074.7863671355412</v>
      </c>
      <c r="X36" s="87">
        <v>2180.5958766480867</v>
      </c>
      <c r="Y36" s="87">
        <v>2426.4896787642115</v>
      </c>
      <c r="DA36" s="171" t="s">
        <v>480</v>
      </c>
    </row>
    <row r="37" spans="1:105" ht="11.45" customHeight="1" x14ac:dyDescent="0.25">
      <c r="A37" s="111" t="s">
        <v>113</v>
      </c>
      <c r="B37" s="87">
        <v>0</v>
      </c>
      <c r="C37" s="87">
        <v>0</v>
      </c>
      <c r="D37" s="87">
        <v>0</v>
      </c>
      <c r="E37" s="87">
        <v>0</v>
      </c>
      <c r="F37" s="87">
        <v>0</v>
      </c>
      <c r="G37" s="87">
        <v>0</v>
      </c>
      <c r="H37" s="87">
        <v>0</v>
      </c>
      <c r="I37" s="87">
        <v>0</v>
      </c>
      <c r="J37" s="87">
        <v>0</v>
      </c>
      <c r="K37" s="87">
        <v>0</v>
      </c>
      <c r="L37" s="87">
        <v>0</v>
      </c>
      <c r="M37" s="87">
        <v>0</v>
      </c>
      <c r="N37" s="87">
        <v>0</v>
      </c>
      <c r="O37" s="87">
        <v>0</v>
      </c>
      <c r="P37" s="87">
        <v>0</v>
      </c>
      <c r="Q37" s="87">
        <v>0</v>
      </c>
      <c r="R37" s="87">
        <v>0</v>
      </c>
      <c r="S37" s="87">
        <v>0</v>
      </c>
      <c r="T37" s="87">
        <v>0</v>
      </c>
      <c r="U37" s="87">
        <v>0</v>
      </c>
      <c r="V37" s="87">
        <v>0</v>
      </c>
      <c r="W37" s="87">
        <v>0</v>
      </c>
      <c r="X37" s="87">
        <v>0</v>
      </c>
      <c r="Y37" s="87">
        <v>0</v>
      </c>
      <c r="DA37" s="171" t="s">
        <v>481</v>
      </c>
    </row>
    <row r="38" spans="1:105" ht="11.45" customHeight="1" x14ac:dyDescent="0.25">
      <c r="A38" s="111" t="s">
        <v>114</v>
      </c>
      <c r="B38" s="87">
        <v>0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0</v>
      </c>
      <c r="K38" s="87">
        <v>0</v>
      </c>
      <c r="L38" s="87">
        <v>0</v>
      </c>
      <c r="M38" s="87">
        <v>0</v>
      </c>
      <c r="N38" s="87">
        <v>0.99488749628890705</v>
      </c>
      <c r="O38" s="87">
        <v>1.0354614006796106</v>
      </c>
      <c r="P38" s="87">
        <v>1.2245292936644991</v>
      </c>
      <c r="Q38" s="87">
        <v>1.5419845426775338</v>
      </c>
      <c r="R38" s="87">
        <v>1.2274503194151472</v>
      </c>
      <c r="S38" s="87">
        <v>2.3794535524521128</v>
      </c>
      <c r="T38" s="87">
        <v>4.3581396023488619</v>
      </c>
      <c r="U38" s="87">
        <v>6.610505451025519</v>
      </c>
      <c r="V38" s="87">
        <v>15.016403512402801</v>
      </c>
      <c r="W38" s="87">
        <v>41.816177979422243</v>
      </c>
      <c r="X38" s="87">
        <v>77.892486865086724</v>
      </c>
      <c r="Y38" s="87">
        <v>102.04493264377713</v>
      </c>
      <c r="DA38" s="171" t="s">
        <v>482</v>
      </c>
    </row>
    <row r="39" spans="1:105" ht="11.45" customHeight="1" x14ac:dyDescent="0.25">
      <c r="A39" s="111" t="s">
        <v>115</v>
      </c>
      <c r="B39" s="87">
        <v>0</v>
      </c>
      <c r="C39" s="87">
        <v>0</v>
      </c>
      <c r="D39" s="87">
        <v>0</v>
      </c>
      <c r="E39" s="87">
        <v>0</v>
      </c>
      <c r="F39" s="87">
        <v>0</v>
      </c>
      <c r="G39" s="87">
        <v>0</v>
      </c>
      <c r="H39" s="87">
        <v>0</v>
      </c>
      <c r="I39" s="87">
        <v>0</v>
      </c>
      <c r="J39" s="87">
        <v>0</v>
      </c>
      <c r="K39" s="87">
        <v>1.1206671895810125E-2</v>
      </c>
      <c r="L39" s="87">
        <v>2.1080326247522634</v>
      </c>
      <c r="M39" s="87">
        <v>5.038929803676794</v>
      </c>
      <c r="N39" s="87">
        <v>9.410327664560862</v>
      </c>
      <c r="O39" s="87">
        <v>12.303635544823358</v>
      </c>
      <c r="P39" s="87">
        <v>14.231657392704877</v>
      </c>
      <c r="Q39" s="87">
        <v>15.509672782778484</v>
      </c>
      <c r="R39" s="87">
        <v>17.779179148590579</v>
      </c>
      <c r="S39" s="87">
        <v>21.279667209989046</v>
      </c>
      <c r="T39" s="87">
        <v>26.582805127705011</v>
      </c>
      <c r="U39" s="87">
        <v>42.484781779005935</v>
      </c>
      <c r="V39" s="87">
        <v>59.418279286493494</v>
      </c>
      <c r="W39" s="87">
        <v>133.56920017821145</v>
      </c>
      <c r="X39" s="87">
        <v>263.2640402752271</v>
      </c>
      <c r="Y39" s="87">
        <v>431.17487260476446</v>
      </c>
      <c r="DA39" s="171" t="s">
        <v>483</v>
      </c>
    </row>
    <row r="40" spans="1:105" ht="11.45" customHeight="1" x14ac:dyDescent="0.25">
      <c r="A40" s="109" t="s">
        <v>21</v>
      </c>
      <c r="B40" s="116">
        <f t="shared" ref="B40" si="106">SUM(B41:B45)</f>
        <v>821.24414287453578</v>
      </c>
      <c r="C40" s="116">
        <f t="shared" ref="C40:V40" si="107">SUM(C41:C45)</f>
        <v>904.17630085554924</v>
      </c>
      <c r="D40" s="116">
        <f t="shared" si="107"/>
        <v>851.32228682119671</v>
      </c>
      <c r="E40" s="116">
        <f t="shared" si="107"/>
        <v>974.83333841811429</v>
      </c>
      <c r="F40" s="116">
        <f t="shared" si="107"/>
        <v>1116.9285512576546</v>
      </c>
      <c r="G40" s="116">
        <f t="shared" si="107"/>
        <v>1123.0735121733931</v>
      </c>
      <c r="H40" s="116">
        <f t="shared" si="107"/>
        <v>1016.8134022222597</v>
      </c>
      <c r="I40" s="116">
        <f t="shared" si="107"/>
        <v>1199.163668121387</v>
      </c>
      <c r="J40" s="116">
        <f t="shared" si="107"/>
        <v>1633.0000000000002</v>
      </c>
      <c r="K40" s="116">
        <f t="shared" si="107"/>
        <v>1659.0000000000002</v>
      </c>
      <c r="L40" s="116">
        <f t="shared" si="107"/>
        <v>1690.0000000000002</v>
      </c>
      <c r="M40" s="116">
        <f t="shared" si="107"/>
        <v>1756.9999999999998</v>
      </c>
      <c r="N40" s="116">
        <f t="shared" si="107"/>
        <v>1827</v>
      </c>
      <c r="O40" s="116">
        <f t="shared" si="107"/>
        <v>1900</v>
      </c>
      <c r="P40" s="116">
        <f t="shared" si="107"/>
        <v>1976</v>
      </c>
      <c r="Q40" s="116">
        <f t="shared" si="107"/>
        <v>2053.9999999999995</v>
      </c>
      <c r="R40" s="116">
        <f t="shared" si="107"/>
        <v>2132.8758405452613</v>
      </c>
      <c r="S40" s="116">
        <f t="shared" si="107"/>
        <v>2183.5651111256248</v>
      </c>
      <c r="T40" s="116">
        <f t="shared" si="107"/>
        <v>2237.5223723532717</v>
      </c>
      <c r="U40" s="116">
        <f t="shared" si="107"/>
        <v>2295.1791909462549</v>
      </c>
      <c r="V40" s="116">
        <f t="shared" si="107"/>
        <v>2356.5864030711732</v>
      </c>
      <c r="W40" s="116">
        <f t="shared" ref="W40:Y40" si="108">SUM(W41:W45)</f>
        <v>2422.713342049999</v>
      </c>
      <c r="X40" s="116">
        <f t="shared" si="108"/>
        <v>2493.4891882009692</v>
      </c>
      <c r="Y40" s="116">
        <f t="shared" si="108"/>
        <v>2569.4168468403655</v>
      </c>
      <c r="DA40" s="176" t="s">
        <v>484</v>
      </c>
    </row>
    <row r="41" spans="1:105" ht="11.45" customHeight="1" x14ac:dyDescent="0.25">
      <c r="A41" s="111" t="s">
        <v>110</v>
      </c>
      <c r="B41" s="101">
        <v>0</v>
      </c>
      <c r="C41" s="101">
        <v>0</v>
      </c>
      <c r="D41" s="101">
        <v>0</v>
      </c>
      <c r="E41" s="101">
        <v>0</v>
      </c>
      <c r="F41" s="101">
        <v>0</v>
      </c>
      <c r="G41" s="101">
        <v>0</v>
      </c>
      <c r="H41" s="101">
        <v>0</v>
      </c>
      <c r="I41" s="101">
        <v>0</v>
      </c>
      <c r="J41" s="101">
        <v>5.4816490400241298</v>
      </c>
      <c r="K41" s="101">
        <v>5.5111063262500162</v>
      </c>
      <c r="L41" s="101">
        <v>5.5532367140230212</v>
      </c>
      <c r="M41" s="101">
        <v>5.6357664795781854</v>
      </c>
      <c r="N41" s="101">
        <v>5.4953472504178977</v>
      </c>
      <c r="O41" s="101">
        <v>5.3667114767079696</v>
      </c>
      <c r="P41" s="101">
        <v>5.2503257112017891</v>
      </c>
      <c r="Q41" s="101">
        <v>4.7754017485362059</v>
      </c>
      <c r="R41" s="101">
        <v>4.6782540094815825</v>
      </c>
      <c r="S41" s="101">
        <v>4.5038184017634375</v>
      </c>
      <c r="T41" s="101">
        <v>4.2659252029806494</v>
      </c>
      <c r="U41" s="101">
        <v>4.1268457864094135</v>
      </c>
      <c r="V41" s="101">
        <v>4.2552953999360801</v>
      </c>
      <c r="W41" s="101">
        <v>4.3449660073363736</v>
      </c>
      <c r="X41" s="101">
        <v>4.6912616498535726</v>
      </c>
      <c r="Y41" s="101">
        <v>4.7798098783490968</v>
      </c>
      <c r="DA41" s="175" t="s">
        <v>485</v>
      </c>
    </row>
    <row r="42" spans="1:105" ht="11.45" customHeight="1" x14ac:dyDescent="0.25">
      <c r="A42" s="111" t="s">
        <v>111</v>
      </c>
      <c r="B42" s="101">
        <v>821.24414287453578</v>
      </c>
      <c r="C42" s="101">
        <v>904.17630085554924</v>
      </c>
      <c r="D42" s="101">
        <v>851.32228682119671</v>
      </c>
      <c r="E42" s="101">
        <v>974.83333841811429</v>
      </c>
      <c r="F42" s="101">
        <v>1116.9285512576546</v>
      </c>
      <c r="G42" s="101">
        <v>1123.0735121733931</v>
      </c>
      <c r="H42" s="101">
        <v>1016.8134022222597</v>
      </c>
      <c r="I42" s="101">
        <v>1199.163668121387</v>
      </c>
      <c r="J42" s="101">
        <v>1626.7546574124838</v>
      </c>
      <c r="K42" s="101">
        <v>1652.6067897636653</v>
      </c>
      <c r="L42" s="101">
        <v>1682.5302782449673</v>
      </c>
      <c r="M42" s="101">
        <v>1748.9700635230947</v>
      </c>
      <c r="N42" s="101">
        <v>1819.0786962498651</v>
      </c>
      <c r="O42" s="101">
        <v>1892.0517826233979</v>
      </c>
      <c r="P42" s="101">
        <v>1968.1027385368102</v>
      </c>
      <c r="Q42" s="101">
        <v>2046.6377897001669</v>
      </c>
      <c r="R42" s="101">
        <v>2125.7578214885739</v>
      </c>
      <c r="S42" s="101">
        <v>2176.6648723248727</v>
      </c>
      <c r="T42" s="101">
        <v>2230.7053143516991</v>
      </c>
      <c r="U42" s="101">
        <v>2286.459701244743</v>
      </c>
      <c r="V42" s="101">
        <v>2339.5456061653745</v>
      </c>
      <c r="W42" s="101">
        <v>2404.914396189336</v>
      </c>
      <c r="X42" s="101">
        <v>2467.7957329429173</v>
      </c>
      <c r="Y42" s="101">
        <v>2518.5946102205485</v>
      </c>
      <c r="DA42" s="175" t="s">
        <v>486</v>
      </c>
    </row>
    <row r="43" spans="1:105" ht="11.45" customHeight="1" x14ac:dyDescent="0.25">
      <c r="A43" s="111" t="s">
        <v>112</v>
      </c>
      <c r="B43" s="101">
        <v>0</v>
      </c>
      <c r="C43" s="101">
        <v>0</v>
      </c>
      <c r="D43" s="101">
        <v>0</v>
      </c>
      <c r="E43" s="101">
        <v>0</v>
      </c>
      <c r="F43" s="101">
        <v>0</v>
      </c>
      <c r="G43" s="101">
        <v>0</v>
      </c>
      <c r="H43" s="101">
        <v>0</v>
      </c>
      <c r="I43" s="101">
        <v>0</v>
      </c>
      <c r="J43" s="101">
        <v>0.7636935474921932</v>
      </c>
      <c r="K43" s="101">
        <v>0.88210391008488309</v>
      </c>
      <c r="L43" s="101">
        <v>1.9164850410098511</v>
      </c>
      <c r="M43" s="101">
        <v>2.3941699973267783</v>
      </c>
      <c r="N43" s="101">
        <v>2.4259564997170795</v>
      </c>
      <c r="O43" s="101">
        <v>2.5335128957914437</v>
      </c>
      <c r="P43" s="101">
        <v>2.5509198648433755</v>
      </c>
      <c r="Q43" s="101">
        <v>2.3945104943088285</v>
      </c>
      <c r="R43" s="101">
        <v>2.1994813227717276</v>
      </c>
      <c r="S43" s="101">
        <v>2.1562196123899851</v>
      </c>
      <c r="T43" s="101">
        <v>1.3504191440423019</v>
      </c>
      <c r="U43" s="101">
        <v>1.2806394560512209</v>
      </c>
      <c r="V43" s="101">
        <v>1.2799217945352959</v>
      </c>
      <c r="W43" s="101">
        <v>1.2883600936896502</v>
      </c>
      <c r="X43" s="101">
        <v>0.47749963468518442</v>
      </c>
      <c r="Y43" s="101">
        <v>0.36790966703866185</v>
      </c>
      <c r="DA43" s="175" t="s">
        <v>487</v>
      </c>
    </row>
    <row r="44" spans="1:105" ht="11.45" customHeight="1" x14ac:dyDescent="0.25">
      <c r="A44" s="111" t="s">
        <v>113</v>
      </c>
      <c r="B44" s="101">
        <v>0</v>
      </c>
      <c r="C44" s="101">
        <v>0</v>
      </c>
      <c r="D44" s="101">
        <v>0</v>
      </c>
      <c r="E44" s="101">
        <v>0</v>
      </c>
      <c r="F44" s="101">
        <v>0</v>
      </c>
      <c r="G44" s="101">
        <v>0</v>
      </c>
      <c r="H44" s="101">
        <v>0</v>
      </c>
      <c r="I44" s="101">
        <v>0</v>
      </c>
      <c r="J44" s="101">
        <v>0</v>
      </c>
      <c r="K44" s="101">
        <v>0</v>
      </c>
      <c r="L44" s="101">
        <v>0</v>
      </c>
      <c r="M44" s="101">
        <v>0</v>
      </c>
      <c r="N44" s="101">
        <v>0</v>
      </c>
      <c r="O44" s="101">
        <v>0</v>
      </c>
      <c r="P44" s="101">
        <v>0</v>
      </c>
      <c r="Q44" s="101">
        <v>0</v>
      </c>
      <c r="R44" s="101">
        <v>0</v>
      </c>
      <c r="S44" s="101">
        <v>0</v>
      </c>
      <c r="T44" s="101">
        <v>0</v>
      </c>
      <c r="U44" s="101">
        <v>0</v>
      </c>
      <c r="V44" s="101">
        <v>0</v>
      </c>
      <c r="W44" s="101">
        <v>0</v>
      </c>
      <c r="X44" s="101">
        <v>0</v>
      </c>
      <c r="Y44" s="101">
        <v>0</v>
      </c>
      <c r="DA44" s="175" t="s">
        <v>488</v>
      </c>
    </row>
    <row r="45" spans="1:105" ht="11.45" customHeight="1" x14ac:dyDescent="0.25">
      <c r="A45" s="111" t="s">
        <v>115</v>
      </c>
      <c r="B45" s="101">
        <v>0</v>
      </c>
      <c r="C45" s="101">
        <v>0</v>
      </c>
      <c r="D45" s="101">
        <v>0</v>
      </c>
      <c r="E45" s="101">
        <v>0</v>
      </c>
      <c r="F45" s="101">
        <v>0</v>
      </c>
      <c r="G45" s="101">
        <v>0</v>
      </c>
      <c r="H45" s="101">
        <v>0</v>
      </c>
      <c r="I45" s="101">
        <v>0</v>
      </c>
      <c r="J45" s="101">
        <v>0</v>
      </c>
      <c r="K45" s="101">
        <v>0</v>
      </c>
      <c r="L45" s="101">
        <v>0</v>
      </c>
      <c r="M45" s="101">
        <v>0</v>
      </c>
      <c r="N45" s="101">
        <v>0</v>
      </c>
      <c r="O45" s="101">
        <v>4.799300410260695E-2</v>
      </c>
      <c r="P45" s="101">
        <v>9.6015887144593304E-2</v>
      </c>
      <c r="Q45" s="101">
        <v>0.19229805698803512</v>
      </c>
      <c r="R45" s="101">
        <v>0.24028372443457044</v>
      </c>
      <c r="S45" s="101">
        <v>0.24020078659846131</v>
      </c>
      <c r="T45" s="101">
        <v>1.2007136545494701</v>
      </c>
      <c r="U45" s="101">
        <v>3.3120044590514186</v>
      </c>
      <c r="V45" s="101">
        <v>11.505579711327199</v>
      </c>
      <c r="W45" s="101">
        <v>12.165619759636654</v>
      </c>
      <c r="X45" s="101">
        <v>20.524693973513603</v>
      </c>
      <c r="Y45" s="101">
        <v>45.674517074429176</v>
      </c>
      <c r="DA45" s="175" t="s">
        <v>489</v>
      </c>
    </row>
    <row r="46" spans="1:105" ht="11.45" customHeight="1" x14ac:dyDescent="0.25">
      <c r="A46" s="27" t="s">
        <v>34</v>
      </c>
      <c r="B46" s="29">
        <f t="shared" ref="B46" si="109">B47+B53</f>
        <v>5298.4128756498294</v>
      </c>
      <c r="C46" s="29">
        <f t="shared" ref="C46:V46" si="110">C47+C53</f>
        <v>5534.8248875282679</v>
      </c>
      <c r="D46" s="29">
        <f t="shared" si="110"/>
        <v>5703.5301818288226</v>
      </c>
      <c r="E46" s="29">
        <f t="shared" si="110"/>
        <v>6082.0416675517436</v>
      </c>
      <c r="F46" s="29">
        <f t="shared" si="110"/>
        <v>6506.3758889081655</v>
      </c>
      <c r="G46" s="29">
        <f t="shared" si="110"/>
        <v>7006.2036936452441</v>
      </c>
      <c r="H46" s="29">
        <f t="shared" si="110"/>
        <v>7500.0674346158958</v>
      </c>
      <c r="I46" s="29">
        <f t="shared" si="110"/>
        <v>7762.6363636432252</v>
      </c>
      <c r="J46" s="29">
        <f t="shared" si="110"/>
        <v>8361.6084179254067</v>
      </c>
      <c r="K46" s="29">
        <f t="shared" si="110"/>
        <v>8119.3362998233379</v>
      </c>
      <c r="L46" s="29">
        <f t="shared" si="110"/>
        <v>7458.0992628746089</v>
      </c>
      <c r="M46" s="29">
        <f t="shared" si="110"/>
        <v>7828.6950647968733</v>
      </c>
      <c r="N46" s="29">
        <f t="shared" si="110"/>
        <v>8229.763052760034</v>
      </c>
      <c r="O46" s="29">
        <f t="shared" si="110"/>
        <v>8674.4882025816223</v>
      </c>
      <c r="P46" s="29">
        <f t="shared" si="110"/>
        <v>9256.7145100270664</v>
      </c>
      <c r="Q46" s="29">
        <f t="shared" si="110"/>
        <v>9690.8411331687694</v>
      </c>
      <c r="R46" s="29">
        <f t="shared" si="110"/>
        <v>10094.541976093957</v>
      </c>
      <c r="S46" s="29">
        <f t="shared" si="110"/>
        <v>10787.286442878663</v>
      </c>
      <c r="T46" s="29">
        <f t="shared" si="110"/>
        <v>11653.24577345392</v>
      </c>
      <c r="U46" s="29">
        <f t="shared" si="110"/>
        <v>12429.264462328863</v>
      </c>
      <c r="V46" s="29">
        <f t="shared" si="110"/>
        <v>12901.656401601762</v>
      </c>
      <c r="W46" s="29">
        <f t="shared" ref="W46:Y46" si="111">W47+W53</f>
        <v>13747.481315455338</v>
      </c>
      <c r="X46" s="29">
        <f t="shared" si="111"/>
        <v>14208.069540050297</v>
      </c>
      <c r="Y46" s="29">
        <f t="shared" si="111"/>
        <v>14508.027447989207</v>
      </c>
      <c r="DA46" s="173" t="s">
        <v>490</v>
      </c>
    </row>
    <row r="47" spans="1:105" ht="11.45" customHeight="1" x14ac:dyDescent="0.25">
      <c r="A47" s="136" t="s">
        <v>153</v>
      </c>
      <c r="B47" s="152">
        <f t="shared" ref="B47" si="112">SUM(B48:B52)</f>
        <v>3940.8632320020806</v>
      </c>
      <c r="C47" s="152">
        <f t="shared" ref="C47:V47" si="113">SUM(C48:C52)</f>
        <v>4075.6710369066786</v>
      </c>
      <c r="D47" s="152">
        <f t="shared" si="113"/>
        <v>4183.8138009994036</v>
      </c>
      <c r="E47" s="152">
        <f t="shared" si="113"/>
        <v>4359.1239928092637</v>
      </c>
      <c r="F47" s="152">
        <f t="shared" si="113"/>
        <v>4572.7125619214239</v>
      </c>
      <c r="G47" s="152">
        <f t="shared" si="113"/>
        <v>4707.1853077982641</v>
      </c>
      <c r="H47" s="152">
        <f t="shared" si="113"/>
        <v>5204.975785029801</v>
      </c>
      <c r="I47" s="152">
        <f t="shared" si="113"/>
        <v>5464.4137852609183</v>
      </c>
      <c r="J47" s="152">
        <f t="shared" si="113"/>
        <v>6219.312780149764</v>
      </c>
      <c r="K47" s="152">
        <f t="shared" si="113"/>
        <v>6362.4272089416281</v>
      </c>
      <c r="L47" s="152">
        <f t="shared" si="113"/>
        <v>6394.9074946075643</v>
      </c>
      <c r="M47" s="152">
        <f t="shared" si="113"/>
        <v>6758.7222254084363</v>
      </c>
      <c r="N47" s="152">
        <f t="shared" si="113"/>
        <v>7061.8893728643034</v>
      </c>
      <c r="O47" s="152">
        <f t="shared" si="113"/>
        <v>7473.0083107368437</v>
      </c>
      <c r="P47" s="152">
        <f t="shared" si="113"/>
        <v>8086.8145801203118</v>
      </c>
      <c r="Q47" s="152">
        <f t="shared" si="113"/>
        <v>8523.2243253665256</v>
      </c>
      <c r="R47" s="152">
        <f t="shared" si="113"/>
        <v>8820.3081578067704</v>
      </c>
      <c r="S47" s="152">
        <f t="shared" si="113"/>
        <v>9399.1751744245394</v>
      </c>
      <c r="T47" s="152">
        <f t="shared" si="113"/>
        <v>10211.093751345936</v>
      </c>
      <c r="U47" s="152">
        <f t="shared" si="113"/>
        <v>10819.184609049626</v>
      </c>
      <c r="V47" s="152">
        <f t="shared" si="113"/>
        <v>11384.600549358191</v>
      </c>
      <c r="W47" s="152">
        <f t="shared" ref="W47:Y47" si="114">SUM(W48:W52)</f>
        <v>11912.544158331986</v>
      </c>
      <c r="X47" s="152">
        <f t="shared" si="114"/>
        <v>12269.287611686341</v>
      </c>
      <c r="Y47" s="152">
        <f t="shared" si="114"/>
        <v>12524.75163818886</v>
      </c>
      <c r="DA47" s="174" t="s">
        <v>491</v>
      </c>
    </row>
    <row r="48" spans="1:105" ht="11.45" customHeight="1" x14ac:dyDescent="0.25">
      <c r="A48" s="111" t="s">
        <v>110</v>
      </c>
      <c r="B48" s="87">
        <v>1376.1885624637182</v>
      </c>
      <c r="C48" s="87">
        <v>1394.3226043295363</v>
      </c>
      <c r="D48" s="87">
        <v>1394.1233757378486</v>
      </c>
      <c r="E48" s="87">
        <v>1412.1907896412786</v>
      </c>
      <c r="F48" s="87">
        <v>1439.0281363202469</v>
      </c>
      <c r="G48" s="87">
        <v>1441.9743270065417</v>
      </c>
      <c r="H48" s="87">
        <v>1538.1409284483796</v>
      </c>
      <c r="I48" s="87">
        <v>1566.7901119167111</v>
      </c>
      <c r="J48" s="87">
        <v>1550.0381782552602</v>
      </c>
      <c r="K48" s="87">
        <v>1513.0146194264278</v>
      </c>
      <c r="L48" s="87">
        <v>1436.7609807374329</v>
      </c>
      <c r="M48" s="87">
        <v>1386.5377338321503</v>
      </c>
      <c r="N48" s="87">
        <v>1343.8960588301372</v>
      </c>
      <c r="O48" s="87">
        <v>1237.5882116070675</v>
      </c>
      <c r="P48" s="87">
        <v>1145.5634146034492</v>
      </c>
      <c r="Q48" s="87">
        <v>1009.6778213081853</v>
      </c>
      <c r="R48" s="87">
        <v>1075.1250245958533</v>
      </c>
      <c r="S48" s="87">
        <v>1099.3607901160922</v>
      </c>
      <c r="T48" s="87">
        <v>1107.4757774800721</v>
      </c>
      <c r="U48" s="87">
        <v>1064.6935526281218</v>
      </c>
      <c r="V48" s="87">
        <v>1035.4673917822693</v>
      </c>
      <c r="W48" s="87">
        <v>1022.4822937865282</v>
      </c>
      <c r="X48" s="87">
        <v>1008.1763483735831</v>
      </c>
      <c r="Y48" s="87">
        <v>1006.4199230193769</v>
      </c>
      <c r="DA48" s="171" t="s">
        <v>492</v>
      </c>
    </row>
    <row r="49" spans="1:105" ht="11.45" customHeight="1" x14ac:dyDescent="0.25">
      <c r="A49" s="111" t="s">
        <v>111</v>
      </c>
      <c r="B49" s="87">
        <v>2564.6746695383622</v>
      </c>
      <c r="C49" s="87">
        <v>2681.3484325771424</v>
      </c>
      <c r="D49" s="87">
        <v>2789.6904252615554</v>
      </c>
      <c r="E49" s="87">
        <v>2946.9332031679851</v>
      </c>
      <c r="F49" s="87">
        <v>3133.6844256011773</v>
      </c>
      <c r="G49" s="87">
        <v>3265.2109807917222</v>
      </c>
      <c r="H49" s="87">
        <v>3666.8348565814213</v>
      </c>
      <c r="I49" s="87">
        <v>3897.623673344207</v>
      </c>
      <c r="J49" s="87">
        <v>4669.2563122832489</v>
      </c>
      <c r="K49" s="87">
        <v>4849.3943708236402</v>
      </c>
      <c r="L49" s="87">
        <v>4958.1098301914926</v>
      </c>
      <c r="M49" s="87">
        <v>5372.1201161208573</v>
      </c>
      <c r="N49" s="87">
        <v>5717.8456314669284</v>
      </c>
      <c r="O49" s="87">
        <v>6235.2355072901255</v>
      </c>
      <c r="P49" s="87">
        <v>6941.020521146771</v>
      </c>
      <c r="Q49" s="87">
        <v>7513.3437072684974</v>
      </c>
      <c r="R49" s="87">
        <v>7744.915034606086</v>
      </c>
      <c r="S49" s="87">
        <v>8299.4154609060552</v>
      </c>
      <c r="T49" s="87">
        <v>9102.8749833436796</v>
      </c>
      <c r="U49" s="87">
        <v>9753.2290399197682</v>
      </c>
      <c r="V49" s="87">
        <v>10347.068224855686</v>
      </c>
      <c r="W49" s="87">
        <v>10887.131823312035</v>
      </c>
      <c r="X49" s="87">
        <v>11256.161704764409</v>
      </c>
      <c r="Y49" s="87">
        <v>11508.454488933838</v>
      </c>
      <c r="DA49" s="171" t="s">
        <v>493</v>
      </c>
    </row>
    <row r="50" spans="1:105" ht="11.45" customHeight="1" x14ac:dyDescent="0.25">
      <c r="A50" s="111" t="s">
        <v>112</v>
      </c>
      <c r="B50" s="87">
        <v>0</v>
      </c>
      <c r="C50" s="87">
        <v>0</v>
      </c>
      <c r="D50" s="87">
        <v>0</v>
      </c>
      <c r="E50" s="87">
        <v>0</v>
      </c>
      <c r="F50" s="87">
        <v>0</v>
      </c>
      <c r="G50" s="87">
        <v>0</v>
      </c>
      <c r="H50" s="87">
        <v>0</v>
      </c>
      <c r="I50" s="87">
        <v>0</v>
      </c>
      <c r="J50" s="87">
        <v>1.8289611255048285E-2</v>
      </c>
      <c r="K50" s="87">
        <v>1.8218691560025216E-2</v>
      </c>
      <c r="L50" s="87">
        <v>1.8131272049424781E-2</v>
      </c>
      <c r="M50" s="87">
        <v>3.6536857034296669E-2</v>
      </c>
      <c r="N50" s="87">
        <v>9.1986723444464E-2</v>
      </c>
      <c r="O50" s="87">
        <v>9.1754247162502342E-2</v>
      </c>
      <c r="P50" s="87">
        <v>0.10994725489572041</v>
      </c>
      <c r="Q50" s="87">
        <v>9.1369377611465727E-2</v>
      </c>
      <c r="R50" s="87">
        <v>0.11957595328741279</v>
      </c>
      <c r="S50" s="87">
        <v>0.12055111678544718</v>
      </c>
      <c r="T50" s="87">
        <v>0.11228360244598641</v>
      </c>
      <c r="U50" s="87">
        <v>0.11202846410745423</v>
      </c>
      <c r="V50" s="87">
        <v>0.10242923615472468</v>
      </c>
      <c r="W50" s="87">
        <v>0.13926827983319787</v>
      </c>
      <c r="X50" s="87">
        <v>0.31452706698222616</v>
      </c>
      <c r="Y50" s="87">
        <v>0.46066432007228575</v>
      </c>
      <c r="DA50" s="171" t="s">
        <v>494</v>
      </c>
    </row>
    <row r="51" spans="1:105" ht="11.45" customHeight="1" x14ac:dyDescent="0.25">
      <c r="A51" s="111" t="s">
        <v>113</v>
      </c>
      <c r="B51" s="87">
        <v>0</v>
      </c>
      <c r="C51" s="87">
        <v>0</v>
      </c>
      <c r="D51" s="87">
        <v>0</v>
      </c>
      <c r="E51" s="87">
        <v>0</v>
      </c>
      <c r="F51" s="87">
        <v>0</v>
      </c>
      <c r="G51" s="87">
        <v>0</v>
      </c>
      <c r="H51" s="87">
        <v>0</v>
      </c>
      <c r="I51" s="87">
        <v>0</v>
      </c>
      <c r="J51" s="87">
        <v>0</v>
      </c>
      <c r="K51" s="87">
        <v>0</v>
      </c>
      <c r="L51" s="87">
        <v>0</v>
      </c>
      <c r="M51" s="87">
        <v>0</v>
      </c>
      <c r="N51" s="87">
        <v>0</v>
      </c>
      <c r="O51" s="87">
        <v>0</v>
      </c>
      <c r="P51" s="87">
        <v>0</v>
      </c>
      <c r="Q51" s="87">
        <v>0</v>
      </c>
      <c r="R51" s="87">
        <v>0</v>
      </c>
      <c r="S51" s="87">
        <v>0</v>
      </c>
      <c r="T51" s="87">
        <v>0</v>
      </c>
      <c r="U51" s="87">
        <v>0</v>
      </c>
      <c r="V51" s="87">
        <v>0</v>
      </c>
      <c r="W51" s="87">
        <v>0</v>
      </c>
      <c r="X51" s="87">
        <v>0</v>
      </c>
      <c r="Y51" s="87">
        <v>0</v>
      </c>
      <c r="DA51" s="171" t="s">
        <v>495</v>
      </c>
    </row>
    <row r="52" spans="1:105" ht="11.45" customHeight="1" x14ac:dyDescent="0.25">
      <c r="A52" s="111" t="s">
        <v>115</v>
      </c>
      <c r="B52" s="87">
        <v>0</v>
      </c>
      <c r="C52" s="87">
        <v>0</v>
      </c>
      <c r="D52" s="87">
        <v>0</v>
      </c>
      <c r="E52" s="87">
        <v>0</v>
      </c>
      <c r="F52" s="87">
        <v>0</v>
      </c>
      <c r="G52" s="87">
        <v>0</v>
      </c>
      <c r="H52" s="87">
        <v>0</v>
      </c>
      <c r="I52" s="87">
        <v>0</v>
      </c>
      <c r="J52" s="87">
        <v>0</v>
      </c>
      <c r="K52" s="87">
        <v>0</v>
      </c>
      <c r="L52" s="87">
        <v>1.8552406589486432E-2</v>
      </c>
      <c r="M52" s="87">
        <v>2.7838598393541299E-2</v>
      </c>
      <c r="N52" s="87">
        <v>5.5695843793479215E-2</v>
      </c>
      <c r="O52" s="87">
        <v>9.2837592489023887E-2</v>
      </c>
      <c r="P52" s="87">
        <v>0.12069711519596653</v>
      </c>
      <c r="Q52" s="87">
        <v>0.1114274122312839</v>
      </c>
      <c r="R52" s="87">
        <v>0.14852265154302546</v>
      </c>
      <c r="S52" s="87">
        <v>0.27837228560817678</v>
      </c>
      <c r="T52" s="87">
        <v>0.63070691973662896</v>
      </c>
      <c r="U52" s="87">
        <v>1.1499880376278402</v>
      </c>
      <c r="V52" s="87">
        <v>1.9625034840813633</v>
      </c>
      <c r="W52" s="87">
        <v>2.7907729535907135</v>
      </c>
      <c r="X52" s="87">
        <v>4.6350314813653863</v>
      </c>
      <c r="Y52" s="87">
        <v>9.4165619155716076</v>
      </c>
      <c r="DA52" s="171" t="s">
        <v>496</v>
      </c>
    </row>
    <row r="53" spans="1:105" ht="11.45" customHeight="1" x14ac:dyDescent="0.25">
      <c r="A53" s="109" t="s">
        <v>154</v>
      </c>
      <c r="B53" s="116">
        <f t="shared" ref="B53" si="115">SUM(B54:B55)</f>
        <v>1357.5496436477486</v>
      </c>
      <c r="C53" s="116">
        <f t="shared" ref="C53:V53" si="116">SUM(C54:C55)</f>
        <v>1459.1538506215893</v>
      </c>
      <c r="D53" s="116">
        <f t="shared" si="116"/>
        <v>1519.716380829419</v>
      </c>
      <c r="E53" s="116">
        <f t="shared" si="116"/>
        <v>1722.9176747424799</v>
      </c>
      <c r="F53" s="116">
        <f t="shared" si="116"/>
        <v>1933.6633269867416</v>
      </c>
      <c r="G53" s="116">
        <f t="shared" si="116"/>
        <v>2299.0183858469795</v>
      </c>
      <c r="H53" s="116">
        <f t="shared" si="116"/>
        <v>2295.0916495860943</v>
      </c>
      <c r="I53" s="116">
        <f t="shared" si="116"/>
        <v>2298.2225783823069</v>
      </c>
      <c r="J53" s="116">
        <f t="shared" si="116"/>
        <v>2142.2956377756427</v>
      </c>
      <c r="K53" s="116">
        <f t="shared" si="116"/>
        <v>1756.9090908817097</v>
      </c>
      <c r="L53" s="116">
        <f t="shared" si="116"/>
        <v>1063.1917682670448</v>
      </c>
      <c r="M53" s="116">
        <f t="shared" si="116"/>
        <v>1069.9728393884366</v>
      </c>
      <c r="N53" s="116">
        <f t="shared" si="116"/>
        <v>1167.8736798957304</v>
      </c>
      <c r="O53" s="116">
        <f t="shared" si="116"/>
        <v>1201.479891844778</v>
      </c>
      <c r="P53" s="116">
        <f t="shared" si="116"/>
        <v>1169.8999299067546</v>
      </c>
      <c r="Q53" s="116">
        <f t="shared" si="116"/>
        <v>1167.6168078022438</v>
      </c>
      <c r="R53" s="116">
        <f t="shared" si="116"/>
        <v>1274.2338182871856</v>
      </c>
      <c r="S53" s="116">
        <f t="shared" si="116"/>
        <v>1388.1112684541235</v>
      </c>
      <c r="T53" s="116">
        <f t="shared" si="116"/>
        <v>1442.1520221079845</v>
      </c>
      <c r="U53" s="116">
        <f t="shared" si="116"/>
        <v>1610.0798532792378</v>
      </c>
      <c r="V53" s="116">
        <f t="shared" si="116"/>
        <v>1517.0558522435704</v>
      </c>
      <c r="W53" s="116">
        <f t="shared" ref="W53:Y53" si="117">SUM(W54:W55)</f>
        <v>1834.9371571233507</v>
      </c>
      <c r="X53" s="116">
        <f t="shared" si="117"/>
        <v>1938.7819283639571</v>
      </c>
      <c r="Y53" s="116">
        <f t="shared" si="117"/>
        <v>1983.2758098003469</v>
      </c>
      <c r="DA53" s="176" t="s">
        <v>497</v>
      </c>
    </row>
    <row r="54" spans="1:105" ht="11.45" customHeight="1" x14ac:dyDescent="0.25">
      <c r="A54" s="128" t="s">
        <v>27</v>
      </c>
      <c r="B54" s="101">
        <v>693.943581393302</v>
      </c>
      <c r="C54" s="101">
        <v>747.67504290806676</v>
      </c>
      <c r="D54" s="101">
        <v>771.20450644721211</v>
      </c>
      <c r="E54" s="101">
        <v>957.82475905470233</v>
      </c>
      <c r="F54" s="101">
        <v>1029.0452845134885</v>
      </c>
      <c r="G54" s="101">
        <v>1362.5315319280026</v>
      </c>
      <c r="H54" s="101">
        <v>1596</v>
      </c>
      <c r="I54" s="101">
        <v>1591</v>
      </c>
      <c r="J54" s="101">
        <v>1584</v>
      </c>
      <c r="K54" s="101">
        <v>1446</v>
      </c>
      <c r="L54" s="101">
        <v>815</v>
      </c>
      <c r="M54" s="101">
        <v>816</v>
      </c>
      <c r="N54" s="101">
        <v>870</v>
      </c>
      <c r="O54" s="101">
        <v>882</v>
      </c>
      <c r="P54" s="101">
        <v>858</v>
      </c>
      <c r="Q54" s="101">
        <v>854</v>
      </c>
      <c r="R54" s="101">
        <v>924</v>
      </c>
      <c r="S54" s="101">
        <v>971</v>
      </c>
      <c r="T54" s="101">
        <v>1047</v>
      </c>
      <c r="U54" s="101">
        <v>1209</v>
      </c>
      <c r="V54" s="101">
        <v>1200</v>
      </c>
      <c r="W54" s="101">
        <v>1384</v>
      </c>
      <c r="X54" s="101">
        <v>1490</v>
      </c>
      <c r="Y54" s="101">
        <v>1517</v>
      </c>
      <c r="DA54" s="175" t="s">
        <v>498</v>
      </c>
    </row>
    <row r="55" spans="1:105" ht="11.45" customHeight="1" x14ac:dyDescent="0.25">
      <c r="A55" s="138" t="s">
        <v>116</v>
      </c>
      <c r="B55" s="88">
        <v>663.60606225444656</v>
      </c>
      <c r="C55" s="88">
        <v>711.47880771352243</v>
      </c>
      <c r="D55" s="88">
        <v>748.51187438220677</v>
      </c>
      <c r="E55" s="88">
        <v>765.09291568777769</v>
      </c>
      <c r="F55" s="88">
        <v>904.61804247325324</v>
      </c>
      <c r="G55" s="88">
        <v>936.48685391897709</v>
      </c>
      <c r="H55" s="88">
        <v>699.09164958609415</v>
      </c>
      <c r="I55" s="88">
        <v>707.22257838230666</v>
      </c>
      <c r="J55" s="88">
        <v>558.2956377756426</v>
      </c>
      <c r="K55" s="88">
        <v>310.90909088170963</v>
      </c>
      <c r="L55" s="88">
        <v>248.19176826704481</v>
      </c>
      <c r="M55" s="88">
        <v>253.97283938843646</v>
      </c>
      <c r="N55" s="88">
        <v>297.87367989573039</v>
      </c>
      <c r="O55" s="88">
        <v>319.47989184477797</v>
      </c>
      <c r="P55" s="88">
        <v>311.89992990675444</v>
      </c>
      <c r="Q55" s="88">
        <v>313.61680780224384</v>
      </c>
      <c r="R55" s="88">
        <v>350.23381828718556</v>
      </c>
      <c r="S55" s="88">
        <v>417.11126845412343</v>
      </c>
      <c r="T55" s="88">
        <v>395.15202210798441</v>
      </c>
      <c r="U55" s="88">
        <v>401.07985327923791</v>
      </c>
      <c r="V55" s="88">
        <v>317.05585224357026</v>
      </c>
      <c r="W55" s="88">
        <v>450.93715712335074</v>
      </c>
      <c r="X55" s="88">
        <v>448.78192836395709</v>
      </c>
      <c r="Y55" s="88">
        <v>466.27580980034685</v>
      </c>
      <c r="DA55" s="178" t="s">
        <v>499</v>
      </c>
    </row>
    <row r="56" spans="1:105" ht="11.45" customHeight="1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DA56" s="171"/>
    </row>
    <row r="57" spans="1:105" ht="11.45" customHeight="1" x14ac:dyDescent="0.25">
      <c r="A57" s="53" t="s">
        <v>109</v>
      </c>
      <c r="B57" s="54">
        <f t="shared" ref="B57:K57" si="118">B58+B73</f>
        <v>3600805</v>
      </c>
      <c r="C57" s="54">
        <f t="shared" si="118"/>
        <v>3708845</v>
      </c>
      <c r="D57" s="54">
        <f t="shared" si="118"/>
        <v>3454331</v>
      </c>
      <c r="E57" s="54">
        <f t="shared" si="118"/>
        <v>3594309</v>
      </c>
      <c r="F57" s="54">
        <f t="shared" si="118"/>
        <v>3753565</v>
      </c>
      <c r="G57" s="54">
        <f t="shared" si="118"/>
        <v>3914402</v>
      </c>
      <c r="H57" s="54">
        <f t="shared" si="118"/>
        <v>3816611</v>
      </c>
      <c r="I57" s="54">
        <f t="shared" si="118"/>
        <v>4164158</v>
      </c>
      <c r="J57" s="54">
        <f t="shared" si="118"/>
        <v>4731922</v>
      </c>
      <c r="K57" s="54">
        <f t="shared" si="118"/>
        <v>4973518</v>
      </c>
      <c r="L57" s="54">
        <f t="shared" ref="L57" si="119">L58+L73</f>
        <v>5050630</v>
      </c>
      <c r="M57" s="54">
        <f t="shared" ref="M57:V57" si="120">M58+M73</f>
        <v>5086680</v>
      </c>
      <c r="N57" s="54">
        <f t="shared" si="120"/>
        <v>5256852</v>
      </c>
      <c r="O57" s="54">
        <f t="shared" si="120"/>
        <v>5499568</v>
      </c>
      <c r="P57" s="54">
        <f t="shared" si="120"/>
        <v>5757497</v>
      </c>
      <c r="Q57" s="54">
        <f t="shared" si="120"/>
        <v>6036435</v>
      </c>
      <c r="R57" s="54">
        <f t="shared" si="120"/>
        <v>6369917</v>
      </c>
      <c r="S57" s="54">
        <f t="shared" si="120"/>
        <v>6938451</v>
      </c>
      <c r="T57" s="54">
        <f t="shared" si="120"/>
        <v>7453487</v>
      </c>
      <c r="U57" s="54">
        <f t="shared" si="120"/>
        <v>7963173</v>
      </c>
      <c r="V57" s="54">
        <f t="shared" si="120"/>
        <v>8394240</v>
      </c>
      <c r="W57" s="54">
        <f t="shared" ref="W57:Y57" si="121">W58+W73</f>
        <v>8783402</v>
      </c>
      <c r="X57" s="54">
        <f t="shared" si="121"/>
        <v>9079041</v>
      </c>
      <c r="Y57" s="54">
        <f t="shared" si="121"/>
        <v>9359534</v>
      </c>
      <c r="DA57" s="172" t="s">
        <v>500</v>
      </c>
    </row>
    <row r="58" spans="1:105" ht="11.45" customHeight="1" x14ac:dyDescent="0.25">
      <c r="A58" s="27" t="s">
        <v>33</v>
      </c>
      <c r="B58" s="28">
        <f t="shared" ref="B58:K58" si="122">B59+B60+B67</f>
        <v>3222899</v>
      </c>
      <c r="C58" s="28">
        <f t="shared" si="122"/>
        <v>3318971</v>
      </c>
      <c r="D58" s="28">
        <f t="shared" si="122"/>
        <v>3057280</v>
      </c>
      <c r="E58" s="28">
        <f t="shared" si="122"/>
        <v>3173002</v>
      </c>
      <c r="F58" s="28">
        <f t="shared" si="122"/>
        <v>3315005</v>
      </c>
      <c r="G58" s="28">
        <f t="shared" si="122"/>
        <v>3450383</v>
      </c>
      <c r="H58" s="28">
        <f t="shared" si="122"/>
        <v>3305274</v>
      </c>
      <c r="I58" s="28">
        <f t="shared" si="122"/>
        <v>3631681</v>
      </c>
      <c r="J58" s="28">
        <f t="shared" si="122"/>
        <v>4140438</v>
      </c>
      <c r="K58" s="28">
        <f t="shared" si="122"/>
        <v>4366313</v>
      </c>
      <c r="L58" s="28">
        <f t="shared" ref="L58" si="123">L59+L60+L67</f>
        <v>4446279</v>
      </c>
      <c r="M58" s="28">
        <f t="shared" ref="M58:V58" si="124">M59+M60+M67</f>
        <v>4466291</v>
      </c>
      <c r="N58" s="28">
        <f t="shared" si="124"/>
        <v>4624963</v>
      </c>
      <c r="O58" s="28">
        <f t="shared" si="124"/>
        <v>4841231</v>
      </c>
      <c r="P58" s="28">
        <f t="shared" si="124"/>
        <v>5060170</v>
      </c>
      <c r="Q58" s="28">
        <f t="shared" si="124"/>
        <v>5317740</v>
      </c>
      <c r="R58" s="28">
        <f t="shared" si="124"/>
        <v>5640760</v>
      </c>
      <c r="S58" s="28">
        <f t="shared" si="124"/>
        <v>6175803</v>
      </c>
      <c r="T58" s="28">
        <f t="shared" si="124"/>
        <v>6640778</v>
      </c>
      <c r="U58" s="28">
        <f t="shared" si="124"/>
        <v>7105142</v>
      </c>
      <c r="V58" s="28">
        <f t="shared" si="124"/>
        <v>7491018</v>
      </c>
      <c r="W58" s="28">
        <f t="shared" ref="W58:Y58" si="125">W59+W60+W67</f>
        <v>7841234</v>
      </c>
      <c r="X58" s="28">
        <f t="shared" si="125"/>
        <v>8111636</v>
      </c>
      <c r="Y58" s="28">
        <f t="shared" si="125"/>
        <v>8371236</v>
      </c>
      <c r="DA58" s="173" t="s">
        <v>501</v>
      </c>
    </row>
    <row r="59" spans="1:105" ht="11.45" customHeight="1" x14ac:dyDescent="0.25">
      <c r="A59" s="136" t="s">
        <v>173</v>
      </c>
      <c r="B59" s="137">
        <v>45975</v>
      </c>
      <c r="C59" s="137">
        <v>45747</v>
      </c>
      <c r="D59" s="137">
        <v>45519</v>
      </c>
      <c r="E59" s="137">
        <v>45909</v>
      </c>
      <c r="F59" s="137">
        <v>46513</v>
      </c>
      <c r="G59" s="137">
        <v>47110</v>
      </c>
      <c r="H59" s="137">
        <v>51959</v>
      </c>
      <c r="I59" s="137">
        <v>56479</v>
      </c>
      <c r="J59" s="137">
        <v>71827</v>
      </c>
      <c r="K59" s="137">
        <v>79990</v>
      </c>
      <c r="L59" s="137">
        <v>85171</v>
      </c>
      <c r="M59" s="137">
        <v>90082</v>
      </c>
      <c r="N59" s="137">
        <v>95450</v>
      </c>
      <c r="O59" s="137">
        <v>101622</v>
      </c>
      <c r="P59" s="137">
        <v>107338</v>
      </c>
      <c r="Q59" s="137">
        <v>112866</v>
      </c>
      <c r="R59" s="137">
        <v>119534</v>
      </c>
      <c r="S59" s="137">
        <v>127300</v>
      </c>
      <c r="T59" s="137">
        <v>136440</v>
      </c>
      <c r="U59" s="137">
        <v>148387</v>
      </c>
      <c r="V59" s="137">
        <v>162078</v>
      </c>
      <c r="W59" s="137">
        <v>175844</v>
      </c>
      <c r="X59" s="137">
        <v>191737</v>
      </c>
      <c r="Y59" s="137">
        <v>208672</v>
      </c>
      <c r="DA59" s="174" t="s">
        <v>502</v>
      </c>
    </row>
    <row r="60" spans="1:105" ht="11.45" customHeight="1" x14ac:dyDescent="0.25">
      <c r="A60" s="109" t="s">
        <v>20</v>
      </c>
      <c r="B60" s="110">
        <f t="shared" ref="B60:K60" si="126">SUM(B61:B66)</f>
        <v>3128782</v>
      </c>
      <c r="C60" s="110">
        <f t="shared" si="126"/>
        <v>3225500</v>
      </c>
      <c r="D60" s="110">
        <f t="shared" si="126"/>
        <v>2971000</v>
      </c>
      <c r="E60" s="110">
        <f t="shared" si="126"/>
        <v>3085146</v>
      </c>
      <c r="F60" s="110">
        <f t="shared" si="126"/>
        <v>3225300</v>
      </c>
      <c r="G60" s="110">
        <f t="shared" si="126"/>
        <v>3364000</v>
      </c>
      <c r="H60" s="110">
        <f t="shared" si="126"/>
        <v>3221000</v>
      </c>
      <c r="I60" s="110">
        <f t="shared" si="126"/>
        <v>3541000</v>
      </c>
      <c r="J60" s="110">
        <f t="shared" si="126"/>
        <v>4027097</v>
      </c>
      <c r="K60" s="110">
        <f t="shared" si="126"/>
        <v>4245147</v>
      </c>
      <c r="L60" s="110">
        <f t="shared" ref="L60" si="127">SUM(L61:L66)</f>
        <v>4320216</v>
      </c>
      <c r="M60" s="110">
        <f t="shared" ref="M60:V60" si="128">SUM(M61:M66)</f>
        <v>4335300</v>
      </c>
      <c r="N60" s="110">
        <f t="shared" si="128"/>
        <v>4487479</v>
      </c>
      <c r="O60" s="110">
        <f t="shared" si="128"/>
        <v>4696747</v>
      </c>
      <c r="P60" s="110">
        <f t="shared" si="128"/>
        <v>4908529</v>
      </c>
      <c r="Q60" s="110">
        <f t="shared" si="128"/>
        <v>5157527</v>
      </c>
      <c r="R60" s="110">
        <f t="shared" si="128"/>
        <v>5472423</v>
      </c>
      <c r="S60" s="110">
        <f t="shared" si="128"/>
        <v>5998194</v>
      </c>
      <c r="T60" s="110">
        <f t="shared" si="128"/>
        <v>6452536</v>
      </c>
      <c r="U60" s="110">
        <f t="shared" si="128"/>
        <v>6902984</v>
      </c>
      <c r="V60" s="110">
        <f t="shared" si="128"/>
        <v>7274728</v>
      </c>
      <c r="W60" s="110">
        <f t="shared" ref="W60:Y60" si="129">SUM(W61:W66)</f>
        <v>7611039</v>
      </c>
      <c r="X60" s="110">
        <f t="shared" si="129"/>
        <v>7865186</v>
      </c>
      <c r="Y60" s="110">
        <f t="shared" si="129"/>
        <v>8106570</v>
      </c>
      <c r="DA60" s="176" t="s">
        <v>503</v>
      </c>
    </row>
    <row r="61" spans="1:105" ht="11.45" customHeight="1" x14ac:dyDescent="0.25">
      <c r="A61" s="111" t="s">
        <v>110</v>
      </c>
      <c r="B61" s="84">
        <v>2909465</v>
      </c>
      <c r="C61" s="84">
        <v>2912477</v>
      </c>
      <c r="D61" s="84">
        <v>2607267</v>
      </c>
      <c r="E61" s="84">
        <v>2622924</v>
      </c>
      <c r="F61" s="84">
        <v>2655351</v>
      </c>
      <c r="G61" s="84">
        <v>2692349</v>
      </c>
      <c r="H61" s="84">
        <v>2469900</v>
      </c>
      <c r="I61" s="84">
        <v>2582882</v>
      </c>
      <c r="J61" s="84">
        <v>2879719</v>
      </c>
      <c r="K61" s="84">
        <v>2988418</v>
      </c>
      <c r="L61" s="84">
        <v>2971193</v>
      </c>
      <c r="M61" s="84">
        <v>2899372</v>
      </c>
      <c r="N61" s="84">
        <v>2955691</v>
      </c>
      <c r="O61" s="84">
        <v>3039184</v>
      </c>
      <c r="P61" s="84">
        <v>3113572</v>
      </c>
      <c r="Q61" s="84">
        <v>3189926</v>
      </c>
      <c r="R61" s="84">
        <v>3288214</v>
      </c>
      <c r="S61" s="84">
        <v>3410788</v>
      </c>
      <c r="T61" s="84">
        <v>3483244</v>
      </c>
      <c r="U61" s="84">
        <v>3579288</v>
      </c>
      <c r="V61" s="84">
        <v>3645251</v>
      </c>
      <c r="W61" s="84">
        <v>3683297</v>
      </c>
      <c r="X61" s="84">
        <v>3737726</v>
      </c>
      <c r="Y61" s="84">
        <v>3788016</v>
      </c>
      <c r="DA61" s="171" t="s">
        <v>504</v>
      </c>
    </row>
    <row r="62" spans="1:105" ht="11.45" customHeight="1" x14ac:dyDescent="0.25">
      <c r="A62" s="111" t="s">
        <v>111</v>
      </c>
      <c r="B62" s="84">
        <v>219317</v>
      </c>
      <c r="C62" s="84">
        <v>313023</v>
      </c>
      <c r="D62" s="84">
        <v>358933</v>
      </c>
      <c r="E62" s="84">
        <v>451170</v>
      </c>
      <c r="F62" s="84">
        <v>544492</v>
      </c>
      <c r="G62" s="84">
        <v>647606</v>
      </c>
      <c r="H62" s="84">
        <v>727241</v>
      </c>
      <c r="I62" s="84">
        <v>926536</v>
      </c>
      <c r="J62" s="84">
        <v>1116844</v>
      </c>
      <c r="K62" s="84">
        <v>1226700</v>
      </c>
      <c r="L62" s="84">
        <v>1319421</v>
      </c>
      <c r="M62" s="84">
        <v>1356592</v>
      </c>
      <c r="N62" s="84">
        <v>1455882</v>
      </c>
      <c r="O62" s="84">
        <v>1582513</v>
      </c>
      <c r="P62" s="84">
        <v>1715999</v>
      </c>
      <c r="Q62" s="84">
        <v>1877364</v>
      </c>
      <c r="R62" s="84">
        <v>2085614</v>
      </c>
      <c r="S62" s="84">
        <v>2474591</v>
      </c>
      <c r="T62" s="84">
        <v>2838693</v>
      </c>
      <c r="U62" s="84">
        <v>3167265</v>
      </c>
      <c r="V62" s="84">
        <v>3439388</v>
      </c>
      <c r="W62" s="84">
        <v>3681999</v>
      </c>
      <c r="X62" s="84">
        <v>3873511</v>
      </c>
      <c r="Y62" s="84">
        <v>4038377</v>
      </c>
      <c r="DA62" s="171" t="s">
        <v>505</v>
      </c>
    </row>
    <row r="63" spans="1:105" ht="11.45" customHeight="1" x14ac:dyDescent="0.25">
      <c r="A63" s="111" t="s">
        <v>112</v>
      </c>
      <c r="B63" s="84">
        <v>0</v>
      </c>
      <c r="C63" s="84">
        <v>0</v>
      </c>
      <c r="D63" s="84">
        <v>4800</v>
      </c>
      <c r="E63" s="84">
        <v>11052</v>
      </c>
      <c r="F63" s="84">
        <v>25457</v>
      </c>
      <c r="G63" s="84">
        <v>24045</v>
      </c>
      <c r="H63" s="84">
        <v>23859</v>
      </c>
      <c r="I63" s="84">
        <v>31582</v>
      </c>
      <c r="J63" s="84">
        <v>30534</v>
      </c>
      <c r="K63" s="84">
        <v>30028</v>
      </c>
      <c r="L63" s="84">
        <v>29414</v>
      </c>
      <c r="M63" s="84">
        <v>78887</v>
      </c>
      <c r="N63" s="84">
        <v>74917</v>
      </c>
      <c r="O63" s="84">
        <v>73814</v>
      </c>
      <c r="P63" s="84">
        <v>77545</v>
      </c>
      <c r="Q63" s="84">
        <v>88694</v>
      </c>
      <c r="R63" s="84">
        <v>96874</v>
      </c>
      <c r="S63" s="84">
        <v>110648</v>
      </c>
      <c r="T63" s="84">
        <v>127728</v>
      </c>
      <c r="U63" s="84">
        <v>151859</v>
      </c>
      <c r="V63" s="84">
        <v>182679</v>
      </c>
      <c r="W63" s="84">
        <v>229020</v>
      </c>
      <c r="X63" s="84">
        <v>222154</v>
      </c>
      <c r="Y63" s="84">
        <v>231419</v>
      </c>
      <c r="DA63" s="171" t="s">
        <v>506</v>
      </c>
    </row>
    <row r="64" spans="1:105" ht="11.45" customHeight="1" x14ac:dyDescent="0.25">
      <c r="A64" s="111" t="s">
        <v>113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0</v>
      </c>
      <c r="I64" s="84">
        <v>0</v>
      </c>
      <c r="J64" s="84">
        <v>0</v>
      </c>
      <c r="K64" s="84">
        <v>0</v>
      </c>
      <c r="L64" s="84">
        <v>0</v>
      </c>
      <c r="M64" s="84">
        <v>0</v>
      </c>
      <c r="N64" s="84">
        <v>0</v>
      </c>
      <c r="O64" s="84">
        <v>0</v>
      </c>
      <c r="P64" s="84">
        <v>0</v>
      </c>
      <c r="Q64" s="84">
        <v>0</v>
      </c>
      <c r="R64" s="84">
        <v>0</v>
      </c>
      <c r="S64" s="84">
        <v>0</v>
      </c>
      <c r="T64" s="84">
        <v>0</v>
      </c>
      <c r="U64" s="84">
        <v>0</v>
      </c>
      <c r="V64" s="84">
        <v>0</v>
      </c>
      <c r="W64" s="84">
        <v>0</v>
      </c>
      <c r="X64" s="84">
        <v>0</v>
      </c>
      <c r="Y64" s="84">
        <v>0</v>
      </c>
      <c r="DA64" s="171" t="s">
        <v>507</v>
      </c>
    </row>
    <row r="65" spans="1:105" ht="11.45" customHeight="1" x14ac:dyDescent="0.25">
      <c r="A65" s="111" t="s">
        <v>114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151</v>
      </c>
      <c r="O65" s="84">
        <v>144</v>
      </c>
      <c r="P65" s="84">
        <v>153</v>
      </c>
      <c r="Q65" s="84">
        <v>174</v>
      </c>
      <c r="R65" s="84">
        <v>147</v>
      </c>
      <c r="S65" s="84">
        <v>278</v>
      </c>
      <c r="T65" s="84">
        <v>510</v>
      </c>
      <c r="U65" s="84">
        <v>798</v>
      </c>
      <c r="V65" s="84">
        <v>1847</v>
      </c>
      <c r="W65" s="84">
        <v>4840</v>
      </c>
      <c r="X65" s="84">
        <v>8321</v>
      </c>
      <c r="Y65" s="84">
        <v>10205</v>
      </c>
      <c r="DA65" s="171" t="s">
        <v>508</v>
      </c>
    </row>
    <row r="66" spans="1:105" ht="11.45" customHeight="1" x14ac:dyDescent="0.25">
      <c r="A66" s="111" t="s">
        <v>115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1</v>
      </c>
      <c r="L66" s="84">
        <v>188</v>
      </c>
      <c r="M66" s="84">
        <v>449</v>
      </c>
      <c r="N66" s="84">
        <v>838</v>
      </c>
      <c r="O66" s="84">
        <v>1092</v>
      </c>
      <c r="P66" s="84">
        <v>1260</v>
      </c>
      <c r="Q66" s="84">
        <v>1369</v>
      </c>
      <c r="R66" s="84">
        <v>1574</v>
      </c>
      <c r="S66" s="84">
        <v>1889</v>
      </c>
      <c r="T66" s="84">
        <v>2361</v>
      </c>
      <c r="U66" s="84">
        <v>3774</v>
      </c>
      <c r="V66" s="84">
        <v>5563</v>
      </c>
      <c r="W66" s="84">
        <v>11883</v>
      </c>
      <c r="X66" s="84">
        <v>23474</v>
      </c>
      <c r="Y66" s="84">
        <v>38553</v>
      </c>
      <c r="DA66" s="171" t="s">
        <v>509</v>
      </c>
    </row>
    <row r="67" spans="1:105" ht="11.45" customHeight="1" x14ac:dyDescent="0.25">
      <c r="A67" s="109" t="s">
        <v>21</v>
      </c>
      <c r="B67" s="110">
        <f t="shared" ref="B67:K67" si="130">SUM(B68:B72)</f>
        <v>48142</v>
      </c>
      <c r="C67" s="110">
        <f t="shared" si="130"/>
        <v>47724</v>
      </c>
      <c r="D67" s="110">
        <f t="shared" si="130"/>
        <v>40761</v>
      </c>
      <c r="E67" s="110">
        <f t="shared" si="130"/>
        <v>41947</v>
      </c>
      <c r="F67" s="110">
        <f t="shared" si="130"/>
        <v>43192</v>
      </c>
      <c r="G67" s="110">
        <f t="shared" si="130"/>
        <v>39273</v>
      </c>
      <c r="H67" s="110">
        <f t="shared" si="130"/>
        <v>32315</v>
      </c>
      <c r="I67" s="110">
        <f t="shared" si="130"/>
        <v>34202</v>
      </c>
      <c r="J67" s="110">
        <f t="shared" si="130"/>
        <v>41514</v>
      </c>
      <c r="K67" s="110">
        <f t="shared" si="130"/>
        <v>41176</v>
      </c>
      <c r="L67" s="110">
        <f t="shared" ref="L67" si="131">SUM(L68:L72)</f>
        <v>40892</v>
      </c>
      <c r="M67" s="110">
        <f t="shared" ref="M67:V67" si="132">SUM(M68:M72)</f>
        <v>40909</v>
      </c>
      <c r="N67" s="110">
        <f t="shared" si="132"/>
        <v>42034</v>
      </c>
      <c r="O67" s="110">
        <f t="shared" si="132"/>
        <v>42862</v>
      </c>
      <c r="P67" s="110">
        <f t="shared" si="132"/>
        <v>44303</v>
      </c>
      <c r="Q67" s="110">
        <f t="shared" si="132"/>
        <v>47347</v>
      </c>
      <c r="R67" s="110">
        <f t="shared" si="132"/>
        <v>48803</v>
      </c>
      <c r="S67" s="110">
        <f t="shared" si="132"/>
        <v>50309</v>
      </c>
      <c r="T67" s="110">
        <f t="shared" si="132"/>
        <v>51802</v>
      </c>
      <c r="U67" s="110">
        <f t="shared" si="132"/>
        <v>53771</v>
      </c>
      <c r="V67" s="110">
        <f t="shared" si="132"/>
        <v>54212</v>
      </c>
      <c r="W67" s="110">
        <f t="shared" ref="W67:Y67" si="133">SUM(W68:W72)</f>
        <v>54351</v>
      </c>
      <c r="X67" s="110">
        <f t="shared" si="133"/>
        <v>54713</v>
      </c>
      <c r="Y67" s="110">
        <f t="shared" si="133"/>
        <v>55994</v>
      </c>
      <c r="DA67" s="176" t="s">
        <v>510</v>
      </c>
    </row>
    <row r="68" spans="1:105" ht="11.45" customHeight="1" x14ac:dyDescent="0.25">
      <c r="A68" s="111" t="s">
        <v>110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</v>
      </c>
      <c r="J68" s="102">
        <v>169</v>
      </c>
      <c r="K68" s="102">
        <v>169</v>
      </c>
      <c r="L68" s="102">
        <v>169</v>
      </c>
      <c r="M68" s="102">
        <v>168</v>
      </c>
      <c r="N68" s="102">
        <v>165</v>
      </c>
      <c r="O68" s="102">
        <v>161</v>
      </c>
      <c r="P68" s="102">
        <v>156</v>
      </c>
      <c r="Q68" s="102">
        <v>149</v>
      </c>
      <c r="R68" s="102">
        <v>142</v>
      </c>
      <c r="S68" s="102">
        <v>135</v>
      </c>
      <c r="T68" s="102">
        <v>126</v>
      </c>
      <c r="U68" s="102">
        <v>121</v>
      </c>
      <c r="V68" s="102">
        <v>120</v>
      </c>
      <c r="W68" s="102">
        <v>117</v>
      </c>
      <c r="X68" s="102">
        <v>121</v>
      </c>
      <c r="Y68" s="102">
        <v>120</v>
      </c>
      <c r="DA68" s="175" t="s">
        <v>511</v>
      </c>
    </row>
    <row r="69" spans="1:105" ht="11.45" customHeight="1" x14ac:dyDescent="0.25">
      <c r="A69" s="111" t="s">
        <v>111</v>
      </c>
      <c r="B69" s="102">
        <v>48142</v>
      </c>
      <c r="C69" s="102">
        <v>47724</v>
      </c>
      <c r="D69" s="102">
        <v>40761</v>
      </c>
      <c r="E69" s="102">
        <v>41947</v>
      </c>
      <c r="F69" s="102">
        <v>43192</v>
      </c>
      <c r="G69" s="102">
        <v>39273</v>
      </c>
      <c r="H69" s="102">
        <v>32315</v>
      </c>
      <c r="I69" s="102">
        <v>34202</v>
      </c>
      <c r="J69" s="102">
        <v>41313</v>
      </c>
      <c r="K69" s="102">
        <v>40971</v>
      </c>
      <c r="L69" s="102">
        <v>40647</v>
      </c>
      <c r="M69" s="102">
        <v>40650</v>
      </c>
      <c r="N69" s="102">
        <v>41778</v>
      </c>
      <c r="O69" s="102">
        <v>42607</v>
      </c>
      <c r="P69" s="102">
        <v>44052</v>
      </c>
      <c r="Q69" s="102">
        <v>47104</v>
      </c>
      <c r="R69" s="102">
        <v>48574</v>
      </c>
      <c r="S69" s="102">
        <v>50088</v>
      </c>
      <c r="T69" s="102">
        <v>51600</v>
      </c>
      <c r="U69" s="102">
        <v>53532</v>
      </c>
      <c r="V69" s="102">
        <v>53801</v>
      </c>
      <c r="W69" s="102">
        <v>53933</v>
      </c>
      <c r="X69" s="102">
        <v>54146</v>
      </c>
      <c r="Y69" s="102">
        <v>54906</v>
      </c>
      <c r="DA69" s="175" t="s">
        <v>512</v>
      </c>
    </row>
    <row r="70" spans="1:105" ht="11.45" customHeight="1" x14ac:dyDescent="0.25">
      <c r="A70" s="111" t="s">
        <v>112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32</v>
      </c>
      <c r="K70" s="102">
        <v>36</v>
      </c>
      <c r="L70" s="102">
        <v>76</v>
      </c>
      <c r="M70" s="102">
        <v>91</v>
      </c>
      <c r="N70" s="102">
        <v>91</v>
      </c>
      <c r="O70" s="102">
        <v>93</v>
      </c>
      <c r="P70" s="102">
        <v>93</v>
      </c>
      <c r="Q70" s="102">
        <v>90</v>
      </c>
      <c r="R70" s="102">
        <v>82</v>
      </c>
      <c r="S70" s="102">
        <v>81</v>
      </c>
      <c r="T70" s="102">
        <v>51</v>
      </c>
      <c r="U70" s="102">
        <v>49</v>
      </c>
      <c r="V70" s="102">
        <v>48</v>
      </c>
      <c r="W70" s="102">
        <v>47</v>
      </c>
      <c r="X70" s="102">
        <v>17</v>
      </c>
      <c r="Y70" s="102">
        <v>13</v>
      </c>
      <c r="DA70" s="175" t="s">
        <v>513</v>
      </c>
    </row>
    <row r="71" spans="1:105" ht="11.45" customHeight="1" x14ac:dyDescent="0.25">
      <c r="A71" s="111" t="s">
        <v>113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X71" s="102">
        <v>0</v>
      </c>
      <c r="Y71" s="102">
        <v>0</v>
      </c>
      <c r="DA71" s="175" t="s">
        <v>514</v>
      </c>
    </row>
    <row r="72" spans="1:105" ht="11.45" customHeight="1" x14ac:dyDescent="0.25">
      <c r="A72" s="111" t="s">
        <v>115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1</v>
      </c>
      <c r="P72" s="102">
        <v>2</v>
      </c>
      <c r="Q72" s="102">
        <v>4</v>
      </c>
      <c r="R72" s="102">
        <v>5</v>
      </c>
      <c r="S72" s="102">
        <v>5</v>
      </c>
      <c r="T72" s="102">
        <v>25</v>
      </c>
      <c r="U72" s="102">
        <v>69</v>
      </c>
      <c r="V72" s="102">
        <v>243</v>
      </c>
      <c r="W72" s="102">
        <v>254</v>
      </c>
      <c r="X72" s="102">
        <v>429</v>
      </c>
      <c r="Y72" s="102">
        <v>955</v>
      </c>
      <c r="DA72" s="175" t="s">
        <v>515</v>
      </c>
    </row>
    <row r="73" spans="1:105" ht="11.45" customHeight="1" x14ac:dyDescent="0.25">
      <c r="A73" s="27" t="s">
        <v>34</v>
      </c>
      <c r="B73" s="28">
        <f t="shared" ref="B73:K73" si="134">B74+B80</f>
        <v>377906</v>
      </c>
      <c r="C73" s="28">
        <f t="shared" si="134"/>
        <v>389874</v>
      </c>
      <c r="D73" s="28">
        <f t="shared" si="134"/>
        <v>397051</v>
      </c>
      <c r="E73" s="28">
        <f t="shared" si="134"/>
        <v>421307</v>
      </c>
      <c r="F73" s="28">
        <f t="shared" si="134"/>
        <v>438560</v>
      </c>
      <c r="G73" s="28">
        <f t="shared" si="134"/>
        <v>464019</v>
      </c>
      <c r="H73" s="28">
        <f t="shared" si="134"/>
        <v>511337</v>
      </c>
      <c r="I73" s="28">
        <f t="shared" si="134"/>
        <v>532477</v>
      </c>
      <c r="J73" s="28">
        <f t="shared" si="134"/>
        <v>591484</v>
      </c>
      <c r="K73" s="28">
        <f t="shared" si="134"/>
        <v>607205</v>
      </c>
      <c r="L73" s="28">
        <f t="shared" ref="L73" si="135">L74+L80</f>
        <v>604351</v>
      </c>
      <c r="M73" s="28">
        <f t="shared" ref="M73:V73" si="136">M74+M80</f>
        <v>620389</v>
      </c>
      <c r="N73" s="28">
        <f t="shared" si="136"/>
        <v>631889</v>
      </c>
      <c r="O73" s="28">
        <f t="shared" si="136"/>
        <v>658337</v>
      </c>
      <c r="P73" s="28">
        <f t="shared" si="136"/>
        <v>697327</v>
      </c>
      <c r="Q73" s="28">
        <f t="shared" si="136"/>
        <v>718695</v>
      </c>
      <c r="R73" s="28">
        <f t="shared" si="136"/>
        <v>729157</v>
      </c>
      <c r="S73" s="28">
        <f t="shared" si="136"/>
        <v>762648</v>
      </c>
      <c r="T73" s="28">
        <f t="shared" si="136"/>
        <v>812709</v>
      </c>
      <c r="U73" s="28">
        <f t="shared" si="136"/>
        <v>858031</v>
      </c>
      <c r="V73" s="28">
        <f t="shared" si="136"/>
        <v>903222</v>
      </c>
      <c r="W73" s="28">
        <f t="shared" ref="W73:Y73" si="137">W74+W80</f>
        <v>942168</v>
      </c>
      <c r="X73" s="28">
        <f t="shared" si="137"/>
        <v>967405</v>
      </c>
      <c r="Y73" s="28">
        <f t="shared" si="137"/>
        <v>988298</v>
      </c>
      <c r="DA73" s="173" t="s">
        <v>516</v>
      </c>
    </row>
    <row r="74" spans="1:105" ht="11.45" customHeight="1" x14ac:dyDescent="0.25">
      <c r="A74" s="136" t="s">
        <v>153</v>
      </c>
      <c r="B74" s="137">
        <f t="shared" ref="B74:K74" si="138">SUM(B75:B79)</f>
        <v>320155</v>
      </c>
      <c r="C74" s="137">
        <f t="shared" si="138"/>
        <v>328399</v>
      </c>
      <c r="D74" s="137">
        <f t="shared" si="138"/>
        <v>335513</v>
      </c>
      <c r="E74" s="137">
        <f t="shared" si="138"/>
        <v>347565</v>
      </c>
      <c r="F74" s="137">
        <f t="shared" si="138"/>
        <v>362316</v>
      </c>
      <c r="G74" s="137">
        <f t="shared" si="138"/>
        <v>371018</v>
      </c>
      <c r="H74" s="137">
        <f t="shared" si="138"/>
        <v>410366</v>
      </c>
      <c r="I74" s="137">
        <f t="shared" si="138"/>
        <v>432232</v>
      </c>
      <c r="J74" s="137">
        <f t="shared" si="138"/>
        <v>486990</v>
      </c>
      <c r="K74" s="137">
        <f t="shared" si="138"/>
        <v>499692</v>
      </c>
      <c r="L74" s="137">
        <f t="shared" ref="L74" si="139">SUM(L75:L79)</f>
        <v>503773</v>
      </c>
      <c r="M74" s="137">
        <f t="shared" ref="M74:V74" si="140">SUM(M75:M79)</f>
        <v>526063</v>
      </c>
      <c r="N74" s="137">
        <f t="shared" si="140"/>
        <v>544089</v>
      </c>
      <c r="O74" s="137">
        <f t="shared" si="140"/>
        <v>572873</v>
      </c>
      <c r="P74" s="137">
        <f t="shared" si="140"/>
        <v>615903</v>
      </c>
      <c r="Q74" s="137">
        <f t="shared" si="140"/>
        <v>645549</v>
      </c>
      <c r="R74" s="137">
        <f t="shared" si="140"/>
        <v>663503</v>
      </c>
      <c r="S74" s="137">
        <f t="shared" si="140"/>
        <v>700987</v>
      </c>
      <c r="T74" s="137">
        <f t="shared" si="140"/>
        <v>753029</v>
      </c>
      <c r="U74" s="137">
        <f t="shared" si="140"/>
        <v>797135</v>
      </c>
      <c r="V74" s="137">
        <f t="shared" si="140"/>
        <v>839103</v>
      </c>
      <c r="W74" s="137">
        <f t="shared" ref="W74:Y74" si="141">SUM(W75:W79)</f>
        <v>877319</v>
      </c>
      <c r="X74" s="137">
        <f t="shared" si="141"/>
        <v>904827</v>
      </c>
      <c r="Y74" s="137">
        <f t="shared" si="141"/>
        <v>925750</v>
      </c>
      <c r="DA74" s="174" t="s">
        <v>517</v>
      </c>
    </row>
    <row r="75" spans="1:105" ht="11.45" customHeight="1" x14ac:dyDescent="0.25">
      <c r="A75" s="111" t="s">
        <v>110</v>
      </c>
      <c r="B75" s="84">
        <v>130188</v>
      </c>
      <c r="C75" s="84">
        <v>131096</v>
      </c>
      <c r="D75" s="84">
        <v>131545</v>
      </c>
      <c r="E75" s="84">
        <v>133628</v>
      </c>
      <c r="F75" s="84">
        <v>136509</v>
      </c>
      <c r="G75" s="84">
        <v>137260</v>
      </c>
      <c r="H75" s="84">
        <v>147870</v>
      </c>
      <c r="I75" s="84">
        <v>152513</v>
      </c>
      <c r="J75" s="84">
        <v>152235</v>
      </c>
      <c r="K75" s="84">
        <v>150669</v>
      </c>
      <c r="L75" s="84">
        <v>145203</v>
      </c>
      <c r="M75" s="84">
        <v>140466</v>
      </c>
      <c r="N75" s="84">
        <v>136544</v>
      </c>
      <c r="O75" s="84">
        <v>127322</v>
      </c>
      <c r="P75" s="84">
        <v>119204</v>
      </c>
      <c r="Q75" s="84">
        <v>106409</v>
      </c>
      <c r="R75" s="84">
        <v>111438</v>
      </c>
      <c r="S75" s="84">
        <v>114170</v>
      </c>
      <c r="T75" s="84">
        <v>115134</v>
      </c>
      <c r="U75" s="84">
        <v>112059</v>
      </c>
      <c r="V75" s="84">
        <v>110367</v>
      </c>
      <c r="W75" s="84">
        <v>108220</v>
      </c>
      <c r="X75" s="84">
        <v>106551</v>
      </c>
      <c r="Y75" s="84">
        <v>105741</v>
      </c>
      <c r="DA75" s="171" t="s">
        <v>518</v>
      </c>
    </row>
    <row r="76" spans="1:105" ht="11.45" customHeight="1" x14ac:dyDescent="0.25">
      <c r="A76" s="111" t="s">
        <v>111</v>
      </c>
      <c r="B76" s="84">
        <v>189967</v>
      </c>
      <c r="C76" s="84">
        <v>197303</v>
      </c>
      <c r="D76" s="84">
        <v>203968</v>
      </c>
      <c r="E76" s="84">
        <v>213937</v>
      </c>
      <c r="F76" s="84">
        <v>225807</v>
      </c>
      <c r="G76" s="84">
        <v>233758</v>
      </c>
      <c r="H76" s="84">
        <v>262496</v>
      </c>
      <c r="I76" s="84">
        <v>279719</v>
      </c>
      <c r="J76" s="84">
        <v>334753</v>
      </c>
      <c r="K76" s="84">
        <v>349021</v>
      </c>
      <c r="L76" s="84">
        <v>358566</v>
      </c>
      <c r="M76" s="84">
        <v>385590</v>
      </c>
      <c r="N76" s="84">
        <v>407529</v>
      </c>
      <c r="O76" s="84">
        <v>445531</v>
      </c>
      <c r="P76" s="84">
        <v>496674</v>
      </c>
      <c r="Q76" s="84">
        <v>539118</v>
      </c>
      <c r="R76" s="84">
        <v>552036</v>
      </c>
      <c r="S76" s="84">
        <v>586774</v>
      </c>
      <c r="T76" s="84">
        <v>637815</v>
      </c>
      <c r="U76" s="84">
        <v>684940</v>
      </c>
      <c r="V76" s="84">
        <v>728513</v>
      </c>
      <c r="W76" s="84">
        <v>768783</v>
      </c>
      <c r="X76" s="84">
        <v>797742</v>
      </c>
      <c r="Y76" s="84">
        <v>818943</v>
      </c>
      <c r="DA76" s="171" t="s">
        <v>519</v>
      </c>
    </row>
    <row r="77" spans="1:105" ht="11.45" customHeight="1" x14ac:dyDescent="0.25">
      <c r="A77" s="111" t="s">
        <v>112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2</v>
      </c>
      <c r="K77" s="84">
        <v>2</v>
      </c>
      <c r="L77" s="84">
        <v>2</v>
      </c>
      <c r="M77" s="84">
        <v>4</v>
      </c>
      <c r="N77" s="84">
        <v>10</v>
      </c>
      <c r="O77" s="84">
        <v>10</v>
      </c>
      <c r="P77" s="84">
        <v>12</v>
      </c>
      <c r="Q77" s="84">
        <v>10</v>
      </c>
      <c r="R77" s="84">
        <v>13</v>
      </c>
      <c r="S77" s="84">
        <v>13</v>
      </c>
      <c r="T77" s="84">
        <v>12</v>
      </c>
      <c r="U77" s="84">
        <v>12</v>
      </c>
      <c r="V77" s="84">
        <v>11</v>
      </c>
      <c r="W77" s="84">
        <v>15</v>
      </c>
      <c r="X77" s="84">
        <v>34</v>
      </c>
      <c r="Y77" s="84">
        <v>50</v>
      </c>
      <c r="DA77" s="171" t="s">
        <v>520</v>
      </c>
    </row>
    <row r="78" spans="1:105" ht="11.45" customHeight="1" x14ac:dyDescent="0.25">
      <c r="A78" s="111" t="s">
        <v>113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0</v>
      </c>
      <c r="S78" s="84">
        <v>0</v>
      </c>
      <c r="T78" s="84">
        <v>0</v>
      </c>
      <c r="U78" s="84">
        <v>0</v>
      </c>
      <c r="V78" s="84">
        <v>0</v>
      </c>
      <c r="W78" s="84">
        <v>0</v>
      </c>
      <c r="X78" s="84">
        <v>0</v>
      </c>
      <c r="Y78" s="84">
        <v>0</v>
      </c>
      <c r="DA78" s="171" t="s">
        <v>521</v>
      </c>
    </row>
    <row r="79" spans="1:105" ht="11.45" customHeight="1" x14ac:dyDescent="0.25">
      <c r="A79" s="111" t="s">
        <v>115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2</v>
      </c>
      <c r="M79" s="84">
        <v>3</v>
      </c>
      <c r="N79" s="84">
        <v>6</v>
      </c>
      <c r="O79" s="84">
        <v>10</v>
      </c>
      <c r="P79" s="84">
        <v>13</v>
      </c>
      <c r="Q79" s="84">
        <v>12</v>
      </c>
      <c r="R79" s="84">
        <v>16</v>
      </c>
      <c r="S79" s="84">
        <v>30</v>
      </c>
      <c r="T79" s="84">
        <v>68</v>
      </c>
      <c r="U79" s="84">
        <v>124</v>
      </c>
      <c r="V79" s="84">
        <v>212</v>
      </c>
      <c r="W79" s="84">
        <v>301</v>
      </c>
      <c r="X79" s="84">
        <v>500</v>
      </c>
      <c r="Y79" s="84">
        <v>1016</v>
      </c>
      <c r="DA79" s="171" t="s">
        <v>522</v>
      </c>
    </row>
    <row r="80" spans="1:105" ht="11.45" customHeight="1" x14ac:dyDescent="0.25">
      <c r="A80" s="109" t="s">
        <v>154</v>
      </c>
      <c r="B80" s="110">
        <f t="shared" ref="B80:K80" si="142">SUM(B81:B82)</f>
        <v>57751</v>
      </c>
      <c r="C80" s="110">
        <f t="shared" si="142"/>
        <v>61475</v>
      </c>
      <c r="D80" s="110">
        <f t="shared" si="142"/>
        <v>61538</v>
      </c>
      <c r="E80" s="110">
        <f t="shared" si="142"/>
        <v>73742</v>
      </c>
      <c r="F80" s="110">
        <f t="shared" si="142"/>
        <v>76244</v>
      </c>
      <c r="G80" s="110">
        <f t="shared" si="142"/>
        <v>93001</v>
      </c>
      <c r="H80" s="110">
        <f t="shared" si="142"/>
        <v>100971</v>
      </c>
      <c r="I80" s="110">
        <f t="shared" si="142"/>
        <v>100245</v>
      </c>
      <c r="J80" s="110">
        <f t="shared" si="142"/>
        <v>104494</v>
      </c>
      <c r="K80" s="110">
        <f t="shared" si="142"/>
        <v>107513</v>
      </c>
      <c r="L80" s="110">
        <f t="shared" ref="L80" si="143">SUM(L81:L82)</f>
        <v>100578</v>
      </c>
      <c r="M80" s="110">
        <f t="shared" ref="M80:V80" si="144">SUM(M81:M82)</f>
        <v>94326</v>
      </c>
      <c r="N80" s="110">
        <f t="shared" si="144"/>
        <v>87800</v>
      </c>
      <c r="O80" s="110">
        <f t="shared" si="144"/>
        <v>85464</v>
      </c>
      <c r="P80" s="110">
        <f t="shared" si="144"/>
        <v>81424</v>
      </c>
      <c r="Q80" s="110">
        <f t="shared" si="144"/>
        <v>73146</v>
      </c>
      <c r="R80" s="110">
        <f t="shared" si="144"/>
        <v>65654</v>
      </c>
      <c r="S80" s="110">
        <f t="shared" si="144"/>
        <v>61661</v>
      </c>
      <c r="T80" s="110">
        <f t="shared" si="144"/>
        <v>59680</v>
      </c>
      <c r="U80" s="110">
        <f t="shared" si="144"/>
        <v>60896</v>
      </c>
      <c r="V80" s="110">
        <f t="shared" si="144"/>
        <v>64119</v>
      </c>
      <c r="W80" s="110">
        <f t="shared" ref="W80:Y80" si="145">SUM(W81:W82)</f>
        <v>64849</v>
      </c>
      <c r="X80" s="110">
        <f t="shared" si="145"/>
        <v>62578</v>
      </c>
      <c r="Y80" s="110">
        <f t="shared" si="145"/>
        <v>62548</v>
      </c>
      <c r="DA80" s="176" t="s">
        <v>523</v>
      </c>
    </row>
    <row r="81" spans="1:105" ht="11.45" customHeight="1" x14ac:dyDescent="0.25">
      <c r="A81" s="128" t="s">
        <v>27</v>
      </c>
      <c r="B81" s="102">
        <v>49944</v>
      </c>
      <c r="C81" s="102">
        <v>53105</v>
      </c>
      <c r="D81" s="102">
        <v>52732</v>
      </c>
      <c r="E81" s="102">
        <v>64741</v>
      </c>
      <c r="F81" s="102">
        <v>65601</v>
      </c>
      <c r="G81" s="102">
        <v>81984</v>
      </c>
      <c r="H81" s="102">
        <v>92746</v>
      </c>
      <c r="I81" s="102">
        <v>91925</v>
      </c>
      <c r="J81" s="102">
        <v>97926</v>
      </c>
      <c r="K81" s="102">
        <v>103855</v>
      </c>
      <c r="L81" s="102">
        <v>97658</v>
      </c>
      <c r="M81" s="102">
        <v>91338</v>
      </c>
      <c r="N81" s="102">
        <v>84296</v>
      </c>
      <c r="O81" s="102">
        <v>81705</v>
      </c>
      <c r="P81" s="102">
        <v>77755</v>
      </c>
      <c r="Q81" s="102">
        <v>69456</v>
      </c>
      <c r="R81" s="102">
        <v>61534</v>
      </c>
      <c r="S81" s="102">
        <v>56754</v>
      </c>
      <c r="T81" s="102">
        <v>55031</v>
      </c>
      <c r="U81" s="102">
        <v>56177</v>
      </c>
      <c r="V81" s="102">
        <v>60389</v>
      </c>
      <c r="W81" s="102">
        <v>59544</v>
      </c>
      <c r="X81" s="102">
        <v>57298</v>
      </c>
      <c r="Y81" s="102">
        <v>57062</v>
      </c>
      <c r="DA81" s="175" t="s">
        <v>524</v>
      </c>
    </row>
    <row r="82" spans="1:105" ht="11.45" customHeight="1" x14ac:dyDescent="0.25">
      <c r="A82" s="138" t="s">
        <v>116</v>
      </c>
      <c r="B82" s="86">
        <v>7807</v>
      </c>
      <c r="C82" s="86">
        <v>8370</v>
      </c>
      <c r="D82" s="86">
        <v>8806</v>
      </c>
      <c r="E82" s="86">
        <v>9001</v>
      </c>
      <c r="F82" s="86">
        <v>10643</v>
      </c>
      <c r="G82" s="86">
        <v>11017</v>
      </c>
      <c r="H82" s="86">
        <v>8225</v>
      </c>
      <c r="I82" s="86">
        <v>8320</v>
      </c>
      <c r="J82" s="86">
        <v>6568</v>
      </c>
      <c r="K82" s="86">
        <v>3658</v>
      </c>
      <c r="L82" s="86">
        <v>2920</v>
      </c>
      <c r="M82" s="86">
        <v>2988</v>
      </c>
      <c r="N82" s="86">
        <v>3504</v>
      </c>
      <c r="O82" s="86">
        <v>3759</v>
      </c>
      <c r="P82" s="86">
        <v>3669</v>
      </c>
      <c r="Q82" s="86">
        <v>3690</v>
      </c>
      <c r="R82" s="86">
        <v>4120</v>
      </c>
      <c r="S82" s="86">
        <v>4907</v>
      </c>
      <c r="T82" s="86">
        <v>4649</v>
      </c>
      <c r="U82" s="86">
        <v>4719</v>
      </c>
      <c r="V82" s="86">
        <v>3730</v>
      </c>
      <c r="W82" s="86">
        <v>5305</v>
      </c>
      <c r="X82" s="86">
        <v>5280</v>
      </c>
      <c r="Y82" s="86">
        <v>5486</v>
      </c>
      <c r="DA82" s="178" t="s">
        <v>525</v>
      </c>
    </row>
    <row r="83" spans="1:105" ht="11.45" hidden="1" customHeight="1" x14ac:dyDescent="0.25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DA83" s="171"/>
    </row>
    <row r="84" spans="1:105" ht="11.45" hidden="1" customHeight="1" x14ac:dyDescent="0.25">
      <c r="A84" s="53" t="s">
        <v>135</v>
      </c>
      <c r="B84" s="54">
        <f t="shared" ref="B84:C84" si="146">B85+B100</f>
        <v>3600805</v>
      </c>
      <c r="C84" s="54">
        <f t="shared" si="146"/>
        <v>3708845</v>
      </c>
      <c r="D84" s="54">
        <f t="shared" ref="D84:V84" si="147">D85+D100</f>
        <v>3454331</v>
      </c>
      <c r="E84" s="54">
        <f t="shared" si="147"/>
        <v>3594309</v>
      </c>
      <c r="F84" s="54">
        <f t="shared" si="147"/>
        <v>3753565</v>
      </c>
      <c r="G84" s="54">
        <f t="shared" si="147"/>
        <v>3914402</v>
      </c>
      <c r="H84" s="54">
        <f t="shared" si="147"/>
        <v>3816611</v>
      </c>
      <c r="I84" s="54">
        <f t="shared" si="147"/>
        <v>4164158</v>
      </c>
      <c r="J84" s="54">
        <f t="shared" si="147"/>
        <v>4731922</v>
      </c>
      <c r="K84" s="54">
        <f t="shared" si="147"/>
        <v>4973518</v>
      </c>
      <c r="L84" s="54">
        <f t="shared" si="147"/>
        <v>5050630</v>
      </c>
      <c r="M84" s="54">
        <f t="shared" si="147"/>
        <v>5086680</v>
      </c>
      <c r="N84" s="54">
        <f t="shared" si="147"/>
        <v>5256852</v>
      </c>
      <c r="O84" s="54">
        <f t="shared" si="147"/>
        <v>5499568</v>
      </c>
      <c r="P84" s="54">
        <f t="shared" si="147"/>
        <v>5757497</v>
      </c>
      <c r="Q84" s="54">
        <f t="shared" si="147"/>
        <v>6036435</v>
      </c>
      <c r="R84" s="54">
        <f t="shared" si="147"/>
        <v>6369917</v>
      </c>
      <c r="S84" s="54">
        <f t="shared" si="147"/>
        <v>6938451</v>
      </c>
      <c r="T84" s="54">
        <f t="shared" si="147"/>
        <v>7453487</v>
      </c>
      <c r="U84" s="54">
        <f t="shared" si="147"/>
        <v>7963173</v>
      </c>
      <c r="V84" s="54">
        <f t="shared" si="147"/>
        <v>8394240</v>
      </c>
      <c r="W84" s="54">
        <f t="shared" ref="W84:Y84" si="148">W85+W100</f>
        <v>8783402</v>
      </c>
      <c r="X84" s="54">
        <f t="shared" si="148"/>
        <v>9079041</v>
      </c>
      <c r="Y84" s="54">
        <f t="shared" si="148"/>
        <v>9359534</v>
      </c>
      <c r="DA84" s="172"/>
    </row>
    <row r="85" spans="1:105" ht="11.45" hidden="1" customHeight="1" x14ac:dyDescent="0.25">
      <c r="A85" s="27" t="s">
        <v>33</v>
      </c>
      <c r="B85" s="28">
        <f t="shared" ref="B85:C85" si="149">B86+B87+B94</f>
        <v>3222899</v>
      </c>
      <c r="C85" s="28">
        <f t="shared" si="149"/>
        <v>3318971</v>
      </c>
      <c r="D85" s="28">
        <f t="shared" ref="D85:V85" si="150">D86+D87+D94</f>
        <v>3057280</v>
      </c>
      <c r="E85" s="28">
        <f t="shared" si="150"/>
        <v>3173002</v>
      </c>
      <c r="F85" s="28">
        <f t="shared" si="150"/>
        <v>3315005</v>
      </c>
      <c r="G85" s="28">
        <f t="shared" si="150"/>
        <v>3450383</v>
      </c>
      <c r="H85" s="28">
        <f t="shared" si="150"/>
        <v>3305274</v>
      </c>
      <c r="I85" s="28">
        <f t="shared" si="150"/>
        <v>3631681</v>
      </c>
      <c r="J85" s="28">
        <f t="shared" si="150"/>
        <v>4140438</v>
      </c>
      <c r="K85" s="28">
        <f t="shared" si="150"/>
        <v>4366313</v>
      </c>
      <c r="L85" s="28">
        <f t="shared" si="150"/>
        <v>4446279</v>
      </c>
      <c r="M85" s="28">
        <f t="shared" si="150"/>
        <v>4466291</v>
      </c>
      <c r="N85" s="28">
        <f t="shared" si="150"/>
        <v>4624963</v>
      </c>
      <c r="O85" s="28">
        <f t="shared" si="150"/>
        <v>4841231</v>
      </c>
      <c r="P85" s="28">
        <f t="shared" si="150"/>
        <v>5060170</v>
      </c>
      <c r="Q85" s="28">
        <f t="shared" si="150"/>
        <v>5317740</v>
      </c>
      <c r="R85" s="28">
        <f t="shared" si="150"/>
        <v>5640760</v>
      </c>
      <c r="S85" s="28">
        <f t="shared" si="150"/>
        <v>6175803</v>
      </c>
      <c r="T85" s="28">
        <f t="shared" si="150"/>
        <v>6640778</v>
      </c>
      <c r="U85" s="28">
        <f t="shared" si="150"/>
        <v>7105142</v>
      </c>
      <c r="V85" s="28">
        <f t="shared" si="150"/>
        <v>7491018</v>
      </c>
      <c r="W85" s="28">
        <f t="shared" ref="W85:Y85" si="151">W86+W87+W94</f>
        <v>7841234</v>
      </c>
      <c r="X85" s="28">
        <f t="shared" si="151"/>
        <v>8111636</v>
      </c>
      <c r="Y85" s="28">
        <f t="shared" si="151"/>
        <v>8371236</v>
      </c>
      <c r="DA85" s="173"/>
    </row>
    <row r="86" spans="1:105" ht="11.45" hidden="1" customHeight="1" x14ac:dyDescent="0.25">
      <c r="A86" s="136" t="s">
        <v>173</v>
      </c>
      <c r="B86" s="137">
        <v>45975</v>
      </c>
      <c r="C86" s="137">
        <v>45747</v>
      </c>
      <c r="D86" s="137">
        <v>45519</v>
      </c>
      <c r="E86" s="137">
        <v>45909</v>
      </c>
      <c r="F86" s="137">
        <v>46513</v>
      </c>
      <c r="G86" s="137">
        <v>47110</v>
      </c>
      <c r="H86" s="137">
        <v>51959</v>
      </c>
      <c r="I86" s="137">
        <v>56479</v>
      </c>
      <c r="J86" s="137">
        <v>71827</v>
      </c>
      <c r="K86" s="137">
        <v>79990</v>
      </c>
      <c r="L86" s="137">
        <v>85171</v>
      </c>
      <c r="M86" s="137">
        <v>90082</v>
      </c>
      <c r="N86" s="137">
        <v>95450</v>
      </c>
      <c r="O86" s="137">
        <v>101622</v>
      </c>
      <c r="P86" s="137">
        <v>107338</v>
      </c>
      <c r="Q86" s="137">
        <v>112866</v>
      </c>
      <c r="R86" s="137">
        <v>119534</v>
      </c>
      <c r="S86" s="137">
        <v>127300</v>
      </c>
      <c r="T86" s="137">
        <v>136440</v>
      </c>
      <c r="U86" s="137">
        <v>148387</v>
      </c>
      <c r="V86" s="137">
        <v>162078</v>
      </c>
      <c r="W86" s="137">
        <v>175844</v>
      </c>
      <c r="X86" s="137">
        <v>191737</v>
      </c>
      <c r="Y86" s="137">
        <v>208672</v>
      </c>
      <c r="DA86" s="174"/>
    </row>
    <row r="87" spans="1:105" ht="11.45" hidden="1" customHeight="1" x14ac:dyDescent="0.25">
      <c r="A87" s="109" t="s">
        <v>20</v>
      </c>
      <c r="B87" s="110">
        <f t="shared" ref="B87:C87" si="152">SUM(B88:B93)</f>
        <v>3128782</v>
      </c>
      <c r="C87" s="110">
        <f t="shared" si="152"/>
        <v>3225500</v>
      </c>
      <c r="D87" s="110">
        <f t="shared" ref="D87:V87" si="153">SUM(D88:D93)</f>
        <v>2971000</v>
      </c>
      <c r="E87" s="110">
        <f t="shared" si="153"/>
        <v>3085146</v>
      </c>
      <c r="F87" s="110">
        <f t="shared" si="153"/>
        <v>3225300</v>
      </c>
      <c r="G87" s="110">
        <f t="shared" si="153"/>
        <v>3364000</v>
      </c>
      <c r="H87" s="110">
        <f t="shared" si="153"/>
        <v>3221000</v>
      </c>
      <c r="I87" s="110">
        <f t="shared" si="153"/>
        <v>3541000</v>
      </c>
      <c r="J87" s="110">
        <f t="shared" si="153"/>
        <v>4027097</v>
      </c>
      <c r="K87" s="110">
        <f t="shared" si="153"/>
        <v>4245147</v>
      </c>
      <c r="L87" s="110">
        <f t="shared" si="153"/>
        <v>4320216</v>
      </c>
      <c r="M87" s="110">
        <f t="shared" si="153"/>
        <v>4335300</v>
      </c>
      <c r="N87" s="110">
        <f t="shared" si="153"/>
        <v>4487479</v>
      </c>
      <c r="O87" s="110">
        <f t="shared" si="153"/>
        <v>4696747</v>
      </c>
      <c r="P87" s="110">
        <f t="shared" si="153"/>
        <v>4908529</v>
      </c>
      <c r="Q87" s="110">
        <f t="shared" si="153"/>
        <v>5157527</v>
      </c>
      <c r="R87" s="110">
        <f t="shared" si="153"/>
        <v>5472423</v>
      </c>
      <c r="S87" s="110">
        <f t="shared" si="153"/>
        <v>5998194</v>
      </c>
      <c r="T87" s="110">
        <f t="shared" si="153"/>
        <v>6452536</v>
      </c>
      <c r="U87" s="110">
        <f t="shared" si="153"/>
        <v>6902984</v>
      </c>
      <c r="V87" s="110">
        <f t="shared" si="153"/>
        <v>7274728</v>
      </c>
      <c r="W87" s="110">
        <f t="shared" ref="W87:Y87" si="154">SUM(W88:W93)</f>
        <v>7611039</v>
      </c>
      <c r="X87" s="110">
        <f t="shared" si="154"/>
        <v>7865186</v>
      </c>
      <c r="Y87" s="110">
        <f t="shared" si="154"/>
        <v>8106570</v>
      </c>
      <c r="DA87" s="176"/>
    </row>
    <row r="88" spans="1:105" ht="11.45" hidden="1" customHeight="1" x14ac:dyDescent="0.25">
      <c r="A88" s="111" t="s">
        <v>110</v>
      </c>
      <c r="B88" s="84">
        <v>2909465</v>
      </c>
      <c r="C88" s="84">
        <v>2912477</v>
      </c>
      <c r="D88" s="84">
        <v>2607267</v>
      </c>
      <c r="E88" s="84">
        <v>2622924</v>
      </c>
      <c r="F88" s="84">
        <v>2655351</v>
      </c>
      <c r="G88" s="84">
        <v>2692349</v>
      </c>
      <c r="H88" s="84">
        <v>2469900</v>
      </c>
      <c r="I88" s="84">
        <v>2582882</v>
      </c>
      <c r="J88" s="84">
        <v>2879719</v>
      </c>
      <c r="K88" s="84">
        <v>2988418</v>
      </c>
      <c r="L88" s="84">
        <v>2971193</v>
      </c>
      <c r="M88" s="84">
        <v>2899372</v>
      </c>
      <c r="N88" s="84">
        <v>2955691</v>
      </c>
      <c r="O88" s="84">
        <v>3039184</v>
      </c>
      <c r="P88" s="84">
        <v>3113572</v>
      </c>
      <c r="Q88" s="84">
        <v>3189926</v>
      </c>
      <c r="R88" s="84">
        <v>3288214</v>
      </c>
      <c r="S88" s="84">
        <v>3410788</v>
      </c>
      <c r="T88" s="84">
        <v>3483244</v>
      </c>
      <c r="U88" s="84">
        <v>3579288</v>
      </c>
      <c r="V88" s="84">
        <v>3645251</v>
      </c>
      <c r="W88" s="84">
        <v>3683297</v>
      </c>
      <c r="X88" s="84">
        <v>3737726</v>
      </c>
      <c r="Y88" s="84">
        <v>3788016</v>
      </c>
      <c r="DA88" s="171"/>
    </row>
    <row r="89" spans="1:105" ht="11.45" hidden="1" customHeight="1" x14ac:dyDescent="0.25">
      <c r="A89" s="111" t="s">
        <v>111</v>
      </c>
      <c r="B89" s="84">
        <v>219317</v>
      </c>
      <c r="C89" s="84">
        <v>313023</v>
      </c>
      <c r="D89" s="84">
        <v>358933</v>
      </c>
      <c r="E89" s="84">
        <v>451170</v>
      </c>
      <c r="F89" s="84">
        <v>544492</v>
      </c>
      <c r="G89" s="84">
        <v>647606</v>
      </c>
      <c r="H89" s="84">
        <v>727241</v>
      </c>
      <c r="I89" s="84">
        <v>926536</v>
      </c>
      <c r="J89" s="84">
        <v>1116844</v>
      </c>
      <c r="K89" s="84">
        <v>1226700</v>
      </c>
      <c r="L89" s="84">
        <v>1319421</v>
      </c>
      <c r="M89" s="84">
        <v>1356592</v>
      </c>
      <c r="N89" s="84">
        <v>1455882</v>
      </c>
      <c r="O89" s="84">
        <v>1582513</v>
      </c>
      <c r="P89" s="84">
        <v>1715999</v>
      </c>
      <c r="Q89" s="84">
        <v>1877364</v>
      </c>
      <c r="R89" s="84">
        <v>2085614</v>
      </c>
      <c r="S89" s="84">
        <v>2474591</v>
      </c>
      <c r="T89" s="84">
        <v>2838693</v>
      </c>
      <c r="U89" s="84">
        <v>3167265</v>
      </c>
      <c r="V89" s="84">
        <v>3439388</v>
      </c>
      <c r="W89" s="84">
        <v>3681999</v>
      </c>
      <c r="X89" s="84">
        <v>3873511</v>
      </c>
      <c r="Y89" s="84">
        <v>4038377</v>
      </c>
      <c r="DA89" s="171"/>
    </row>
    <row r="90" spans="1:105" ht="11.45" hidden="1" customHeight="1" x14ac:dyDescent="0.25">
      <c r="A90" s="111" t="s">
        <v>112</v>
      </c>
      <c r="B90" s="84">
        <v>0</v>
      </c>
      <c r="C90" s="84">
        <v>0</v>
      </c>
      <c r="D90" s="84">
        <v>4800</v>
      </c>
      <c r="E90" s="84">
        <v>11052</v>
      </c>
      <c r="F90" s="84">
        <v>25457</v>
      </c>
      <c r="G90" s="84">
        <v>24045</v>
      </c>
      <c r="H90" s="84">
        <v>23859</v>
      </c>
      <c r="I90" s="84">
        <v>31582</v>
      </c>
      <c r="J90" s="84">
        <v>30534</v>
      </c>
      <c r="K90" s="84">
        <v>30028</v>
      </c>
      <c r="L90" s="84">
        <v>29414</v>
      </c>
      <c r="M90" s="84">
        <v>78887</v>
      </c>
      <c r="N90" s="84">
        <v>74917</v>
      </c>
      <c r="O90" s="84">
        <v>73814</v>
      </c>
      <c r="P90" s="84">
        <v>77545</v>
      </c>
      <c r="Q90" s="84">
        <v>88694</v>
      </c>
      <c r="R90" s="84">
        <v>96874</v>
      </c>
      <c r="S90" s="84">
        <v>110648</v>
      </c>
      <c r="T90" s="84">
        <v>127728</v>
      </c>
      <c r="U90" s="84">
        <v>151859</v>
      </c>
      <c r="V90" s="84">
        <v>182679</v>
      </c>
      <c r="W90" s="84">
        <v>229020</v>
      </c>
      <c r="X90" s="84">
        <v>222154</v>
      </c>
      <c r="Y90" s="84">
        <v>231419</v>
      </c>
      <c r="DA90" s="171"/>
    </row>
    <row r="91" spans="1:105" ht="11.45" hidden="1" customHeight="1" x14ac:dyDescent="0.25">
      <c r="A91" s="111" t="s">
        <v>113</v>
      </c>
      <c r="B91" s="84">
        <v>0</v>
      </c>
      <c r="C91" s="84">
        <v>0</v>
      </c>
      <c r="D91" s="84">
        <v>0</v>
      </c>
      <c r="E91" s="84">
        <v>0</v>
      </c>
      <c r="F91" s="84">
        <v>0</v>
      </c>
      <c r="G91" s="84">
        <v>0</v>
      </c>
      <c r="H91" s="84">
        <v>0</v>
      </c>
      <c r="I91" s="84">
        <v>0</v>
      </c>
      <c r="J91" s="84">
        <v>0</v>
      </c>
      <c r="K91" s="84">
        <v>0</v>
      </c>
      <c r="L91" s="84">
        <v>0</v>
      </c>
      <c r="M91" s="84">
        <v>0</v>
      </c>
      <c r="N91" s="84">
        <v>0</v>
      </c>
      <c r="O91" s="84">
        <v>0</v>
      </c>
      <c r="P91" s="84">
        <v>0</v>
      </c>
      <c r="Q91" s="84">
        <v>0</v>
      </c>
      <c r="R91" s="84">
        <v>0</v>
      </c>
      <c r="S91" s="84">
        <v>0</v>
      </c>
      <c r="T91" s="84">
        <v>0</v>
      </c>
      <c r="U91" s="84">
        <v>0</v>
      </c>
      <c r="V91" s="84">
        <v>0</v>
      </c>
      <c r="W91" s="84">
        <v>0</v>
      </c>
      <c r="X91" s="84">
        <v>0</v>
      </c>
      <c r="Y91" s="84">
        <v>0</v>
      </c>
      <c r="DA91" s="171"/>
    </row>
    <row r="92" spans="1:105" ht="11.45" hidden="1" customHeight="1" x14ac:dyDescent="0.25">
      <c r="A92" s="111" t="s">
        <v>114</v>
      </c>
      <c r="B92" s="84">
        <v>0</v>
      </c>
      <c r="C92" s="84">
        <v>0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0</v>
      </c>
      <c r="K92" s="84">
        <v>0</v>
      </c>
      <c r="L92" s="84">
        <v>0</v>
      </c>
      <c r="M92" s="84">
        <v>0</v>
      </c>
      <c r="N92" s="84">
        <v>151</v>
      </c>
      <c r="O92" s="84">
        <v>144</v>
      </c>
      <c r="P92" s="84">
        <v>153</v>
      </c>
      <c r="Q92" s="84">
        <v>174</v>
      </c>
      <c r="R92" s="84">
        <v>147</v>
      </c>
      <c r="S92" s="84">
        <v>278</v>
      </c>
      <c r="T92" s="84">
        <v>510</v>
      </c>
      <c r="U92" s="84">
        <v>798</v>
      </c>
      <c r="V92" s="84">
        <v>1847</v>
      </c>
      <c r="W92" s="84">
        <v>4840</v>
      </c>
      <c r="X92" s="84">
        <v>8321</v>
      </c>
      <c r="Y92" s="84">
        <v>10205</v>
      </c>
      <c r="DA92" s="171"/>
    </row>
    <row r="93" spans="1:105" ht="11.45" hidden="1" customHeight="1" x14ac:dyDescent="0.25">
      <c r="A93" s="111" t="s">
        <v>115</v>
      </c>
      <c r="B93" s="84">
        <v>0</v>
      </c>
      <c r="C93" s="84">
        <v>0</v>
      </c>
      <c r="D93" s="84">
        <v>0</v>
      </c>
      <c r="E93" s="84">
        <v>0</v>
      </c>
      <c r="F93" s="84">
        <v>0</v>
      </c>
      <c r="G93" s="84">
        <v>0</v>
      </c>
      <c r="H93" s="84">
        <v>0</v>
      </c>
      <c r="I93" s="84">
        <v>0</v>
      </c>
      <c r="J93" s="84">
        <v>0</v>
      </c>
      <c r="K93" s="84">
        <v>1</v>
      </c>
      <c r="L93" s="84">
        <v>188</v>
      </c>
      <c r="M93" s="84">
        <v>449</v>
      </c>
      <c r="N93" s="84">
        <v>838</v>
      </c>
      <c r="O93" s="84">
        <v>1092</v>
      </c>
      <c r="P93" s="84">
        <v>1260</v>
      </c>
      <c r="Q93" s="84">
        <v>1369</v>
      </c>
      <c r="R93" s="84">
        <v>1574</v>
      </c>
      <c r="S93" s="84">
        <v>1889</v>
      </c>
      <c r="T93" s="84">
        <v>2361</v>
      </c>
      <c r="U93" s="84">
        <v>3774</v>
      </c>
      <c r="V93" s="84">
        <v>5563</v>
      </c>
      <c r="W93" s="84">
        <v>11883</v>
      </c>
      <c r="X93" s="84">
        <v>23474</v>
      </c>
      <c r="Y93" s="84">
        <v>38553</v>
      </c>
      <c r="DA93" s="171"/>
    </row>
    <row r="94" spans="1:105" ht="11.45" hidden="1" customHeight="1" x14ac:dyDescent="0.25">
      <c r="A94" s="109" t="s">
        <v>21</v>
      </c>
      <c r="B94" s="110">
        <f t="shared" ref="B94:C94" si="155">SUM(B95:B99)</f>
        <v>48142</v>
      </c>
      <c r="C94" s="110">
        <f t="shared" si="155"/>
        <v>47724</v>
      </c>
      <c r="D94" s="110">
        <f t="shared" ref="D94:V94" si="156">SUM(D95:D99)</f>
        <v>40761</v>
      </c>
      <c r="E94" s="110">
        <f t="shared" si="156"/>
        <v>41947</v>
      </c>
      <c r="F94" s="110">
        <f t="shared" si="156"/>
        <v>43192</v>
      </c>
      <c r="G94" s="110">
        <f t="shared" si="156"/>
        <v>39273</v>
      </c>
      <c r="H94" s="110">
        <f t="shared" si="156"/>
        <v>32315</v>
      </c>
      <c r="I94" s="110">
        <f t="shared" si="156"/>
        <v>34202</v>
      </c>
      <c r="J94" s="110">
        <f t="shared" si="156"/>
        <v>41514</v>
      </c>
      <c r="K94" s="110">
        <f t="shared" si="156"/>
        <v>41176</v>
      </c>
      <c r="L94" s="110">
        <f t="shared" si="156"/>
        <v>40892</v>
      </c>
      <c r="M94" s="110">
        <f t="shared" si="156"/>
        <v>40909</v>
      </c>
      <c r="N94" s="110">
        <f t="shared" si="156"/>
        <v>42034</v>
      </c>
      <c r="O94" s="110">
        <f t="shared" si="156"/>
        <v>42862</v>
      </c>
      <c r="P94" s="110">
        <f t="shared" si="156"/>
        <v>44303</v>
      </c>
      <c r="Q94" s="110">
        <f t="shared" si="156"/>
        <v>47347</v>
      </c>
      <c r="R94" s="110">
        <f t="shared" si="156"/>
        <v>48803</v>
      </c>
      <c r="S94" s="110">
        <f t="shared" si="156"/>
        <v>50309</v>
      </c>
      <c r="T94" s="110">
        <f t="shared" si="156"/>
        <v>51802</v>
      </c>
      <c r="U94" s="110">
        <f t="shared" si="156"/>
        <v>53771</v>
      </c>
      <c r="V94" s="110">
        <f t="shared" si="156"/>
        <v>54212</v>
      </c>
      <c r="W94" s="110">
        <f t="shared" ref="W94:Y94" si="157">SUM(W95:W99)</f>
        <v>54351</v>
      </c>
      <c r="X94" s="110">
        <f t="shared" si="157"/>
        <v>54713</v>
      </c>
      <c r="Y94" s="110">
        <f t="shared" si="157"/>
        <v>55994</v>
      </c>
      <c r="DA94" s="176"/>
    </row>
    <row r="95" spans="1:105" ht="11.45" hidden="1" customHeight="1" x14ac:dyDescent="0.25">
      <c r="A95" s="111" t="s">
        <v>110</v>
      </c>
      <c r="B95" s="102">
        <v>0</v>
      </c>
      <c r="C95" s="102">
        <v>0</v>
      </c>
      <c r="D95" s="102">
        <v>0</v>
      </c>
      <c r="E95" s="102">
        <v>0</v>
      </c>
      <c r="F95" s="102">
        <v>0</v>
      </c>
      <c r="G95" s="102">
        <v>0</v>
      </c>
      <c r="H95" s="102">
        <v>0</v>
      </c>
      <c r="I95" s="102">
        <v>0</v>
      </c>
      <c r="J95" s="102">
        <v>169</v>
      </c>
      <c r="K95" s="102">
        <v>169</v>
      </c>
      <c r="L95" s="102">
        <v>169</v>
      </c>
      <c r="M95" s="102">
        <v>168</v>
      </c>
      <c r="N95" s="102">
        <v>165</v>
      </c>
      <c r="O95" s="102">
        <v>161</v>
      </c>
      <c r="P95" s="102">
        <v>156</v>
      </c>
      <c r="Q95" s="102">
        <v>149</v>
      </c>
      <c r="R95" s="102">
        <v>142</v>
      </c>
      <c r="S95" s="102">
        <v>135</v>
      </c>
      <c r="T95" s="102">
        <v>126</v>
      </c>
      <c r="U95" s="102">
        <v>121</v>
      </c>
      <c r="V95" s="102">
        <v>120</v>
      </c>
      <c r="W95" s="102">
        <v>117</v>
      </c>
      <c r="X95" s="102">
        <v>121</v>
      </c>
      <c r="Y95" s="102">
        <v>120</v>
      </c>
      <c r="DA95" s="175"/>
    </row>
    <row r="96" spans="1:105" ht="11.45" hidden="1" customHeight="1" x14ac:dyDescent="0.25">
      <c r="A96" s="111" t="s">
        <v>111</v>
      </c>
      <c r="B96" s="102">
        <v>48142</v>
      </c>
      <c r="C96" s="102">
        <v>47724</v>
      </c>
      <c r="D96" s="102">
        <v>40761</v>
      </c>
      <c r="E96" s="102">
        <v>41947</v>
      </c>
      <c r="F96" s="102">
        <v>43192</v>
      </c>
      <c r="G96" s="102">
        <v>39273</v>
      </c>
      <c r="H96" s="102">
        <v>32315</v>
      </c>
      <c r="I96" s="102">
        <v>34202</v>
      </c>
      <c r="J96" s="102">
        <v>41313</v>
      </c>
      <c r="K96" s="102">
        <v>40971</v>
      </c>
      <c r="L96" s="102">
        <v>40647</v>
      </c>
      <c r="M96" s="102">
        <v>40650</v>
      </c>
      <c r="N96" s="102">
        <v>41778</v>
      </c>
      <c r="O96" s="102">
        <v>42607</v>
      </c>
      <c r="P96" s="102">
        <v>44052</v>
      </c>
      <c r="Q96" s="102">
        <v>47104</v>
      </c>
      <c r="R96" s="102">
        <v>48574</v>
      </c>
      <c r="S96" s="102">
        <v>50088</v>
      </c>
      <c r="T96" s="102">
        <v>51600</v>
      </c>
      <c r="U96" s="102">
        <v>53532</v>
      </c>
      <c r="V96" s="102">
        <v>53801</v>
      </c>
      <c r="W96" s="102">
        <v>53933</v>
      </c>
      <c r="X96" s="102">
        <v>54146</v>
      </c>
      <c r="Y96" s="102">
        <v>54906</v>
      </c>
      <c r="DA96" s="175"/>
    </row>
    <row r="97" spans="1:105" ht="11.45" hidden="1" customHeight="1" x14ac:dyDescent="0.25">
      <c r="A97" s="111" t="s">
        <v>112</v>
      </c>
      <c r="B97" s="102">
        <v>0</v>
      </c>
      <c r="C97" s="102">
        <v>0</v>
      </c>
      <c r="D97" s="102">
        <v>0</v>
      </c>
      <c r="E97" s="102">
        <v>0</v>
      </c>
      <c r="F97" s="102">
        <v>0</v>
      </c>
      <c r="G97" s="102">
        <v>0</v>
      </c>
      <c r="H97" s="102">
        <v>0</v>
      </c>
      <c r="I97" s="102">
        <v>0</v>
      </c>
      <c r="J97" s="102">
        <v>32</v>
      </c>
      <c r="K97" s="102">
        <v>36</v>
      </c>
      <c r="L97" s="102">
        <v>76</v>
      </c>
      <c r="M97" s="102">
        <v>91</v>
      </c>
      <c r="N97" s="102">
        <v>91</v>
      </c>
      <c r="O97" s="102">
        <v>93</v>
      </c>
      <c r="P97" s="102">
        <v>93</v>
      </c>
      <c r="Q97" s="102">
        <v>90</v>
      </c>
      <c r="R97" s="102">
        <v>82</v>
      </c>
      <c r="S97" s="102">
        <v>81</v>
      </c>
      <c r="T97" s="102">
        <v>51</v>
      </c>
      <c r="U97" s="102">
        <v>49</v>
      </c>
      <c r="V97" s="102">
        <v>48</v>
      </c>
      <c r="W97" s="102">
        <v>47</v>
      </c>
      <c r="X97" s="102">
        <v>17</v>
      </c>
      <c r="Y97" s="102">
        <v>13</v>
      </c>
      <c r="DA97" s="175"/>
    </row>
    <row r="98" spans="1:105" ht="11.45" hidden="1" customHeight="1" x14ac:dyDescent="0.25">
      <c r="A98" s="111" t="s">
        <v>113</v>
      </c>
      <c r="B98" s="102">
        <v>0</v>
      </c>
      <c r="C98" s="102">
        <v>0</v>
      </c>
      <c r="D98" s="102">
        <v>0</v>
      </c>
      <c r="E98" s="102">
        <v>0</v>
      </c>
      <c r="F98" s="102">
        <v>0</v>
      </c>
      <c r="G98" s="102">
        <v>0</v>
      </c>
      <c r="H98" s="102">
        <v>0</v>
      </c>
      <c r="I98" s="102">
        <v>0</v>
      </c>
      <c r="J98" s="102">
        <v>0</v>
      </c>
      <c r="K98" s="102">
        <v>0</v>
      </c>
      <c r="L98" s="102">
        <v>0</v>
      </c>
      <c r="M98" s="102">
        <v>0</v>
      </c>
      <c r="N98" s="102">
        <v>0</v>
      </c>
      <c r="O98" s="102">
        <v>0</v>
      </c>
      <c r="P98" s="102">
        <v>0</v>
      </c>
      <c r="Q98" s="102">
        <v>0</v>
      </c>
      <c r="R98" s="102">
        <v>0</v>
      </c>
      <c r="S98" s="102">
        <v>0</v>
      </c>
      <c r="T98" s="102">
        <v>0</v>
      </c>
      <c r="U98" s="102">
        <v>0</v>
      </c>
      <c r="V98" s="102">
        <v>0</v>
      </c>
      <c r="W98" s="102">
        <v>0</v>
      </c>
      <c r="X98" s="102">
        <v>0</v>
      </c>
      <c r="Y98" s="102">
        <v>0</v>
      </c>
      <c r="DA98" s="175"/>
    </row>
    <row r="99" spans="1:105" ht="11.45" hidden="1" customHeight="1" x14ac:dyDescent="0.25">
      <c r="A99" s="111" t="s">
        <v>115</v>
      </c>
      <c r="B99" s="102">
        <v>0</v>
      </c>
      <c r="C99" s="102">
        <v>0</v>
      </c>
      <c r="D99" s="102">
        <v>0</v>
      </c>
      <c r="E99" s="102">
        <v>0</v>
      </c>
      <c r="F99" s="102">
        <v>0</v>
      </c>
      <c r="G99" s="102">
        <v>0</v>
      </c>
      <c r="H99" s="102">
        <v>0</v>
      </c>
      <c r="I99" s="102">
        <v>0</v>
      </c>
      <c r="J99" s="102">
        <v>0</v>
      </c>
      <c r="K99" s="102">
        <v>0</v>
      </c>
      <c r="L99" s="102">
        <v>0</v>
      </c>
      <c r="M99" s="102">
        <v>0</v>
      </c>
      <c r="N99" s="102">
        <v>0</v>
      </c>
      <c r="O99" s="102">
        <v>1</v>
      </c>
      <c r="P99" s="102">
        <v>2</v>
      </c>
      <c r="Q99" s="102">
        <v>4</v>
      </c>
      <c r="R99" s="102">
        <v>5</v>
      </c>
      <c r="S99" s="102">
        <v>5</v>
      </c>
      <c r="T99" s="102">
        <v>25</v>
      </c>
      <c r="U99" s="102">
        <v>69</v>
      </c>
      <c r="V99" s="102">
        <v>243</v>
      </c>
      <c r="W99" s="102">
        <v>254</v>
      </c>
      <c r="X99" s="102">
        <v>429</v>
      </c>
      <c r="Y99" s="102">
        <v>955</v>
      </c>
      <c r="DA99" s="175"/>
    </row>
    <row r="100" spans="1:105" ht="11.45" hidden="1" customHeight="1" x14ac:dyDescent="0.25">
      <c r="A100" s="27" t="s">
        <v>34</v>
      </c>
      <c r="B100" s="28">
        <f t="shared" ref="B100:C100" si="158">B101+B107</f>
        <v>377906</v>
      </c>
      <c r="C100" s="28">
        <f t="shared" si="158"/>
        <v>389874</v>
      </c>
      <c r="D100" s="28">
        <f t="shared" ref="D100:V100" si="159">D101+D107</f>
        <v>397051</v>
      </c>
      <c r="E100" s="28">
        <f t="shared" si="159"/>
        <v>421307</v>
      </c>
      <c r="F100" s="28">
        <f t="shared" si="159"/>
        <v>438560</v>
      </c>
      <c r="G100" s="28">
        <f t="shared" si="159"/>
        <v>464019</v>
      </c>
      <c r="H100" s="28">
        <f t="shared" si="159"/>
        <v>511337</v>
      </c>
      <c r="I100" s="28">
        <f t="shared" si="159"/>
        <v>532477</v>
      </c>
      <c r="J100" s="28">
        <f t="shared" si="159"/>
        <v>591484</v>
      </c>
      <c r="K100" s="28">
        <f t="shared" si="159"/>
        <v>607205</v>
      </c>
      <c r="L100" s="28">
        <f t="shared" si="159"/>
        <v>604351</v>
      </c>
      <c r="M100" s="28">
        <f t="shared" si="159"/>
        <v>620389</v>
      </c>
      <c r="N100" s="28">
        <f t="shared" si="159"/>
        <v>631889</v>
      </c>
      <c r="O100" s="28">
        <f t="shared" si="159"/>
        <v>658337</v>
      </c>
      <c r="P100" s="28">
        <f t="shared" si="159"/>
        <v>697327</v>
      </c>
      <c r="Q100" s="28">
        <f t="shared" si="159"/>
        <v>718695</v>
      </c>
      <c r="R100" s="28">
        <f t="shared" si="159"/>
        <v>729157</v>
      </c>
      <c r="S100" s="28">
        <f t="shared" si="159"/>
        <v>762648</v>
      </c>
      <c r="T100" s="28">
        <f t="shared" si="159"/>
        <v>812709</v>
      </c>
      <c r="U100" s="28">
        <f t="shared" si="159"/>
        <v>858031</v>
      </c>
      <c r="V100" s="28">
        <f t="shared" si="159"/>
        <v>903222</v>
      </c>
      <c r="W100" s="28">
        <f t="shared" ref="W100:Y100" si="160">W101+W107</f>
        <v>942168</v>
      </c>
      <c r="X100" s="28">
        <f t="shared" si="160"/>
        <v>967405</v>
      </c>
      <c r="Y100" s="28">
        <f t="shared" si="160"/>
        <v>988298</v>
      </c>
      <c r="DA100" s="173"/>
    </row>
    <row r="101" spans="1:105" ht="11.45" hidden="1" customHeight="1" x14ac:dyDescent="0.25">
      <c r="A101" s="136" t="s">
        <v>153</v>
      </c>
      <c r="B101" s="137">
        <f t="shared" ref="B101:C101" si="161">SUM(B102:B106)</f>
        <v>320155</v>
      </c>
      <c r="C101" s="137">
        <f t="shared" si="161"/>
        <v>328399</v>
      </c>
      <c r="D101" s="137">
        <f t="shared" ref="D101:V101" si="162">SUM(D102:D106)</f>
        <v>335513</v>
      </c>
      <c r="E101" s="137">
        <f t="shared" si="162"/>
        <v>347565</v>
      </c>
      <c r="F101" s="137">
        <f t="shared" si="162"/>
        <v>362316</v>
      </c>
      <c r="G101" s="137">
        <f t="shared" si="162"/>
        <v>371018</v>
      </c>
      <c r="H101" s="137">
        <f t="shared" si="162"/>
        <v>410366</v>
      </c>
      <c r="I101" s="137">
        <f t="shared" si="162"/>
        <v>432232</v>
      </c>
      <c r="J101" s="137">
        <f t="shared" si="162"/>
        <v>486990</v>
      </c>
      <c r="K101" s="137">
        <f t="shared" si="162"/>
        <v>499692</v>
      </c>
      <c r="L101" s="137">
        <f t="shared" si="162"/>
        <v>503773</v>
      </c>
      <c r="M101" s="137">
        <f t="shared" si="162"/>
        <v>526063</v>
      </c>
      <c r="N101" s="137">
        <f t="shared" si="162"/>
        <v>544089</v>
      </c>
      <c r="O101" s="137">
        <f t="shared" si="162"/>
        <v>572873</v>
      </c>
      <c r="P101" s="137">
        <f t="shared" si="162"/>
        <v>615903</v>
      </c>
      <c r="Q101" s="137">
        <f t="shared" si="162"/>
        <v>645549</v>
      </c>
      <c r="R101" s="137">
        <f t="shared" si="162"/>
        <v>663503</v>
      </c>
      <c r="S101" s="137">
        <f t="shared" si="162"/>
        <v>700987</v>
      </c>
      <c r="T101" s="137">
        <f t="shared" si="162"/>
        <v>753029</v>
      </c>
      <c r="U101" s="137">
        <f t="shared" si="162"/>
        <v>797135</v>
      </c>
      <c r="V101" s="137">
        <f t="shared" si="162"/>
        <v>839103</v>
      </c>
      <c r="W101" s="137">
        <f t="shared" ref="W101:Y101" si="163">SUM(W102:W106)</f>
        <v>877319</v>
      </c>
      <c r="X101" s="137">
        <f t="shared" si="163"/>
        <v>904827</v>
      </c>
      <c r="Y101" s="137">
        <f t="shared" si="163"/>
        <v>925750</v>
      </c>
      <c r="DA101" s="174"/>
    </row>
    <row r="102" spans="1:105" ht="11.45" hidden="1" customHeight="1" x14ac:dyDescent="0.25">
      <c r="A102" s="111" t="s">
        <v>110</v>
      </c>
      <c r="B102" s="84">
        <v>130188</v>
      </c>
      <c r="C102" s="84">
        <v>131096</v>
      </c>
      <c r="D102" s="84">
        <v>131545</v>
      </c>
      <c r="E102" s="84">
        <v>133628</v>
      </c>
      <c r="F102" s="84">
        <v>136509</v>
      </c>
      <c r="G102" s="84">
        <v>137260</v>
      </c>
      <c r="H102" s="84">
        <v>147870</v>
      </c>
      <c r="I102" s="84">
        <v>152513</v>
      </c>
      <c r="J102" s="84">
        <v>152235</v>
      </c>
      <c r="K102" s="84">
        <v>150669</v>
      </c>
      <c r="L102" s="84">
        <v>145203</v>
      </c>
      <c r="M102" s="84">
        <v>140466</v>
      </c>
      <c r="N102" s="84">
        <v>136544</v>
      </c>
      <c r="O102" s="84">
        <v>127322</v>
      </c>
      <c r="P102" s="84">
        <v>119204</v>
      </c>
      <c r="Q102" s="84">
        <v>106409</v>
      </c>
      <c r="R102" s="84">
        <v>111438</v>
      </c>
      <c r="S102" s="84">
        <v>114170</v>
      </c>
      <c r="T102" s="84">
        <v>115134</v>
      </c>
      <c r="U102" s="84">
        <v>112059</v>
      </c>
      <c r="V102" s="84">
        <v>110367</v>
      </c>
      <c r="W102" s="84">
        <v>108220</v>
      </c>
      <c r="X102" s="84">
        <v>106551</v>
      </c>
      <c r="Y102" s="84">
        <v>105741</v>
      </c>
      <c r="DA102" s="171"/>
    </row>
    <row r="103" spans="1:105" ht="11.45" hidden="1" customHeight="1" x14ac:dyDescent="0.25">
      <c r="A103" s="111" t="s">
        <v>111</v>
      </c>
      <c r="B103" s="84">
        <v>189967</v>
      </c>
      <c r="C103" s="84">
        <v>197303</v>
      </c>
      <c r="D103" s="84">
        <v>203968</v>
      </c>
      <c r="E103" s="84">
        <v>213937</v>
      </c>
      <c r="F103" s="84">
        <v>225807</v>
      </c>
      <c r="G103" s="84">
        <v>233758</v>
      </c>
      <c r="H103" s="84">
        <v>262496</v>
      </c>
      <c r="I103" s="84">
        <v>279719</v>
      </c>
      <c r="J103" s="84">
        <v>334753</v>
      </c>
      <c r="K103" s="84">
        <v>349021</v>
      </c>
      <c r="L103" s="84">
        <v>358566</v>
      </c>
      <c r="M103" s="84">
        <v>385590</v>
      </c>
      <c r="N103" s="84">
        <v>407529</v>
      </c>
      <c r="O103" s="84">
        <v>445531</v>
      </c>
      <c r="P103" s="84">
        <v>496674</v>
      </c>
      <c r="Q103" s="84">
        <v>539118</v>
      </c>
      <c r="R103" s="84">
        <v>552036</v>
      </c>
      <c r="S103" s="84">
        <v>586774</v>
      </c>
      <c r="T103" s="84">
        <v>637815</v>
      </c>
      <c r="U103" s="84">
        <v>684940</v>
      </c>
      <c r="V103" s="84">
        <v>728513</v>
      </c>
      <c r="W103" s="84">
        <v>768783</v>
      </c>
      <c r="X103" s="84">
        <v>797742</v>
      </c>
      <c r="Y103" s="84">
        <v>818943</v>
      </c>
      <c r="DA103" s="171"/>
    </row>
    <row r="104" spans="1:105" ht="11.45" hidden="1" customHeight="1" x14ac:dyDescent="0.25">
      <c r="A104" s="111" t="s">
        <v>112</v>
      </c>
      <c r="B104" s="84">
        <v>0</v>
      </c>
      <c r="C104" s="84">
        <v>0</v>
      </c>
      <c r="D104" s="84">
        <v>0</v>
      </c>
      <c r="E104" s="84">
        <v>0</v>
      </c>
      <c r="F104" s="84">
        <v>0</v>
      </c>
      <c r="G104" s="84">
        <v>0</v>
      </c>
      <c r="H104" s="84">
        <v>0</v>
      </c>
      <c r="I104" s="84">
        <v>0</v>
      </c>
      <c r="J104" s="84">
        <v>2</v>
      </c>
      <c r="K104" s="84">
        <v>2</v>
      </c>
      <c r="L104" s="84">
        <v>2</v>
      </c>
      <c r="M104" s="84">
        <v>4</v>
      </c>
      <c r="N104" s="84">
        <v>10</v>
      </c>
      <c r="O104" s="84">
        <v>10</v>
      </c>
      <c r="P104" s="84">
        <v>12</v>
      </c>
      <c r="Q104" s="84">
        <v>10</v>
      </c>
      <c r="R104" s="84">
        <v>13</v>
      </c>
      <c r="S104" s="84">
        <v>13</v>
      </c>
      <c r="T104" s="84">
        <v>12</v>
      </c>
      <c r="U104" s="84">
        <v>12</v>
      </c>
      <c r="V104" s="84">
        <v>11</v>
      </c>
      <c r="W104" s="84">
        <v>15</v>
      </c>
      <c r="X104" s="84">
        <v>34</v>
      </c>
      <c r="Y104" s="84">
        <v>50</v>
      </c>
      <c r="DA104" s="171"/>
    </row>
    <row r="105" spans="1:105" ht="11.45" hidden="1" customHeight="1" x14ac:dyDescent="0.25">
      <c r="A105" s="111" t="s">
        <v>113</v>
      </c>
      <c r="B105" s="84">
        <v>0</v>
      </c>
      <c r="C105" s="84">
        <v>0</v>
      </c>
      <c r="D105" s="84">
        <v>0</v>
      </c>
      <c r="E105" s="84">
        <v>0</v>
      </c>
      <c r="F105" s="84">
        <v>0</v>
      </c>
      <c r="G105" s="84">
        <v>0</v>
      </c>
      <c r="H105" s="84">
        <v>0</v>
      </c>
      <c r="I105" s="84">
        <v>0</v>
      </c>
      <c r="J105" s="84">
        <v>0</v>
      </c>
      <c r="K105" s="84">
        <v>0</v>
      </c>
      <c r="L105" s="84">
        <v>0</v>
      </c>
      <c r="M105" s="84">
        <v>0</v>
      </c>
      <c r="N105" s="84">
        <v>0</v>
      </c>
      <c r="O105" s="84">
        <v>0</v>
      </c>
      <c r="P105" s="84">
        <v>0</v>
      </c>
      <c r="Q105" s="84">
        <v>0</v>
      </c>
      <c r="R105" s="84">
        <v>0</v>
      </c>
      <c r="S105" s="84">
        <v>0</v>
      </c>
      <c r="T105" s="84">
        <v>0</v>
      </c>
      <c r="U105" s="84">
        <v>0</v>
      </c>
      <c r="V105" s="84">
        <v>0</v>
      </c>
      <c r="W105" s="84">
        <v>0</v>
      </c>
      <c r="X105" s="84">
        <v>0</v>
      </c>
      <c r="Y105" s="84">
        <v>0</v>
      </c>
      <c r="DA105" s="171"/>
    </row>
    <row r="106" spans="1:105" ht="11.45" hidden="1" customHeight="1" x14ac:dyDescent="0.25">
      <c r="A106" s="111" t="s">
        <v>115</v>
      </c>
      <c r="B106" s="84">
        <v>0</v>
      </c>
      <c r="C106" s="84">
        <v>0</v>
      </c>
      <c r="D106" s="84">
        <v>0</v>
      </c>
      <c r="E106" s="84">
        <v>0</v>
      </c>
      <c r="F106" s="84">
        <v>0</v>
      </c>
      <c r="G106" s="84">
        <v>0</v>
      </c>
      <c r="H106" s="84">
        <v>0</v>
      </c>
      <c r="I106" s="84">
        <v>0</v>
      </c>
      <c r="J106" s="84">
        <v>0</v>
      </c>
      <c r="K106" s="84">
        <v>0</v>
      </c>
      <c r="L106" s="84">
        <v>2</v>
      </c>
      <c r="M106" s="84">
        <v>3</v>
      </c>
      <c r="N106" s="84">
        <v>6</v>
      </c>
      <c r="O106" s="84">
        <v>10</v>
      </c>
      <c r="P106" s="84">
        <v>13</v>
      </c>
      <c r="Q106" s="84">
        <v>12</v>
      </c>
      <c r="R106" s="84">
        <v>16</v>
      </c>
      <c r="S106" s="84">
        <v>30</v>
      </c>
      <c r="T106" s="84">
        <v>68</v>
      </c>
      <c r="U106" s="84">
        <v>124</v>
      </c>
      <c r="V106" s="84">
        <v>212</v>
      </c>
      <c r="W106" s="84">
        <v>301</v>
      </c>
      <c r="X106" s="84">
        <v>500</v>
      </c>
      <c r="Y106" s="84">
        <v>1016</v>
      </c>
      <c r="DA106" s="171"/>
    </row>
    <row r="107" spans="1:105" ht="11.45" hidden="1" customHeight="1" x14ac:dyDescent="0.25">
      <c r="A107" s="109" t="s">
        <v>154</v>
      </c>
      <c r="B107" s="110">
        <f t="shared" ref="B107:C107" si="164">SUM(B108:B109)</f>
        <v>57751</v>
      </c>
      <c r="C107" s="110">
        <f t="shared" si="164"/>
        <v>61475</v>
      </c>
      <c r="D107" s="110">
        <f t="shared" ref="D107:V107" si="165">SUM(D108:D109)</f>
        <v>61538</v>
      </c>
      <c r="E107" s="110">
        <f t="shared" si="165"/>
        <v>73742</v>
      </c>
      <c r="F107" s="110">
        <f t="shared" si="165"/>
        <v>76244</v>
      </c>
      <c r="G107" s="110">
        <f t="shared" si="165"/>
        <v>93001</v>
      </c>
      <c r="H107" s="110">
        <f t="shared" si="165"/>
        <v>100971</v>
      </c>
      <c r="I107" s="110">
        <f t="shared" si="165"/>
        <v>100245</v>
      </c>
      <c r="J107" s="110">
        <f t="shared" si="165"/>
        <v>104494</v>
      </c>
      <c r="K107" s="110">
        <f t="shared" si="165"/>
        <v>107513</v>
      </c>
      <c r="L107" s="110">
        <f t="shared" si="165"/>
        <v>100578</v>
      </c>
      <c r="M107" s="110">
        <f t="shared" si="165"/>
        <v>94326</v>
      </c>
      <c r="N107" s="110">
        <f t="shared" si="165"/>
        <v>87800</v>
      </c>
      <c r="O107" s="110">
        <f t="shared" si="165"/>
        <v>85464</v>
      </c>
      <c r="P107" s="110">
        <f t="shared" si="165"/>
        <v>81424</v>
      </c>
      <c r="Q107" s="110">
        <f t="shared" si="165"/>
        <v>73146</v>
      </c>
      <c r="R107" s="110">
        <f t="shared" si="165"/>
        <v>65654</v>
      </c>
      <c r="S107" s="110">
        <f t="shared" si="165"/>
        <v>61661</v>
      </c>
      <c r="T107" s="110">
        <f t="shared" si="165"/>
        <v>59680</v>
      </c>
      <c r="U107" s="110">
        <f t="shared" si="165"/>
        <v>60896</v>
      </c>
      <c r="V107" s="110">
        <f t="shared" si="165"/>
        <v>64119</v>
      </c>
      <c r="W107" s="110">
        <f t="shared" ref="W107:Y107" si="166">SUM(W108:W109)</f>
        <v>64849</v>
      </c>
      <c r="X107" s="110">
        <f t="shared" si="166"/>
        <v>62578</v>
      </c>
      <c r="Y107" s="110">
        <f t="shared" si="166"/>
        <v>62548</v>
      </c>
      <c r="DA107" s="176"/>
    </row>
    <row r="108" spans="1:105" ht="11.45" hidden="1" customHeight="1" x14ac:dyDescent="0.25">
      <c r="A108" s="128" t="s">
        <v>27</v>
      </c>
      <c r="B108" s="102">
        <v>49944</v>
      </c>
      <c r="C108" s="102">
        <v>53105</v>
      </c>
      <c r="D108" s="102">
        <v>52732</v>
      </c>
      <c r="E108" s="102">
        <v>64741</v>
      </c>
      <c r="F108" s="102">
        <v>65601</v>
      </c>
      <c r="G108" s="102">
        <v>81984</v>
      </c>
      <c r="H108" s="102">
        <v>92746</v>
      </c>
      <c r="I108" s="102">
        <v>91925</v>
      </c>
      <c r="J108" s="102">
        <v>97926</v>
      </c>
      <c r="K108" s="102">
        <v>103855</v>
      </c>
      <c r="L108" s="102">
        <v>97658</v>
      </c>
      <c r="M108" s="102">
        <v>91338</v>
      </c>
      <c r="N108" s="102">
        <v>84296</v>
      </c>
      <c r="O108" s="102">
        <v>81705</v>
      </c>
      <c r="P108" s="102">
        <v>77755</v>
      </c>
      <c r="Q108" s="102">
        <v>69456</v>
      </c>
      <c r="R108" s="102">
        <v>61534</v>
      </c>
      <c r="S108" s="102">
        <v>56754</v>
      </c>
      <c r="T108" s="102">
        <v>55031</v>
      </c>
      <c r="U108" s="102">
        <v>56177</v>
      </c>
      <c r="V108" s="102">
        <v>60389</v>
      </c>
      <c r="W108" s="102">
        <v>59544</v>
      </c>
      <c r="X108" s="102">
        <v>57298</v>
      </c>
      <c r="Y108" s="102">
        <v>57062</v>
      </c>
      <c r="DA108" s="175"/>
    </row>
    <row r="109" spans="1:105" ht="11.45" hidden="1" customHeight="1" x14ac:dyDescent="0.25">
      <c r="A109" s="138" t="s">
        <v>116</v>
      </c>
      <c r="B109" s="86">
        <v>7807</v>
      </c>
      <c r="C109" s="86">
        <v>8370</v>
      </c>
      <c r="D109" s="86">
        <v>8806</v>
      </c>
      <c r="E109" s="86">
        <v>9001</v>
      </c>
      <c r="F109" s="86">
        <v>10643</v>
      </c>
      <c r="G109" s="86">
        <v>11017</v>
      </c>
      <c r="H109" s="86">
        <v>8225</v>
      </c>
      <c r="I109" s="86">
        <v>8320</v>
      </c>
      <c r="J109" s="86">
        <v>6568</v>
      </c>
      <c r="K109" s="86">
        <v>3658</v>
      </c>
      <c r="L109" s="86">
        <v>2920</v>
      </c>
      <c r="M109" s="86">
        <v>2988</v>
      </c>
      <c r="N109" s="86">
        <v>3504</v>
      </c>
      <c r="O109" s="86">
        <v>3759</v>
      </c>
      <c r="P109" s="86">
        <v>3669</v>
      </c>
      <c r="Q109" s="86">
        <v>3690</v>
      </c>
      <c r="R109" s="86">
        <v>4120</v>
      </c>
      <c r="S109" s="86">
        <v>4907</v>
      </c>
      <c r="T109" s="86">
        <v>4649</v>
      </c>
      <c r="U109" s="86">
        <v>4719</v>
      </c>
      <c r="V109" s="86">
        <v>3730</v>
      </c>
      <c r="W109" s="86">
        <v>5305</v>
      </c>
      <c r="X109" s="86">
        <v>5280</v>
      </c>
      <c r="Y109" s="86">
        <v>5486</v>
      </c>
      <c r="DA109" s="178"/>
    </row>
    <row r="110" spans="1:105" ht="11.45" customHeight="1" x14ac:dyDescent="0.25">
      <c r="A110" s="106"/>
      <c r="B110" s="106"/>
      <c r="C110" s="106"/>
      <c r="L110" s="106"/>
      <c r="M110" s="106"/>
      <c r="N110" s="106"/>
    </row>
    <row r="111" spans="1:105" ht="11.45" customHeight="1" x14ac:dyDescent="0.25">
      <c r="A111" s="53" t="s">
        <v>117</v>
      </c>
      <c r="B111" s="54">
        <f t="shared" ref="B111:K111" si="167">B112+B127</f>
        <v>196081</v>
      </c>
      <c r="C111" s="54">
        <f t="shared" si="167"/>
        <v>252260</v>
      </c>
      <c r="D111" s="54">
        <f t="shared" si="167"/>
        <v>233468</v>
      </c>
      <c r="E111" s="54">
        <f t="shared" si="167"/>
        <v>287218</v>
      </c>
      <c r="F111" s="54">
        <f t="shared" si="167"/>
        <v>274441</v>
      </c>
      <c r="G111" s="54">
        <f t="shared" si="167"/>
        <v>323801</v>
      </c>
      <c r="H111" s="54">
        <f t="shared" si="167"/>
        <v>554267</v>
      </c>
      <c r="I111" s="54">
        <f t="shared" si="167"/>
        <v>716541</v>
      </c>
      <c r="J111" s="54">
        <f t="shared" si="167"/>
        <v>997270</v>
      </c>
      <c r="K111" s="54">
        <f t="shared" si="167"/>
        <v>554880</v>
      </c>
      <c r="L111" s="54">
        <f t="shared" ref="L111" si="168">L112+L127</f>
        <v>510372</v>
      </c>
      <c r="M111" s="54">
        <f t="shared" ref="M111:V111" si="169">M112+M127</f>
        <v>330207</v>
      </c>
      <c r="N111" s="54">
        <f t="shared" si="169"/>
        <v>429574</v>
      </c>
      <c r="O111" s="54">
        <f t="shared" si="169"/>
        <v>502149</v>
      </c>
      <c r="P111" s="54">
        <f t="shared" si="169"/>
        <v>518587</v>
      </c>
      <c r="Q111" s="54">
        <f t="shared" si="169"/>
        <v>500649</v>
      </c>
      <c r="R111" s="54">
        <f t="shared" si="169"/>
        <v>523946</v>
      </c>
      <c r="S111" s="54">
        <f t="shared" si="169"/>
        <v>767928</v>
      </c>
      <c r="T111" s="54">
        <f t="shared" si="169"/>
        <v>820849</v>
      </c>
      <c r="U111" s="54">
        <f t="shared" si="169"/>
        <v>853641</v>
      </c>
      <c r="V111" s="54">
        <f t="shared" si="169"/>
        <v>814512</v>
      </c>
      <c r="W111" s="54">
        <f t="shared" ref="W111:Y111" si="170">W112+W127</f>
        <v>824805</v>
      </c>
      <c r="X111" s="54">
        <f t="shared" si="170"/>
        <v>801896</v>
      </c>
      <c r="Y111" s="54">
        <f t="shared" si="170"/>
        <v>825138</v>
      </c>
      <c r="DA111" s="172" t="s">
        <v>526</v>
      </c>
    </row>
    <row r="112" spans="1:105" ht="11.45" customHeight="1" x14ac:dyDescent="0.25">
      <c r="A112" s="27" t="s">
        <v>33</v>
      </c>
      <c r="B112" s="28">
        <f t="shared" ref="B112:K112" si="171">B113+B114+B121</f>
        <v>195300</v>
      </c>
      <c r="C112" s="28">
        <f t="shared" si="171"/>
        <v>222048</v>
      </c>
      <c r="D112" s="28">
        <f t="shared" si="171"/>
        <v>203727</v>
      </c>
      <c r="E112" s="28">
        <f t="shared" si="171"/>
        <v>242170</v>
      </c>
      <c r="F112" s="28">
        <f t="shared" si="171"/>
        <v>231063</v>
      </c>
      <c r="G112" s="28">
        <f t="shared" si="171"/>
        <v>271219</v>
      </c>
      <c r="H112" s="28">
        <f t="shared" si="171"/>
        <v>478279</v>
      </c>
      <c r="I112" s="28">
        <f t="shared" si="171"/>
        <v>665389</v>
      </c>
      <c r="J112" s="28">
        <f t="shared" si="171"/>
        <v>908676</v>
      </c>
      <c r="K112" s="28">
        <f t="shared" si="171"/>
        <v>508594</v>
      </c>
      <c r="L112" s="28">
        <f t="shared" ref="L112" si="172">L113+L114+L121</f>
        <v>476310</v>
      </c>
      <c r="M112" s="28">
        <f t="shared" ref="M112:V112" si="173">M113+M114+M121</f>
        <v>276064</v>
      </c>
      <c r="N112" s="28">
        <f t="shared" si="173"/>
        <v>377253</v>
      </c>
      <c r="O112" s="28">
        <f t="shared" si="173"/>
        <v>433978</v>
      </c>
      <c r="P112" s="28">
        <f t="shared" si="173"/>
        <v>438743</v>
      </c>
      <c r="Q112" s="28">
        <f t="shared" si="173"/>
        <v>431684</v>
      </c>
      <c r="R112" s="28">
        <f t="shared" si="173"/>
        <v>468552</v>
      </c>
      <c r="S112" s="28">
        <f t="shared" si="173"/>
        <v>687929</v>
      </c>
      <c r="T112" s="28">
        <f t="shared" si="173"/>
        <v>725374</v>
      </c>
      <c r="U112" s="28">
        <f t="shared" si="173"/>
        <v>763761</v>
      </c>
      <c r="V112" s="28">
        <f t="shared" si="173"/>
        <v>730263</v>
      </c>
      <c r="W112" s="28">
        <f t="shared" ref="W112:Y112" si="174">W113+W114+W121</f>
        <v>737957</v>
      </c>
      <c r="X112" s="28">
        <f t="shared" si="174"/>
        <v>721223</v>
      </c>
      <c r="Y112" s="28">
        <f t="shared" si="174"/>
        <v>747806</v>
      </c>
      <c r="DA112" s="173" t="s">
        <v>527</v>
      </c>
    </row>
    <row r="113" spans="1:105" ht="11.45" customHeight="1" x14ac:dyDescent="0.25">
      <c r="A113" s="136" t="s">
        <v>173</v>
      </c>
      <c r="B113" s="137">
        <v>0</v>
      </c>
      <c r="C113" s="137">
        <v>604</v>
      </c>
      <c r="D113" s="137">
        <v>601</v>
      </c>
      <c r="E113" s="137">
        <v>1404</v>
      </c>
      <c r="F113" s="137">
        <v>1694</v>
      </c>
      <c r="G113" s="137">
        <v>1695</v>
      </c>
      <c r="H113" s="137">
        <v>7277</v>
      </c>
      <c r="I113" s="137">
        <v>6943</v>
      </c>
      <c r="J113" s="137">
        <v>21215</v>
      </c>
      <c r="K113" s="137">
        <v>12104</v>
      </c>
      <c r="L113" s="137">
        <v>8359</v>
      </c>
      <c r="M113" s="137">
        <v>8108</v>
      </c>
      <c r="N113" s="137">
        <v>8802</v>
      </c>
      <c r="O113" s="137">
        <v>9961</v>
      </c>
      <c r="P113" s="137">
        <v>9484</v>
      </c>
      <c r="Q113" s="137">
        <v>9351</v>
      </c>
      <c r="R113" s="137">
        <v>10953</v>
      </c>
      <c r="S113" s="137">
        <v>12522</v>
      </c>
      <c r="T113" s="137">
        <v>14476</v>
      </c>
      <c r="U113" s="137">
        <v>18332</v>
      </c>
      <c r="V113" s="137">
        <v>20851</v>
      </c>
      <c r="W113" s="137">
        <v>21218</v>
      </c>
      <c r="X113" s="137">
        <v>24276</v>
      </c>
      <c r="Y113" s="137">
        <v>25952</v>
      </c>
      <c r="DA113" s="174" t="s">
        <v>528</v>
      </c>
    </row>
    <row r="114" spans="1:105" ht="11.45" customHeight="1" x14ac:dyDescent="0.25">
      <c r="A114" s="109" t="s">
        <v>20</v>
      </c>
      <c r="B114" s="110">
        <f t="shared" ref="B114:K114" si="175">SUM(B115:B120)</f>
        <v>195000</v>
      </c>
      <c r="C114" s="110">
        <f t="shared" si="175"/>
        <v>217892</v>
      </c>
      <c r="D114" s="110">
        <f t="shared" si="175"/>
        <v>203126</v>
      </c>
      <c r="E114" s="110">
        <f t="shared" si="175"/>
        <v>238259</v>
      </c>
      <c r="F114" s="110">
        <f t="shared" si="175"/>
        <v>223935</v>
      </c>
      <c r="G114" s="110">
        <f t="shared" si="175"/>
        <v>269297</v>
      </c>
      <c r="H114" s="110">
        <f t="shared" si="175"/>
        <v>468773</v>
      </c>
      <c r="I114" s="110">
        <f t="shared" si="175"/>
        <v>654524</v>
      </c>
      <c r="J114" s="110">
        <f t="shared" si="175"/>
        <v>879714</v>
      </c>
      <c r="K114" s="110">
        <f t="shared" si="175"/>
        <v>493320</v>
      </c>
      <c r="L114" s="110">
        <f t="shared" ref="L114" si="176">SUM(L115:L120)</f>
        <v>464928</v>
      </c>
      <c r="M114" s="110">
        <f t="shared" ref="M114:V114" si="177">SUM(M115:M120)</f>
        <v>264833</v>
      </c>
      <c r="N114" s="110">
        <f t="shared" si="177"/>
        <v>364407</v>
      </c>
      <c r="O114" s="110">
        <f t="shared" si="177"/>
        <v>420431</v>
      </c>
      <c r="P114" s="110">
        <f t="shared" si="177"/>
        <v>425182</v>
      </c>
      <c r="Q114" s="110">
        <f t="shared" si="177"/>
        <v>416733</v>
      </c>
      <c r="R114" s="110">
        <f t="shared" si="177"/>
        <v>454389</v>
      </c>
      <c r="S114" s="110">
        <f t="shared" si="177"/>
        <v>671934</v>
      </c>
      <c r="T114" s="110">
        <f t="shared" si="177"/>
        <v>707188</v>
      </c>
      <c r="U114" s="110">
        <f t="shared" si="177"/>
        <v>741059</v>
      </c>
      <c r="V114" s="110">
        <f t="shared" si="177"/>
        <v>706314</v>
      </c>
      <c r="W114" s="110">
        <f t="shared" ref="W114:Y114" si="178">SUM(W115:W120)</f>
        <v>713736</v>
      </c>
      <c r="X114" s="110">
        <f t="shared" si="178"/>
        <v>692831</v>
      </c>
      <c r="Y114" s="110">
        <f t="shared" si="178"/>
        <v>716895</v>
      </c>
      <c r="DA114" s="176" t="s">
        <v>529</v>
      </c>
    </row>
    <row r="115" spans="1:105" ht="11.45" customHeight="1" x14ac:dyDescent="0.25">
      <c r="A115" s="111" t="s">
        <v>110</v>
      </c>
      <c r="B115" s="84">
        <v>105000</v>
      </c>
      <c r="C115" s="84">
        <v>113044</v>
      </c>
      <c r="D115" s="84">
        <v>101954</v>
      </c>
      <c r="E115" s="84">
        <v>120552</v>
      </c>
      <c r="F115" s="84">
        <v>106245</v>
      </c>
      <c r="G115" s="84">
        <v>146832</v>
      </c>
      <c r="H115" s="84">
        <v>258585</v>
      </c>
      <c r="I115" s="84">
        <v>357442</v>
      </c>
      <c r="J115" s="84">
        <v>624226</v>
      </c>
      <c r="K115" s="84">
        <v>368920</v>
      </c>
      <c r="L115" s="84">
        <v>351688</v>
      </c>
      <c r="M115" s="84">
        <v>146980</v>
      </c>
      <c r="N115" s="84">
        <v>247783</v>
      </c>
      <c r="O115" s="84">
        <v>282005</v>
      </c>
      <c r="P115" s="84">
        <v>256792</v>
      </c>
      <c r="Q115" s="84">
        <v>222093</v>
      </c>
      <c r="R115" s="84">
        <v>195417</v>
      </c>
      <c r="S115" s="84">
        <v>201554</v>
      </c>
      <c r="T115" s="84">
        <v>232313</v>
      </c>
      <c r="U115" s="84">
        <v>267278</v>
      </c>
      <c r="V115" s="84">
        <v>232500</v>
      </c>
      <c r="W115" s="84">
        <v>230620</v>
      </c>
      <c r="X115" s="84">
        <v>241284</v>
      </c>
      <c r="Y115" s="84">
        <v>248661</v>
      </c>
      <c r="DA115" s="171" t="s">
        <v>530</v>
      </c>
    </row>
    <row r="116" spans="1:105" ht="11.45" customHeight="1" x14ac:dyDescent="0.25">
      <c r="A116" s="111" t="s">
        <v>111</v>
      </c>
      <c r="B116" s="84">
        <v>90000</v>
      </c>
      <c r="C116" s="84">
        <v>104848</v>
      </c>
      <c r="D116" s="84">
        <v>96372</v>
      </c>
      <c r="E116" s="84">
        <v>111455</v>
      </c>
      <c r="F116" s="84">
        <v>103285</v>
      </c>
      <c r="G116" s="84">
        <v>122465</v>
      </c>
      <c r="H116" s="84">
        <v>210188</v>
      </c>
      <c r="I116" s="84">
        <v>289359</v>
      </c>
      <c r="J116" s="84">
        <v>255488</v>
      </c>
      <c r="K116" s="84">
        <v>124399</v>
      </c>
      <c r="L116" s="84">
        <v>113037</v>
      </c>
      <c r="M116" s="84">
        <v>68110</v>
      </c>
      <c r="N116" s="84">
        <v>114490</v>
      </c>
      <c r="O116" s="84">
        <v>136673</v>
      </c>
      <c r="P116" s="84">
        <v>163005</v>
      </c>
      <c r="Q116" s="84">
        <v>181809</v>
      </c>
      <c r="R116" s="84">
        <v>248696</v>
      </c>
      <c r="S116" s="84">
        <v>454195</v>
      </c>
      <c r="T116" s="84">
        <v>454648</v>
      </c>
      <c r="U116" s="84">
        <v>444912</v>
      </c>
      <c r="V116" s="84">
        <v>436061</v>
      </c>
      <c r="W116" s="84">
        <v>426271</v>
      </c>
      <c r="X116" s="84">
        <v>422657</v>
      </c>
      <c r="Y116" s="84">
        <v>428243</v>
      </c>
      <c r="DA116" s="171" t="s">
        <v>531</v>
      </c>
    </row>
    <row r="117" spans="1:105" ht="11.45" customHeight="1" x14ac:dyDescent="0.25">
      <c r="A117" s="111" t="s">
        <v>112</v>
      </c>
      <c r="B117" s="84">
        <v>0</v>
      </c>
      <c r="C117" s="84">
        <v>0</v>
      </c>
      <c r="D117" s="84">
        <v>4800</v>
      </c>
      <c r="E117" s="84">
        <v>6252</v>
      </c>
      <c r="F117" s="84">
        <v>14405</v>
      </c>
      <c r="G117" s="84">
        <v>0</v>
      </c>
      <c r="H117" s="84">
        <v>0</v>
      </c>
      <c r="I117" s="84">
        <v>7723</v>
      </c>
      <c r="J117" s="84">
        <v>0</v>
      </c>
      <c r="K117" s="84">
        <v>0</v>
      </c>
      <c r="L117" s="84">
        <v>16</v>
      </c>
      <c r="M117" s="84">
        <v>49473</v>
      </c>
      <c r="N117" s="84">
        <v>1578</v>
      </c>
      <c r="O117" s="84">
        <v>1498</v>
      </c>
      <c r="P117" s="84">
        <v>5207</v>
      </c>
      <c r="Q117" s="84">
        <v>12700</v>
      </c>
      <c r="R117" s="84">
        <v>9954</v>
      </c>
      <c r="S117" s="84">
        <v>15711</v>
      </c>
      <c r="T117" s="84">
        <v>19293</v>
      </c>
      <c r="U117" s="84">
        <v>26686</v>
      </c>
      <c r="V117" s="84">
        <v>33857</v>
      </c>
      <c r="W117" s="84">
        <v>47492</v>
      </c>
      <c r="X117" s="84">
        <v>13564</v>
      </c>
      <c r="Y117" s="84">
        <v>17669</v>
      </c>
      <c r="DA117" s="171" t="s">
        <v>532</v>
      </c>
    </row>
    <row r="118" spans="1:105" ht="11.45" customHeight="1" x14ac:dyDescent="0.25">
      <c r="A118" s="111" t="s">
        <v>113</v>
      </c>
      <c r="B118" s="84">
        <v>0</v>
      </c>
      <c r="C118" s="84">
        <v>0</v>
      </c>
      <c r="D118" s="84">
        <v>0</v>
      </c>
      <c r="E118" s="84">
        <v>0</v>
      </c>
      <c r="F118" s="84">
        <v>0</v>
      </c>
      <c r="G118" s="84">
        <v>0</v>
      </c>
      <c r="H118" s="84">
        <v>0</v>
      </c>
      <c r="I118" s="84">
        <v>0</v>
      </c>
      <c r="J118" s="84">
        <v>0</v>
      </c>
      <c r="K118" s="84">
        <v>0</v>
      </c>
      <c r="L118" s="84">
        <v>0</v>
      </c>
      <c r="M118" s="84">
        <v>0</v>
      </c>
      <c r="N118" s="84">
        <v>0</v>
      </c>
      <c r="O118" s="84">
        <v>0</v>
      </c>
      <c r="P118" s="84">
        <v>0</v>
      </c>
      <c r="Q118" s="84">
        <v>0</v>
      </c>
      <c r="R118" s="84">
        <v>0</v>
      </c>
      <c r="S118" s="84">
        <v>0</v>
      </c>
      <c r="T118" s="84">
        <v>0</v>
      </c>
      <c r="U118" s="84">
        <v>0</v>
      </c>
      <c r="V118" s="84">
        <v>0</v>
      </c>
      <c r="W118" s="84">
        <v>0</v>
      </c>
      <c r="X118" s="84">
        <v>0</v>
      </c>
      <c r="Y118" s="84">
        <v>0</v>
      </c>
      <c r="DA118" s="171" t="s">
        <v>533</v>
      </c>
    </row>
    <row r="119" spans="1:105" ht="11.45" customHeight="1" x14ac:dyDescent="0.25">
      <c r="A119" s="111" t="s">
        <v>114</v>
      </c>
      <c r="B119" s="84">
        <v>0</v>
      </c>
      <c r="C119" s="84">
        <v>0</v>
      </c>
      <c r="D119" s="84">
        <v>0</v>
      </c>
      <c r="E119" s="84">
        <v>0</v>
      </c>
      <c r="F119" s="84">
        <v>0</v>
      </c>
      <c r="G119" s="84">
        <v>0</v>
      </c>
      <c r="H119" s="84">
        <v>0</v>
      </c>
      <c r="I119" s="84">
        <v>0</v>
      </c>
      <c r="J119" s="84">
        <v>0</v>
      </c>
      <c r="K119" s="84">
        <v>0</v>
      </c>
      <c r="L119" s="84">
        <v>0</v>
      </c>
      <c r="M119" s="84">
        <v>0</v>
      </c>
      <c r="N119" s="84">
        <v>151</v>
      </c>
      <c r="O119" s="84">
        <v>1</v>
      </c>
      <c r="P119" s="84">
        <v>10</v>
      </c>
      <c r="Q119" s="84">
        <v>22</v>
      </c>
      <c r="R119" s="84">
        <v>117</v>
      </c>
      <c r="S119" s="84">
        <v>159</v>
      </c>
      <c r="T119" s="84">
        <v>330</v>
      </c>
      <c r="U119" s="84">
        <v>675</v>
      </c>
      <c r="V119" s="84">
        <v>1052</v>
      </c>
      <c r="W119" s="84">
        <v>3009</v>
      </c>
      <c r="X119" s="84">
        <v>3688</v>
      </c>
      <c r="Y119" s="84">
        <v>6955</v>
      </c>
      <c r="DA119" s="171" t="s">
        <v>534</v>
      </c>
    </row>
    <row r="120" spans="1:105" ht="11.45" customHeight="1" x14ac:dyDescent="0.25">
      <c r="A120" s="111" t="s">
        <v>115</v>
      </c>
      <c r="B120" s="84">
        <v>0</v>
      </c>
      <c r="C120" s="84">
        <v>0</v>
      </c>
      <c r="D120" s="84">
        <v>0</v>
      </c>
      <c r="E120" s="84">
        <v>0</v>
      </c>
      <c r="F120" s="84">
        <v>0</v>
      </c>
      <c r="G120" s="84">
        <v>0</v>
      </c>
      <c r="H120" s="84">
        <v>0</v>
      </c>
      <c r="I120" s="84">
        <v>0</v>
      </c>
      <c r="J120" s="84">
        <v>0</v>
      </c>
      <c r="K120" s="84">
        <v>1</v>
      </c>
      <c r="L120" s="84">
        <v>187</v>
      </c>
      <c r="M120" s="84">
        <v>270</v>
      </c>
      <c r="N120" s="84">
        <v>405</v>
      </c>
      <c r="O120" s="84">
        <v>254</v>
      </c>
      <c r="P120" s="84">
        <v>168</v>
      </c>
      <c r="Q120" s="84">
        <v>109</v>
      </c>
      <c r="R120" s="84">
        <v>205</v>
      </c>
      <c r="S120" s="84">
        <v>315</v>
      </c>
      <c r="T120" s="84">
        <v>604</v>
      </c>
      <c r="U120" s="84">
        <v>1508</v>
      </c>
      <c r="V120" s="84">
        <v>2844</v>
      </c>
      <c r="W120" s="84">
        <v>6344</v>
      </c>
      <c r="X120" s="84">
        <v>11638</v>
      </c>
      <c r="Y120" s="84">
        <v>15367</v>
      </c>
      <c r="DA120" s="171" t="s">
        <v>535</v>
      </c>
    </row>
    <row r="121" spans="1:105" ht="11.45" customHeight="1" x14ac:dyDescent="0.25">
      <c r="A121" s="109" t="s">
        <v>21</v>
      </c>
      <c r="B121" s="110">
        <f t="shared" ref="B121:K121" si="179">SUM(B122:B126)</f>
        <v>300</v>
      </c>
      <c r="C121" s="110">
        <f t="shared" si="179"/>
        <v>3552</v>
      </c>
      <c r="D121" s="110">
        <f t="shared" si="179"/>
        <v>0</v>
      </c>
      <c r="E121" s="110">
        <f t="shared" si="179"/>
        <v>2507</v>
      </c>
      <c r="F121" s="110">
        <f t="shared" si="179"/>
        <v>5434</v>
      </c>
      <c r="G121" s="110">
        <f t="shared" si="179"/>
        <v>227</v>
      </c>
      <c r="H121" s="110">
        <f t="shared" si="179"/>
        <v>2229</v>
      </c>
      <c r="I121" s="110">
        <f t="shared" si="179"/>
        <v>3922</v>
      </c>
      <c r="J121" s="110">
        <f t="shared" si="179"/>
        <v>7747</v>
      </c>
      <c r="K121" s="110">
        <f t="shared" si="179"/>
        <v>3170</v>
      </c>
      <c r="L121" s="110">
        <f t="shared" ref="L121" si="180">SUM(L122:L126)</f>
        <v>3023</v>
      </c>
      <c r="M121" s="110">
        <f t="shared" ref="M121:V121" si="181">SUM(M122:M126)</f>
        <v>3123</v>
      </c>
      <c r="N121" s="110">
        <f t="shared" si="181"/>
        <v>4044</v>
      </c>
      <c r="O121" s="110">
        <f t="shared" si="181"/>
        <v>3586</v>
      </c>
      <c r="P121" s="110">
        <f t="shared" si="181"/>
        <v>4077</v>
      </c>
      <c r="Q121" s="110">
        <f t="shared" si="181"/>
        <v>5600</v>
      </c>
      <c r="R121" s="110">
        <f t="shared" si="181"/>
        <v>3210</v>
      </c>
      <c r="S121" s="110">
        <f t="shared" si="181"/>
        <v>3473</v>
      </c>
      <c r="T121" s="110">
        <f t="shared" si="181"/>
        <v>3710</v>
      </c>
      <c r="U121" s="110">
        <f t="shared" si="181"/>
        <v>4370</v>
      </c>
      <c r="V121" s="110">
        <f t="shared" si="181"/>
        <v>3098</v>
      </c>
      <c r="W121" s="110">
        <f t="shared" ref="W121:Y121" si="182">SUM(W122:W126)</f>
        <v>3003</v>
      </c>
      <c r="X121" s="110">
        <f t="shared" si="182"/>
        <v>4116</v>
      </c>
      <c r="Y121" s="110">
        <f t="shared" si="182"/>
        <v>4959</v>
      </c>
      <c r="DA121" s="176" t="s">
        <v>536</v>
      </c>
    </row>
    <row r="122" spans="1:105" ht="11.45" customHeight="1" x14ac:dyDescent="0.25">
      <c r="A122" s="111" t="s">
        <v>110</v>
      </c>
      <c r="B122" s="102">
        <v>0</v>
      </c>
      <c r="C122" s="102">
        <v>0</v>
      </c>
      <c r="D122" s="102">
        <v>0</v>
      </c>
      <c r="E122" s="102">
        <v>0</v>
      </c>
      <c r="F122" s="102">
        <v>0</v>
      </c>
      <c r="G122" s="102">
        <v>0</v>
      </c>
      <c r="H122" s="102">
        <v>0</v>
      </c>
      <c r="I122" s="102">
        <v>0</v>
      </c>
      <c r="J122" s="102">
        <v>169</v>
      </c>
      <c r="K122" s="102">
        <v>0</v>
      </c>
      <c r="L122" s="102">
        <v>2</v>
      </c>
      <c r="M122" s="102">
        <v>1</v>
      </c>
      <c r="N122" s="102">
        <v>0</v>
      </c>
      <c r="O122" s="102">
        <v>0</v>
      </c>
      <c r="P122" s="102">
        <v>0</v>
      </c>
      <c r="Q122" s="102">
        <v>0</v>
      </c>
      <c r="R122" s="102">
        <v>0</v>
      </c>
      <c r="S122" s="102">
        <v>0</v>
      </c>
      <c r="T122" s="102">
        <v>0</v>
      </c>
      <c r="U122" s="102">
        <v>0</v>
      </c>
      <c r="V122" s="102">
        <v>0</v>
      </c>
      <c r="W122" s="102">
        <v>0</v>
      </c>
      <c r="X122" s="102">
        <v>4</v>
      </c>
      <c r="Y122" s="102">
        <v>0</v>
      </c>
      <c r="DA122" s="175" t="s">
        <v>537</v>
      </c>
    </row>
    <row r="123" spans="1:105" ht="11.45" customHeight="1" x14ac:dyDescent="0.25">
      <c r="A123" s="111" t="s">
        <v>111</v>
      </c>
      <c r="B123" s="102">
        <v>300</v>
      </c>
      <c r="C123" s="102">
        <v>3552</v>
      </c>
      <c r="D123" s="102">
        <v>0</v>
      </c>
      <c r="E123" s="102">
        <v>2507</v>
      </c>
      <c r="F123" s="102">
        <v>5434</v>
      </c>
      <c r="G123" s="102">
        <v>227</v>
      </c>
      <c r="H123" s="102">
        <v>2229</v>
      </c>
      <c r="I123" s="102">
        <v>3922</v>
      </c>
      <c r="J123" s="102">
        <v>7546</v>
      </c>
      <c r="K123" s="102">
        <v>3166</v>
      </c>
      <c r="L123" s="102">
        <v>2981</v>
      </c>
      <c r="M123" s="102">
        <v>3107</v>
      </c>
      <c r="N123" s="102">
        <v>4044</v>
      </c>
      <c r="O123" s="102">
        <v>3583</v>
      </c>
      <c r="P123" s="102">
        <v>4075</v>
      </c>
      <c r="Q123" s="102">
        <v>5598</v>
      </c>
      <c r="R123" s="102">
        <v>3205</v>
      </c>
      <c r="S123" s="102">
        <v>3471</v>
      </c>
      <c r="T123" s="102">
        <v>3685</v>
      </c>
      <c r="U123" s="102">
        <v>4315</v>
      </c>
      <c r="V123" s="102">
        <v>2855</v>
      </c>
      <c r="W123" s="102">
        <v>2907</v>
      </c>
      <c r="X123" s="102">
        <v>3936</v>
      </c>
      <c r="Y123" s="102">
        <v>4431</v>
      </c>
      <c r="DA123" s="175" t="s">
        <v>538</v>
      </c>
    </row>
    <row r="124" spans="1:105" ht="11.45" customHeight="1" x14ac:dyDescent="0.25">
      <c r="A124" s="111" t="s">
        <v>112</v>
      </c>
      <c r="B124" s="102">
        <v>0</v>
      </c>
      <c r="C124" s="102">
        <v>0</v>
      </c>
      <c r="D124" s="102">
        <v>0</v>
      </c>
      <c r="E124" s="102">
        <v>0</v>
      </c>
      <c r="F124" s="102">
        <v>0</v>
      </c>
      <c r="G124" s="102">
        <v>0</v>
      </c>
      <c r="H124" s="102">
        <v>0</v>
      </c>
      <c r="I124" s="102">
        <v>0</v>
      </c>
      <c r="J124" s="102">
        <v>32</v>
      </c>
      <c r="K124" s="102">
        <v>4</v>
      </c>
      <c r="L124" s="102">
        <v>40</v>
      </c>
      <c r="M124" s="102">
        <v>15</v>
      </c>
      <c r="N124" s="102">
        <v>0</v>
      </c>
      <c r="O124" s="102">
        <v>2</v>
      </c>
      <c r="P124" s="102">
        <v>1</v>
      </c>
      <c r="Q124" s="102">
        <v>0</v>
      </c>
      <c r="R124" s="102">
        <v>0</v>
      </c>
      <c r="S124" s="102">
        <v>0</v>
      </c>
      <c r="T124" s="102">
        <v>0</v>
      </c>
      <c r="U124" s="102">
        <v>0</v>
      </c>
      <c r="V124" s="102">
        <v>0</v>
      </c>
      <c r="W124" s="102">
        <v>0</v>
      </c>
      <c r="X124" s="102">
        <v>0</v>
      </c>
      <c r="Y124" s="102">
        <v>0</v>
      </c>
      <c r="DA124" s="175" t="s">
        <v>539</v>
      </c>
    </row>
    <row r="125" spans="1:105" ht="11.45" customHeight="1" x14ac:dyDescent="0.25">
      <c r="A125" s="111" t="s">
        <v>113</v>
      </c>
      <c r="B125" s="102">
        <v>0</v>
      </c>
      <c r="C125" s="102">
        <v>0</v>
      </c>
      <c r="D125" s="102">
        <v>0</v>
      </c>
      <c r="E125" s="102">
        <v>0</v>
      </c>
      <c r="F125" s="102">
        <v>0</v>
      </c>
      <c r="G125" s="102">
        <v>0</v>
      </c>
      <c r="H125" s="102">
        <v>0</v>
      </c>
      <c r="I125" s="102">
        <v>0</v>
      </c>
      <c r="J125" s="102">
        <v>0</v>
      </c>
      <c r="K125" s="102">
        <v>0</v>
      </c>
      <c r="L125" s="102">
        <v>0</v>
      </c>
      <c r="M125" s="102">
        <v>0</v>
      </c>
      <c r="N125" s="102">
        <v>0</v>
      </c>
      <c r="O125" s="102">
        <v>0</v>
      </c>
      <c r="P125" s="102">
        <v>0</v>
      </c>
      <c r="Q125" s="102">
        <v>0</v>
      </c>
      <c r="R125" s="102">
        <v>0</v>
      </c>
      <c r="S125" s="102">
        <v>0</v>
      </c>
      <c r="T125" s="102">
        <v>0</v>
      </c>
      <c r="U125" s="102">
        <v>0</v>
      </c>
      <c r="V125" s="102">
        <v>0</v>
      </c>
      <c r="W125" s="102">
        <v>0</v>
      </c>
      <c r="X125" s="102">
        <v>0</v>
      </c>
      <c r="Y125" s="102">
        <v>0</v>
      </c>
      <c r="DA125" s="175" t="s">
        <v>540</v>
      </c>
    </row>
    <row r="126" spans="1:105" ht="11.45" customHeight="1" x14ac:dyDescent="0.25">
      <c r="A126" s="111" t="s">
        <v>115</v>
      </c>
      <c r="B126" s="102">
        <v>0</v>
      </c>
      <c r="C126" s="102">
        <v>0</v>
      </c>
      <c r="D126" s="102">
        <v>0</v>
      </c>
      <c r="E126" s="102">
        <v>0</v>
      </c>
      <c r="F126" s="102">
        <v>0</v>
      </c>
      <c r="G126" s="102">
        <v>0</v>
      </c>
      <c r="H126" s="102">
        <v>0</v>
      </c>
      <c r="I126" s="102">
        <v>0</v>
      </c>
      <c r="J126" s="102">
        <v>0</v>
      </c>
      <c r="K126" s="102">
        <v>0</v>
      </c>
      <c r="L126" s="102">
        <v>0</v>
      </c>
      <c r="M126" s="102">
        <v>0</v>
      </c>
      <c r="N126" s="102">
        <v>0</v>
      </c>
      <c r="O126" s="102">
        <v>1</v>
      </c>
      <c r="P126" s="102">
        <v>1</v>
      </c>
      <c r="Q126" s="102">
        <v>2</v>
      </c>
      <c r="R126" s="102">
        <v>5</v>
      </c>
      <c r="S126" s="102">
        <v>2</v>
      </c>
      <c r="T126" s="102">
        <v>25</v>
      </c>
      <c r="U126" s="102">
        <v>55</v>
      </c>
      <c r="V126" s="102">
        <v>243</v>
      </c>
      <c r="W126" s="102">
        <v>96</v>
      </c>
      <c r="X126" s="102">
        <v>176</v>
      </c>
      <c r="Y126" s="102">
        <v>528</v>
      </c>
      <c r="DA126" s="175" t="s">
        <v>541</v>
      </c>
    </row>
    <row r="127" spans="1:105" ht="11.45" customHeight="1" x14ac:dyDescent="0.25">
      <c r="A127" s="27" t="s">
        <v>34</v>
      </c>
      <c r="B127" s="28">
        <f t="shared" ref="B127:K127" si="183">B128+B134</f>
        <v>781</v>
      </c>
      <c r="C127" s="28">
        <f t="shared" si="183"/>
        <v>30212</v>
      </c>
      <c r="D127" s="28">
        <f t="shared" si="183"/>
        <v>29741</v>
      </c>
      <c r="E127" s="28">
        <f t="shared" si="183"/>
        <v>45048</v>
      </c>
      <c r="F127" s="28">
        <f t="shared" si="183"/>
        <v>43378</v>
      </c>
      <c r="G127" s="28">
        <f t="shared" si="183"/>
        <v>52582</v>
      </c>
      <c r="H127" s="28">
        <f t="shared" si="183"/>
        <v>75988</v>
      </c>
      <c r="I127" s="28">
        <f t="shared" si="183"/>
        <v>51152</v>
      </c>
      <c r="J127" s="28">
        <f t="shared" si="183"/>
        <v>88594</v>
      </c>
      <c r="K127" s="28">
        <f t="shared" si="183"/>
        <v>46286</v>
      </c>
      <c r="L127" s="28">
        <f t="shared" ref="L127" si="184">L128+L134</f>
        <v>34062</v>
      </c>
      <c r="M127" s="28">
        <f t="shared" ref="M127:V127" si="185">M128+M134</f>
        <v>54143</v>
      </c>
      <c r="N127" s="28">
        <f t="shared" si="185"/>
        <v>52321</v>
      </c>
      <c r="O127" s="28">
        <f t="shared" si="185"/>
        <v>68171</v>
      </c>
      <c r="P127" s="28">
        <f t="shared" si="185"/>
        <v>79844</v>
      </c>
      <c r="Q127" s="28">
        <f t="shared" si="185"/>
        <v>68965</v>
      </c>
      <c r="R127" s="28">
        <f t="shared" si="185"/>
        <v>55394</v>
      </c>
      <c r="S127" s="28">
        <f t="shared" si="185"/>
        <v>79999</v>
      </c>
      <c r="T127" s="28">
        <f t="shared" si="185"/>
        <v>95475</v>
      </c>
      <c r="U127" s="28">
        <f t="shared" si="185"/>
        <v>89880</v>
      </c>
      <c r="V127" s="28">
        <f t="shared" si="185"/>
        <v>84249</v>
      </c>
      <c r="W127" s="28">
        <f t="shared" ref="W127:Y127" si="186">W128+W134</f>
        <v>86848</v>
      </c>
      <c r="X127" s="28">
        <f t="shared" si="186"/>
        <v>80673</v>
      </c>
      <c r="Y127" s="28">
        <f t="shared" si="186"/>
        <v>77332</v>
      </c>
      <c r="DA127" s="173" t="s">
        <v>542</v>
      </c>
    </row>
    <row r="128" spans="1:105" ht="11.45" customHeight="1" x14ac:dyDescent="0.25">
      <c r="A128" s="136" t="s">
        <v>153</v>
      </c>
      <c r="B128" s="137">
        <f t="shared" ref="B128:K128" si="187">SUM(B129:B133)</f>
        <v>0</v>
      </c>
      <c r="C128" s="137">
        <f t="shared" si="187"/>
        <v>22274</v>
      </c>
      <c r="D128" s="137">
        <f t="shared" si="187"/>
        <v>23210</v>
      </c>
      <c r="E128" s="137">
        <f t="shared" si="187"/>
        <v>30146</v>
      </c>
      <c r="F128" s="137">
        <f t="shared" si="187"/>
        <v>34742</v>
      </c>
      <c r="G128" s="137">
        <f t="shared" si="187"/>
        <v>30477</v>
      </c>
      <c r="H128" s="137">
        <f t="shared" si="187"/>
        <v>62743</v>
      </c>
      <c r="I128" s="137">
        <f t="shared" si="187"/>
        <v>46763</v>
      </c>
      <c r="J128" s="137">
        <f t="shared" si="187"/>
        <v>81060</v>
      </c>
      <c r="K128" s="137">
        <f t="shared" si="187"/>
        <v>40357</v>
      </c>
      <c r="L128" s="137">
        <f t="shared" ref="L128" si="188">SUM(L129:L133)</f>
        <v>33023</v>
      </c>
      <c r="M128" s="137">
        <f t="shared" ref="M128:V128" si="189">SUM(M129:M133)</f>
        <v>52337</v>
      </c>
      <c r="N128" s="137">
        <f t="shared" si="189"/>
        <v>49048</v>
      </c>
      <c r="O128" s="137">
        <f t="shared" si="189"/>
        <v>60724</v>
      </c>
      <c r="P128" s="137">
        <f t="shared" si="189"/>
        <v>75893</v>
      </c>
      <c r="Q128" s="137">
        <f t="shared" si="189"/>
        <v>66407</v>
      </c>
      <c r="R128" s="137">
        <f t="shared" si="189"/>
        <v>50228</v>
      </c>
      <c r="S128" s="137">
        <f t="shared" si="189"/>
        <v>73968</v>
      </c>
      <c r="T128" s="137">
        <f t="shared" si="189"/>
        <v>90050</v>
      </c>
      <c r="U128" s="137">
        <f t="shared" si="189"/>
        <v>83910</v>
      </c>
      <c r="V128" s="137">
        <f t="shared" si="189"/>
        <v>79982</v>
      </c>
      <c r="W128" s="137">
        <f t="shared" ref="W128:Y128" si="190">SUM(W129:W133)</f>
        <v>79647</v>
      </c>
      <c r="X128" s="137">
        <f t="shared" si="190"/>
        <v>76180</v>
      </c>
      <c r="Y128" s="137">
        <f t="shared" si="190"/>
        <v>71760</v>
      </c>
      <c r="DA128" s="174" t="s">
        <v>543</v>
      </c>
    </row>
    <row r="129" spans="1:105" ht="11.45" customHeight="1" x14ac:dyDescent="0.25">
      <c r="A129" s="111" t="s">
        <v>110</v>
      </c>
      <c r="B129" s="84">
        <v>0</v>
      </c>
      <c r="C129" s="84">
        <v>6613</v>
      </c>
      <c r="D129" s="84">
        <v>6988</v>
      </c>
      <c r="E129" s="84">
        <v>9413</v>
      </c>
      <c r="F129" s="84">
        <v>10946</v>
      </c>
      <c r="G129" s="84">
        <v>9487</v>
      </c>
      <c r="H129" s="84">
        <v>19930</v>
      </c>
      <c r="I129" s="84">
        <v>14475</v>
      </c>
      <c r="J129" s="84">
        <v>9996</v>
      </c>
      <c r="K129" s="84">
        <v>9051</v>
      </c>
      <c r="L129" s="84">
        <v>5380</v>
      </c>
      <c r="M129" s="84">
        <v>6216</v>
      </c>
      <c r="N129" s="84">
        <v>7022</v>
      </c>
      <c r="O129" s="84">
        <v>1615</v>
      </c>
      <c r="P129" s="84">
        <v>2522</v>
      </c>
      <c r="Q129" s="84">
        <v>419</v>
      </c>
      <c r="R129" s="84">
        <v>12196</v>
      </c>
      <c r="S129" s="84">
        <v>12393</v>
      </c>
      <c r="T129" s="84">
        <v>10300</v>
      </c>
      <c r="U129" s="84">
        <v>5978</v>
      </c>
      <c r="V129" s="84">
        <v>5537</v>
      </c>
      <c r="W129" s="84">
        <v>5306</v>
      </c>
      <c r="X129" s="84">
        <v>7513</v>
      </c>
      <c r="Y129" s="84">
        <v>8021</v>
      </c>
      <c r="DA129" s="171" t="s">
        <v>544</v>
      </c>
    </row>
    <row r="130" spans="1:105" ht="11.45" customHeight="1" x14ac:dyDescent="0.25">
      <c r="A130" s="111" t="s">
        <v>111</v>
      </c>
      <c r="B130" s="84">
        <v>0</v>
      </c>
      <c r="C130" s="84">
        <v>15661</v>
      </c>
      <c r="D130" s="84">
        <v>16222</v>
      </c>
      <c r="E130" s="84">
        <v>20733</v>
      </c>
      <c r="F130" s="84">
        <v>23796</v>
      </c>
      <c r="G130" s="84">
        <v>20990</v>
      </c>
      <c r="H130" s="84">
        <v>42813</v>
      </c>
      <c r="I130" s="84">
        <v>32288</v>
      </c>
      <c r="J130" s="84">
        <v>71062</v>
      </c>
      <c r="K130" s="84">
        <v>31306</v>
      </c>
      <c r="L130" s="84">
        <v>27641</v>
      </c>
      <c r="M130" s="84">
        <v>46118</v>
      </c>
      <c r="N130" s="84">
        <v>42017</v>
      </c>
      <c r="O130" s="84">
        <v>59105</v>
      </c>
      <c r="P130" s="84">
        <v>73366</v>
      </c>
      <c r="Q130" s="84">
        <v>65988</v>
      </c>
      <c r="R130" s="84">
        <v>38025</v>
      </c>
      <c r="S130" s="84">
        <v>61560</v>
      </c>
      <c r="T130" s="84">
        <v>79712</v>
      </c>
      <c r="U130" s="84">
        <v>77876</v>
      </c>
      <c r="V130" s="84">
        <v>74356</v>
      </c>
      <c r="W130" s="84">
        <v>74245</v>
      </c>
      <c r="X130" s="84">
        <v>68444</v>
      </c>
      <c r="Y130" s="84">
        <v>63199</v>
      </c>
      <c r="DA130" s="171" t="s">
        <v>545</v>
      </c>
    </row>
    <row r="131" spans="1:105" ht="11.45" customHeight="1" x14ac:dyDescent="0.25">
      <c r="A131" s="111" t="s">
        <v>112</v>
      </c>
      <c r="B131" s="84">
        <v>0</v>
      </c>
      <c r="C131" s="84">
        <v>0</v>
      </c>
      <c r="D131" s="84">
        <v>0</v>
      </c>
      <c r="E131" s="84">
        <v>0</v>
      </c>
      <c r="F131" s="84">
        <v>0</v>
      </c>
      <c r="G131" s="84">
        <v>0</v>
      </c>
      <c r="H131" s="84">
        <v>0</v>
      </c>
      <c r="I131" s="84">
        <v>0</v>
      </c>
      <c r="J131" s="84">
        <v>2</v>
      </c>
      <c r="K131" s="84">
        <v>0</v>
      </c>
      <c r="L131" s="84">
        <v>0</v>
      </c>
      <c r="M131" s="84">
        <v>2</v>
      </c>
      <c r="N131" s="84">
        <v>6</v>
      </c>
      <c r="O131" s="84">
        <v>0</v>
      </c>
      <c r="P131" s="84">
        <v>2</v>
      </c>
      <c r="Q131" s="84">
        <v>0</v>
      </c>
      <c r="R131" s="84">
        <v>3</v>
      </c>
      <c r="S131" s="84">
        <v>0</v>
      </c>
      <c r="T131" s="84">
        <v>0</v>
      </c>
      <c r="U131" s="84">
        <v>0</v>
      </c>
      <c r="V131" s="84">
        <v>0</v>
      </c>
      <c r="W131" s="84">
        <v>4</v>
      </c>
      <c r="X131" s="84">
        <v>20</v>
      </c>
      <c r="Y131" s="84">
        <v>18</v>
      </c>
      <c r="DA131" s="171" t="s">
        <v>546</v>
      </c>
    </row>
    <row r="132" spans="1:105" ht="11.45" customHeight="1" x14ac:dyDescent="0.25">
      <c r="A132" s="111" t="s">
        <v>113</v>
      </c>
      <c r="B132" s="84">
        <v>0</v>
      </c>
      <c r="C132" s="84">
        <v>0</v>
      </c>
      <c r="D132" s="84">
        <v>0</v>
      </c>
      <c r="E132" s="84">
        <v>0</v>
      </c>
      <c r="F132" s="84">
        <v>0</v>
      </c>
      <c r="G132" s="84">
        <v>0</v>
      </c>
      <c r="H132" s="84">
        <v>0</v>
      </c>
      <c r="I132" s="84">
        <v>0</v>
      </c>
      <c r="J132" s="84">
        <v>0</v>
      </c>
      <c r="K132" s="84">
        <v>0</v>
      </c>
      <c r="L132" s="84">
        <v>0</v>
      </c>
      <c r="M132" s="84">
        <v>0</v>
      </c>
      <c r="N132" s="84">
        <v>0</v>
      </c>
      <c r="O132" s="84">
        <v>0</v>
      </c>
      <c r="P132" s="84">
        <v>0</v>
      </c>
      <c r="Q132" s="84">
        <v>0</v>
      </c>
      <c r="R132" s="84">
        <v>0</v>
      </c>
      <c r="S132" s="84">
        <v>0</v>
      </c>
      <c r="T132" s="84">
        <v>0</v>
      </c>
      <c r="U132" s="84">
        <v>0</v>
      </c>
      <c r="V132" s="84">
        <v>0</v>
      </c>
      <c r="W132" s="84">
        <v>0</v>
      </c>
      <c r="X132" s="84">
        <v>0</v>
      </c>
      <c r="Y132" s="84">
        <v>0</v>
      </c>
      <c r="DA132" s="171" t="s">
        <v>547</v>
      </c>
    </row>
    <row r="133" spans="1:105" ht="11.45" customHeight="1" x14ac:dyDescent="0.25">
      <c r="A133" s="111" t="s">
        <v>115</v>
      </c>
      <c r="B133" s="84">
        <v>0</v>
      </c>
      <c r="C133" s="84">
        <v>0</v>
      </c>
      <c r="D133" s="84">
        <v>0</v>
      </c>
      <c r="E133" s="84">
        <v>0</v>
      </c>
      <c r="F133" s="84">
        <v>0</v>
      </c>
      <c r="G133" s="84">
        <v>0</v>
      </c>
      <c r="H133" s="84">
        <v>0</v>
      </c>
      <c r="I133" s="84">
        <v>0</v>
      </c>
      <c r="J133" s="84">
        <v>0</v>
      </c>
      <c r="K133" s="84">
        <v>0</v>
      </c>
      <c r="L133" s="84">
        <v>2</v>
      </c>
      <c r="M133" s="84">
        <v>1</v>
      </c>
      <c r="N133" s="84">
        <v>3</v>
      </c>
      <c r="O133" s="84">
        <v>4</v>
      </c>
      <c r="P133" s="84">
        <v>3</v>
      </c>
      <c r="Q133" s="84">
        <v>0</v>
      </c>
      <c r="R133" s="84">
        <v>4</v>
      </c>
      <c r="S133" s="84">
        <v>15</v>
      </c>
      <c r="T133" s="84">
        <v>38</v>
      </c>
      <c r="U133" s="84">
        <v>56</v>
      </c>
      <c r="V133" s="84">
        <v>89</v>
      </c>
      <c r="W133" s="84">
        <v>92</v>
      </c>
      <c r="X133" s="84">
        <v>203</v>
      </c>
      <c r="Y133" s="84">
        <v>522</v>
      </c>
      <c r="DA133" s="171" t="s">
        <v>548</v>
      </c>
    </row>
    <row r="134" spans="1:105" ht="11.45" customHeight="1" x14ac:dyDescent="0.25">
      <c r="A134" s="109" t="s">
        <v>154</v>
      </c>
      <c r="B134" s="110">
        <f t="shared" ref="B134:K134" si="191">SUM(B135:B136)</f>
        <v>781</v>
      </c>
      <c r="C134" s="110">
        <f t="shared" si="191"/>
        <v>7938</v>
      </c>
      <c r="D134" s="110">
        <f t="shared" si="191"/>
        <v>6531</v>
      </c>
      <c r="E134" s="110">
        <f t="shared" si="191"/>
        <v>14902</v>
      </c>
      <c r="F134" s="110">
        <f t="shared" si="191"/>
        <v>8636</v>
      </c>
      <c r="G134" s="110">
        <f t="shared" si="191"/>
        <v>22105</v>
      </c>
      <c r="H134" s="110">
        <f t="shared" si="191"/>
        <v>13245</v>
      </c>
      <c r="I134" s="110">
        <f t="shared" si="191"/>
        <v>4389</v>
      </c>
      <c r="J134" s="110">
        <f t="shared" si="191"/>
        <v>7534</v>
      </c>
      <c r="K134" s="110">
        <f t="shared" si="191"/>
        <v>5929</v>
      </c>
      <c r="L134" s="110">
        <f t="shared" ref="L134" si="192">SUM(L135:L136)</f>
        <v>1039</v>
      </c>
      <c r="M134" s="110">
        <f t="shared" ref="M134:V134" si="193">SUM(M135:M136)</f>
        <v>1806</v>
      </c>
      <c r="N134" s="110">
        <f t="shared" si="193"/>
        <v>3273</v>
      </c>
      <c r="O134" s="110">
        <f t="shared" si="193"/>
        <v>7447</v>
      </c>
      <c r="P134" s="110">
        <f t="shared" si="193"/>
        <v>3951</v>
      </c>
      <c r="Q134" s="110">
        <f t="shared" si="193"/>
        <v>2558</v>
      </c>
      <c r="R134" s="110">
        <f t="shared" si="193"/>
        <v>5166</v>
      </c>
      <c r="S134" s="110">
        <f t="shared" si="193"/>
        <v>6031</v>
      </c>
      <c r="T134" s="110">
        <f t="shared" si="193"/>
        <v>5425</v>
      </c>
      <c r="U134" s="110">
        <f t="shared" si="193"/>
        <v>5970</v>
      </c>
      <c r="V134" s="110">
        <f t="shared" si="193"/>
        <v>4267</v>
      </c>
      <c r="W134" s="110">
        <f t="shared" ref="W134:Y134" si="194">SUM(W135:W136)</f>
        <v>7201</v>
      </c>
      <c r="X134" s="110">
        <f t="shared" si="194"/>
        <v>4493</v>
      </c>
      <c r="Y134" s="110">
        <f t="shared" si="194"/>
        <v>5572</v>
      </c>
      <c r="DA134" s="176" t="s">
        <v>549</v>
      </c>
    </row>
    <row r="135" spans="1:105" ht="11.45" customHeight="1" x14ac:dyDescent="0.25">
      <c r="A135" s="128" t="s">
        <v>27</v>
      </c>
      <c r="B135" s="102">
        <v>0</v>
      </c>
      <c r="C135" s="102">
        <v>7033</v>
      </c>
      <c r="D135" s="102">
        <v>5680</v>
      </c>
      <c r="E135" s="102">
        <v>14218</v>
      </c>
      <c r="F135" s="102">
        <v>6433</v>
      </c>
      <c r="G135" s="102">
        <v>21088</v>
      </c>
      <c r="H135" s="102">
        <v>13245</v>
      </c>
      <c r="I135" s="102">
        <v>3721</v>
      </c>
      <c r="J135" s="102">
        <v>7534</v>
      </c>
      <c r="K135" s="102">
        <v>5929</v>
      </c>
      <c r="L135" s="102">
        <v>1039</v>
      </c>
      <c r="M135" s="102">
        <v>1534</v>
      </c>
      <c r="N135" s="102">
        <v>2534</v>
      </c>
      <c r="O135" s="102">
        <v>6948</v>
      </c>
      <c r="P135" s="102">
        <v>3775</v>
      </c>
      <c r="Q135" s="102">
        <v>2255</v>
      </c>
      <c r="R135" s="102">
        <v>4438</v>
      </c>
      <c r="S135" s="102">
        <v>4930</v>
      </c>
      <c r="T135" s="102">
        <v>5351</v>
      </c>
      <c r="U135" s="102">
        <v>5552</v>
      </c>
      <c r="V135" s="102">
        <v>4267</v>
      </c>
      <c r="W135" s="102">
        <v>5362</v>
      </c>
      <c r="X135" s="102">
        <v>4235</v>
      </c>
      <c r="Y135" s="102">
        <v>5062</v>
      </c>
      <c r="DA135" s="175" t="s">
        <v>550</v>
      </c>
    </row>
    <row r="136" spans="1:105" ht="11.45" customHeight="1" x14ac:dyDescent="0.25">
      <c r="A136" s="138" t="s">
        <v>116</v>
      </c>
      <c r="B136" s="86">
        <v>781</v>
      </c>
      <c r="C136" s="86">
        <v>905</v>
      </c>
      <c r="D136" s="86">
        <v>851</v>
      </c>
      <c r="E136" s="86">
        <v>684</v>
      </c>
      <c r="F136" s="86">
        <v>2203</v>
      </c>
      <c r="G136" s="86">
        <v>1017</v>
      </c>
      <c r="H136" s="86">
        <v>0</v>
      </c>
      <c r="I136" s="86">
        <v>668</v>
      </c>
      <c r="J136" s="86">
        <v>0</v>
      </c>
      <c r="K136" s="86">
        <v>0</v>
      </c>
      <c r="L136" s="86">
        <v>0</v>
      </c>
      <c r="M136" s="86">
        <v>272</v>
      </c>
      <c r="N136" s="86">
        <v>739</v>
      </c>
      <c r="O136" s="86">
        <v>499</v>
      </c>
      <c r="P136" s="86">
        <v>176</v>
      </c>
      <c r="Q136" s="86">
        <v>303</v>
      </c>
      <c r="R136" s="86">
        <v>728</v>
      </c>
      <c r="S136" s="86">
        <v>1101</v>
      </c>
      <c r="T136" s="86">
        <v>74</v>
      </c>
      <c r="U136" s="86">
        <v>418</v>
      </c>
      <c r="V136" s="86">
        <v>0</v>
      </c>
      <c r="W136" s="86">
        <v>1839</v>
      </c>
      <c r="X136" s="86">
        <v>258</v>
      </c>
      <c r="Y136" s="86">
        <v>510</v>
      </c>
      <c r="DA136" s="178" t="s">
        <v>551</v>
      </c>
    </row>
    <row r="137" spans="1:105" ht="11.45" customHeight="1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DA137" s="171"/>
    </row>
    <row r="138" spans="1:105" ht="11.45" customHeight="1" x14ac:dyDescent="0.25">
      <c r="A138" s="143" t="s">
        <v>36</v>
      </c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DA138" s="179"/>
    </row>
    <row r="139" spans="1:105" ht="11.45" customHeight="1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DA139" s="171"/>
    </row>
    <row r="140" spans="1:105" ht="11.45" customHeight="1" x14ac:dyDescent="0.25">
      <c r="A140" s="53" t="s">
        <v>99</v>
      </c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DA140" s="172"/>
    </row>
    <row r="141" spans="1:105" ht="11.45" customHeight="1" x14ac:dyDescent="0.25">
      <c r="A141" s="27" t="s">
        <v>100</v>
      </c>
      <c r="B141" s="32">
        <f t="shared" ref="B141:K141" si="195">IF(B4=0,0,B4/B31)</f>
        <v>2.8312363655345765</v>
      </c>
      <c r="C141" s="32">
        <f t="shared" si="195"/>
        <v>2.2551055056471374</v>
      </c>
      <c r="D141" s="32">
        <f t="shared" si="195"/>
        <v>2.2450174963959562</v>
      </c>
      <c r="E141" s="32">
        <f t="shared" si="195"/>
        <v>2.2321359760781991</v>
      </c>
      <c r="F141" s="32">
        <f t="shared" si="195"/>
        <v>2.1619881886280243</v>
      </c>
      <c r="G141" s="32">
        <f t="shared" si="195"/>
        <v>2.3441194137761445</v>
      </c>
      <c r="H141" s="32">
        <f t="shared" si="195"/>
        <v>2.399725422761509</v>
      </c>
      <c r="I141" s="32">
        <f t="shared" si="195"/>
        <v>2.3051053129376076</v>
      </c>
      <c r="J141" s="32">
        <f t="shared" si="195"/>
        <v>2.5577345421718642</v>
      </c>
      <c r="K141" s="32">
        <f t="shared" si="195"/>
        <v>2.471385539430881</v>
      </c>
      <c r="L141" s="32">
        <f t="shared" ref="L141" si="196">IF(L4=0,0,L4/L31)</f>
        <v>2.3719385627251142</v>
      </c>
      <c r="M141" s="32">
        <f t="shared" ref="M141:V141" si="197">IF(M4=0,0,M4/M31)</f>
        <v>2.246929846568078</v>
      </c>
      <c r="N141" s="32">
        <f t="shared" si="197"/>
        <v>2.228517547922209</v>
      </c>
      <c r="O141" s="32">
        <f t="shared" si="197"/>
        <v>2.2086392176996594</v>
      </c>
      <c r="P141" s="32">
        <f t="shared" si="197"/>
        <v>2.2419835700563402</v>
      </c>
      <c r="Q141" s="32">
        <f t="shared" si="197"/>
        <v>2.3715187598224103</v>
      </c>
      <c r="R141" s="32">
        <f t="shared" si="197"/>
        <v>2.3929943483006952</v>
      </c>
      <c r="S141" s="32">
        <f t="shared" si="197"/>
        <v>2.3681299929632633</v>
      </c>
      <c r="T141" s="32">
        <f t="shared" si="197"/>
        <v>2.3763713424867019</v>
      </c>
      <c r="U141" s="32">
        <f t="shared" si="197"/>
        <v>2.3286109898760112</v>
      </c>
      <c r="V141" s="32">
        <f t="shared" si="197"/>
        <v>2.1806204764742585</v>
      </c>
      <c r="W141" s="32">
        <f t="shared" ref="W141:Y141" si="198">IF(W4=0,0,W4/W31)</f>
        <v>2.1662259005899855</v>
      </c>
      <c r="X141" s="32">
        <f t="shared" si="198"/>
        <v>2.0960839322392908</v>
      </c>
      <c r="Y141" s="32">
        <f t="shared" si="198"/>
        <v>2.0533028786449989</v>
      </c>
      <c r="DA141" s="173" t="s">
        <v>552</v>
      </c>
    </row>
    <row r="142" spans="1:105" ht="11.45" customHeight="1" x14ac:dyDescent="0.25">
      <c r="A142" s="136" t="s">
        <v>173</v>
      </c>
      <c r="B142" s="141">
        <v>1.2051623672106275</v>
      </c>
      <c r="C142" s="141">
        <v>1.2051392519217528</v>
      </c>
      <c r="D142" s="141">
        <v>1.2049298431364222</v>
      </c>
      <c r="E142" s="141">
        <v>1.2054358769600171</v>
      </c>
      <c r="F142" s="141">
        <v>1.2055973067663732</v>
      </c>
      <c r="G142" s="141">
        <v>1.2045056063339168</v>
      </c>
      <c r="H142" s="141">
        <v>1.2048415969901545</v>
      </c>
      <c r="I142" s="141">
        <v>1.2067754497377055</v>
      </c>
      <c r="J142" s="141">
        <v>1.2074105465672291</v>
      </c>
      <c r="K142" s="141">
        <v>1.2079899717478595</v>
      </c>
      <c r="L142" s="141">
        <v>1.2059146553065256</v>
      </c>
      <c r="M142" s="141">
        <v>1.2048582714100033</v>
      </c>
      <c r="N142" s="141">
        <v>1.1974221301460342</v>
      </c>
      <c r="O142" s="141">
        <v>1.1968061309351141</v>
      </c>
      <c r="P142" s="141">
        <v>1.199404729284766</v>
      </c>
      <c r="Q142" s="141">
        <v>1.2014776903379956</v>
      </c>
      <c r="R142" s="141">
        <v>1.2024536421088383</v>
      </c>
      <c r="S142" s="141">
        <v>1.2018899638683938</v>
      </c>
      <c r="T142" s="141">
        <v>1.2014360520063567</v>
      </c>
      <c r="U142" s="141">
        <v>1.2022645108747758</v>
      </c>
      <c r="V142" s="141">
        <v>1.2011414082102199</v>
      </c>
      <c r="W142" s="141">
        <v>1.2018161948411412</v>
      </c>
      <c r="X142" s="141">
        <v>1.2020257873744797</v>
      </c>
      <c r="Y142" s="141">
        <v>1.2036600438154859</v>
      </c>
      <c r="DA142" s="174" t="s">
        <v>553</v>
      </c>
    </row>
    <row r="143" spans="1:105" ht="11.45" customHeight="1" x14ac:dyDescent="0.25">
      <c r="A143" s="109" t="s">
        <v>20</v>
      </c>
      <c r="B143" s="130">
        <f t="shared" ref="B143:K143" si="199">IF(B6=0,0,B6/B33)</f>
        <v>2.5784149803535339</v>
      </c>
      <c r="C143" s="130">
        <f t="shared" si="199"/>
        <v>2.0664316928074493</v>
      </c>
      <c r="D143" s="130">
        <f t="shared" si="199"/>
        <v>2.0603988919171621</v>
      </c>
      <c r="E143" s="130">
        <f t="shared" si="199"/>
        <v>1.9827643714467877</v>
      </c>
      <c r="F143" s="130">
        <f t="shared" si="199"/>
        <v>1.9350880436514384</v>
      </c>
      <c r="G143" s="130">
        <f t="shared" si="199"/>
        <v>2.0453525130130674</v>
      </c>
      <c r="H143" s="130">
        <f t="shared" si="199"/>
        <v>2.104619738552393</v>
      </c>
      <c r="I143" s="130">
        <f t="shared" si="199"/>
        <v>2.0315885355054584</v>
      </c>
      <c r="J143" s="130">
        <f t="shared" si="199"/>
        <v>2.0954566500580696</v>
      </c>
      <c r="K143" s="130">
        <f t="shared" si="199"/>
        <v>2.1195407687967447</v>
      </c>
      <c r="L143" s="130">
        <f t="shared" ref="L143" si="200">IF(L6=0,0,L6/L33)</f>
        <v>2.0621909906961617</v>
      </c>
      <c r="M143" s="130">
        <f t="shared" ref="M143:V143" si="201">IF(M6=0,0,M6/M33)</f>
        <v>1.9562362692968409</v>
      </c>
      <c r="N143" s="130">
        <f t="shared" si="201"/>
        <v>1.9201694732231123</v>
      </c>
      <c r="O143" s="130">
        <f t="shared" si="201"/>
        <v>1.9133214078028018</v>
      </c>
      <c r="P143" s="130">
        <f t="shared" si="201"/>
        <v>1.937527592046437</v>
      </c>
      <c r="Q143" s="130">
        <f t="shared" si="201"/>
        <v>1.9509212347152629</v>
      </c>
      <c r="R143" s="130">
        <f t="shared" si="201"/>
        <v>1.9816050715401794</v>
      </c>
      <c r="S143" s="130">
        <f t="shared" si="201"/>
        <v>1.977543690988776</v>
      </c>
      <c r="T143" s="130">
        <f t="shared" si="201"/>
        <v>1.9798480478106326</v>
      </c>
      <c r="U143" s="130">
        <f t="shared" si="201"/>
        <v>1.9609638866612547</v>
      </c>
      <c r="V143" s="130">
        <f t="shared" si="201"/>
        <v>1.9267719007408282</v>
      </c>
      <c r="W143" s="130">
        <f t="shared" ref="W143:Y143" si="202">IF(W6=0,0,W6/W33)</f>
        <v>1.920604770957214</v>
      </c>
      <c r="X143" s="130">
        <f t="shared" si="202"/>
        <v>1.8502151443006185</v>
      </c>
      <c r="Y143" s="130">
        <f t="shared" si="202"/>
        <v>1.7843712981792685</v>
      </c>
      <c r="DA143" s="176" t="s">
        <v>554</v>
      </c>
    </row>
    <row r="144" spans="1:105" ht="11.45" customHeight="1" x14ac:dyDescent="0.25">
      <c r="A144" s="111" t="s">
        <v>110</v>
      </c>
      <c r="B144" s="96">
        <v>2.5585113210881407</v>
      </c>
      <c r="C144" s="96">
        <v>2.0496934643667619</v>
      </c>
      <c r="D144" s="96">
        <v>2.0397507187732735</v>
      </c>
      <c r="E144" s="96">
        <v>1.9589686212887178</v>
      </c>
      <c r="F144" s="96">
        <v>1.9096869624344008</v>
      </c>
      <c r="G144" s="96">
        <v>2.0101223372354675</v>
      </c>
      <c r="H144" s="96">
        <v>2.0619158919460991</v>
      </c>
      <c r="I144" s="96">
        <v>1.9839255483817597</v>
      </c>
      <c r="J144" s="96">
        <v>2.0362188863952593</v>
      </c>
      <c r="K144" s="96">
        <v>2.0562294557501617</v>
      </c>
      <c r="L144" s="96">
        <v>2.0010266630742546</v>
      </c>
      <c r="M144" s="96">
        <v>1.8926778558755679</v>
      </c>
      <c r="N144" s="96">
        <v>1.8551421549578302</v>
      </c>
      <c r="O144" s="96">
        <v>1.8503325720093815</v>
      </c>
      <c r="P144" s="96">
        <v>1.8761079712971418</v>
      </c>
      <c r="Q144" s="96">
        <v>1.8872104299180275</v>
      </c>
      <c r="R144" s="96">
        <v>1.9133981324742741</v>
      </c>
      <c r="S144" s="96">
        <v>1.908341248471892</v>
      </c>
      <c r="T144" s="96">
        <v>1.908474983610549</v>
      </c>
      <c r="U144" s="96">
        <v>1.8888218677178104</v>
      </c>
      <c r="V144" s="96">
        <v>1.8581794722930824</v>
      </c>
      <c r="W144" s="96">
        <v>1.853934453397613</v>
      </c>
      <c r="X144" s="96">
        <v>1.7847519429417591</v>
      </c>
      <c r="Y144" s="96">
        <v>1.7212204037985135</v>
      </c>
      <c r="DA144" s="171" t="s">
        <v>555</v>
      </c>
    </row>
    <row r="145" spans="1:105" ht="11.45" customHeight="1" x14ac:dyDescent="0.25">
      <c r="A145" s="111" t="s">
        <v>111</v>
      </c>
      <c r="B145" s="96">
        <v>2.7128026513458807</v>
      </c>
      <c r="C145" s="96">
        <v>2.1733004731109089</v>
      </c>
      <c r="D145" s="96">
        <v>2.1627581290589766</v>
      </c>
      <c r="E145" s="96">
        <v>2.0771044575543369</v>
      </c>
      <c r="F145" s="96">
        <v>2.0248508623871855</v>
      </c>
      <c r="G145" s="96">
        <v>2.1313430044400761</v>
      </c>
      <c r="H145" s="96">
        <v>2.1862599756426406</v>
      </c>
      <c r="I145" s="96">
        <v>2.1035664151112257</v>
      </c>
      <c r="J145" s="96">
        <v>2.1590133091083219</v>
      </c>
      <c r="K145" s="96">
        <v>2.1802306182339395</v>
      </c>
      <c r="L145" s="96">
        <v>2.1216988145641378</v>
      </c>
      <c r="M145" s="96">
        <v>2.0068160196294045</v>
      </c>
      <c r="N145" s="96">
        <v>1.9670167237926144</v>
      </c>
      <c r="O145" s="96">
        <v>1.9619170983710352</v>
      </c>
      <c r="P145" s="96">
        <v>1.9892468861859254</v>
      </c>
      <c r="Q145" s="96">
        <v>2.0010188798976394</v>
      </c>
      <c r="R145" s="96">
        <v>2.0287858349787791</v>
      </c>
      <c r="S145" s="96">
        <v>2.0234239949837241</v>
      </c>
      <c r="T145" s="96">
        <v>2.023565795035863</v>
      </c>
      <c r="U145" s="96">
        <v>2.0027274956460626</v>
      </c>
      <c r="V145" s="96">
        <v>1.9702372069118939</v>
      </c>
      <c r="W145" s="96">
        <v>1.9657361916458194</v>
      </c>
      <c r="X145" s="96">
        <v>1.8923816216486127</v>
      </c>
      <c r="Y145" s="96">
        <v>1.8250188054627612</v>
      </c>
      <c r="DA145" s="171" t="s">
        <v>556</v>
      </c>
    </row>
    <row r="146" spans="1:105" ht="11.45" customHeight="1" x14ac:dyDescent="0.25">
      <c r="A146" s="111" t="s">
        <v>112</v>
      </c>
      <c r="B146" s="96">
        <v>0</v>
      </c>
      <c r="C146" s="96">
        <v>0</v>
      </c>
      <c r="D146" s="96">
        <v>1.9985869251596471</v>
      </c>
      <c r="E146" s="96">
        <v>1.923281440303384</v>
      </c>
      <c r="F146" s="96">
        <v>1.8770354023418951</v>
      </c>
      <c r="G146" s="96">
        <v>1.9839919376226747</v>
      </c>
      <c r="H146" s="96">
        <v>2.0414811463958213</v>
      </c>
      <c r="I146" s="96">
        <v>1.9706408794402945</v>
      </c>
      <c r="J146" s="96">
        <v>2.0325929505563276</v>
      </c>
      <c r="K146" s="96">
        <v>2.0559545457328423</v>
      </c>
      <c r="L146" s="96">
        <v>2.0003252609752766</v>
      </c>
      <c r="M146" s="96">
        <v>1.8975491812179353</v>
      </c>
      <c r="N146" s="96">
        <v>1.862564389026419</v>
      </c>
      <c r="O146" s="96">
        <v>1.8559217655687179</v>
      </c>
      <c r="P146" s="96">
        <v>1.879401764285044</v>
      </c>
      <c r="Q146" s="96">
        <v>1.8923935976738049</v>
      </c>
      <c r="R146" s="96">
        <v>1.922156919393974</v>
      </c>
      <c r="S146" s="96">
        <v>1.9182173802591129</v>
      </c>
      <c r="T146" s="96">
        <v>1.9204526063763141</v>
      </c>
      <c r="U146" s="96">
        <v>1.9021349700614174</v>
      </c>
      <c r="V146" s="96">
        <v>1.8689687437186029</v>
      </c>
      <c r="W146" s="96">
        <v>1.8629866278284979</v>
      </c>
      <c r="X146" s="96">
        <v>1.7947086899716003</v>
      </c>
      <c r="Y146" s="96">
        <v>1.7308401592338911</v>
      </c>
      <c r="DA146" s="171" t="s">
        <v>557</v>
      </c>
    </row>
    <row r="147" spans="1:105" ht="11.45" customHeight="1" x14ac:dyDescent="0.25">
      <c r="A147" s="111" t="s">
        <v>113</v>
      </c>
      <c r="B147" s="96">
        <v>0</v>
      </c>
      <c r="C147" s="96">
        <v>0</v>
      </c>
      <c r="D147" s="96">
        <v>0</v>
      </c>
      <c r="E147" s="96">
        <v>0</v>
      </c>
      <c r="F147" s="96">
        <v>0</v>
      </c>
      <c r="G147" s="96">
        <v>0</v>
      </c>
      <c r="H147" s="96">
        <v>0</v>
      </c>
      <c r="I147" s="96">
        <v>0</v>
      </c>
      <c r="J147" s="96">
        <v>0</v>
      </c>
      <c r="K147" s="96">
        <v>0</v>
      </c>
      <c r="L147" s="96">
        <v>0</v>
      </c>
      <c r="M147" s="96">
        <v>0</v>
      </c>
      <c r="N147" s="96">
        <v>0</v>
      </c>
      <c r="O147" s="96">
        <v>0</v>
      </c>
      <c r="P147" s="96">
        <v>0</v>
      </c>
      <c r="Q147" s="96">
        <v>0</v>
      </c>
      <c r="R147" s="96">
        <v>0</v>
      </c>
      <c r="S147" s="96">
        <v>0</v>
      </c>
      <c r="T147" s="96">
        <v>0</v>
      </c>
      <c r="U147" s="96">
        <v>0</v>
      </c>
      <c r="V147" s="96">
        <v>0</v>
      </c>
      <c r="W147" s="96">
        <v>0</v>
      </c>
      <c r="X147" s="96">
        <v>0</v>
      </c>
      <c r="Y147" s="96">
        <v>0</v>
      </c>
      <c r="DA147" s="171" t="s">
        <v>558</v>
      </c>
    </row>
    <row r="148" spans="1:105" ht="11.45" customHeight="1" x14ac:dyDescent="0.25">
      <c r="A148" s="111" t="s">
        <v>114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0</v>
      </c>
      <c r="N148" s="96">
        <v>1.822532331876312</v>
      </c>
      <c r="O148" s="96">
        <v>1.8160324781845596</v>
      </c>
      <c r="P148" s="96">
        <v>1.8390078217834385</v>
      </c>
      <c r="Q148" s="96">
        <v>1.8517204219710455</v>
      </c>
      <c r="R148" s="96">
        <v>1.8808440412448999</v>
      </c>
      <c r="S148" s="96">
        <v>1.8769891745416178</v>
      </c>
      <c r="T148" s="96">
        <v>1.8791763589910009</v>
      </c>
      <c r="U148" s="96">
        <v>1.8612524232472811</v>
      </c>
      <c r="V148" s="96">
        <v>1.8287990379081021</v>
      </c>
      <c r="W148" s="96">
        <v>1.8229454955087188</v>
      </c>
      <c r="X148" s="96">
        <v>1.7561350539308667</v>
      </c>
      <c r="Y148" s="96">
        <v>1.693639248177941</v>
      </c>
      <c r="DA148" s="171" t="s">
        <v>559</v>
      </c>
    </row>
    <row r="149" spans="1:105" ht="11.45" customHeight="1" x14ac:dyDescent="0.25">
      <c r="A149" s="111" t="s">
        <v>115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1.698244112073827</v>
      </c>
      <c r="L149" s="96">
        <v>1.6522936286380465</v>
      </c>
      <c r="M149" s="96">
        <v>1.567399304163708</v>
      </c>
      <c r="N149" s="96">
        <v>1.5385014292205674</v>
      </c>
      <c r="O149" s="96">
        <v>1.5330145393478425</v>
      </c>
      <c r="P149" s="96">
        <v>1.5524093113063289</v>
      </c>
      <c r="Q149" s="96">
        <v>1.563140727817117</v>
      </c>
      <c r="R149" s="96">
        <v>1.587725602989549</v>
      </c>
      <c r="S149" s="96">
        <v>1.5844714945006486</v>
      </c>
      <c r="T149" s="96">
        <v>1.5863178191679761</v>
      </c>
      <c r="U149" s="96">
        <v>1.5711872229768067</v>
      </c>
      <c r="V149" s="96">
        <v>1.5437915061194987</v>
      </c>
      <c r="W149" s="96">
        <v>1.5388502037404166</v>
      </c>
      <c r="X149" s="96">
        <v>1.4824517749956374</v>
      </c>
      <c r="Y149" s="96">
        <v>1.4296955715585329</v>
      </c>
      <c r="DA149" s="171" t="s">
        <v>560</v>
      </c>
    </row>
    <row r="150" spans="1:105" ht="11.45" customHeight="1" x14ac:dyDescent="0.25">
      <c r="A150" s="109" t="s">
        <v>21</v>
      </c>
      <c r="B150" s="130">
        <f t="shared" ref="B150:K150" si="203">IF(B13=0,0,B13/B40)</f>
        <v>9.3760181631838488</v>
      </c>
      <c r="C150" s="130">
        <f t="shared" si="203"/>
        <v>7.8225894588338463</v>
      </c>
      <c r="D150" s="130">
        <f t="shared" si="203"/>
        <v>8.2072325700401638</v>
      </c>
      <c r="E150" s="130">
        <f t="shared" si="203"/>
        <v>9.6990938116076926</v>
      </c>
      <c r="F150" s="130">
        <f t="shared" si="203"/>
        <v>8.4499585845243832</v>
      </c>
      <c r="G150" s="130">
        <f t="shared" si="203"/>
        <v>10.516675775874306</v>
      </c>
      <c r="H150" s="130">
        <f t="shared" si="203"/>
        <v>11.540957243829592</v>
      </c>
      <c r="I150" s="130">
        <f t="shared" si="203"/>
        <v>10.137064958817191</v>
      </c>
      <c r="J150" s="130">
        <f t="shared" si="203"/>
        <v>12.36619718309859</v>
      </c>
      <c r="K150" s="130">
        <f t="shared" si="203"/>
        <v>10.312236286919831</v>
      </c>
      <c r="L150" s="130">
        <f t="shared" ref="L150" si="204">IF(L13=0,0,L13/L40)</f>
        <v>9.3562130177514771</v>
      </c>
      <c r="M150" s="130">
        <f t="shared" ref="M150:V150" si="205">IF(M13=0,0,M13/M40)</f>
        <v>8.8383608423449065</v>
      </c>
      <c r="N150" s="130">
        <f t="shared" si="205"/>
        <v>9.2506841817186647</v>
      </c>
      <c r="O150" s="130">
        <f t="shared" si="205"/>
        <v>8.9905263157894737</v>
      </c>
      <c r="P150" s="130">
        <f t="shared" si="205"/>
        <v>9.2808704453441297</v>
      </c>
      <c r="Q150" s="130">
        <f t="shared" si="205"/>
        <v>12.10529079844207</v>
      </c>
      <c r="R150" s="130">
        <f t="shared" si="205"/>
        <v>12.017433838740166</v>
      </c>
      <c r="S150" s="130">
        <f t="shared" si="205"/>
        <v>11.461844198041007</v>
      </c>
      <c r="T150" s="130">
        <f t="shared" si="205"/>
        <v>11.94459475812576</v>
      </c>
      <c r="U150" s="130">
        <f t="shared" si="205"/>
        <v>11.632664719739173</v>
      </c>
      <c r="V150" s="130">
        <f t="shared" si="205"/>
        <v>7.9360701460497935</v>
      </c>
      <c r="W150" s="130">
        <f t="shared" ref="W150:Y150" si="206">IF(W13=0,0,W13/W40)</f>
        <v>8.1364603305978669</v>
      </c>
      <c r="X150" s="130">
        <f t="shared" si="206"/>
        <v>8.5327271923527537</v>
      </c>
      <c r="Y150" s="130">
        <f t="shared" si="206"/>
        <v>9.5323125044282921</v>
      </c>
      <c r="DA150" s="176" t="s">
        <v>561</v>
      </c>
    </row>
    <row r="151" spans="1:105" ht="11.45" customHeight="1" x14ac:dyDescent="0.25">
      <c r="A151" s="111" t="s">
        <v>110</v>
      </c>
      <c r="B151" s="97">
        <v>0</v>
      </c>
      <c r="C151" s="97">
        <v>0</v>
      </c>
      <c r="D151" s="97">
        <v>0</v>
      </c>
      <c r="E151" s="97">
        <v>0</v>
      </c>
      <c r="F151" s="97">
        <v>0</v>
      </c>
      <c r="G151" s="97">
        <v>0</v>
      </c>
      <c r="H151" s="97">
        <v>0</v>
      </c>
      <c r="I151" s="97">
        <v>0</v>
      </c>
      <c r="J151" s="97">
        <v>6.4756229685807147</v>
      </c>
      <c r="K151" s="97">
        <v>6.3966244725738397</v>
      </c>
      <c r="L151" s="97">
        <v>6.3598543468365953</v>
      </c>
      <c r="M151" s="97">
        <v>6.3399369554748048</v>
      </c>
      <c r="N151" s="97">
        <v>6.3557955454507171</v>
      </c>
      <c r="O151" s="97">
        <v>6.3457894736842109</v>
      </c>
      <c r="P151" s="97">
        <v>6.3569565555901582</v>
      </c>
      <c r="Q151" s="97">
        <v>6.4655881076323869</v>
      </c>
      <c r="R151" s="97">
        <v>6.4622089937976988</v>
      </c>
      <c r="S151" s="97">
        <v>6.4408401614631154</v>
      </c>
      <c r="T151" s="97">
        <v>6.4594074906971448</v>
      </c>
      <c r="U151" s="97">
        <v>6.4474101815284302</v>
      </c>
      <c r="V151" s="97">
        <v>6.3052334671557615</v>
      </c>
      <c r="W151" s="97">
        <v>6.3129407819460717</v>
      </c>
      <c r="X151" s="97">
        <v>6.32818181509049</v>
      </c>
      <c r="Y151" s="97">
        <v>6.366627404016473</v>
      </c>
      <c r="DA151" s="175" t="s">
        <v>562</v>
      </c>
    </row>
    <row r="152" spans="1:105" ht="11.45" customHeight="1" x14ac:dyDescent="0.25">
      <c r="A152" s="111" t="s">
        <v>111</v>
      </c>
      <c r="B152" s="97">
        <v>9.3760181631838488</v>
      </c>
      <c r="C152" s="97">
        <v>7.8225894588338463</v>
      </c>
      <c r="D152" s="97">
        <v>8.2072325700401638</v>
      </c>
      <c r="E152" s="97">
        <v>9.6990938116076926</v>
      </c>
      <c r="F152" s="97">
        <v>8.4499585845243832</v>
      </c>
      <c r="G152" s="97">
        <v>10.516675775874306</v>
      </c>
      <c r="H152" s="97">
        <v>11.540957243829592</v>
      </c>
      <c r="I152" s="97">
        <v>10.137064958817191</v>
      </c>
      <c r="J152" s="97">
        <v>12.386037242333041</v>
      </c>
      <c r="K152" s="97">
        <v>10.325287087033301</v>
      </c>
      <c r="L152" s="97">
        <v>9.366091328744961</v>
      </c>
      <c r="M152" s="97">
        <v>8.846400594056119</v>
      </c>
      <c r="N152" s="97">
        <v>9.2594178504927562</v>
      </c>
      <c r="O152" s="97">
        <v>8.998017759991038</v>
      </c>
      <c r="P152" s="97">
        <v>9.2886601207519188</v>
      </c>
      <c r="Q152" s="97">
        <v>12.118433255405494</v>
      </c>
      <c r="R152" s="97">
        <v>12.02964546470424</v>
      </c>
      <c r="S152" s="97">
        <v>11.472221919149989</v>
      </c>
      <c r="T152" s="97">
        <v>11.955072461497915</v>
      </c>
      <c r="U152" s="97">
        <v>11.642004858076772</v>
      </c>
      <c r="V152" s="97">
        <v>7.9390202799808183</v>
      </c>
      <c r="W152" s="97">
        <v>8.1397365603613316</v>
      </c>
      <c r="X152" s="97">
        <v>8.5368826519316041</v>
      </c>
      <c r="Y152" s="97">
        <v>9.5382125100418023</v>
      </c>
      <c r="DA152" s="175" t="s">
        <v>563</v>
      </c>
    </row>
    <row r="153" spans="1:105" ht="11.45" customHeight="1" x14ac:dyDescent="0.25">
      <c r="A153" s="111" t="s">
        <v>112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12.386037242333042</v>
      </c>
      <c r="K153" s="97">
        <v>10.325287087033301</v>
      </c>
      <c r="L153" s="97">
        <v>9.3660913287449645</v>
      </c>
      <c r="M153" s="97">
        <v>8.846400594056119</v>
      </c>
      <c r="N153" s="97">
        <v>9.2594178504927562</v>
      </c>
      <c r="O153" s="97">
        <v>8.998017759991038</v>
      </c>
      <c r="P153" s="97">
        <v>9.2886601207519188</v>
      </c>
      <c r="Q153" s="97">
        <v>12.118433255405494</v>
      </c>
      <c r="R153" s="97">
        <v>12.029645464704238</v>
      </c>
      <c r="S153" s="97">
        <v>11.472221919149987</v>
      </c>
      <c r="T153" s="97">
        <v>11.955072461497913</v>
      </c>
      <c r="U153" s="97">
        <v>11.642004858076774</v>
      </c>
      <c r="V153" s="97">
        <v>7.9390202799808183</v>
      </c>
      <c r="W153" s="97">
        <v>8.1397365603613334</v>
      </c>
      <c r="X153" s="97">
        <v>8.5368826519316023</v>
      </c>
      <c r="Y153" s="97">
        <v>9.5382125100418023</v>
      </c>
      <c r="DA153" s="175" t="s">
        <v>564</v>
      </c>
    </row>
    <row r="154" spans="1:105" ht="11.45" customHeight="1" x14ac:dyDescent="0.25">
      <c r="A154" s="111" t="s">
        <v>113</v>
      </c>
      <c r="B154" s="97">
        <v>0</v>
      </c>
      <c r="C154" s="97">
        <v>0</v>
      </c>
      <c r="D154" s="97">
        <v>0</v>
      </c>
      <c r="E154" s="97">
        <v>0</v>
      </c>
      <c r="F154" s="97">
        <v>0</v>
      </c>
      <c r="G154" s="97">
        <v>0</v>
      </c>
      <c r="H154" s="97">
        <v>0</v>
      </c>
      <c r="I154" s="97">
        <v>0</v>
      </c>
      <c r="J154" s="97">
        <v>0</v>
      </c>
      <c r="K154" s="97">
        <v>0</v>
      </c>
      <c r="L154" s="97">
        <v>0</v>
      </c>
      <c r="M154" s="97">
        <v>0</v>
      </c>
      <c r="N154" s="97">
        <v>0</v>
      </c>
      <c r="O154" s="97">
        <v>0</v>
      </c>
      <c r="P154" s="97">
        <v>0</v>
      </c>
      <c r="Q154" s="97">
        <v>0</v>
      </c>
      <c r="R154" s="97">
        <v>0</v>
      </c>
      <c r="S154" s="97">
        <v>0</v>
      </c>
      <c r="T154" s="97">
        <v>0</v>
      </c>
      <c r="U154" s="97">
        <v>0</v>
      </c>
      <c r="V154" s="97">
        <v>0</v>
      </c>
      <c r="W154" s="97">
        <v>0</v>
      </c>
      <c r="X154" s="97">
        <v>0</v>
      </c>
      <c r="Y154" s="97">
        <v>0</v>
      </c>
      <c r="DA154" s="175" t="s">
        <v>565</v>
      </c>
    </row>
    <row r="155" spans="1:105" ht="11.45" customHeight="1" x14ac:dyDescent="0.25">
      <c r="A155" s="111" t="s">
        <v>115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0</v>
      </c>
      <c r="M155" s="97">
        <v>0</v>
      </c>
      <c r="N155" s="97">
        <v>0</v>
      </c>
      <c r="O155" s="97">
        <v>8.998017759991038</v>
      </c>
      <c r="P155" s="97">
        <v>9.2886601207519188</v>
      </c>
      <c r="Q155" s="97">
        <v>12.118433255405494</v>
      </c>
      <c r="R155" s="97">
        <v>12.029645464704238</v>
      </c>
      <c r="S155" s="97">
        <v>11.472221919149987</v>
      </c>
      <c r="T155" s="97">
        <v>11.955072461497913</v>
      </c>
      <c r="U155" s="97">
        <v>11.642004858076774</v>
      </c>
      <c r="V155" s="97">
        <v>7.9390202799808192</v>
      </c>
      <c r="W155" s="97">
        <v>8.1397365603613334</v>
      </c>
      <c r="X155" s="97">
        <v>8.5368826519316023</v>
      </c>
      <c r="Y155" s="97">
        <v>9.5382125100418023</v>
      </c>
      <c r="DA155" s="175" t="s">
        <v>566</v>
      </c>
    </row>
    <row r="156" spans="1:105" ht="11.45" customHeight="1" x14ac:dyDescent="0.25">
      <c r="A156" s="27" t="s">
        <v>101</v>
      </c>
      <c r="B156" s="32">
        <f t="shared" ref="B156:K156" si="207">IF(B19=0,0,B19/B46)</f>
        <v>3.887425087716001</v>
      </c>
      <c r="C156" s="32">
        <f t="shared" si="207"/>
        <v>3.9892263156206189</v>
      </c>
      <c r="D156" s="32">
        <f t="shared" si="207"/>
        <v>4.0411624912842523</v>
      </c>
      <c r="E156" s="32">
        <f t="shared" si="207"/>
        <v>4.2645510785281333</v>
      </c>
      <c r="F156" s="32">
        <f t="shared" si="207"/>
        <v>4.422479116515075</v>
      </c>
      <c r="G156" s="32">
        <f t="shared" si="207"/>
        <v>4.8555911763999475</v>
      </c>
      <c r="H156" s="32">
        <f t="shared" si="207"/>
        <v>4.566294229912276</v>
      </c>
      <c r="I156" s="32">
        <f t="shared" si="207"/>
        <v>4.5962331244875587</v>
      </c>
      <c r="J156" s="32">
        <f t="shared" si="207"/>
        <v>3.9449700764785507</v>
      </c>
      <c r="K156" s="32">
        <f t="shared" si="207"/>
        <v>3.3538022499674853</v>
      </c>
      <c r="L156" s="32">
        <f t="shared" ref="L156" si="208">IF(L19=0,0,L19/L46)</f>
        <v>2.3756060100776621</v>
      </c>
      <c r="M156" s="32">
        <f t="shared" ref="M156:V156" si="209">IF(M19=0,0,M19/M46)</f>
        <v>2.2580325809375652</v>
      </c>
      <c r="N156" s="32">
        <f t="shared" si="209"/>
        <v>2.3335707680279794</v>
      </c>
      <c r="O156" s="32">
        <f t="shared" si="209"/>
        <v>2.2479116466929692</v>
      </c>
      <c r="P156" s="32">
        <f t="shared" si="209"/>
        <v>2.0800859224291526</v>
      </c>
      <c r="Q156" s="32">
        <f t="shared" si="209"/>
        <v>1.9949874415716469</v>
      </c>
      <c r="R156" s="32">
        <f t="shared" si="209"/>
        <v>2.0789345178171881</v>
      </c>
      <c r="S156" s="32">
        <f t="shared" si="209"/>
        <v>2.0906340242276937</v>
      </c>
      <c r="T156" s="32">
        <f t="shared" si="209"/>
        <v>2.0064557521263446</v>
      </c>
      <c r="U156" s="32">
        <f t="shared" si="209"/>
        <v>2.0889190992030877</v>
      </c>
      <c r="V156" s="32">
        <f t="shared" si="209"/>
        <v>1.9783796261548385</v>
      </c>
      <c r="W156" s="32">
        <f t="shared" ref="W156:Y156" si="210">IF(W19=0,0,W19/W46)</f>
        <v>2.2422455645880364</v>
      </c>
      <c r="X156" s="32">
        <f t="shared" si="210"/>
        <v>2.2827975379320464</v>
      </c>
      <c r="Y156" s="32">
        <f t="shared" si="210"/>
        <v>2.2757317728942632</v>
      </c>
      <c r="DA156" s="173" t="s">
        <v>567</v>
      </c>
    </row>
    <row r="157" spans="1:105" ht="11.45" customHeight="1" x14ac:dyDescent="0.25">
      <c r="A157" s="136" t="s">
        <v>153</v>
      </c>
      <c r="B157" s="141">
        <f t="shared" ref="B157:K157" si="211">IF(B20=0,0,B20/B47)</f>
        <v>0.31867928704110537</v>
      </c>
      <c r="C157" s="141">
        <f t="shared" si="211"/>
        <v>0.31887066555350468</v>
      </c>
      <c r="D157" s="141">
        <f t="shared" si="211"/>
        <v>0.31939210933176143</v>
      </c>
      <c r="E157" s="141">
        <f t="shared" si="211"/>
        <v>0.31988680818959436</v>
      </c>
      <c r="F157" s="141">
        <f t="shared" si="211"/>
        <v>0.32034956350973337</v>
      </c>
      <c r="G157" s="141">
        <f t="shared" si="211"/>
        <v>0.3207868811203341</v>
      </c>
      <c r="H157" s="141">
        <f t="shared" si="211"/>
        <v>0.32183010843404269</v>
      </c>
      <c r="I157" s="141">
        <f t="shared" si="211"/>
        <v>0.32286250880454903</v>
      </c>
      <c r="J157" s="141">
        <f t="shared" si="211"/>
        <v>0.32597831114778264</v>
      </c>
      <c r="K157" s="141">
        <f t="shared" si="211"/>
        <v>0.32728176595499064</v>
      </c>
      <c r="L157" s="141">
        <f t="shared" ref="L157" si="212">IF(L20=0,0,L20/L47)</f>
        <v>0.3287723496133107</v>
      </c>
      <c r="M157" s="141">
        <f t="shared" ref="M157:V157" si="213">IF(M20=0,0,M20/M47)</f>
        <v>0.32994382404297046</v>
      </c>
      <c r="N157" s="141">
        <f t="shared" si="213"/>
        <v>0.33075551900562339</v>
      </c>
      <c r="O157" s="141">
        <f t="shared" si="213"/>
        <v>0.33295373991679222</v>
      </c>
      <c r="P157" s="141">
        <f t="shared" si="213"/>
        <v>0.33499647051544373</v>
      </c>
      <c r="Q157" s="141">
        <f t="shared" si="213"/>
        <v>0.3370471532145477</v>
      </c>
      <c r="R157" s="141">
        <f t="shared" si="213"/>
        <v>0.33626776639400768</v>
      </c>
      <c r="S157" s="141">
        <f t="shared" si="213"/>
        <v>0.33616663341444375</v>
      </c>
      <c r="T157" s="141">
        <f t="shared" si="213"/>
        <v>0.3362736741728603</v>
      </c>
      <c r="U157" s="141">
        <f t="shared" si="213"/>
        <v>0.33724611015076028</v>
      </c>
      <c r="V157" s="141">
        <f t="shared" si="213"/>
        <v>0.33803330664913184</v>
      </c>
      <c r="W157" s="141">
        <f t="shared" ref="W157:Y157" si="214">IF(W20=0,0,W20/W47)</f>
        <v>0.33856991002343301</v>
      </c>
      <c r="X157" s="141">
        <f t="shared" si="214"/>
        <v>0.3390699033602928</v>
      </c>
      <c r="Y157" s="141">
        <f t="shared" si="214"/>
        <v>0.33943818993171465</v>
      </c>
      <c r="DA157" s="174" t="s">
        <v>568</v>
      </c>
    </row>
    <row r="158" spans="1:105" ht="11.45" customHeight="1" x14ac:dyDescent="0.25">
      <c r="A158" s="111" t="s">
        <v>110</v>
      </c>
      <c r="B158" s="96">
        <v>0.26330788705653424</v>
      </c>
      <c r="C158" s="96">
        <v>0.26298471067356038</v>
      </c>
      <c r="D158" s="96">
        <v>0.26317212851812916</v>
      </c>
      <c r="E158" s="96">
        <v>0.26332135702474774</v>
      </c>
      <c r="F158" s="96">
        <v>0.2634533138778013</v>
      </c>
      <c r="G158" s="96">
        <v>0.26363469204310258</v>
      </c>
      <c r="H158" s="96">
        <v>0.26415695801927497</v>
      </c>
      <c r="I158" s="96">
        <v>0.2648161541851316</v>
      </c>
      <c r="J158" s="96">
        <v>0.26528927269058444</v>
      </c>
      <c r="K158" s="96">
        <v>0.26602436922686312</v>
      </c>
      <c r="L158" s="96">
        <v>0.26681084524674126</v>
      </c>
      <c r="M158" s="96">
        <v>0.26693970135499712</v>
      </c>
      <c r="N158" s="96">
        <v>0.26709555095923759</v>
      </c>
      <c r="O158" s="96">
        <v>0.26776309756373079</v>
      </c>
      <c r="P158" s="96">
        <v>0.26837348420166712</v>
      </c>
      <c r="Q158" s="96">
        <v>0.26905704918032797</v>
      </c>
      <c r="R158" s="96">
        <v>0.26816378911851324</v>
      </c>
      <c r="S158" s="96">
        <v>0.26826722530192953</v>
      </c>
      <c r="T158" s="96">
        <v>0.26832376382220663</v>
      </c>
      <c r="U158" s="96">
        <v>0.26898600790854649</v>
      </c>
      <c r="V158" s="96">
        <v>0.26966577319513718</v>
      </c>
      <c r="W158" s="96">
        <v>0.26928713916201158</v>
      </c>
      <c r="X158" s="96">
        <v>0.26920893556473513</v>
      </c>
      <c r="Y158" s="96">
        <v>0.26889213742999768</v>
      </c>
      <c r="DA158" s="171" t="s">
        <v>569</v>
      </c>
    </row>
    <row r="159" spans="1:105" ht="11.45" customHeight="1" x14ac:dyDescent="0.25">
      <c r="A159" s="111" t="s">
        <v>111</v>
      </c>
      <c r="B159" s="96">
        <v>0.34839123774247316</v>
      </c>
      <c r="C159" s="96">
        <v>0.34793180852430178</v>
      </c>
      <c r="D159" s="96">
        <v>0.34748755272794735</v>
      </c>
      <c r="E159" s="96">
        <v>0.34699336393406349</v>
      </c>
      <c r="F159" s="96">
        <v>0.34647705209874252</v>
      </c>
      <c r="G159" s="96">
        <v>0.34602628827239784</v>
      </c>
      <c r="H159" s="96">
        <v>0.34602248049200263</v>
      </c>
      <c r="I159" s="96">
        <v>0.34619633014612589</v>
      </c>
      <c r="J159" s="96">
        <v>0.3461253436652133</v>
      </c>
      <c r="K159" s="96">
        <v>0.34639439669865107</v>
      </c>
      <c r="L159" s="96">
        <v>0.34672778087666878</v>
      </c>
      <c r="M159" s="96">
        <v>0.34620557480480918</v>
      </c>
      <c r="N159" s="96">
        <v>0.34571901410142791</v>
      </c>
      <c r="O159" s="96">
        <v>0.34589402537932368</v>
      </c>
      <c r="P159" s="96">
        <v>0.34599328238394994</v>
      </c>
      <c r="Q159" s="96">
        <v>0.34618493322357663</v>
      </c>
      <c r="R159" s="96">
        <v>0.34572293864885245</v>
      </c>
      <c r="S159" s="96">
        <v>0.34516179481047621</v>
      </c>
      <c r="T159" s="96">
        <v>0.34454129156309676</v>
      </c>
      <c r="U159" s="96">
        <v>0.34469808336165936</v>
      </c>
      <c r="V159" s="96">
        <v>0.34487526403372049</v>
      </c>
      <c r="W159" s="96">
        <v>0.34507707272703508</v>
      </c>
      <c r="X159" s="96">
        <v>0.34532854130815821</v>
      </c>
      <c r="Y159" s="96">
        <v>0.34560926898293759</v>
      </c>
      <c r="DA159" s="171" t="s">
        <v>570</v>
      </c>
    </row>
    <row r="160" spans="1:105" ht="11.45" customHeight="1" x14ac:dyDescent="0.25">
      <c r="A160" s="111" t="s">
        <v>112</v>
      </c>
      <c r="B160" s="96">
        <v>0</v>
      </c>
      <c r="C160" s="96">
        <v>0</v>
      </c>
      <c r="D160" s="96">
        <v>0</v>
      </c>
      <c r="E160" s="96">
        <v>0</v>
      </c>
      <c r="F160" s="96">
        <v>0</v>
      </c>
      <c r="G160" s="96">
        <v>0</v>
      </c>
      <c r="H160" s="96">
        <v>0</v>
      </c>
      <c r="I160" s="96">
        <v>0</v>
      </c>
      <c r="J160" s="96">
        <v>0.25314212499050598</v>
      </c>
      <c r="K160" s="96">
        <v>0.25333889953437022</v>
      </c>
      <c r="L160" s="96">
        <v>0.25358272328436765</v>
      </c>
      <c r="M160" s="96">
        <v>0.25320080281210849</v>
      </c>
      <c r="N160" s="96">
        <v>0.25284495192558704</v>
      </c>
      <c r="O160" s="96">
        <v>0.25297294812001392</v>
      </c>
      <c r="P160" s="96">
        <v>0.25304554069241908</v>
      </c>
      <c r="Q160" s="96">
        <v>0.25318570639160071</v>
      </c>
      <c r="R160" s="96">
        <v>0.25284782218138557</v>
      </c>
      <c r="S160" s="96">
        <v>0.25243742419617105</v>
      </c>
      <c r="T160" s="96">
        <v>0.25198361313182704</v>
      </c>
      <c r="U160" s="96">
        <v>0.25209828433344711</v>
      </c>
      <c r="V160" s="96">
        <v>0.25222786713532414</v>
      </c>
      <c r="W160" s="96">
        <v>0.2523754618792578</v>
      </c>
      <c r="X160" s="96">
        <v>0.25255937586348026</v>
      </c>
      <c r="Y160" s="96">
        <v>0.25276468876944896</v>
      </c>
      <c r="DA160" s="171" t="s">
        <v>571</v>
      </c>
    </row>
    <row r="161" spans="1:105" ht="11.45" customHeight="1" x14ac:dyDescent="0.25">
      <c r="A161" s="111" t="s">
        <v>113</v>
      </c>
      <c r="B161" s="96">
        <v>0</v>
      </c>
      <c r="C161" s="96">
        <v>0</v>
      </c>
      <c r="D161" s="96">
        <v>0</v>
      </c>
      <c r="E161" s="96">
        <v>0</v>
      </c>
      <c r="F161" s="96">
        <v>0</v>
      </c>
      <c r="G161" s="96">
        <v>0</v>
      </c>
      <c r="H161" s="96">
        <v>0</v>
      </c>
      <c r="I161" s="96">
        <v>0</v>
      </c>
      <c r="J161" s="96">
        <v>0</v>
      </c>
      <c r="K161" s="96">
        <v>0</v>
      </c>
      <c r="L161" s="96">
        <v>0</v>
      </c>
      <c r="M161" s="96">
        <v>0</v>
      </c>
      <c r="N161" s="96">
        <v>0</v>
      </c>
      <c r="O161" s="96">
        <v>0</v>
      </c>
      <c r="P161" s="96">
        <v>0</v>
      </c>
      <c r="Q161" s="96">
        <v>0</v>
      </c>
      <c r="R161" s="96">
        <v>0</v>
      </c>
      <c r="S161" s="96">
        <v>0</v>
      </c>
      <c r="T161" s="96">
        <v>0</v>
      </c>
      <c r="U161" s="96">
        <v>0</v>
      </c>
      <c r="V161" s="96">
        <v>0</v>
      </c>
      <c r="W161" s="96">
        <v>0</v>
      </c>
      <c r="X161" s="96">
        <v>0</v>
      </c>
      <c r="Y161" s="96">
        <v>0</v>
      </c>
      <c r="DA161" s="171" t="s">
        <v>572</v>
      </c>
    </row>
    <row r="162" spans="1:105" ht="11.45" customHeight="1" x14ac:dyDescent="0.25">
      <c r="A162" s="111" t="s">
        <v>115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0.3414290939005778</v>
      </c>
      <c r="M162" s="96">
        <v>0.34140458938208273</v>
      </c>
      <c r="N162" s="96">
        <v>0.34138172582222126</v>
      </c>
      <c r="O162" s="96">
        <v>0.34137349868748562</v>
      </c>
      <c r="P162" s="96">
        <v>0.34136883463594064</v>
      </c>
      <c r="Q162" s="96">
        <v>0.34135983299564082</v>
      </c>
      <c r="R162" s="96">
        <v>0.34138154128468928</v>
      </c>
      <c r="S162" s="96">
        <v>0.34140794932844004</v>
      </c>
      <c r="T162" s="96">
        <v>0.34143720330723426</v>
      </c>
      <c r="U162" s="96">
        <v>0.34144460071426119</v>
      </c>
      <c r="V162" s="96">
        <v>0.34156995460124884</v>
      </c>
      <c r="W162" s="96">
        <v>0.34146246813369585</v>
      </c>
      <c r="X162" s="96">
        <v>0.34147431328588618</v>
      </c>
      <c r="Y162" s="96">
        <v>0.34148752695529144</v>
      </c>
      <c r="DA162" s="171" t="s">
        <v>573</v>
      </c>
    </row>
    <row r="163" spans="1:105" ht="11.45" customHeight="1" x14ac:dyDescent="0.25">
      <c r="A163" s="109" t="s">
        <v>154</v>
      </c>
      <c r="B163" s="130">
        <f t="shared" ref="B163:K163" si="215">IF(B26=0,0,B26/B53)</f>
        <v>14.247222371041557</v>
      </c>
      <c r="C163" s="130">
        <f t="shared" si="215"/>
        <v>14.241169393283624</v>
      </c>
      <c r="D163" s="130">
        <f t="shared" si="215"/>
        <v>14.287281099063771</v>
      </c>
      <c r="E163" s="130">
        <f t="shared" si="215"/>
        <v>14.244877426378913</v>
      </c>
      <c r="F163" s="130">
        <f t="shared" si="215"/>
        <v>14.123164378456364</v>
      </c>
      <c r="G163" s="130">
        <f t="shared" si="215"/>
        <v>14.140494804787652</v>
      </c>
      <c r="H163" s="130">
        <f t="shared" si="215"/>
        <v>14.192198701616583</v>
      </c>
      <c r="I163" s="130">
        <f t="shared" si="215"/>
        <v>14.756896204520483</v>
      </c>
      <c r="J163" s="130">
        <f t="shared" si="215"/>
        <v>14.45128925133726</v>
      </c>
      <c r="K163" s="130">
        <f t="shared" si="215"/>
        <v>14.313968815123452</v>
      </c>
      <c r="L163" s="130">
        <f t="shared" ref="L163" si="216">IF(L26=0,0,L26/L53)</f>
        <v>14.68694278505431</v>
      </c>
      <c r="M163" s="130">
        <f t="shared" ref="M163:V163" si="217">IF(M26=0,0,M26/M53)</f>
        <v>14.437235504660356</v>
      </c>
      <c r="N163" s="130">
        <f t="shared" si="217"/>
        <v>14.444178247549495</v>
      </c>
      <c r="O163" s="130">
        <f t="shared" si="217"/>
        <v>14.158636452979122</v>
      </c>
      <c r="P163" s="130">
        <f t="shared" si="217"/>
        <v>14.142839720931166</v>
      </c>
      <c r="Q163" s="130">
        <f t="shared" si="217"/>
        <v>14.097414283412512</v>
      </c>
      <c r="R163" s="130">
        <f t="shared" si="217"/>
        <v>14.141758108999127</v>
      </c>
      <c r="S163" s="130">
        <f t="shared" si="217"/>
        <v>13.970478759177556</v>
      </c>
      <c r="T163" s="130">
        <f t="shared" si="217"/>
        <v>13.832106251074789</v>
      </c>
      <c r="U163" s="130">
        <f t="shared" si="217"/>
        <v>13.859561036399036</v>
      </c>
      <c r="V163" s="130">
        <f t="shared" si="217"/>
        <v>14.288201695371606</v>
      </c>
      <c r="W163" s="130">
        <f t="shared" ref="W163:Y163" si="218">IF(W26=0,0,W26/W53)</f>
        <v>14.601044998185161</v>
      </c>
      <c r="X163" s="130">
        <f t="shared" si="218"/>
        <v>14.583383301833765</v>
      </c>
      <c r="Y163" s="130">
        <f t="shared" si="218"/>
        <v>14.503782004428182</v>
      </c>
      <c r="DA163" s="176" t="s">
        <v>574</v>
      </c>
    </row>
    <row r="164" spans="1:105" ht="11.45" customHeight="1" x14ac:dyDescent="0.25">
      <c r="A164" s="128" t="s">
        <v>27</v>
      </c>
      <c r="B164" s="97">
        <v>14.237468671679197</v>
      </c>
      <c r="C164" s="97">
        <v>14.237468671679197</v>
      </c>
      <c r="D164" s="97">
        <v>14.237468671679197</v>
      </c>
      <c r="E164" s="97">
        <v>14.237468671679197</v>
      </c>
      <c r="F164" s="97">
        <v>14.237468671679199</v>
      </c>
      <c r="G164" s="97">
        <v>14.237468671679197</v>
      </c>
      <c r="H164" s="97">
        <v>14.237468671679197</v>
      </c>
      <c r="I164" s="97">
        <v>15.042111879321181</v>
      </c>
      <c r="J164" s="97">
        <v>14.640151515151516</v>
      </c>
      <c r="K164" s="97">
        <v>14.439142461964039</v>
      </c>
      <c r="L164" s="97">
        <v>14.841717791411043</v>
      </c>
      <c r="M164" s="97">
        <v>14.531862745098039</v>
      </c>
      <c r="N164" s="97">
        <v>14.566666666666666</v>
      </c>
      <c r="O164" s="97">
        <v>14.178004535147393</v>
      </c>
      <c r="P164" s="97">
        <v>14.144522144522144</v>
      </c>
      <c r="Q164" s="97">
        <v>14.131147540983607</v>
      </c>
      <c r="R164" s="97">
        <v>14.220779220779221</v>
      </c>
      <c r="S164" s="97">
        <v>13.952626158599383</v>
      </c>
      <c r="T164" s="97">
        <v>13.713467048710601</v>
      </c>
      <c r="U164" s="97">
        <v>13.792390405293631</v>
      </c>
      <c r="V164" s="97">
        <v>14.400833333333333</v>
      </c>
      <c r="W164" s="97">
        <v>14.781791907514451</v>
      </c>
      <c r="X164" s="97">
        <v>14.761073825503356</v>
      </c>
      <c r="Y164" s="97">
        <v>14.708635464733026</v>
      </c>
      <c r="DA164" s="175" t="s">
        <v>575</v>
      </c>
    </row>
    <row r="165" spans="1:105" ht="11.45" customHeight="1" x14ac:dyDescent="0.25">
      <c r="A165" s="138" t="s">
        <v>116</v>
      </c>
      <c r="B165" s="98">
        <v>14.257421972058395</v>
      </c>
      <c r="C165" s="98">
        <v>14.245058387803748</v>
      </c>
      <c r="D165" s="98">
        <v>14.338603689647607</v>
      </c>
      <c r="E165" s="98">
        <v>14.254152494203543</v>
      </c>
      <c r="F165" s="98">
        <v>13.993137904941619</v>
      </c>
      <c r="G165" s="98">
        <v>13.999403714336369</v>
      </c>
      <c r="H165" s="98">
        <v>14.088849058887034</v>
      </c>
      <c r="I165" s="98">
        <v>14.115262081857326</v>
      </c>
      <c r="J165" s="98">
        <v>13.915448013039788</v>
      </c>
      <c r="K165" s="98">
        <v>13.731801555818867</v>
      </c>
      <c r="L165" s="98">
        <v>14.178700182725073</v>
      </c>
      <c r="M165" s="98">
        <v>14.133203670456812</v>
      </c>
      <c r="N165" s="98">
        <v>14.086426180736336</v>
      </c>
      <c r="O165" s="98">
        <v>14.105166269382362</v>
      </c>
      <c r="P165" s="98">
        <v>14.138211571635042</v>
      </c>
      <c r="Q165" s="98">
        <v>14.005556317739059</v>
      </c>
      <c r="R165" s="98">
        <v>13.933281647068958</v>
      </c>
      <c r="S165" s="98">
        <v>14.012038113892798</v>
      </c>
      <c r="T165" s="98">
        <v>14.146454243557947</v>
      </c>
      <c r="U165" s="98">
        <v>14.062037656310165</v>
      </c>
      <c r="V165" s="98">
        <v>13.861910981613583</v>
      </c>
      <c r="W165" s="98">
        <v>14.046303126595927</v>
      </c>
      <c r="X165" s="98">
        <v>13.993433342768185</v>
      </c>
      <c r="Y165" s="98">
        <v>13.837303725369457</v>
      </c>
      <c r="DA165" s="178" t="s">
        <v>576</v>
      </c>
    </row>
    <row r="166" spans="1:105" ht="11.45" customHeight="1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DA166" s="171"/>
    </row>
    <row r="167" spans="1:105" ht="11.45" customHeight="1" x14ac:dyDescent="0.25">
      <c r="A167" s="53" t="s">
        <v>136</v>
      </c>
      <c r="B167" s="54">
        <f t="shared" ref="B167:V180" si="219">IF(B30=0,0,B30*1000000/B57)</f>
        <v>7256.5302408445068</v>
      </c>
      <c r="C167" s="54">
        <f t="shared" si="219"/>
        <v>8648.0260735880693</v>
      </c>
      <c r="D167" s="54">
        <f t="shared" si="219"/>
        <v>9550.7392499575108</v>
      </c>
      <c r="E167" s="54">
        <f t="shared" si="219"/>
        <v>9885.0916728720986</v>
      </c>
      <c r="F167" s="54">
        <f t="shared" si="219"/>
        <v>10078.051865684503</v>
      </c>
      <c r="G167" s="54">
        <f t="shared" si="219"/>
        <v>9755.8179463188062</v>
      </c>
      <c r="H167" s="54">
        <f t="shared" si="219"/>
        <v>10278.903424044027</v>
      </c>
      <c r="I167" s="54">
        <f t="shared" si="219"/>
        <v>10197.486747147415</v>
      </c>
      <c r="J167" s="54">
        <f t="shared" si="219"/>
        <v>9294.8755819963571</v>
      </c>
      <c r="K167" s="54">
        <f t="shared" si="219"/>
        <v>9203.78291538743</v>
      </c>
      <c r="L167" s="54">
        <f t="shared" si="219"/>
        <v>9138.8193372550377</v>
      </c>
      <c r="M167" s="54">
        <f>IF(M30=0,0,M30*1000000/M57)</f>
        <v>9502.3255015614759</v>
      </c>
      <c r="N167" s="54">
        <f t="shared" ref="N167:V167" si="220">IF(N30=0,0,N30*1000000/N57)</f>
        <v>9630.1696565143084</v>
      </c>
      <c r="O167" s="54">
        <f t="shared" si="220"/>
        <v>9646.6734435958879</v>
      </c>
      <c r="P167" s="54">
        <f t="shared" si="220"/>
        <v>9674.9668780204775</v>
      </c>
      <c r="Q167" s="54">
        <f t="shared" si="220"/>
        <v>9664.2129511993626</v>
      </c>
      <c r="R167" s="54">
        <f t="shared" si="220"/>
        <v>9582.5769047181839</v>
      </c>
      <c r="S167" s="54">
        <f t="shared" si="220"/>
        <v>9039.8079334458707</v>
      </c>
      <c r="T167" s="54">
        <f t="shared" si="220"/>
        <v>8968.6773707313369</v>
      </c>
      <c r="U167" s="54">
        <f t="shared" si="220"/>
        <v>8996.8939075350627</v>
      </c>
      <c r="V167" s="54">
        <f t="shared" si="220"/>
        <v>8007.6044175829602</v>
      </c>
      <c r="W167" s="54">
        <f t="shared" ref="W167:Y191" si="221">IF(W30=0,0,W30*1000000/W57)</f>
        <v>8364.2377072590389</v>
      </c>
      <c r="X167" s="54">
        <f t="shared" si="221"/>
        <v>8866.566892299983</v>
      </c>
      <c r="Y167" s="54">
        <f t="shared" si="221"/>
        <v>9316.7296543452067</v>
      </c>
      <c r="DA167" s="172" t="s">
        <v>577</v>
      </c>
    </row>
    <row r="168" spans="1:105" ht="11.45" customHeight="1" x14ac:dyDescent="0.25">
      <c r="A168" s="27" t="s">
        <v>33</v>
      </c>
      <c r="B168" s="28">
        <f t="shared" si="219"/>
        <v>6463.4161660772734</v>
      </c>
      <c r="C168" s="28">
        <f t="shared" si="219"/>
        <v>7996.2625088825644</v>
      </c>
      <c r="D168" s="28">
        <f t="shared" si="219"/>
        <v>8925.5431240240196</v>
      </c>
      <c r="E168" s="28">
        <f t="shared" si="219"/>
        <v>9280.8111366073845</v>
      </c>
      <c r="F168" s="28">
        <f t="shared" si="219"/>
        <v>9448.6273361005151</v>
      </c>
      <c r="G168" s="28">
        <f t="shared" si="219"/>
        <v>9037.2545850883762</v>
      </c>
      <c r="H168" s="28">
        <f t="shared" si="219"/>
        <v>9599.9631018572727</v>
      </c>
      <c r="I168" s="28">
        <f t="shared" si="219"/>
        <v>9555.1645792636136</v>
      </c>
      <c r="J168" s="28">
        <f t="shared" si="219"/>
        <v>8603.2003946891527</v>
      </c>
      <c r="K168" s="28">
        <f t="shared" si="219"/>
        <v>8624.1741482913676</v>
      </c>
      <c r="L168" s="28">
        <f t="shared" si="219"/>
        <v>8703.6139312098494</v>
      </c>
      <c r="M168" s="28">
        <f t="shared" ref="M168:M192" si="222">IF(M31=0,0,M31*1000000/M58)</f>
        <v>9069.4032290967734</v>
      </c>
      <c r="N168" s="28">
        <f t="shared" si="219"/>
        <v>9166.4762650915291</v>
      </c>
      <c r="O168" s="28">
        <f t="shared" si="219"/>
        <v>9166.6868146279594</v>
      </c>
      <c r="P168" s="28">
        <f t="shared" si="219"/>
        <v>9178.9165710391553</v>
      </c>
      <c r="Q168" s="28">
        <f t="shared" si="219"/>
        <v>9147.9749241039153</v>
      </c>
      <c r="R168" s="28">
        <f t="shared" si="219"/>
        <v>9031.7045137672558</v>
      </c>
      <c r="S168" s="28">
        <f t="shared" si="219"/>
        <v>8409.4291791280866</v>
      </c>
      <c r="T168" s="28">
        <f t="shared" si="219"/>
        <v>8311.4771215791698</v>
      </c>
      <c r="U168" s="28">
        <f t="shared" si="219"/>
        <v>8334.0428926007153</v>
      </c>
      <c r="V168" s="28">
        <f t="shared" si="219"/>
        <v>7250.8298477790104</v>
      </c>
      <c r="W168" s="28">
        <f t="shared" si="221"/>
        <v>7616.0182046549216</v>
      </c>
      <c r="X168" s="28">
        <f t="shared" si="221"/>
        <v>8172.4395429459391</v>
      </c>
      <c r="Y168" s="28">
        <f t="shared" si="221"/>
        <v>8683.5708037215791</v>
      </c>
      <c r="DA168" s="173" t="s">
        <v>578</v>
      </c>
    </row>
    <row r="169" spans="1:105" ht="11.45" customHeight="1" x14ac:dyDescent="0.25">
      <c r="A169" s="136" t="s">
        <v>173</v>
      </c>
      <c r="B169" s="137">
        <f t="shared" si="219"/>
        <v>5004.8923846013204</v>
      </c>
      <c r="C169" s="137">
        <f t="shared" si="219"/>
        <v>5007.3812128378031</v>
      </c>
      <c r="D169" s="137">
        <f t="shared" si="219"/>
        <v>5009.8837232022788</v>
      </c>
      <c r="E169" s="137">
        <f t="shared" si="219"/>
        <v>5005.6114361931795</v>
      </c>
      <c r="F169" s="137">
        <f t="shared" si="219"/>
        <v>4999.0730420930258</v>
      </c>
      <c r="G169" s="137">
        <f t="shared" si="219"/>
        <v>4992.7015634149366</v>
      </c>
      <c r="H169" s="137">
        <f t="shared" si="219"/>
        <v>4944.0270598079351</v>
      </c>
      <c r="I169" s="137">
        <f t="shared" si="219"/>
        <v>4902.9585039941221</v>
      </c>
      <c r="J169" s="137">
        <f t="shared" si="219"/>
        <v>4786.5008979910062</v>
      </c>
      <c r="K169" s="137">
        <f t="shared" si="219"/>
        <v>4699.5874484310543</v>
      </c>
      <c r="L169" s="137">
        <f t="shared" si="219"/>
        <v>4662.9721384039176</v>
      </c>
      <c r="M169" s="137">
        <f t="shared" si="222"/>
        <v>4681.7344197508928</v>
      </c>
      <c r="N169" s="137">
        <f t="shared" si="219"/>
        <v>4646.621267679413</v>
      </c>
      <c r="O169" s="137">
        <f t="shared" si="219"/>
        <v>4684.0251126724525</v>
      </c>
      <c r="P169" s="137">
        <f t="shared" si="219"/>
        <v>4662.6544187519794</v>
      </c>
      <c r="Q169" s="137">
        <f t="shared" si="219"/>
        <v>4686.9739336912799</v>
      </c>
      <c r="R169" s="137">
        <f t="shared" si="219"/>
        <v>4795.9505845487574</v>
      </c>
      <c r="S169" s="137">
        <f t="shared" si="219"/>
        <v>4299.1048804537559</v>
      </c>
      <c r="T169" s="137">
        <f t="shared" si="219"/>
        <v>3863.8823856129857</v>
      </c>
      <c r="U169" s="137">
        <f t="shared" si="219"/>
        <v>3803.7078654600878</v>
      </c>
      <c r="V169" s="137">
        <f t="shared" si="219"/>
        <v>3174.6509785351209</v>
      </c>
      <c r="W169" s="137">
        <f t="shared" si="221"/>
        <v>3093.4270059956957</v>
      </c>
      <c r="X169" s="137">
        <f t="shared" si="221"/>
        <v>2926.199240749751</v>
      </c>
      <c r="Y169" s="137">
        <f t="shared" si="221"/>
        <v>2958.0978590408999</v>
      </c>
      <c r="DA169" s="174" t="s">
        <v>579</v>
      </c>
    </row>
    <row r="170" spans="1:105" ht="11.45" customHeight="1" x14ac:dyDescent="0.25">
      <c r="A170" s="109" t="s">
        <v>20</v>
      </c>
      <c r="B170" s="110">
        <f t="shared" si="219"/>
        <v>6321.8189787520178</v>
      </c>
      <c r="C170" s="110">
        <f t="shared" si="219"/>
        <v>7876.6437470684332</v>
      </c>
      <c r="D170" s="110">
        <f t="shared" si="219"/>
        <v>8821.4464147420113</v>
      </c>
      <c r="E170" s="110">
        <f t="shared" si="219"/>
        <v>9154.638498221866</v>
      </c>
      <c r="F170" s="110">
        <f t="shared" si="219"/>
        <v>9293.0258973259424</v>
      </c>
      <c r="G170" s="110">
        <f t="shared" si="219"/>
        <v>8865.5499120794047</v>
      </c>
      <c r="H170" s="110">
        <f t="shared" si="219"/>
        <v>9455.6995769342993</v>
      </c>
      <c r="I170" s="110">
        <f t="shared" si="219"/>
        <v>9383.0081312951697</v>
      </c>
      <c r="J170" s="110">
        <f t="shared" si="219"/>
        <v>8354.4592632822005</v>
      </c>
      <c r="K170" s="110">
        <f t="shared" si="219"/>
        <v>8390.9753179215077</v>
      </c>
      <c r="L170" s="110">
        <f t="shared" si="219"/>
        <v>8474.4711483050378</v>
      </c>
      <c r="M170" s="110">
        <f t="shared" si="222"/>
        <v>8840.8769906317575</v>
      </c>
      <c r="N170" s="110">
        <f t="shared" si="219"/>
        <v>8941.3440300058282</v>
      </c>
      <c r="O170" s="110">
        <f t="shared" si="219"/>
        <v>8942.7955932623427</v>
      </c>
      <c r="P170" s="110">
        <f t="shared" si="219"/>
        <v>8957.9583344165203</v>
      </c>
      <c r="Q170" s="110">
        <f t="shared" si="219"/>
        <v>8931.3254536339518</v>
      </c>
      <c r="R170" s="110">
        <f t="shared" si="219"/>
        <v>8815.0207970690644</v>
      </c>
      <c r="S170" s="110">
        <f t="shared" si="219"/>
        <v>8203.1586157999209</v>
      </c>
      <c r="T170" s="110">
        <f t="shared" si="219"/>
        <v>8125.4818154350432</v>
      </c>
      <c r="U170" s="110">
        <f t="shared" si="219"/>
        <v>8163.8546744481164</v>
      </c>
      <c r="V170" s="110">
        <f t="shared" si="219"/>
        <v>7071.7378602031085</v>
      </c>
      <c r="W170" s="110">
        <f t="shared" si="221"/>
        <v>7456.5781321665581</v>
      </c>
      <c r="X170" s="110">
        <f t="shared" si="221"/>
        <v>8040.1537805157086</v>
      </c>
      <c r="Y170" s="110">
        <f t="shared" si="221"/>
        <v>8573.9753653371081</v>
      </c>
      <c r="DA170" s="176" t="s">
        <v>580</v>
      </c>
    </row>
    <row r="171" spans="1:105" ht="11.45" customHeight="1" x14ac:dyDescent="0.25">
      <c r="A171" s="111" t="s">
        <v>110</v>
      </c>
      <c r="B171" s="84">
        <f t="shared" si="219"/>
        <v>5921.3690213702657</v>
      </c>
      <c r="C171" s="84">
        <f t="shared" si="219"/>
        <v>7541.9474332954305</v>
      </c>
      <c r="D171" s="84">
        <f t="shared" si="219"/>
        <v>8342.5075201334039</v>
      </c>
      <c r="E171" s="84">
        <f t="shared" si="219"/>
        <v>8543.7265208486824</v>
      </c>
      <c r="F171" s="84">
        <f t="shared" si="219"/>
        <v>8668.0353476721903</v>
      </c>
      <c r="G171" s="84">
        <f t="shared" si="219"/>
        <v>7737.1413704207134</v>
      </c>
      <c r="H171" s="84">
        <f t="shared" si="219"/>
        <v>7970.4005755095286</v>
      </c>
      <c r="I171" s="84">
        <f t="shared" si="219"/>
        <v>7577.0171607206648</v>
      </c>
      <c r="J171" s="84">
        <f t="shared" si="219"/>
        <v>5930.477309265566</v>
      </c>
      <c r="K171" s="84">
        <f t="shared" si="219"/>
        <v>5734.9760892259492</v>
      </c>
      <c r="L171" s="84">
        <f t="shared" si="219"/>
        <v>5987.7772103199159</v>
      </c>
      <c r="M171" s="84">
        <f t="shared" si="222"/>
        <v>5590.1765207402523</v>
      </c>
      <c r="N171" s="84">
        <f t="shared" si="219"/>
        <v>5453.6232016843032</v>
      </c>
      <c r="O171" s="84">
        <f t="shared" si="219"/>
        <v>5804.6509511047598</v>
      </c>
      <c r="P171" s="84">
        <f t="shared" si="219"/>
        <v>6217.2742023115861</v>
      </c>
      <c r="Q171" s="84">
        <f t="shared" si="219"/>
        <v>6076.070846898012</v>
      </c>
      <c r="R171" s="84">
        <f t="shared" si="219"/>
        <v>5725.0415852999758</v>
      </c>
      <c r="S171" s="84">
        <f t="shared" si="219"/>
        <v>5423.7112804313847</v>
      </c>
      <c r="T171" s="84">
        <f t="shared" si="219"/>
        <v>5367.0481947270491</v>
      </c>
      <c r="U171" s="84">
        <f t="shared" si="219"/>
        <v>5385.2018270120261</v>
      </c>
      <c r="V171" s="84">
        <f t="shared" si="219"/>
        <v>5020.8202193632378</v>
      </c>
      <c r="W171" s="84">
        <f t="shared" si="221"/>
        <v>5549.1611836063676</v>
      </c>
      <c r="X171" s="84">
        <f t="shared" si="221"/>
        <v>5804.2093537115215</v>
      </c>
      <c r="Y171" s="84">
        <f t="shared" si="221"/>
        <v>6136.5827775785492</v>
      </c>
      <c r="DA171" s="171" t="s">
        <v>581</v>
      </c>
    </row>
    <row r="172" spans="1:105" ht="11.45" customHeight="1" x14ac:dyDescent="0.25">
      <c r="A172" s="111" t="s">
        <v>111</v>
      </c>
      <c r="B172" s="84">
        <f t="shared" si="219"/>
        <v>11634.198480813866</v>
      </c>
      <c r="C172" s="84">
        <f t="shared" si="219"/>
        <v>10990.776944464962</v>
      </c>
      <c r="D172" s="84">
        <f t="shared" si="219"/>
        <v>12297.367619514896</v>
      </c>
      <c r="E172" s="84">
        <f t="shared" si="219"/>
        <v>12683.894886758921</v>
      </c>
      <c r="F172" s="84">
        <f t="shared" si="219"/>
        <v>12281.515452002408</v>
      </c>
      <c r="G172" s="84">
        <f t="shared" si="219"/>
        <v>13473.08953100205</v>
      </c>
      <c r="H172" s="84">
        <f t="shared" si="219"/>
        <v>14443.27763475445</v>
      </c>
      <c r="I172" s="84">
        <f t="shared" si="219"/>
        <v>14331.013507888503</v>
      </c>
      <c r="J172" s="84">
        <f t="shared" si="219"/>
        <v>14541.039920534444</v>
      </c>
      <c r="K172" s="84">
        <f t="shared" si="219"/>
        <v>14826.503743893063</v>
      </c>
      <c r="L172" s="84">
        <f t="shared" si="219"/>
        <v>14070.285463465942</v>
      </c>
      <c r="M172" s="84">
        <f t="shared" si="222"/>
        <v>15718.545762671449</v>
      </c>
      <c r="N172" s="84">
        <f t="shared" si="219"/>
        <v>16006.295974688584</v>
      </c>
      <c r="O172" s="84">
        <f t="shared" si="219"/>
        <v>14984.697159938683</v>
      </c>
      <c r="P172" s="84">
        <f t="shared" si="219"/>
        <v>13922.343734095995</v>
      </c>
      <c r="Q172" s="84">
        <f t="shared" si="219"/>
        <v>13738.206891590449</v>
      </c>
      <c r="R172" s="84">
        <f t="shared" si="219"/>
        <v>13663.730221593116</v>
      </c>
      <c r="S172" s="84">
        <f t="shared" si="219"/>
        <v>11941.921873877523</v>
      </c>
      <c r="T172" s="84">
        <f t="shared" si="219"/>
        <v>11434.933517086234</v>
      </c>
      <c r="U172" s="84">
        <f t="shared" si="219"/>
        <v>11256.146673159465</v>
      </c>
      <c r="V172" s="84">
        <f t="shared" si="219"/>
        <v>9161.8119510915258</v>
      </c>
      <c r="W172" s="84">
        <f t="shared" si="221"/>
        <v>9251.2047083879879</v>
      </c>
      <c r="X172" s="84">
        <f t="shared" si="221"/>
        <v>10073.808577737373</v>
      </c>
      <c r="Y172" s="84">
        <f t="shared" si="221"/>
        <v>10722.215446100277</v>
      </c>
      <c r="DA172" s="171" t="s">
        <v>582</v>
      </c>
    </row>
    <row r="173" spans="1:105" ht="11.45" customHeight="1" x14ac:dyDescent="0.25">
      <c r="A173" s="111" t="s">
        <v>112</v>
      </c>
      <c r="B173" s="84">
        <f t="shared" si="219"/>
        <v>0</v>
      </c>
      <c r="C173" s="84">
        <f t="shared" si="219"/>
        <v>0</v>
      </c>
      <c r="D173" s="84">
        <f t="shared" si="219"/>
        <v>9050.3524848996003</v>
      </c>
      <c r="E173" s="84">
        <f t="shared" si="219"/>
        <v>10066.788563668573</v>
      </c>
      <c r="F173" s="84">
        <f t="shared" si="219"/>
        <v>10564.213641708307</v>
      </c>
      <c r="G173" s="84">
        <f t="shared" si="219"/>
        <v>11119.627943862271</v>
      </c>
      <c r="H173" s="84">
        <f t="shared" si="219"/>
        <v>11189.58403444953</v>
      </c>
      <c r="I173" s="84">
        <f t="shared" si="219"/>
        <v>11921.05070149759</v>
      </c>
      <c r="J173" s="84">
        <f t="shared" si="219"/>
        <v>10677.81686695686</v>
      </c>
      <c r="K173" s="84">
        <f t="shared" si="219"/>
        <v>9815.3248311770803</v>
      </c>
      <c r="L173" s="84">
        <f t="shared" si="219"/>
        <v>8634.1865937068815</v>
      </c>
      <c r="M173" s="84">
        <f t="shared" si="222"/>
        <v>10029.033619182987</v>
      </c>
      <c r="N173" s="84">
        <f t="shared" si="219"/>
        <v>9226.0119923998682</v>
      </c>
      <c r="O173" s="84">
        <f t="shared" si="219"/>
        <v>8586.838871680322</v>
      </c>
      <c r="P173" s="84">
        <f t="shared" si="219"/>
        <v>9108.0441109567346</v>
      </c>
      <c r="Q173" s="84">
        <f t="shared" si="219"/>
        <v>9839.099605307043</v>
      </c>
      <c r="R173" s="84">
        <f t="shared" si="219"/>
        <v>9270.6711000660744</v>
      </c>
      <c r="S173" s="84">
        <f t="shared" si="219"/>
        <v>10212.348411326815</v>
      </c>
      <c r="T173" s="84">
        <f t="shared" si="219"/>
        <v>9739.5937797351562</v>
      </c>
      <c r="U173" s="84">
        <f t="shared" si="219"/>
        <v>9083.9215261781628</v>
      </c>
      <c r="V173" s="84">
        <f t="shared" si="219"/>
        <v>8525.110873093734</v>
      </c>
      <c r="W173" s="84">
        <f t="shared" si="221"/>
        <v>9059.4112616170696</v>
      </c>
      <c r="X173" s="84">
        <f t="shared" si="221"/>
        <v>9815.6948632394033</v>
      </c>
      <c r="Y173" s="84">
        <f t="shared" si="221"/>
        <v>10485.265595150837</v>
      </c>
      <c r="DA173" s="171" t="s">
        <v>583</v>
      </c>
    </row>
    <row r="174" spans="1:105" ht="11.45" customHeight="1" x14ac:dyDescent="0.25">
      <c r="A174" s="111" t="s">
        <v>113</v>
      </c>
      <c r="B174" s="84">
        <f t="shared" si="219"/>
        <v>0</v>
      </c>
      <c r="C174" s="84">
        <f t="shared" si="219"/>
        <v>0</v>
      </c>
      <c r="D174" s="84">
        <f t="shared" si="219"/>
        <v>0</v>
      </c>
      <c r="E174" s="84">
        <f t="shared" si="219"/>
        <v>0</v>
      </c>
      <c r="F174" s="84">
        <f t="shared" si="219"/>
        <v>0</v>
      </c>
      <c r="G174" s="84">
        <f t="shared" si="219"/>
        <v>0</v>
      </c>
      <c r="H174" s="84">
        <f t="shared" si="219"/>
        <v>0</v>
      </c>
      <c r="I174" s="84">
        <f t="shared" si="219"/>
        <v>0</v>
      </c>
      <c r="J174" s="84">
        <f t="shared" si="219"/>
        <v>0</v>
      </c>
      <c r="K174" s="84">
        <f t="shared" si="219"/>
        <v>0</v>
      </c>
      <c r="L174" s="84">
        <f t="shared" si="219"/>
        <v>0</v>
      </c>
      <c r="M174" s="84">
        <f t="shared" si="222"/>
        <v>0</v>
      </c>
      <c r="N174" s="84">
        <f t="shared" si="219"/>
        <v>0</v>
      </c>
      <c r="O174" s="84">
        <f t="shared" si="219"/>
        <v>0</v>
      </c>
      <c r="P174" s="84">
        <f t="shared" si="219"/>
        <v>0</v>
      </c>
      <c r="Q174" s="84">
        <f t="shared" si="219"/>
        <v>0</v>
      </c>
      <c r="R174" s="84">
        <f t="shared" si="219"/>
        <v>0</v>
      </c>
      <c r="S174" s="84">
        <f t="shared" si="219"/>
        <v>0</v>
      </c>
      <c r="T174" s="84">
        <f t="shared" si="219"/>
        <v>0</v>
      </c>
      <c r="U174" s="84">
        <f t="shared" si="219"/>
        <v>0</v>
      </c>
      <c r="V174" s="84">
        <f t="shared" si="219"/>
        <v>0</v>
      </c>
      <c r="W174" s="84">
        <f t="shared" si="221"/>
        <v>0</v>
      </c>
      <c r="X174" s="84">
        <f t="shared" si="221"/>
        <v>0</v>
      </c>
      <c r="Y174" s="84">
        <f t="shared" si="221"/>
        <v>0</v>
      </c>
      <c r="DA174" s="171" t="s">
        <v>584</v>
      </c>
    </row>
    <row r="175" spans="1:105" ht="11.45" customHeight="1" x14ac:dyDescent="0.25">
      <c r="A175" s="111" t="s">
        <v>114</v>
      </c>
      <c r="B175" s="84">
        <f t="shared" si="219"/>
        <v>0</v>
      </c>
      <c r="C175" s="84">
        <f t="shared" si="219"/>
        <v>0</v>
      </c>
      <c r="D175" s="84">
        <f t="shared" si="219"/>
        <v>0</v>
      </c>
      <c r="E175" s="84">
        <f t="shared" si="219"/>
        <v>0</v>
      </c>
      <c r="F175" s="84">
        <f t="shared" si="219"/>
        <v>0</v>
      </c>
      <c r="G175" s="84">
        <f t="shared" si="219"/>
        <v>0</v>
      </c>
      <c r="H175" s="84">
        <f t="shared" si="219"/>
        <v>0</v>
      </c>
      <c r="I175" s="84">
        <f t="shared" si="219"/>
        <v>0</v>
      </c>
      <c r="J175" s="84">
        <f t="shared" si="219"/>
        <v>0</v>
      </c>
      <c r="K175" s="84">
        <f t="shared" si="219"/>
        <v>0</v>
      </c>
      <c r="L175" s="84">
        <f t="shared" si="219"/>
        <v>0</v>
      </c>
      <c r="M175" s="84">
        <f t="shared" si="222"/>
        <v>0</v>
      </c>
      <c r="N175" s="84">
        <f t="shared" si="219"/>
        <v>6588.6589158205761</v>
      </c>
      <c r="O175" s="84">
        <f t="shared" si="219"/>
        <v>7190.7041713861845</v>
      </c>
      <c r="P175" s="84">
        <f t="shared" si="219"/>
        <v>8003.4594357156811</v>
      </c>
      <c r="Q175" s="84">
        <f t="shared" si="219"/>
        <v>8861.980130330654</v>
      </c>
      <c r="R175" s="84">
        <f t="shared" si="219"/>
        <v>8350.0021728921583</v>
      </c>
      <c r="S175" s="84">
        <f t="shared" si="219"/>
        <v>8559.1854404752248</v>
      </c>
      <c r="T175" s="84">
        <f t="shared" si="219"/>
        <v>8545.3717693114941</v>
      </c>
      <c r="U175" s="84">
        <f t="shared" si="219"/>
        <v>8283.8414173252113</v>
      </c>
      <c r="V175" s="84">
        <f t="shared" si="219"/>
        <v>8130.1589130497023</v>
      </c>
      <c r="W175" s="84">
        <f t="shared" si="221"/>
        <v>8639.7061940955045</v>
      </c>
      <c r="X175" s="84">
        <f t="shared" si="221"/>
        <v>9360.9526337082953</v>
      </c>
      <c r="Y175" s="84">
        <f t="shared" si="221"/>
        <v>9999.5034437802187</v>
      </c>
      <c r="DA175" s="171" t="s">
        <v>585</v>
      </c>
    </row>
    <row r="176" spans="1:105" ht="11.45" customHeight="1" x14ac:dyDescent="0.25">
      <c r="A176" s="111" t="s">
        <v>115</v>
      </c>
      <c r="B176" s="84">
        <f t="shared" si="219"/>
        <v>0</v>
      </c>
      <c r="C176" s="84">
        <f t="shared" si="219"/>
        <v>0</v>
      </c>
      <c r="D176" s="84">
        <f t="shared" si="219"/>
        <v>0</v>
      </c>
      <c r="E176" s="84">
        <f t="shared" si="219"/>
        <v>0</v>
      </c>
      <c r="F176" s="84">
        <f t="shared" si="219"/>
        <v>0</v>
      </c>
      <c r="G176" s="84">
        <f t="shared" si="219"/>
        <v>0</v>
      </c>
      <c r="H176" s="84">
        <f t="shared" si="219"/>
        <v>0</v>
      </c>
      <c r="I176" s="84">
        <f t="shared" si="219"/>
        <v>0</v>
      </c>
      <c r="J176" s="84">
        <f t="shared" si="219"/>
        <v>0</v>
      </c>
      <c r="K176" s="84">
        <f t="shared" si="219"/>
        <v>11206.671895810125</v>
      </c>
      <c r="L176" s="84">
        <f t="shared" si="219"/>
        <v>11212.939493363105</v>
      </c>
      <c r="M176" s="84">
        <f t="shared" si="222"/>
        <v>11222.560809970588</v>
      </c>
      <c r="N176" s="84">
        <f t="shared" si="219"/>
        <v>11229.507952936588</v>
      </c>
      <c r="O176" s="84">
        <f t="shared" si="219"/>
        <v>11267.065517237506</v>
      </c>
      <c r="P176" s="84">
        <f t="shared" si="219"/>
        <v>11294.966184686409</v>
      </c>
      <c r="Q176" s="84">
        <f t="shared" si="219"/>
        <v>11329.198526499989</v>
      </c>
      <c r="R176" s="84">
        <f t="shared" si="219"/>
        <v>11295.539484492108</v>
      </c>
      <c r="S176" s="84">
        <f t="shared" si="219"/>
        <v>11265.043520375355</v>
      </c>
      <c r="T176" s="84">
        <f t="shared" si="219"/>
        <v>11259.129660188484</v>
      </c>
      <c r="U176" s="84">
        <f t="shared" si="219"/>
        <v>11257.228876260186</v>
      </c>
      <c r="V176" s="84">
        <f t="shared" si="219"/>
        <v>10680.977761368595</v>
      </c>
      <c r="W176" s="84">
        <f t="shared" si="221"/>
        <v>11240.360193403303</v>
      </c>
      <c r="X176" s="84">
        <f t="shared" si="221"/>
        <v>11215.133350738141</v>
      </c>
      <c r="Y176" s="84">
        <f t="shared" si="221"/>
        <v>11183.951251647459</v>
      </c>
      <c r="DA176" s="171" t="s">
        <v>586</v>
      </c>
    </row>
    <row r="177" spans="1:105" ht="11.45" customHeight="1" x14ac:dyDescent="0.25">
      <c r="A177" s="109" t="s">
        <v>21</v>
      </c>
      <c r="B177" s="110">
        <f t="shared" si="219"/>
        <v>17058.787397169537</v>
      </c>
      <c r="C177" s="110">
        <f t="shared" si="219"/>
        <v>18945.945454185508</v>
      </c>
      <c r="D177" s="110">
        <f t="shared" si="219"/>
        <v>20885.706602418897</v>
      </c>
      <c r="E177" s="110">
        <f t="shared" si="219"/>
        <v>23239.643798558045</v>
      </c>
      <c r="F177" s="110">
        <f t="shared" si="219"/>
        <v>25859.616393259275</v>
      </c>
      <c r="G177" s="110">
        <f t="shared" si="219"/>
        <v>28596.58065779016</v>
      </c>
      <c r="H177" s="110">
        <f t="shared" si="219"/>
        <v>31465.678546255906</v>
      </c>
      <c r="I177" s="110">
        <f t="shared" si="219"/>
        <v>35061.21478631036</v>
      </c>
      <c r="J177" s="110">
        <f t="shared" si="219"/>
        <v>39336.127571421697</v>
      </c>
      <c r="K177" s="110">
        <f t="shared" si="219"/>
        <v>40290.460462405288</v>
      </c>
      <c r="L177" s="110">
        <f t="shared" si="219"/>
        <v>41328.377188692168</v>
      </c>
      <c r="M177" s="110">
        <f t="shared" si="222"/>
        <v>42948.984331076288</v>
      </c>
      <c r="N177" s="110">
        <f t="shared" si="219"/>
        <v>43464.814198030166</v>
      </c>
      <c r="O177" s="110">
        <f t="shared" si="219"/>
        <v>44328.309458261399</v>
      </c>
      <c r="P177" s="110">
        <f t="shared" si="219"/>
        <v>44601.945692165318</v>
      </c>
      <c r="Q177" s="110">
        <f t="shared" si="219"/>
        <v>43381.840454516641</v>
      </c>
      <c r="R177" s="110">
        <f t="shared" si="219"/>
        <v>43703.785434199977</v>
      </c>
      <c r="S177" s="110">
        <f t="shared" si="219"/>
        <v>43403.071242235477</v>
      </c>
      <c r="T177" s="110">
        <f t="shared" si="219"/>
        <v>43193.74488153492</v>
      </c>
      <c r="U177" s="110">
        <f t="shared" si="219"/>
        <v>42684.331534586578</v>
      </c>
      <c r="V177" s="110">
        <f t="shared" si="219"/>
        <v>43469.829614682603</v>
      </c>
      <c r="W177" s="110">
        <f t="shared" si="221"/>
        <v>44575.322294897967</v>
      </c>
      <c r="X177" s="110">
        <f t="shared" si="221"/>
        <v>45573.980373969061</v>
      </c>
      <c r="Y177" s="110">
        <f t="shared" si="221"/>
        <v>45887.360196456146</v>
      </c>
      <c r="DA177" s="176" t="s">
        <v>587</v>
      </c>
    </row>
    <row r="178" spans="1:105" ht="11.45" customHeight="1" x14ac:dyDescent="0.25">
      <c r="A178" s="111" t="s">
        <v>110</v>
      </c>
      <c r="B178" s="102">
        <f t="shared" si="219"/>
        <v>0</v>
      </c>
      <c r="C178" s="102">
        <f t="shared" si="219"/>
        <v>0</v>
      </c>
      <c r="D178" s="102">
        <f t="shared" si="219"/>
        <v>0</v>
      </c>
      <c r="E178" s="102">
        <f t="shared" si="219"/>
        <v>0</v>
      </c>
      <c r="F178" s="102">
        <f t="shared" si="219"/>
        <v>0</v>
      </c>
      <c r="G178" s="102">
        <f t="shared" si="219"/>
        <v>0</v>
      </c>
      <c r="H178" s="102">
        <f t="shared" si="219"/>
        <v>0</v>
      </c>
      <c r="I178" s="102">
        <f t="shared" si="219"/>
        <v>0</v>
      </c>
      <c r="J178" s="102">
        <f t="shared" si="219"/>
        <v>32435.793136237455</v>
      </c>
      <c r="K178" s="102">
        <f t="shared" si="219"/>
        <v>32610.096605029677</v>
      </c>
      <c r="L178" s="102">
        <f t="shared" si="219"/>
        <v>32859.388840372907</v>
      </c>
      <c r="M178" s="102">
        <f t="shared" si="222"/>
        <v>33546.229045108252</v>
      </c>
      <c r="N178" s="102">
        <f t="shared" si="219"/>
        <v>33305.134851017559</v>
      </c>
      <c r="O178" s="102">
        <f t="shared" si="219"/>
        <v>33333.611656571244</v>
      </c>
      <c r="P178" s="102">
        <f t="shared" si="219"/>
        <v>33655.934046165312</v>
      </c>
      <c r="Q178" s="102">
        <f t="shared" si="219"/>
        <v>32049.676164672521</v>
      </c>
      <c r="R178" s="102">
        <f t="shared" si="219"/>
        <v>32945.450770997064</v>
      </c>
      <c r="S178" s="102">
        <f t="shared" si="219"/>
        <v>33361.617790840275</v>
      </c>
      <c r="T178" s="102">
        <f t="shared" si="219"/>
        <v>33856.549230005156</v>
      </c>
      <c r="U178" s="102">
        <f t="shared" si="219"/>
        <v>34106.163524044736</v>
      </c>
      <c r="V178" s="102">
        <f t="shared" si="219"/>
        <v>35460.794999467333</v>
      </c>
      <c r="W178" s="102">
        <f t="shared" si="221"/>
        <v>37136.461601165582</v>
      </c>
      <c r="X178" s="102">
        <f t="shared" si="221"/>
        <v>38770.75743680638</v>
      </c>
      <c r="Y178" s="102">
        <f t="shared" si="221"/>
        <v>39831.74898624247</v>
      </c>
      <c r="DA178" s="175" t="s">
        <v>588</v>
      </c>
    </row>
    <row r="179" spans="1:105" ht="11.45" customHeight="1" x14ac:dyDescent="0.25">
      <c r="A179" s="111" t="s">
        <v>111</v>
      </c>
      <c r="B179" s="102">
        <f t="shared" si="219"/>
        <v>17058.787397169537</v>
      </c>
      <c r="C179" s="102">
        <f t="shared" si="219"/>
        <v>18945.945454185508</v>
      </c>
      <c r="D179" s="102">
        <f t="shared" si="219"/>
        <v>20885.706602418897</v>
      </c>
      <c r="E179" s="102">
        <f t="shared" si="219"/>
        <v>23239.643798558045</v>
      </c>
      <c r="F179" s="102">
        <f t="shared" si="219"/>
        <v>25859.616393259275</v>
      </c>
      <c r="G179" s="102">
        <f t="shared" si="219"/>
        <v>28596.58065779016</v>
      </c>
      <c r="H179" s="102">
        <f t="shared" si="219"/>
        <v>31465.678546255906</v>
      </c>
      <c r="I179" s="102">
        <f t="shared" si="219"/>
        <v>35061.21478631036</v>
      </c>
      <c r="J179" s="102">
        <f t="shared" si="219"/>
        <v>39376.338135997961</v>
      </c>
      <c r="K179" s="102">
        <f t="shared" si="219"/>
        <v>40336.013027840803</v>
      </c>
      <c r="L179" s="102">
        <f t="shared" si="219"/>
        <v>41393.713638029069</v>
      </c>
      <c r="M179" s="102">
        <f t="shared" si="222"/>
        <v>43025.093813606261</v>
      </c>
      <c r="N179" s="102">
        <f t="shared" si="219"/>
        <v>43541.545699886665</v>
      </c>
      <c r="O179" s="102">
        <f t="shared" si="219"/>
        <v>44407.064159020767</v>
      </c>
      <c r="P179" s="102">
        <f t="shared" si="219"/>
        <v>44676.807830219062</v>
      </c>
      <c r="Q179" s="102">
        <f t="shared" si="219"/>
        <v>43449.341663131941</v>
      </c>
      <c r="R179" s="102">
        <f t="shared" si="219"/>
        <v>43763.28532730625</v>
      </c>
      <c r="S179" s="102">
        <f t="shared" si="219"/>
        <v>43456.813454816969</v>
      </c>
      <c r="T179" s="102">
        <f t="shared" si="219"/>
        <v>43230.723146350763</v>
      </c>
      <c r="U179" s="102">
        <f t="shared" si="219"/>
        <v>42712.017134512869</v>
      </c>
      <c r="V179" s="102">
        <f t="shared" si="219"/>
        <v>43485.169535238645</v>
      </c>
      <c r="W179" s="102">
        <f t="shared" si="221"/>
        <v>44590.777375434998</v>
      </c>
      <c r="X179" s="102">
        <f t="shared" si="221"/>
        <v>45576.695101077035</v>
      </c>
      <c r="Y179" s="102">
        <f t="shared" si="221"/>
        <v>45871.027032028353</v>
      </c>
      <c r="DA179" s="175" t="s">
        <v>589</v>
      </c>
    </row>
    <row r="180" spans="1:105" ht="11.45" customHeight="1" x14ac:dyDescent="0.25">
      <c r="A180" s="111" t="s">
        <v>112</v>
      </c>
      <c r="B180" s="102">
        <f t="shared" si="219"/>
        <v>0</v>
      </c>
      <c r="C180" s="102">
        <f t="shared" si="219"/>
        <v>0</v>
      </c>
      <c r="D180" s="102">
        <f t="shared" si="219"/>
        <v>0</v>
      </c>
      <c r="E180" s="102">
        <f t="shared" si="219"/>
        <v>0</v>
      </c>
      <c r="F180" s="102">
        <f t="shared" ref="B180:V192" si="223">IF(F43=0,0,F43*1000000/F70)</f>
        <v>0</v>
      </c>
      <c r="G180" s="102">
        <f t="shared" si="223"/>
        <v>0</v>
      </c>
      <c r="H180" s="102">
        <f t="shared" si="223"/>
        <v>0</v>
      </c>
      <c r="I180" s="102">
        <f t="shared" si="223"/>
        <v>0</v>
      </c>
      <c r="J180" s="102">
        <f t="shared" si="223"/>
        <v>23865.423359131037</v>
      </c>
      <c r="K180" s="102">
        <f t="shared" si="223"/>
        <v>24502.886391246753</v>
      </c>
      <c r="L180" s="102">
        <f t="shared" si="223"/>
        <v>25216.908434340145</v>
      </c>
      <c r="M180" s="102">
        <f t="shared" si="222"/>
        <v>26309.560410184375</v>
      </c>
      <c r="N180" s="102">
        <f t="shared" si="223"/>
        <v>26658.862634253623</v>
      </c>
      <c r="O180" s="102">
        <f t="shared" si="223"/>
        <v>27242.074148295091</v>
      </c>
      <c r="P180" s="102">
        <f t="shared" si="223"/>
        <v>27429.245858530918</v>
      </c>
      <c r="Q180" s="102">
        <f t="shared" si="223"/>
        <v>26605.672158986981</v>
      </c>
      <c r="R180" s="102">
        <f t="shared" si="223"/>
        <v>26822.942960630826</v>
      </c>
      <c r="S180" s="102">
        <f t="shared" si="223"/>
        <v>26619.995214691175</v>
      </c>
      <c r="T180" s="102">
        <f t="shared" si="223"/>
        <v>26478.80674592749</v>
      </c>
      <c r="U180" s="102">
        <f t="shared" si="223"/>
        <v>26135.499103086142</v>
      </c>
      <c r="V180" s="102">
        <f t="shared" si="223"/>
        <v>26665.037386151995</v>
      </c>
      <c r="W180" s="102">
        <f t="shared" si="221"/>
        <v>27411.916887013835</v>
      </c>
      <c r="X180" s="102">
        <f t="shared" si="221"/>
        <v>28088.213805010848</v>
      </c>
      <c r="Y180" s="102">
        <f t="shared" si="221"/>
        <v>28300.743618358603</v>
      </c>
      <c r="DA180" s="175" t="s">
        <v>590</v>
      </c>
    </row>
    <row r="181" spans="1:105" ht="11.45" customHeight="1" x14ac:dyDescent="0.25">
      <c r="A181" s="111" t="s">
        <v>113</v>
      </c>
      <c r="B181" s="102">
        <f t="shared" si="223"/>
        <v>0</v>
      </c>
      <c r="C181" s="102">
        <f t="shared" si="223"/>
        <v>0</v>
      </c>
      <c r="D181" s="102">
        <f t="shared" si="223"/>
        <v>0</v>
      </c>
      <c r="E181" s="102">
        <f t="shared" si="223"/>
        <v>0</v>
      </c>
      <c r="F181" s="102">
        <f t="shared" si="223"/>
        <v>0</v>
      </c>
      <c r="G181" s="102">
        <f t="shared" si="223"/>
        <v>0</v>
      </c>
      <c r="H181" s="102">
        <f t="shared" si="223"/>
        <v>0</v>
      </c>
      <c r="I181" s="102">
        <f t="shared" si="223"/>
        <v>0</v>
      </c>
      <c r="J181" s="102">
        <f t="shared" si="223"/>
        <v>0</v>
      </c>
      <c r="K181" s="102">
        <f t="shared" si="223"/>
        <v>0</v>
      </c>
      <c r="L181" s="102">
        <f t="shared" si="223"/>
        <v>0</v>
      </c>
      <c r="M181" s="102">
        <f t="shared" si="222"/>
        <v>0</v>
      </c>
      <c r="N181" s="102">
        <f t="shared" si="223"/>
        <v>0</v>
      </c>
      <c r="O181" s="102">
        <f t="shared" si="223"/>
        <v>0</v>
      </c>
      <c r="P181" s="102">
        <f t="shared" si="223"/>
        <v>0</v>
      </c>
      <c r="Q181" s="102">
        <f t="shared" si="223"/>
        <v>0</v>
      </c>
      <c r="R181" s="102">
        <f t="shared" si="223"/>
        <v>0</v>
      </c>
      <c r="S181" s="102">
        <f t="shared" si="223"/>
        <v>0</v>
      </c>
      <c r="T181" s="102">
        <f t="shared" si="223"/>
        <v>0</v>
      </c>
      <c r="U181" s="102">
        <f t="shared" si="223"/>
        <v>0</v>
      </c>
      <c r="V181" s="102">
        <f t="shared" si="223"/>
        <v>0</v>
      </c>
      <c r="W181" s="102">
        <f t="shared" si="221"/>
        <v>0</v>
      </c>
      <c r="X181" s="102">
        <f t="shared" si="221"/>
        <v>0</v>
      </c>
      <c r="Y181" s="102">
        <f t="shared" si="221"/>
        <v>0</v>
      </c>
      <c r="DA181" s="175" t="s">
        <v>591</v>
      </c>
    </row>
    <row r="182" spans="1:105" ht="11.45" customHeight="1" x14ac:dyDescent="0.25">
      <c r="A182" s="111" t="s">
        <v>115</v>
      </c>
      <c r="B182" s="102">
        <f t="shared" si="223"/>
        <v>0</v>
      </c>
      <c r="C182" s="102">
        <f t="shared" si="223"/>
        <v>0</v>
      </c>
      <c r="D182" s="102">
        <f t="shared" si="223"/>
        <v>0</v>
      </c>
      <c r="E182" s="102">
        <f t="shared" si="223"/>
        <v>0</v>
      </c>
      <c r="F182" s="102">
        <f t="shared" si="223"/>
        <v>0</v>
      </c>
      <c r="G182" s="102">
        <f t="shared" si="223"/>
        <v>0</v>
      </c>
      <c r="H182" s="102">
        <f t="shared" si="223"/>
        <v>0</v>
      </c>
      <c r="I182" s="102">
        <f t="shared" si="223"/>
        <v>0</v>
      </c>
      <c r="J182" s="102">
        <f t="shared" si="223"/>
        <v>0</v>
      </c>
      <c r="K182" s="102">
        <f t="shared" si="223"/>
        <v>0</v>
      </c>
      <c r="L182" s="102">
        <f t="shared" si="223"/>
        <v>0</v>
      </c>
      <c r="M182" s="102">
        <f t="shared" si="222"/>
        <v>0</v>
      </c>
      <c r="N182" s="102">
        <f t="shared" si="223"/>
        <v>0</v>
      </c>
      <c r="O182" s="102">
        <f t="shared" si="223"/>
        <v>47993.004102606952</v>
      </c>
      <c r="P182" s="102">
        <f t="shared" si="223"/>
        <v>48007.943572296652</v>
      </c>
      <c r="Q182" s="102">
        <f t="shared" si="223"/>
        <v>48074.514247008781</v>
      </c>
      <c r="R182" s="102">
        <f t="shared" si="223"/>
        <v>48056.744886914086</v>
      </c>
      <c r="S182" s="102">
        <f t="shared" si="223"/>
        <v>48040.157319692262</v>
      </c>
      <c r="T182" s="102">
        <f t="shared" si="223"/>
        <v>48028.546181978803</v>
      </c>
      <c r="U182" s="102">
        <f t="shared" si="223"/>
        <v>48000.064623933606</v>
      </c>
      <c r="V182" s="102">
        <f t="shared" si="223"/>
        <v>47348.064655667484</v>
      </c>
      <c r="W182" s="102">
        <f t="shared" si="221"/>
        <v>47896.140785971074</v>
      </c>
      <c r="X182" s="102">
        <f t="shared" si="221"/>
        <v>47843.109495369703</v>
      </c>
      <c r="Y182" s="102">
        <f t="shared" si="221"/>
        <v>47826.719449664059</v>
      </c>
      <c r="DA182" s="175" t="s">
        <v>592</v>
      </c>
    </row>
    <row r="183" spans="1:105" ht="11.45" customHeight="1" x14ac:dyDescent="0.25">
      <c r="A183" s="27" t="s">
        <v>34</v>
      </c>
      <c r="B183" s="28">
        <f t="shared" si="223"/>
        <v>14020.451846887399</v>
      </c>
      <c r="C183" s="28">
        <f t="shared" si="223"/>
        <v>14196.445229813397</v>
      </c>
      <c r="D183" s="28">
        <f t="shared" si="223"/>
        <v>14364.729422237502</v>
      </c>
      <c r="E183" s="28">
        <f t="shared" si="223"/>
        <v>14436.127734767624</v>
      </c>
      <c r="F183" s="28">
        <f t="shared" si="223"/>
        <v>14835.77136288801</v>
      </c>
      <c r="G183" s="28">
        <f t="shared" si="223"/>
        <v>15098.958649635564</v>
      </c>
      <c r="H183" s="28">
        <f t="shared" si="223"/>
        <v>14667.562555840661</v>
      </c>
      <c r="I183" s="28">
        <f t="shared" si="223"/>
        <v>14578.350545926351</v>
      </c>
      <c r="J183" s="28">
        <f t="shared" si="223"/>
        <v>14136.660362622499</v>
      </c>
      <c r="K183" s="28">
        <f t="shared" si="223"/>
        <v>13371.655865520437</v>
      </c>
      <c r="L183" s="28">
        <f t="shared" si="223"/>
        <v>12340.674976751274</v>
      </c>
      <c r="M183" s="28">
        <f t="shared" si="222"/>
        <v>12619.010112682323</v>
      </c>
      <c r="N183" s="28">
        <f t="shared" si="223"/>
        <v>13024.064436570401</v>
      </c>
      <c r="O183" s="28">
        <f t="shared" si="223"/>
        <v>13176.364388727388</v>
      </c>
      <c r="P183" s="28">
        <f t="shared" si="223"/>
        <v>13274.56775662934</v>
      </c>
      <c r="Q183" s="28">
        <f t="shared" si="223"/>
        <v>13483.941217301874</v>
      </c>
      <c r="R183" s="28">
        <f t="shared" si="223"/>
        <v>13844.126815067202</v>
      </c>
      <c r="S183" s="28">
        <f t="shared" si="223"/>
        <v>14144.515481426115</v>
      </c>
      <c r="T183" s="28">
        <f t="shared" si="223"/>
        <v>14338.767964245408</v>
      </c>
      <c r="U183" s="28">
        <f t="shared" si="223"/>
        <v>14485.79883748823</v>
      </c>
      <c r="V183" s="28">
        <f t="shared" si="223"/>
        <v>14284.036927357574</v>
      </c>
      <c r="W183" s="28">
        <f t="shared" si="221"/>
        <v>14591.326934745543</v>
      </c>
      <c r="X183" s="28">
        <f t="shared" si="221"/>
        <v>14686.785307136408</v>
      </c>
      <c r="Y183" s="28">
        <f t="shared" si="221"/>
        <v>14679.810591531306</v>
      </c>
      <c r="DA183" s="173" t="s">
        <v>593</v>
      </c>
    </row>
    <row r="184" spans="1:105" ht="11.45" customHeight="1" x14ac:dyDescent="0.25">
      <c r="A184" s="136" t="s">
        <v>153</v>
      </c>
      <c r="B184" s="137">
        <f t="shared" si="223"/>
        <v>12309.235314151209</v>
      </c>
      <c r="C184" s="137">
        <f t="shared" si="223"/>
        <v>12410.729134092</v>
      </c>
      <c r="D184" s="137">
        <f t="shared" si="223"/>
        <v>12469.900722175902</v>
      </c>
      <c r="E184" s="137">
        <f t="shared" si="223"/>
        <v>12541.895739816331</v>
      </c>
      <c r="F184" s="137">
        <f t="shared" si="223"/>
        <v>12620.785617862373</v>
      </c>
      <c r="G184" s="137">
        <f t="shared" si="223"/>
        <v>12687.215466091307</v>
      </c>
      <c r="H184" s="137">
        <f t="shared" si="223"/>
        <v>12683.740331873989</v>
      </c>
      <c r="I184" s="137">
        <f t="shared" si="223"/>
        <v>12642.31659215634</v>
      </c>
      <c r="J184" s="137">
        <f t="shared" si="223"/>
        <v>12770.925029568911</v>
      </c>
      <c r="K184" s="137">
        <f t="shared" si="223"/>
        <v>12732.697759703235</v>
      </c>
      <c r="L184" s="137">
        <f t="shared" si="223"/>
        <v>12694.025870000107</v>
      </c>
      <c r="M184" s="137">
        <f t="shared" si="222"/>
        <v>12847.742999238564</v>
      </c>
      <c r="N184" s="137">
        <f t="shared" si="223"/>
        <v>12979.290838197985</v>
      </c>
      <c r="O184" s="137">
        <f t="shared" si="223"/>
        <v>13044.790574414999</v>
      </c>
      <c r="P184" s="137">
        <f t="shared" si="223"/>
        <v>13130.013297743819</v>
      </c>
      <c r="Q184" s="137">
        <f t="shared" si="223"/>
        <v>13203.06332341391</v>
      </c>
      <c r="R184" s="137">
        <f t="shared" si="223"/>
        <v>13293.546762873371</v>
      </c>
      <c r="S184" s="137">
        <f t="shared" si="223"/>
        <v>13408.487139454141</v>
      </c>
      <c r="T184" s="137">
        <f t="shared" si="223"/>
        <v>13560.027238454211</v>
      </c>
      <c r="U184" s="137">
        <f t="shared" si="223"/>
        <v>13572.587590620942</v>
      </c>
      <c r="V184" s="137">
        <f t="shared" si="223"/>
        <v>13567.584133721593</v>
      </c>
      <c r="W184" s="137">
        <f t="shared" si="221"/>
        <v>13578.349674784184</v>
      </c>
      <c r="X184" s="137">
        <f t="shared" si="221"/>
        <v>13559.815977735347</v>
      </c>
      <c r="Y184" s="137">
        <f t="shared" si="221"/>
        <v>13529.302336687939</v>
      </c>
      <c r="DA184" s="174" t="s">
        <v>594</v>
      </c>
    </row>
    <row r="185" spans="1:105" ht="11.45" customHeight="1" x14ac:dyDescent="0.25">
      <c r="A185" s="111" t="s">
        <v>110</v>
      </c>
      <c r="B185" s="84">
        <f t="shared" si="223"/>
        <v>10570.778892553217</v>
      </c>
      <c r="C185" s="84">
        <f t="shared" si="223"/>
        <v>10635.88976268945</v>
      </c>
      <c r="D185" s="84">
        <f t="shared" si="223"/>
        <v>10598.071958172857</v>
      </c>
      <c r="E185" s="84">
        <f t="shared" si="223"/>
        <v>10568.075475508715</v>
      </c>
      <c r="F185" s="84">
        <f t="shared" si="223"/>
        <v>10541.635616115032</v>
      </c>
      <c r="G185" s="84">
        <f t="shared" si="223"/>
        <v>10505.422752488283</v>
      </c>
      <c r="H185" s="84">
        <f t="shared" si="223"/>
        <v>10401.980986328394</v>
      </c>
      <c r="I185" s="84">
        <f t="shared" si="223"/>
        <v>10273.157776168006</v>
      </c>
      <c r="J185" s="84">
        <f t="shared" si="223"/>
        <v>10181.877874702008</v>
      </c>
      <c r="K185" s="84">
        <f t="shared" si="223"/>
        <v>10041.976912479859</v>
      </c>
      <c r="L185" s="84">
        <f t="shared" si="223"/>
        <v>9894.8436377859471</v>
      </c>
      <c r="M185" s="84">
        <f t="shared" si="222"/>
        <v>9870.9846783716366</v>
      </c>
      <c r="N185" s="84">
        <f t="shared" si="223"/>
        <v>9842.2197887138009</v>
      </c>
      <c r="O185" s="84">
        <f t="shared" si="223"/>
        <v>9720.1442924794428</v>
      </c>
      <c r="P185" s="84">
        <f t="shared" si="223"/>
        <v>9610.1088436919017</v>
      </c>
      <c r="Q185" s="84">
        <f t="shared" si="223"/>
        <v>9488.6505963610725</v>
      </c>
      <c r="R185" s="84">
        <f t="shared" si="223"/>
        <v>9647.7415656764606</v>
      </c>
      <c r="S185" s="84">
        <f t="shared" si="223"/>
        <v>9629.1564344056424</v>
      </c>
      <c r="T185" s="84">
        <f t="shared" si="223"/>
        <v>9619.015907378116</v>
      </c>
      <c r="U185" s="84">
        <f t="shared" si="223"/>
        <v>9501.1873444178673</v>
      </c>
      <c r="V185" s="84">
        <f t="shared" si="223"/>
        <v>9382.0380347592054</v>
      </c>
      <c r="W185" s="84">
        <f t="shared" si="221"/>
        <v>9448.1823487943839</v>
      </c>
      <c r="X185" s="84">
        <f t="shared" si="221"/>
        <v>9461.9135284847926</v>
      </c>
      <c r="Y185" s="84">
        <f t="shared" si="221"/>
        <v>9517.7832914326227</v>
      </c>
      <c r="DA185" s="171" t="s">
        <v>595</v>
      </c>
    </row>
    <row r="186" spans="1:105" ht="11.45" customHeight="1" x14ac:dyDescent="0.25">
      <c r="A186" s="111" t="s">
        <v>111</v>
      </c>
      <c r="B186" s="84">
        <f t="shared" si="223"/>
        <v>13500.632581123889</v>
      </c>
      <c r="C186" s="84">
        <f t="shared" si="223"/>
        <v>13590.003358170643</v>
      </c>
      <c r="D186" s="84">
        <f t="shared" si="223"/>
        <v>13677.098492222092</v>
      </c>
      <c r="E186" s="84">
        <f t="shared" si="223"/>
        <v>13774.771092274757</v>
      </c>
      <c r="F186" s="84">
        <f t="shared" si="223"/>
        <v>13877.71161036273</v>
      </c>
      <c r="G186" s="84">
        <f t="shared" si="223"/>
        <v>13968.338969326065</v>
      </c>
      <c r="H186" s="84">
        <f t="shared" si="223"/>
        <v>13969.107554330052</v>
      </c>
      <c r="I186" s="84">
        <f t="shared" si="223"/>
        <v>13934.06838056838</v>
      </c>
      <c r="J186" s="84">
        <f t="shared" si="223"/>
        <v>13948.362859431429</v>
      </c>
      <c r="K186" s="84">
        <f t="shared" si="223"/>
        <v>13894.276765076142</v>
      </c>
      <c r="L186" s="84">
        <f t="shared" si="223"/>
        <v>13827.607275066495</v>
      </c>
      <c r="M186" s="84">
        <f t="shared" si="222"/>
        <v>13932.208086622726</v>
      </c>
      <c r="N186" s="84">
        <f t="shared" si="223"/>
        <v>14030.524530688439</v>
      </c>
      <c r="O186" s="84">
        <f t="shared" si="223"/>
        <v>13995.065455131351</v>
      </c>
      <c r="P186" s="84">
        <f t="shared" si="223"/>
        <v>13975.002760657437</v>
      </c>
      <c r="Q186" s="84">
        <f t="shared" si="223"/>
        <v>13936.362182803203</v>
      </c>
      <c r="R186" s="84">
        <f t="shared" si="223"/>
        <v>14029.728196360538</v>
      </c>
      <c r="S186" s="84">
        <f t="shared" si="223"/>
        <v>14144.143163988274</v>
      </c>
      <c r="T186" s="84">
        <f t="shared" si="223"/>
        <v>14271.967550690528</v>
      </c>
      <c r="U186" s="84">
        <f t="shared" si="223"/>
        <v>14239.537828013794</v>
      </c>
      <c r="V186" s="84">
        <f t="shared" si="223"/>
        <v>14202.997372532385</v>
      </c>
      <c r="W186" s="84">
        <f t="shared" si="221"/>
        <v>14161.514788063778</v>
      </c>
      <c r="X186" s="84">
        <f t="shared" si="221"/>
        <v>14110.027684093866</v>
      </c>
      <c r="Y186" s="84">
        <f t="shared" si="221"/>
        <v>14052.815017570012</v>
      </c>
      <c r="DA186" s="171" t="s">
        <v>596</v>
      </c>
    </row>
    <row r="187" spans="1:105" ht="11.45" customHeight="1" x14ac:dyDescent="0.25">
      <c r="A187" s="111" t="s">
        <v>112</v>
      </c>
      <c r="B187" s="84">
        <f t="shared" si="223"/>
        <v>0</v>
      </c>
      <c r="C187" s="84">
        <f t="shared" si="223"/>
        <v>0</v>
      </c>
      <c r="D187" s="84">
        <f t="shared" si="223"/>
        <v>0</v>
      </c>
      <c r="E187" s="84">
        <f t="shared" si="223"/>
        <v>0</v>
      </c>
      <c r="F187" s="84">
        <f t="shared" si="223"/>
        <v>0</v>
      </c>
      <c r="G187" s="84">
        <f t="shared" si="223"/>
        <v>0</v>
      </c>
      <c r="H187" s="84">
        <f t="shared" si="223"/>
        <v>0</v>
      </c>
      <c r="I187" s="84">
        <f t="shared" si="223"/>
        <v>0</v>
      </c>
      <c r="J187" s="84">
        <f t="shared" si="223"/>
        <v>9144.8056275241433</v>
      </c>
      <c r="K187" s="84">
        <f t="shared" si="223"/>
        <v>9109.3457800126071</v>
      </c>
      <c r="L187" s="84">
        <f t="shared" si="223"/>
        <v>9065.6360247123903</v>
      </c>
      <c r="M187" s="84">
        <f t="shared" si="222"/>
        <v>9134.2142585741676</v>
      </c>
      <c r="N187" s="84">
        <f t="shared" si="223"/>
        <v>9198.6723444464005</v>
      </c>
      <c r="O187" s="84">
        <f t="shared" si="223"/>
        <v>9175.4247162502343</v>
      </c>
      <c r="P187" s="84">
        <f t="shared" si="223"/>
        <v>9162.2712413100344</v>
      </c>
      <c r="Q187" s="84">
        <f t="shared" si="223"/>
        <v>9136.9377611465716</v>
      </c>
      <c r="R187" s="84">
        <f t="shared" si="223"/>
        <v>9198.1502528779074</v>
      </c>
      <c r="S187" s="84">
        <f t="shared" si="223"/>
        <v>9273.1628296497838</v>
      </c>
      <c r="T187" s="84">
        <f t="shared" si="223"/>
        <v>9356.9668704988671</v>
      </c>
      <c r="U187" s="84">
        <f t="shared" si="223"/>
        <v>9335.7053422878525</v>
      </c>
      <c r="V187" s="84">
        <f t="shared" si="223"/>
        <v>9311.7487413386079</v>
      </c>
      <c r="W187" s="84">
        <f t="shared" si="221"/>
        <v>9284.5519888798572</v>
      </c>
      <c r="X187" s="84">
        <f t="shared" si="221"/>
        <v>9250.7960877125333</v>
      </c>
      <c r="Y187" s="84">
        <f t="shared" si="221"/>
        <v>9213.2864014457155</v>
      </c>
      <c r="DA187" s="171" t="s">
        <v>597</v>
      </c>
    </row>
    <row r="188" spans="1:105" ht="11.45" customHeight="1" x14ac:dyDescent="0.25">
      <c r="A188" s="111" t="s">
        <v>113</v>
      </c>
      <c r="B188" s="84">
        <f t="shared" si="223"/>
        <v>0</v>
      </c>
      <c r="C188" s="84">
        <f t="shared" si="223"/>
        <v>0</v>
      </c>
      <c r="D188" s="84">
        <f t="shared" si="223"/>
        <v>0</v>
      </c>
      <c r="E188" s="84">
        <f t="shared" si="223"/>
        <v>0</v>
      </c>
      <c r="F188" s="84">
        <f t="shared" si="223"/>
        <v>0</v>
      </c>
      <c r="G188" s="84">
        <f t="shared" si="223"/>
        <v>0</v>
      </c>
      <c r="H188" s="84">
        <f t="shared" si="223"/>
        <v>0</v>
      </c>
      <c r="I188" s="84">
        <f t="shared" si="223"/>
        <v>0</v>
      </c>
      <c r="J188" s="84">
        <f t="shared" si="223"/>
        <v>0</v>
      </c>
      <c r="K188" s="84">
        <f t="shared" si="223"/>
        <v>0</v>
      </c>
      <c r="L188" s="84">
        <f t="shared" si="223"/>
        <v>0</v>
      </c>
      <c r="M188" s="84">
        <f t="shared" si="222"/>
        <v>0</v>
      </c>
      <c r="N188" s="84">
        <f t="shared" si="223"/>
        <v>0</v>
      </c>
      <c r="O188" s="84">
        <f t="shared" si="223"/>
        <v>0</v>
      </c>
      <c r="P188" s="84">
        <f t="shared" si="223"/>
        <v>0</v>
      </c>
      <c r="Q188" s="84">
        <f t="shared" si="223"/>
        <v>0</v>
      </c>
      <c r="R188" s="84">
        <f t="shared" si="223"/>
        <v>0</v>
      </c>
      <c r="S188" s="84">
        <f t="shared" si="223"/>
        <v>0</v>
      </c>
      <c r="T188" s="84">
        <f t="shared" si="223"/>
        <v>0</v>
      </c>
      <c r="U188" s="84">
        <f t="shared" si="223"/>
        <v>0</v>
      </c>
      <c r="V188" s="84">
        <f t="shared" si="223"/>
        <v>0</v>
      </c>
      <c r="W188" s="84">
        <f t="shared" si="221"/>
        <v>0</v>
      </c>
      <c r="X188" s="84">
        <f t="shared" si="221"/>
        <v>0</v>
      </c>
      <c r="Y188" s="84">
        <f t="shared" si="221"/>
        <v>0</v>
      </c>
      <c r="DA188" s="171" t="s">
        <v>598</v>
      </c>
    </row>
    <row r="189" spans="1:105" ht="11.45" customHeight="1" x14ac:dyDescent="0.25">
      <c r="A189" s="111" t="s">
        <v>115</v>
      </c>
      <c r="B189" s="84">
        <f t="shared" si="223"/>
        <v>0</v>
      </c>
      <c r="C189" s="84">
        <f t="shared" si="223"/>
        <v>0</v>
      </c>
      <c r="D189" s="84">
        <f t="shared" si="223"/>
        <v>0</v>
      </c>
      <c r="E189" s="84">
        <f t="shared" si="223"/>
        <v>0</v>
      </c>
      <c r="F189" s="84">
        <f t="shared" si="223"/>
        <v>0</v>
      </c>
      <c r="G189" s="84">
        <f t="shared" si="223"/>
        <v>0</v>
      </c>
      <c r="H189" s="84">
        <f t="shared" si="223"/>
        <v>0</v>
      </c>
      <c r="I189" s="84">
        <f t="shared" si="223"/>
        <v>0</v>
      </c>
      <c r="J189" s="84">
        <f t="shared" si="223"/>
        <v>0</v>
      </c>
      <c r="K189" s="84">
        <f t="shared" si="223"/>
        <v>0</v>
      </c>
      <c r="L189" s="84">
        <f t="shared" si="223"/>
        <v>9276.2032947432162</v>
      </c>
      <c r="M189" s="84">
        <f t="shared" si="222"/>
        <v>9279.5327978470996</v>
      </c>
      <c r="N189" s="84">
        <f t="shared" si="223"/>
        <v>9282.6406322465355</v>
      </c>
      <c r="O189" s="84">
        <f t="shared" si="223"/>
        <v>9283.7592489023882</v>
      </c>
      <c r="P189" s="84">
        <f t="shared" si="223"/>
        <v>9284.3934766128095</v>
      </c>
      <c r="Q189" s="84">
        <f t="shared" si="223"/>
        <v>9285.6176859403258</v>
      </c>
      <c r="R189" s="84">
        <f t="shared" si="223"/>
        <v>9282.6657214390907</v>
      </c>
      <c r="S189" s="84">
        <f t="shared" si="223"/>
        <v>9279.0761869392263</v>
      </c>
      <c r="T189" s="84">
        <f t="shared" si="223"/>
        <v>9275.1017608327802</v>
      </c>
      <c r="U189" s="84">
        <f t="shared" si="223"/>
        <v>9274.0970776438717</v>
      </c>
      <c r="V189" s="84">
        <f t="shared" si="223"/>
        <v>9257.0919060441665</v>
      </c>
      <c r="W189" s="84">
        <f t="shared" si="221"/>
        <v>9271.670942161838</v>
      </c>
      <c r="X189" s="84">
        <f t="shared" si="221"/>
        <v>9270.0629627307735</v>
      </c>
      <c r="Y189" s="84">
        <f t="shared" si="221"/>
        <v>9268.2696019405594</v>
      </c>
      <c r="DA189" s="171" t="s">
        <v>599</v>
      </c>
    </row>
    <row r="190" spans="1:105" ht="11.45" customHeight="1" x14ac:dyDescent="0.25">
      <c r="A190" s="109" t="s">
        <v>154</v>
      </c>
      <c r="B190" s="110">
        <f t="shared" si="223"/>
        <v>23506.946090072008</v>
      </c>
      <c r="C190" s="110">
        <f t="shared" si="223"/>
        <v>23735.72754162813</v>
      </c>
      <c r="D190" s="110">
        <f t="shared" si="223"/>
        <v>24695.576405301097</v>
      </c>
      <c r="E190" s="110">
        <f t="shared" si="223"/>
        <v>23364.130003830651</v>
      </c>
      <c r="F190" s="110">
        <f t="shared" si="223"/>
        <v>25361.514702622389</v>
      </c>
      <c r="G190" s="110">
        <f t="shared" si="223"/>
        <v>24720.361994462204</v>
      </c>
      <c r="H190" s="110">
        <f t="shared" si="223"/>
        <v>22730.206193719925</v>
      </c>
      <c r="I190" s="110">
        <f t="shared" si="223"/>
        <v>22926.056944309512</v>
      </c>
      <c r="J190" s="110">
        <f t="shared" si="223"/>
        <v>20501.613851279908</v>
      </c>
      <c r="K190" s="110">
        <f t="shared" si="223"/>
        <v>16341.3642153201</v>
      </c>
      <c r="L190" s="110">
        <f t="shared" si="223"/>
        <v>10570.818352592463</v>
      </c>
      <c r="M190" s="110">
        <f t="shared" si="222"/>
        <v>11343.350077268586</v>
      </c>
      <c r="N190" s="110">
        <f t="shared" si="223"/>
        <v>13301.522550065267</v>
      </c>
      <c r="O190" s="110">
        <f t="shared" si="223"/>
        <v>14058.315686660793</v>
      </c>
      <c r="P190" s="110">
        <f t="shared" si="223"/>
        <v>14367.998746152909</v>
      </c>
      <c r="Q190" s="110">
        <f t="shared" si="223"/>
        <v>15962.825141528501</v>
      </c>
      <c r="R190" s="110">
        <f t="shared" si="223"/>
        <v>19408.319649788067</v>
      </c>
      <c r="S190" s="110">
        <f t="shared" si="223"/>
        <v>22511.981129954485</v>
      </c>
      <c r="T190" s="110">
        <f t="shared" si="223"/>
        <v>24164.745678753094</v>
      </c>
      <c r="U190" s="110">
        <f t="shared" si="223"/>
        <v>26439.829435089952</v>
      </c>
      <c r="V190" s="110">
        <f t="shared" si="223"/>
        <v>23660.004869751094</v>
      </c>
      <c r="W190" s="110">
        <f t="shared" si="221"/>
        <v>28295.535121950237</v>
      </c>
      <c r="X190" s="110">
        <f t="shared" si="221"/>
        <v>30981.845510626052</v>
      </c>
      <c r="Y190" s="110">
        <f t="shared" si="221"/>
        <v>31708.061165830193</v>
      </c>
      <c r="DA190" s="176" t="s">
        <v>600</v>
      </c>
    </row>
    <row r="191" spans="1:105" ht="11.45" customHeight="1" x14ac:dyDescent="0.25">
      <c r="A191" s="128" t="s">
        <v>27</v>
      </c>
      <c r="B191" s="102">
        <f t="shared" si="223"/>
        <v>13894.433393266498</v>
      </c>
      <c r="C191" s="102">
        <f t="shared" si="223"/>
        <v>14079.183559138815</v>
      </c>
      <c r="D191" s="102">
        <f t="shared" si="223"/>
        <v>14624.981158446713</v>
      </c>
      <c r="E191" s="102">
        <f t="shared" si="223"/>
        <v>14794.716780011157</v>
      </c>
      <c r="F191" s="102">
        <f t="shared" si="223"/>
        <v>15686.426800101955</v>
      </c>
      <c r="G191" s="102">
        <f t="shared" si="223"/>
        <v>16619.481019808776</v>
      </c>
      <c r="H191" s="102">
        <f t="shared" si="223"/>
        <v>17208.289306277358</v>
      </c>
      <c r="I191" s="102">
        <f t="shared" si="223"/>
        <v>17307.587707370138</v>
      </c>
      <c r="J191" s="102">
        <f t="shared" si="223"/>
        <v>16175.479443661541</v>
      </c>
      <c r="K191" s="102">
        <f t="shared" si="223"/>
        <v>13923.258389100189</v>
      </c>
      <c r="L191" s="102">
        <f t="shared" si="223"/>
        <v>8345.4504495279452</v>
      </c>
      <c r="M191" s="102">
        <f t="shared" si="222"/>
        <v>8933.8500952506074</v>
      </c>
      <c r="N191" s="102">
        <f t="shared" si="223"/>
        <v>10320.774413969821</v>
      </c>
      <c r="O191" s="102">
        <f t="shared" si="223"/>
        <v>10794.932990637048</v>
      </c>
      <c r="P191" s="102">
        <f t="shared" si="223"/>
        <v>11034.660150472639</v>
      </c>
      <c r="Q191" s="102">
        <f t="shared" si="223"/>
        <v>12295.554019811103</v>
      </c>
      <c r="R191" s="102">
        <f t="shared" si="223"/>
        <v>15016.088666428315</v>
      </c>
      <c r="S191" s="102">
        <f t="shared" si="223"/>
        <v>17108.926243084188</v>
      </c>
      <c r="T191" s="102">
        <f t="shared" si="223"/>
        <v>19025.640093765331</v>
      </c>
      <c r="U191" s="102">
        <f t="shared" si="223"/>
        <v>21521.263150399631</v>
      </c>
      <c r="V191" s="102">
        <f t="shared" si="223"/>
        <v>19871.168590306181</v>
      </c>
      <c r="W191" s="102">
        <f t="shared" si="221"/>
        <v>23243.315867257825</v>
      </c>
      <c r="X191" s="102">
        <f t="shared" si="221"/>
        <v>26004.398059269086</v>
      </c>
      <c r="Y191" s="102">
        <f t="shared" si="221"/>
        <v>26585.117941887773</v>
      </c>
      <c r="DA191" s="175" t="s">
        <v>601</v>
      </c>
    </row>
    <row r="192" spans="1:105" ht="11.45" customHeight="1" x14ac:dyDescent="0.25">
      <c r="A192" s="138" t="s">
        <v>116</v>
      </c>
      <c r="B192" s="86">
        <f t="shared" si="223"/>
        <v>85001.416966113291</v>
      </c>
      <c r="C192" s="86">
        <f t="shared" si="223"/>
        <v>85003.441781782851</v>
      </c>
      <c r="D192" s="86">
        <f t="shared" si="223"/>
        <v>85000.212852851095</v>
      </c>
      <c r="E192" s="86">
        <f t="shared" si="223"/>
        <v>85000.879423150502</v>
      </c>
      <c r="F192" s="86">
        <f t="shared" si="223"/>
        <v>84996.527527318729</v>
      </c>
      <c r="G192" s="86">
        <f t="shared" si="223"/>
        <v>85003.799030496244</v>
      </c>
      <c r="H192" s="86">
        <f t="shared" si="223"/>
        <v>84995.945238430897</v>
      </c>
      <c r="I192" s="86">
        <f t="shared" si="223"/>
        <v>85002.713747873408</v>
      </c>
      <c r="J192" s="86">
        <f t="shared" si="223"/>
        <v>85002.380903721467</v>
      </c>
      <c r="K192" s="86">
        <f t="shared" si="223"/>
        <v>84994.284002654356</v>
      </c>
      <c r="L192" s="86">
        <f t="shared" si="223"/>
        <v>84997.180913371514</v>
      </c>
      <c r="M192" s="86">
        <f t="shared" si="222"/>
        <v>84997.603543653429</v>
      </c>
      <c r="N192" s="86">
        <f t="shared" si="223"/>
        <v>85009.611842388811</v>
      </c>
      <c r="O192" s="86">
        <f t="shared" si="223"/>
        <v>84990.660240696452</v>
      </c>
      <c r="P192" s="86">
        <f t="shared" si="223"/>
        <v>85009.520279845849</v>
      </c>
      <c r="Q192" s="86">
        <f t="shared" si="223"/>
        <v>84991.004824456322</v>
      </c>
      <c r="R192" s="86">
        <f t="shared" si="223"/>
        <v>85008.208322132414</v>
      </c>
      <c r="S192" s="86">
        <f t="shared" si="223"/>
        <v>85003.315356454739</v>
      </c>
      <c r="T192" s="86">
        <f t="shared" si="223"/>
        <v>84997.208455148299</v>
      </c>
      <c r="U192" s="86">
        <f t="shared" si="223"/>
        <v>84992.552082906957</v>
      </c>
      <c r="V192" s="86">
        <f t="shared" ref="V192:W192" si="224">IF(V55=0,0,V55*1000000/V82)</f>
        <v>85001.568966104634</v>
      </c>
      <c r="W192" s="86">
        <f t="shared" si="224"/>
        <v>85002.291634938883</v>
      </c>
      <c r="X192" s="86">
        <f t="shared" ref="X192:Y192" si="225">IF(X55=0,0,X55*1000000/X82)</f>
        <v>84996.577341658543</v>
      </c>
      <c r="Y192" s="86">
        <f t="shared" si="225"/>
        <v>84993.767736118636</v>
      </c>
      <c r="DA192" s="178" t="s">
        <v>602</v>
      </c>
    </row>
    <row r="193" spans="1:105" ht="11.45" customHeight="1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DA193" s="171"/>
    </row>
    <row r="194" spans="1:105" ht="11.45" customHeight="1" x14ac:dyDescent="0.25">
      <c r="A194" s="53" t="s">
        <v>137</v>
      </c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DA194" s="172"/>
    </row>
    <row r="195" spans="1:105" ht="11.45" customHeight="1" x14ac:dyDescent="0.25">
      <c r="A195" s="27" t="s">
        <v>107</v>
      </c>
      <c r="B195" s="28">
        <f t="shared" ref="B195:L195" si="226">IF(B4=0,0,B4*1000000/B58)</f>
        <v>18299.458894982046</v>
      </c>
      <c r="C195" s="28">
        <f t="shared" si="226"/>
        <v>18032.415608380863</v>
      </c>
      <c r="D195" s="28">
        <f t="shared" si="226"/>
        <v>20038.000478270547</v>
      </c>
      <c r="E195" s="28">
        <f t="shared" si="226"/>
        <v>20716.032425208541</v>
      </c>
      <c r="F195" s="28">
        <f t="shared" si="226"/>
        <v>20427.820699397191</v>
      </c>
      <c r="G195" s="28">
        <f t="shared" si="226"/>
        <v>21184.403920143141</v>
      </c>
      <c r="H195" s="28">
        <f t="shared" si="226"/>
        <v>23037.275513099328</v>
      </c>
      <c r="I195" s="28">
        <f t="shared" si="226"/>
        <v>22025.660637653797</v>
      </c>
      <c r="J195" s="28">
        <f t="shared" si="226"/>
        <v>22004.702822723058</v>
      </c>
      <c r="K195" s="28">
        <f t="shared" si="226"/>
        <v>21313.659279620919</v>
      </c>
      <c r="L195" s="28">
        <f t="shared" si="226"/>
        <v>20644.437518508174</v>
      </c>
      <c r="M195" s="28">
        <f>IF(M4=0,0,M4*1000000/M58)</f>
        <v>20378.312806018446</v>
      </c>
      <c r="N195" s="28">
        <f t="shared" ref="N195:V195" si="227">IF(N4=0,0,N4*1000000/N58)</f>
        <v>20427.653209368906</v>
      </c>
      <c r="O195" s="28">
        <f t="shared" si="227"/>
        <v>20245.903995157674</v>
      </c>
      <c r="P195" s="28">
        <f t="shared" si="227"/>
        <v>20578.980143187662</v>
      </c>
      <c r="Q195" s="28">
        <f t="shared" si="227"/>
        <v>21694.594146897427</v>
      </c>
      <c r="R195" s="28">
        <f t="shared" si="227"/>
        <v>21612.817856966922</v>
      </c>
      <c r="S195" s="28">
        <f t="shared" si="227"/>
        <v>19914.621462793657</v>
      </c>
      <c r="T195" s="28">
        <f t="shared" si="227"/>
        <v>19751.156045454602</v>
      </c>
      <c r="U195" s="28">
        <f t="shared" si="227"/>
        <v>19406.743869808091</v>
      </c>
      <c r="V195" s="28">
        <f t="shared" si="227"/>
        <v>15811.30803749764</v>
      </c>
      <c r="W195" s="28">
        <f t="shared" ref="W195:Y195" si="228">IF(W4=0,0,W4*1000000/W58)</f>
        <v>16498.015894288332</v>
      </c>
      <c r="X195" s="28">
        <f t="shared" si="228"/>
        <v>17130.119213165999</v>
      </c>
      <c r="Y195" s="28">
        <f t="shared" si="228"/>
        <v>17830.000928199181</v>
      </c>
      <c r="DA195" s="173" t="s">
        <v>603</v>
      </c>
    </row>
    <row r="196" spans="1:105" ht="11.45" customHeight="1" x14ac:dyDescent="0.25">
      <c r="A196" s="136" t="s">
        <v>173</v>
      </c>
      <c r="B196" s="137">
        <f t="shared" ref="B196:L196" si="229">IF(B5=0,0,B5*1000000/B59)</f>
        <v>6031.7079538605694</v>
      </c>
      <c r="C196" s="137">
        <f t="shared" si="229"/>
        <v>6034.5916489263891</v>
      </c>
      <c r="D196" s="137">
        <f t="shared" si="229"/>
        <v>6036.5584087298366</v>
      </c>
      <c r="E196" s="137">
        <f t="shared" si="229"/>
        <v>6033.9436113086167</v>
      </c>
      <c r="F196" s="137">
        <f t="shared" si="229"/>
        <v>6026.8689958757323</v>
      </c>
      <c r="G196" s="137">
        <f t="shared" si="229"/>
        <v>6013.7370238854028</v>
      </c>
      <c r="H196" s="137">
        <f t="shared" si="229"/>
        <v>5956.7694583015309</v>
      </c>
      <c r="I196" s="137">
        <f t="shared" si="229"/>
        <v>5916.7699537028147</v>
      </c>
      <c r="J196" s="137">
        <f t="shared" si="229"/>
        <v>5779.2716653878542</v>
      </c>
      <c r="K196" s="137">
        <f t="shared" si="229"/>
        <v>5677.0545090568248</v>
      </c>
      <c r="L196" s="137">
        <f t="shared" si="229"/>
        <v>5623.1464389872926</v>
      </c>
      <c r="M196" s="137">
        <f>IF(M5=0,0,M5*1000000/M59)</f>
        <v>5640.826440181776</v>
      </c>
      <c r="N196" s="137">
        <f t="shared" ref="N196:V196" si="230">IF(N5=0,0,N5*1000000/N59)</f>
        <v>5563.9671363265488</v>
      </c>
      <c r="O196" s="137">
        <f t="shared" si="230"/>
        <v>5605.8699723004311</v>
      </c>
      <c r="P196" s="137">
        <f t="shared" si="230"/>
        <v>5592.4097608716365</v>
      </c>
      <c r="Q196" s="137">
        <f t="shared" si="230"/>
        <v>5631.294616525789</v>
      </c>
      <c r="R196" s="137">
        <f t="shared" si="230"/>
        <v>5766.9082477646652</v>
      </c>
      <c r="S196" s="137">
        <f t="shared" si="230"/>
        <v>5167.0510094350002</v>
      </c>
      <c r="T196" s="137">
        <f t="shared" si="230"/>
        <v>4642.2075987877697</v>
      </c>
      <c r="U196" s="137">
        <f t="shared" si="230"/>
        <v>4573.0629763779098</v>
      </c>
      <c r="V196" s="137">
        <f t="shared" si="230"/>
        <v>3813.2047469336276</v>
      </c>
      <c r="W196" s="137">
        <f t="shared" ref="W196:Y196" si="231">IF(W5=0,0,W5*1000000/W59)</f>
        <v>3717.730673364571</v>
      </c>
      <c r="X196" s="137">
        <f t="shared" si="231"/>
        <v>3517.3669463768238</v>
      </c>
      <c r="Y196" s="137">
        <f t="shared" si="231"/>
        <v>3560.5441986236647</v>
      </c>
      <c r="DA196" s="174" t="s">
        <v>604</v>
      </c>
    </row>
    <row r="197" spans="1:105" ht="11.45" customHeight="1" x14ac:dyDescent="0.25">
      <c r="A197" s="109" t="s">
        <v>20</v>
      </c>
      <c r="B197" s="110">
        <f t="shared" ref="B197:V210" si="232">IF(B6=0,0,B6*1000000/B60)</f>
        <v>16300.272757897483</v>
      </c>
      <c r="C197" s="110">
        <f t="shared" si="232"/>
        <v>16276.546271895833</v>
      </c>
      <c r="D197" s="110">
        <f t="shared" si="232"/>
        <v>18175.698418041062</v>
      </c>
      <c r="E197" s="110">
        <f t="shared" si="232"/>
        <v>18151.491047749441</v>
      </c>
      <c r="F197" s="110">
        <f t="shared" si="232"/>
        <v>17982.82330325861</v>
      </c>
      <c r="G197" s="110">
        <f t="shared" si="232"/>
        <v>18133.174791914389</v>
      </c>
      <c r="H197" s="110">
        <f t="shared" si="232"/>
        <v>19900.651971437441</v>
      </c>
      <c r="I197" s="110">
        <f t="shared" si="232"/>
        <v>19062.41174809376</v>
      </c>
      <c r="J197" s="110">
        <f t="shared" si="232"/>
        <v>17506.407220883928</v>
      </c>
      <c r="K197" s="110">
        <f t="shared" si="232"/>
        <v>17785.014276301856</v>
      </c>
      <c r="L197" s="110">
        <f t="shared" si="232"/>
        <v>17475.978052949205</v>
      </c>
      <c r="M197" s="110">
        <f>IF(M6=0,0,M6*1000000/M60)</f>
        <v>17294.844221465748</v>
      </c>
      <c r="N197" s="110">
        <f t="shared" ref="N197:V197" si="233">IF(N6=0,0,N6*1000000/N60)</f>
        <v>17168.89585600291</v>
      </c>
      <c r="O197" s="110">
        <f t="shared" si="233"/>
        <v>17110.442254193393</v>
      </c>
      <c r="P197" s="110">
        <f t="shared" si="233"/>
        <v>17356.291441334353</v>
      </c>
      <c r="Q197" s="110">
        <f t="shared" si="233"/>
        <v>17424.312481647408</v>
      </c>
      <c r="R197" s="110">
        <f t="shared" si="233"/>
        <v>17467.889917204211</v>
      </c>
      <c r="S197" s="110">
        <f t="shared" si="233"/>
        <v>16222.104566855351</v>
      </c>
      <c r="T197" s="110">
        <f t="shared" si="233"/>
        <v>16087.219309809863</v>
      </c>
      <c r="U197" s="110">
        <f t="shared" si="233"/>
        <v>16009.024192543431</v>
      </c>
      <c r="V197" s="110">
        <f t="shared" si="233"/>
        <v>13625.62579844442</v>
      </c>
      <c r="W197" s="110">
        <f t="shared" ref="W197:Y209" si="234">IF(W6=0,0,W6*1000000/W60)</f>
        <v>14321.139535654323</v>
      </c>
      <c r="X197" s="110">
        <f t="shared" si="234"/>
        <v>14876.014287216034</v>
      </c>
      <c r="Y197" s="110">
        <f t="shared" si="234"/>
        <v>15299.155553203645</v>
      </c>
      <c r="DA197" s="176" t="s">
        <v>605</v>
      </c>
    </row>
    <row r="198" spans="1:105" ht="11.45" customHeight="1" x14ac:dyDescent="0.25">
      <c r="A198" s="111" t="s">
        <v>110</v>
      </c>
      <c r="B198" s="84">
        <f t="shared" si="232"/>
        <v>15149.889677516432</v>
      </c>
      <c r="C198" s="84">
        <f t="shared" si="232"/>
        <v>15458.680362623321</v>
      </c>
      <c r="D198" s="84">
        <f t="shared" si="232"/>
        <v>17016.635710563551</v>
      </c>
      <c r="E198" s="84">
        <f t="shared" si="232"/>
        <v>16736.892163214798</v>
      </c>
      <c r="F198" s="84">
        <f t="shared" si="232"/>
        <v>16553.23409337012</v>
      </c>
      <c r="G198" s="84">
        <f t="shared" si="232"/>
        <v>15552.600695031313</v>
      </c>
      <c r="H198" s="84">
        <f t="shared" si="232"/>
        <v>16434.295611819431</v>
      </c>
      <c r="I198" s="84">
        <f t="shared" si="232"/>
        <v>15032.237925680749</v>
      </c>
      <c r="J198" s="84">
        <f t="shared" si="232"/>
        <v>12075.749902465082</v>
      </c>
      <c r="K198" s="84">
        <f t="shared" si="232"/>
        <v>11792.426762689263</v>
      </c>
      <c r="L198" s="84">
        <f t="shared" si="232"/>
        <v>11981.701850398529</v>
      </c>
      <c r="M198" s="84">
        <f t="shared" ref="M198:M219" si="235">IF(M7=0,0,M7*1000000/M61)</f>
        <v>10580.403311240601</v>
      </c>
      <c r="N198" s="84">
        <f t="shared" si="232"/>
        <v>10117.246298700638</v>
      </c>
      <c r="O198" s="84">
        <f t="shared" si="232"/>
        <v>10740.534723974373</v>
      </c>
      <c r="P198" s="84">
        <f t="shared" si="232"/>
        <v>11664.277690696847</v>
      </c>
      <c r="Q198" s="84">
        <f t="shared" si="232"/>
        <v>11466.824275186793</v>
      </c>
      <c r="R198" s="84">
        <f t="shared" si="232"/>
        <v>10954.28387765053</v>
      </c>
      <c r="S198" s="84">
        <f t="shared" si="232"/>
        <v>10350.291956249512</v>
      </c>
      <c r="T198" s="84">
        <f t="shared" si="232"/>
        <v>10242.877215468732</v>
      </c>
      <c r="U198" s="84">
        <f t="shared" si="232"/>
        <v>10171.68697293422</v>
      </c>
      <c r="V198" s="84">
        <f t="shared" si="232"/>
        <v>9329.5850656948205</v>
      </c>
      <c r="W198" s="84">
        <f t="shared" si="234"/>
        <v>10287.781105744523</v>
      </c>
      <c r="X198" s="84">
        <f t="shared" si="234"/>
        <v>10359.07392127737</v>
      </c>
      <c r="Y198" s="84">
        <f t="shared" si="234"/>
        <v>10562.411486366753</v>
      </c>
      <c r="DA198" s="171" t="s">
        <v>606</v>
      </c>
    </row>
    <row r="199" spans="1:105" ht="11.45" customHeight="1" x14ac:dyDescent="0.25">
      <c r="A199" s="111" t="s">
        <v>111</v>
      </c>
      <c r="B199" s="84">
        <f t="shared" si="232"/>
        <v>31561.284485036074</v>
      </c>
      <c r="C199" s="84">
        <f t="shared" si="232"/>
        <v>23886.260733262174</v>
      </c>
      <c r="D199" s="84">
        <f t="shared" si="232"/>
        <v>26596.231785132481</v>
      </c>
      <c r="E199" s="84">
        <f t="shared" si="232"/>
        <v>26345.774608437616</v>
      </c>
      <c r="F199" s="84">
        <f t="shared" si="232"/>
        <v>24868.23715440862</v>
      </c>
      <c r="G199" s="84">
        <f t="shared" si="232"/>
        <v>28715.775120096045</v>
      </c>
      <c r="H199" s="84">
        <f t="shared" si="232"/>
        <v>31576.759809958159</v>
      </c>
      <c r="I199" s="84">
        <f t="shared" si="232"/>
        <v>30146.23870969957</v>
      </c>
      <c r="J199" s="84">
        <f t="shared" si="232"/>
        <v>31394.298716709283</v>
      </c>
      <c r="K199" s="84">
        <f t="shared" si="232"/>
        <v>32325.197423795795</v>
      </c>
      <c r="L199" s="84">
        <f t="shared" si="232"/>
        <v>29852.90798841471</v>
      </c>
      <c r="M199" s="84">
        <f t="shared" si="235"/>
        <v>31544.229441806965</v>
      </c>
      <c r="N199" s="84">
        <f t="shared" si="232"/>
        <v>31484.651868186855</v>
      </c>
      <c r="O199" s="84">
        <f t="shared" si="232"/>
        <v>29398.733571995592</v>
      </c>
      <c r="P199" s="84">
        <f t="shared" si="232"/>
        <v>27694.978921460584</v>
      </c>
      <c r="Q199" s="84">
        <f t="shared" si="232"/>
        <v>27490.411366012351</v>
      </c>
      <c r="R199" s="84">
        <f t="shared" si="232"/>
        <v>27720.782326539567</v>
      </c>
      <c r="S199" s="84">
        <f t="shared" si="232"/>
        <v>24163.571265824779</v>
      </c>
      <c r="T199" s="84">
        <f t="shared" si="232"/>
        <v>23139.340333684842</v>
      </c>
      <c r="U199" s="84">
        <f t="shared" si="232"/>
        <v>22542.994437361416</v>
      </c>
      <c r="V199" s="84">
        <f t="shared" si="232"/>
        <v>18050.942788770575</v>
      </c>
      <c r="W199" s="84">
        <f t="shared" si="234"/>
        <v>18185.427911602477</v>
      </c>
      <c r="X199" s="84">
        <f t="shared" si="234"/>
        <v>19063.490212516353</v>
      </c>
      <c r="Y199" s="84">
        <f t="shared" si="234"/>
        <v>19568.244825356298</v>
      </c>
      <c r="DA199" s="171" t="s">
        <v>607</v>
      </c>
    </row>
    <row r="200" spans="1:105" ht="11.45" customHeight="1" x14ac:dyDescent="0.25">
      <c r="A200" s="111" t="s">
        <v>112</v>
      </c>
      <c r="B200" s="84">
        <f t="shared" si="232"/>
        <v>0</v>
      </c>
      <c r="C200" s="84">
        <f t="shared" si="232"/>
        <v>0</v>
      </c>
      <c r="D200" s="84">
        <f t="shared" si="232"/>
        <v>18087.916144406463</v>
      </c>
      <c r="E200" s="84">
        <f t="shared" si="232"/>
        <v>19361.267607962127</v>
      </c>
      <c r="F200" s="84">
        <f t="shared" si="232"/>
        <v>19829.403003389689</v>
      </c>
      <c r="G200" s="84">
        <f t="shared" si="232"/>
        <v>22061.25218998655</v>
      </c>
      <c r="H200" s="84">
        <f t="shared" si="232"/>
        <v>22843.324842340404</v>
      </c>
      <c r="I200" s="84">
        <f t="shared" si="232"/>
        <v>23492.109838251552</v>
      </c>
      <c r="J200" s="84">
        <f t="shared" si="232"/>
        <v>21703.655291107963</v>
      </c>
      <c r="K200" s="84">
        <f t="shared" si="232"/>
        <v>20179.86170450296</v>
      </c>
      <c r="L200" s="84">
        <f t="shared" si="232"/>
        <v>17271.181551365953</v>
      </c>
      <c r="M200" s="84">
        <f t="shared" si="235"/>
        <v>19030.584532487821</v>
      </c>
      <c r="N200" s="84">
        <f t="shared" si="232"/>
        <v>17184.041389774673</v>
      </c>
      <c r="O200" s="84">
        <f t="shared" si="232"/>
        <v>15936.501159383042</v>
      </c>
      <c r="P200" s="84">
        <f t="shared" si="232"/>
        <v>17117.674171318089</v>
      </c>
      <c r="Q200" s="84">
        <f t="shared" si="232"/>
        <v>18619.44909995791</v>
      </c>
      <c r="R200" s="84">
        <f t="shared" si="232"/>
        <v>17819.68460241775</v>
      </c>
      <c r="S200" s="84">
        <f t="shared" si="232"/>
        <v>19589.504215868641</v>
      </c>
      <c r="T200" s="84">
        <f t="shared" si="232"/>
        <v>18704.428259338918</v>
      </c>
      <c r="U200" s="84">
        <f t="shared" si="232"/>
        <v>17278.844800237166</v>
      </c>
      <c r="V200" s="84">
        <f t="shared" si="232"/>
        <v>15933.165758547799</v>
      </c>
      <c r="W200" s="84">
        <f t="shared" si="234"/>
        <v>16877.5620363915</v>
      </c>
      <c r="X200" s="84">
        <f t="shared" si="234"/>
        <v>17616.312869165358</v>
      </c>
      <c r="Y200" s="84">
        <f t="shared" si="234"/>
        <v>18148.318772320516</v>
      </c>
      <c r="DA200" s="171" t="s">
        <v>608</v>
      </c>
    </row>
    <row r="201" spans="1:105" ht="11.45" customHeight="1" x14ac:dyDescent="0.25">
      <c r="A201" s="111" t="s">
        <v>113</v>
      </c>
      <c r="B201" s="84">
        <f t="shared" si="232"/>
        <v>0</v>
      </c>
      <c r="C201" s="84">
        <f t="shared" si="232"/>
        <v>0</v>
      </c>
      <c r="D201" s="84">
        <f t="shared" si="232"/>
        <v>0</v>
      </c>
      <c r="E201" s="84">
        <f t="shared" si="232"/>
        <v>0</v>
      </c>
      <c r="F201" s="84">
        <f t="shared" si="232"/>
        <v>0</v>
      </c>
      <c r="G201" s="84">
        <f t="shared" si="232"/>
        <v>0</v>
      </c>
      <c r="H201" s="84">
        <f t="shared" si="232"/>
        <v>0</v>
      </c>
      <c r="I201" s="84">
        <f t="shared" si="232"/>
        <v>0</v>
      </c>
      <c r="J201" s="84">
        <f t="shared" si="232"/>
        <v>0</v>
      </c>
      <c r="K201" s="84">
        <f t="shared" si="232"/>
        <v>0</v>
      </c>
      <c r="L201" s="84">
        <f t="shared" si="232"/>
        <v>0</v>
      </c>
      <c r="M201" s="84">
        <f t="shared" si="235"/>
        <v>0</v>
      </c>
      <c r="N201" s="84">
        <f t="shared" si="232"/>
        <v>0</v>
      </c>
      <c r="O201" s="84">
        <f t="shared" si="232"/>
        <v>0</v>
      </c>
      <c r="P201" s="84">
        <f t="shared" si="232"/>
        <v>0</v>
      </c>
      <c r="Q201" s="84">
        <f t="shared" si="232"/>
        <v>0</v>
      </c>
      <c r="R201" s="84">
        <f t="shared" si="232"/>
        <v>0</v>
      </c>
      <c r="S201" s="84">
        <f t="shared" si="232"/>
        <v>0</v>
      </c>
      <c r="T201" s="84">
        <f t="shared" si="232"/>
        <v>0</v>
      </c>
      <c r="U201" s="84">
        <f t="shared" si="232"/>
        <v>0</v>
      </c>
      <c r="V201" s="84">
        <f t="shared" si="232"/>
        <v>0</v>
      </c>
      <c r="W201" s="84">
        <f t="shared" si="234"/>
        <v>0</v>
      </c>
      <c r="X201" s="84">
        <f t="shared" si="234"/>
        <v>0</v>
      </c>
      <c r="Y201" s="84">
        <f t="shared" si="234"/>
        <v>0</v>
      </c>
      <c r="DA201" s="171" t="s">
        <v>609</v>
      </c>
    </row>
    <row r="202" spans="1:105" ht="11.45" customHeight="1" x14ac:dyDescent="0.25">
      <c r="A202" s="111" t="s">
        <v>114</v>
      </c>
      <c r="B202" s="84">
        <f t="shared" si="232"/>
        <v>0</v>
      </c>
      <c r="C202" s="84">
        <f t="shared" si="232"/>
        <v>0</v>
      </c>
      <c r="D202" s="84">
        <f t="shared" si="232"/>
        <v>0</v>
      </c>
      <c r="E202" s="84">
        <f t="shared" si="232"/>
        <v>0</v>
      </c>
      <c r="F202" s="84">
        <f t="shared" si="232"/>
        <v>0</v>
      </c>
      <c r="G202" s="84">
        <f t="shared" si="232"/>
        <v>0</v>
      </c>
      <c r="H202" s="84">
        <f t="shared" si="232"/>
        <v>0</v>
      </c>
      <c r="I202" s="84">
        <f t="shared" si="232"/>
        <v>0</v>
      </c>
      <c r="J202" s="84">
        <f t="shared" si="232"/>
        <v>0</v>
      </c>
      <c r="K202" s="84">
        <f t="shared" si="232"/>
        <v>0</v>
      </c>
      <c r="L202" s="84">
        <f t="shared" si="232"/>
        <v>0</v>
      </c>
      <c r="M202" s="84">
        <f t="shared" si="235"/>
        <v>0</v>
      </c>
      <c r="N202" s="84">
        <f t="shared" si="232"/>
        <v>12008.043897788129</v>
      </c>
      <c r="O202" s="84">
        <f t="shared" si="232"/>
        <v>13058.552316254503</v>
      </c>
      <c r="P202" s="84">
        <f t="shared" si="232"/>
        <v>14718.424503607603</v>
      </c>
      <c r="Q202" s="84">
        <f t="shared" si="232"/>
        <v>16409.9095864349</v>
      </c>
      <c r="R202" s="84">
        <f t="shared" si="232"/>
        <v>15705.051831266181</v>
      </c>
      <c r="S202" s="84">
        <f t="shared" si="232"/>
        <v>16065.498414666228</v>
      </c>
      <c r="T202" s="84">
        <f t="shared" si="232"/>
        <v>16058.260607679262</v>
      </c>
      <c r="U202" s="84">
        <f t="shared" si="232"/>
        <v>15418.319911792742</v>
      </c>
      <c r="V202" s="84">
        <f t="shared" si="232"/>
        <v>14868.426798225277</v>
      </c>
      <c r="W202" s="84">
        <f t="shared" si="234"/>
        <v>15749.713489045178</v>
      </c>
      <c r="X202" s="84">
        <f t="shared" si="234"/>
        <v>16439.097058241605</v>
      </c>
      <c r="Y202" s="84">
        <f t="shared" si="234"/>
        <v>16935.55149467666</v>
      </c>
      <c r="DA202" s="171" t="s">
        <v>610</v>
      </c>
    </row>
    <row r="203" spans="1:105" ht="11.45" customHeight="1" x14ac:dyDescent="0.25">
      <c r="A203" s="111" t="s">
        <v>115</v>
      </c>
      <c r="B203" s="84">
        <f t="shared" si="232"/>
        <v>0</v>
      </c>
      <c r="C203" s="84">
        <f t="shared" si="232"/>
        <v>0</v>
      </c>
      <c r="D203" s="84">
        <f t="shared" si="232"/>
        <v>0</v>
      </c>
      <c r="E203" s="84">
        <f t="shared" si="232"/>
        <v>0</v>
      </c>
      <c r="F203" s="84">
        <f t="shared" si="232"/>
        <v>0</v>
      </c>
      <c r="G203" s="84">
        <f t="shared" si="232"/>
        <v>0</v>
      </c>
      <c r="H203" s="84">
        <f t="shared" si="232"/>
        <v>0</v>
      </c>
      <c r="I203" s="84">
        <f t="shared" si="232"/>
        <v>0</v>
      </c>
      <c r="J203" s="84">
        <f t="shared" si="232"/>
        <v>0</v>
      </c>
      <c r="K203" s="84">
        <f t="shared" si="232"/>
        <v>19031.664563002778</v>
      </c>
      <c r="L203" s="84">
        <f t="shared" si="232"/>
        <v>18527.068483187781</v>
      </c>
      <c r="M203" s="84">
        <f t="shared" si="235"/>
        <v>17590.234004482798</v>
      </c>
      <c r="N203" s="84">
        <f t="shared" si="232"/>
        <v>17276.614035036673</v>
      </c>
      <c r="O203" s="84">
        <f t="shared" si="232"/>
        <v>17272.575253709816</v>
      </c>
      <c r="P203" s="84">
        <f t="shared" si="232"/>
        <v>17534.410675997304</v>
      </c>
      <c r="Q203" s="84">
        <f t="shared" si="232"/>
        <v>17709.131630297801</v>
      </c>
      <c r="R203" s="84">
        <f t="shared" si="232"/>
        <v>17934.217239107493</v>
      </c>
      <c r="S203" s="84">
        <f t="shared" si="232"/>
        <v>17849.140342343988</v>
      </c>
      <c r="T203" s="84">
        <f t="shared" si="232"/>
        <v>17860.558008279673</v>
      </c>
      <c r="U203" s="84">
        <f t="shared" si="232"/>
        <v>17687.214176505557</v>
      </c>
      <c r="V203" s="84">
        <f t="shared" si="232"/>
        <v>16489.202745052095</v>
      </c>
      <c r="W203" s="84">
        <f t="shared" si="234"/>
        <v>17297.230573734341</v>
      </c>
      <c r="X203" s="84">
        <f t="shared" si="234"/>
        <v>16625.894342614527</v>
      </c>
      <c r="Y203" s="84">
        <f t="shared" si="234"/>
        <v>15989.645577006882</v>
      </c>
      <c r="DA203" s="171" t="s">
        <v>611</v>
      </c>
    </row>
    <row r="204" spans="1:105" ht="11.45" customHeight="1" x14ac:dyDescent="0.25">
      <c r="A204" s="109" t="s">
        <v>21</v>
      </c>
      <c r="B204" s="110">
        <f t="shared" si="232"/>
        <v>159943.50047775329</v>
      </c>
      <c r="C204" s="110">
        <f t="shared" si="232"/>
        <v>148206.35319755258</v>
      </c>
      <c r="D204" s="110">
        <f t="shared" si="232"/>
        <v>171413.85147567527</v>
      </c>
      <c r="E204" s="110">
        <f t="shared" si="232"/>
        <v>225403.48535056142</v>
      </c>
      <c r="F204" s="110">
        <f t="shared" si="232"/>
        <v>218512.6875347287</v>
      </c>
      <c r="G204" s="110">
        <f t="shared" si="232"/>
        <v>300740.96707661753</v>
      </c>
      <c r="H204" s="110">
        <f t="shared" si="232"/>
        <v>363144.05075042549</v>
      </c>
      <c r="I204" s="110">
        <f t="shared" si="232"/>
        <v>355417.81182386994</v>
      </c>
      <c r="J204" s="110">
        <f t="shared" si="232"/>
        <v>486438.30996772175</v>
      </c>
      <c r="K204" s="110">
        <f t="shared" si="232"/>
        <v>415484.74839712452</v>
      </c>
      <c r="L204" s="110">
        <f t="shared" si="232"/>
        <v>386677.10065538489</v>
      </c>
      <c r="M204" s="110">
        <f t="shared" si="235"/>
        <v>379598.62133026961</v>
      </c>
      <c r="N204" s="110">
        <f t="shared" si="232"/>
        <v>402079.26916305849</v>
      </c>
      <c r="O204" s="110">
        <f t="shared" si="232"/>
        <v>398534.8327189585</v>
      </c>
      <c r="P204" s="110">
        <f t="shared" si="232"/>
        <v>413944.879579261</v>
      </c>
      <c r="Q204" s="110">
        <f t="shared" si="232"/>
        <v>525149.79407354235</v>
      </c>
      <c r="R204" s="110">
        <f t="shared" si="232"/>
        <v>525207.34995799442</v>
      </c>
      <c r="S204" s="110">
        <f t="shared" si="232"/>
        <v>497479.24029497721</v>
      </c>
      <c r="T204" s="110">
        <f t="shared" si="232"/>
        <v>515931.77869580343</v>
      </c>
      <c r="U204" s="110">
        <f t="shared" si="232"/>
        <v>496532.51752803556</v>
      </c>
      <c r="V204" s="110">
        <f t="shared" si="232"/>
        <v>344979.61705895379</v>
      </c>
      <c r="W204" s="110">
        <f t="shared" si="234"/>
        <v>362685.3415760519</v>
      </c>
      <c r="X204" s="110">
        <f t="shared" si="234"/>
        <v>388870.34160071652</v>
      </c>
      <c r="Y204" s="110">
        <f t="shared" si="234"/>
        <v>437412.65739588405</v>
      </c>
      <c r="DA204" s="176" t="s">
        <v>612</v>
      </c>
    </row>
    <row r="205" spans="1:105" ht="11.45" customHeight="1" x14ac:dyDescent="0.25">
      <c r="A205" s="111" t="s">
        <v>110</v>
      </c>
      <c r="B205" s="102">
        <f t="shared" si="232"/>
        <v>0</v>
      </c>
      <c r="C205" s="102">
        <f t="shared" si="232"/>
        <v>0</v>
      </c>
      <c r="D205" s="102">
        <f t="shared" si="232"/>
        <v>0</v>
      </c>
      <c r="E205" s="102">
        <f t="shared" si="232"/>
        <v>0</v>
      </c>
      <c r="F205" s="102">
        <f t="shared" si="232"/>
        <v>0</v>
      </c>
      <c r="G205" s="102">
        <f t="shared" si="232"/>
        <v>0</v>
      </c>
      <c r="H205" s="102">
        <f t="shared" si="232"/>
        <v>0</v>
      </c>
      <c r="I205" s="102">
        <f t="shared" si="232"/>
        <v>0</v>
      </c>
      <c r="J205" s="102">
        <f t="shared" si="232"/>
        <v>210041.96703715195</v>
      </c>
      <c r="K205" s="102">
        <f t="shared" si="232"/>
        <v>208594.54199672994</v>
      </c>
      <c r="L205" s="102">
        <f t="shared" si="232"/>
        <v>208980.92695083955</v>
      </c>
      <c r="M205" s="102">
        <f t="shared" si="235"/>
        <v>212680.97723990405</v>
      </c>
      <c r="N205" s="102">
        <f t="shared" si="232"/>
        <v>211680.62772673287</v>
      </c>
      <c r="O205" s="102">
        <f t="shared" si="232"/>
        <v>211528.08197014709</v>
      </c>
      <c r="P205" s="102">
        <f t="shared" si="232"/>
        <v>213949.31056928061</v>
      </c>
      <c r="Q205" s="102">
        <f t="shared" si="232"/>
        <v>207220.00506377584</v>
      </c>
      <c r="R205" s="102">
        <f t="shared" si="232"/>
        <v>212900.38827705654</v>
      </c>
      <c r="S205" s="102">
        <f t="shared" si="232"/>
        <v>214876.84771862646</v>
      </c>
      <c r="T205" s="102">
        <f t="shared" si="232"/>
        <v>218693.24770545194</v>
      </c>
      <c r="U205" s="102">
        <f t="shared" si="232"/>
        <v>219896.42595779963</v>
      </c>
      <c r="V205" s="102">
        <f t="shared" si="232"/>
        <v>223588.59140259109</v>
      </c>
      <c r="W205" s="102">
        <f t="shared" si="234"/>
        <v>234440.28293917255</v>
      </c>
      <c r="X205" s="102">
        <f t="shared" si="234"/>
        <v>245348.40216888255</v>
      </c>
      <c r="Y205" s="102">
        <f t="shared" si="234"/>
        <v>253593.90464571671</v>
      </c>
      <c r="DA205" s="175" t="s">
        <v>613</v>
      </c>
    </row>
    <row r="206" spans="1:105" ht="11.45" customHeight="1" x14ac:dyDescent="0.25">
      <c r="A206" s="111" t="s">
        <v>111</v>
      </c>
      <c r="B206" s="102">
        <f t="shared" si="232"/>
        <v>159943.50047775329</v>
      </c>
      <c r="C206" s="102">
        <f t="shared" si="232"/>
        <v>148206.35319755258</v>
      </c>
      <c r="D206" s="102">
        <f t="shared" si="232"/>
        <v>171413.85147567527</v>
      </c>
      <c r="E206" s="102">
        <f t="shared" si="232"/>
        <v>225403.48535056142</v>
      </c>
      <c r="F206" s="102">
        <f t="shared" si="232"/>
        <v>218512.6875347287</v>
      </c>
      <c r="G206" s="102">
        <f t="shared" si="232"/>
        <v>300740.96707661753</v>
      </c>
      <c r="H206" s="102">
        <f t="shared" si="232"/>
        <v>363144.05075042549</v>
      </c>
      <c r="I206" s="102">
        <f t="shared" si="232"/>
        <v>355417.81182386994</v>
      </c>
      <c r="J206" s="102">
        <f t="shared" si="232"/>
        <v>487716.79061916954</v>
      </c>
      <c r="K206" s="102">
        <f t="shared" si="232"/>
        <v>416480.91445877159</v>
      </c>
      <c r="L206" s="102">
        <f t="shared" si="232"/>
        <v>387697.30236969603</v>
      </c>
      <c r="M206" s="102">
        <f t="shared" si="235"/>
        <v>380617.2154720067</v>
      </c>
      <c r="N206" s="102">
        <f t="shared" si="232"/>
        <v>403169.36549157667</v>
      </c>
      <c r="O206" s="102">
        <f t="shared" si="232"/>
        <v>399575.55197193037</v>
      </c>
      <c r="P206" s="102">
        <f t="shared" si="232"/>
        <v>414987.68321505288</v>
      </c>
      <c r="Q206" s="102">
        <f t="shared" si="232"/>
        <v>526537.9469359736</v>
      </c>
      <c r="R206" s="102">
        <f t="shared" si="232"/>
        <v>526456.80685818719</v>
      </c>
      <c r="S206" s="102">
        <f t="shared" si="232"/>
        <v>498546.20785276347</v>
      </c>
      <c r="T206" s="102">
        <f t="shared" si="232"/>
        <v>516826.42777757853</v>
      </c>
      <c r="U206" s="102">
        <f t="shared" si="232"/>
        <v>497253.51097825723</v>
      </c>
      <c r="V206" s="102">
        <f t="shared" si="232"/>
        <v>345229.64281866373</v>
      </c>
      <c r="W206" s="102">
        <f t="shared" si="234"/>
        <v>362957.18085776118</v>
      </c>
      <c r="X206" s="102">
        <f t="shared" si="234"/>
        <v>389082.8977407607</v>
      </c>
      <c r="Y206" s="102">
        <f t="shared" si="234"/>
        <v>437527.60388535849</v>
      </c>
      <c r="DA206" s="175" t="s">
        <v>614</v>
      </c>
    </row>
    <row r="207" spans="1:105" ht="11.45" customHeight="1" x14ac:dyDescent="0.25">
      <c r="A207" s="111" t="s">
        <v>112</v>
      </c>
      <c r="B207" s="102">
        <f t="shared" si="232"/>
        <v>0</v>
      </c>
      <c r="C207" s="102">
        <f t="shared" si="232"/>
        <v>0</v>
      </c>
      <c r="D207" s="102">
        <f t="shared" si="232"/>
        <v>0</v>
      </c>
      <c r="E207" s="102">
        <f t="shared" si="232"/>
        <v>0</v>
      </c>
      <c r="F207" s="102">
        <f t="shared" si="232"/>
        <v>0</v>
      </c>
      <c r="G207" s="102">
        <f t="shared" si="232"/>
        <v>0</v>
      </c>
      <c r="H207" s="102">
        <f t="shared" si="232"/>
        <v>0</v>
      </c>
      <c r="I207" s="102">
        <f t="shared" si="232"/>
        <v>0</v>
      </c>
      <c r="J207" s="102">
        <f t="shared" si="232"/>
        <v>295598.02253024199</v>
      </c>
      <c r="K207" s="102">
        <f t="shared" si="232"/>
        <v>252999.33645058412</v>
      </c>
      <c r="L207" s="102">
        <f t="shared" si="232"/>
        <v>236183.86742462899</v>
      </c>
      <c r="M207" s="102">
        <f t="shared" si="235"/>
        <v>232744.91084201043</v>
      </c>
      <c r="N207" s="102">
        <f t="shared" si="232"/>
        <v>246845.54854944235</v>
      </c>
      <c r="O207" s="102">
        <f t="shared" si="232"/>
        <v>245124.66700535195</v>
      </c>
      <c r="P207" s="102">
        <f t="shared" si="232"/>
        <v>254780.94214843586</v>
      </c>
      <c r="Q207" s="102">
        <f t="shared" si="232"/>
        <v>322419.0622738839</v>
      </c>
      <c r="R207" s="102">
        <f t="shared" si="232"/>
        <v>322670.4941363731</v>
      </c>
      <c r="S207" s="102">
        <f t="shared" si="232"/>
        <v>305390.49258964782</v>
      </c>
      <c r="T207" s="102">
        <f t="shared" si="232"/>
        <v>316556.05334156286</v>
      </c>
      <c r="U207" s="102">
        <f t="shared" si="232"/>
        <v>304269.60752639006</v>
      </c>
      <c r="V207" s="102">
        <f t="shared" si="232"/>
        <v>211694.27257510743</v>
      </c>
      <c r="W207" s="102">
        <f t="shared" si="234"/>
        <v>223125.78207481271</v>
      </c>
      <c r="X207" s="102">
        <f t="shared" si="234"/>
        <v>239785.78515574287</v>
      </c>
      <c r="Y207" s="102">
        <f t="shared" si="234"/>
        <v>269938.50682411378</v>
      </c>
      <c r="DA207" s="175" t="s">
        <v>615</v>
      </c>
    </row>
    <row r="208" spans="1:105" ht="11.45" customHeight="1" x14ac:dyDescent="0.25">
      <c r="A208" s="111" t="s">
        <v>113</v>
      </c>
      <c r="B208" s="102">
        <f t="shared" si="232"/>
        <v>0</v>
      </c>
      <c r="C208" s="102">
        <f t="shared" si="232"/>
        <v>0</v>
      </c>
      <c r="D208" s="102">
        <f t="shared" si="232"/>
        <v>0</v>
      </c>
      <c r="E208" s="102">
        <f t="shared" si="232"/>
        <v>0</v>
      </c>
      <c r="F208" s="102">
        <f t="shared" si="232"/>
        <v>0</v>
      </c>
      <c r="G208" s="102">
        <f t="shared" si="232"/>
        <v>0</v>
      </c>
      <c r="H208" s="102">
        <f t="shared" si="232"/>
        <v>0</v>
      </c>
      <c r="I208" s="102">
        <f t="shared" si="232"/>
        <v>0</v>
      </c>
      <c r="J208" s="102">
        <f t="shared" si="232"/>
        <v>0</v>
      </c>
      <c r="K208" s="102">
        <f t="shared" si="232"/>
        <v>0</v>
      </c>
      <c r="L208" s="102">
        <f t="shared" si="232"/>
        <v>0</v>
      </c>
      <c r="M208" s="102">
        <f t="shared" si="235"/>
        <v>0</v>
      </c>
      <c r="N208" s="102">
        <f t="shared" si="232"/>
        <v>0</v>
      </c>
      <c r="O208" s="102">
        <f t="shared" si="232"/>
        <v>0</v>
      </c>
      <c r="P208" s="102">
        <f t="shared" si="232"/>
        <v>0</v>
      </c>
      <c r="Q208" s="102">
        <f t="shared" si="232"/>
        <v>0</v>
      </c>
      <c r="R208" s="102">
        <f t="shared" si="232"/>
        <v>0</v>
      </c>
      <c r="S208" s="102">
        <f t="shared" si="232"/>
        <v>0</v>
      </c>
      <c r="T208" s="102">
        <f t="shared" si="232"/>
        <v>0</v>
      </c>
      <c r="U208" s="102">
        <f t="shared" si="232"/>
        <v>0</v>
      </c>
      <c r="V208" s="102">
        <f t="shared" si="232"/>
        <v>0</v>
      </c>
      <c r="W208" s="102">
        <f t="shared" si="234"/>
        <v>0</v>
      </c>
      <c r="X208" s="102">
        <f t="shared" si="234"/>
        <v>0</v>
      </c>
      <c r="Y208" s="102">
        <f t="shared" si="234"/>
        <v>0</v>
      </c>
      <c r="DA208" s="175" t="s">
        <v>616</v>
      </c>
    </row>
    <row r="209" spans="1:105" ht="11.45" customHeight="1" x14ac:dyDescent="0.25">
      <c r="A209" s="111" t="s">
        <v>115</v>
      </c>
      <c r="B209" s="102">
        <f t="shared" si="232"/>
        <v>0</v>
      </c>
      <c r="C209" s="102">
        <f t="shared" si="232"/>
        <v>0</v>
      </c>
      <c r="D209" s="102">
        <f t="shared" si="232"/>
        <v>0</v>
      </c>
      <c r="E209" s="102">
        <f t="shared" si="232"/>
        <v>0</v>
      </c>
      <c r="F209" s="102">
        <f t="shared" si="232"/>
        <v>0</v>
      </c>
      <c r="G209" s="102">
        <f t="shared" si="232"/>
        <v>0</v>
      </c>
      <c r="H209" s="102">
        <f t="shared" si="232"/>
        <v>0</v>
      </c>
      <c r="I209" s="102">
        <f t="shared" si="232"/>
        <v>0</v>
      </c>
      <c r="J209" s="102">
        <f t="shared" si="232"/>
        <v>0</v>
      </c>
      <c r="K209" s="102">
        <f t="shared" si="232"/>
        <v>0</v>
      </c>
      <c r="L209" s="102">
        <f t="shared" si="232"/>
        <v>0</v>
      </c>
      <c r="M209" s="102">
        <f t="shared" si="235"/>
        <v>0</v>
      </c>
      <c r="N209" s="102">
        <f t="shared" si="232"/>
        <v>0</v>
      </c>
      <c r="O209" s="102">
        <f t="shared" si="232"/>
        <v>431841.90327058011</v>
      </c>
      <c r="P209" s="102">
        <f t="shared" si="232"/>
        <v>445929.47093930031</v>
      </c>
      <c r="Q209" s="102">
        <f t="shared" si="232"/>
        <v>582587.79218841635</v>
      </c>
      <c r="R209" s="102">
        <f t="shared" si="232"/>
        <v>578105.60317731462</v>
      </c>
      <c r="S209" s="102">
        <f t="shared" si="232"/>
        <v>551127.34580238734</v>
      </c>
      <c r="T209" s="102">
        <f t="shared" si="232"/>
        <v>574184.7498259556</v>
      </c>
      <c r="U209" s="102">
        <f t="shared" si="232"/>
        <v>558816.98553983413</v>
      </c>
      <c r="V209" s="102">
        <f t="shared" si="232"/>
        <v>375897.24551918718</v>
      </c>
      <c r="W209" s="102">
        <f t="shared" si="234"/>
        <v>389861.96825578233</v>
      </c>
      <c r="X209" s="102">
        <f t="shared" si="234"/>
        <v>408431.01146548579</v>
      </c>
      <c r="Y209" s="102">
        <f t="shared" si="234"/>
        <v>456181.41376904532</v>
      </c>
      <c r="DA209" s="175" t="s">
        <v>617</v>
      </c>
    </row>
    <row r="210" spans="1:105" ht="11.45" customHeight="1" x14ac:dyDescent="0.25">
      <c r="A210" s="27" t="s">
        <v>108</v>
      </c>
      <c r="B210" s="28">
        <f t="shared" si="232"/>
        <v>54503.456250704214</v>
      </c>
      <c r="C210" s="28">
        <f t="shared" si="232"/>
        <v>56632.832899038403</v>
      </c>
      <c r="D210" s="28">
        <f t="shared" si="232"/>
        <v>58050.205738593497</v>
      </c>
      <c r="E210" s="28">
        <f t="shared" si="232"/>
        <v>61563.604101073171</v>
      </c>
      <c r="F210" s="28">
        <f t="shared" ref="B210:V219" si="236">IF(F19=0,0,F19*1000000/F73)</f>
        <v>65610.889029764629</v>
      </c>
      <c r="G210" s="28">
        <f t="shared" si="236"/>
        <v>73314.370391998105</v>
      </c>
      <c r="H210" s="28">
        <f t="shared" si="236"/>
        <v>66976.406265612575</v>
      </c>
      <c r="I210" s="28">
        <f t="shared" si="236"/>
        <v>67005.49767957798</v>
      </c>
      <c r="J210" s="28">
        <f t="shared" si="236"/>
        <v>55768.702111886181</v>
      </c>
      <c r="K210" s="28">
        <f t="shared" si="236"/>
        <v>44845.889527573367</v>
      </c>
      <c r="L210" s="28">
        <f t="shared" si="236"/>
        <v>29316.581643185342</v>
      </c>
      <c r="M210" s="28">
        <f t="shared" si="235"/>
        <v>28494.135973617296</v>
      </c>
      <c r="N210" s="28">
        <f t="shared" si="236"/>
        <v>30392.576050093485</v>
      </c>
      <c r="O210" s="28">
        <f t="shared" si="236"/>
        <v>29619.302970490782</v>
      </c>
      <c r="P210" s="28">
        <f t="shared" si="236"/>
        <v>27612.241516896622</v>
      </c>
      <c r="Q210" s="28">
        <f t="shared" si="236"/>
        <v>26900.29339140754</v>
      </c>
      <c r="R210" s="28">
        <f t="shared" si="236"/>
        <v>28781.033104881739</v>
      </c>
      <c r="S210" s="28">
        <f t="shared" si="236"/>
        <v>29571.005321684792</v>
      </c>
      <c r="T210" s="28">
        <f t="shared" si="236"/>
        <v>28770.103460265156</v>
      </c>
      <c r="U210" s="28">
        <f t="shared" si="236"/>
        <v>30259.66185884305</v>
      </c>
      <c r="V210" s="28">
        <f t="shared" si="236"/>
        <v>28259.247636327585</v>
      </c>
      <c r="W210" s="28">
        <f t="shared" ref="W210:Y210" si="237">IF(W19=0,0,W19*1000000/W73)</f>
        <v>32717.338100887137</v>
      </c>
      <c r="X210" s="28">
        <f t="shared" si="237"/>
        <v>33526.957339267552</v>
      </c>
      <c r="Y210" s="28">
        <f t="shared" si="237"/>
        <v>33407.311383217522</v>
      </c>
      <c r="DA210" s="173" t="s">
        <v>618</v>
      </c>
    </row>
    <row r="211" spans="1:105" ht="11.45" customHeight="1" x14ac:dyDescent="0.25">
      <c r="A211" s="136" t="s">
        <v>153</v>
      </c>
      <c r="B211" s="137">
        <f t="shared" si="236"/>
        <v>3922.6983339349044</v>
      </c>
      <c r="C211" s="137">
        <f t="shared" si="236"/>
        <v>3957.4174589921868</v>
      </c>
      <c r="D211" s="137">
        <f t="shared" si="236"/>
        <v>3982.7878948134162</v>
      </c>
      <c r="E211" s="137">
        <f t="shared" si="236"/>
        <v>4011.9869968565176</v>
      </c>
      <c r="F211" s="137">
        <f t="shared" si="236"/>
        <v>4043.0631638321315</v>
      </c>
      <c r="G211" s="137">
        <f t="shared" si="236"/>
        <v>4069.8922794690961</v>
      </c>
      <c r="H211" s="137">
        <f t="shared" si="236"/>
        <v>4082.0095263562457</v>
      </c>
      <c r="I211" s="137">
        <f t="shared" si="236"/>
        <v>4081.7300520449721</v>
      </c>
      <c r="J211" s="137">
        <f t="shared" si="236"/>
        <v>4163.0445729338198</v>
      </c>
      <c r="K211" s="137">
        <f t="shared" si="236"/>
        <v>4167.1798081668276</v>
      </c>
      <c r="L211" s="137">
        <f t="shared" si="236"/>
        <v>4173.4447113320857</v>
      </c>
      <c r="M211" s="137">
        <f t="shared" si="235"/>
        <v>4239.0334554900746</v>
      </c>
      <c r="N211" s="137">
        <f t="shared" si="236"/>
        <v>4292.9720775131073</v>
      </c>
      <c r="O211" s="137">
        <f t="shared" si="236"/>
        <v>4343.3118081827943</v>
      </c>
      <c r="P211" s="137">
        <f t="shared" si="236"/>
        <v>4398.5081125650213</v>
      </c>
      <c r="Q211" s="137">
        <f t="shared" si="236"/>
        <v>4450.054906868063</v>
      </c>
      <c r="R211" s="137">
        <f t="shared" si="236"/>
        <v>4470.19127740572</v>
      </c>
      <c r="S211" s="137">
        <f t="shared" si="236"/>
        <v>4507.4859808511637</v>
      </c>
      <c r="T211" s="137">
        <f t="shared" si="236"/>
        <v>4559.8801813590617</v>
      </c>
      <c r="U211" s="137">
        <f t="shared" si="236"/>
        <v>4577.3023696173923</v>
      </c>
      <c r="V211" s="137">
        <f t="shared" si="236"/>
        <v>4586.295327962207</v>
      </c>
      <c r="W211" s="137">
        <f t="shared" ref="W211:Y211" si="238">IF(W20=0,0,W20*1000000/W74)</f>
        <v>4597.220627658392</v>
      </c>
      <c r="X211" s="137">
        <f t="shared" si="238"/>
        <v>4597.7254931540783</v>
      </c>
      <c r="Y211" s="137">
        <f t="shared" si="238"/>
        <v>4592.3618962042719</v>
      </c>
      <c r="DA211" s="174" t="s">
        <v>619</v>
      </c>
    </row>
    <row r="212" spans="1:105" ht="11.45" customHeight="1" x14ac:dyDescent="0.25">
      <c r="A212" s="111" t="s">
        <v>110</v>
      </c>
      <c r="B212" s="84">
        <f t="shared" si="236"/>
        <v>2783.3694547399982</v>
      </c>
      <c r="C212" s="84">
        <f t="shared" si="236"/>
        <v>2797.0763919967676</v>
      </c>
      <c r="D212" s="84">
        <f t="shared" si="236"/>
        <v>2789.117155420648</v>
      </c>
      <c r="E212" s="84">
        <f t="shared" si="236"/>
        <v>2782.7999753509112</v>
      </c>
      <c r="F212" s="84">
        <f t="shared" si="236"/>
        <v>2777.2288367577626</v>
      </c>
      <c r="G212" s="84">
        <f t="shared" si="236"/>
        <v>2769.5938921348511</v>
      </c>
      <c r="H212" s="84">
        <f t="shared" si="236"/>
        <v>2747.7556547228455</v>
      </c>
      <c r="I212" s="84">
        <f t="shared" si="236"/>
        <v>2720.4981336218902</v>
      </c>
      <c r="J212" s="84">
        <f t="shared" si="236"/>
        <v>2701.1429760040496</v>
      </c>
      <c r="K212" s="84">
        <f t="shared" si="236"/>
        <v>2671.4105739331767</v>
      </c>
      <c r="L212" s="84">
        <f t="shared" si="236"/>
        <v>2640.0515945820084</v>
      </c>
      <c r="M212" s="84">
        <f t="shared" si="235"/>
        <v>2634.9577021242767</v>
      </c>
      <c r="N212" s="84">
        <f t="shared" si="236"/>
        <v>2628.813117128424</v>
      </c>
      <c r="O212" s="84">
        <f t="shared" si="236"/>
        <v>2602.6959445207135</v>
      </c>
      <c r="P212" s="84">
        <f t="shared" si="236"/>
        <v>2579.0983939388498</v>
      </c>
      <c r="Q212" s="84">
        <f t="shared" si="236"/>
        <v>2552.9883301600689</v>
      </c>
      <c r="R212" s="84">
        <f t="shared" si="236"/>
        <v>2587.1749346879774</v>
      </c>
      <c r="S212" s="84">
        <f t="shared" si="236"/>
        <v>2583.1870786562226</v>
      </c>
      <c r="T212" s="84">
        <f t="shared" si="236"/>
        <v>2581.0105525333747</v>
      </c>
      <c r="U212" s="84">
        <f t="shared" si="236"/>
        <v>2555.6864541661662</v>
      </c>
      <c r="V212" s="84">
        <f t="shared" si="236"/>
        <v>2530.0145407895261</v>
      </c>
      <c r="W212" s="84">
        <f t="shared" ref="W212:Y212" si="239">IF(W21=0,0,W21*1000000/W75)</f>
        <v>2544.2739949878546</v>
      </c>
      <c r="X212" s="84">
        <f t="shared" si="239"/>
        <v>2547.2316694089582</v>
      </c>
      <c r="Y212" s="84">
        <f t="shared" si="239"/>
        <v>2559.2570928288364</v>
      </c>
      <c r="DA212" s="171" t="s">
        <v>620</v>
      </c>
    </row>
    <row r="213" spans="1:105" ht="11.45" customHeight="1" x14ac:dyDescent="0.25">
      <c r="A213" s="111" t="s">
        <v>111</v>
      </c>
      <c r="B213" s="84">
        <f t="shared" si="236"/>
        <v>4703.5020952441118</v>
      </c>
      <c r="C213" s="84">
        <f t="shared" si="236"/>
        <v>4728.3944462596464</v>
      </c>
      <c r="D213" s="84">
        <f t="shared" si="236"/>
        <v>4752.6214834813536</v>
      </c>
      <c r="E213" s="84">
        <f t="shared" si="236"/>
        <v>4779.754158730113</v>
      </c>
      <c r="F213" s="84">
        <f t="shared" si="236"/>
        <v>4808.3086086349722</v>
      </c>
      <c r="G213" s="84">
        <f t="shared" si="236"/>
        <v>4833.4124868865892</v>
      </c>
      <c r="H213" s="84">
        <f t="shared" si="236"/>
        <v>4833.625246208856</v>
      </c>
      <c r="I213" s="84">
        <f t="shared" si="236"/>
        <v>4823.9233373579455</v>
      </c>
      <c r="J213" s="84">
        <f t="shared" si="236"/>
        <v>4827.8818882878013</v>
      </c>
      <c r="K213" s="84">
        <f t="shared" si="236"/>
        <v>4812.8996176026358</v>
      </c>
      <c r="L213" s="84">
        <f t="shared" si="236"/>
        <v>4794.4155853178863</v>
      </c>
      <c r="M213" s="84">
        <f t="shared" si="235"/>
        <v>4823.4081089294314</v>
      </c>
      <c r="N213" s="84">
        <f t="shared" si="236"/>
        <v>4850.6191080755061</v>
      </c>
      <c r="O213" s="84">
        <f t="shared" si="236"/>
        <v>4840.8095257224995</v>
      </c>
      <c r="P213" s="84">
        <f t="shared" si="236"/>
        <v>4835.2570764846287</v>
      </c>
      <c r="Q213" s="84">
        <f t="shared" si="236"/>
        <v>4824.5586116333061</v>
      </c>
      <c r="R213" s="84">
        <f t="shared" si="236"/>
        <v>4850.3988604904307</v>
      </c>
      <c r="S213" s="84">
        <f t="shared" si="236"/>
        <v>4882.0178405385204</v>
      </c>
      <c r="T213" s="84">
        <f t="shared" si="236"/>
        <v>4917.2821330615216</v>
      </c>
      <c r="U213" s="84">
        <f t="shared" si="236"/>
        <v>4908.341397272201</v>
      </c>
      <c r="V213" s="84">
        <f t="shared" si="236"/>
        <v>4898.2624689223449</v>
      </c>
      <c r="W213" s="84">
        <f t="shared" ref="W213:Y213" si="240">IF(W22=0,0,W22*1000000/W76)</f>
        <v>4886.8140684456666</v>
      </c>
      <c r="X213" s="84">
        <f t="shared" si="240"/>
        <v>4872.5952779658646</v>
      </c>
      <c r="Y213" s="84">
        <f t="shared" si="240"/>
        <v>4856.7831253748191</v>
      </c>
      <c r="DA213" s="171" t="s">
        <v>621</v>
      </c>
    </row>
    <row r="214" spans="1:105" ht="11.45" customHeight="1" x14ac:dyDescent="0.25">
      <c r="A214" s="111" t="s">
        <v>112</v>
      </c>
      <c r="B214" s="84">
        <f t="shared" si="236"/>
        <v>0</v>
      </c>
      <c r="C214" s="84">
        <f t="shared" si="236"/>
        <v>0</v>
      </c>
      <c r="D214" s="84">
        <f t="shared" si="236"/>
        <v>0</v>
      </c>
      <c r="E214" s="84">
        <f t="shared" si="236"/>
        <v>0</v>
      </c>
      <c r="F214" s="84">
        <f t="shared" si="236"/>
        <v>0</v>
      </c>
      <c r="G214" s="84">
        <f t="shared" si="236"/>
        <v>0</v>
      </c>
      <c r="H214" s="84">
        <f t="shared" si="236"/>
        <v>0</v>
      </c>
      <c r="I214" s="84">
        <f t="shared" si="236"/>
        <v>0</v>
      </c>
      <c r="J214" s="84">
        <f t="shared" si="236"/>
        <v>2314.9355291765992</v>
      </c>
      <c r="K214" s="84">
        <f t="shared" si="236"/>
        <v>2307.7516353864535</v>
      </c>
      <c r="L214" s="84">
        <f t="shared" si="236"/>
        <v>2298.8886714514369</v>
      </c>
      <c r="M214" s="84">
        <f t="shared" si="235"/>
        <v>2312.7903833287874</v>
      </c>
      <c r="N214" s="84">
        <f t="shared" si="236"/>
        <v>2325.8378667107772</v>
      </c>
      <c r="O214" s="84">
        <f t="shared" si="236"/>
        <v>2321.1342407230641</v>
      </c>
      <c r="P214" s="84">
        <f t="shared" si="236"/>
        <v>2318.4718802278994</v>
      </c>
      <c r="Q214" s="84">
        <f t="shared" si="236"/>
        <v>2313.3420413119857</v>
      </c>
      <c r="R214" s="84">
        <f t="shared" si="236"/>
        <v>2325.7322595373398</v>
      </c>
      <c r="S214" s="84">
        <f t="shared" si="236"/>
        <v>2340.8933388684682</v>
      </c>
      <c r="T214" s="84">
        <f t="shared" si="236"/>
        <v>2357.8023199831091</v>
      </c>
      <c r="U214" s="84">
        <f t="shared" si="236"/>
        <v>2353.5152998333642</v>
      </c>
      <c r="V214" s="84">
        <f t="shared" si="236"/>
        <v>2348.6825243278763</v>
      </c>
      <c r="W214" s="84">
        <f t="shared" ref="W214:Y214" si="241">IF(W23=0,0,W23*1000000/W77)</f>
        <v>2343.1930965355359</v>
      </c>
      <c r="X214" s="84">
        <f t="shared" si="241"/>
        <v>2336.3752861530024</v>
      </c>
      <c r="Y214" s="84">
        <f t="shared" si="241"/>
        <v>2328.7934698052227</v>
      </c>
      <c r="DA214" s="171" t="s">
        <v>622</v>
      </c>
    </row>
    <row r="215" spans="1:105" ht="11.45" customHeight="1" x14ac:dyDescent="0.25">
      <c r="A215" s="111" t="s">
        <v>113</v>
      </c>
      <c r="B215" s="84">
        <f t="shared" si="236"/>
        <v>0</v>
      </c>
      <c r="C215" s="84">
        <f t="shared" si="236"/>
        <v>0</v>
      </c>
      <c r="D215" s="84">
        <f t="shared" si="236"/>
        <v>0</v>
      </c>
      <c r="E215" s="84">
        <f t="shared" si="236"/>
        <v>0</v>
      </c>
      <c r="F215" s="84">
        <f t="shared" si="236"/>
        <v>0</v>
      </c>
      <c r="G215" s="84">
        <f t="shared" si="236"/>
        <v>0</v>
      </c>
      <c r="H215" s="84">
        <f t="shared" si="236"/>
        <v>0</v>
      </c>
      <c r="I215" s="84">
        <f t="shared" si="236"/>
        <v>0</v>
      </c>
      <c r="J215" s="84">
        <f t="shared" si="236"/>
        <v>0</v>
      </c>
      <c r="K215" s="84">
        <f t="shared" si="236"/>
        <v>0</v>
      </c>
      <c r="L215" s="84">
        <f t="shared" si="236"/>
        <v>0</v>
      </c>
      <c r="M215" s="84">
        <f t="shared" si="235"/>
        <v>0</v>
      </c>
      <c r="N215" s="84">
        <f t="shared" si="236"/>
        <v>0</v>
      </c>
      <c r="O215" s="84">
        <f t="shared" si="236"/>
        <v>0</v>
      </c>
      <c r="P215" s="84">
        <f t="shared" si="236"/>
        <v>0</v>
      </c>
      <c r="Q215" s="84">
        <f t="shared" si="236"/>
        <v>0</v>
      </c>
      <c r="R215" s="84">
        <f t="shared" si="236"/>
        <v>0</v>
      </c>
      <c r="S215" s="84">
        <f t="shared" si="236"/>
        <v>0</v>
      </c>
      <c r="T215" s="84">
        <f t="shared" si="236"/>
        <v>0</v>
      </c>
      <c r="U215" s="84">
        <f t="shared" si="236"/>
        <v>0</v>
      </c>
      <c r="V215" s="84">
        <f t="shared" si="236"/>
        <v>0</v>
      </c>
      <c r="W215" s="84">
        <f t="shared" ref="W215:Y215" si="242">IF(W24=0,0,W24*1000000/W78)</f>
        <v>0</v>
      </c>
      <c r="X215" s="84">
        <f t="shared" si="242"/>
        <v>0</v>
      </c>
      <c r="Y215" s="84">
        <f t="shared" si="242"/>
        <v>0</v>
      </c>
      <c r="DA215" s="171" t="s">
        <v>623</v>
      </c>
    </row>
    <row r="216" spans="1:105" ht="11.45" customHeight="1" x14ac:dyDescent="0.25">
      <c r="A216" s="111" t="s">
        <v>115</v>
      </c>
      <c r="B216" s="84">
        <f t="shared" si="236"/>
        <v>0</v>
      </c>
      <c r="C216" s="84">
        <f t="shared" si="236"/>
        <v>0</v>
      </c>
      <c r="D216" s="84">
        <f t="shared" si="236"/>
        <v>0</v>
      </c>
      <c r="E216" s="84">
        <f t="shared" si="236"/>
        <v>0</v>
      </c>
      <c r="F216" s="84">
        <f t="shared" si="236"/>
        <v>0</v>
      </c>
      <c r="G216" s="84">
        <f t="shared" si="236"/>
        <v>0</v>
      </c>
      <c r="H216" s="84">
        <f t="shared" si="236"/>
        <v>0</v>
      </c>
      <c r="I216" s="84">
        <f t="shared" si="236"/>
        <v>0</v>
      </c>
      <c r="J216" s="84">
        <f t="shared" si="236"/>
        <v>0</v>
      </c>
      <c r="K216" s="84">
        <f t="shared" si="236"/>
        <v>0</v>
      </c>
      <c r="L216" s="84">
        <f t="shared" si="236"/>
        <v>3167.1656857617309</v>
      </c>
      <c r="M216" s="84">
        <f t="shared" si="235"/>
        <v>3168.0750845065581</v>
      </c>
      <c r="N216" s="84">
        <f t="shared" si="236"/>
        <v>3168.9238792237975</v>
      </c>
      <c r="O216" s="84">
        <f t="shared" si="236"/>
        <v>3169.2293757701123</v>
      </c>
      <c r="P216" s="84">
        <f t="shared" si="236"/>
        <v>3169.4025814128445</v>
      </c>
      <c r="Q216" s="84">
        <f t="shared" si="236"/>
        <v>3169.7369025339576</v>
      </c>
      <c r="R216" s="84">
        <f t="shared" si="236"/>
        <v>3168.9307312154292</v>
      </c>
      <c r="S216" s="84">
        <f t="shared" si="236"/>
        <v>3167.9503726452822</v>
      </c>
      <c r="T216" s="84">
        <f t="shared" si="236"/>
        <v>3166.8648056087482</v>
      </c>
      <c r="U216" s="84">
        <f t="shared" si="236"/>
        <v>3166.5903736614091</v>
      </c>
      <c r="V216" s="84">
        <f t="shared" si="236"/>
        <v>3161.9444620870936</v>
      </c>
      <c r="W216" s="84">
        <f t="shared" ref="W216:Y216" si="243">IF(W25=0,0,W25*1000000/W79)</f>
        <v>3165.927643634051</v>
      </c>
      <c r="X216" s="84">
        <f t="shared" si="243"/>
        <v>3165.488384315418</v>
      </c>
      <c r="Y216" s="84">
        <f t="shared" si="243"/>
        <v>3164.9984655215849</v>
      </c>
      <c r="DA216" s="171" t="s">
        <v>624</v>
      </c>
    </row>
    <row r="217" spans="1:105" ht="11.45" customHeight="1" x14ac:dyDescent="0.25">
      <c r="A217" s="109" t="s">
        <v>154</v>
      </c>
      <c r="B217" s="110">
        <f t="shared" si="236"/>
        <v>334908.68820934178</v>
      </c>
      <c r="C217" s="110">
        <f t="shared" si="236"/>
        <v>338024.51659315365</v>
      </c>
      <c r="D217" s="110">
        <f t="shared" si="236"/>
        <v>352832.64200594358</v>
      </c>
      <c r="E217" s="110">
        <f t="shared" si="236"/>
        <v>332819.1680785495</v>
      </c>
      <c r="F217" s="110">
        <f t="shared" si="236"/>
        <v>358184.84103177389</v>
      </c>
      <c r="G217" s="110">
        <f t="shared" si="236"/>
        <v>349558.15035516291</v>
      </c>
      <c r="H217" s="110">
        <f t="shared" si="236"/>
        <v>322591.6028299891</v>
      </c>
      <c r="I217" s="110">
        <f t="shared" si="236"/>
        <v>338317.44270610146</v>
      </c>
      <c r="J217" s="110">
        <f t="shared" si="236"/>
        <v>296274.75188406842</v>
      </c>
      <c r="K217" s="110">
        <f t="shared" si="236"/>
        <v>233909.77777466623</v>
      </c>
      <c r="L217" s="110">
        <f t="shared" si="236"/>
        <v>155253.00433572757</v>
      </c>
      <c r="M217" s="110">
        <f t="shared" si="235"/>
        <v>163766.6164773338</v>
      </c>
      <c r="N217" s="110">
        <f t="shared" si="236"/>
        <v>192129.56267694183</v>
      </c>
      <c r="O217" s="110">
        <f t="shared" si="236"/>
        <v>199046.58094864374</v>
      </c>
      <c r="P217" s="110">
        <f t="shared" si="236"/>
        <v>203204.30337738057</v>
      </c>
      <c r="Q217" s="110">
        <f t="shared" si="236"/>
        <v>225034.55915380025</v>
      </c>
      <c r="R217" s="110">
        <f t="shared" si="236"/>
        <v>274467.76178943744</v>
      </c>
      <c r="S217" s="110">
        <f t="shared" si="236"/>
        <v>314503.15420303511</v>
      </c>
      <c r="T217" s="110">
        <f t="shared" si="236"/>
        <v>334249.32975871314</v>
      </c>
      <c r="U217" s="110">
        <f t="shared" si="236"/>
        <v>366444.42984760902</v>
      </c>
      <c r="V217" s="110">
        <f t="shared" si="236"/>
        <v>338058.92169247806</v>
      </c>
      <c r="W217" s="110">
        <f t="shared" ref="W217:Y217" si="244">IF(W26=0,0,W26*1000000/W80)</f>
        <v>413144.38156332402</v>
      </c>
      <c r="X217" s="110">
        <f t="shared" si="244"/>
        <v>451820.1284796574</v>
      </c>
      <c r="Y217" s="110">
        <f t="shared" si="244"/>
        <v>459886.806932276</v>
      </c>
      <c r="DA217" s="176" t="s">
        <v>625</v>
      </c>
    </row>
    <row r="218" spans="1:105" ht="11.45" customHeight="1" x14ac:dyDescent="0.25">
      <c r="A218" s="111" t="s">
        <v>27</v>
      </c>
      <c r="B218" s="163">
        <f t="shared" si="236"/>
        <v>197821.56014736506</v>
      </c>
      <c r="C218" s="163">
        <f t="shared" si="236"/>
        <v>200451.93484605968</v>
      </c>
      <c r="D218" s="163">
        <f t="shared" si="236"/>
        <v>208222.71106728361</v>
      </c>
      <c r="E218" s="163">
        <f t="shared" si="236"/>
        <v>210639.31666177537</v>
      </c>
      <c r="F218" s="163">
        <f t="shared" si="236"/>
        <v>223335.0101370406</v>
      </c>
      <c r="G218" s="163">
        <f t="shared" si="236"/>
        <v>236619.34035909447</v>
      </c>
      <c r="H218" s="163">
        <f t="shared" si="236"/>
        <v>245002.47989131606</v>
      </c>
      <c r="I218" s="163">
        <f t="shared" si="236"/>
        <v>260342.67065542561</v>
      </c>
      <c r="J218" s="163">
        <f t="shared" si="236"/>
        <v>236811.46988542369</v>
      </c>
      <c r="K218" s="163">
        <f t="shared" si="236"/>
        <v>201039.91141495353</v>
      </c>
      <c r="L218" s="163">
        <f t="shared" si="236"/>
        <v>123860.82041409818</v>
      </c>
      <c r="M218" s="163">
        <f t="shared" si="235"/>
        <v>129825.48336946288</v>
      </c>
      <c r="N218" s="163">
        <f t="shared" si="236"/>
        <v>150339.28063016039</v>
      </c>
      <c r="O218" s="163">
        <f t="shared" si="236"/>
        <v>153050.60889786427</v>
      </c>
      <c r="P218" s="163">
        <f t="shared" si="236"/>
        <v>156079.99485563629</v>
      </c>
      <c r="Q218" s="163">
        <f t="shared" si="236"/>
        <v>173750.28795208476</v>
      </c>
      <c r="R218" s="163">
        <f t="shared" si="236"/>
        <v>213540.48168492215</v>
      </c>
      <c r="S218" s="163">
        <f t="shared" si="236"/>
        <v>238714.4518448039</v>
      </c>
      <c r="T218" s="163">
        <f t="shared" si="236"/>
        <v>260907.48850647817</v>
      </c>
      <c r="U218" s="163">
        <f t="shared" si="236"/>
        <v>296829.66338537121</v>
      </c>
      <c r="V218" s="163">
        <f t="shared" si="236"/>
        <v>286161.38700756762</v>
      </c>
      <c r="W218" s="163">
        <f t="shared" ref="W218:Y218" si="245">IF(W27=0,0,W27*1000000/W81)</f>
        <v>343577.85839043395</v>
      </c>
      <c r="X218" s="163">
        <f t="shared" si="245"/>
        <v>383852.83954064717</v>
      </c>
      <c r="Y218" s="163">
        <f t="shared" si="245"/>
        <v>391030.80859416071</v>
      </c>
      <c r="DA218" s="207" t="s">
        <v>626</v>
      </c>
    </row>
    <row r="219" spans="1:105" ht="11.45" customHeight="1" x14ac:dyDescent="0.25">
      <c r="A219" s="138" t="s">
        <v>116</v>
      </c>
      <c r="B219" s="86">
        <f t="shared" si="236"/>
        <v>1211901.0699087612</v>
      </c>
      <c r="C219" s="86">
        <f t="shared" si="236"/>
        <v>1210878.9913457735</v>
      </c>
      <c r="D219" s="86">
        <f t="shared" si="236"/>
        <v>1218784.3656327229</v>
      </c>
      <c r="E219" s="86">
        <f t="shared" si="236"/>
        <v>1211615.4974389954</v>
      </c>
      <c r="F219" s="86">
        <f t="shared" si="236"/>
        <v>1189368.1311309375</v>
      </c>
      <c r="G219" s="86">
        <f t="shared" si="236"/>
        <v>1190002.4998802312</v>
      </c>
      <c r="H219" s="86">
        <f t="shared" si="236"/>
        <v>1197495.043081681</v>
      </c>
      <c r="I219" s="86">
        <f t="shared" si="236"/>
        <v>1199835.5822203297</v>
      </c>
      <c r="J219" s="86">
        <f t="shared" si="236"/>
        <v>1182846.212450342</v>
      </c>
      <c r="K219" s="86">
        <f t="shared" si="236"/>
        <v>1167124.6413033598</v>
      </c>
      <c r="L219" s="86">
        <f t="shared" si="236"/>
        <v>1205149.5445475369</v>
      </c>
      <c r="M219" s="86">
        <f t="shared" si="235"/>
        <v>1201288.4423831957</v>
      </c>
      <c r="N219" s="86">
        <f t="shared" si="236"/>
        <v>1197481.6218708593</v>
      </c>
      <c r="O219" s="86">
        <f t="shared" si="236"/>
        <v>1198807.3940396081</v>
      </c>
      <c r="P219" s="86">
        <f t="shared" si="236"/>
        <v>1201882.5833196603</v>
      </c>
      <c r="Q219" s="86">
        <f t="shared" si="236"/>
        <v>1190346.3045701552</v>
      </c>
      <c r="R219" s="86">
        <f t="shared" si="236"/>
        <v>1184443.3088649821</v>
      </c>
      <c r="S219" s="86">
        <f t="shared" si="236"/>
        <v>1191069.694581893</v>
      </c>
      <c r="T219" s="86">
        <f t="shared" si="236"/>
        <v>1202409.1202409121</v>
      </c>
      <c r="U219" s="86">
        <f t="shared" si="236"/>
        <v>1195168.4678957406</v>
      </c>
      <c r="V219" s="86">
        <f t="shared" si="236"/>
        <v>1178284.1823056301</v>
      </c>
      <c r="W219" s="86">
        <f t="shared" ref="W219:Y219" si="246">IF(W28=0,0,W28*1000000/W82)</f>
        <v>1193967.9547596606</v>
      </c>
      <c r="X219" s="86">
        <f t="shared" si="246"/>
        <v>1189393.9393939395</v>
      </c>
      <c r="Y219" s="86">
        <f t="shared" si="246"/>
        <v>1176084.5789281807</v>
      </c>
      <c r="DA219" s="178" t="s">
        <v>627</v>
      </c>
    </row>
    <row r="220" spans="1:105" ht="11.45" customHeight="1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DA220" s="171"/>
    </row>
    <row r="221" spans="1:105" ht="11.45" customHeight="1" x14ac:dyDescent="0.25">
      <c r="A221" s="53" t="s">
        <v>37</v>
      </c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DA221" s="183"/>
    </row>
    <row r="222" spans="1:105" ht="11.45" customHeight="1" x14ac:dyDescent="0.25">
      <c r="A222" s="27" t="s">
        <v>38</v>
      </c>
      <c r="B222" s="46">
        <f t="shared" ref="B222:K222" si="247">IF(B4=0,0,B4/B$4)</f>
        <v>1</v>
      </c>
      <c r="C222" s="46">
        <f t="shared" si="247"/>
        <v>1</v>
      </c>
      <c r="D222" s="46">
        <f t="shared" si="247"/>
        <v>1</v>
      </c>
      <c r="E222" s="46">
        <f t="shared" si="247"/>
        <v>1</v>
      </c>
      <c r="F222" s="46">
        <f t="shared" si="247"/>
        <v>1</v>
      </c>
      <c r="G222" s="46">
        <f t="shared" si="247"/>
        <v>1</v>
      </c>
      <c r="H222" s="46">
        <f t="shared" si="247"/>
        <v>1</v>
      </c>
      <c r="I222" s="46">
        <f t="shared" si="247"/>
        <v>1</v>
      </c>
      <c r="J222" s="46">
        <f t="shared" si="247"/>
        <v>1</v>
      </c>
      <c r="K222" s="46">
        <f t="shared" si="247"/>
        <v>1</v>
      </c>
      <c r="L222" s="46">
        <f t="shared" ref="L222" si="248">IF(L4=0,0,L4/L$4)</f>
        <v>1</v>
      </c>
      <c r="M222" s="46">
        <f t="shared" ref="M222:V222" si="249">IF(M4=0,0,M4/M$4)</f>
        <v>1</v>
      </c>
      <c r="N222" s="46">
        <f t="shared" si="249"/>
        <v>1</v>
      </c>
      <c r="O222" s="46">
        <f t="shared" si="249"/>
        <v>1</v>
      </c>
      <c r="P222" s="46">
        <f t="shared" si="249"/>
        <v>1</v>
      </c>
      <c r="Q222" s="46">
        <f t="shared" si="249"/>
        <v>1</v>
      </c>
      <c r="R222" s="46">
        <f t="shared" si="249"/>
        <v>1</v>
      </c>
      <c r="S222" s="46">
        <f t="shared" si="249"/>
        <v>1</v>
      </c>
      <c r="T222" s="46">
        <f t="shared" si="249"/>
        <v>1</v>
      </c>
      <c r="U222" s="46">
        <f t="shared" si="249"/>
        <v>1</v>
      </c>
      <c r="V222" s="46">
        <f t="shared" si="249"/>
        <v>1</v>
      </c>
      <c r="W222" s="46">
        <f t="shared" ref="W222:Y222" si="250">IF(W4=0,0,W4/W$4)</f>
        <v>1</v>
      </c>
      <c r="X222" s="46">
        <f t="shared" si="250"/>
        <v>1</v>
      </c>
      <c r="Y222" s="46">
        <f t="shared" si="250"/>
        <v>1</v>
      </c>
      <c r="DA222" s="211"/>
    </row>
    <row r="223" spans="1:105" ht="11.45" customHeight="1" x14ac:dyDescent="0.25">
      <c r="A223" s="153" t="s">
        <v>173</v>
      </c>
      <c r="B223" s="154">
        <f t="shared" ref="B223:K223" si="251">IF(B5=0,0,B5/B$4)</f>
        <v>4.7019401808783747E-3</v>
      </c>
      <c r="C223" s="154">
        <f t="shared" si="251"/>
        <v>4.6126780198667604E-3</v>
      </c>
      <c r="D223" s="154">
        <f t="shared" si="251"/>
        <v>4.485310592006379E-3</v>
      </c>
      <c r="E223" s="154">
        <f t="shared" si="251"/>
        <v>4.2142680177595085E-3</v>
      </c>
      <c r="F223" s="154">
        <f t="shared" si="251"/>
        <v>4.1396142947975473E-3</v>
      </c>
      <c r="G223" s="154">
        <f t="shared" si="251"/>
        <v>3.8759126700417552E-3</v>
      </c>
      <c r="H223" s="154">
        <f t="shared" si="251"/>
        <v>4.0647420712301352E-3</v>
      </c>
      <c r="I223" s="154">
        <f t="shared" si="251"/>
        <v>4.1776787902416783E-3</v>
      </c>
      <c r="J223" s="154">
        <f t="shared" si="251"/>
        <v>4.5561608074078516E-3</v>
      </c>
      <c r="K223" s="154">
        <f t="shared" si="251"/>
        <v>4.8796185895469222E-3</v>
      </c>
      <c r="L223" s="154">
        <f t="shared" ref="L223" si="252">IF(L5=0,0,L5/L$4)</f>
        <v>5.2176071268114788E-3</v>
      </c>
      <c r="M223" s="154">
        <f t="shared" ref="M223:V223" si="253">IF(M5=0,0,M5/M$4)</f>
        <v>5.5829728618554293E-3</v>
      </c>
      <c r="N223" s="154">
        <f t="shared" si="253"/>
        <v>5.6212609912166629E-3</v>
      </c>
      <c r="O223" s="154">
        <f t="shared" si="253"/>
        <v>5.8121629186879313E-3</v>
      </c>
      <c r="P223" s="154">
        <f t="shared" si="253"/>
        <v>5.7645250179055793E-3</v>
      </c>
      <c r="Q223" s="154">
        <f t="shared" si="253"/>
        <v>5.5092534655151191E-3</v>
      </c>
      <c r="R223" s="154">
        <f t="shared" si="253"/>
        <v>5.6543863447972714E-3</v>
      </c>
      <c r="S223" s="154">
        <f t="shared" si="253"/>
        <v>5.3481756546365543E-3</v>
      </c>
      <c r="T223" s="154">
        <f t="shared" si="253"/>
        <v>4.8289731048251931E-3</v>
      </c>
      <c r="U223" s="154">
        <f t="shared" si="253"/>
        <v>4.9212746229427475E-3</v>
      </c>
      <c r="V223" s="154">
        <f t="shared" si="253"/>
        <v>5.2180177681794213E-3</v>
      </c>
      <c r="W223" s="154">
        <f t="shared" ref="W223:Y223" si="254">IF(W5=0,0,W5/W$4)</f>
        <v>5.0534659856765153E-3</v>
      </c>
      <c r="X223" s="154">
        <f t="shared" si="254"/>
        <v>4.8534970131081908E-3</v>
      </c>
      <c r="Y223" s="154">
        <f t="shared" si="254"/>
        <v>4.9778248145448175E-3</v>
      </c>
      <c r="DA223" s="212"/>
    </row>
    <row r="224" spans="1:105" ht="11.45" customHeight="1" x14ac:dyDescent="0.25">
      <c r="A224" s="155" t="s">
        <v>20</v>
      </c>
      <c r="B224" s="156">
        <f t="shared" ref="B224:K224" si="255">IF(B6=0,0,B6/B$4)</f>
        <v>0.86473937054131522</v>
      </c>
      <c r="C224" s="156">
        <f t="shared" si="255"/>
        <v>0.8772066943742467</v>
      </c>
      <c r="D224" s="156">
        <f t="shared" si="255"/>
        <v>0.88146315162299593</v>
      </c>
      <c r="E224" s="156">
        <f t="shared" si="255"/>
        <v>0.85194409886189704</v>
      </c>
      <c r="F224" s="156">
        <f t="shared" si="255"/>
        <v>0.85648895831581207</v>
      </c>
      <c r="G224" s="156">
        <f t="shared" si="255"/>
        <v>0.83453831601169404</v>
      </c>
      <c r="H224" s="156">
        <f t="shared" si="255"/>
        <v>0.8418203999899011</v>
      </c>
      <c r="I224" s="156">
        <f t="shared" si="255"/>
        <v>0.84385365423393943</v>
      </c>
      <c r="J224" s="156">
        <f t="shared" si="255"/>
        <v>0.77379750218402255</v>
      </c>
      <c r="K224" s="156">
        <f t="shared" si="255"/>
        <v>0.81128616098489559</v>
      </c>
      <c r="L224" s="156">
        <f t="shared" ref="L224" si="256">IF(L6=0,0,L6/L$4)</f>
        <v>0.82252136260213038</v>
      </c>
      <c r="M224" s="156">
        <f t="shared" ref="M224:V224" si="257">IF(M6=0,0,M6/M$4)</f>
        <v>0.82379769030306038</v>
      </c>
      <c r="N224" s="156">
        <f t="shared" si="257"/>
        <v>0.81548890437078847</v>
      </c>
      <c r="O224" s="156">
        <f t="shared" si="257"/>
        <v>0.81990856438941229</v>
      </c>
      <c r="P224" s="156">
        <f t="shared" si="257"/>
        <v>0.81812438910852425</v>
      </c>
      <c r="Q224" s="156">
        <f t="shared" si="257"/>
        <v>0.77896605288710996</v>
      </c>
      <c r="R224" s="156">
        <f t="shared" si="257"/>
        <v>0.78409934382495916</v>
      </c>
      <c r="S224" s="156">
        <f t="shared" si="257"/>
        <v>0.79115616149847434</v>
      </c>
      <c r="T224" s="156">
        <f t="shared" si="257"/>
        <v>0.79140708941560256</v>
      </c>
      <c r="U224" s="156">
        <f t="shared" si="257"/>
        <v>0.80144973871315961</v>
      </c>
      <c r="V224" s="156">
        <f t="shared" si="257"/>
        <v>0.83688267482317236</v>
      </c>
      <c r="W224" s="156">
        <f t="shared" ref="W224:Y224" si="258">IF(W6=0,0,W6/W$4)</f>
        <v>0.8425688353045151</v>
      </c>
      <c r="X224" s="156">
        <f t="shared" si="258"/>
        <v>0.84202841027640474</v>
      </c>
      <c r="Y224" s="156">
        <f t="shared" si="258"/>
        <v>0.83092848275853137</v>
      </c>
      <c r="DA224" s="213"/>
    </row>
    <row r="225" spans="1:105" ht="11.45" customHeight="1" x14ac:dyDescent="0.25">
      <c r="A225" s="157" t="s">
        <v>110</v>
      </c>
      <c r="B225" s="103">
        <f t="shared" ref="B225:K225" si="259">IF(B7=0,0,B7/B$4)</f>
        <v>0.74737344641290726</v>
      </c>
      <c r="C225" s="103">
        <f t="shared" si="259"/>
        <v>0.75227660464853352</v>
      </c>
      <c r="D225" s="103">
        <f t="shared" si="259"/>
        <v>0.72421849501582725</v>
      </c>
      <c r="E225" s="103">
        <f t="shared" si="259"/>
        <v>0.66785717632421282</v>
      </c>
      <c r="F225" s="103">
        <f t="shared" si="259"/>
        <v>0.64908050979046916</v>
      </c>
      <c r="G225" s="103">
        <f t="shared" si="259"/>
        <v>0.57286306636784579</v>
      </c>
      <c r="H225" s="103">
        <f t="shared" si="259"/>
        <v>0.53307937647488146</v>
      </c>
      <c r="I225" s="103">
        <f t="shared" si="259"/>
        <v>0.48539083215266937</v>
      </c>
      <c r="J225" s="103">
        <f t="shared" si="259"/>
        <v>0.38168265822950065</v>
      </c>
      <c r="K225" s="103">
        <f t="shared" si="259"/>
        <v>0.37867937137736996</v>
      </c>
      <c r="L225" s="103">
        <f t="shared" ref="L225" si="260">IF(L7=0,0,L7/L$4)</f>
        <v>0.38783732828234357</v>
      </c>
      <c r="M225" s="103">
        <f t="shared" ref="M225:V225" si="261">IF(M7=0,0,M7/M$4)</f>
        <v>0.33704735466267582</v>
      </c>
      <c r="N225" s="103">
        <f t="shared" si="261"/>
        <v>0.31651523050276781</v>
      </c>
      <c r="O225" s="103">
        <f t="shared" si="261"/>
        <v>0.33303503170263465</v>
      </c>
      <c r="P225" s="103">
        <f t="shared" si="261"/>
        <v>0.34876091446522978</v>
      </c>
      <c r="Q225" s="103">
        <f t="shared" si="261"/>
        <v>0.31706268716660541</v>
      </c>
      <c r="R225" s="103">
        <f t="shared" si="261"/>
        <v>0.29545752127412628</v>
      </c>
      <c r="S225" s="103">
        <f t="shared" si="261"/>
        <v>0.28703961365773845</v>
      </c>
      <c r="T225" s="103">
        <f t="shared" si="261"/>
        <v>0.27201595748516694</v>
      </c>
      <c r="U225" s="103">
        <f t="shared" si="261"/>
        <v>0.26403663844964709</v>
      </c>
      <c r="V225" s="103">
        <f t="shared" si="261"/>
        <v>0.28713168945639578</v>
      </c>
      <c r="W225" s="103">
        <f t="shared" ref="W225:Y225" si="262">IF(W7=0,0,W7/W$4)</f>
        <v>0.2929154789943047</v>
      </c>
      <c r="X225" s="103">
        <f t="shared" si="262"/>
        <v>0.27865032529636363</v>
      </c>
      <c r="Y225" s="103">
        <f t="shared" si="262"/>
        <v>0.26806118670085183</v>
      </c>
      <c r="DA225" s="191"/>
    </row>
    <row r="226" spans="1:105" ht="11.45" customHeight="1" x14ac:dyDescent="0.25">
      <c r="A226" s="157" t="s">
        <v>111</v>
      </c>
      <c r="B226" s="103">
        <f t="shared" ref="B226:K226" si="263">IF(B8=0,0,B8/B$4)</f>
        <v>0.11736592412840788</v>
      </c>
      <c r="C226" s="103">
        <f t="shared" si="263"/>
        <v>0.12493008972571308</v>
      </c>
      <c r="D226" s="103">
        <f t="shared" si="263"/>
        <v>0.15582742713419623</v>
      </c>
      <c r="E226" s="103">
        <f t="shared" si="263"/>
        <v>0.18083157218311985</v>
      </c>
      <c r="F226" s="103">
        <f t="shared" si="263"/>
        <v>0.19995408382123808</v>
      </c>
      <c r="G226" s="103">
        <f t="shared" si="263"/>
        <v>0.25441801129543679</v>
      </c>
      <c r="H226" s="103">
        <f t="shared" si="263"/>
        <v>0.30158333212961552</v>
      </c>
      <c r="I226" s="103">
        <f t="shared" si="263"/>
        <v>0.34918758510196202</v>
      </c>
      <c r="J226" s="103">
        <f t="shared" si="263"/>
        <v>0.38484115390251455</v>
      </c>
      <c r="K226" s="103">
        <f t="shared" si="263"/>
        <v>0.42609522507692255</v>
      </c>
      <c r="L226" s="103">
        <f t="shared" ref="L226" si="264">IF(L8=0,0,L8/L$4)</f>
        <v>0.42911161416270482</v>
      </c>
      <c r="M226" s="103">
        <f t="shared" ref="M226:V226" si="265">IF(M8=0,0,M8/M$4)</f>
        <v>0.47016893851265229</v>
      </c>
      <c r="N226" s="103">
        <f t="shared" si="265"/>
        <v>0.48517490897886595</v>
      </c>
      <c r="O226" s="103">
        <f t="shared" si="265"/>
        <v>0.4746603226387987</v>
      </c>
      <c r="P226" s="103">
        <f t="shared" si="265"/>
        <v>0.45638263735545886</v>
      </c>
      <c r="Q226" s="103">
        <f t="shared" si="265"/>
        <v>0.4473537629533979</v>
      </c>
      <c r="R226" s="103">
        <f t="shared" si="265"/>
        <v>0.47423150302884975</v>
      </c>
      <c r="S226" s="103">
        <f t="shared" si="265"/>
        <v>0.48618220687444708</v>
      </c>
      <c r="T226" s="103">
        <f t="shared" si="265"/>
        <v>0.50079261777726136</v>
      </c>
      <c r="U226" s="103">
        <f t="shared" si="265"/>
        <v>0.51781016231092503</v>
      </c>
      <c r="V226" s="103">
        <f t="shared" si="265"/>
        <v>0.52417031365890376</v>
      </c>
      <c r="W226" s="103">
        <f t="shared" ref="W226:Y226" si="266">IF(W8=0,0,W8/W$4)</f>
        <v>0.5175961756831966</v>
      </c>
      <c r="X226" s="103">
        <f t="shared" si="266"/>
        <v>0.53142058123596414</v>
      </c>
      <c r="Y226" s="103">
        <f t="shared" si="266"/>
        <v>0.52944125794676589</v>
      </c>
      <c r="DA226" s="191"/>
    </row>
    <row r="227" spans="1:105" ht="11.45" customHeight="1" x14ac:dyDescent="0.25">
      <c r="A227" s="157" t="s">
        <v>112</v>
      </c>
      <c r="B227" s="103">
        <f t="shared" ref="B227:K227" si="267">IF(B9=0,0,B9/B$4)</f>
        <v>0</v>
      </c>
      <c r="C227" s="103">
        <f t="shared" si="267"/>
        <v>0</v>
      </c>
      <c r="D227" s="103">
        <f t="shared" si="267"/>
        <v>1.4172294729725326E-3</v>
      </c>
      <c r="E227" s="103">
        <f t="shared" si="267"/>
        <v>3.2553503545644162E-3</v>
      </c>
      <c r="F227" s="103">
        <f t="shared" si="267"/>
        <v>7.4543647041047838E-3</v>
      </c>
      <c r="G227" s="103">
        <f t="shared" si="267"/>
        <v>7.2572383484115471E-3</v>
      </c>
      <c r="H227" s="103">
        <f t="shared" si="267"/>
        <v>7.1576913854040419E-3</v>
      </c>
      <c r="I227" s="103">
        <f t="shared" si="267"/>
        <v>9.275236979308139E-3</v>
      </c>
      <c r="J227" s="103">
        <f t="shared" si="267"/>
        <v>7.2736900520073561E-3</v>
      </c>
      <c r="K227" s="103">
        <f t="shared" si="267"/>
        <v>6.511360025621857E-3</v>
      </c>
      <c r="L227" s="103">
        <f t="shared" ref="L227" si="268">IF(L9=0,0,L9/L$4)</f>
        <v>5.5344742629442291E-3</v>
      </c>
      <c r="M227" s="103">
        <f t="shared" ref="M227:V227" si="269">IF(M9=0,0,M9/M$4)</f>
        <v>1.6494620510228285E-2</v>
      </c>
      <c r="N227" s="103">
        <f t="shared" si="269"/>
        <v>1.3626331460884889E-2</v>
      </c>
      <c r="O227" s="103">
        <f t="shared" si="269"/>
        <v>1.2001588735299282E-2</v>
      </c>
      <c r="P227" s="103">
        <f t="shared" si="269"/>
        <v>1.2747047383105892E-2</v>
      </c>
      <c r="Q227" s="103">
        <f t="shared" si="269"/>
        <v>1.4314706212764323E-2</v>
      </c>
      <c r="R227" s="103">
        <f t="shared" si="269"/>
        <v>1.4159836217693114E-2</v>
      </c>
      <c r="S227" s="103">
        <f t="shared" si="269"/>
        <v>1.7623879841423867E-2</v>
      </c>
      <c r="T227" s="103">
        <f t="shared" si="269"/>
        <v>1.8214576045367362E-2</v>
      </c>
      <c r="U227" s="103">
        <f t="shared" si="269"/>
        <v>1.9029606304837177E-2</v>
      </c>
      <c r="V227" s="103">
        <f t="shared" si="269"/>
        <v>2.4574351137114994E-2</v>
      </c>
      <c r="W227" s="103">
        <f t="shared" ref="W227:Y227" si="270">IF(W9=0,0,W9/W$4)</f>
        <v>2.9879064189577535E-2</v>
      </c>
      <c r="X227" s="103">
        <f t="shared" si="270"/>
        <v>2.8164387625737169E-2</v>
      </c>
      <c r="Y227" s="103">
        <f t="shared" si="270"/>
        <v>2.8138080006266827E-2</v>
      </c>
      <c r="DA227" s="191"/>
    </row>
    <row r="228" spans="1:105" ht="11.45" customHeight="1" x14ac:dyDescent="0.25">
      <c r="A228" s="157" t="s">
        <v>113</v>
      </c>
      <c r="B228" s="103">
        <f t="shared" ref="B228:K228" si="271">IF(B10=0,0,B10/B$4)</f>
        <v>0</v>
      </c>
      <c r="C228" s="103">
        <f t="shared" si="271"/>
        <v>0</v>
      </c>
      <c r="D228" s="103">
        <f t="shared" si="271"/>
        <v>0</v>
      </c>
      <c r="E228" s="103">
        <f t="shared" si="271"/>
        <v>0</v>
      </c>
      <c r="F228" s="103">
        <f t="shared" si="271"/>
        <v>0</v>
      </c>
      <c r="G228" s="103">
        <f t="shared" si="271"/>
        <v>0</v>
      </c>
      <c r="H228" s="103">
        <f t="shared" si="271"/>
        <v>0</v>
      </c>
      <c r="I228" s="103">
        <f t="shared" si="271"/>
        <v>0</v>
      </c>
      <c r="J228" s="103">
        <f t="shared" si="271"/>
        <v>0</v>
      </c>
      <c r="K228" s="103">
        <f t="shared" si="271"/>
        <v>0</v>
      </c>
      <c r="L228" s="103">
        <f t="shared" ref="L228" si="272">IF(L10=0,0,L10/L$4)</f>
        <v>0</v>
      </c>
      <c r="M228" s="103">
        <f t="shared" ref="M228:V228" si="273">IF(M10=0,0,M10/M$4)</f>
        <v>0</v>
      </c>
      <c r="N228" s="103">
        <f t="shared" si="273"/>
        <v>0</v>
      </c>
      <c r="O228" s="103">
        <f t="shared" si="273"/>
        <v>0</v>
      </c>
      <c r="P228" s="103">
        <f t="shared" si="273"/>
        <v>0</v>
      </c>
      <c r="Q228" s="103">
        <f t="shared" si="273"/>
        <v>0</v>
      </c>
      <c r="R228" s="103">
        <f t="shared" si="273"/>
        <v>0</v>
      </c>
      <c r="S228" s="103">
        <f t="shared" si="273"/>
        <v>0</v>
      </c>
      <c r="T228" s="103">
        <f t="shared" si="273"/>
        <v>0</v>
      </c>
      <c r="U228" s="103">
        <f t="shared" si="273"/>
        <v>0</v>
      </c>
      <c r="V228" s="103">
        <f t="shared" si="273"/>
        <v>0</v>
      </c>
      <c r="W228" s="103">
        <f t="shared" ref="W228:Y228" si="274">IF(W10=0,0,W10/W$4)</f>
        <v>0</v>
      </c>
      <c r="X228" s="103">
        <f t="shared" si="274"/>
        <v>0</v>
      </c>
      <c r="Y228" s="103">
        <f t="shared" si="274"/>
        <v>0</v>
      </c>
      <c r="DA228" s="191"/>
    </row>
    <row r="229" spans="1:105" ht="11.45" customHeight="1" x14ac:dyDescent="0.25">
      <c r="A229" s="157" t="s">
        <v>114</v>
      </c>
      <c r="B229" s="103">
        <f t="shared" ref="B229:K229" si="275">IF(B11=0,0,B11/B$4)</f>
        <v>0</v>
      </c>
      <c r="C229" s="103">
        <f t="shared" si="275"/>
        <v>0</v>
      </c>
      <c r="D229" s="103">
        <f t="shared" si="275"/>
        <v>0</v>
      </c>
      <c r="E229" s="103">
        <f t="shared" si="275"/>
        <v>0</v>
      </c>
      <c r="F229" s="103">
        <f t="shared" si="275"/>
        <v>0</v>
      </c>
      <c r="G229" s="103">
        <f t="shared" si="275"/>
        <v>0</v>
      </c>
      <c r="H229" s="103">
        <f t="shared" si="275"/>
        <v>0</v>
      </c>
      <c r="I229" s="103">
        <f t="shared" si="275"/>
        <v>0</v>
      </c>
      <c r="J229" s="103">
        <f t="shared" si="275"/>
        <v>0</v>
      </c>
      <c r="K229" s="103">
        <f t="shared" si="275"/>
        <v>0</v>
      </c>
      <c r="L229" s="103">
        <f t="shared" ref="L229" si="276">IF(L11=0,0,L11/L$4)</f>
        <v>0</v>
      </c>
      <c r="M229" s="103">
        <f t="shared" ref="M229:V229" si="277">IF(M11=0,0,M11/M$4)</f>
        <v>0</v>
      </c>
      <c r="N229" s="103">
        <f t="shared" si="277"/>
        <v>1.9192098992211484E-5</v>
      </c>
      <c r="O229" s="103">
        <f t="shared" si="277"/>
        <v>1.9185121180914289E-5</v>
      </c>
      <c r="P229" s="103">
        <f t="shared" si="277"/>
        <v>2.162538259538744E-5</v>
      </c>
      <c r="Q229" s="103">
        <f t="shared" si="277"/>
        <v>2.4750091394535686E-5</v>
      </c>
      <c r="R229" s="103">
        <f t="shared" si="277"/>
        <v>1.8936848004507817E-5</v>
      </c>
      <c r="S229" s="103">
        <f t="shared" si="277"/>
        <v>3.6313951537230604E-5</v>
      </c>
      <c r="T229" s="103">
        <f t="shared" si="277"/>
        <v>6.2439180665869055E-5</v>
      </c>
      <c r="U229" s="103">
        <f t="shared" si="277"/>
        <v>8.9230742709685173E-5</v>
      </c>
      <c r="V229" s="103">
        <f t="shared" si="277"/>
        <v>2.3185863465962017E-4</v>
      </c>
      <c r="W229" s="103">
        <f t="shared" ref="W229:Y229" si="278">IF(W11=0,0,W11/W$4)</f>
        <v>5.8925311540132118E-4</v>
      </c>
      <c r="X229" s="103">
        <f t="shared" si="278"/>
        <v>9.8442955150031199E-4</v>
      </c>
      <c r="Y229" s="103">
        <f t="shared" si="278"/>
        <v>1.1579009262738158E-3</v>
      </c>
      <c r="DA229" s="191"/>
    </row>
    <row r="230" spans="1:105" ht="11.45" customHeight="1" x14ac:dyDescent="0.25">
      <c r="A230" s="157" t="s">
        <v>115</v>
      </c>
      <c r="B230" s="103">
        <f t="shared" ref="B230:K230" si="279">IF(B12=0,0,B12/B$4)</f>
        <v>0</v>
      </c>
      <c r="C230" s="103">
        <f t="shared" si="279"/>
        <v>0</v>
      </c>
      <c r="D230" s="103">
        <f t="shared" si="279"/>
        <v>0</v>
      </c>
      <c r="E230" s="103">
        <f t="shared" si="279"/>
        <v>0</v>
      </c>
      <c r="F230" s="103">
        <f t="shared" si="279"/>
        <v>0</v>
      </c>
      <c r="G230" s="103">
        <f t="shared" si="279"/>
        <v>0</v>
      </c>
      <c r="H230" s="103">
        <f t="shared" si="279"/>
        <v>0</v>
      </c>
      <c r="I230" s="103">
        <f t="shared" si="279"/>
        <v>0</v>
      </c>
      <c r="J230" s="103">
        <f t="shared" si="279"/>
        <v>0</v>
      </c>
      <c r="K230" s="103">
        <f t="shared" si="279"/>
        <v>2.0450498119828877E-7</v>
      </c>
      <c r="L230" s="103">
        <f t="shared" ref="L230" si="280">IF(L12=0,0,L12/L$4)</f>
        <v>3.7945894137710524E-5</v>
      </c>
      <c r="M230" s="103">
        <f t="shared" ref="M230:V230" si="281">IF(M12=0,0,M12/M$4)</f>
        <v>8.677661750388575E-5</v>
      </c>
      <c r="N230" s="103">
        <f t="shared" si="281"/>
        <v>1.5324132927775627E-4</v>
      </c>
      <c r="O230" s="103">
        <f t="shared" si="281"/>
        <v>1.9243619149889106E-4</v>
      </c>
      <c r="P230" s="103">
        <f t="shared" si="281"/>
        <v>2.12164522134347E-4</v>
      </c>
      <c r="Q230" s="103">
        <f t="shared" si="281"/>
        <v>2.1014646294775576E-4</v>
      </c>
      <c r="R230" s="103">
        <f t="shared" si="281"/>
        <v>2.3154645628549499E-4</v>
      </c>
      <c r="S230" s="103">
        <f t="shared" si="281"/>
        <v>2.7414717332769386E-4</v>
      </c>
      <c r="T230" s="103">
        <f t="shared" si="281"/>
        <v>3.2149892714097042E-4</v>
      </c>
      <c r="U230" s="103">
        <f t="shared" si="281"/>
        <v>4.8410090504081839E-4</v>
      </c>
      <c r="V230" s="103">
        <f t="shared" si="281"/>
        <v>7.7446193609808484E-4</v>
      </c>
      <c r="W230" s="103">
        <f t="shared" ref="W230:Y230" si="282">IF(W12=0,0,W12/W$4)</f>
        <v>1.5888633220348513E-3</v>
      </c>
      <c r="X230" s="103">
        <f t="shared" si="282"/>
        <v>2.8086865668395106E-3</v>
      </c>
      <c r="Y230" s="103">
        <f t="shared" si="282"/>
        <v>4.1300571783731499E-3</v>
      </c>
      <c r="DA230" s="191"/>
    </row>
    <row r="231" spans="1:105" ht="11.45" customHeight="1" x14ac:dyDescent="0.25">
      <c r="A231" s="155" t="s">
        <v>21</v>
      </c>
      <c r="B231" s="156">
        <f t="shared" ref="B231:K231" si="283">IF(B13=0,0,B13/B$4)</f>
        <v>0.13055868927780639</v>
      </c>
      <c r="C231" s="156">
        <f t="shared" si="283"/>
        <v>0.11818062760588659</v>
      </c>
      <c r="D231" s="156">
        <f t="shared" si="283"/>
        <v>0.11405153778499764</v>
      </c>
      <c r="E231" s="156">
        <f t="shared" si="283"/>
        <v>0.14384163312034351</v>
      </c>
      <c r="F231" s="156">
        <f t="shared" si="283"/>
        <v>0.13937142738939026</v>
      </c>
      <c r="G231" s="156">
        <f t="shared" si="283"/>
        <v>0.16158577131826424</v>
      </c>
      <c r="H231" s="156">
        <f t="shared" si="283"/>
        <v>0.15411485793886881</v>
      </c>
      <c r="I231" s="156">
        <f t="shared" si="283"/>
        <v>0.15196866697581879</v>
      </c>
      <c r="J231" s="156">
        <f t="shared" si="283"/>
        <v>0.22164633700856953</v>
      </c>
      <c r="K231" s="156">
        <f t="shared" si="283"/>
        <v>0.18383422042555753</v>
      </c>
      <c r="L231" s="156">
        <f t="shared" ref="L231" si="284">IF(L13=0,0,L13/L$4)</f>
        <v>0.17226103027105807</v>
      </c>
      <c r="M231" s="156">
        <f t="shared" ref="M231:V231" si="285">IF(M13=0,0,M13/M$4)</f>
        <v>0.17061933683508412</v>
      </c>
      <c r="N231" s="156">
        <f t="shared" si="285"/>
        <v>0.17888983463799479</v>
      </c>
      <c r="O231" s="156">
        <f t="shared" si="285"/>
        <v>0.17427927269189977</v>
      </c>
      <c r="P231" s="156">
        <f t="shared" si="285"/>
        <v>0.17611108587357022</v>
      </c>
      <c r="Q231" s="156">
        <f t="shared" si="285"/>
        <v>0.21552469364737481</v>
      </c>
      <c r="R231" s="156">
        <f t="shared" si="285"/>
        <v>0.21024626983024353</v>
      </c>
      <c r="S231" s="156">
        <f t="shared" si="285"/>
        <v>0.20349566284688911</v>
      </c>
      <c r="T231" s="156">
        <f t="shared" si="285"/>
        <v>0.20376393747957217</v>
      </c>
      <c r="U231" s="156">
        <f t="shared" si="285"/>
        <v>0.19362898666389772</v>
      </c>
      <c r="V231" s="156">
        <f t="shared" si="285"/>
        <v>0.15789930740864819</v>
      </c>
      <c r="W231" s="156">
        <f t="shared" ref="W231:Y231" si="286">IF(W13=0,0,W13/W$4)</f>
        <v>0.15237769870980838</v>
      </c>
      <c r="X231" s="156">
        <f t="shared" si="286"/>
        <v>0.15311809271048712</v>
      </c>
      <c r="Y231" s="156">
        <f t="shared" si="286"/>
        <v>0.16409369242692373</v>
      </c>
      <c r="DA231" s="213"/>
    </row>
    <row r="232" spans="1:105" ht="11.45" customHeight="1" x14ac:dyDescent="0.25">
      <c r="A232" s="157" t="s">
        <v>110</v>
      </c>
      <c r="B232" s="103">
        <f t="shared" ref="B232:K232" si="287">IF(B14=0,0,B14/B$4)</f>
        <v>0</v>
      </c>
      <c r="C232" s="103">
        <f t="shared" si="287"/>
        <v>0</v>
      </c>
      <c r="D232" s="103">
        <f t="shared" si="287"/>
        <v>0</v>
      </c>
      <c r="E232" s="103">
        <f t="shared" si="287"/>
        <v>0</v>
      </c>
      <c r="F232" s="103">
        <f t="shared" si="287"/>
        <v>0</v>
      </c>
      <c r="G232" s="103">
        <f t="shared" si="287"/>
        <v>0</v>
      </c>
      <c r="H232" s="103">
        <f t="shared" si="287"/>
        <v>0</v>
      </c>
      <c r="I232" s="103">
        <f t="shared" si="287"/>
        <v>0</v>
      </c>
      <c r="J232" s="103">
        <f t="shared" si="287"/>
        <v>3.8961080080242869E-4</v>
      </c>
      <c r="K232" s="103">
        <f t="shared" si="287"/>
        <v>3.7880592338065039E-4</v>
      </c>
      <c r="L232" s="103">
        <f t="shared" ref="L232" si="288">IF(L14=0,0,L14/L$4)</f>
        <v>3.8476325533900503E-4</v>
      </c>
      <c r="M232" s="103">
        <f t="shared" ref="M232:V232" si="289">IF(M14=0,0,M14/M$4)</f>
        <v>3.9257504445942999E-4</v>
      </c>
      <c r="N232" s="103">
        <f t="shared" si="289"/>
        <v>3.6969052487230696E-4</v>
      </c>
      <c r="O232" s="103">
        <f t="shared" si="289"/>
        <v>3.4745689058815336E-4</v>
      </c>
      <c r="P232" s="103">
        <f t="shared" si="289"/>
        <v>3.2051365305503049E-4</v>
      </c>
      <c r="Q232" s="103">
        <f t="shared" si="289"/>
        <v>2.6763278836845848E-4</v>
      </c>
      <c r="R232" s="103">
        <f t="shared" si="289"/>
        <v>2.4797950138840226E-4</v>
      </c>
      <c r="S232" s="103">
        <f t="shared" si="289"/>
        <v>2.3586195979876821E-4</v>
      </c>
      <c r="T232" s="103">
        <f t="shared" si="289"/>
        <v>2.1008470585170248E-4</v>
      </c>
      <c r="U232" s="103">
        <f t="shared" si="289"/>
        <v>1.9296480502623906E-4</v>
      </c>
      <c r="V232" s="103">
        <f t="shared" si="289"/>
        <v>2.2652818515382541E-4</v>
      </c>
      <c r="W232" s="103">
        <f t="shared" ref="W232:Y232" si="290">IF(W14=0,0,W14/W$4)</f>
        <v>2.1203227178691805E-4</v>
      </c>
      <c r="X232" s="103">
        <f t="shared" si="290"/>
        <v>2.1364845913727633E-4</v>
      </c>
      <c r="Y232" s="103">
        <f t="shared" si="290"/>
        <v>2.0388210333730021E-4</v>
      </c>
      <c r="DA232" s="191"/>
    </row>
    <row r="233" spans="1:105" ht="11.45" customHeight="1" x14ac:dyDescent="0.25">
      <c r="A233" s="157" t="s">
        <v>111</v>
      </c>
      <c r="B233" s="103">
        <f t="shared" ref="B233:K233" si="291">IF(B15=0,0,B15/B$4)</f>
        <v>0.13055868927780639</v>
      </c>
      <c r="C233" s="103">
        <f t="shared" si="291"/>
        <v>0.11818062760588659</v>
      </c>
      <c r="D233" s="103">
        <f t="shared" si="291"/>
        <v>0.11405153778499764</v>
      </c>
      <c r="E233" s="103">
        <f t="shared" si="291"/>
        <v>0.14384163312034351</v>
      </c>
      <c r="F233" s="103">
        <f t="shared" si="291"/>
        <v>0.13937142738939026</v>
      </c>
      <c r="G233" s="103">
        <f t="shared" si="291"/>
        <v>0.16158577131826424</v>
      </c>
      <c r="H233" s="103">
        <f t="shared" si="291"/>
        <v>0.15411485793886881</v>
      </c>
      <c r="I233" s="103">
        <f t="shared" si="291"/>
        <v>0.15196866697581879</v>
      </c>
      <c r="J233" s="103">
        <f t="shared" si="291"/>
        <v>0.2211529041316323</v>
      </c>
      <c r="K233" s="103">
        <f t="shared" si="291"/>
        <v>0.18335754463496592</v>
      </c>
      <c r="L233" s="103">
        <f t="shared" ref="L233" si="292">IF(L15=0,0,L15/L$4)</f>
        <v>0.17168071420762815</v>
      </c>
      <c r="M233" s="103">
        <f t="shared" ref="M233:V233" si="293">IF(M15=0,0,M15/M$4)</f>
        <v>0.16999405645268253</v>
      </c>
      <c r="N233" s="103">
        <f t="shared" si="293"/>
        <v>0.17828238347754691</v>
      </c>
      <c r="O233" s="103">
        <f t="shared" si="293"/>
        <v>0.17369482745565643</v>
      </c>
      <c r="P233" s="103">
        <f t="shared" si="293"/>
        <v>0.17555446595266011</v>
      </c>
      <c r="Q233" s="103">
        <f t="shared" si="293"/>
        <v>0.21498533427216357</v>
      </c>
      <c r="R233" s="103">
        <f t="shared" si="293"/>
        <v>0.209757548354539</v>
      </c>
      <c r="S233" s="103">
        <f t="shared" si="293"/>
        <v>0.20303626613165843</v>
      </c>
      <c r="T233" s="103">
        <f t="shared" si="293"/>
        <v>0.20332132555511401</v>
      </c>
      <c r="U233" s="103">
        <f t="shared" si="293"/>
        <v>0.19304825997703207</v>
      </c>
      <c r="V233" s="103">
        <f t="shared" si="293"/>
        <v>0.1568157886622501</v>
      </c>
      <c r="W233" s="103">
        <f t="shared" ref="W233:Y233" si="294">IF(W15=0,0,W15/W$4)</f>
        <v>0.15131913129850105</v>
      </c>
      <c r="X233" s="103">
        <f t="shared" si="294"/>
        <v>0.15161413108150121</v>
      </c>
      <c r="Y233" s="103">
        <f t="shared" si="294"/>
        <v>0.16094752863742806</v>
      </c>
      <c r="DA233" s="191"/>
    </row>
    <row r="234" spans="1:105" ht="11.45" customHeight="1" x14ac:dyDescent="0.25">
      <c r="A234" s="157" t="s">
        <v>112</v>
      </c>
      <c r="B234" s="103">
        <f t="shared" ref="B234:K234" si="295">IF(B16=0,0,B16/B$4)</f>
        <v>0</v>
      </c>
      <c r="C234" s="103">
        <f t="shared" si="295"/>
        <v>0</v>
      </c>
      <c r="D234" s="103">
        <f t="shared" si="295"/>
        <v>0</v>
      </c>
      <c r="E234" s="103">
        <f t="shared" si="295"/>
        <v>0</v>
      </c>
      <c r="F234" s="103">
        <f t="shared" si="295"/>
        <v>0</v>
      </c>
      <c r="G234" s="103">
        <f t="shared" si="295"/>
        <v>0</v>
      </c>
      <c r="H234" s="103">
        <f t="shared" si="295"/>
        <v>0</v>
      </c>
      <c r="I234" s="103">
        <f t="shared" si="295"/>
        <v>0</v>
      </c>
      <c r="J234" s="103">
        <f t="shared" si="295"/>
        <v>1.0382207613478023E-4</v>
      </c>
      <c r="K234" s="103">
        <f t="shared" si="295"/>
        <v>9.7869867210939501E-5</v>
      </c>
      <c r="L234" s="103">
        <f t="shared" ref="L234" si="296">IF(L16=0,0,L16/L$4)</f>
        <v>1.9555280809092386E-4</v>
      </c>
      <c r="M234" s="103">
        <f t="shared" ref="M234:V234" si="297">IF(M16=0,0,M16/M$4)</f>
        <v>2.3270533794217391E-4</v>
      </c>
      <c r="N234" s="103">
        <f t="shared" si="297"/>
        <v>2.3776063557560332E-4</v>
      </c>
      <c r="O234" s="103">
        <f t="shared" si="297"/>
        <v>2.325824743977244E-4</v>
      </c>
      <c r="P234" s="103">
        <f t="shared" si="297"/>
        <v>2.2754166527584193E-4</v>
      </c>
      <c r="Q234" s="103">
        <f t="shared" si="297"/>
        <v>2.5152698813042201E-4</v>
      </c>
      <c r="R234" s="103">
        <f t="shared" si="297"/>
        <v>2.1703215919164658E-4</v>
      </c>
      <c r="S234" s="103">
        <f t="shared" si="297"/>
        <v>2.0112916077517923E-4</v>
      </c>
      <c r="T234" s="103">
        <f t="shared" si="297"/>
        <v>1.230861865326573E-4</v>
      </c>
      <c r="U234" s="103">
        <f t="shared" si="297"/>
        <v>1.0812577125852349E-4</v>
      </c>
      <c r="V234" s="103">
        <f t="shared" si="297"/>
        <v>8.5790995100553394E-5</v>
      </c>
      <c r="W234" s="103">
        <f t="shared" ref="W234:Y234" si="298">IF(W16=0,0,W16/W$4)</f>
        <v>8.1064644332323629E-5</v>
      </c>
      <c r="X234" s="103">
        <f t="shared" si="298"/>
        <v>2.9336176912095777E-5</v>
      </c>
      <c r="Y234" s="103">
        <f t="shared" si="298"/>
        <v>2.3510791070305033E-5</v>
      </c>
      <c r="DA234" s="191"/>
    </row>
    <row r="235" spans="1:105" ht="11.45" customHeight="1" x14ac:dyDescent="0.25">
      <c r="A235" s="157" t="s">
        <v>113</v>
      </c>
      <c r="B235" s="103">
        <f t="shared" ref="B235:K235" si="299">IF(B17=0,0,B17/B$4)</f>
        <v>0</v>
      </c>
      <c r="C235" s="103">
        <f t="shared" si="299"/>
        <v>0</v>
      </c>
      <c r="D235" s="103">
        <f t="shared" si="299"/>
        <v>0</v>
      </c>
      <c r="E235" s="103">
        <f t="shared" si="299"/>
        <v>0</v>
      </c>
      <c r="F235" s="103">
        <f t="shared" si="299"/>
        <v>0</v>
      </c>
      <c r="G235" s="103">
        <f t="shared" si="299"/>
        <v>0</v>
      </c>
      <c r="H235" s="103">
        <f t="shared" si="299"/>
        <v>0</v>
      </c>
      <c r="I235" s="103">
        <f t="shared" si="299"/>
        <v>0</v>
      </c>
      <c r="J235" s="103">
        <f t="shared" si="299"/>
        <v>0</v>
      </c>
      <c r="K235" s="103">
        <f t="shared" si="299"/>
        <v>0</v>
      </c>
      <c r="L235" s="103">
        <f t="shared" ref="L235" si="300">IF(L17=0,0,L17/L$4)</f>
        <v>0</v>
      </c>
      <c r="M235" s="103">
        <f t="shared" ref="M235:V235" si="301">IF(M17=0,0,M17/M$4)</f>
        <v>0</v>
      </c>
      <c r="N235" s="103">
        <f t="shared" si="301"/>
        <v>0</v>
      </c>
      <c r="O235" s="103">
        <f t="shared" si="301"/>
        <v>0</v>
      </c>
      <c r="P235" s="103">
        <f t="shared" si="301"/>
        <v>0</v>
      </c>
      <c r="Q235" s="103">
        <f t="shared" si="301"/>
        <v>0</v>
      </c>
      <c r="R235" s="103">
        <f t="shared" si="301"/>
        <v>0</v>
      </c>
      <c r="S235" s="103">
        <f t="shared" si="301"/>
        <v>0</v>
      </c>
      <c r="T235" s="103">
        <f t="shared" si="301"/>
        <v>0</v>
      </c>
      <c r="U235" s="103">
        <f t="shared" si="301"/>
        <v>0</v>
      </c>
      <c r="V235" s="103">
        <f t="shared" si="301"/>
        <v>0</v>
      </c>
      <c r="W235" s="103">
        <f t="shared" ref="W235:Y235" si="302">IF(W17=0,0,W17/W$4)</f>
        <v>0</v>
      </c>
      <c r="X235" s="103">
        <f t="shared" si="302"/>
        <v>0</v>
      </c>
      <c r="Y235" s="103">
        <f t="shared" si="302"/>
        <v>0</v>
      </c>
      <c r="DA235" s="191"/>
    </row>
    <row r="236" spans="1:105" ht="11.45" customHeight="1" x14ac:dyDescent="0.25">
      <c r="A236" s="157" t="s">
        <v>115</v>
      </c>
      <c r="B236" s="103">
        <f t="shared" ref="B236:K236" si="303">IF(B18=0,0,B18/B$4)</f>
        <v>0</v>
      </c>
      <c r="C236" s="103">
        <f t="shared" si="303"/>
        <v>0</v>
      </c>
      <c r="D236" s="103">
        <f t="shared" si="303"/>
        <v>0</v>
      </c>
      <c r="E236" s="103">
        <f t="shared" si="303"/>
        <v>0</v>
      </c>
      <c r="F236" s="103">
        <f t="shared" si="303"/>
        <v>0</v>
      </c>
      <c r="G236" s="103">
        <f t="shared" si="303"/>
        <v>0</v>
      </c>
      <c r="H236" s="103">
        <f t="shared" si="303"/>
        <v>0</v>
      </c>
      <c r="I236" s="103">
        <f t="shared" si="303"/>
        <v>0</v>
      </c>
      <c r="J236" s="103">
        <f t="shared" si="303"/>
        <v>0</v>
      </c>
      <c r="K236" s="103">
        <f t="shared" si="303"/>
        <v>0</v>
      </c>
      <c r="L236" s="103">
        <f t="shared" ref="L236" si="304">IF(L18=0,0,L18/L$4)</f>
        <v>0</v>
      </c>
      <c r="M236" s="103">
        <f t="shared" ref="M236:V236" si="305">IF(M18=0,0,M18/M$4)</f>
        <v>0</v>
      </c>
      <c r="N236" s="103">
        <f t="shared" si="305"/>
        <v>0</v>
      </c>
      <c r="O236" s="103">
        <f t="shared" si="305"/>
        <v>4.4058712574571147E-6</v>
      </c>
      <c r="P236" s="103">
        <f t="shared" si="305"/>
        <v>8.5646025792188067E-6</v>
      </c>
      <c r="Q236" s="103">
        <f t="shared" si="305"/>
        <v>2.0199598712343135E-5</v>
      </c>
      <c r="R236" s="103">
        <f t="shared" si="305"/>
        <v>2.3709815124471382E-5</v>
      </c>
      <c r="S236" s="103">
        <f t="shared" si="305"/>
        <v>2.2405594656723026E-5</v>
      </c>
      <c r="T236" s="103">
        <f t="shared" si="305"/>
        <v>1.0944103207378343E-4</v>
      </c>
      <c r="U236" s="103">
        <f t="shared" si="305"/>
        <v>2.7963611058090055E-4</v>
      </c>
      <c r="V236" s="103">
        <f t="shared" si="305"/>
        <v>7.7119956614370958E-4</v>
      </c>
      <c r="W236" s="103">
        <f t="shared" ref="W236:Y236" si="306">IF(W18=0,0,W18/W$4)</f>
        <v>7.6547049518812355E-4</v>
      </c>
      <c r="X236" s="103">
        <f t="shared" si="306"/>
        <v>1.2609769929365418E-3</v>
      </c>
      <c r="Y236" s="103">
        <f t="shared" si="306"/>
        <v>2.9187708950880568E-3</v>
      </c>
      <c r="DA236" s="191"/>
    </row>
    <row r="237" spans="1:105" ht="11.45" customHeight="1" x14ac:dyDescent="0.25">
      <c r="A237" s="27" t="s">
        <v>39</v>
      </c>
      <c r="B237" s="46">
        <f t="shared" ref="B237:K237" si="307">IF(B19=0,0,B19/B$19)</f>
        <v>1</v>
      </c>
      <c r="C237" s="46">
        <f t="shared" si="307"/>
        <v>1</v>
      </c>
      <c r="D237" s="46">
        <f t="shared" si="307"/>
        <v>1</v>
      </c>
      <c r="E237" s="46">
        <f t="shared" si="307"/>
        <v>1</v>
      </c>
      <c r="F237" s="46">
        <f t="shared" si="307"/>
        <v>1</v>
      </c>
      <c r="G237" s="46">
        <f t="shared" si="307"/>
        <v>1</v>
      </c>
      <c r="H237" s="46">
        <f t="shared" si="307"/>
        <v>1</v>
      </c>
      <c r="I237" s="46">
        <f t="shared" si="307"/>
        <v>1</v>
      </c>
      <c r="J237" s="46">
        <f t="shared" si="307"/>
        <v>1</v>
      </c>
      <c r="K237" s="46">
        <f t="shared" si="307"/>
        <v>1</v>
      </c>
      <c r="L237" s="46">
        <f t="shared" ref="L237" si="308">IF(L19=0,0,L19/L$19)</f>
        <v>1</v>
      </c>
      <c r="M237" s="46">
        <f t="shared" ref="M237:V237" si="309">IF(M19=0,0,M19/M$19)</f>
        <v>1</v>
      </c>
      <c r="N237" s="46">
        <f t="shared" si="309"/>
        <v>1</v>
      </c>
      <c r="O237" s="46">
        <f t="shared" si="309"/>
        <v>1</v>
      </c>
      <c r="P237" s="46">
        <f t="shared" si="309"/>
        <v>1</v>
      </c>
      <c r="Q237" s="46">
        <f t="shared" si="309"/>
        <v>1</v>
      </c>
      <c r="R237" s="46">
        <f t="shared" si="309"/>
        <v>1</v>
      </c>
      <c r="S237" s="46">
        <f t="shared" si="309"/>
        <v>1</v>
      </c>
      <c r="T237" s="46">
        <f t="shared" si="309"/>
        <v>1</v>
      </c>
      <c r="U237" s="46">
        <f t="shared" si="309"/>
        <v>1</v>
      </c>
      <c r="V237" s="46">
        <f t="shared" si="309"/>
        <v>1</v>
      </c>
      <c r="W237" s="46">
        <f t="shared" ref="W237:Y237" si="310">IF(W19=0,0,W19/W$19)</f>
        <v>1</v>
      </c>
      <c r="X237" s="46">
        <f t="shared" si="310"/>
        <v>1</v>
      </c>
      <c r="Y237" s="46">
        <f t="shared" si="310"/>
        <v>1</v>
      </c>
      <c r="DA237" s="211"/>
    </row>
    <row r="238" spans="1:105" ht="11.45" customHeight="1" x14ac:dyDescent="0.25">
      <c r="A238" s="153" t="s">
        <v>153</v>
      </c>
      <c r="B238" s="154">
        <f t="shared" ref="B238:K238" si="311">IF(B20=0,0,B20/B$19)</f>
        <v>6.0972972696997425E-2</v>
      </c>
      <c r="C238" s="154">
        <f t="shared" si="311"/>
        <v>5.8860118356012361E-2</v>
      </c>
      <c r="D238" s="154">
        <f t="shared" si="311"/>
        <v>5.7975763048084515E-2</v>
      </c>
      <c r="E238" s="154">
        <f t="shared" si="311"/>
        <v>5.3761681218583643E-2</v>
      </c>
      <c r="F238" s="154">
        <f t="shared" si="311"/>
        <v>5.0908827953321578E-2</v>
      </c>
      <c r="G238" s="154">
        <f t="shared" si="311"/>
        <v>4.4386716721189844E-2</v>
      </c>
      <c r="H238" s="154">
        <f t="shared" si="311"/>
        <v>4.89121017504675E-2</v>
      </c>
      <c r="I238" s="154">
        <f t="shared" si="311"/>
        <v>4.9448133685372209E-2</v>
      </c>
      <c r="J238" s="154">
        <f t="shared" si="311"/>
        <v>6.1460708957350486E-2</v>
      </c>
      <c r="K238" s="154">
        <f t="shared" si="311"/>
        <v>7.6469219017231624E-2</v>
      </c>
      <c r="L238" s="154">
        <f t="shared" ref="L238" si="312">IF(L20=0,0,L20/L$19)</f>
        <v>0.11866618416205202</v>
      </c>
      <c r="M238" s="154">
        <f t="shared" ref="M238:V238" si="313">IF(M20=0,0,M20/M$19)</f>
        <v>0.12614935090052815</v>
      </c>
      <c r="N238" s="154">
        <f t="shared" si="313"/>
        <v>0.12162411754121749</v>
      </c>
      <c r="O238" s="154">
        <f t="shared" si="313"/>
        <v>0.12760164245756295</v>
      </c>
      <c r="P238" s="154">
        <f t="shared" si="313"/>
        <v>0.1406952943244574</v>
      </c>
      <c r="Q238" s="154">
        <f t="shared" si="313"/>
        <v>0.14859114938586765</v>
      </c>
      <c r="R238" s="154">
        <f t="shared" si="313"/>
        <v>0.14133234640043901</v>
      </c>
      <c r="S238" s="154">
        <f t="shared" si="313"/>
        <v>0.14010515775760546</v>
      </c>
      <c r="T238" s="154">
        <f t="shared" si="313"/>
        <v>0.14685496693385125</v>
      </c>
      <c r="U238" s="154">
        <f t="shared" si="313"/>
        <v>0.14053174239956845</v>
      </c>
      <c r="V238" s="154">
        <f t="shared" si="313"/>
        <v>0.1507725181883787</v>
      </c>
      <c r="W238" s="154">
        <f t="shared" ref="W238:Y238" si="314">IF(W20=0,0,W20/W$19)</f>
        <v>0.13084181802297853</v>
      </c>
      <c r="X238" s="154">
        <f t="shared" si="314"/>
        <v>0.12826439591339653</v>
      </c>
      <c r="Y238" s="154">
        <f t="shared" si="314"/>
        <v>0.12876575660035353</v>
      </c>
      <c r="DA238" s="212"/>
    </row>
    <row r="239" spans="1:105" ht="11.45" customHeight="1" x14ac:dyDescent="0.25">
      <c r="A239" s="157" t="s">
        <v>110</v>
      </c>
      <c r="B239" s="103">
        <f t="shared" ref="B239:K239" si="315">IF(B21=0,0,B21/B$19)</f>
        <v>1.7592760143366463E-2</v>
      </c>
      <c r="C239" s="103">
        <f t="shared" si="315"/>
        <v>1.6607383250601883E-2</v>
      </c>
      <c r="D239" s="103">
        <f t="shared" si="315"/>
        <v>1.5918093260618899E-2</v>
      </c>
      <c r="E239" s="103">
        <f t="shared" si="315"/>
        <v>1.4336949238735316E-2</v>
      </c>
      <c r="F239" s="103">
        <f t="shared" si="315"/>
        <v>1.3175527462076595E-2</v>
      </c>
      <c r="G239" s="103">
        <f t="shared" si="315"/>
        <v>1.1174683056139735E-2</v>
      </c>
      <c r="H239" s="103">
        <f t="shared" si="315"/>
        <v>1.1863944955091211E-2</v>
      </c>
      <c r="I239" s="103">
        <f t="shared" si="315"/>
        <v>1.1629043780734526E-2</v>
      </c>
      <c r="J239" s="103">
        <f t="shared" si="315"/>
        <v>1.2466040849772266E-2</v>
      </c>
      <c r="K239" s="103">
        <f t="shared" si="315"/>
        <v>1.4781093515726524E-2</v>
      </c>
      <c r="L239" s="103">
        <f t="shared" ref="L239" si="316">IF(L21=0,0,L21/L$19)</f>
        <v>2.1636421286591698E-2</v>
      </c>
      <c r="M239" s="103">
        <f t="shared" ref="M239:V239" si="317">IF(M21=0,0,M21/M$19)</f>
        <v>2.0937522070265457E-2</v>
      </c>
      <c r="N239" s="103">
        <f t="shared" si="317"/>
        <v>1.8690633733819691E-2</v>
      </c>
      <c r="O239" s="103">
        <f t="shared" si="317"/>
        <v>1.699431990242908E-2</v>
      </c>
      <c r="P239" s="103">
        <f t="shared" si="317"/>
        <v>1.596689963198825E-2</v>
      </c>
      <c r="Q239" s="103">
        <f t="shared" si="317"/>
        <v>1.405159265046999E-2</v>
      </c>
      <c r="R239" s="103">
        <f t="shared" si="317"/>
        <v>1.373825824170906E-2</v>
      </c>
      <c r="S239" s="103">
        <f t="shared" si="317"/>
        <v>1.307728641303821E-2</v>
      </c>
      <c r="T239" s="103">
        <f t="shared" si="317"/>
        <v>1.2709160975784076E-2</v>
      </c>
      <c r="U239" s="103">
        <f t="shared" si="317"/>
        <v>1.1030298468742327E-2</v>
      </c>
      <c r="V239" s="103">
        <f t="shared" si="317"/>
        <v>1.0939743829921383E-2</v>
      </c>
      <c r="W239" s="103">
        <f t="shared" ref="W239:Y239" si="318">IF(W21=0,0,W21/W$19)</f>
        <v>8.9323369407349907E-3</v>
      </c>
      <c r="X239" s="103">
        <f t="shared" si="318"/>
        <v>8.36803534855491E-3</v>
      </c>
      <c r="Y239" s="103">
        <f t="shared" si="318"/>
        <v>8.1964895073603355E-3</v>
      </c>
      <c r="DA239" s="191"/>
    </row>
    <row r="240" spans="1:105" ht="11.45" customHeight="1" x14ac:dyDescent="0.25">
      <c r="A240" s="157" t="s">
        <v>111</v>
      </c>
      <c r="B240" s="103">
        <f t="shared" ref="B240:K240" si="319">IF(B22=0,0,B22/B$19)</f>
        <v>4.3380212553630955E-2</v>
      </c>
      <c r="C240" s="103">
        <f t="shared" si="319"/>
        <v>4.2252735105410479E-2</v>
      </c>
      <c r="D240" s="103">
        <f t="shared" si="319"/>
        <v>4.2057669787465612E-2</v>
      </c>
      <c r="E240" s="103">
        <f t="shared" si="319"/>
        <v>3.9424731979848332E-2</v>
      </c>
      <c r="F240" s="103">
        <f t="shared" si="319"/>
        <v>3.773330049124498E-2</v>
      </c>
      <c r="G240" s="103">
        <f t="shared" si="319"/>
        <v>3.3212033665050107E-2</v>
      </c>
      <c r="H240" s="103">
        <f t="shared" si="319"/>
        <v>3.7048156795376291E-2</v>
      </c>
      <c r="I240" s="103">
        <f t="shared" si="319"/>
        <v>3.7819089904637684E-2</v>
      </c>
      <c r="J240" s="103">
        <f t="shared" si="319"/>
        <v>4.8994527750164378E-2</v>
      </c>
      <c r="K240" s="103">
        <f t="shared" si="319"/>
        <v>6.1687956004869857E-2</v>
      </c>
      <c r="L240" s="103">
        <f t="shared" ref="L240" si="320">IF(L22=0,0,L22/L$19)</f>
        <v>9.7029145852440019E-2</v>
      </c>
      <c r="M240" s="103">
        <f t="shared" ref="M240:V240" si="321">IF(M22=0,0,M22/M$19)</f>
        <v>0.10521076785210383</v>
      </c>
      <c r="N240" s="103">
        <f t="shared" si="321"/>
        <v>0.10293128268756616</v>
      </c>
      <c r="O240" s="103">
        <f t="shared" si="321"/>
        <v>0.1106045069094064</v>
      </c>
      <c r="P240" s="103">
        <f t="shared" si="321"/>
        <v>0.12472480992223052</v>
      </c>
      <c r="Q240" s="103">
        <f t="shared" si="321"/>
        <v>0.13453639271911863</v>
      </c>
      <c r="R240" s="103">
        <f t="shared" si="321"/>
        <v>0.1275902314052493</v>
      </c>
      <c r="S240" s="103">
        <f t="shared" si="321"/>
        <v>0.1270223078187962</v>
      </c>
      <c r="T240" s="103">
        <f t="shared" si="321"/>
        <v>0.13413538583441312</v>
      </c>
      <c r="U240" s="103">
        <f t="shared" si="321"/>
        <v>0.12948523287703761</v>
      </c>
      <c r="V240" s="103">
        <f t="shared" si="321"/>
        <v>0.13980549973346038</v>
      </c>
      <c r="W240" s="103">
        <f t="shared" ref="W240:Y240" si="322">IF(W22=0,0,W22/W$19)</f>
        <v>0.12187742642607022</v>
      </c>
      <c r="X240" s="103">
        <f t="shared" si="322"/>
        <v>0.11984511269343345</v>
      </c>
      <c r="Y240" s="103">
        <f t="shared" si="322"/>
        <v>0.12046834511993566</v>
      </c>
      <c r="DA240" s="191"/>
    </row>
    <row r="241" spans="1:105" ht="11.45" customHeight="1" x14ac:dyDescent="0.25">
      <c r="A241" s="157" t="s">
        <v>112</v>
      </c>
      <c r="B241" s="103">
        <f t="shared" ref="B241:K241" si="323">IF(B23=0,0,B23/B$19)</f>
        <v>0</v>
      </c>
      <c r="C241" s="103">
        <f t="shared" si="323"/>
        <v>0</v>
      </c>
      <c r="D241" s="103">
        <f t="shared" si="323"/>
        <v>0</v>
      </c>
      <c r="E241" s="103">
        <f t="shared" si="323"/>
        <v>0</v>
      </c>
      <c r="F241" s="103">
        <f t="shared" si="323"/>
        <v>0</v>
      </c>
      <c r="G241" s="103">
        <f t="shared" si="323"/>
        <v>0</v>
      </c>
      <c r="H241" s="103">
        <f t="shared" si="323"/>
        <v>0</v>
      </c>
      <c r="I241" s="103">
        <f t="shared" si="323"/>
        <v>0</v>
      </c>
      <c r="J241" s="103">
        <f t="shared" si="323"/>
        <v>1.4035741383991907E-7</v>
      </c>
      <c r="K241" s="103">
        <f t="shared" si="323"/>
        <v>1.6949663523795135E-7</v>
      </c>
      <c r="L241" s="103">
        <f t="shared" ref="L241" si="324">IF(L23=0,0,L23/L$19)</f>
        <v>2.5950477963068404E-7</v>
      </c>
      <c r="M241" s="103">
        <f t="shared" ref="M241:V241" si="325">IF(M23=0,0,M23/M$19)</f>
        <v>5.2333126703896855E-7</v>
      </c>
      <c r="N241" s="103">
        <f t="shared" si="325"/>
        <v>1.2110752524062636E-6</v>
      </c>
      <c r="O241" s="103">
        <f t="shared" si="325"/>
        <v>1.1903568077258971E-6</v>
      </c>
      <c r="P241" s="103">
        <f t="shared" si="325"/>
        <v>1.4449237662368511E-6</v>
      </c>
      <c r="Q241" s="103">
        <f t="shared" si="325"/>
        <v>1.1965702760656121E-6</v>
      </c>
      <c r="R241" s="103">
        <f t="shared" si="325"/>
        <v>1.4407069151987029E-6</v>
      </c>
      <c r="S241" s="103">
        <f t="shared" si="325"/>
        <v>1.3493815041333628E-6</v>
      </c>
      <c r="T241" s="103">
        <f t="shared" si="325"/>
        <v>1.2100745968991971E-6</v>
      </c>
      <c r="U241" s="103">
        <f t="shared" si="325"/>
        <v>1.0877553362224901E-6</v>
      </c>
      <c r="V241" s="103">
        <f t="shared" si="325"/>
        <v>1.012189666119633E-6</v>
      </c>
      <c r="W241" s="103">
        <f t="shared" ref="W241:Y241" si="326">IF(W23=0,0,W23/W$19)</f>
        <v>1.1402314786909902E-6</v>
      </c>
      <c r="X241" s="103">
        <f t="shared" si="326"/>
        <v>2.4491706772730551E-6</v>
      </c>
      <c r="Y241" s="103">
        <f t="shared" si="326"/>
        <v>3.5267245205975843E-6</v>
      </c>
      <c r="DA241" s="191"/>
    </row>
    <row r="242" spans="1:105" ht="11.45" customHeight="1" x14ac:dyDescent="0.25">
      <c r="A242" s="157" t="s">
        <v>113</v>
      </c>
      <c r="B242" s="103">
        <f t="shared" ref="B242:K242" si="327">IF(B24=0,0,B24/B$19)</f>
        <v>0</v>
      </c>
      <c r="C242" s="103">
        <f t="shared" si="327"/>
        <v>0</v>
      </c>
      <c r="D242" s="103">
        <f t="shared" si="327"/>
        <v>0</v>
      </c>
      <c r="E242" s="103">
        <f t="shared" si="327"/>
        <v>0</v>
      </c>
      <c r="F242" s="103">
        <f t="shared" si="327"/>
        <v>0</v>
      </c>
      <c r="G242" s="103">
        <f t="shared" si="327"/>
        <v>0</v>
      </c>
      <c r="H242" s="103">
        <f t="shared" si="327"/>
        <v>0</v>
      </c>
      <c r="I242" s="103">
        <f t="shared" si="327"/>
        <v>0</v>
      </c>
      <c r="J242" s="103">
        <f t="shared" si="327"/>
        <v>0</v>
      </c>
      <c r="K242" s="103">
        <f t="shared" si="327"/>
        <v>0</v>
      </c>
      <c r="L242" s="103">
        <f t="shared" ref="L242" si="328">IF(L24=0,0,L24/L$19)</f>
        <v>0</v>
      </c>
      <c r="M242" s="103">
        <f t="shared" ref="M242:V242" si="329">IF(M24=0,0,M24/M$19)</f>
        <v>0</v>
      </c>
      <c r="N242" s="103">
        <f t="shared" si="329"/>
        <v>0</v>
      </c>
      <c r="O242" s="103">
        <f t="shared" si="329"/>
        <v>0</v>
      </c>
      <c r="P242" s="103">
        <f t="shared" si="329"/>
        <v>0</v>
      </c>
      <c r="Q242" s="103">
        <f t="shared" si="329"/>
        <v>0</v>
      </c>
      <c r="R242" s="103">
        <f t="shared" si="329"/>
        <v>0</v>
      </c>
      <c r="S242" s="103">
        <f t="shared" si="329"/>
        <v>0</v>
      </c>
      <c r="T242" s="103">
        <f t="shared" si="329"/>
        <v>0</v>
      </c>
      <c r="U242" s="103">
        <f t="shared" si="329"/>
        <v>0</v>
      </c>
      <c r="V242" s="103">
        <f t="shared" si="329"/>
        <v>0</v>
      </c>
      <c r="W242" s="103">
        <f t="shared" ref="W242:Y242" si="330">IF(W24=0,0,W24/W$19)</f>
        <v>0</v>
      </c>
      <c r="X242" s="103">
        <f t="shared" si="330"/>
        <v>0</v>
      </c>
      <c r="Y242" s="103">
        <f t="shared" si="330"/>
        <v>0</v>
      </c>
      <c r="DA242" s="191"/>
    </row>
    <row r="243" spans="1:105" ht="11.45" customHeight="1" x14ac:dyDescent="0.25">
      <c r="A243" s="157" t="s">
        <v>115</v>
      </c>
      <c r="B243" s="103">
        <f t="shared" ref="B243:K243" si="331">IF(B25=0,0,B25/B$19)</f>
        <v>0</v>
      </c>
      <c r="C243" s="103">
        <f t="shared" si="331"/>
        <v>0</v>
      </c>
      <c r="D243" s="103">
        <f t="shared" si="331"/>
        <v>0</v>
      </c>
      <c r="E243" s="103">
        <f t="shared" si="331"/>
        <v>0</v>
      </c>
      <c r="F243" s="103">
        <f t="shared" si="331"/>
        <v>0</v>
      </c>
      <c r="G243" s="103">
        <f t="shared" si="331"/>
        <v>0</v>
      </c>
      <c r="H243" s="103">
        <f t="shared" si="331"/>
        <v>0</v>
      </c>
      <c r="I243" s="103">
        <f t="shared" si="331"/>
        <v>0</v>
      </c>
      <c r="J243" s="103">
        <f t="shared" si="331"/>
        <v>0</v>
      </c>
      <c r="K243" s="103">
        <f t="shared" si="331"/>
        <v>0</v>
      </c>
      <c r="L243" s="103">
        <f t="shared" ref="L243" si="332">IF(L25=0,0,L25/L$19)</f>
        <v>3.5751824068041851E-7</v>
      </c>
      <c r="M243" s="103">
        <f t="shared" ref="M243:V243" si="333">IF(M25=0,0,M25/M$19)</f>
        <v>5.3764689182395394E-7</v>
      </c>
      <c r="N243" s="103">
        <f t="shared" si="333"/>
        <v>9.9004457924180025E-7</v>
      </c>
      <c r="O243" s="103">
        <f t="shared" si="333"/>
        <v>1.6252889197471231E-6</v>
      </c>
      <c r="P243" s="103">
        <f t="shared" si="333"/>
        <v>2.1398464723768092E-6</v>
      </c>
      <c r="Q243" s="103">
        <f t="shared" si="333"/>
        <v>1.9674460029452619E-6</v>
      </c>
      <c r="R243" s="103">
        <f t="shared" si="333"/>
        <v>2.4160465654637282E-6</v>
      </c>
      <c r="S243" s="103">
        <f t="shared" si="333"/>
        <v>4.2141442669452738E-6</v>
      </c>
      <c r="T243" s="103">
        <f t="shared" si="333"/>
        <v>9.2100490571587461E-6</v>
      </c>
      <c r="U243" s="103">
        <f t="shared" si="333"/>
        <v>1.5123298452258513E-5</v>
      </c>
      <c r="V243" s="103">
        <f t="shared" si="333"/>
        <v>2.6262435330839726E-5</v>
      </c>
      <c r="W243" s="103">
        <f t="shared" ref="W243:Y243" si="334">IF(W25=0,0,W25/W$19)</f>
        <v>3.091442469463056E-5</v>
      </c>
      <c r="X243" s="103">
        <f t="shared" si="334"/>
        <v>4.8798700730889285E-5</v>
      </c>
      <c r="Y243" s="103">
        <f t="shared" si="334"/>
        <v>9.7395248536946135E-5</v>
      </c>
      <c r="DA243" s="191"/>
    </row>
    <row r="244" spans="1:105" ht="11.45" customHeight="1" x14ac:dyDescent="0.25">
      <c r="A244" s="155" t="s">
        <v>154</v>
      </c>
      <c r="B244" s="156">
        <f t="shared" ref="B244:K244" si="335">IF(B26=0,0,B26/B$19)</f>
        <v>0.93902702730300258</v>
      </c>
      <c r="C244" s="156">
        <f t="shared" si="335"/>
        <v>0.94113988164398765</v>
      </c>
      <c r="D244" s="156">
        <f t="shared" si="335"/>
        <v>0.94202423695191551</v>
      </c>
      <c r="E244" s="156">
        <f t="shared" si="335"/>
        <v>0.9462383187814164</v>
      </c>
      <c r="F244" s="156">
        <f t="shared" si="335"/>
        <v>0.94909117204667837</v>
      </c>
      <c r="G244" s="156">
        <f t="shared" si="335"/>
        <v>0.95561328327881023</v>
      </c>
      <c r="H244" s="156">
        <f t="shared" si="335"/>
        <v>0.95108789824953255</v>
      </c>
      <c r="I244" s="156">
        <f t="shared" si="335"/>
        <v>0.95055186631462785</v>
      </c>
      <c r="J244" s="156">
        <f t="shared" si="335"/>
        <v>0.93853929104264966</v>
      </c>
      <c r="K244" s="156">
        <f t="shared" si="335"/>
        <v>0.92353078098276831</v>
      </c>
      <c r="L244" s="156">
        <f t="shared" ref="L244" si="336">IF(L26=0,0,L26/L$19)</f>
        <v>0.88133381583794812</v>
      </c>
      <c r="M244" s="156">
        <f t="shared" ref="M244:V244" si="337">IF(M26=0,0,M26/M$19)</f>
        <v>0.87385064909947197</v>
      </c>
      <c r="N244" s="156">
        <f t="shared" si="337"/>
        <v>0.87837588245878251</v>
      </c>
      <c r="O244" s="156">
        <f t="shared" si="337"/>
        <v>0.872398357542437</v>
      </c>
      <c r="P244" s="156">
        <f t="shared" si="337"/>
        <v>0.85930470567554251</v>
      </c>
      <c r="Q244" s="156">
        <f t="shared" si="337"/>
        <v>0.85140885061413241</v>
      </c>
      <c r="R244" s="156">
        <f t="shared" si="337"/>
        <v>0.85866765359956088</v>
      </c>
      <c r="S244" s="156">
        <f t="shared" si="337"/>
        <v>0.85989484224239454</v>
      </c>
      <c r="T244" s="156">
        <f t="shared" si="337"/>
        <v>0.85314503306614875</v>
      </c>
      <c r="U244" s="156">
        <f t="shared" si="337"/>
        <v>0.85946825760043155</v>
      </c>
      <c r="V244" s="156">
        <f t="shared" si="337"/>
        <v>0.84922748181162122</v>
      </c>
      <c r="W244" s="156">
        <f t="shared" ref="W244:Y244" si="338">IF(W26=0,0,W26/W$19)</f>
        <v>0.86915818197702144</v>
      </c>
      <c r="X244" s="156">
        <f t="shared" si="338"/>
        <v>0.87173560408660344</v>
      </c>
      <c r="Y244" s="156">
        <f t="shared" si="338"/>
        <v>0.87123424339964639</v>
      </c>
      <c r="DA244" s="213"/>
    </row>
    <row r="245" spans="1:105" ht="11.45" customHeight="1" x14ac:dyDescent="0.25">
      <c r="A245" s="157" t="s">
        <v>27</v>
      </c>
      <c r="B245" s="103">
        <f t="shared" ref="B245:K245" si="339">IF(B27=0,0,B27/B$19)</f>
        <v>0.47967724197346601</v>
      </c>
      <c r="C245" s="103">
        <f t="shared" si="339"/>
        <v>0.48211773259985718</v>
      </c>
      <c r="D245" s="103">
        <f t="shared" si="339"/>
        <v>0.476378642681896</v>
      </c>
      <c r="E245" s="103">
        <f t="shared" si="339"/>
        <v>0.52577039569099426</v>
      </c>
      <c r="F245" s="103">
        <f t="shared" si="339"/>
        <v>0.50916943759430611</v>
      </c>
      <c r="G245" s="103">
        <f t="shared" si="339"/>
        <v>0.57023578772425176</v>
      </c>
      <c r="H245" s="103">
        <f t="shared" si="339"/>
        <v>0.6634934018365527</v>
      </c>
      <c r="I245" s="103">
        <f t="shared" si="339"/>
        <v>0.67076084549816539</v>
      </c>
      <c r="J245" s="103">
        <f t="shared" si="339"/>
        <v>0.70301923874861794</v>
      </c>
      <c r="K245" s="103">
        <f t="shared" si="339"/>
        <v>0.76674634151880094</v>
      </c>
      <c r="L245" s="103">
        <f t="shared" ref="L245" si="340">IF(L27=0,0,L27/L$19)</f>
        <v>0.68271462063252508</v>
      </c>
      <c r="M245" s="103">
        <f t="shared" ref="M245:V245" si="341">IF(M27=0,0,M27/M$19)</f>
        <v>0.67079816325769992</v>
      </c>
      <c r="N245" s="103">
        <f t="shared" si="341"/>
        <v>0.65988936259988795</v>
      </c>
      <c r="O245" s="103">
        <f t="shared" si="341"/>
        <v>0.64129905196587589</v>
      </c>
      <c r="P245" s="103">
        <f t="shared" si="341"/>
        <v>0.63028565555741267</v>
      </c>
      <c r="Q245" s="103">
        <f t="shared" si="341"/>
        <v>0.62421422486102429</v>
      </c>
      <c r="R245" s="103">
        <f t="shared" si="341"/>
        <v>0.62613493641309859</v>
      </c>
      <c r="S245" s="103">
        <f t="shared" si="341"/>
        <v>0.60073780428680279</v>
      </c>
      <c r="T245" s="103">
        <f t="shared" si="341"/>
        <v>0.6140693996773493</v>
      </c>
      <c r="U245" s="103">
        <f t="shared" si="341"/>
        <v>0.6422421328920993</v>
      </c>
      <c r="V245" s="103">
        <f t="shared" si="341"/>
        <v>0.67703912683090173</v>
      </c>
      <c r="W245" s="103">
        <f t="shared" ref="W245:Y245" si="342">IF(W27=0,0,W27/W$19)</f>
        <v>0.66367714567355574</v>
      </c>
      <c r="X245" s="103">
        <f t="shared" si="342"/>
        <v>0.67811250181370719</v>
      </c>
      <c r="Y245" s="103">
        <f t="shared" si="342"/>
        <v>0.67581608458113362</v>
      </c>
      <c r="DA245" s="191"/>
    </row>
    <row r="246" spans="1:105" ht="11.45" customHeight="1" x14ac:dyDescent="0.25">
      <c r="A246" s="158" t="s">
        <v>116</v>
      </c>
      <c r="B246" s="105">
        <f t="shared" ref="B246:K246" si="343">IF(B28=0,0,B28/B$19)</f>
        <v>0.45934978532953663</v>
      </c>
      <c r="C246" s="105">
        <f t="shared" si="343"/>
        <v>0.45902214904413041</v>
      </c>
      <c r="D246" s="105">
        <f t="shared" si="343"/>
        <v>0.46564559427001956</v>
      </c>
      <c r="E246" s="105">
        <f t="shared" si="343"/>
        <v>0.42046792309042214</v>
      </c>
      <c r="F246" s="105">
        <f t="shared" si="343"/>
        <v>0.4399217344523722</v>
      </c>
      <c r="G246" s="105">
        <f t="shared" si="343"/>
        <v>0.38537749555455847</v>
      </c>
      <c r="H246" s="105">
        <f t="shared" si="343"/>
        <v>0.28759449641297991</v>
      </c>
      <c r="I246" s="105">
        <f t="shared" si="343"/>
        <v>0.27979102081646251</v>
      </c>
      <c r="J246" s="105">
        <f t="shared" si="343"/>
        <v>0.2355200522940317</v>
      </c>
      <c r="K246" s="105">
        <f t="shared" si="343"/>
        <v>0.15678443946396733</v>
      </c>
      <c r="L246" s="105">
        <f t="shared" ref="L246" si="344">IF(L28=0,0,L28/L$19)</f>
        <v>0.19861919520542304</v>
      </c>
      <c r="M246" s="105">
        <f t="shared" ref="M246:V246" si="345">IF(M28=0,0,M28/M$19)</f>
        <v>0.20305248584177199</v>
      </c>
      <c r="N246" s="105">
        <f t="shared" si="345"/>
        <v>0.21848651985889456</v>
      </c>
      <c r="O246" s="105">
        <f t="shared" si="345"/>
        <v>0.23109930557656111</v>
      </c>
      <c r="P246" s="105">
        <f t="shared" si="345"/>
        <v>0.22901905011812987</v>
      </c>
      <c r="Q246" s="105">
        <f t="shared" si="345"/>
        <v>0.22719462575310811</v>
      </c>
      <c r="R246" s="105">
        <f t="shared" si="345"/>
        <v>0.23253271718646229</v>
      </c>
      <c r="S246" s="105">
        <f t="shared" si="345"/>
        <v>0.25915703795559181</v>
      </c>
      <c r="T246" s="105">
        <f t="shared" si="345"/>
        <v>0.23907563338879945</v>
      </c>
      <c r="U246" s="105">
        <f t="shared" si="345"/>
        <v>0.21722612470833225</v>
      </c>
      <c r="V246" s="105">
        <f t="shared" si="345"/>
        <v>0.17218835498071947</v>
      </c>
      <c r="W246" s="105">
        <f t="shared" ref="W246:Y246" si="346">IF(W28=0,0,W28/W$19)</f>
        <v>0.20548103630346573</v>
      </c>
      <c r="X246" s="105">
        <f t="shared" si="346"/>
        <v>0.19362310227289631</v>
      </c>
      <c r="Y246" s="105">
        <f t="shared" si="346"/>
        <v>0.19541815881851271</v>
      </c>
      <c r="DA246" s="192"/>
    </row>
    <row r="247" spans="1:105" ht="11.45" customHeight="1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DA247" s="171"/>
    </row>
    <row r="248" spans="1:105" ht="11.45" customHeight="1" x14ac:dyDescent="0.25">
      <c r="A248" s="53" t="s">
        <v>66</v>
      </c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DA248" s="183"/>
    </row>
    <row r="249" spans="1:105" ht="11.45" customHeight="1" x14ac:dyDescent="0.25">
      <c r="A249" s="27" t="s">
        <v>33</v>
      </c>
      <c r="B249" s="46">
        <f t="shared" ref="B249:K249" si="347">IF(B31=0,0,B31/B$31)</f>
        <v>1</v>
      </c>
      <c r="C249" s="46">
        <f t="shared" si="347"/>
        <v>1</v>
      </c>
      <c r="D249" s="46">
        <f t="shared" si="347"/>
        <v>1</v>
      </c>
      <c r="E249" s="46">
        <f t="shared" si="347"/>
        <v>1</v>
      </c>
      <c r="F249" s="46">
        <f t="shared" si="347"/>
        <v>1</v>
      </c>
      <c r="G249" s="46">
        <f t="shared" si="347"/>
        <v>1</v>
      </c>
      <c r="H249" s="46">
        <f t="shared" si="347"/>
        <v>1</v>
      </c>
      <c r="I249" s="46">
        <f t="shared" si="347"/>
        <v>1</v>
      </c>
      <c r="J249" s="46">
        <f t="shared" si="347"/>
        <v>1</v>
      </c>
      <c r="K249" s="46">
        <f t="shared" si="347"/>
        <v>1</v>
      </c>
      <c r="L249" s="46">
        <f t="shared" ref="L249" si="348">IF(L31=0,0,L31/L$31)</f>
        <v>1</v>
      </c>
      <c r="M249" s="46">
        <f t="shared" ref="M249:V249" si="349">IF(M31=0,0,M31/M$31)</f>
        <v>1</v>
      </c>
      <c r="N249" s="46">
        <f t="shared" si="349"/>
        <v>1</v>
      </c>
      <c r="O249" s="46">
        <f t="shared" si="349"/>
        <v>1</v>
      </c>
      <c r="P249" s="46">
        <f t="shared" si="349"/>
        <v>1</v>
      </c>
      <c r="Q249" s="46">
        <f t="shared" si="349"/>
        <v>1</v>
      </c>
      <c r="R249" s="46">
        <f t="shared" si="349"/>
        <v>1</v>
      </c>
      <c r="S249" s="46">
        <f t="shared" si="349"/>
        <v>1</v>
      </c>
      <c r="T249" s="46">
        <f t="shared" si="349"/>
        <v>1</v>
      </c>
      <c r="U249" s="46">
        <f t="shared" si="349"/>
        <v>1</v>
      </c>
      <c r="V249" s="46">
        <f t="shared" si="349"/>
        <v>1</v>
      </c>
      <c r="W249" s="46">
        <f t="shared" ref="W249:Y249" si="350">IF(W31=0,0,W31/W$31)</f>
        <v>1</v>
      </c>
      <c r="X249" s="46">
        <f t="shared" si="350"/>
        <v>1</v>
      </c>
      <c r="Y249" s="46">
        <f t="shared" si="350"/>
        <v>1</v>
      </c>
      <c r="DA249" s="211"/>
    </row>
    <row r="250" spans="1:105" ht="11.45" customHeight="1" x14ac:dyDescent="0.25">
      <c r="A250" s="153" t="s">
        <v>173</v>
      </c>
      <c r="B250" s="154">
        <f t="shared" ref="B250:K250" si="351">IF(B32=0,0,B32/B$31)</f>
        <v>1.1046066812957889E-2</v>
      </c>
      <c r="C250" s="154">
        <f t="shared" si="351"/>
        <v>8.6314304191748726E-3</v>
      </c>
      <c r="D250" s="154">
        <f t="shared" si="351"/>
        <v>8.3570017069320331E-3</v>
      </c>
      <c r="E250" s="154">
        <f t="shared" si="351"/>
        <v>7.803666238140986E-3</v>
      </c>
      <c r="F250" s="154">
        <f t="shared" si="351"/>
        <v>7.4235378269324236E-3</v>
      </c>
      <c r="G250" s="154">
        <f t="shared" si="351"/>
        <v>7.5430135718497198E-3</v>
      </c>
      <c r="H250" s="154">
        <f t="shared" si="351"/>
        <v>8.0958898743756901E-3</v>
      </c>
      <c r="I250" s="154">
        <f t="shared" si="351"/>
        <v>7.9799349392017747E-3</v>
      </c>
      <c r="J250" s="154">
        <f t="shared" si="351"/>
        <v>9.6516051726800479E-3</v>
      </c>
      <c r="K250" s="154">
        <f t="shared" si="351"/>
        <v>9.9830454740409916E-3</v>
      </c>
      <c r="L250" s="154">
        <f t="shared" ref="L250" si="352">IF(L32=0,0,L32/L$31)</f>
        <v>1.0262619742429265E-2</v>
      </c>
      <c r="M250" s="154">
        <f t="shared" ref="M250:V250" si="353">IF(M32=0,0,M32/M$31)</f>
        <v>1.041163815989919E-2</v>
      </c>
      <c r="N250" s="154">
        <f t="shared" si="353"/>
        <v>1.0461706398268385E-2</v>
      </c>
      <c r="O250" s="154">
        <f t="shared" si="353"/>
        <v>1.072602373104809E-2</v>
      </c>
      <c r="P250" s="154">
        <f t="shared" si="353"/>
        <v>1.077532051005828E-2</v>
      </c>
      <c r="Q250" s="154">
        <f t="shared" si="353"/>
        <v>1.0874357510883323E-2</v>
      </c>
      <c r="R250" s="154">
        <f t="shared" si="353"/>
        <v>1.1252753613418525E-2</v>
      </c>
      <c r="S250" s="154">
        <f t="shared" si="353"/>
        <v>1.0537716060642294E-2</v>
      </c>
      <c r="T250" s="154">
        <f t="shared" si="353"/>
        <v>9.5514307904961265E-3</v>
      </c>
      <c r="U250" s="154">
        <f t="shared" si="353"/>
        <v>9.5317911054733084E-3</v>
      </c>
      <c r="V250" s="154">
        <f t="shared" si="353"/>
        <v>9.4730864443790166E-3</v>
      </c>
      <c r="W250" s="154">
        <f t="shared" ref="W250:Y250" si="354">IF(W32=0,0,W32/W$31)</f>
        <v>9.1086714864663312E-3</v>
      </c>
      <c r="X250" s="154">
        <f t="shared" si="354"/>
        <v>8.4634932221949611E-3</v>
      </c>
      <c r="Y250" s="154">
        <f t="shared" si="354"/>
        <v>8.4915853721420041E-3</v>
      </c>
      <c r="DA250" s="212"/>
    </row>
    <row r="251" spans="1:105" ht="11.45" customHeight="1" x14ac:dyDescent="0.25">
      <c r="A251" s="155" t="s">
        <v>20</v>
      </c>
      <c r="B251" s="156">
        <f t="shared" ref="B251:K251" si="355">IF(B33=0,0,B33/B$31)</f>
        <v>0.9495296805366682</v>
      </c>
      <c r="C251" s="156">
        <f t="shared" si="355"/>
        <v>0.95729931599448148</v>
      </c>
      <c r="D251" s="156">
        <f t="shared" si="355"/>
        <v>0.96044518640786991</v>
      </c>
      <c r="E251" s="156">
        <f t="shared" si="355"/>
        <v>0.9590928201365444</v>
      </c>
      <c r="F251" s="156">
        <f t="shared" si="355"/>
        <v>0.956917189191548</v>
      </c>
      <c r="G251" s="156">
        <f t="shared" si="355"/>
        <v>0.95644024961802021</v>
      </c>
      <c r="H251" s="156">
        <f t="shared" si="355"/>
        <v>0.95985881831771003</v>
      </c>
      <c r="I251" s="156">
        <f t="shared" si="355"/>
        <v>0.95746333852613086</v>
      </c>
      <c r="J251" s="156">
        <f t="shared" si="355"/>
        <v>0.94450467392276338</v>
      </c>
      <c r="K251" s="156">
        <f t="shared" si="355"/>
        <v>0.94596004762706032</v>
      </c>
      <c r="L251" s="156">
        <f t="shared" ref="L251" si="356">IF(L33=0,0,L33/L$31)</f>
        <v>0.94606665794936107</v>
      </c>
      <c r="M251" s="156">
        <f t="shared" ref="M251:V251" si="357">IF(M33=0,0,M33/M$31)</f>
        <v>0.94621270800849167</v>
      </c>
      <c r="N251" s="156">
        <f t="shared" si="357"/>
        <v>0.94644319622250117</v>
      </c>
      <c r="O251" s="156">
        <f t="shared" si="357"/>
        <v>0.94646001599796159</v>
      </c>
      <c r="P251" s="156">
        <f t="shared" si="357"/>
        <v>0.94668145433034456</v>
      </c>
      <c r="Q251" s="156">
        <f t="shared" si="357"/>
        <v>0.94690271181358865</v>
      </c>
      <c r="R251" s="156">
        <f t="shared" si="357"/>
        <v>0.94688155840307942</v>
      </c>
      <c r="S251" s="156">
        <f t="shared" si="357"/>
        <v>0.94741807409849965</v>
      </c>
      <c r="T251" s="156">
        <f t="shared" si="357"/>
        <v>0.94990983252868855</v>
      </c>
      <c r="U251" s="156">
        <f t="shared" si="357"/>
        <v>0.95170782190090775</v>
      </c>
      <c r="V251" s="156">
        <f t="shared" si="357"/>
        <v>0.94714039395337324</v>
      </c>
      <c r="W251" s="156">
        <f t="shared" ref="W251:Y251" si="358">IF(W33=0,0,W33/W$31)</f>
        <v>0.95032276378076264</v>
      </c>
      <c r="X251" s="156">
        <f t="shared" si="358"/>
        <v>0.95392269742582902</v>
      </c>
      <c r="Y251" s="156">
        <f t="shared" si="358"/>
        <v>0.95616189709906685</v>
      </c>
      <c r="DA251" s="213"/>
    </row>
    <row r="252" spans="1:105" ht="11.45" customHeight="1" x14ac:dyDescent="0.25">
      <c r="A252" s="157" t="s">
        <v>110</v>
      </c>
      <c r="B252" s="103">
        <f t="shared" ref="B252:K252" si="359">IF(B34=0,0,B34/B$31)</f>
        <v>0.82703987380411292</v>
      </c>
      <c r="C252" s="103">
        <f t="shared" si="359"/>
        <v>0.82766674256657835</v>
      </c>
      <c r="D252" s="103">
        <f t="shared" si="359"/>
        <v>0.79709896781009693</v>
      </c>
      <c r="E252" s="103">
        <f t="shared" si="359"/>
        <v>0.76098617096509713</v>
      </c>
      <c r="F252" s="103">
        <f t="shared" si="359"/>
        <v>0.73483477828573984</v>
      </c>
      <c r="G252" s="103">
        <f t="shared" si="359"/>
        <v>0.66804861098904111</v>
      </c>
      <c r="H252" s="103">
        <f t="shared" si="359"/>
        <v>0.62041528321954831</v>
      </c>
      <c r="I252" s="103">
        <f t="shared" si="359"/>
        <v>0.5639712573684863</v>
      </c>
      <c r="J252" s="103">
        <f t="shared" si="359"/>
        <v>0.47943908468004914</v>
      </c>
      <c r="K252" s="103">
        <f t="shared" si="359"/>
        <v>0.45513535461020971</v>
      </c>
      <c r="L252" s="103">
        <f t="shared" ref="L252" si="360">IF(L34=0,0,L34/L$31)</f>
        <v>0.45972716505628758</v>
      </c>
      <c r="M252" s="103">
        <f t="shared" ref="M252:V252" si="361">IF(M34=0,0,M34/M$31)</f>
        <v>0.40013241479387401</v>
      </c>
      <c r="N252" s="103">
        <f t="shared" si="361"/>
        <v>0.38021870371227406</v>
      </c>
      <c r="O252" s="103">
        <f t="shared" si="361"/>
        <v>0.397525419491215</v>
      </c>
      <c r="P252" s="103">
        <f t="shared" si="361"/>
        <v>0.41677571444262479</v>
      </c>
      <c r="Q252" s="103">
        <f t="shared" si="361"/>
        <v>0.39842939543735412</v>
      </c>
      <c r="R252" s="103">
        <f t="shared" si="361"/>
        <v>0.36951440819984316</v>
      </c>
      <c r="S252" s="103">
        <f t="shared" si="361"/>
        <v>0.35619788589477219</v>
      </c>
      <c r="T252" s="103">
        <f t="shared" si="361"/>
        <v>0.33870547511391486</v>
      </c>
      <c r="U252" s="103">
        <f t="shared" si="361"/>
        <v>0.32551434761111314</v>
      </c>
      <c r="V252" s="103">
        <f t="shared" si="361"/>
        <v>0.33695627941718465</v>
      </c>
      <c r="W252" s="103">
        <f t="shared" ref="W252:Y252" si="362">IF(W34=0,0,W34/W$31)</f>
        <v>0.34225648922934115</v>
      </c>
      <c r="X252" s="103">
        <f t="shared" si="362"/>
        <v>0.32725806624098419</v>
      </c>
      <c r="Y252" s="103">
        <f t="shared" si="362"/>
        <v>0.31977938739929374</v>
      </c>
      <c r="DA252" s="191"/>
    </row>
    <row r="253" spans="1:105" ht="11.45" customHeight="1" x14ac:dyDescent="0.25">
      <c r="A253" s="157" t="s">
        <v>111</v>
      </c>
      <c r="B253" s="103">
        <f t="shared" ref="B253:K253" si="363">IF(B35=0,0,B35/B$31)</f>
        <v>0.12248980673255525</v>
      </c>
      <c r="C253" s="103">
        <f t="shared" si="363"/>
        <v>0.1296325734279031</v>
      </c>
      <c r="D253" s="103">
        <f t="shared" si="363"/>
        <v>0.16175424132464181</v>
      </c>
      <c r="E253" s="103">
        <f t="shared" si="363"/>
        <v>0.19432853095697733</v>
      </c>
      <c r="F253" s="103">
        <f t="shared" si="363"/>
        <v>0.21349639892974595</v>
      </c>
      <c r="G253" s="103">
        <f t="shared" si="363"/>
        <v>0.27981709103112107</v>
      </c>
      <c r="H253" s="103">
        <f t="shared" si="363"/>
        <v>0.33102979392001775</v>
      </c>
      <c r="I253" s="103">
        <f t="shared" si="363"/>
        <v>0.38264261677130174</v>
      </c>
      <c r="J253" s="103">
        <f t="shared" si="363"/>
        <v>0.45591266549082426</v>
      </c>
      <c r="K253" s="103">
        <f t="shared" si="363"/>
        <v>0.48299733471712064</v>
      </c>
      <c r="L253" s="103">
        <f t="shared" ref="L253" si="364">IF(L35=0,0,L35/L$31)</f>
        <v>0.47972237075262381</v>
      </c>
      <c r="M253" s="103">
        <f t="shared" ref="M253:V253" si="365">IF(M35=0,0,M35/M$31)</f>
        <v>0.52642425142111449</v>
      </c>
      <c r="N253" s="103">
        <f t="shared" si="365"/>
        <v>0.5496754477950021</v>
      </c>
      <c r="O253" s="103">
        <f t="shared" si="365"/>
        <v>0.53435153021321036</v>
      </c>
      <c r="P253" s="103">
        <f t="shared" si="365"/>
        <v>0.51436670918799454</v>
      </c>
      <c r="Q253" s="103">
        <f t="shared" si="365"/>
        <v>0.53018382374053385</v>
      </c>
      <c r="R253" s="103">
        <f t="shared" si="365"/>
        <v>0.55936574820676022</v>
      </c>
      <c r="S253" s="103">
        <f t="shared" si="365"/>
        <v>0.56900712307393064</v>
      </c>
      <c r="T253" s="103">
        <f t="shared" si="365"/>
        <v>0.58810503139271009</v>
      </c>
      <c r="U253" s="103">
        <f t="shared" si="365"/>
        <v>0.6020681481869441</v>
      </c>
      <c r="V253" s="103">
        <f t="shared" si="365"/>
        <v>0.58014157641255737</v>
      </c>
      <c r="W253" s="103">
        <f t="shared" ref="W253:Y253" si="366">IF(W35=0,0,W35/W$31)</f>
        <v>0.57038693522374995</v>
      </c>
      <c r="X253" s="103">
        <f t="shared" si="366"/>
        <v>0.58862447661035489</v>
      </c>
      <c r="Y253" s="103">
        <f t="shared" si="366"/>
        <v>0.59566688067078433</v>
      </c>
      <c r="DA253" s="191"/>
    </row>
    <row r="254" spans="1:105" ht="11.45" customHeight="1" x14ac:dyDescent="0.25">
      <c r="A254" s="157" t="s">
        <v>112</v>
      </c>
      <c r="B254" s="103">
        <f t="shared" ref="B254:K254" si="367">IF(B36=0,0,B36/B$31)</f>
        <v>0</v>
      </c>
      <c r="C254" s="103">
        <f t="shared" si="367"/>
        <v>0</v>
      </c>
      <c r="D254" s="103">
        <f t="shared" si="367"/>
        <v>1.5919772731312154E-3</v>
      </c>
      <c r="E254" s="103">
        <f t="shared" si="367"/>
        <v>3.7781182144699188E-3</v>
      </c>
      <c r="F254" s="103">
        <f t="shared" si="367"/>
        <v>8.5860119760621679E-3</v>
      </c>
      <c r="G254" s="103">
        <f t="shared" si="367"/>
        <v>8.5745475978580444E-3</v>
      </c>
      <c r="H254" s="103">
        <f t="shared" si="367"/>
        <v>8.4137411781439915E-3</v>
      </c>
      <c r="I254" s="103">
        <f t="shared" si="367"/>
        <v>1.0849464386342713E-2</v>
      </c>
      <c r="J254" s="103">
        <f t="shared" si="367"/>
        <v>9.1529237518899464E-3</v>
      </c>
      <c r="K254" s="103">
        <f t="shared" si="367"/>
        <v>7.8270606919542303E-3</v>
      </c>
      <c r="L254" s="103">
        <f t="shared" ref="L254" si="368">IF(L36=0,0,L36/L$31)</f>
        <v>6.5626491775075974E-3</v>
      </c>
      <c r="M254" s="103">
        <f t="shared" ref="M254:V254" si="369">IF(M36=0,0,M36/M$31)</f>
        <v>1.9531644027512181E-2</v>
      </c>
      <c r="N254" s="103">
        <f t="shared" si="369"/>
        <v>1.6303607517300023E-2</v>
      </c>
      <c r="O254" s="103">
        <f t="shared" si="369"/>
        <v>1.4282487574233359E-2</v>
      </c>
      <c r="P254" s="103">
        <f t="shared" si="369"/>
        <v>1.5206259429326905E-2</v>
      </c>
      <c r="Q254" s="103">
        <f t="shared" si="369"/>
        <v>1.7938971240785504E-2</v>
      </c>
      <c r="R254" s="103">
        <f t="shared" si="369"/>
        <v>1.7628325606468348E-2</v>
      </c>
      <c r="S254" s="103">
        <f t="shared" si="369"/>
        <v>2.1757512404156642E-2</v>
      </c>
      <c r="T254" s="103">
        <f t="shared" si="369"/>
        <v>2.2538747577545853E-2</v>
      </c>
      <c r="U254" s="103">
        <f t="shared" si="369"/>
        <v>2.3296217709002476E-2</v>
      </c>
      <c r="V254" s="103">
        <f t="shared" si="369"/>
        <v>2.8672139898413242E-2</v>
      </c>
      <c r="W254" s="103">
        <f t="shared" ref="W254:Y254" si="370">IF(W36=0,0,W36/W$31)</f>
        <v>3.4742494533252219E-2</v>
      </c>
      <c r="X254" s="103">
        <f t="shared" si="370"/>
        <v>3.2893873358690304E-2</v>
      </c>
      <c r="Y254" s="103">
        <f t="shared" si="370"/>
        <v>3.3380321324404633E-2</v>
      </c>
      <c r="DA254" s="191"/>
    </row>
    <row r="255" spans="1:105" ht="11.45" customHeight="1" x14ac:dyDescent="0.25">
      <c r="A255" s="157" t="s">
        <v>113</v>
      </c>
      <c r="B255" s="103">
        <f t="shared" ref="B255:K255" si="371">IF(B37=0,0,B37/B$31)</f>
        <v>0</v>
      </c>
      <c r="C255" s="103">
        <f t="shared" si="371"/>
        <v>0</v>
      </c>
      <c r="D255" s="103">
        <f t="shared" si="371"/>
        <v>0</v>
      </c>
      <c r="E255" s="103">
        <f t="shared" si="371"/>
        <v>0</v>
      </c>
      <c r="F255" s="103">
        <f t="shared" si="371"/>
        <v>0</v>
      </c>
      <c r="G255" s="103">
        <f t="shared" si="371"/>
        <v>0</v>
      </c>
      <c r="H255" s="103">
        <f t="shared" si="371"/>
        <v>0</v>
      </c>
      <c r="I255" s="103">
        <f t="shared" si="371"/>
        <v>0</v>
      </c>
      <c r="J255" s="103">
        <f t="shared" si="371"/>
        <v>0</v>
      </c>
      <c r="K255" s="103">
        <f t="shared" si="371"/>
        <v>0</v>
      </c>
      <c r="L255" s="103">
        <f t="shared" ref="L255" si="372">IF(L37=0,0,L37/L$31)</f>
        <v>0</v>
      </c>
      <c r="M255" s="103">
        <f t="shared" ref="M255:V255" si="373">IF(M37=0,0,M37/M$31)</f>
        <v>0</v>
      </c>
      <c r="N255" s="103">
        <f t="shared" si="373"/>
        <v>0</v>
      </c>
      <c r="O255" s="103">
        <f t="shared" si="373"/>
        <v>0</v>
      </c>
      <c r="P255" s="103">
        <f t="shared" si="373"/>
        <v>0</v>
      </c>
      <c r="Q255" s="103">
        <f t="shared" si="373"/>
        <v>0</v>
      </c>
      <c r="R255" s="103">
        <f t="shared" si="373"/>
        <v>0</v>
      </c>
      <c r="S255" s="103">
        <f t="shared" si="373"/>
        <v>0</v>
      </c>
      <c r="T255" s="103">
        <f t="shared" si="373"/>
        <v>0</v>
      </c>
      <c r="U255" s="103">
        <f t="shared" si="373"/>
        <v>0</v>
      </c>
      <c r="V255" s="103">
        <f t="shared" si="373"/>
        <v>0</v>
      </c>
      <c r="W255" s="103">
        <f t="shared" ref="W255:Y255" si="374">IF(W37=0,0,W37/W$31)</f>
        <v>0</v>
      </c>
      <c r="X255" s="103">
        <f t="shared" si="374"/>
        <v>0</v>
      </c>
      <c r="Y255" s="103">
        <f t="shared" si="374"/>
        <v>0</v>
      </c>
      <c r="DA255" s="191"/>
    </row>
    <row r="256" spans="1:105" ht="11.45" customHeight="1" x14ac:dyDescent="0.25">
      <c r="A256" s="157" t="s">
        <v>114</v>
      </c>
      <c r="B256" s="103">
        <f t="shared" ref="B256:K256" si="375">IF(B38=0,0,B38/B$31)</f>
        <v>0</v>
      </c>
      <c r="C256" s="103">
        <f t="shared" si="375"/>
        <v>0</v>
      </c>
      <c r="D256" s="103">
        <f t="shared" si="375"/>
        <v>0</v>
      </c>
      <c r="E256" s="103">
        <f t="shared" si="375"/>
        <v>0</v>
      </c>
      <c r="F256" s="103">
        <f t="shared" si="375"/>
        <v>0</v>
      </c>
      <c r="G256" s="103">
        <f t="shared" si="375"/>
        <v>0</v>
      </c>
      <c r="H256" s="103">
        <f t="shared" si="375"/>
        <v>0</v>
      </c>
      <c r="I256" s="103">
        <f t="shared" si="375"/>
        <v>0</v>
      </c>
      <c r="J256" s="103">
        <f t="shared" si="375"/>
        <v>0</v>
      </c>
      <c r="K256" s="103">
        <f t="shared" si="375"/>
        <v>0</v>
      </c>
      <c r="L256" s="103">
        <f t="shared" ref="L256" si="376">IF(L38=0,0,L38/L$31)</f>
        <v>0</v>
      </c>
      <c r="M256" s="103">
        <f t="shared" ref="M256:V256" si="377">IF(M38=0,0,M38/M$31)</f>
        <v>0</v>
      </c>
      <c r="N256" s="103">
        <f t="shared" si="377"/>
        <v>2.3467308995046161E-5</v>
      </c>
      <c r="O256" s="103">
        <f t="shared" si="377"/>
        <v>2.3332738563600414E-5</v>
      </c>
      <c r="P256" s="103">
        <f t="shared" si="377"/>
        <v>2.636408170794089E-5</v>
      </c>
      <c r="Q256" s="103">
        <f t="shared" si="377"/>
        <v>3.1697714921231432E-5</v>
      </c>
      <c r="R256" s="103">
        <f t="shared" si="377"/>
        <v>2.4093316221701579E-5</v>
      </c>
      <c r="S256" s="103">
        <f t="shared" si="377"/>
        <v>4.5816011602374555E-5</v>
      </c>
      <c r="T256" s="103">
        <f t="shared" si="377"/>
        <v>7.895942223453202E-5</v>
      </c>
      <c r="U256" s="103">
        <f t="shared" si="377"/>
        <v>1.1163649030799197E-4</v>
      </c>
      <c r="V256" s="103">
        <f t="shared" si="377"/>
        <v>2.7646322854831814E-4</v>
      </c>
      <c r="W256" s="103">
        <f t="shared" ref="W256:Y256" si="378">IF(W38=0,0,W38/W$31)</f>
        <v>7.0021586697493034E-4</v>
      </c>
      <c r="X256" s="103">
        <f t="shared" si="378"/>
        <v>1.1749933245182899E-3</v>
      </c>
      <c r="Y256" s="103">
        <f t="shared" si="378"/>
        <v>1.4037944076116166E-3</v>
      </c>
      <c r="DA256" s="191"/>
    </row>
    <row r="257" spans="1:105" ht="11.45" customHeight="1" x14ac:dyDescent="0.25">
      <c r="A257" s="157" t="s">
        <v>115</v>
      </c>
      <c r="B257" s="103">
        <f t="shared" ref="B257:K257" si="379">IF(B39=0,0,B39/B$31)</f>
        <v>0</v>
      </c>
      <c r="C257" s="103">
        <f t="shared" si="379"/>
        <v>0</v>
      </c>
      <c r="D257" s="103">
        <f t="shared" si="379"/>
        <v>0</v>
      </c>
      <c r="E257" s="103">
        <f t="shared" si="379"/>
        <v>0</v>
      </c>
      <c r="F257" s="103">
        <f t="shared" si="379"/>
        <v>0</v>
      </c>
      <c r="G257" s="103">
        <f t="shared" si="379"/>
        <v>0</v>
      </c>
      <c r="H257" s="103">
        <f t="shared" si="379"/>
        <v>0</v>
      </c>
      <c r="I257" s="103">
        <f t="shared" si="379"/>
        <v>0</v>
      </c>
      <c r="J257" s="103">
        <f t="shared" si="379"/>
        <v>0</v>
      </c>
      <c r="K257" s="103">
        <f t="shared" si="379"/>
        <v>2.9760777598566091E-7</v>
      </c>
      <c r="L257" s="103">
        <f t="shared" ref="L257" si="380">IF(L39=0,0,L39/L$31)</f>
        <v>5.447296294213158E-5</v>
      </c>
      <c r="M257" s="103">
        <f t="shared" ref="M257:V257" si="381">IF(M39=0,0,M39/M$31)</f>
        <v>1.2439776599092959E-4</v>
      </c>
      <c r="N257" s="103">
        <f t="shared" si="381"/>
        <v>2.2196988892978528E-4</v>
      </c>
      <c r="O257" s="103">
        <f t="shared" si="381"/>
        <v>2.7724598073937423E-4</v>
      </c>
      <c r="P257" s="103">
        <f t="shared" si="381"/>
        <v>3.0640718869032809E-4</v>
      </c>
      <c r="Q257" s="103">
        <f t="shared" si="381"/>
        <v>3.1882367999385607E-4</v>
      </c>
      <c r="R257" s="103">
        <f t="shared" si="381"/>
        <v>3.4898307378613874E-4</v>
      </c>
      <c r="S257" s="103">
        <f t="shared" si="381"/>
        <v>4.097367140378962E-4</v>
      </c>
      <c r="T257" s="103">
        <f t="shared" si="381"/>
        <v>4.816190222831518E-4</v>
      </c>
      <c r="U257" s="103">
        <f t="shared" si="381"/>
        <v>7.1747190354004911E-4</v>
      </c>
      <c r="V257" s="103">
        <f t="shared" si="381"/>
        <v>1.0939349966695947E-3</v>
      </c>
      <c r="W257" s="103">
        <f t="shared" ref="W257:Y257" si="382">IF(W39=0,0,W39/W$31)</f>
        <v>2.2366289274442811E-3</v>
      </c>
      <c r="X257" s="103">
        <f t="shared" si="382"/>
        <v>3.9712878912812931E-3</v>
      </c>
      <c r="Y257" s="103">
        <f t="shared" si="382"/>
        <v>5.9315132969724261E-3</v>
      </c>
      <c r="DA257" s="191"/>
    </row>
    <row r="258" spans="1:105" ht="11.45" customHeight="1" x14ac:dyDescent="0.25">
      <c r="A258" s="155" t="s">
        <v>21</v>
      </c>
      <c r="B258" s="156">
        <f t="shared" ref="B258:K258" si="383">IF(B40=0,0,B40/B$31)</f>
        <v>3.94242526503739E-2</v>
      </c>
      <c r="C258" s="156">
        <f t="shared" si="383"/>
        <v>3.4069253586343634E-2</v>
      </c>
      <c r="D258" s="156">
        <f t="shared" si="383"/>
        <v>3.1197811885198126E-2</v>
      </c>
      <c r="E258" s="156">
        <f t="shared" si="383"/>
        <v>3.3103513625314641E-2</v>
      </c>
      <c r="F258" s="156">
        <f t="shared" si="383"/>
        <v>3.5659272981519614E-2</v>
      </c>
      <c r="G258" s="156">
        <f t="shared" si="383"/>
        <v>3.6016736810130102E-2</v>
      </c>
      <c r="H258" s="156">
        <f t="shared" si="383"/>
        <v>3.2045291807914322E-2</v>
      </c>
      <c r="I258" s="156">
        <f t="shared" si="383"/>
        <v>3.4556726534667473E-2</v>
      </c>
      <c r="J258" s="156">
        <f t="shared" si="383"/>
        <v>4.5843720904556483E-2</v>
      </c>
      <c r="K258" s="156">
        <f t="shared" si="383"/>
        <v>4.4056906898898719E-2</v>
      </c>
      <c r="L258" s="156">
        <f t="shared" ref="L258" si="384">IF(L40=0,0,L40/L$31)</f>
        <v>4.3670722308209634E-2</v>
      </c>
      <c r="M258" s="156">
        <f t="shared" ref="M258:V258" si="385">IF(M40=0,0,M40/M$31)</f>
        <v>4.3375653831609226E-2</v>
      </c>
      <c r="N258" s="156">
        <f t="shared" si="385"/>
        <v>4.3095097379230569E-2</v>
      </c>
      <c r="O258" s="156">
        <f t="shared" si="385"/>
        <v>4.2813960270990277E-2</v>
      </c>
      <c r="P258" s="156">
        <f t="shared" si="385"/>
        <v>4.254322515959711E-2</v>
      </c>
      <c r="Q258" s="156">
        <f t="shared" si="385"/>
        <v>4.2222930675528056E-2</v>
      </c>
      <c r="R258" s="156">
        <f t="shared" si="385"/>
        <v>4.1865687983502098E-2</v>
      </c>
      <c r="S258" s="156">
        <f t="shared" si="385"/>
        <v>4.2044209840858111E-2</v>
      </c>
      <c r="T258" s="156">
        <f t="shared" si="385"/>
        <v>4.0538736680815333E-2</v>
      </c>
      <c r="U258" s="156">
        <f t="shared" si="385"/>
        <v>3.876038699361891E-2</v>
      </c>
      <c r="V258" s="156">
        <f t="shared" si="385"/>
        <v>4.338651960224766E-2</v>
      </c>
      <c r="W258" s="156">
        <f t="shared" ref="W258:Y258" si="386">IF(W40=0,0,W40/W$31)</f>
        <v>4.0568564732771151E-2</v>
      </c>
      <c r="X258" s="156">
        <f t="shared" si="386"/>
        <v>3.761380935197603E-2</v>
      </c>
      <c r="Y258" s="156">
        <f t="shared" si="386"/>
        <v>3.5346517528791137E-2</v>
      </c>
      <c r="DA258" s="213"/>
    </row>
    <row r="259" spans="1:105" ht="11.45" customHeight="1" x14ac:dyDescent="0.25">
      <c r="A259" s="157" t="s">
        <v>110</v>
      </c>
      <c r="B259" s="103">
        <f t="shared" ref="B259:K259" si="387">IF(B41=0,0,B41/B$31)</f>
        <v>0</v>
      </c>
      <c r="C259" s="103">
        <f t="shared" si="387"/>
        <v>0</v>
      </c>
      <c r="D259" s="103">
        <f t="shared" si="387"/>
        <v>0</v>
      </c>
      <c r="E259" s="103">
        <f t="shared" si="387"/>
        <v>0</v>
      </c>
      <c r="F259" s="103">
        <f t="shared" si="387"/>
        <v>0</v>
      </c>
      <c r="G259" s="103">
        <f t="shared" si="387"/>
        <v>0</v>
      </c>
      <c r="H259" s="103">
        <f t="shared" si="387"/>
        <v>0</v>
      </c>
      <c r="I259" s="103">
        <f t="shared" si="387"/>
        <v>0</v>
      </c>
      <c r="J259" s="103">
        <f t="shared" si="387"/>
        <v>1.5388805186013235E-4</v>
      </c>
      <c r="K259" s="103">
        <f t="shared" si="387"/>
        <v>1.4635461020224755E-4</v>
      </c>
      <c r="L259" s="103">
        <f t="shared" ref="L259" si="388">IF(L41=0,0,L41/L$31)</f>
        <v>1.4349932452654076E-4</v>
      </c>
      <c r="M259" s="103">
        <f t="shared" ref="M259:V259" si="389">IF(M41=0,0,M41/M$31)</f>
        <v>1.3913207506771223E-4</v>
      </c>
      <c r="N259" s="103">
        <f t="shared" si="389"/>
        <v>1.2962371367785782E-4</v>
      </c>
      <c r="O259" s="103">
        <f t="shared" si="389"/>
        <v>1.2093166944718029E-4</v>
      </c>
      <c r="P259" s="103">
        <f t="shared" si="389"/>
        <v>1.1303936684862326E-4</v>
      </c>
      <c r="Q259" s="103">
        <f t="shared" si="389"/>
        <v>9.8165266298071925E-5</v>
      </c>
      <c r="R259" s="103">
        <f t="shared" si="389"/>
        <v>9.1828281302325213E-5</v>
      </c>
      <c r="S259" s="103">
        <f t="shared" si="389"/>
        <v>8.6720329521681002E-5</v>
      </c>
      <c r="T259" s="103">
        <f t="shared" si="389"/>
        <v>7.7288710334460207E-5</v>
      </c>
      <c r="U259" s="103">
        <f t="shared" si="389"/>
        <v>6.969309428004487E-5</v>
      </c>
      <c r="V259" s="103">
        <f t="shared" si="389"/>
        <v>7.8343173431738201E-5</v>
      </c>
      <c r="W259" s="103">
        <f t="shared" ref="W259:Y259" si="390">IF(W41=0,0,W41/W$31)</f>
        <v>7.2756867959114133E-5</v>
      </c>
      <c r="X259" s="103">
        <f t="shared" si="390"/>
        <v>7.0766788223028317E-5</v>
      </c>
      <c r="Y259" s="103">
        <f t="shared" si="390"/>
        <v>6.5754077177906814E-5</v>
      </c>
      <c r="DA259" s="191"/>
    </row>
    <row r="260" spans="1:105" ht="11.45" customHeight="1" x14ac:dyDescent="0.25">
      <c r="A260" s="157" t="s">
        <v>111</v>
      </c>
      <c r="B260" s="103">
        <f t="shared" ref="B260:K260" si="391">IF(B42=0,0,B42/B$31)</f>
        <v>3.94242526503739E-2</v>
      </c>
      <c r="C260" s="103">
        <f t="shared" si="391"/>
        <v>3.4069253586343634E-2</v>
      </c>
      <c r="D260" s="103">
        <f t="shared" si="391"/>
        <v>3.1197811885198126E-2</v>
      </c>
      <c r="E260" s="103">
        <f t="shared" si="391"/>
        <v>3.3103513625314641E-2</v>
      </c>
      <c r="F260" s="103">
        <f t="shared" si="391"/>
        <v>3.5659272981519614E-2</v>
      </c>
      <c r="G260" s="103">
        <f t="shared" si="391"/>
        <v>3.6016736810130102E-2</v>
      </c>
      <c r="H260" s="103">
        <f t="shared" si="391"/>
        <v>3.2045291807914322E-2</v>
      </c>
      <c r="I260" s="103">
        <f t="shared" si="391"/>
        <v>3.4556726534667473E-2</v>
      </c>
      <c r="J260" s="103">
        <f t="shared" si="391"/>
        <v>4.5668393444338817E-2</v>
      </c>
      <c r="K260" s="103">
        <f t="shared" si="391"/>
        <v>4.3887126869864783E-2</v>
      </c>
      <c r="L260" s="103">
        <f t="shared" ref="L260" si="392">IF(L42=0,0,L42/L$31)</f>
        <v>4.3477699737509264E-2</v>
      </c>
      <c r="M260" s="103">
        <f t="shared" ref="M260:V260" si="393">IF(M42=0,0,M42/M$31)</f>
        <v>4.3177416071272262E-2</v>
      </c>
      <c r="N260" s="103">
        <f t="shared" si="393"/>
        <v>4.2908250440816482E-2</v>
      </c>
      <c r="O260" s="103">
        <f t="shared" si="393"/>
        <v>4.2634857816786574E-2</v>
      </c>
      <c r="P260" s="103">
        <f t="shared" si="393"/>
        <v>4.2373197339469232E-2</v>
      </c>
      <c r="Q260" s="103">
        <f t="shared" si="393"/>
        <v>4.2071589830781957E-2</v>
      </c>
      <c r="R260" s="103">
        <f t="shared" si="393"/>
        <v>4.1725970162509896E-2</v>
      </c>
      <c r="S260" s="103">
        <f t="shared" si="393"/>
        <v>4.1911346805717703E-2</v>
      </c>
      <c r="T260" s="103">
        <f t="shared" si="393"/>
        <v>4.0415227337320836E-2</v>
      </c>
      <c r="U260" s="103">
        <f t="shared" si="393"/>
        <v>3.8613134527863441E-2</v>
      </c>
      <c r="V260" s="103">
        <f t="shared" si="393"/>
        <v>4.307278577605405E-2</v>
      </c>
      <c r="W260" s="103">
        <f t="shared" ref="W260:Y260" si="394">IF(W42=0,0,W42/W$31)</f>
        <v>4.0270519695914914E-2</v>
      </c>
      <c r="X260" s="103">
        <f t="shared" si="394"/>
        <v>3.7226228474447877E-2</v>
      </c>
      <c r="Y260" s="103">
        <f t="shared" si="394"/>
        <v>3.4647374810962472E-2</v>
      </c>
      <c r="DA260" s="191"/>
    </row>
    <row r="261" spans="1:105" ht="11.45" customHeight="1" x14ac:dyDescent="0.25">
      <c r="A261" s="157" t="s">
        <v>112</v>
      </c>
      <c r="B261" s="103">
        <f t="shared" ref="B261:K261" si="395">IF(B43=0,0,B43/B$31)</f>
        <v>0</v>
      </c>
      <c r="C261" s="103">
        <f t="shared" si="395"/>
        <v>0</v>
      </c>
      <c r="D261" s="103">
        <f t="shared" si="395"/>
        <v>0</v>
      </c>
      <c r="E261" s="103">
        <f t="shared" si="395"/>
        <v>0</v>
      </c>
      <c r="F261" s="103">
        <f t="shared" si="395"/>
        <v>0</v>
      </c>
      <c r="G261" s="103">
        <f t="shared" si="395"/>
        <v>0</v>
      </c>
      <c r="H261" s="103">
        <f t="shared" si="395"/>
        <v>0</v>
      </c>
      <c r="I261" s="103">
        <f t="shared" si="395"/>
        <v>0</v>
      </c>
      <c r="J261" s="103">
        <f t="shared" si="395"/>
        <v>2.143940835752771E-5</v>
      </c>
      <c r="K261" s="103">
        <f t="shared" si="395"/>
        <v>2.3425418831684277E-5</v>
      </c>
      <c r="L261" s="103">
        <f t="shared" ref="L261" si="396">IF(L43=0,0,L43/L$31)</f>
        <v>4.9523246173833698E-5</v>
      </c>
      <c r="M261" s="103">
        <f t="shared" ref="M261:V261" si="397">IF(M43=0,0,M43/M$31)</f>
        <v>5.9105685269249369E-5</v>
      </c>
      <c r="N261" s="103">
        <f t="shared" si="397"/>
        <v>5.7223224736225985E-5</v>
      </c>
      <c r="O261" s="103">
        <f t="shared" si="397"/>
        <v>5.708932656129284E-5</v>
      </c>
      <c r="P261" s="103">
        <f t="shared" si="397"/>
        <v>5.4921233893785807E-5</v>
      </c>
      <c r="Q261" s="103">
        <f t="shared" si="397"/>
        <v>4.9222614704491773E-5</v>
      </c>
      <c r="R261" s="103">
        <f t="shared" si="397"/>
        <v>4.3173070384238126E-5</v>
      </c>
      <c r="S261" s="103">
        <f t="shared" si="397"/>
        <v>4.1517676475223103E-5</v>
      </c>
      <c r="T261" s="103">
        <f t="shared" si="397"/>
        <v>2.4466475403991892E-5</v>
      </c>
      <c r="U261" s="103">
        <f t="shared" si="397"/>
        <v>2.16271048080469E-5</v>
      </c>
      <c r="V261" s="103">
        <f t="shared" si="397"/>
        <v>2.356431826797418E-5</v>
      </c>
      <c r="W261" s="103">
        <f t="shared" ref="W261:Y261" si="398">IF(W43=0,0,W43/W$31)</f>
        <v>2.1573711983499293E-5</v>
      </c>
      <c r="X261" s="103">
        <f t="shared" si="398"/>
        <v>7.2029910174365458E-6</v>
      </c>
      <c r="Y261" s="103">
        <f t="shared" si="398"/>
        <v>5.0611972560954074E-6</v>
      </c>
      <c r="DA261" s="191"/>
    </row>
    <row r="262" spans="1:105" ht="11.45" customHeight="1" x14ac:dyDescent="0.25">
      <c r="A262" s="157" t="s">
        <v>113</v>
      </c>
      <c r="B262" s="103">
        <f t="shared" ref="B262:K262" si="399">IF(B44=0,0,B44/B$31)</f>
        <v>0</v>
      </c>
      <c r="C262" s="103">
        <f t="shared" si="399"/>
        <v>0</v>
      </c>
      <c r="D262" s="103">
        <f t="shared" si="399"/>
        <v>0</v>
      </c>
      <c r="E262" s="103">
        <f t="shared" si="399"/>
        <v>0</v>
      </c>
      <c r="F262" s="103">
        <f t="shared" si="399"/>
        <v>0</v>
      </c>
      <c r="G262" s="103">
        <f t="shared" si="399"/>
        <v>0</v>
      </c>
      <c r="H262" s="103">
        <f t="shared" si="399"/>
        <v>0</v>
      </c>
      <c r="I262" s="103">
        <f t="shared" si="399"/>
        <v>0</v>
      </c>
      <c r="J262" s="103">
        <f t="shared" si="399"/>
        <v>0</v>
      </c>
      <c r="K262" s="103">
        <f t="shared" si="399"/>
        <v>0</v>
      </c>
      <c r="L262" s="103">
        <f t="shared" ref="L262" si="400">IF(L44=0,0,L44/L$31)</f>
        <v>0</v>
      </c>
      <c r="M262" s="103">
        <f t="shared" ref="M262:V262" si="401">IF(M44=0,0,M44/M$31)</f>
        <v>0</v>
      </c>
      <c r="N262" s="103">
        <f t="shared" si="401"/>
        <v>0</v>
      </c>
      <c r="O262" s="103">
        <f t="shared" si="401"/>
        <v>0</v>
      </c>
      <c r="P262" s="103">
        <f t="shared" si="401"/>
        <v>0</v>
      </c>
      <c r="Q262" s="103">
        <f t="shared" si="401"/>
        <v>0</v>
      </c>
      <c r="R262" s="103">
        <f t="shared" si="401"/>
        <v>0</v>
      </c>
      <c r="S262" s="103">
        <f t="shared" si="401"/>
        <v>0</v>
      </c>
      <c r="T262" s="103">
        <f t="shared" si="401"/>
        <v>0</v>
      </c>
      <c r="U262" s="103">
        <f t="shared" si="401"/>
        <v>0</v>
      </c>
      <c r="V262" s="103">
        <f t="shared" si="401"/>
        <v>0</v>
      </c>
      <c r="W262" s="103">
        <f t="shared" ref="W262:Y262" si="402">IF(W44=0,0,W44/W$31)</f>
        <v>0</v>
      </c>
      <c r="X262" s="103">
        <f t="shared" si="402"/>
        <v>0</v>
      </c>
      <c r="Y262" s="103">
        <f t="shared" si="402"/>
        <v>0</v>
      </c>
      <c r="DA262" s="191"/>
    </row>
    <row r="263" spans="1:105" ht="11.45" customHeight="1" x14ac:dyDescent="0.25">
      <c r="A263" s="157" t="s">
        <v>115</v>
      </c>
      <c r="B263" s="103">
        <f t="shared" ref="B263:K263" si="403">IF(B45=0,0,B45/B$31)</f>
        <v>0</v>
      </c>
      <c r="C263" s="103">
        <f t="shared" si="403"/>
        <v>0</v>
      </c>
      <c r="D263" s="103">
        <f t="shared" si="403"/>
        <v>0</v>
      </c>
      <c r="E263" s="103">
        <f t="shared" si="403"/>
        <v>0</v>
      </c>
      <c r="F263" s="103">
        <f t="shared" si="403"/>
        <v>0</v>
      </c>
      <c r="G263" s="103">
        <f t="shared" si="403"/>
        <v>0</v>
      </c>
      <c r="H263" s="103">
        <f t="shared" si="403"/>
        <v>0</v>
      </c>
      <c r="I263" s="103">
        <f t="shared" si="403"/>
        <v>0</v>
      </c>
      <c r="J263" s="103">
        <f t="shared" si="403"/>
        <v>0</v>
      </c>
      <c r="K263" s="103">
        <f t="shared" si="403"/>
        <v>0</v>
      </c>
      <c r="L263" s="103">
        <f t="shared" ref="L263" si="404">IF(L45=0,0,L45/L$31)</f>
        <v>0</v>
      </c>
      <c r="M263" s="103">
        <f t="shared" ref="M263:V263" si="405">IF(M45=0,0,M45/M$31)</f>
        <v>0</v>
      </c>
      <c r="N263" s="103">
        <f t="shared" si="405"/>
        <v>0</v>
      </c>
      <c r="O263" s="103">
        <f t="shared" si="405"/>
        <v>1.0814581952286775E-6</v>
      </c>
      <c r="P263" s="103">
        <f t="shared" si="405"/>
        <v>2.0672193854711026E-6</v>
      </c>
      <c r="Q263" s="103">
        <f t="shared" si="405"/>
        <v>3.9529637435465196E-6</v>
      </c>
      <c r="R263" s="103">
        <f t="shared" si="405"/>
        <v>4.7164693056487608E-6</v>
      </c>
      <c r="S263" s="103">
        <f t="shared" si="405"/>
        <v>4.6250291434995675E-6</v>
      </c>
      <c r="T263" s="103">
        <f t="shared" si="405"/>
        <v>2.1754157756039323E-5</v>
      </c>
      <c r="U263" s="103">
        <f t="shared" si="405"/>
        <v>5.5932266667378709E-5</v>
      </c>
      <c r="V263" s="103">
        <f t="shared" si="405"/>
        <v>2.1182633449389555E-4</v>
      </c>
      <c r="W263" s="103">
        <f t="shared" ref="W263:Y263" si="406">IF(W45=0,0,W45/W$31)</f>
        <v>2.0371445691362106E-4</v>
      </c>
      <c r="X263" s="103">
        <f t="shared" si="406"/>
        <v>3.0961109828769374E-4</v>
      </c>
      <c r="Y263" s="103">
        <f t="shared" si="406"/>
        <v>6.2832744339466205E-4</v>
      </c>
      <c r="DA263" s="191"/>
    </row>
    <row r="264" spans="1:105" ht="11.45" customHeight="1" x14ac:dyDescent="0.25">
      <c r="A264" s="27" t="s">
        <v>34</v>
      </c>
      <c r="B264" s="46">
        <f t="shared" ref="B264:K264" si="407">IF(B46=0,0,B46/B$46)</f>
        <v>1</v>
      </c>
      <c r="C264" s="46">
        <f t="shared" si="407"/>
        <v>1</v>
      </c>
      <c r="D264" s="46">
        <f t="shared" si="407"/>
        <v>1</v>
      </c>
      <c r="E264" s="46">
        <f t="shared" si="407"/>
        <v>1</v>
      </c>
      <c r="F264" s="46">
        <f t="shared" si="407"/>
        <v>1</v>
      </c>
      <c r="G264" s="46">
        <f t="shared" si="407"/>
        <v>1</v>
      </c>
      <c r="H264" s="46">
        <f t="shared" si="407"/>
        <v>1</v>
      </c>
      <c r="I264" s="46">
        <f t="shared" si="407"/>
        <v>1</v>
      </c>
      <c r="J264" s="46">
        <f t="shared" si="407"/>
        <v>1</v>
      </c>
      <c r="K264" s="46">
        <f t="shared" si="407"/>
        <v>1</v>
      </c>
      <c r="L264" s="46">
        <f t="shared" ref="L264" si="408">IF(L46=0,0,L46/L$46)</f>
        <v>1</v>
      </c>
      <c r="M264" s="46">
        <f t="shared" ref="M264:V264" si="409">IF(M46=0,0,M46/M$46)</f>
        <v>1</v>
      </c>
      <c r="N264" s="46">
        <f t="shared" si="409"/>
        <v>1</v>
      </c>
      <c r="O264" s="46">
        <f t="shared" si="409"/>
        <v>1</v>
      </c>
      <c r="P264" s="46">
        <f t="shared" si="409"/>
        <v>1</v>
      </c>
      <c r="Q264" s="46">
        <f t="shared" si="409"/>
        <v>1</v>
      </c>
      <c r="R264" s="46">
        <f t="shared" si="409"/>
        <v>1</v>
      </c>
      <c r="S264" s="46">
        <f t="shared" si="409"/>
        <v>1</v>
      </c>
      <c r="T264" s="46">
        <f t="shared" si="409"/>
        <v>1</v>
      </c>
      <c r="U264" s="46">
        <f t="shared" si="409"/>
        <v>1</v>
      </c>
      <c r="V264" s="46">
        <f t="shared" si="409"/>
        <v>1</v>
      </c>
      <c r="W264" s="46">
        <f t="shared" ref="W264:Y264" si="410">IF(W46=0,0,W46/W$46)</f>
        <v>1</v>
      </c>
      <c r="X264" s="46">
        <f t="shared" si="410"/>
        <v>1</v>
      </c>
      <c r="Y264" s="46">
        <f t="shared" si="410"/>
        <v>1</v>
      </c>
      <c r="DA264" s="211"/>
    </row>
    <row r="265" spans="1:105" ht="11.45" customHeight="1" x14ac:dyDescent="0.25">
      <c r="A265" s="153" t="s">
        <v>153</v>
      </c>
      <c r="B265" s="154">
        <f t="shared" ref="B265:K265" si="411">IF(B47=0,0,B47/B$46)</f>
        <v>0.74378183136940779</v>
      </c>
      <c r="C265" s="154">
        <f t="shared" si="411"/>
        <v>0.73636856083567703</v>
      </c>
      <c r="D265" s="154">
        <f t="shared" si="411"/>
        <v>0.7335481127686212</v>
      </c>
      <c r="E265" s="154">
        <f t="shared" si="411"/>
        <v>0.71672050786261376</v>
      </c>
      <c r="F265" s="154">
        <f t="shared" si="411"/>
        <v>0.70280485480662425</v>
      </c>
      <c r="G265" s="154">
        <f t="shared" si="411"/>
        <v>0.67185961379737902</v>
      </c>
      <c r="H265" s="154">
        <f t="shared" si="411"/>
        <v>0.69399053147265011</v>
      </c>
      <c r="I265" s="154">
        <f t="shared" si="411"/>
        <v>0.70393788002924229</v>
      </c>
      <c r="J265" s="154">
        <f t="shared" si="411"/>
        <v>0.74379383359031226</v>
      </c>
      <c r="K265" s="154">
        <f t="shared" si="411"/>
        <v>0.78361419874676985</v>
      </c>
      <c r="L265" s="154">
        <f t="shared" ref="L265" si="412">IF(L47=0,0,L47/L$46)</f>
        <v>0.85744467446827011</v>
      </c>
      <c r="M265" s="154">
        <f t="shared" ref="M265:V265" si="413">IF(M47=0,0,M47/M$46)</f>
        <v>0.86332679577727311</v>
      </c>
      <c r="N265" s="154">
        <f t="shared" si="413"/>
        <v>0.85809145750507865</v>
      </c>
      <c r="O265" s="154">
        <f t="shared" si="413"/>
        <v>0.86149270553077639</v>
      </c>
      <c r="P265" s="154">
        <f t="shared" si="413"/>
        <v>0.87361607310677081</v>
      </c>
      <c r="Q265" s="154">
        <f t="shared" si="413"/>
        <v>0.87951336816307402</v>
      </c>
      <c r="R265" s="154">
        <f t="shared" si="413"/>
        <v>0.8737700213338212</v>
      </c>
      <c r="S265" s="154">
        <f t="shared" si="413"/>
        <v>0.87131969881355109</v>
      </c>
      <c r="T265" s="154">
        <f t="shared" si="413"/>
        <v>0.87624460599696563</v>
      </c>
      <c r="U265" s="154">
        <f t="shared" si="413"/>
        <v>0.87046056843032538</v>
      </c>
      <c r="V265" s="154">
        <f t="shared" si="413"/>
        <v>0.88241386958226342</v>
      </c>
      <c r="W265" s="154">
        <f t="shared" ref="W265:Y265" si="414">IF(W47=0,0,W47/W$46)</f>
        <v>0.86652557548411002</v>
      </c>
      <c r="X265" s="154">
        <f t="shared" si="414"/>
        <v>0.86354360647666895</v>
      </c>
      <c r="Y265" s="154">
        <f t="shared" si="414"/>
        <v>0.86329803848866948</v>
      </c>
      <c r="DA265" s="212"/>
    </row>
    <row r="266" spans="1:105" ht="11.45" customHeight="1" x14ac:dyDescent="0.25">
      <c r="A266" s="157" t="s">
        <v>110</v>
      </c>
      <c r="B266" s="103">
        <f t="shared" ref="B266:K266" si="415">IF(B48=0,0,B48/B$46)</f>
        <v>0.25973599920616497</v>
      </c>
      <c r="C266" s="103">
        <f t="shared" si="415"/>
        <v>0.2519181062930087</v>
      </c>
      <c r="D266" s="103">
        <f t="shared" si="415"/>
        <v>0.24443166447675857</v>
      </c>
      <c r="E266" s="103">
        <f t="shared" si="415"/>
        <v>0.2321902523580934</v>
      </c>
      <c r="F266" s="103">
        <f t="shared" si="415"/>
        <v>0.22117199511535293</v>
      </c>
      <c r="G266" s="103">
        <f t="shared" si="415"/>
        <v>0.20581393148966523</v>
      </c>
      <c r="H266" s="103">
        <f t="shared" si="415"/>
        <v>0.20508361316182661</v>
      </c>
      <c r="I266" s="103">
        <f t="shared" si="415"/>
        <v>0.20183737051691186</v>
      </c>
      <c r="J266" s="103">
        <f t="shared" si="415"/>
        <v>0.18537560009774282</v>
      </c>
      <c r="K266" s="103">
        <f t="shared" si="415"/>
        <v>0.18634708103658032</v>
      </c>
      <c r="L266" s="103">
        <f t="shared" ref="L266" si="416">IF(L48=0,0,L48/L$46)</f>
        <v>0.19264438968913047</v>
      </c>
      <c r="M266" s="103">
        <f t="shared" ref="M266:V266" si="417">IF(M48=0,0,M48/M$46)</f>
        <v>0.17710968716446307</v>
      </c>
      <c r="N266" s="103">
        <f t="shared" si="417"/>
        <v>0.16329705365933128</v>
      </c>
      <c r="O266" s="103">
        <f t="shared" si="417"/>
        <v>0.14266988238438641</v>
      </c>
      <c r="P266" s="103">
        <f t="shared" si="417"/>
        <v>0.12375486068653743</v>
      </c>
      <c r="Q266" s="103">
        <f t="shared" si="417"/>
        <v>0.10418887353878588</v>
      </c>
      <c r="R266" s="103">
        <f t="shared" si="417"/>
        <v>0.1065055776816799</v>
      </c>
      <c r="S266" s="103">
        <f t="shared" si="417"/>
        <v>0.1019126353914377</v>
      </c>
      <c r="T266" s="103">
        <f t="shared" si="417"/>
        <v>9.5035820835676577E-2</v>
      </c>
      <c r="U266" s="103">
        <f t="shared" si="417"/>
        <v>8.5660221958832702E-2</v>
      </c>
      <c r="V266" s="103">
        <f t="shared" si="417"/>
        <v>8.025848461238777E-2</v>
      </c>
      <c r="W266" s="103">
        <f t="shared" ref="W266:Y266" si="418">IF(W48=0,0,W48/W$46)</f>
        <v>7.437597261085363E-2</v>
      </c>
      <c r="X266" s="103">
        <f t="shared" si="418"/>
        <v>7.0958010553910489E-2</v>
      </c>
      <c r="Y266" s="103">
        <f t="shared" si="418"/>
        <v>6.9369866208715047E-2</v>
      </c>
      <c r="DA266" s="191"/>
    </row>
    <row r="267" spans="1:105" ht="11.45" customHeight="1" x14ac:dyDescent="0.25">
      <c r="A267" s="157" t="s">
        <v>111</v>
      </c>
      <c r="B267" s="103">
        <f t="shared" ref="B267:K267" si="419">IF(B49=0,0,B49/B$46)</f>
        <v>0.48404583216324282</v>
      </c>
      <c r="C267" s="103">
        <f t="shared" si="419"/>
        <v>0.48445045454266833</v>
      </c>
      <c r="D267" s="103">
        <f t="shared" si="419"/>
        <v>0.48911644829186268</v>
      </c>
      <c r="E267" s="103">
        <f t="shared" si="419"/>
        <v>0.48453025550452034</v>
      </c>
      <c r="F267" s="103">
        <f t="shared" si="419"/>
        <v>0.48163285969127134</v>
      </c>
      <c r="G267" s="103">
        <f t="shared" si="419"/>
        <v>0.46604568230771376</v>
      </c>
      <c r="H267" s="103">
        <f t="shared" si="419"/>
        <v>0.4889069183108235</v>
      </c>
      <c r="I267" s="103">
        <f t="shared" si="419"/>
        <v>0.50210050951233043</v>
      </c>
      <c r="J267" s="103">
        <f t="shared" si="419"/>
        <v>0.55841604616085749</v>
      </c>
      <c r="K267" s="103">
        <f t="shared" si="419"/>
        <v>0.59726487384555738</v>
      </c>
      <c r="L267" s="103">
        <f t="shared" ref="L267" si="420">IF(L49=0,0,L49/L$46)</f>
        <v>0.66479536614272228</v>
      </c>
      <c r="M267" s="103">
        <f t="shared" ref="M267:V267" si="421">IF(M49=0,0,M49/M$46)</f>
        <v>0.68620888560055882</v>
      </c>
      <c r="N267" s="103">
        <f t="shared" si="421"/>
        <v>0.6947764589102382</v>
      </c>
      <c r="O267" s="103">
        <f t="shared" si="421"/>
        <v>0.71880154329271573</v>
      </c>
      <c r="P267" s="103">
        <f t="shared" si="421"/>
        <v>0.74983629598040569</v>
      </c>
      <c r="Q267" s="103">
        <f t="shared" si="421"/>
        <v>0.77530356797952571</v>
      </c>
      <c r="R267" s="103">
        <f t="shared" si="421"/>
        <v>0.76723788488350519</v>
      </c>
      <c r="S267" s="103">
        <f t="shared" si="421"/>
        <v>0.76937008253683659</v>
      </c>
      <c r="T267" s="103">
        <f t="shared" si="421"/>
        <v>0.78114502691430554</v>
      </c>
      <c r="U267" s="103">
        <f t="shared" si="421"/>
        <v>0.78469881057565916</v>
      </c>
      <c r="V267" s="103">
        <f t="shared" si="421"/>
        <v>0.80199533321714256</v>
      </c>
      <c r="W267" s="103">
        <f t="shared" ref="W267:Y267" si="422">IF(W49=0,0,W49/W$46)</f>
        <v>0.79193646992430455</v>
      </c>
      <c r="X267" s="103">
        <f t="shared" si="422"/>
        <v>0.79223723342816366</v>
      </c>
      <c r="Y267" s="103">
        <f t="shared" si="422"/>
        <v>0.79324736117237593</v>
      </c>
      <c r="DA267" s="191"/>
    </row>
    <row r="268" spans="1:105" ht="11.45" customHeight="1" x14ac:dyDescent="0.25">
      <c r="A268" s="157" t="s">
        <v>112</v>
      </c>
      <c r="B268" s="103">
        <f t="shared" ref="B268:K268" si="423">IF(B50=0,0,B50/B$46)</f>
        <v>0</v>
      </c>
      <c r="C268" s="103">
        <f t="shared" si="423"/>
        <v>0</v>
      </c>
      <c r="D268" s="103">
        <f t="shared" si="423"/>
        <v>0</v>
      </c>
      <c r="E268" s="103">
        <f t="shared" si="423"/>
        <v>0</v>
      </c>
      <c r="F268" s="103">
        <f t="shared" si="423"/>
        <v>0</v>
      </c>
      <c r="G268" s="103">
        <f t="shared" si="423"/>
        <v>0</v>
      </c>
      <c r="H268" s="103">
        <f t="shared" si="423"/>
        <v>0</v>
      </c>
      <c r="I268" s="103">
        <f t="shared" si="423"/>
        <v>0</v>
      </c>
      <c r="J268" s="103">
        <f t="shared" si="423"/>
        <v>2.1873317119035946E-6</v>
      </c>
      <c r="K268" s="103">
        <f t="shared" si="423"/>
        <v>2.2438646321894095E-6</v>
      </c>
      <c r="L268" s="103">
        <f t="shared" ref="L268" si="424">IF(L50=0,0,L50/L$46)</f>
        <v>2.4310848394951988E-6</v>
      </c>
      <c r="M268" s="103">
        <f t="shared" ref="M268:V268" si="425">IF(M50=0,0,M50/M$46)</f>
        <v>4.6670430680831061E-6</v>
      </c>
      <c r="N268" s="103">
        <f t="shared" si="425"/>
        <v>1.1177323436257889E-5</v>
      </c>
      <c r="O268" s="103">
        <f t="shared" si="425"/>
        <v>1.0577482500373367E-5</v>
      </c>
      <c r="P268" s="103">
        <f t="shared" si="425"/>
        <v>1.1877567875364769E-5</v>
      </c>
      <c r="Q268" s="103">
        <f t="shared" si="425"/>
        <v>9.4284259081223029E-6</v>
      </c>
      <c r="R268" s="103">
        <f t="shared" si="425"/>
        <v>1.1845604641656285E-5</v>
      </c>
      <c r="S268" s="103">
        <f t="shared" si="425"/>
        <v>1.1175295791373949E-5</v>
      </c>
      <c r="T268" s="103">
        <f t="shared" si="425"/>
        <v>9.6353929736699047E-6</v>
      </c>
      <c r="U268" s="103">
        <f t="shared" si="425"/>
        <v>9.0132818757694635E-6</v>
      </c>
      <c r="V268" s="103">
        <f t="shared" si="425"/>
        <v>7.9392314417866473E-6</v>
      </c>
      <c r="W268" s="103">
        <f t="shared" ref="W268:Y268" si="426">IF(W50=0,0,W50/W$46)</f>
        <v>1.0130457837147829E-5</v>
      </c>
      <c r="X268" s="103">
        <f t="shared" si="426"/>
        <v>2.2137213369882809E-5</v>
      </c>
      <c r="Y268" s="103">
        <f t="shared" si="426"/>
        <v>3.1752374450886033E-5</v>
      </c>
      <c r="DA268" s="191"/>
    </row>
    <row r="269" spans="1:105" ht="11.45" customHeight="1" x14ac:dyDescent="0.25">
      <c r="A269" s="157" t="s">
        <v>113</v>
      </c>
      <c r="B269" s="103">
        <f t="shared" ref="B269:K269" si="427">IF(B51=0,0,B51/B$46)</f>
        <v>0</v>
      </c>
      <c r="C269" s="103">
        <f t="shared" si="427"/>
        <v>0</v>
      </c>
      <c r="D269" s="103">
        <f t="shared" si="427"/>
        <v>0</v>
      </c>
      <c r="E269" s="103">
        <f t="shared" si="427"/>
        <v>0</v>
      </c>
      <c r="F269" s="103">
        <f t="shared" si="427"/>
        <v>0</v>
      </c>
      <c r="G269" s="103">
        <f t="shared" si="427"/>
        <v>0</v>
      </c>
      <c r="H269" s="103">
        <f t="shared" si="427"/>
        <v>0</v>
      </c>
      <c r="I269" s="103">
        <f t="shared" si="427"/>
        <v>0</v>
      </c>
      <c r="J269" s="103">
        <f t="shared" si="427"/>
        <v>0</v>
      </c>
      <c r="K269" s="103">
        <f t="shared" si="427"/>
        <v>0</v>
      </c>
      <c r="L269" s="103">
        <f t="shared" ref="L269" si="428">IF(L51=0,0,L51/L$46)</f>
        <v>0</v>
      </c>
      <c r="M269" s="103">
        <f t="shared" ref="M269:V269" si="429">IF(M51=0,0,M51/M$46)</f>
        <v>0</v>
      </c>
      <c r="N269" s="103">
        <f t="shared" si="429"/>
        <v>0</v>
      </c>
      <c r="O269" s="103">
        <f t="shared" si="429"/>
        <v>0</v>
      </c>
      <c r="P269" s="103">
        <f t="shared" si="429"/>
        <v>0</v>
      </c>
      <c r="Q269" s="103">
        <f t="shared" si="429"/>
        <v>0</v>
      </c>
      <c r="R269" s="103">
        <f t="shared" si="429"/>
        <v>0</v>
      </c>
      <c r="S269" s="103">
        <f t="shared" si="429"/>
        <v>0</v>
      </c>
      <c r="T269" s="103">
        <f t="shared" si="429"/>
        <v>0</v>
      </c>
      <c r="U269" s="103">
        <f t="shared" si="429"/>
        <v>0</v>
      </c>
      <c r="V269" s="103">
        <f t="shared" si="429"/>
        <v>0</v>
      </c>
      <c r="W269" s="103">
        <f t="shared" ref="W269:Y269" si="430">IF(W51=0,0,W51/W$46)</f>
        <v>0</v>
      </c>
      <c r="X269" s="103">
        <f t="shared" si="430"/>
        <v>0</v>
      </c>
      <c r="Y269" s="103">
        <f t="shared" si="430"/>
        <v>0</v>
      </c>
      <c r="DA269" s="191"/>
    </row>
    <row r="270" spans="1:105" ht="11.45" customHeight="1" x14ac:dyDescent="0.25">
      <c r="A270" s="157" t="s">
        <v>115</v>
      </c>
      <c r="B270" s="103">
        <f t="shared" ref="B270:K270" si="431">IF(B52=0,0,B52/B$46)</f>
        <v>0</v>
      </c>
      <c r="C270" s="103">
        <f t="shared" si="431"/>
        <v>0</v>
      </c>
      <c r="D270" s="103">
        <f t="shared" si="431"/>
        <v>0</v>
      </c>
      <c r="E270" s="103">
        <f t="shared" si="431"/>
        <v>0</v>
      </c>
      <c r="F270" s="103">
        <f t="shared" si="431"/>
        <v>0</v>
      </c>
      <c r="G270" s="103">
        <f t="shared" si="431"/>
        <v>0</v>
      </c>
      <c r="H270" s="103">
        <f t="shared" si="431"/>
        <v>0</v>
      </c>
      <c r="I270" s="103">
        <f t="shared" si="431"/>
        <v>0</v>
      </c>
      <c r="J270" s="103">
        <f t="shared" si="431"/>
        <v>0</v>
      </c>
      <c r="K270" s="103">
        <f t="shared" si="431"/>
        <v>0</v>
      </c>
      <c r="L270" s="103">
        <f t="shared" ref="L270" si="432">IF(L52=0,0,L52/L$46)</f>
        <v>2.4875515778983739E-6</v>
      </c>
      <c r="M270" s="103">
        <f t="shared" ref="M270:V270" si="433">IF(M52=0,0,M52/M$46)</f>
        <v>3.5559691830024819E-6</v>
      </c>
      <c r="N270" s="103">
        <f t="shared" si="433"/>
        <v>6.7676120729624623E-6</v>
      </c>
      <c r="O270" s="103">
        <f t="shared" si="433"/>
        <v>1.0702371174058938E-5</v>
      </c>
      <c r="P270" s="103">
        <f t="shared" si="433"/>
        <v>1.3038871952378449E-5</v>
      </c>
      <c r="Q270" s="103">
        <f t="shared" si="433"/>
        <v>1.149821885428522E-5</v>
      </c>
      <c r="R270" s="103">
        <f t="shared" si="433"/>
        <v>1.4713163994439669E-5</v>
      </c>
      <c r="S270" s="103">
        <f t="shared" si="433"/>
        <v>2.5805589485569568E-5</v>
      </c>
      <c r="T270" s="103">
        <f t="shared" si="433"/>
        <v>5.4122854009771125E-5</v>
      </c>
      <c r="U270" s="103">
        <f t="shared" si="433"/>
        <v>9.2522613957830911E-5</v>
      </c>
      <c r="V270" s="103">
        <f t="shared" si="433"/>
        <v>1.5211252129127508E-4</v>
      </c>
      <c r="W270" s="103">
        <f t="shared" ref="W270:Y270" si="434">IF(W52=0,0,W52/W$46)</f>
        <v>2.0300249111473542E-4</v>
      </c>
      <c r="X270" s="103">
        <f t="shared" si="434"/>
        <v>3.262252812248678E-4</v>
      </c>
      <c r="Y270" s="103">
        <f t="shared" si="434"/>
        <v>6.4905873312755074E-4</v>
      </c>
      <c r="DA270" s="191"/>
    </row>
    <row r="271" spans="1:105" ht="11.45" customHeight="1" x14ac:dyDescent="0.25">
      <c r="A271" s="155" t="s">
        <v>154</v>
      </c>
      <c r="B271" s="156">
        <f t="shared" ref="B271:K271" si="435">IF(B53=0,0,B53/B$46)</f>
        <v>0.2562181686305921</v>
      </c>
      <c r="C271" s="156">
        <f t="shared" si="435"/>
        <v>0.26363143916432297</v>
      </c>
      <c r="D271" s="156">
        <f t="shared" si="435"/>
        <v>0.2664518872313788</v>
      </c>
      <c r="E271" s="156">
        <f t="shared" si="435"/>
        <v>0.28327949213738629</v>
      </c>
      <c r="F271" s="156">
        <f t="shared" si="435"/>
        <v>0.29719514519337575</v>
      </c>
      <c r="G271" s="156">
        <f t="shared" si="435"/>
        <v>0.32814038620262093</v>
      </c>
      <c r="H271" s="156">
        <f t="shared" si="435"/>
        <v>0.30600946852734984</v>
      </c>
      <c r="I271" s="156">
        <f t="shared" si="435"/>
        <v>0.29606211997075771</v>
      </c>
      <c r="J271" s="156">
        <f t="shared" si="435"/>
        <v>0.25620616640968774</v>
      </c>
      <c r="K271" s="156">
        <f t="shared" si="435"/>
        <v>0.21638580125323015</v>
      </c>
      <c r="L271" s="156">
        <f t="shared" ref="L271" si="436">IF(L53=0,0,L53/L$46)</f>
        <v>0.14255532553172992</v>
      </c>
      <c r="M271" s="156">
        <f t="shared" ref="M271:V271" si="437">IF(M53=0,0,M53/M$46)</f>
        <v>0.1366732042227268</v>
      </c>
      <c r="N271" s="156">
        <f t="shared" si="437"/>
        <v>0.1419085424949213</v>
      </c>
      <c r="O271" s="156">
        <f t="shared" si="437"/>
        <v>0.1385072944692235</v>
      </c>
      <c r="P271" s="156">
        <f t="shared" si="437"/>
        <v>0.12638392689322919</v>
      </c>
      <c r="Q271" s="156">
        <f t="shared" si="437"/>
        <v>0.12048663183692594</v>
      </c>
      <c r="R271" s="156">
        <f t="shared" si="437"/>
        <v>0.12622997866617872</v>
      </c>
      <c r="S271" s="156">
        <f t="shared" si="437"/>
        <v>0.12868030118644891</v>
      </c>
      <c r="T271" s="156">
        <f t="shared" si="437"/>
        <v>0.12375539400303434</v>
      </c>
      <c r="U271" s="156">
        <f t="shared" si="437"/>
        <v>0.12953943156967457</v>
      </c>
      <c r="V271" s="156">
        <f t="shared" si="437"/>
        <v>0.11758613041773655</v>
      </c>
      <c r="W271" s="156">
        <f t="shared" ref="W271:Y271" si="438">IF(W53=0,0,W53/W$46)</f>
        <v>0.13347442451588995</v>
      </c>
      <c r="X271" s="156">
        <f t="shared" si="438"/>
        <v>0.13645639352333108</v>
      </c>
      <c r="Y271" s="156">
        <f t="shared" si="438"/>
        <v>0.13670196151133049</v>
      </c>
      <c r="DA271" s="213"/>
    </row>
    <row r="272" spans="1:105" ht="11.45" customHeight="1" x14ac:dyDescent="0.25">
      <c r="A272" s="162" t="s">
        <v>27</v>
      </c>
      <c r="B272" s="104">
        <f t="shared" ref="B272:K272" si="439">IF(B54=0,0,B54/B$46)</f>
        <v>0.13097197173562897</v>
      </c>
      <c r="C272" s="104">
        <f t="shared" si="439"/>
        <v>0.13508558230863238</v>
      </c>
      <c r="D272" s="104">
        <f t="shared" si="439"/>
        <v>0.1352152933115412</v>
      </c>
      <c r="E272" s="104">
        <f t="shared" si="439"/>
        <v>0.15748408370248207</v>
      </c>
      <c r="F272" s="104">
        <f t="shared" si="439"/>
        <v>0.15815951953648538</v>
      </c>
      <c r="G272" s="104">
        <f t="shared" si="439"/>
        <v>0.19447500979222795</v>
      </c>
      <c r="H272" s="104">
        <f t="shared" si="439"/>
        <v>0.21279808667236824</v>
      </c>
      <c r="I272" s="104">
        <f t="shared" si="439"/>
        <v>0.20495614189163161</v>
      </c>
      <c r="J272" s="104">
        <f t="shared" si="439"/>
        <v>0.18943723753007383</v>
      </c>
      <c r="K272" s="104">
        <f t="shared" si="439"/>
        <v>0.17809337445863185</v>
      </c>
      <c r="L272" s="104">
        <f t="shared" ref="L272" si="440">IF(L54=0,0,L54/L$46)</f>
        <v>0.10927717254407672</v>
      </c>
      <c r="M272" s="104">
        <f t="shared" ref="M272:V272" si="441">IF(M54=0,0,M54/M$46)</f>
        <v>0.10423193051282452</v>
      </c>
      <c r="N272" s="104">
        <f t="shared" si="441"/>
        <v>0.10571385766789801</v>
      </c>
      <c r="O272" s="104">
        <f t="shared" si="441"/>
        <v>0.10167746838799172</v>
      </c>
      <c r="P272" s="104">
        <f t="shared" si="441"/>
        <v>9.2689474118554313E-2</v>
      </c>
      <c r="Q272" s="104">
        <f t="shared" si="441"/>
        <v>8.8124445366978582E-2</v>
      </c>
      <c r="R272" s="104">
        <f t="shared" si="441"/>
        <v>9.1534613674224191E-2</v>
      </c>
      <c r="S272" s="104">
        <f t="shared" si="441"/>
        <v>9.0013369455023182E-2</v>
      </c>
      <c r="T272" s="104">
        <f t="shared" si="441"/>
        <v>8.9846212836690073E-2</v>
      </c>
      <c r="U272" s="104">
        <f t="shared" si="441"/>
        <v>9.727043813930325E-2</v>
      </c>
      <c r="V272" s="104">
        <f t="shared" si="441"/>
        <v>9.3011312861425915E-2</v>
      </c>
      <c r="W272" s="104">
        <f t="shared" ref="W272:Y272" si="442">IF(W54=0,0,W54/W$46)</f>
        <v>0.1006729864360001</v>
      </c>
      <c r="X272" s="104">
        <f t="shared" si="442"/>
        <v>0.10486998221679068</v>
      </c>
      <c r="Y272" s="104">
        <f t="shared" si="442"/>
        <v>0.10456280189973408</v>
      </c>
      <c r="DA272" s="195"/>
    </row>
    <row r="273" spans="1:105" ht="11.45" customHeight="1" x14ac:dyDescent="0.25">
      <c r="A273" s="158" t="s">
        <v>116</v>
      </c>
      <c r="B273" s="105">
        <f t="shared" ref="B273:K273" si="443">IF(B55=0,0,B55/B$46)</f>
        <v>0.12524619689496316</v>
      </c>
      <c r="C273" s="105">
        <f t="shared" si="443"/>
        <v>0.12854585685569059</v>
      </c>
      <c r="D273" s="105">
        <f t="shared" si="443"/>
        <v>0.13123659391983761</v>
      </c>
      <c r="E273" s="105">
        <f t="shared" si="443"/>
        <v>0.12579540843490425</v>
      </c>
      <c r="F273" s="105">
        <f t="shared" si="443"/>
        <v>0.1390356256568904</v>
      </c>
      <c r="G273" s="105">
        <f t="shared" si="443"/>
        <v>0.13366537641039297</v>
      </c>
      <c r="H273" s="105">
        <f t="shared" si="443"/>
        <v>9.3211381854981554E-2</v>
      </c>
      <c r="I273" s="105">
        <f t="shared" si="443"/>
        <v>9.1105978079126085E-2</v>
      </c>
      <c r="J273" s="105">
        <f t="shared" si="443"/>
        <v>6.6768928879613929E-2</v>
      </c>
      <c r="K273" s="105">
        <f t="shared" si="443"/>
        <v>3.829242679459828E-2</v>
      </c>
      <c r="L273" s="105">
        <f t="shared" ref="L273" si="444">IF(L55=0,0,L55/L$46)</f>
        <v>3.3278152987653201E-2</v>
      </c>
      <c r="M273" s="105">
        <f t="shared" ref="M273:V273" si="445">IF(M55=0,0,M55/M$46)</f>
        <v>3.2441273709902269E-2</v>
      </c>
      <c r="N273" s="105">
        <f t="shared" si="445"/>
        <v>3.6194684827023281E-2</v>
      </c>
      <c r="O273" s="105">
        <f t="shared" si="445"/>
        <v>3.6829826081231774E-2</v>
      </c>
      <c r="P273" s="105">
        <f t="shared" si="445"/>
        <v>3.3694452774674852E-2</v>
      </c>
      <c r="Q273" s="105">
        <f t="shared" si="445"/>
        <v>3.2362186469947374E-2</v>
      </c>
      <c r="R273" s="105">
        <f t="shared" si="445"/>
        <v>3.4695364991954511E-2</v>
      </c>
      <c r="S273" s="105">
        <f t="shared" si="445"/>
        <v>3.8666931731425713E-2</v>
      </c>
      <c r="T273" s="105">
        <f t="shared" si="445"/>
        <v>3.3909181166344247E-2</v>
      </c>
      <c r="U273" s="105">
        <f t="shared" si="445"/>
        <v>3.2268993430371325E-2</v>
      </c>
      <c r="V273" s="105">
        <f t="shared" si="445"/>
        <v>2.4574817556310618E-2</v>
      </c>
      <c r="W273" s="105">
        <f t="shared" ref="W273:Y273" si="446">IF(W55=0,0,W55/W$46)</f>
        <v>3.280143807988984E-2</v>
      </c>
      <c r="X273" s="105">
        <f t="shared" si="446"/>
        <v>3.1586411306540406E-2</v>
      </c>
      <c r="Y273" s="105">
        <f t="shared" si="446"/>
        <v>3.2139159611596413E-2</v>
      </c>
      <c r="DA273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V26 W6:Y28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66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628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DA2" s="208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133" t="s">
        <v>51</v>
      </c>
      <c r="B4" s="145">
        <f t="shared" ref="B4:K4" si="0">B5+B9+B10+B15</f>
        <v>2717.7700773860706</v>
      </c>
      <c r="C4" s="145">
        <f t="shared" si="0"/>
        <v>3497.8074806534819</v>
      </c>
      <c r="D4" s="145">
        <f t="shared" si="0"/>
        <v>3590.4533963886502</v>
      </c>
      <c r="E4" s="145">
        <f t="shared" si="0"/>
        <v>3879.2179707652622</v>
      </c>
      <c r="F4" s="145">
        <f t="shared" si="0"/>
        <v>4046.8783319002578</v>
      </c>
      <c r="G4" s="145">
        <f t="shared" si="0"/>
        <v>3854.276698194325</v>
      </c>
      <c r="H4" s="145">
        <f t="shared" si="0"/>
        <v>4005.6993981083401</v>
      </c>
      <c r="I4" s="145">
        <f t="shared" si="0"/>
        <v>4059.190197764402</v>
      </c>
      <c r="J4" s="145">
        <f t="shared" si="0"/>
        <v>4652.8545141874456</v>
      </c>
      <c r="K4" s="145">
        <f t="shared" si="0"/>
        <v>4825.3023913384804</v>
      </c>
      <c r="L4" s="145">
        <f t="shared" ref="L4" si="1">L5+L9+L10+L15</f>
        <v>4521.230116935717</v>
      </c>
      <c r="M4" s="145">
        <f t="shared" ref="M4:V4" si="2">M5+M9+M10+M15</f>
        <v>4748.8752556262707</v>
      </c>
      <c r="N4" s="145">
        <f t="shared" si="2"/>
        <v>4932.2876362303095</v>
      </c>
      <c r="O4" s="145">
        <f t="shared" si="2"/>
        <v>4838.649922518407</v>
      </c>
      <c r="P4" s="145">
        <f t="shared" si="2"/>
        <v>5001.3419691821837</v>
      </c>
      <c r="Q4" s="145">
        <f t="shared" si="2"/>
        <v>5054.9212292423426</v>
      </c>
      <c r="R4" s="145">
        <f t="shared" si="2"/>
        <v>5469.1869809300715</v>
      </c>
      <c r="S4" s="145">
        <f t="shared" si="2"/>
        <v>5850.4662580498662</v>
      </c>
      <c r="T4" s="145">
        <f t="shared" si="2"/>
        <v>6023.7248496873372</v>
      </c>
      <c r="U4" s="145">
        <f t="shared" si="2"/>
        <v>6244.8358212703561</v>
      </c>
      <c r="V4" s="145">
        <f t="shared" si="2"/>
        <v>6179.2671882474797</v>
      </c>
      <c r="W4" s="145">
        <f t="shared" ref="W4:Y4" si="3">W5+W9+W10+W15</f>
        <v>6535.3704107991198</v>
      </c>
      <c r="X4" s="145">
        <f t="shared" si="3"/>
        <v>7127.314854688475</v>
      </c>
      <c r="Y4" s="145">
        <f t="shared" si="3"/>
        <v>7448.5234089732903</v>
      </c>
      <c r="DA4" s="206" t="s">
        <v>629</v>
      </c>
    </row>
    <row r="5" spans="1:105" ht="11.45" customHeight="1" x14ac:dyDescent="0.25">
      <c r="A5" s="92" t="s">
        <v>46</v>
      </c>
      <c r="B5" s="97">
        <f t="shared" ref="B5:K5" si="4">SUM(B6:B8)</f>
        <v>2717.7700773860706</v>
      </c>
      <c r="C5" s="97">
        <f t="shared" si="4"/>
        <v>3497.8074806534819</v>
      </c>
      <c r="D5" s="97">
        <f t="shared" si="4"/>
        <v>3590.4533963886502</v>
      </c>
      <c r="E5" s="97">
        <f t="shared" si="4"/>
        <v>3879.2179707652622</v>
      </c>
      <c r="F5" s="97">
        <f t="shared" si="4"/>
        <v>4046.8783319002578</v>
      </c>
      <c r="G5" s="97">
        <f t="shared" si="4"/>
        <v>3854.276698194325</v>
      </c>
      <c r="H5" s="97">
        <f t="shared" si="4"/>
        <v>4005.6993981083401</v>
      </c>
      <c r="I5" s="97">
        <f t="shared" si="4"/>
        <v>4018.758383490971</v>
      </c>
      <c r="J5" s="97">
        <f t="shared" si="4"/>
        <v>4545.7333619948404</v>
      </c>
      <c r="K5" s="97">
        <f t="shared" si="4"/>
        <v>4662.3594153052454</v>
      </c>
      <c r="L5" s="97">
        <f t="shared" ref="L5" si="5">SUM(L6:L8)</f>
        <v>4405.1161650902832</v>
      </c>
      <c r="M5" s="97">
        <f t="shared" ref="M5:V5" si="6">SUM(M6:M8)</f>
        <v>4552.8146173688729</v>
      </c>
      <c r="N5" s="97">
        <f t="shared" si="6"/>
        <v>4744.5638005159071</v>
      </c>
      <c r="O5" s="97">
        <f t="shared" si="6"/>
        <v>4635.0173688736031</v>
      </c>
      <c r="P5" s="97">
        <f t="shared" si="6"/>
        <v>4834.456577815994</v>
      </c>
      <c r="Q5" s="97">
        <f t="shared" si="6"/>
        <v>4852.1531384350819</v>
      </c>
      <c r="R5" s="97">
        <f t="shared" si="6"/>
        <v>5211.6938950988815</v>
      </c>
      <c r="S5" s="97">
        <f t="shared" si="6"/>
        <v>5552.8380051590721</v>
      </c>
      <c r="T5" s="97">
        <f t="shared" si="6"/>
        <v>5725.8723129836626</v>
      </c>
      <c r="U5" s="97">
        <f t="shared" si="6"/>
        <v>5830.7802235597592</v>
      </c>
      <c r="V5" s="97">
        <f t="shared" si="6"/>
        <v>5691.563714531384</v>
      </c>
      <c r="W5" s="97">
        <f t="shared" ref="W5:Y5" si="7">SUM(W6:W8)</f>
        <v>6033.4548581255367</v>
      </c>
      <c r="X5" s="97">
        <f t="shared" si="7"/>
        <v>6557.7419604471188</v>
      </c>
      <c r="Y5" s="97">
        <f t="shared" si="7"/>
        <v>6897.6118658641426</v>
      </c>
      <c r="DA5" s="175"/>
    </row>
    <row r="6" spans="1:105" ht="11.45" customHeight="1" x14ac:dyDescent="0.25">
      <c r="A6" s="128" t="s">
        <v>52</v>
      </c>
      <c r="B6" s="97">
        <v>0</v>
      </c>
      <c r="C6" s="97">
        <v>0</v>
      </c>
      <c r="D6" s="97">
        <v>3.389251934651762</v>
      </c>
      <c r="E6" s="97">
        <v>7.9081685296646604</v>
      </c>
      <c r="F6" s="97">
        <v>92.638779019776422</v>
      </c>
      <c r="G6" s="97">
        <v>55.185984522785887</v>
      </c>
      <c r="H6" s="97">
        <v>18.39690455717971</v>
      </c>
      <c r="I6" s="97">
        <v>36.790713671539123</v>
      </c>
      <c r="J6" s="97">
        <v>50.587188306104892</v>
      </c>
      <c r="K6" s="97">
        <v>74.74196044711951</v>
      </c>
      <c r="L6" s="97">
        <v>19.54505588993981</v>
      </c>
      <c r="M6" s="97">
        <v>82.779019776440236</v>
      </c>
      <c r="N6" s="97">
        <v>57.485468615649182</v>
      </c>
      <c r="O6" s="97">
        <v>52.886586414445397</v>
      </c>
      <c r="P6" s="97">
        <v>58.635167669819431</v>
      </c>
      <c r="Q6" s="97">
        <v>63.233963886500419</v>
      </c>
      <c r="R6" s="97">
        <v>74.731040412725704</v>
      </c>
      <c r="S6" s="97">
        <v>90.119604471195174</v>
      </c>
      <c r="T6" s="97">
        <v>93.719432502149616</v>
      </c>
      <c r="U6" s="97">
        <v>98.625709372312983</v>
      </c>
      <c r="V6" s="97">
        <v>88.478245915735158</v>
      </c>
      <c r="W6" s="97">
        <v>89.354600171969039</v>
      </c>
      <c r="X6" s="97">
        <v>88.868357695614776</v>
      </c>
      <c r="Y6" s="97">
        <v>87.659759243336183</v>
      </c>
      <c r="DA6" s="175" t="s">
        <v>630</v>
      </c>
    </row>
    <row r="7" spans="1:105" ht="11.45" customHeight="1" x14ac:dyDescent="0.25">
      <c r="A7" s="128" t="s">
        <v>53</v>
      </c>
      <c r="B7" s="97">
        <v>1305.6558039552883</v>
      </c>
      <c r="C7" s="97">
        <v>1670.707996560619</v>
      </c>
      <c r="D7" s="97">
        <v>1633.6391229578674</v>
      </c>
      <c r="E7" s="97">
        <v>1661.1254514187447</v>
      </c>
      <c r="F7" s="97">
        <v>1721.4603611349953</v>
      </c>
      <c r="G7" s="97">
        <v>1601.851762682717</v>
      </c>
      <c r="H7" s="97">
        <v>1498.9152192605329</v>
      </c>
      <c r="I7" s="97">
        <v>1518.1050730868442</v>
      </c>
      <c r="J7" s="97">
        <v>1514.6837489251934</v>
      </c>
      <c r="K7" s="97">
        <v>1500.3431642304386</v>
      </c>
      <c r="L7" s="97">
        <v>1412.297936371453</v>
      </c>
      <c r="M7" s="97">
        <v>1345.7879621668101</v>
      </c>
      <c r="N7" s="97">
        <v>1331.238865004299</v>
      </c>
      <c r="O7" s="97">
        <v>1267.84660361135</v>
      </c>
      <c r="P7" s="97">
        <v>1354.1017196904561</v>
      </c>
      <c r="Q7" s="97">
        <v>1268.8858125537399</v>
      </c>
      <c r="R7" s="97">
        <v>1326.042820292347</v>
      </c>
      <c r="S7" s="97">
        <v>1333.0787618228719</v>
      </c>
      <c r="T7" s="97">
        <v>1320.3086844368011</v>
      </c>
      <c r="U7" s="97">
        <v>1322.3434221840071</v>
      </c>
      <c r="V7" s="97">
        <v>1234.2603611349959</v>
      </c>
      <c r="W7" s="97">
        <v>1316.628460877042</v>
      </c>
      <c r="X7" s="97">
        <v>1349.041616509028</v>
      </c>
      <c r="Y7" s="97">
        <v>1407.1275150472909</v>
      </c>
      <c r="DA7" s="175" t="s">
        <v>631</v>
      </c>
    </row>
    <row r="8" spans="1:105" ht="11.45" customHeight="1" x14ac:dyDescent="0.25">
      <c r="A8" s="128" t="s">
        <v>54</v>
      </c>
      <c r="B8" s="97">
        <v>1412.1142734307823</v>
      </c>
      <c r="C8" s="97">
        <v>1827.0994840928629</v>
      </c>
      <c r="D8" s="97">
        <v>1953.425021496131</v>
      </c>
      <c r="E8" s="97">
        <v>2210.1843508168531</v>
      </c>
      <c r="F8" s="97">
        <v>2232.7791917454861</v>
      </c>
      <c r="G8" s="97">
        <v>2197.2389509888221</v>
      </c>
      <c r="H8" s="97">
        <v>2488.3872742906274</v>
      </c>
      <c r="I8" s="97">
        <v>2463.8625967325879</v>
      </c>
      <c r="J8" s="97">
        <v>2980.462424763542</v>
      </c>
      <c r="K8" s="97">
        <v>3087.2742906276872</v>
      </c>
      <c r="L8" s="97">
        <v>2973.2731728288909</v>
      </c>
      <c r="M8" s="97">
        <v>3124.2476354256228</v>
      </c>
      <c r="N8" s="97">
        <v>3355.839466895959</v>
      </c>
      <c r="O8" s="97">
        <v>3314.2841788478072</v>
      </c>
      <c r="P8" s="97">
        <v>3421.7196904557181</v>
      </c>
      <c r="Q8" s="97">
        <v>3520.033361994841</v>
      </c>
      <c r="R8" s="97">
        <v>3810.9200343938091</v>
      </c>
      <c r="S8" s="97">
        <v>4129.6396388650046</v>
      </c>
      <c r="T8" s="97">
        <v>4311.8441960447117</v>
      </c>
      <c r="U8" s="97">
        <v>4409.8110920034396</v>
      </c>
      <c r="V8" s="97">
        <v>4368.8251074806531</v>
      </c>
      <c r="W8" s="97">
        <v>4627.4717970765259</v>
      </c>
      <c r="X8" s="97">
        <v>5119.831986242476</v>
      </c>
      <c r="Y8" s="97">
        <v>5402.824591573516</v>
      </c>
      <c r="DA8" s="175" t="s">
        <v>632</v>
      </c>
    </row>
    <row r="9" spans="1:105" ht="11.45" customHeight="1" x14ac:dyDescent="0.25">
      <c r="A9" s="92" t="s">
        <v>55</v>
      </c>
      <c r="B9" s="97">
        <v>0</v>
      </c>
      <c r="C9" s="97">
        <v>0</v>
      </c>
      <c r="D9" s="97">
        <v>0</v>
      </c>
      <c r="E9" s="97">
        <v>0</v>
      </c>
      <c r="F9" s="97">
        <v>0</v>
      </c>
      <c r="G9" s="97">
        <v>0</v>
      </c>
      <c r="H9" s="97">
        <v>0</v>
      </c>
      <c r="I9" s="97">
        <v>0</v>
      </c>
      <c r="J9" s="97">
        <v>0</v>
      </c>
      <c r="K9" s="97">
        <v>0</v>
      </c>
      <c r="L9" s="97">
        <v>0</v>
      </c>
      <c r="M9" s="97">
        <v>0</v>
      </c>
      <c r="N9" s="97">
        <v>0</v>
      </c>
      <c r="O9" s="97">
        <v>0</v>
      </c>
      <c r="P9" s="97">
        <v>0</v>
      </c>
      <c r="Q9" s="97">
        <v>0</v>
      </c>
      <c r="R9" s="97">
        <v>0</v>
      </c>
      <c r="S9" s="97">
        <v>0</v>
      </c>
      <c r="T9" s="97">
        <v>0</v>
      </c>
      <c r="U9" s="97">
        <v>0</v>
      </c>
      <c r="V9" s="97">
        <v>0</v>
      </c>
      <c r="W9" s="97">
        <v>0</v>
      </c>
      <c r="X9" s="97">
        <v>0</v>
      </c>
      <c r="Y9" s="97">
        <v>0</v>
      </c>
      <c r="DA9" s="175" t="s">
        <v>633</v>
      </c>
    </row>
    <row r="10" spans="1:105" ht="11.45" customHeight="1" x14ac:dyDescent="0.25">
      <c r="A10" s="92" t="s">
        <v>56</v>
      </c>
      <c r="B10" s="97">
        <f>SUM(B11:B13)</f>
        <v>0</v>
      </c>
      <c r="C10" s="97">
        <f t="shared" ref="C10:W10" si="8">SUM(C11:C13)</f>
        <v>0</v>
      </c>
      <c r="D10" s="97">
        <f t="shared" si="8"/>
        <v>0</v>
      </c>
      <c r="E10" s="97">
        <f t="shared" si="8"/>
        <v>0</v>
      </c>
      <c r="F10" s="97">
        <f t="shared" si="8"/>
        <v>0</v>
      </c>
      <c r="G10" s="97">
        <f t="shared" si="8"/>
        <v>0</v>
      </c>
      <c r="H10" s="97">
        <f t="shared" si="8"/>
        <v>0</v>
      </c>
      <c r="I10" s="97">
        <f t="shared" si="8"/>
        <v>40.431814273430781</v>
      </c>
      <c r="J10" s="97">
        <f t="shared" si="8"/>
        <v>107.12115219260531</v>
      </c>
      <c r="K10" s="97">
        <f t="shared" si="8"/>
        <v>162.94282029234739</v>
      </c>
      <c r="L10" s="97">
        <f t="shared" si="8"/>
        <v>116.08452278589853</v>
      </c>
      <c r="M10" s="97">
        <f t="shared" si="8"/>
        <v>195.99036973344798</v>
      </c>
      <c r="N10" s="97">
        <f t="shared" si="8"/>
        <v>187.58770421324161</v>
      </c>
      <c r="O10" s="97">
        <f t="shared" si="8"/>
        <v>203.44213241616507</v>
      </c>
      <c r="P10" s="97">
        <f t="shared" si="8"/>
        <v>166.65030094582971</v>
      </c>
      <c r="Q10" s="97">
        <f t="shared" si="8"/>
        <v>202.47824591573516</v>
      </c>
      <c r="R10" s="97">
        <f t="shared" si="8"/>
        <v>257.15889939810825</v>
      </c>
      <c r="S10" s="97">
        <f t="shared" si="8"/>
        <v>297.23172828890802</v>
      </c>
      <c r="T10" s="97">
        <f t="shared" si="8"/>
        <v>297.07016337059326</v>
      </c>
      <c r="U10" s="97">
        <f t="shared" si="8"/>
        <v>412.34514187446257</v>
      </c>
      <c r="V10" s="97">
        <f t="shared" si="8"/>
        <v>483.25262252794488</v>
      </c>
      <c r="W10" s="97">
        <f t="shared" si="8"/>
        <v>495.76328460877033</v>
      </c>
      <c r="X10" s="97">
        <f t="shared" ref="X10:Y10" si="9">SUM(X11:X13)</f>
        <v>558.6749785038694</v>
      </c>
      <c r="Y10" s="97">
        <f t="shared" si="9"/>
        <v>530.40636285468599</v>
      </c>
      <c r="DA10" s="175"/>
    </row>
    <row r="11" spans="1:105" ht="11.45" customHeight="1" x14ac:dyDescent="0.25">
      <c r="A11" s="128" t="s">
        <v>57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X11" s="97">
        <v>0</v>
      </c>
      <c r="Y11" s="97">
        <v>0</v>
      </c>
      <c r="DA11" s="175" t="s">
        <v>634</v>
      </c>
    </row>
    <row r="12" spans="1:105" ht="11.45" customHeight="1" x14ac:dyDescent="0.25">
      <c r="A12" s="128" t="s">
        <v>58</v>
      </c>
      <c r="B12" s="97">
        <v>0</v>
      </c>
      <c r="C12" s="97">
        <v>0</v>
      </c>
      <c r="D12" s="97">
        <v>0</v>
      </c>
      <c r="E12" s="97">
        <v>0</v>
      </c>
      <c r="F12" s="97">
        <v>0</v>
      </c>
      <c r="G12" s="97">
        <v>0</v>
      </c>
      <c r="H12" s="97">
        <v>0</v>
      </c>
      <c r="I12" s="97">
        <v>0</v>
      </c>
      <c r="J12" s="97">
        <v>0</v>
      </c>
      <c r="K12" s="97">
        <v>2.5795356835769558</v>
      </c>
      <c r="L12" s="97">
        <v>47.076526225279437</v>
      </c>
      <c r="M12" s="97">
        <v>47.721410146173689</v>
      </c>
      <c r="N12" s="97">
        <v>59.329320722269991</v>
      </c>
      <c r="O12" s="97">
        <v>55.689337919174548</v>
      </c>
      <c r="P12" s="97">
        <v>41.606964746345653</v>
      </c>
      <c r="Q12" s="97">
        <v>61.450300945829753</v>
      </c>
      <c r="R12" s="97">
        <v>81.293551160791054</v>
      </c>
      <c r="S12" s="97">
        <v>91.07317282889079</v>
      </c>
      <c r="T12" s="97">
        <v>90.436887360275136</v>
      </c>
      <c r="U12" s="97">
        <v>97.8128116938951</v>
      </c>
      <c r="V12" s="97">
        <v>91.629406706792778</v>
      </c>
      <c r="W12" s="97">
        <v>120.9411865864144</v>
      </c>
      <c r="X12" s="97">
        <v>143.90051590713671</v>
      </c>
      <c r="Y12" s="97">
        <v>154.81246775580391</v>
      </c>
      <c r="DA12" s="175" t="s">
        <v>635</v>
      </c>
    </row>
    <row r="13" spans="1:105" ht="11.45" customHeight="1" x14ac:dyDescent="0.25">
      <c r="A13" s="128" t="s">
        <v>177</v>
      </c>
      <c r="B13" s="97">
        <v>0</v>
      </c>
      <c r="C13" s="97">
        <v>0</v>
      </c>
      <c r="D13" s="97">
        <v>0</v>
      </c>
      <c r="E13" s="97">
        <v>0</v>
      </c>
      <c r="F13" s="97">
        <v>0</v>
      </c>
      <c r="G13" s="97">
        <v>0</v>
      </c>
      <c r="H13" s="97">
        <v>0</v>
      </c>
      <c r="I13" s="97">
        <v>40.431814273430781</v>
      </c>
      <c r="J13" s="97">
        <v>107.12115219260531</v>
      </c>
      <c r="K13" s="97">
        <v>160.36328460877044</v>
      </c>
      <c r="L13" s="97">
        <v>69.007996560619091</v>
      </c>
      <c r="M13" s="97">
        <v>148.26895958727428</v>
      </c>
      <c r="N13" s="97">
        <v>128.25838349097162</v>
      </c>
      <c r="O13" s="97">
        <v>147.75279449699053</v>
      </c>
      <c r="P13" s="97">
        <v>125.04333619948407</v>
      </c>
      <c r="Q13" s="97">
        <v>141.02794496990541</v>
      </c>
      <c r="R13" s="97">
        <v>175.86534823731722</v>
      </c>
      <c r="S13" s="97">
        <v>206.15855546001723</v>
      </c>
      <c r="T13" s="97">
        <v>206.63327601031813</v>
      </c>
      <c r="U13" s="97">
        <v>314.5323301805675</v>
      </c>
      <c r="V13" s="97">
        <v>391.62321582115209</v>
      </c>
      <c r="W13" s="97">
        <v>374.82209802235593</v>
      </c>
      <c r="X13" s="97">
        <v>414.77446259673263</v>
      </c>
      <c r="Y13" s="97">
        <v>375.59389509888211</v>
      </c>
      <c r="DA13" s="175" t="s">
        <v>636</v>
      </c>
    </row>
    <row r="14" spans="1:105" ht="11.45" hidden="1" customHeight="1" x14ac:dyDescent="0.25">
      <c r="A14" s="92" t="s">
        <v>178</v>
      </c>
      <c r="B14" s="97">
        <v>0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97">
        <v>0</v>
      </c>
      <c r="N14" s="97">
        <v>0</v>
      </c>
      <c r="O14" s="97">
        <v>0</v>
      </c>
      <c r="P14" s="97">
        <v>0</v>
      </c>
      <c r="Q14" s="97">
        <v>0</v>
      </c>
      <c r="R14" s="97">
        <v>0</v>
      </c>
      <c r="S14" s="97">
        <v>0</v>
      </c>
      <c r="T14" s="97">
        <v>0</v>
      </c>
      <c r="U14" s="97">
        <v>0</v>
      </c>
      <c r="V14" s="97">
        <v>0</v>
      </c>
      <c r="W14" s="97">
        <v>0</v>
      </c>
      <c r="X14" s="97">
        <v>0</v>
      </c>
      <c r="Y14" s="97">
        <v>0</v>
      </c>
      <c r="DA14" s="175" t="s">
        <v>637</v>
      </c>
    </row>
    <row r="15" spans="1:105" ht="11.45" customHeight="1" x14ac:dyDescent="0.25">
      <c r="A15" s="85" t="s">
        <v>91</v>
      </c>
      <c r="B15" s="98">
        <v>0</v>
      </c>
      <c r="C15" s="98">
        <v>0</v>
      </c>
      <c r="D15" s="98">
        <v>0</v>
      </c>
      <c r="E15" s="98">
        <v>0</v>
      </c>
      <c r="F15" s="98">
        <v>0</v>
      </c>
      <c r="G15" s="98">
        <v>0</v>
      </c>
      <c r="H15" s="98">
        <v>0</v>
      </c>
      <c r="I15" s="98">
        <v>0</v>
      </c>
      <c r="J15" s="98">
        <v>0</v>
      </c>
      <c r="K15" s="98">
        <v>1.5574088784311104E-4</v>
      </c>
      <c r="L15" s="98">
        <v>2.9429059535234951E-2</v>
      </c>
      <c r="M15" s="98">
        <v>7.026852394996376E-2</v>
      </c>
      <c r="N15" s="98">
        <v>0.13613150116102651</v>
      </c>
      <c r="O15" s="98">
        <v>0.1904212286393864</v>
      </c>
      <c r="P15" s="98">
        <v>0.23509042035974614</v>
      </c>
      <c r="Q15" s="98">
        <v>0.28984489152536153</v>
      </c>
      <c r="R15" s="98">
        <v>0.33418643308133361</v>
      </c>
      <c r="S15" s="98">
        <v>0.39652460188568994</v>
      </c>
      <c r="T15" s="98">
        <v>0.78237333308148727</v>
      </c>
      <c r="U15" s="98">
        <v>1.7104558361343005</v>
      </c>
      <c r="V15" s="98">
        <v>4.4508511881502759</v>
      </c>
      <c r="W15" s="98">
        <v>6.1522680648135957</v>
      </c>
      <c r="X15" s="98">
        <v>10.897915737486613</v>
      </c>
      <c r="Y15" s="98">
        <v>20.505180254460988</v>
      </c>
      <c r="DA15" s="178" t="s">
        <v>638</v>
      </c>
    </row>
    <row r="16" spans="1:105" x14ac:dyDescent="0.2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96"/>
      <c r="X16" s="96"/>
      <c r="Y16" s="96"/>
      <c r="DA16" s="171"/>
    </row>
    <row r="17" spans="1:105" ht="11.45" customHeight="1" x14ac:dyDescent="0.25">
      <c r="A17" s="53" t="s">
        <v>61</v>
      </c>
      <c r="B17" s="79">
        <f t="shared" ref="B17:K17" si="10">B18+B42</f>
        <v>2717.7700773860706</v>
      </c>
      <c r="C17" s="79">
        <f t="shared" si="10"/>
        <v>3497.8074806534819</v>
      </c>
      <c r="D17" s="79">
        <f t="shared" si="10"/>
        <v>3590.4533963886502</v>
      </c>
      <c r="E17" s="79">
        <f t="shared" si="10"/>
        <v>3879.2179707652622</v>
      </c>
      <c r="F17" s="79">
        <f t="shared" si="10"/>
        <v>4046.8783319002582</v>
      </c>
      <c r="G17" s="79">
        <f t="shared" si="10"/>
        <v>3854.2766981943246</v>
      </c>
      <c r="H17" s="79">
        <f t="shared" si="10"/>
        <v>4005.6993981083401</v>
      </c>
      <c r="I17" s="79">
        <f t="shared" si="10"/>
        <v>4059.1901977644025</v>
      </c>
      <c r="J17" s="79">
        <f t="shared" si="10"/>
        <v>4652.8545141874456</v>
      </c>
      <c r="K17" s="79">
        <f t="shared" si="10"/>
        <v>4825.3023913384804</v>
      </c>
      <c r="L17" s="79">
        <f t="shared" ref="L17" si="11">L18+L42</f>
        <v>4521.230116935717</v>
      </c>
      <c r="M17" s="79">
        <f t="shared" ref="M17:V17" si="12">M18+M42</f>
        <v>4748.8752556262698</v>
      </c>
      <c r="N17" s="79">
        <f t="shared" si="12"/>
        <v>4932.2876362303105</v>
      </c>
      <c r="O17" s="79">
        <f t="shared" si="12"/>
        <v>4838.649922518407</v>
      </c>
      <c r="P17" s="79">
        <f t="shared" si="12"/>
        <v>5001.3419691821828</v>
      </c>
      <c r="Q17" s="79">
        <f t="shared" si="12"/>
        <v>5054.9212292423417</v>
      </c>
      <c r="R17" s="79">
        <f t="shared" si="12"/>
        <v>5469.1869809300706</v>
      </c>
      <c r="S17" s="79">
        <f t="shared" si="12"/>
        <v>5850.4662580498662</v>
      </c>
      <c r="T17" s="79">
        <f t="shared" si="12"/>
        <v>6023.7248496873372</v>
      </c>
      <c r="U17" s="79">
        <f t="shared" si="12"/>
        <v>6244.8358212703561</v>
      </c>
      <c r="V17" s="79">
        <f t="shared" si="12"/>
        <v>6179.2671882474797</v>
      </c>
      <c r="W17" s="79">
        <f t="shared" ref="W17:Y17" si="13">W18+W42</f>
        <v>6535.3704107991216</v>
      </c>
      <c r="X17" s="79">
        <f t="shared" si="13"/>
        <v>7127.314854688474</v>
      </c>
      <c r="Y17" s="79">
        <f t="shared" si="13"/>
        <v>7448.5234089732912</v>
      </c>
      <c r="DA17" s="172" t="s">
        <v>639</v>
      </c>
    </row>
    <row r="18" spans="1:105" ht="11.45" customHeight="1" x14ac:dyDescent="0.25">
      <c r="A18" s="27" t="s">
        <v>33</v>
      </c>
      <c r="B18" s="32">
        <f t="shared" ref="B18:K18" si="14">B19+B21+B33</f>
        <v>1792.5194175296947</v>
      </c>
      <c r="C18" s="32">
        <f t="shared" si="14"/>
        <v>2308.9753049380538</v>
      </c>
      <c r="D18" s="32">
        <f t="shared" si="14"/>
        <v>2311.5822503197887</v>
      </c>
      <c r="E18" s="32">
        <f t="shared" si="14"/>
        <v>2464.8473818888251</v>
      </c>
      <c r="F18" s="32">
        <f t="shared" si="14"/>
        <v>2704.9335998113393</v>
      </c>
      <c r="G18" s="32">
        <f t="shared" si="14"/>
        <v>2631.6177059330053</v>
      </c>
      <c r="H18" s="32">
        <f t="shared" si="14"/>
        <v>2590.7791156280878</v>
      </c>
      <c r="I18" s="32">
        <f t="shared" si="14"/>
        <v>2776.3691853677319</v>
      </c>
      <c r="J18" s="32">
        <f t="shared" si="14"/>
        <v>3264.508891187641</v>
      </c>
      <c r="K18" s="32">
        <f t="shared" si="14"/>
        <v>3440.9739054733627</v>
      </c>
      <c r="L18" s="32">
        <f t="shared" ref="L18" si="15">L19+L21+L33</f>
        <v>3361.9303441987249</v>
      </c>
      <c r="M18" s="32">
        <f t="shared" ref="M18:V18" si="16">M19+M21+M33</f>
        <v>3519.8935011033668</v>
      </c>
      <c r="N18" s="32">
        <f t="shared" si="16"/>
        <v>3708.1825299301936</v>
      </c>
      <c r="O18" s="32">
        <f t="shared" si="16"/>
        <v>3595.9480852024581</v>
      </c>
      <c r="P18" s="32">
        <f t="shared" si="16"/>
        <v>3749.8546810172365</v>
      </c>
      <c r="Q18" s="32">
        <f t="shared" si="16"/>
        <v>3808.8504036799695</v>
      </c>
      <c r="R18" s="32">
        <f t="shared" si="16"/>
        <v>4107.5213499589981</v>
      </c>
      <c r="S18" s="32">
        <f t="shared" si="16"/>
        <v>4358.5558169928245</v>
      </c>
      <c r="T18" s="32">
        <f t="shared" si="16"/>
        <v>4512.2985137155038</v>
      </c>
      <c r="U18" s="32">
        <f t="shared" si="16"/>
        <v>4636.8308451185312</v>
      </c>
      <c r="V18" s="32">
        <f t="shared" si="16"/>
        <v>4560.2907912566807</v>
      </c>
      <c r="W18" s="32">
        <f t="shared" ref="W18:Y18" si="17">W19+W21+W33</f>
        <v>4802.7840098404022</v>
      </c>
      <c r="X18" s="32">
        <f t="shared" si="17"/>
        <v>5188.653650942374</v>
      </c>
      <c r="Y18" s="32">
        <f t="shared" si="17"/>
        <v>5486.2851060107414</v>
      </c>
      <c r="DA18" s="173" t="s">
        <v>391</v>
      </c>
    </row>
    <row r="19" spans="1:105" ht="11.45" customHeight="1" x14ac:dyDescent="0.25">
      <c r="A19" s="107" t="s">
        <v>174</v>
      </c>
      <c r="B19" s="129">
        <v>11.246861398307887</v>
      </c>
      <c r="C19" s="129">
        <v>11.18037148446431</v>
      </c>
      <c r="D19" s="129">
        <v>11.113758058581354</v>
      </c>
      <c r="E19" s="129">
        <v>11.159508476400392</v>
      </c>
      <c r="F19" s="129">
        <v>11.246218357345846</v>
      </c>
      <c r="G19" s="129">
        <v>10.776768052152489</v>
      </c>
      <c r="H19" s="129">
        <v>11.575487768818149</v>
      </c>
      <c r="I19" s="129">
        <v>12.304534976440936</v>
      </c>
      <c r="J19" s="129">
        <v>14.662455058652393</v>
      </c>
      <c r="K19" s="129">
        <v>15.658307771602765</v>
      </c>
      <c r="L19" s="129">
        <v>16.272614719370878</v>
      </c>
      <c r="M19" s="129">
        <v>16.988677048865327</v>
      </c>
      <c r="N19" s="129">
        <v>17.580656774146785</v>
      </c>
      <c r="O19" s="129">
        <v>18.511517876757395</v>
      </c>
      <c r="P19" s="129">
        <v>19.149881326372196</v>
      </c>
      <c r="Q19" s="129">
        <v>19.950047514089619</v>
      </c>
      <c r="R19" s="129">
        <v>21.285697569738865</v>
      </c>
      <c r="S19" s="129">
        <v>20.009597178305089</v>
      </c>
      <c r="T19" s="129">
        <v>18.996874005500906</v>
      </c>
      <c r="U19" s="129">
        <v>19.968112535370587</v>
      </c>
      <c r="V19" s="129">
        <v>17.967904018529751</v>
      </c>
      <c r="W19" s="129">
        <v>18.833546208384675</v>
      </c>
      <c r="X19" s="129">
        <v>19.269024461321447</v>
      </c>
      <c r="Y19" s="129">
        <v>21.045843797197133</v>
      </c>
      <c r="DA19" s="203" t="s">
        <v>392</v>
      </c>
    </row>
    <row r="20" spans="1:105" ht="11.45" customHeight="1" x14ac:dyDescent="0.25">
      <c r="A20" s="159" t="s">
        <v>131</v>
      </c>
      <c r="B20" s="97">
        <v>0</v>
      </c>
      <c r="C20" s="97">
        <v>0</v>
      </c>
      <c r="D20" s="97">
        <v>0</v>
      </c>
      <c r="E20" s="97">
        <v>0</v>
      </c>
      <c r="F20" s="97">
        <v>0</v>
      </c>
      <c r="G20" s="97">
        <v>0</v>
      </c>
      <c r="H20" s="97">
        <v>0</v>
      </c>
      <c r="I20" s="97">
        <v>0</v>
      </c>
      <c r="J20" s="97">
        <v>0</v>
      </c>
      <c r="K20" s="97">
        <v>2.6875077236900163E-2</v>
      </c>
      <c r="L20" s="97">
        <v>0.52492228226828674</v>
      </c>
      <c r="M20" s="97">
        <v>0.58178555623499639</v>
      </c>
      <c r="N20" s="97">
        <v>0.75008793884962399</v>
      </c>
      <c r="O20" s="97">
        <v>0.77889397793267845</v>
      </c>
      <c r="P20" s="97">
        <v>0.5708701580262675</v>
      </c>
      <c r="Q20" s="97">
        <v>0.92152382483211182</v>
      </c>
      <c r="R20" s="97">
        <v>1.2295496510134154</v>
      </c>
      <c r="S20" s="97">
        <v>1.2795948646461428</v>
      </c>
      <c r="T20" s="97">
        <v>1.2178086459944222</v>
      </c>
      <c r="U20" s="97">
        <v>1.3752974389102532</v>
      </c>
      <c r="V20" s="97">
        <v>1.2417234259695513</v>
      </c>
      <c r="W20" s="97">
        <v>1.584445964125025</v>
      </c>
      <c r="X20" s="97">
        <v>1.857287366204798</v>
      </c>
      <c r="Y20" s="97">
        <v>2.0859694035106884</v>
      </c>
      <c r="DA20" s="175" t="s">
        <v>640</v>
      </c>
    </row>
    <row r="21" spans="1:105" ht="11.45" customHeight="1" x14ac:dyDescent="0.25">
      <c r="A21" s="109" t="s">
        <v>20</v>
      </c>
      <c r="B21" s="130">
        <f t="shared" ref="B21:K21" si="18">B22+B24+B26+B27+B29+B32</f>
        <v>1290.1163407964082</v>
      </c>
      <c r="C21" s="130">
        <f t="shared" si="18"/>
        <v>1719.8667859533709</v>
      </c>
      <c r="D21" s="130">
        <f t="shared" si="18"/>
        <v>1749.2297420562256</v>
      </c>
      <c r="E21" s="130">
        <f t="shared" si="18"/>
        <v>1834.4950659398546</v>
      </c>
      <c r="F21" s="130">
        <f t="shared" si="18"/>
        <v>2036.9743421643859</v>
      </c>
      <c r="G21" s="130">
        <f t="shared" si="18"/>
        <v>2007.7465362708717</v>
      </c>
      <c r="H21" s="130">
        <f t="shared" si="18"/>
        <v>2011.7636461795068</v>
      </c>
      <c r="I21" s="130">
        <f t="shared" si="18"/>
        <v>2136.5581694246789</v>
      </c>
      <c r="J21" s="130">
        <f t="shared" si="18"/>
        <v>2379.293594721968</v>
      </c>
      <c r="K21" s="130">
        <f t="shared" si="18"/>
        <v>2528.1702262986732</v>
      </c>
      <c r="L21" s="130">
        <f t="shared" ref="L21" si="19">L22+L24+L26+L27+L29+L32</f>
        <v>2438.1376482543205</v>
      </c>
      <c r="M21" s="130">
        <f t="shared" ref="M21:V21" si="20">M22+M24+M26+M27+M29+M32</f>
        <v>2568.8952018816831</v>
      </c>
      <c r="N21" s="130">
        <f t="shared" si="20"/>
        <v>2725.0006279959052</v>
      </c>
      <c r="O21" s="130">
        <f t="shared" si="20"/>
        <v>2593.4982998012665</v>
      </c>
      <c r="P21" s="130">
        <f t="shared" si="20"/>
        <v>2703.4755511082258</v>
      </c>
      <c r="Q21" s="130">
        <f t="shared" si="20"/>
        <v>2725.8074149363074</v>
      </c>
      <c r="R21" s="130">
        <f t="shared" si="20"/>
        <v>2964.8834308505648</v>
      </c>
      <c r="S21" s="130">
        <f t="shared" si="20"/>
        <v>3157.7979585205958</v>
      </c>
      <c r="T21" s="130">
        <f t="shared" si="20"/>
        <v>3290.5766807212763</v>
      </c>
      <c r="U21" s="130">
        <f t="shared" si="20"/>
        <v>3395.0063147572819</v>
      </c>
      <c r="V21" s="130">
        <f t="shared" si="20"/>
        <v>3254.3725097180572</v>
      </c>
      <c r="W21" s="130">
        <f t="shared" ref="W21:Y21" si="21">W22+W24+W26+W27+W29+W32</f>
        <v>3473.3073097097204</v>
      </c>
      <c r="X21" s="130">
        <f t="shared" si="21"/>
        <v>3811.2619077812769</v>
      </c>
      <c r="Y21" s="130">
        <f t="shared" si="21"/>
        <v>4095.3189507827169</v>
      </c>
      <c r="DA21" s="176" t="s">
        <v>393</v>
      </c>
    </row>
    <row r="22" spans="1:105" ht="11.45" customHeight="1" x14ac:dyDescent="0.25">
      <c r="A22" s="111" t="s">
        <v>110</v>
      </c>
      <c r="B22" s="96">
        <v>1125.0445257405315</v>
      </c>
      <c r="C22" s="96">
        <v>1491.354242448642</v>
      </c>
      <c r="D22" s="96">
        <v>1457.8051368075207</v>
      </c>
      <c r="E22" s="96">
        <v>1487.3465440020916</v>
      </c>
      <c r="F22" s="96">
        <v>1548.8705487420609</v>
      </c>
      <c r="G22" s="96">
        <v>1432.836008700312</v>
      </c>
      <c r="H22" s="96">
        <v>1323.7269644124217</v>
      </c>
      <c r="I22" s="96">
        <v>1342.6046446236087</v>
      </c>
      <c r="J22" s="96">
        <v>1340.229800603674</v>
      </c>
      <c r="K22" s="96">
        <v>1333.7491056452359</v>
      </c>
      <c r="L22" s="96">
        <v>1299.2458420777609</v>
      </c>
      <c r="M22" s="96">
        <v>1239.7720389973397</v>
      </c>
      <c r="N22" s="96">
        <v>1242.5563659680142</v>
      </c>
      <c r="O22" s="96">
        <v>1184.8657730679224</v>
      </c>
      <c r="P22" s="96">
        <v>1267.0322133183615</v>
      </c>
      <c r="Q22" s="96">
        <v>1215.5298997738182</v>
      </c>
      <c r="R22" s="96">
        <v>1287.2282302371402</v>
      </c>
      <c r="S22" s="96">
        <v>1305.7586703935024</v>
      </c>
      <c r="T22" s="96">
        <v>1294.2449099860767</v>
      </c>
      <c r="U22" s="96">
        <v>1306.9697535376069</v>
      </c>
      <c r="V22" s="96">
        <v>1217.5193604017636</v>
      </c>
      <c r="W22" s="96">
        <v>1330.3210160265803</v>
      </c>
      <c r="X22" s="96">
        <v>1387.6401044817317</v>
      </c>
      <c r="Y22" s="96">
        <v>1455.2952097974171</v>
      </c>
      <c r="DA22" s="171" t="s">
        <v>641</v>
      </c>
    </row>
    <row r="23" spans="1:105" ht="11.45" customHeight="1" x14ac:dyDescent="0.25">
      <c r="A23" s="160" t="s">
        <v>131</v>
      </c>
      <c r="B23" s="96">
        <v>0</v>
      </c>
      <c r="C23" s="96">
        <v>0</v>
      </c>
      <c r="D23" s="96">
        <v>0</v>
      </c>
      <c r="E23" s="96">
        <v>0</v>
      </c>
      <c r="F23" s="96">
        <v>0</v>
      </c>
      <c r="G23" s="96">
        <v>0</v>
      </c>
      <c r="H23" s="96">
        <v>0</v>
      </c>
      <c r="I23" s="96">
        <v>0</v>
      </c>
      <c r="J23" s="96">
        <v>0</v>
      </c>
      <c r="K23" s="96">
        <v>2.2891752258100637</v>
      </c>
      <c r="L23" s="96">
        <v>41.911094462230814</v>
      </c>
      <c r="M23" s="96">
        <v>42.456599959961999</v>
      </c>
      <c r="N23" s="96">
        <v>53.014318829317986</v>
      </c>
      <c r="O23" s="96">
        <v>49.854626802910836</v>
      </c>
      <c r="P23" s="96">
        <v>37.771037194121895</v>
      </c>
      <c r="Q23" s="96">
        <v>56.147222789633425</v>
      </c>
      <c r="R23" s="96">
        <v>74.355609727011114</v>
      </c>
      <c r="S23" s="96">
        <v>83.502035259074106</v>
      </c>
      <c r="T23" s="96">
        <v>82.968526345909041</v>
      </c>
      <c r="U23" s="96">
        <v>90.017128638947597</v>
      </c>
      <c r="V23" s="96">
        <v>84.140159576945564</v>
      </c>
      <c r="W23" s="96">
        <v>111.91847469998072</v>
      </c>
      <c r="X23" s="96">
        <v>133.75074799797528</v>
      </c>
      <c r="Y23" s="96">
        <v>144.24231738892661</v>
      </c>
      <c r="DA23" s="171" t="s">
        <v>642</v>
      </c>
    </row>
    <row r="24" spans="1:105" ht="11.45" customHeight="1" x14ac:dyDescent="0.25">
      <c r="A24" s="111" t="s">
        <v>111</v>
      </c>
      <c r="B24" s="96">
        <v>165.0718150558767</v>
      </c>
      <c r="C24" s="96">
        <v>228.51254350472894</v>
      </c>
      <c r="D24" s="96">
        <v>288.03535331405305</v>
      </c>
      <c r="E24" s="96">
        <v>339.24035340809837</v>
      </c>
      <c r="F24" s="96">
        <v>395.46501440254866</v>
      </c>
      <c r="G24" s="96">
        <v>519.72454304777386</v>
      </c>
      <c r="H24" s="96">
        <v>669.63977720990522</v>
      </c>
      <c r="I24" s="96">
        <v>757.16281112953118</v>
      </c>
      <c r="J24" s="96">
        <v>988.82231457637431</v>
      </c>
      <c r="K24" s="96">
        <v>1120.0777407537805</v>
      </c>
      <c r="L24" s="96">
        <v>1120.181481907839</v>
      </c>
      <c r="M24" s="96">
        <v>1247.3563063798692</v>
      </c>
      <c r="N24" s="96">
        <v>1425.8795653162683</v>
      </c>
      <c r="O24" s="96">
        <v>1356.6803582637992</v>
      </c>
      <c r="P24" s="96">
        <v>1378.7177942773876</v>
      </c>
      <c r="Q24" s="96">
        <v>1447.8482008746082</v>
      </c>
      <c r="R24" s="96">
        <v>1603.6418831312492</v>
      </c>
      <c r="S24" s="96">
        <v>1762.5223887533825</v>
      </c>
      <c r="T24" s="96">
        <v>1902.7145578080767</v>
      </c>
      <c r="U24" s="96">
        <v>1989.1285965405229</v>
      </c>
      <c r="V24" s="96">
        <v>1947.5159589143566</v>
      </c>
      <c r="W24" s="96">
        <v>2050.8640059066161</v>
      </c>
      <c r="X24" s="96">
        <v>2328.6962638981436</v>
      </c>
      <c r="Y24" s="96">
        <v>2542.344234947449</v>
      </c>
      <c r="DA24" s="171" t="s">
        <v>643</v>
      </c>
    </row>
    <row r="25" spans="1:105" ht="11.45" customHeight="1" x14ac:dyDescent="0.25">
      <c r="A25" s="160" t="s">
        <v>131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12.224387843456469</v>
      </c>
      <c r="J25" s="96">
        <v>34.306370341431716</v>
      </c>
      <c r="K25" s="96">
        <v>55.307694089408727</v>
      </c>
      <c r="L25" s="96">
        <v>25.409051809066458</v>
      </c>
      <c r="M25" s="96">
        <v>56.514372475119465</v>
      </c>
      <c r="N25" s="96">
        <v>52.490204337964791</v>
      </c>
      <c r="O25" s="96">
        <v>57.900396707487928</v>
      </c>
      <c r="P25" s="96">
        <v>48.607553247396112</v>
      </c>
      <c r="Q25" s="96">
        <v>55.772640575365003</v>
      </c>
      <c r="R25" s="96">
        <v>70.739959932003785</v>
      </c>
      <c r="S25" s="96">
        <v>83.804423856009848</v>
      </c>
      <c r="T25" s="96">
        <v>87.012526857546419</v>
      </c>
      <c r="U25" s="96">
        <v>132.43009590726669</v>
      </c>
      <c r="V25" s="96">
        <v>160.21441908312917</v>
      </c>
      <c r="W25" s="96">
        <v>153.67132870893744</v>
      </c>
      <c r="X25" s="96">
        <v>174.51714956389529</v>
      </c>
      <c r="Y25" s="96">
        <v>165.25092048775949</v>
      </c>
      <c r="DA25" s="171" t="s">
        <v>644</v>
      </c>
    </row>
    <row r="26" spans="1:105" ht="11.45" customHeight="1" x14ac:dyDescent="0.25">
      <c r="A26" s="111" t="s">
        <v>112</v>
      </c>
      <c r="B26" s="96">
        <v>0</v>
      </c>
      <c r="C26" s="96">
        <v>0</v>
      </c>
      <c r="D26" s="96">
        <v>3.389251934651762</v>
      </c>
      <c r="E26" s="96">
        <v>7.9081685296646604</v>
      </c>
      <c r="F26" s="96">
        <v>92.638779019776422</v>
      </c>
      <c r="G26" s="96">
        <v>55.185984522785887</v>
      </c>
      <c r="H26" s="96">
        <v>18.39690455717971</v>
      </c>
      <c r="I26" s="96">
        <v>36.790713671539123</v>
      </c>
      <c r="J26" s="96">
        <v>50.241479541919624</v>
      </c>
      <c r="K26" s="96">
        <v>74.343224158769416</v>
      </c>
      <c r="L26" s="96">
        <v>18.68119805685933</v>
      </c>
      <c r="M26" s="96">
        <v>81.697043082511129</v>
      </c>
      <c r="N26" s="96">
        <v>56.380553537700031</v>
      </c>
      <c r="O26" s="96">
        <v>51.732911507607803</v>
      </c>
      <c r="P26" s="96">
        <v>57.471551516078364</v>
      </c>
      <c r="Q26" s="96">
        <v>62.143858327700727</v>
      </c>
      <c r="R26" s="96">
        <v>73.726657969066494</v>
      </c>
      <c r="S26" s="96">
        <v>89.134524004874365</v>
      </c>
      <c r="T26" s="96">
        <v>93.097488047343361</v>
      </c>
      <c r="U26" s="96">
        <v>98.035156389403127</v>
      </c>
      <c r="V26" s="96">
        <v>87.889497465789276</v>
      </c>
      <c r="W26" s="96">
        <v>88.758891646845285</v>
      </c>
      <c r="X26" s="96">
        <v>88.620780530508597</v>
      </c>
      <c r="Y26" s="96">
        <v>87.449052338844893</v>
      </c>
      <c r="DA26" s="171" t="s">
        <v>645</v>
      </c>
    </row>
    <row r="27" spans="1:105" ht="11.45" customHeight="1" x14ac:dyDescent="0.25">
      <c r="A27" s="111" t="s">
        <v>113</v>
      </c>
      <c r="B27" s="96">
        <v>0</v>
      </c>
      <c r="C27" s="96">
        <v>0</v>
      </c>
      <c r="D27" s="96">
        <v>0</v>
      </c>
      <c r="E27" s="96">
        <v>0</v>
      </c>
      <c r="F27" s="96">
        <v>0</v>
      </c>
      <c r="G27" s="96">
        <v>0</v>
      </c>
      <c r="H27" s="96">
        <v>0</v>
      </c>
      <c r="I27" s="96">
        <v>0</v>
      </c>
      <c r="J27" s="96">
        <v>0</v>
      </c>
      <c r="K27" s="96">
        <v>0</v>
      </c>
      <c r="L27" s="96">
        <v>0</v>
      </c>
      <c r="M27" s="96">
        <v>0</v>
      </c>
      <c r="N27" s="96">
        <v>0</v>
      </c>
      <c r="O27" s="96">
        <v>0</v>
      </c>
      <c r="P27" s="96">
        <v>0</v>
      </c>
      <c r="Q27" s="96">
        <v>0</v>
      </c>
      <c r="R27" s="96">
        <v>0</v>
      </c>
      <c r="S27" s="96">
        <v>0</v>
      </c>
      <c r="T27" s="96">
        <v>0</v>
      </c>
      <c r="U27" s="96">
        <v>0</v>
      </c>
      <c r="V27" s="96">
        <v>0</v>
      </c>
      <c r="W27" s="96">
        <v>0</v>
      </c>
      <c r="X27" s="96">
        <v>0</v>
      </c>
      <c r="Y27" s="96">
        <v>0</v>
      </c>
      <c r="DA27" s="171" t="s">
        <v>646</v>
      </c>
    </row>
    <row r="28" spans="1:105" ht="11.45" customHeight="1" x14ac:dyDescent="0.25">
      <c r="A28" s="160" t="s">
        <v>132</v>
      </c>
      <c r="B28" s="96">
        <v>0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0</v>
      </c>
      <c r="M28" s="96">
        <v>0</v>
      </c>
      <c r="N28" s="96">
        <v>0</v>
      </c>
      <c r="O28" s="96">
        <v>0</v>
      </c>
      <c r="P28" s="96">
        <v>0</v>
      </c>
      <c r="Q28" s="96">
        <v>0</v>
      </c>
      <c r="R28" s="96">
        <v>0</v>
      </c>
      <c r="S28" s="96">
        <v>0</v>
      </c>
      <c r="T28" s="96">
        <v>0</v>
      </c>
      <c r="U28" s="96">
        <v>0</v>
      </c>
      <c r="V28" s="96">
        <v>0</v>
      </c>
      <c r="W28" s="96">
        <v>0</v>
      </c>
      <c r="X28" s="96">
        <v>0</v>
      </c>
      <c r="Y28" s="96">
        <v>0</v>
      </c>
      <c r="DA28" s="171" t="s">
        <v>647</v>
      </c>
    </row>
    <row r="29" spans="1:105" ht="11.45" customHeight="1" x14ac:dyDescent="0.25">
      <c r="A29" s="111" t="s">
        <v>185</v>
      </c>
      <c r="B29" s="96">
        <v>0</v>
      </c>
      <c r="C29" s="96">
        <v>0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0</v>
      </c>
      <c r="M29" s="96">
        <v>0</v>
      </c>
      <c r="N29" s="96">
        <v>5.836274519591627E-2</v>
      </c>
      <c r="O29" s="96">
        <v>5.4494013764016629E-2</v>
      </c>
      <c r="P29" s="96">
        <v>6.1715007360154325E-2</v>
      </c>
      <c r="Q29" s="96">
        <v>7.1527588752612059E-2</v>
      </c>
      <c r="R29" s="96">
        <v>4.2754834211319641E-2</v>
      </c>
      <c r="S29" s="96">
        <v>9.3703179093053535E-2</v>
      </c>
      <c r="T29" s="96">
        <v>0.16203317673842346</v>
      </c>
      <c r="U29" s="96">
        <v>0.23068940914847061</v>
      </c>
      <c r="V29" s="96">
        <v>0.51773764302023084</v>
      </c>
      <c r="W29" s="96">
        <v>1.3668158188151485</v>
      </c>
      <c r="X29" s="96">
        <v>2.4882958533722714</v>
      </c>
      <c r="Y29" s="96">
        <v>3.9799929846056696</v>
      </c>
      <c r="DA29" s="171" t="s">
        <v>648</v>
      </c>
    </row>
    <row r="30" spans="1:105" ht="11.45" customHeight="1" x14ac:dyDescent="0.25">
      <c r="A30" s="160" t="s">
        <v>131</v>
      </c>
      <c r="B30" s="96">
        <v>0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96">
        <v>0</v>
      </c>
      <c r="N30" s="96">
        <v>2.0874511167914625E-3</v>
      </c>
      <c r="O30" s="96">
        <v>1.8782416654970792E-3</v>
      </c>
      <c r="P30" s="96">
        <v>1.4772589322145191E-3</v>
      </c>
      <c r="Q30" s="96">
        <v>2.5477285586919967E-3</v>
      </c>
      <c r="R30" s="96">
        <v>1.5822018217823118E-3</v>
      </c>
      <c r="S30" s="96">
        <v>4.018246024772785E-3</v>
      </c>
      <c r="T30" s="96">
        <v>6.5820483301511617E-3</v>
      </c>
      <c r="U30" s="96">
        <v>1.0093442673794003E-2</v>
      </c>
      <c r="V30" s="96">
        <v>2.0394108478736531E-2</v>
      </c>
      <c r="W30" s="96">
        <v>5.7793418880565522E-2</v>
      </c>
      <c r="X30" s="96">
        <v>0.11365798110884047</v>
      </c>
      <c r="Y30" s="96">
        <v>0.21493390195096468</v>
      </c>
      <c r="DA30" s="171" t="s">
        <v>649</v>
      </c>
    </row>
    <row r="31" spans="1:105" ht="11.45" customHeight="1" x14ac:dyDescent="0.25">
      <c r="A31" s="160" t="s">
        <v>133</v>
      </c>
      <c r="B31" s="96">
        <v>0</v>
      </c>
      <c r="C31" s="96">
        <v>0</v>
      </c>
      <c r="D31" s="96">
        <v>0</v>
      </c>
      <c r="E31" s="96">
        <v>0</v>
      </c>
      <c r="F31" s="96">
        <v>0</v>
      </c>
      <c r="G31" s="96">
        <v>0</v>
      </c>
      <c r="H31" s="96">
        <v>0</v>
      </c>
      <c r="I31" s="96">
        <v>0</v>
      </c>
      <c r="J31" s="96">
        <v>0</v>
      </c>
      <c r="K31" s="96">
        <v>0</v>
      </c>
      <c r="L31" s="96">
        <v>0</v>
      </c>
      <c r="M31" s="96">
        <v>0</v>
      </c>
      <c r="N31" s="96">
        <v>9.4367996949083089E-3</v>
      </c>
      <c r="O31" s="96">
        <v>9.8549420125529849E-3</v>
      </c>
      <c r="P31" s="96">
        <v>1.2160248116757928E-2</v>
      </c>
      <c r="Q31" s="96">
        <v>1.6371873371983245E-2</v>
      </c>
      <c r="R31" s="96">
        <v>1.5364098550510854E-2</v>
      </c>
      <c r="S31" s="96">
        <v>3.0868068902717004E-2</v>
      </c>
      <c r="T31" s="96">
        <v>5.9358308041053465E-2</v>
      </c>
      <c r="U31" s="96">
        <v>8.4141474514541154E-2</v>
      </c>
      <c r="V31" s="96">
        <v>0.22263216620819284</v>
      </c>
      <c r="W31" s="96">
        <v>0.67985327817165142</v>
      </c>
      <c r="X31" s="96">
        <v>1.309114614076013</v>
      </c>
      <c r="Y31" s="96">
        <v>1.811473484957645</v>
      </c>
      <c r="DA31" s="171" t="s">
        <v>650</v>
      </c>
    </row>
    <row r="32" spans="1:105" ht="11.45" customHeight="1" x14ac:dyDescent="0.25">
      <c r="A32" s="111" t="s">
        <v>115</v>
      </c>
      <c r="B32" s="96">
        <v>0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0</v>
      </c>
      <c r="I32" s="96">
        <v>0</v>
      </c>
      <c r="J32" s="96">
        <v>0</v>
      </c>
      <c r="K32" s="96">
        <v>1.5574088784311104E-4</v>
      </c>
      <c r="L32" s="96">
        <v>2.9126211861460631E-2</v>
      </c>
      <c r="M32" s="96">
        <v>6.9813421962999417E-2</v>
      </c>
      <c r="N32" s="96">
        <v>0.12578042872647166</v>
      </c>
      <c r="O32" s="96">
        <v>0.16476294817311943</v>
      </c>
      <c r="P32" s="96">
        <v>0.19227698903799509</v>
      </c>
      <c r="Q32" s="96">
        <v>0.21392837142709681</v>
      </c>
      <c r="R32" s="96">
        <v>0.24390467889791126</v>
      </c>
      <c r="S32" s="96">
        <v>0.2886721897431489</v>
      </c>
      <c r="T32" s="96">
        <v>0.35769170304135672</v>
      </c>
      <c r="U32" s="96">
        <v>0.64211888060005962</v>
      </c>
      <c r="V32" s="96">
        <v>0.92995529312771619</v>
      </c>
      <c r="W32" s="96">
        <v>1.9965803108635278</v>
      </c>
      <c r="X32" s="96">
        <v>3.8164630175211283</v>
      </c>
      <c r="Y32" s="96">
        <v>6.2504607143999458</v>
      </c>
      <c r="DA32" s="171" t="s">
        <v>651</v>
      </c>
    </row>
    <row r="33" spans="1:105" ht="11.45" customHeight="1" x14ac:dyDescent="0.25">
      <c r="A33" s="109" t="s">
        <v>21</v>
      </c>
      <c r="B33" s="130">
        <f t="shared" ref="B33:K33" si="22">B34+B36+B38+B39+B41</f>
        <v>491.1562153349787</v>
      </c>
      <c r="C33" s="130">
        <f t="shared" si="22"/>
        <v>577.92814750021864</v>
      </c>
      <c r="D33" s="130">
        <f t="shared" si="22"/>
        <v>551.23875020498167</v>
      </c>
      <c r="E33" s="130">
        <f t="shared" si="22"/>
        <v>619.19280747257039</v>
      </c>
      <c r="F33" s="130">
        <f t="shared" si="22"/>
        <v>656.7130392896072</v>
      </c>
      <c r="G33" s="130">
        <f t="shared" si="22"/>
        <v>613.09440160998122</v>
      </c>
      <c r="H33" s="130">
        <f t="shared" si="22"/>
        <v>567.43998167976281</v>
      </c>
      <c r="I33" s="130">
        <f t="shared" si="22"/>
        <v>627.50648096661178</v>
      </c>
      <c r="J33" s="130">
        <f t="shared" si="22"/>
        <v>870.5528414070202</v>
      </c>
      <c r="K33" s="130">
        <f t="shared" si="22"/>
        <v>897.14537140308664</v>
      </c>
      <c r="L33" s="130">
        <f t="shared" ref="L33" si="23">L34+L36+L38+L39+L41</f>
        <v>907.52008122503378</v>
      </c>
      <c r="M33" s="130">
        <f t="shared" ref="M33:V33" si="24">M34+M36+M38+M39+M41</f>
        <v>934.00962217281869</v>
      </c>
      <c r="N33" s="130">
        <f t="shared" si="24"/>
        <v>965.6012451601415</v>
      </c>
      <c r="O33" s="130">
        <f t="shared" si="24"/>
        <v>983.93826752443408</v>
      </c>
      <c r="P33" s="130">
        <f t="shared" si="24"/>
        <v>1027.2292485826388</v>
      </c>
      <c r="Q33" s="130">
        <f t="shared" si="24"/>
        <v>1063.0929412295729</v>
      </c>
      <c r="R33" s="130">
        <f t="shared" si="24"/>
        <v>1121.3522215386947</v>
      </c>
      <c r="S33" s="130">
        <f t="shared" si="24"/>
        <v>1180.748261293923</v>
      </c>
      <c r="T33" s="130">
        <f t="shared" si="24"/>
        <v>1202.7249589887267</v>
      </c>
      <c r="U33" s="130">
        <f t="shared" si="24"/>
        <v>1221.8564178258787</v>
      </c>
      <c r="V33" s="130">
        <f t="shared" si="24"/>
        <v>1287.9503775200933</v>
      </c>
      <c r="W33" s="130">
        <f t="shared" ref="W33:Y33" si="25">W34+W36+W38+W39+W41</f>
        <v>1310.643153922297</v>
      </c>
      <c r="X33" s="130">
        <f t="shared" si="25"/>
        <v>1358.1227186997755</v>
      </c>
      <c r="Y33" s="130">
        <f t="shared" si="25"/>
        <v>1369.9203114308273</v>
      </c>
      <c r="DA33" s="176" t="s">
        <v>394</v>
      </c>
    </row>
    <row r="34" spans="1:105" ht="11.45" customHeight="1" x14ac:dyDescent="0.25">
      <c r="A34" s="111" t="s">
        <v>110</v>
      </c>
      <c r="B34" s="97">
        <v>0</v>
      </c>
      <c r="C34" s="97">
        <v>0</v>
      </c>
      <c r="D34" s="97">
        <v>0</v>
      </c>
      <c r="E34" s="97">
        <v>0</v>
      </c>
      <c r="F34" s="97">
        <v>0</v>
      </c>
      <c r="G34" s="97">
        <v>0</v>
      </c>
      <c r="H34" s="97">
        <v>0</v>
      </c>
      <c r="I34" s="97">
        <v>0</v>
      </c>
      <c r="J34" s="97">
        <v>0.91182896252556267</v>
      </c>
      <c r="K34" s="97">
        <v>0.91672894910661695</v>
      </c>
      <c r="L34" s="97">
        <v>0.92296664962535457</v>
      </c>
      <c r="M34" s="97">
        <v>0.9360724998712725</v>
      </c>
      <c r="N34" s="97">
        <v>0.91272492102099045</v>
      </c>
      <c r="O34" s="97">
        <v>0.89132625130609344</v>
      </c>
      <c r="P34" s="97">
        <v>0.87195309415139599</v>
      </c>
      <c r="Q34" s="97">
        <v>0.79302003290368506</v>
      </c>
      <c r="R34" s="97">
        <v>0.77682321578118207</v>
      </c>
      <c r="S34" s="97">
        <v>0.74779009576973621</v>
      </c>
      <c r="T34" s="97">
        <v>0.70819810432334496</v>
      </c>
      <c r="U34" s="97">
        <v>0.68505311083220166</v>
      </c>
      <c r="V34" s="97">
        <v>0.70636351243326689</v>
      </c>
      <c r="W34" s="97">
        <v>0.72121007602939735</v>
      </c>
      <c r="X34" s="97">
        <v>0.76801296450503986</v>
      </c>
      <c r="Y34" s="97">
        <v>0.78240705803140942</v>
      </c>
      <c r="DA34" s="175" t="s">
        <v>652</v>
      </c>
    </row>
    <row r="35" spans="1:105" ht="11.45" customHeight="1" x14ac:dyDescent="0.25">
      <c r="A35" s="160" t="s">
        <v>131</v>
      </c>
      <c r="B35" s="97">
        <v>0</v>
      </c>
      <c r="C35" s="97">
        <v>0</v>
      </c>
      <c r="D35" s="97">
        <v>0</v>
      </c>
      <c r="E35" s="97">
        <v>0</v>
      </c>
      <c r="F35" s="97">
        <v>0</v>
      </c>
      <c r="G35" s="97">
        <v>0</v>
      </c>
      <c r="H35" s="97">
        <v>0</v>
      </c>
      <c r="I35" s="97">
        <v>0</v>
      </c>
      <c r="J35" s="97">
        <v>0</v>
      </c>
      <c r="K35" s="97">
        <v>1.5734242596268002E-3</v>
      </c>
      <c r="L35" s="97">
        <v>2.9773073874976269E-2</v>
      </c>
      <c r="M35" s="97">
        <v>3.2056260675710775E-2</v>
      </c>
      <c r="N35" s="97">
        <v>3.8941887299232959E-2</v>
      </c>
      <c r="O35" s="97">
        <v>3.7503604736125219E-2</v>
      </c>
      <c r="P35" s="97">
        <v>2.5993477043860069E-2</v>
      </c>
      <c r="Q35" s="97">
        <v>3.6630832752341899E-2</v>
      </c>
      <c r="R35" s="97">
        <v>4.4872511729226322E-2</v>
      </c>
      <c r="S35" s="97">
        <v>4.7820471239554123E-2</v>
      </c>
      <c r="T35" s="97">
        <v>4.5399562805548466E-2</v>
      </c>
      <c r="U35" s="97">
        <v>4.7182816461803528E-2</v>
      </c>
      <c r="V35" s="97">
        <v>4.8815271927876901E-2</v>
      </c>
      <c r="W35" s="97">
        <v>6.0674627157701402E-2</v>
      </c>
      <c r="X35" s="97">
        <v>7.4026621270835327E-2</v>
      </c>
      <c r="Y35" s="97">
        <v>7.7548669460413389E-2</v>
      </c>
      <c r="DA35" s="175" t="s">
        <v>653</v>
      </c>
    </row>
    <row r="36" spans="1:105" ht="11.45" customHeight="1" x14ac:dyDescent="0.25">
      <c r="A36" s="111" t="s">
        <v>111</v>
      </c>
      <c r="B36" s="97">
        <v>491.1562153349787</v>
      </c>
      <c r="C36" s="97">
        <v>577.92814750021864</v>
      </c>
      <c r="D36" s="97">
        <v>551.23875020498167</v>
      </c>
      <c r="E36" s="97">
        <v>619.19280747257039</v>
      </c>
      <c r="F36" s="97">
        <v>656.7130392896072</v>
      </c>
      <c r="G36" s="97">
        <v>613.09440160998122</v>
      </c>
      <c r="H36" s="97">
        <v>567.43998167976281</v>
      </c>
      <c r="I36" s="97">
        <v>627.50648096661178</v>
      </c>
      <c r="J36" s="97">
        <v>869.29857737785562</v>
      </c>
      <c r="K36" s="97">
        <v>895.83316716910463</v>
      </c>
      <c r="L36" s="97">
        <v>905.7365020983932</v>
      </c>
      <c r="M36" s="97">
        <v>931.99783284235241</v>
      </c>
      <c r="N36" s="97">
        <v>963.59852151724567</v>
      </c>
      <c r="O36" s="97">
        <v>981.89387817569525</v>
      </c>
      <c r="P36" s="97">
        <v>1025.1815050068224</v>
      </c>
      <c r="Q36" s="97">
        <v>1061.1653585568465</v>
      </c>
      <c r="R36" s="97">
        <v>1119.5136282310118</v>
      </c>
      <c r="S36" s="97">
        <v>1178.958379515452</v>
      </c>
      <c r="T36" s="97">
        <v>1201.0544690699571</v>
      </c>
      <c r="U36" s="97">
        <v>1219.6318830647406</v>
      </c>
      <c r="V36" s="97">
        <v>1283.4087468030141</v>
      </c>
      <c r="W36" s="97">
        <v>1305.9296770581898</v>
      </c>
      <c r="X36" s="97">
        <v>1351.4889232710357</v>
      </c>
      <c r="Y36" s="97">
        <v>1356.7957052815541</v>
      </c>
      <c r="DA36" s="175" t="s">
        <v>654</v>
      </c>
    </row>
    <row r="37" spans="1:105" ht="11.45" customHeight="1" x14ac:dyDescent="0.25">
      <c r="A37" s="160" t="s">
        <v>131</v>
      </c>
      <c r="B37" s="97">
        <v>0</v>
      </c>
      <c r="C37" s="97">
        <v>0</v>
      </c>
      <c r="D37" s="97">
        <v>0</v>
      </c>
      <c r="E37" s="97">
        <v>0</v>
      </c>
      <c r="F37" s="97">
        <v>0</v>
      </c>
      <c r="G37" s="97">
        <v>0</v>
      </c>
      <c r="H37" s="97">
        <v>0</v>
      </c>
      <c r="I37" s="97">
        <v>10.131087376273827</v>
      </c>
      <c r="J37" s="97">
        <v>30.159593380111801</v>
      </c>
      <c r="K37" s="97">
        <v>44.234846352353728</v>
      </c>
      <c r="L37" s="97">
        <v>20.544801069184366</v>
      </c>
      <c r="M37" s="97">
        <v>42.226324909617567</v>
      </c>
      <c r="N37" s="97">
        <v>35.47247925036514</v>
      </c>
      <c r="O37" s="97">
        <v>41.90526141602178</v>
      </c>
      <c r="P37" s="97">
        <v>36.143411508649208</v>
      </c>
      <c r="Q37" s="97">
        <v>40.877209432637876</v>
      </c>
      <c r="R37" s="97">
        <v>49.38406139016535</v>
      </c>
      <c r="S37" s="97">
        <v>56.057119260419277</v>
      </c>
      <c r="T37" s="97">
        <v>54.925098364579398</v>
      </c>
      <c r="U37" s="97">
        <v>81.199359119732733</v>
      </c>
      <c r="V37" s="97">
        <v>105.58095088980681</v>
      </c>
      <c r="W37" s="97">
        <v>97.853367213029884</v>
      </c>
      <c r="X37" s="97">
        <v>101.2832794954643</v>
      </c>
      <c r="Y37" s="97">
        <v>88.190944455737778</v>
      </c>
      <c r="DA37" s="175" t="s">
        <v>655</v>
      </c>
    </row>
    <row r="38" spans="1:105" ht="11.45" customHeight="1" x14ac:dyDescent="0.25">
      <c r="A38" s="111" t="s">
        <v>112</v>
      </c>
      <c r="B38" s="97">
        <v>0</v>
      </c>
      <c r="C38" s="97">
        <v>0</v>
      </c>
      <c r="D38" s="97">
        <v>0</v>
      </c>
      <c r="E38" s="97">
        <v>0</v>
      </c>
      <c r="F38" s="97">
        <v>0</v>
      </c>
      <c r="G38" s="97">
        <v>0</v>
      </c>
      <c r="H38" s="97">
        <v>0</v>
      </c>
      <c r="I38" s="97">
        <v>0</v>
      </c>
      <c r="J38" s="97">
        <v>0.34243506663907303</v>
      </c>
      <c r="K38" s="97">
        <v>0.39547528487531985</v>
      </c>
      <c r="L38" s="97">
        <v>0.86061247701523358</v>
      </c>
      <c r="M38" s="97">
        <v>1.0757168305950946</v>
      </c>
      <c r="N38" s="97">
        <v>1.0899987218748188</v>
      </c>
      <c r="O38" s="97">
        <v>1.1387962485838963</v>
      </c>
      <c r="P38" s="97">
        <v>1.1471488504013345</v>
      </c>
      <c r="Q38" s="97">
        <v>1.0768779419930794</v>
      </c>
      <c r="R38" s="97">
        <v>0.9893727422396299</v>
      </c>
      <c r="S38" s="97">
        <v>0.9699483580749424</v>
      </c>
      <c r="T38" s="97">
        <v>0.60812776506948962</v>
      </c>
      <c r="U38" s="97">
        <v>0.57676768838294568</v>
      </c>
      <c r="V38" s="97">
        <v>0.57644146847359723</v>
      </c>
      <c r="W38" s="97">
        <v>0.58029169752524501</v>
      </c>
      <c r="X38" s="97">
        <v>0.21583602622494741</v>
      </c>
      <c r="Y38" s="97">
        <v>0.16653165126187858</v>
      </c>
      <c r="DA38" s="175" t="s">
        <v>656</v>
      </c>
    </row>
    <row r="39" spans="1:105" ht="11.45" customHeight="1" x14ac:dyDescent="0.25">
      <c r="A39" s="111" t="s">
        <v>113</v>
      </c>
      <c r="B39" s="97">
        <v>0</v>
      </c>
      <c r="C39" s="97">
        <v>0</v>
      </c>
      <c r="D39" s="97">
        <v>0</v>
      </c>
      <c r="E39" s="97">
        <v>0</v>
      </c>
      <c r="F39" s="97">
        <v>0</v>
      </c>
      <c r="G39" s="97">
        <v>0</v>
      </c>
      <c r="H39" s="97">
        <v>0</v>
      </c>
      <c r="I39" s="97">
        <v>0</v>
      </c>
      <c r="J39" s="97">
        <v>0</v>
      </c>
      <c r="K39" s="97">
        <v>0</v>
      </c>
      <c r="L39" s="97">
        <v>0</v>
      </c>
      <c r="M39" s="97">
        <v>0</v>
      </c>
      <c r="N39" s="97">
        <v>0</v>
      </c>
      <c r="O39" s="97">
        <v>0</v>
      </c>
      <c r="P39" s="97">
        <v>0</v>
      </c>
      <c r="Q39" s="97">
        <v>0</v>
      </c>
      <c r="R39" s="97">
        <v>0</v>
      </c>
      <c r="S39" s="97">
        <v>0</v>
      </c>
      <c r="T39" s="97">
        <v>0</v>
      </c>
      <c r="U39" s="97">
        <v>0</v>
      </c>
      <c r="V39" s="97">
        <v>0</v>
      </c>
      <c r="W39" s="97">
        <v>0</v>
      </c>
      <c r="X39" s="97">
        <v>0</v>
      </c>
      <c r="Y39" s="97">
        <v>0</v>
      </c>
      <c r="DA39" s="175" t="s">
        <v>657</v>
      </c>
    </row>
    <row r="40" spans="1:105" ht="11.45" customHeight="1" x14ac:dyDescent="0.25">
      <c r="A40" s="160" t="s">
        <v>132</v>
      </c>
      <c r="B40" s="97">
        <v>0</v>
      </c>
      <c r="C40" s="97">
        <v>0</v>
      </c>
      <c r="D40" s="97">
        <v>0</v>
      </c>
      <c r="E40" s="97">
        <v>0</v>
      </c>
      <c r="F40" s="97">
        <v>0</v>
      </c>
      <c r="G40" s="97">
        <v>0</v>
      </c>
      <c r="H40" s="97">
        <v>0</v>
      </c>
      <c r="I40" s="97">
        <v>0</v>
      </c>
      <c r="J40" s="97">
        <v>0</v>
      </c>
      <c r="K40" s="97">
        <v>0</v>
      </c>
      <c r="L40" s="97">
        <v>0</v>
      </c>
      <c r="M40" s="97">
        <v>0</v>
      </c>
      <c r="N40" s="97">
        <v>0</v>
      </c>
      <c r="O40" s="97">
        <v>0</v>
      </c>
      <c r="P40" s="97">
        <v>0</v>
      </c>
      <c r="Q40" s="97">
        <v>0</v>
      </c>
      <c r="R40" s="97">
        <v>0</v>
      </c>
      <c r="S40" s="97">
        <v>0</v>
      </c>
      <c r="T40" s="97">
        <v>0</v>
      </c>
      <c r="U40" s="97">
        <v>0</v>
      </c>
      <c r="V40" s="97">
        <v>0</v>
      </c>
      <c r="W40" s="97">
        <v>0</v>
      </c>
      <c r="X40" s="97">
        <v>0</v>
      </c>
      <c r="Y40" s="97">
        <v>0</v>
      </c>
      <c r="DA40" s="175" t="s">
        <v>658</v>
      </c>
    </row>
    <row r="41" spans="1:105" ht="11.45" customHeight="1" x14ac:dyDescent="0.25">
      <c r="A41" s="111" t="s">
        <v>115</v>
      </c>
      <c r="B41" s="97">
        <v>0</v>
      </c>
      <c r="C41" s="97">
        <v>0</v>
      </c>
      <c r="D41" s="97">
        <v>0</v>
      </c>
      <c r="E41" s="97">
        <v>0</v>
      </c>
      <c r="F41" s="97">
        <v>0</v>
      </c>
      <c r="G41" s="97">
        <v>0</v>
      </c>
      <c r="H41" s="97">
        <v>0</v>
      </c>
      <c r="I41" s="97">
        <v>0</v>
      </c>
      <c r="J41" s="97">
        <v>0</v>
      </c>
      <c r="K41" s="97">
        <v>0</v>
      </c>
      <c r="L41" s="97">
        <v>0</v>
      </c>
      <c r="M41" s="97">
        <v>0</v>
      </c>
      <c r="N41" s="97">
        <v>0</v>
      </c>
      <c r="O41" s="97">
        <v>1.4266848848882817E-2</v>
      </c>
      <c r="P41" s="97">
        <v>2.8641631263535292E-2</v>
      </c>
      <c r="Q41" s="97">
        <v>5.7684697829459168E-2</v>
      </c>
      <c r="R41" s="97">
        <v>7.2397349662164295E-2</v>
      </c>
      <c r="S41" s="97">
        <v>7.2143324626216351E-2</v>
      </c>
      <c r="T41" s="97">
        <v>0.3541640493767767</v>
      </c>
      <c r="U41" s="97">
        <v>0.96271396192289682</v>
      </c>
      <c r="V41" s="97">
        <v>3.2588257361723909</v>
      </c>
      <c r="W41" s="97">
        <v>3.4119750905524011</v>
      </c>
      <c r="X41" s="97">
        <v>5.6499464380099402</v>
      </c>
      <c r="Y41" s="97">
        <v>12.175667439979819</v>
      </c>
      <c r="DA41" s="175" t="s">
        <v>659</v>
      </c>
    </row>
    <row r="42" spans="1:105" ht="11.45" customHeight="1" x14ac:dyDescent="0.25">
      <c r="A42" s="27" t="s">
        <v>34</v>
      </c>
      <c r="B42" s="32">
        <f t="shared" ref="B42:K42" si="26">B43+B52</f>
        <v>925.25065985637593</v>
      </c>
      <c r="C42" s="32">
        <f t="shared" si="26"/>
        <v>1188.8321757154281</v>
      </c>
      <c r="D42" s="32">
        <f t="shared" si="26"/>
        <v>1278.8711460688614</v>
      </c>
      <c r="E42" s="32">
        <f t="shared" si="26"/>
        <v>1414.3705888764371</v>
      </c>
      <c r="F42" s="32">
        <f t="shared" si="26"/>
        <v>1341.944732088919</v>
      </c>
      <c r="G42" s="32">
        <f t="shared" si="26"/>
        <v>1222.6589922613193</v>
      </c>
      <c r="H42" s="32">
        <f t="shared" si="26"/>
        <v>1414.9202824802524</v>
      </c>
      <c r="I42" s="32">
        <f t="shared" si="26"/>
        <v>1282.8210123966705</v>
      </c>
      <c r="J42" s="32">
        <f t="shared" si="26"/>
        <v>1388.3456229998051</v>
      </c>
      <c r="K42" s="32">
        <f t="shared" si="26"/>
        <v>1384.3284858651175</v>
      </c>
      <c r="L42" s="32">
        <f t="shared" ref="L42" si="27">L43+L52</f>
        <v>1159.2997727369921</v>
      </c>
      <c r="M42" s="32">
        <f t="shared" ref="M42:V42" si="28">M43+M52</f>
        <v>1228.9817545229034</v>
      </c>
      <c r="N42" s="32">
        <f t="shared" si="28"/>
        <v>1224.1051063001169</v>
      </c>
      <c r="O42" s="32">
        <f t="shared" si="28"/>
        <v>1242.7018373159494</v>
      </c>
      <c r="P42" s="32">
        <f t="shared" si="28"/>
        <v>1251.4872881649464</v>
      </c>
      <c r="Q42" s="32">
        <f t="shared" si="28"/>
        <v>1246.0708255623724</v>
      </c>
      <c r="R42" s="32">
        <f t="shared" si="28"/>
        <v>1361.6656309710727</v>
      </c>
      <c r="S42" s="32">
        <f t="shared" si="28"/>
        <v>1491.9104410570417</v>
      </c>
      <c r="T42" s="32">
        <f t="shared" si="28"/>
        <v>1511.4263359718334</v>
      </c>
      <c r="U42" s="32">
        <f t="shared" si="28"/>
        <v>1608.0049761518248</v>
      </c>
      <c r="V42" s="32">
        <f t="shared" si="28"/>
        <v>1618.9763969907988</v>
      </c>
      <c r="W42" s="32">
        <f t="shared" ref="W42:Y42" si="29">W43+W52</f>
        <v>1732.5864009587192</v>
      </c>
      <c r="X42" s="32">
        <f t="shared" si="29"/>
        <v>1938.6612037461</v>
      </c>
      <c r="Y42" s="32">
        <f t="shared" si="29"/>
        <v>1962.2383029625496</v>
      </c>
      <c r="DA42" s="173" t="s">
        <v>399</v>
      </c>
    </row>
    <row r="43" spans="1:105" ht="11.45" customHeight="1" x14ac:dyDescent="0.25">
      <c r="A43" s="136" t="s">
        <v>153</v>
      </c>
      <c r="B43" s="141">
        <f t="shared" ref="B43:K43" si="30">B44+B46+B48+B49+B51</f>
        <v>410.78614341779007</v>
      </c>
      <c r="C43" s="141">
        <f t="shared" si="30"/>
        <v>430.58841417741803</v>
      </c>
      <c r="D43" s="141">
        <f t="shared" si="30"/>
        <v>439.34139505497473</v>
      </c>
      <c r="E43" s="141">
        <f t="shared" si="30"/>
        <v>453.92976994325318</v>
      </c>
      <c r="F43" s="141">
        <f t="shared" si="30"/>
        <v>458.42893742630702</v>
      </c>
      <c r="G43" s="141">
        <f t="shared" si="30"/>
        <v>479.93339085899947</v>
      </c>
      <c r="H43" s="141">
        <f t="shared" si="30"/>
        <v>530.91071230448802</v>
      </c>
      <c r="I43" s="141">
        <f t="shared" si="30"/>
        <v>544.21395690394343</v>
      </c>
      <c r="J43" s="141">
        <f t="shared" si="30"/>
        <v>621.54438189987138</v>
      </c>
      <c r="K43" s="141">
        <f t="shared" si="30"/>
        <v>637.56303619506684</v>
      </c>
      <c r="L43" s="141">
        <f t="shared" ref="L43" si="31">L44+L46+L48+L49+L51</f>
        <v>631.88808068073445</v>
      </c>
      <c r="M43" s="141">
        <f t="shared" ref="M43:V43" si="32">M44+M46+M48+M49+M51</f>
        <v>669.58508337381136</v>
      </c>
      <c r="N43" s="141">
        <f t="shared" si="32"/>
        <v>713.39259662652398</v>
      </c>
      <c r="O43" s="141">
        <f t="shared" si="32"/>
        <v>732.9826298033114</v>
      </c>
      <c r="P43" s="141">
        <f t="shared" si="32"/>
        <v>782.20364984438811</v>
      </c>
      <c r="Q43" s="141">
        <f t="shared" si="32"/>
        <v>812.43473649107727</v>
      </c>
      <c r="R43" s="141">
        <f t="shared" si="32"/>
        <v>843.56275886568653</v>
      </c>
      <c r="S43" s="141">
        <f t="shared" si="32"/>
        <v>895.09017044694417</v>
      </c>
      <c r="T43" s="141">
        <f t="shared" si="32"/>
        <v>950.66417572669786</v>
      </c>
      <c r="U43" s="141">
        <f t="shared" si="32"/>
        <v>991.22571087328481</v>
      </c>
      <c r="V43" s="141">
        <f t="shared" si="32"/>
        <v>1024.1793729391406</v>
      </c>
      <c r="W43" s="141">
        <f t="shared" ref="W43:Y43" si="33">W44+W46+W48+W49+W51</f>
        <v>1067.6946940273028</v>
      </c>
      <c r="X43" s="141">
        <f t="shared" si="33"/>
        <v>1105.5655477114767</v>
      </c>
      <c r="Y43" s="141">
        <f t="shared" si="33"/>
        <v>1110.5975331473862</v>
      </c>
      <c r="DA43" s="174" t="s">
        <v>400</v>
      </c>
    </row>
    <row r="44" spans="1:105" ht="11.45" customHeight="1" x14ac:dyDescent="0.25">
      <c r="A44" s="111" t="s">
        <v>110</v>
      </c>
      <c r="B44" s="96">
        <v>169.36441681644897</v>
      </c>
      <c r="C44" s="96">
        <v>168.17338262751267</v>
      </c>
      <c r="D44" s="96">
        <v>164.72022809176514</v>
      </c>
      <c r="E44" s="96">
        <v>162.61939894025264</v>
      </c>
      <c r="F44" s="96">
        <v>161.34359403558855</v>
      </c>
      <c r="G44" s="96">
        <v>158.2389859302526</v>
      </c>
      <c r="H44" s="96">
        <v>163.61276707929304</v>
      </c>
      <c r="I44" s="96">
        <v>163.19589348679472</v>
      </c>
      <c r="J44" s="96">
        <v>158.8796643003416</v>
      </c>
      <c r="K44" s="96">
        <v>152.59855754807032</v>
      </c>
      <c r="L44" s="96">
        <v>142.9330391499752</v>
      </c>
      <c r="M44" s="96">
        <v>135.81258376690738</v>
      </c>
      <c r="N44" s="96">
        <v>129.46951211788607</v>
      </c>
      <c r="O44" s="96">
        <v>119.22268526278731</v>
      </c>
      <c r="P44" s="96">
        <v>108.60508193867319</v>
      </c>
      <c r="Q44" s="96">
        <v>94.007990463377595</v>
      </c>
      <c r="R44" s="96">
        <v>98.018229694817123</v>
      </c>
      <c r="S44" s="96">
        <v>97.573041873994995</v>
      </c>
      <c r="T44" s="96">
        <v>96.692914832478294</v>
      </c>
      <c r="U44" s="96">
        <v>92.386766759458226</v>
      </c>
      <c r="V44" s="96">
        <v>89.401034432249958</v>
      </c>
      <c r="W44" s="96">
        <v>87.00691261181845</v>
      </c>
      <c r="X44" s="96">
        <v>84.085809269310218</v>
      </c>
      <c r="Y44" s="96">
        <v>82.648002650801033</v>
      </c>
      <c r="DA44" s="171" t="s">
        <v>660</v>
      </c>
    </row>
    <row r="45" spans="1:105" ht="11.45" customHeight="1" x14ac:dyDescent="0.25">
      <c r="A45" s="160" t="s">
        <v>131</v>
      </c>
      <c r="B45" s="96">
        <v>0</v>
      </c>
      <c r="C45" s="96">
        <v>0</v>
      </c>
      <c r="D45" s="96">
        <v>0</v>
      </c>
      <c r="E45" s="96">
        <v>0</v>
      </c>
      <c r="F45" s="96">
        <v>0</v>
      </c>
      <c r="G45" s="96">
        <v>0</v>
      </c>
      <c r="H45" s="96">
        <v>0</v>
      </c>
      <c r="I45" s="96">
        <v>0</v>
      </c>
      <c r="J45" s="96">
        <v>0</v>
      </c>
      <c r="K45" s="96">
        <v>0.26191195627036534</v>
      </c>
      <c r="L45" s="96">
        <v>4.6107364069053611</v>
      </c>
      <c r="M45" s="96">
        <v>4.6509683693009851</v>
      </c>
      <c r="N45" s="96">
        <v>5.5238846156863577</v>
      </c>
      <c r="O45" s="96">
        <v>5.016435291929418</v>
      </c>
      <c r="P45" s="96">
        <v>3.2375866582214177</v>
      </c>
      <c r="Q45" s="96">
        <v>4.3423757700531791</v>
      </c>
      <c r="R45" s="96">
        <v>5.6619370692155195</v>
      </c>
      <c r="S45" s="96">
        <v>6.2397039879062071</v>
      </c>
      <c r="T45" s="96">
        <v>6.1985707572359869</v>
      </c>
      <c r="U45" s="96">
        <v>6.3631093569016546</v>
      </c>
      <c r="V45" s="96">
        <v>6.1783143234710405</v>
      </c>
      <c r="W45" s="96">
        <v>7.3197978762703944</v>
      </c>
      <c r="X45" s="96">
        <v>8.1047959405769578</v>
      </c>
      <c r="Y45" s="96">
        <v>8.1916983919552546</v>
      </c>
      <c r="DA45" s="171" t="s">
        <v>661</v>
      </c>
    </row>
    <row r="46" spans="1:105" ht="11.45" customHeight="1" x14ac:dyDescent="0.25">
      <c r="A46" s="111" t="s">
        <v>111</v>
      </c>
      <c r="B46" s="96">
        <v>241.42172660134113</v>
      </c>
      <c r="C46" s="96">
        <v>262.41503154990534</v>
      </c>
      <c r="D46" s="96">
        <v>274.62116696320959</v>
      </c>
      <c r="E46" s="96">
        <v>291.31037100300057</v>
      </c>
      <c r="F46" s="96">
        <v>297.08534339071849</v>
      </c>
      <c r="G46" s="96">
        <v>321.69440492874691</v>
      </c>
      <c r="H46" s="96">
        <v>367.29794522519501</v>
      </c>
      <c r="I46" s="96">
        <v>381.01806341714877</v>
      </c>
      <c r="J46" s="96">
        <v>462.6614439019836</v>
      </c>
      <c r="K46" s="96">
        <v>484.96121764352171</v>
      </c>
      <c r="L46" s="96">
        <v>488.95149332702027</v>
      </c>
      <c r="M46" s="96">
        <v>533.76578464158297</v>
      </c>
      <c r="N46" s="96">
        <v>583.90725387982388</v>
      </c>
      <c r="O46" s="96">
        <v>613.74352939266555</v>
      </c>
      <c r="P46" s="96">
        <v>673.5800890504338</v>
      </c>
      <c r="Q46" s="96">
        <v>718.41165846199624</v>
      </c>
      <c r="R46" s="96">
        <v>745.5269991634791</v>
      </c>
      <c r="S46" s="96">
        <v>797.49715544608966</v>
      </c>
      <c r="T46" s="96">
        <v>853.94628493186042</v>
      </c>
      <c r="U46" s="96">
        <v>898.80367730020282</v>
      </c>
      <c r="V46" s="96">
        <v>934.72659353277652</v>
      </c>
      <c r="W46" s="96">
        <v>980.60850520265979</v>
      </c>
      <c r="X46" s="96">
        <v>1021.3256056354057</v>
      </c>
      <c r="Y46" s="96">
        <v>1027.6377766282321</v>
      </c>
      <c r="DA46" s="171" t="s">
        <v>662</v>
      </c>
    </row>
    <row r="47" spans="1:105" ht="11.45" customHeight="1" x14ac:dyDescent="0.25">
      <c r="A47" s="160" t="s">
        <v>131</v>
      </c>
      <c r="B47" s="96">
        <v>0</v>
      </c>
      <c r="C47" s="96">
        <v>0</v>
      </c>
      <c r="D47" s="96">
        <v>0</v>
      </c>
      <c r="E47" s="96">
        <v>0</v>
      </c>
      <c r="F47" s="96">
        <v>0</v>
      </c>
      <c r="G47" s="96">
        <v>0</v>
      </c>
      <c r="H47" s="96">
        <v>0</v>
      </c>
      <c r="I47" s="96">
        <v>6.151533744275647</v>
      </c>
      <c r="J47" s="96">
        <v>16.051655189439039</v>
      </c>
      <c r="K47" s="96">
        <v>23.946629501452787</v>
      </c>
      <c r="L47" s="96">
        <v>11.090875922093501</v>
      </c>
      <c r="M47" s="96">
        <v>24.183497701034796</v>
      </c>
      <c r="N47" s="96">
        <v>21.495091041418792</v>
      </c>
      <c r="O47" s="96">
        <v>26.193342899108536</v>
      </c>
      <c r="P47" s="96">
        <v>23.74748493187106</v>
      </c>
      <c r="Q47" s="96">
        <v>27.673975205652706</v>
      </c>
      <c r="R47" s="96">
        <v>32.886737746007839</v>
      </c>
      <c r="S47" s="96">
        <v>37.919398962209641</v>
      </c>
      <c r="T47" s="96">
        <v>39.051587505660102</v>
      </c>
      <c r="U47" s="96">
        <v>59.839598804061012</v>
      </c>
      <c r="V47" s="96">
        <v>76.896252120002089</v>
      </c>
      <c r="W47" s="96">
        <v>73.477037728380367</v>
      </c>
      <c r="X47" s="96">
        <v>76.540180973943507</v>
      </c>
      <c r="Y47" s="96">
        <v>66.795867444488735</v>
      </c>
      <c r="DA47" s="171" t="s">
        <v>663</v>
      </c>
    </row>
    <row r="48" spans="1:105" ht="11.45" customHeight="1" x14ac:dyDescent="0.25">
      <c r="A48" s="111" t="s">
        <v>112</v>
      </c>
      <c r="B48" s="96">
        <v>0</v>
      </c>
      <c r="C48" s="96">
        <v>0</v>
      </c>
      <c r="D48" s="96">
        <v>0</v>
      </c>
      <c r="E48" s="96">
        <v>0</v>
      </c>
      <c r="F48" s="96">
        <v>0</v>
      </c>
      <c r="G48" s="96">
        <v>0</v>
      </c>
      <c r="H48" s="96">
        <v>0</v>
      </c>
      <c r="I48" s="96">
        <v>0</v>
      </c>
      <c r="J48" s="96">
        <v>3.2736975461949624E-3</v>
      </c>
      <c r="K48" s="96">
        <v>3.2610034747717746E-3</v>
      </c>
      <c r="L48" s="96">
        <v>3.2453560652477907E-3</v>
      </c>
      <c r="M48" s="96">
        <v>6.2598633340019546E-3</v>
      </c>
      <c r="N48" s="96">
        <v>1.491635607432759E-2</v>
      </c>
      <c r="O48" s="96">
        <v>1.4878658253699493E-2</v>
      </c>
      <c r="P48" s="96">
        <v>1.6467303339727603E-2</v>
      </c>
      <c r="Q48" s="96">
        <v>1.3227616806611798E-2</v>
      </c>
      <c r="R48" s="96">
        <v>1.500970141958961E-2</v>
      </c>
      <c r="S48" s="96">
        <v>1.5132108245865099E-2</v>
      </c>
      <c r="T48" s="96">
        <v>1.3816689736773101E-2</v>
      </c>
      <c r="U48" s="96">
        <v>1.378529452690574E-2</v>
      </c>
      <c r="V48" s="96">
        <v>1.2306981472274259E-2</v>
      </c>
      <c r="W48" s="96">
        <v>1.5416827598514187E-2</v>
      </c>
      <c r="X48" s="96">
        <v>3.1741138881233713E-2</v>
      </c>
      <c r="Y48" s="96">
        <v>4.4175253229406811E-2</v>
      </c>
      <c r="DA48" s="171" t="s">
        <v>664</v>
      </c>
    </row>
    <row r="49" spans="1:105" ht="11.45" customHeight="1" x14ac:dyDescent="0.25">
      <c r="A49" s="111" t="s">
        <v>113</v>
      </c>
      <c r="B49" s="96">
        <v>0</v>
      </c>
      <c r="C49" s="96">
        <v>0</v>
      </c>
      <c r="D49" s="96">
        <v>0</v>
      </c>
      <c r="E49" s="96">
        <v>0</v>
      </c>
      <c r="F49" s="96">
        <v>0</v>
      </c>
      <c r="G49" s="96">
        <v>0</v>
      </c>
      <c r="H49" s="96">
        <v>0</v>
      </c>
      <c r="I49" s="96">
        <v>0</v>
      </c>
      <c r="J49" s="96">
        <v>0</v>
      </c>
      <c r="K49" s="96">
        <v>0</v>
      </c>
      <c r="L49" s="96">
        <v>0</v>
      </c>
      <c r="M49" s="96">
        <v>0</v>
      </c>
      <c r="N49" s="96">
        <v>0</v>
      </c>
      <c r="O49" s="96">
        <v>0</v>
      </c>
      <c r="P49" s="96">
        <v>0</v>
      </c>
      <c r="Q49" s="96">
        <v>0</v>
      </c>
      <c r="R49" s="96">
        <v>0</v>
      </c>
      <c r="S49" s="96">
        <v>0</v>
      </c>
      <c r="T49" s="96">
        <v>0</v>
      </c>
      <c r="U49" s="96">
        <v>0</v>
      </c>
      <c r="V49" s="96">
        <v>0</v>
      </c>
      <c r="W49" s="96">
        <v>0</v>
      </c>
      <c r="X49" s="96">
        <v>0</v>
      </c>
      <c r="Y49" s="96">
        <v>0</v>
      </c>
      <c r="DA49" s="171" t="s">
        <v>665</v>
      </c>
    </row>
    <row r="50" spans="1:105" ht="11.45" customHeight="1" x14ac:dyDescent="0.25">
      <c r="A50" s="160" t="s">
        <v>132</v>
      </c>
      <c r="B50" s="96">
        <v>0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</v>
      </c>
      <c r="K50" s="96">
        <v>0</v>
      </c>
      <c r="L50" s="96">
        <v>0</v>
      </c>
      <c r="M50" s="96">
        <v>0</v>
      </c>
      <c r="N50" s="96">
        <v>0</v>
      </c>
      <c r="O50" s="96">
        <v>0</v>
      </c>
      <c r="P50" s="96">
        <v>0</v>
      </c>
      <c r="Q50" s="96">
        <v>0</v>
      </c>
      <c r="R50" s="96">
        <v>0</v>
      </c>
      <c r="S50" s="96">
        <v>0</v>
      </c>
      <c r="T50" s="96">
        <v>0</v>
      </c>
      <c r="U50" s="96">
        <v>0</v>
      </c>
      <c r="V50" s="96">
        <v>0</v>
      </c>
      <c r="W50" s="96">
        <v>0</v>
      </c>
      <c r="X50" s="96">
        <v>0</v>
      </c>
      <c r="Y50" s="96">
        <v>0</v>
      </c>
      <c r="DA50" s="171" t="s">
        <v>666</v>
      </c>
    </row>
    <row r="51" spans="1:105" ht="11.45" customHeight="1" x14ac:dyDescent="0.25">
      <c r="A51" s="111" t="s">
        <v>115</v>
      </c>
      <c r="B51" s="96">
        <v>0</v>
      </c>
      <c r="C51" s="96">
        <v>0</v>
      </c>
      <c r="D51" s="96">
        <v>0</v>
      </c>
      <c r="E51" s="96">
        <v>0</v>
      </c>
      <c r="F51" s="96">
        <v>0</v>
      </c>
      <c r="G51" s="96">
        <v>0</v>
      </c>
      <c r="H51" s="96">
        <v>0</v>
      </c>
      <c r="I51" s="96">
        <v>0</v>
      </c>
      <c r="J51" s="96">
        <v>0</v>
      </c>
      <c r="K51" s="96">
        <v>0</v>
      </c>
      <c r="L51" s="96">
        <v>3.0284767377431794E-4</v>
      </c>
      <c r="M51" s="96">
        <v>4.5510198696434789E-4</v>
      </c>
      <c r="N51" s="96">
        <v>9.1427273964655499E-4</v>
      </c>
      <c r="O51" s="96">
        <v>1.5364896048311711E-3</v>
      </c>
      <c r="P51" s="96">
        <v>2.0115519414578469E-3</v>
      </c>
      <c r="Q51" s="96">
        <v>1.85994889682227E-3</v>
      </c>
      <c r="R51" s="96">
        <v>2.5203059707472131E-3</v>
      </c>
      <c r="S51" s="96">
        <v>4.8410186136077227E-3</v>
      </c>
      <c r="T51" s="96">
        <v>1.1159272622300325E-2</v>
      </c>
      <c r="U51" s="96">
        <v>2.1481519096802786E-2</v>
      </c>
      <c r="V51" s="96">
        <v>3.9437992641975714E-2</v>
      </c>
      <c r="W51" s="96">
        <v>6.3859385226015558E-2</v>
      </c>
      <c r="X51" s="96">
        <v>0.12239166787953147</v>
      </c>
      <c r="Y51" s="96">
        <v>0.26757861512358089</v>
      </c>
      <c r="DA51" s="171" t="s">
        <v>667</v>
      </c>
    </row>
    <row r="52" spans="1:105" ht="11.45" customHeight="1" x14ac:dyDescent="0.25">
      <c r="A52" s="109" t="s">
        <v>186</v>
      </c>
      <c r="B52" s="130">
        <f t="shared" ref="B52:K52" si="34">B53+B55</f>
        <v>514.46451643858586</v>
      </c>
      <c r="C52" s="130">
        <f t="shared" si="34"/>
        <v>758.24376153801006</v>
      </c>
      <c r="D52" s="130">
        <f t="shared" si="34"/>
        <v>839.52975101388665</v>
      </c>
      <c r="E52" s="130">
        <f t="shared" si="34"/>
        <v>960.44081893318389</v>
      </c>
      <c r="F52" s="130">
        <f t="shared" si="34"/>
        <v>883.51579466261182</v>
      </c>
      <c r="G52" s="130">
        <f t="shared" si="34"/>
        <v>742.72560140231997</v>
      </c>
      <c r="H52" s="130">
        <f t="shared" si="34"/>
        <v>884.00957017576422</v>
      </c>
      <c r="I52" s="130">
        <f t="shared" si="34"/>
        <v>738.607055492727</v>
      </c>
      <c r="J52" s="130">
        <f t="shared" si="34"/>
        <v>766.80124109993369</v>
      </c>
      <c r="K52" s="130">
        <f t="shared" si="34"/>
        <v>746.76544967005066</v>
      </c>
      <c r="L52" s="130">
        <f t="shared" ref="L52" si="35">L53+L55</f>
        <v>527.41169205625749</v>
      </c>
      <c r="M52" s="130">
        <f t="shared" ref="M52:V52" si="36">M53+M55</f>
        <v>559.39667114909219</v>
      </c>
      <c r="N52" s="130">
        <f t="shared" si="36"/>
        <v>510.71250967359276</v>
      </c>
      <c r="O52" s="130">
        <f t="shared" si="36"/>
        <v>509.71920751263798</v>
      </c>
      <c r="P52" s="130">
        <f t="shared" si="36"/>
        <v>469.28363832055834</v>
      </c>
      <c r="Q52" s="130">
        <f t="shared" si="36"/>
        <v>433.63608907129515</v>
      </c>
      <c r="R52" s="130">
        <f t="shared" si="36"/>
        <v>518.10287210538615</v>
      </c>
      <c r="S52" s="130">
        <f t="shared" si="36"/>
        <v>596.82027061009762</v>
      </c>
      <c r="T52" s="130">
        <f t="shared" si="36"/>
        <v>560.76216024513542</v>
      </c>
      <c r="U52" s="130">
        <f t="shared" si="36"/>
        <v>616.77926527854015</v>
      </c>
      <c r="V52" s="130">
        <f t="shared" si="36"/>
        <v>594.79702405165813</v>
      </c>
      <c r="W52" s="130">
        <f t="shared" ref="W52:Y52" si="37">W53+W55</f>
        <v>664.89170693141637</v>
      </c>
      <c r="X52" s="130">
        <f t="shared" si="37"/>
        <v>833.09565603462329</v>
      </c>
      <c r="Y52" s="130">
        <f t="shared" si="37"/>
        <v>851.64076981516337</v>
      </c>
      <c r="DA52" s="176" t="s">
        <v>401</v>
      </c>
    </row>
    <row r="53" spans="1:105" ht="11.45" customHeight="1" x14ac:dyDescent="0.25">
      <c r="A53" s="128" t="s">
        <v>27</v>
      </c>
      <c r="B53" s="97">
        <v>263.58176549808633</v>
      </c>
      <c r="C53" s="97">
        <v>324.361642115385</v>
      </c>
      <c r="D53" s="97">
        <v>343.76028961541761</v>
      </c>
      <c r="E53" s="97">
        <v>426.9863246006114</v>
      </c>
      <c r="F53" s="97">
        <v>417.61915029618626</v>
      </c>
      <c r="G53" s="97">
        <v>478.17985884281404</v>
      </c>
      <c r="H53" s="97">
        <v>598.68545141878064</v>
      </c>
      <c r="I53" s="97">
        <v>555.62910519561569</v>
      </c>
      <c r="J53" s="97">
        <v>576.07906026682576</v>
      </c>
      <c r="K53" s="97">
        <v>565.19527906274425</v>
      </c>
      <c r="L53" s="97">
        <v>341.2346225926151</v>
      </c>
      <c r="M53" s="97">
        <v>349.75117984343382</v>
      </c>
      <c r="N53" s="97">
        <v>341.65512911370899</v>
      </c>
      <c r="O53" s="97">
        <v>339.63356731651169</v>
      </c>
      <c r="P53" s="97">
        <v>321.48434883198399</v>
      </c>
      <c r="Q53" s="97">
        <v>308.76944278629514</v>
      </c>
      <c r="R53" s="97">
        <v>344.17407266060627</v>
      </c>
      <c r="S53" s="97">
        <v>366.71478024571161</v>
      </c>
      <c r="T53" s="97">
        <v>373.94348432590931</v>
      </c>
      <c r="U53" s="97">
        <v>424.05190124710208</v>
      </c>
      <c r="V53" s="97">
        <v>423.61046509971743</v>
      </c>
      <c r="W53" s="97">
        <v>465.74586844077152</v>
      </c>
      <c r="X53" s="97">
        <v>534.70593495351977</v>
      </c>
      <c r="Y53" s="97">
        <v>538.35096216264503</v>
      </c>
      <c r="DA53" s="175" t="s">
        <v>668</v>
      </c>
    </row>
    <row r="54" spans="1:105" ht="11.45" customHeight="1" x14ac:dyDescent="0.25">
      <c r="A54" s="160" t="s">
        <v>131</v>
      </c>
      <c r="B54" s="97">
        <v>0</v>
      </c>
      <c r="C54" s="97">
        <v>0</v>
      </c>
      <c r="D54" s="97">
        <v>0</v>
      </c>
      <c r="E54" s="97">
        <v>0</v>
      </c>
      <c r="F54" s="97">
        <v>0</v>
      </c>
      <c r="G54" s="97">
        <v>0</v>
      </c>
      <c r="H54" s="97">
        <v>0</v>
      </c>
      <c r="I54" s="97">
        <v>8.9706276895602919</v>
      </c>
      <c r="J54" s="97">
        <v>19.986585351205932</v>
      </c>
      <c r="K54" s="97">
        <v>27.908462473456005</v>
      </c>
      <c r="L54" s="97">
        <v>7.7402174063223335</v>
      </c>
      <c r="M54" s="97">
        <v>15.846288947421913</v>
      </c>
      <c r="N54" s="97">
        <v>12.577182517034361</v>
      </c>
      <c r="O54" s="97">
        <v>14.494879477706418</v>
      </c>
      <c r="P54" s="97">
        <v>11.334130645818867</v>
      </c>
      <c r="Q54" s="97">
        <v>11.894124772730365</v>
      </c>
      <c r="R54" s="97">
        <v>15.182230126159165</v>
      </c>
      <c r="S54" s="97">
        <v>17.43655630934245</v>
      </c>
      <c r="T54" s="97">
        <v>17.100708742459048</v>
      </c>
      <c r="U54" s="97">
        <v>28.232078131841661</v>
      </c>
      <c r="V54" s="97">
        <v>34.848754010374677</v>
      </c>
      <c r="W54" s="97">
        <v>34.898358076332748</v>
      </c>
      <c r="X54" s="97">
        <v>40.071930835144556</v>
      </c>
      <c r="Y54" s="97">
        <v>34.992504484620582</v>
      </c>
      <c r="DA54" s="175" t="s">
        <v>669</v>
      </c>
    </row>
    <row r="55" spans="1:105" ht="11.45" customHeight="1" x14ac:dyDescent="0.25">
      <c r="A55" s="128" t="s">
        <v>116</v>
      </c>
      <c r="B55" s="97">
        <v>250.88275094049953</v>
      </c>
      <c r="C55" s="97">
        <v>433.88211942262507</v>
      </c>
      <c r="D55" s="97">
        <v>495.76946139846905</v>
      </c>
      <c r="E55" s="97">
        <v>533.45449433257249</v>
      </c>
      <c r="F55" s="97">
        <v>465.89664436642556</v>
      </c>
      <c r="G55" s="97">
        <v>264.54574255950592</v>
      </c>
      <c r="H55" s="97">
        <v>285.32411875698358</v>
      </c>
      <c r="I55" s="97">
        <v>182.97795029711133</v>
      </c>
      <c r="J55" s="97">
        <v>190.72218083310793</v>
      </c>
      <c r="K55" s="97">
        <v>181.57017060730641</v>
      </c>
      <c r="L55" s="97">
        <v>186.17706946364237</v>
      </c>
      <c r="M55" s="97">
        <v>209.64549130565834</v>
      </c>
      <c r="N55" s="97">
        <v>169.05738055988374</v>
      </c>
      <c r="O55" s="97">
        <v>170.08564019612629</v>
      </c>
      <c r="P55" s="97">
        <v>147.79928948857435</v>
      </c>
      <c r="Q55" s="97">
        <v>124.86664628500003</v>
      </c>
      <c r="R55" s="97">
        <v>173.92879944477986</v>
      </c>
      <c r="S55" s="97">
        <v>230.10549036438596</v>
      </c>
      <c r="T55" s="97">
        <v>186.81867591922614</v>
      </c>
      <c r="U55" s="97">
        <v>192.72736403143804</v>
      </c>
      <c r="V55" s="97">
        <v>171.1865589519407</v>
      </c>
      <c r="W55" s="97">
        <v>199.14583849064482</v>
      </c>
      <c r="X55" s="97">
        <v>298.38972108110346</v>
      </c>
      <c r="Y55" s="97">
        <v>313.28980765251833</v>
      </c>
      <c r="DA55" s="175" t="s">
        <v>670</v>
      </c>
    </row>
    <row r="56" spans="1:105" ht="11.45" customHeight="1" x14ac:dyDescent="0.25">
      <c r="A56" s="161" t="s">
        <v>131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2.9541776198645491</v>
      </c>
      <c r="J56" s="98">
        <v>6.6169479304168277</v>
      </c>
      <c r="K56" s="98">
        <v>8.9656521920992063</v>
      </c>
      <c r="L56" s="98">
        <v>4.2230503539524307</v>
      </c>
      <c r="M56" s="98">
        <v>9.4984755540805477</v>
      </c>
      <c r="N56" s="98">
        <v>6.2234263441885442</v>
      </c>
      <c r="O56" s="98">
        <v>7.2589139966658838</v>
      </c>
      <c r="P56" s="98">
        <v>5.2107558657488289</v>
      </c>
      <c r="Q56" s="98">
        <v>4.8099949835194593</v>
      </c>
      <c r="R56" s="98">
        <v>7.6723590429810757</v>
      </c>
      <c r="S56" s="98">
        <v>10.941057072036003</v>
      </c>
      <c r="T56" s="98">
        <v>8.5433545400731532</v>
      </c>
      <c r="U56" s="98">
        <v>12.831198217665388</v>
      </c>
      <c r="V56" s="98">
        <v>14.082839717839335</v>
      </c>
      <c r="W56" s="98">
        <v>14.922006295675496</v>
      </c>
      <c r="X56" s="98">
        <v>22.361921728285001</v>
      </c>
      <c r="Y56" s="98">
        <v>20.363658226275504</v>
      </c>
      <c r="DA56" s="178" t="s">
        <v>671</v>
      </c>
    </row>
    <row r="57" spans="1:105" x14ac:dyDescent="0.25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DA57" s="171"/>
    </row>
    <row r="58" spans="1:105" ht="11.45" customHeight="1" x14ac:dyDescent="0.25">
      <c r="A58" s="68" t="s">
        <v>36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DA58" s="179"/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DA59" s="171"/>
    </row>
    <row r="60" spans="1:105" ht="11.45" customHeight="1" x14ac:dyDescent="0.25">
      <c r="A60" s="53" t="s">
        <v>73</v>
      </c>
      <c r="B60" s="79">
        <f>IF(B17=0,0,B17/TrRoad_act!B30*100)</f>
        <v>10.401215638726484</v>
      </c>
      <c r="C60" s="79">
        <f>IF(C17=0,0,C17/TrRoad_act!C30*100)</f>
        <v>10.905365560567367</v>
      </c>
      <c r="D60" s="79">
        <f>IF(D17=0,0,D17/TrRoad_act!D30*100)</f>
        <v>10.882993145188264</v>
      </c>
      <c r="E60" s="79">
        <f>IF(E17=0,0,E17/TrRoad_act!E30*100)</f>
        <v>10.918125232494322</v>
      </c>
      <c r="F60" s="79">
        <f>IF(F17=0,0,F17/TrRoad_act!F30*100)</f>
        <v>10.697926695652571</v>
      </c>
      <c r="G60" s="79">
        <f>IF(G17=0,0,G17/TrRoad_act!G30*100)</f>
        <v>10.092849038086376</v>
      </c>
      <c r="H60" s="79">
        <f>IF(H17=0,0,H17/TrRoad_act!H30*100)</f>
        <v>10.210656633628936</v>
      </c>
      <c r="I60" s="79">
        <f>IF(I17=0,0,I17/TrRoad_act!I30*100)</f>
        <v>9.5591450592959291</v>
      </c>
      <c r="J60" s="79">
        <f>IF(J17=0,0,J17/TrRoad_act!J30*100)</f>
        <v>10.57884649122067</v>
      </c>
      <c r="K60" s="79">
        <f>IF(K17=0,0,K17/TrRoad_act!K30*100)</f>
        <v>10.54130730140953</v>
      </c>
      <c r="L60" s="79">
        <f>IF(L17=0,0,L17/TrRoad_act!L30*100)</f>
        <v>9.7953727208038934</v>
      </c>
      <c r="M60" s="79">
        <f>IF(M17=0,0,M17/TrRoad_act!M30*100)</f>
        <v>9.8248615986181544</v>
      </c>
      <c r="N60" s="79">
        <f>IF(N17=0,0,N17/TrRoad_act!N30*100)</f>
        <v>9.7429103637811156</v>
      </c>
      <c r="O60" s="79">
        <f>IF(O17=0,0,O17/TrRoad_act!O30*100)</f>
        <v>9.1204874162978733</v>
      </c>
      <c r="P60" s="79">
        <f>IF(P17=0,0,P17/TrRoad_act!P30*100)</f>
        <v>8.9784908297686439</v>
      </c>
      <c r="Q60" s="79">
        <f>IF(Q17=0,0,Q17/TrRoad_act!Q30*100)</f>
        <v>8.6649761718374663</v>
      </c>
      <c r="R60" s="79">
        <f>IF(R17=0,0,R17/TrRoad_act!R30*100)</f>
        <v>8.9599726592010214</v>
      </c>
      <c r="S60" s="79">
        <f>IF(S17=0,0,S17/TrRoad_act!S30*100)</f>
        <v>9.3275750077318751</v>
      </c>
      <c r="T60" s="79">
        <f>IF(T17=0,0,T17/TrRoad_act!T30*100)</f>
        <v>9.0110879030666311</v>
      </c>
      <c r="U60" s="79">
        <f>IF(U17=0,0,U17/TrRoad_act!U30*100)</f>
        <v>8.716502819680823</v>
      </c>
      <c r="V60" s="79">
        <f>IF(V17=0,0,V17/TrRoad_act!V30*100)</f>
        <v>9.1929094388115722</v>
      </c>
      <c r="W60" s="79">
        <f>IF(W17=0,0,W17/TrRoad_act!W30*100)</f>
        <v>8.8957195086338441</v>
      </c>
      <c r="X60" s="79">
        <f>IF(X17=0,0,X17/TrRoad_act!X30*100)</f>
        <v>8.8538155939040539</v>
      </c>
      <c r="Y60" s="79">
        <f>IF(Y17=0,0,Y17/TrRoad_act!Y30*100)</f>
        <v>8.5418603530244255</v>
      </c>
      <c r="DA60" s="172" t="s">
        <v>672</v>
      </c>
    </row>
    <row r="61" spans="1:105" ht="11.45" customHeight="1" x14ac:dyDescent="0.25">
      <c r="A61" s="27" t="s">
        <v>33</v>
      </c>
      <c r="B61" s="32">
        <f>IF(B18=0,0,B18/TrRoad_act!B31*100)</f>
        <v>8.605082789392636</v>
      </c>
      <c r="C61" s="32">
        <f>IF(C18=0,0,C18/TrRoad_act!C31*100)</f>
        <v>8.700191004133293</v>
      </c>
      <c r="D61" s="32">
        <f>IF(D18=0,0,D18/TrRoad_act!D31*100)</f>
        <v>8.4710936526658003</v>
      </c>
      <c r="E61" s="32">
        <f>IF(E18=0,0,E18/TrRoad_act!E31*100)</f>
        <v>8.370159869899835</v>
      </c>
      <c r="F61" s="32">
        <f>IF(F18=0,0,F18/TrRoad_act!F31*100)</f>
        <v>8.6358223651770984</v>
      </c>
      <c r="G61" s="32">
        <f>IF(G18=0,0,G18/TrRoad_act!G31*100)</f>
        <v>8.4395439187273631</v>
      </c>
      <c r="H61" s="32">
        <f>IF(H18=0,0,H18/TrRoad_act!H31*100)</f>
        <v>8.1649467432968468</v>
      </c>
      <c r="I61" s="32">
        <f>IF(I18=0,0,I18/TrRoad_act!I31*100)</f>
        <v>8.0007619684086642</v>
      </c>
      <c r="J61" s="32">
        <f>IF(J18=0,0,J18/TrRoad_act!J31*100)</f>
        <v>9.1645581443998374</v>
      </c>
      <c r="K61" s="32">
        <f>IF(K18=0,0,K18/TrRoad_act!K31*100)</f>
        <v>9.137954610908972</v>
      </c>
      <c r="L61" s="32">
        <f>IF(L18=0,0,L18/TrRoad_act!L31*100)</f>
        <v>8.6874512710678182</v>
      </c>
      <c r="M61" s="32">
        <f>IF(M18=0,0,M18/TrRoad_act!M31*100)</f>
        <v>8.6896802520199596</v>
      </c>
      <c r="N61" s="32">
        <f>IF(N18=0,0,N18/TrRoad_act!N31*100)</f>
        <v>8.7468246977177486</v>
      </c>
      <c r="O61" s="32">
        <f>IF(O18=0,0,O18/TrRoad_act!O31*100)</f>
        <v>8.1029883398106097</v>
      </c>
      <c r="P61" s="32">
        <f>IF(P18=0,0,P18/TrRoad_act!P31*100)</f>
        <v>8.0734267211682944</v>
      </c>
      <c r="Q61" s="32">
        <f>IF(Q18=0,0,Q18/TrRoad_act!Q31*100)</f>
        <v>7.8296410198654547</v>
      </c>
      <c r="R61" s="32">
        <f>IF(R18=0,0,R18/TrRoad_act!R31*100)</f>
        <v>8.0625512256257146</v>
      </c>
      <c r="S61" s="32">
        <f>IF(S18=0,0,S18/TrRoad_act!S31*100)</f>
        <v>8.3923320829335335</v>
      </c>
      <c r="T61" s="32">
        <f>IF(T18=0,0,T18/TrRoad_act!T31*100)</f>
        <v>8.1752425599374696</v>
      </c>
      <c r="U61" s="32">
        <f>IF(U18=0,0,U18/TrRoad_act!U31*100)</f>
        <v>7.8305588814024691</v>
      </c>
      <c r="V61" s="32">
        <f>IF(V18=0,0,V18/TrRoad_act!V31*100)</f>
        <v>8.3958366877173169</v>
      </c>
      <c r="W61" s="32">
        <f>IF(W18=0,0,W18/TrRoad_act!W31*100)</f>
        <v>8.0423073839953894</v>
      </c>
      <c r="X61" s="32">
        <f>IF(X18=0,0,X18/TrRoad_act!X31*100)</f>
        <v>7.8269851797829819</v>
      </c>
      <c r="Y61" s="32">
        <f>IF(Y18=0,0,Y18/TrRoad_act!Y31*100)</f>
        <v>7.5472795668021275</v>
      </c>
      <c r="DA61" s="173" t="s">
        <v>673</v>
      </c>
    </row>
    <row r="62" spans="1:105" ht="11.45" customHeight="1" x14ac:dyDescent="0.25">
      <c r="A62" s="136" t="s">
        <v>173</v>
      </c>
      <c r="B62" s="141">
        <f>IF(B19=0,0,B19/TrRoad_act!B32*100)</f>
        <v>4.8878161441720911</v>
      </c>
      <c r="C62" s="141">
        <f>IF(C19=0,0,C19/TrRoad_act!C32*100)</f>
        <v>4.8807094994369873</v>
      </c>
      <c r="D62" s="141">
        <f>IF(D19=0,0,D19/TrRoad_act!D32*100)</f>
        <v>4.8734956121415154</v>
      </c>
      <c r="E62" s="141">
        <f>IF(E19=0,0,E19/TrRoad_act!E32*100)</f>
        <v>4.8561277058579391</v>
      </c>
      <c r="F62" s="141">
        <f>IF(F19=0,0,F19/TrRoad_act!F32*100)</f>
        <v>4.8366279096839406</v>
      </c>
      <c r="G62" s="141">
        <f>IF(G19=0,0,G19/TrRoad_act!G32*100)</f>
        <v>4.5818389977852254</v>
      </c>
      <c r="H62" s="141">
        <f>IF(H19=0,0,H19/TrRoad_act!H32*100)</f>
        <v>4.5060673357832641</v>
      </c>
      <c r="I62" s="141">
        <f>IF(I19=0,0,I19/TrRoad_act!I32*100)</f>
        <v>4.4434468409564118</v>
      </c>
      <c r="J62" s="141">
        <f>IF(J19=0,0,J19/TrRoad_act!J32*100)</f>
        <v>4.2648211339884794</v>
      </c>
      <c r="K62" s="141">
        <f>IF(K19=0,0,K19/TrRoad_act!K32*100)</f>
        <v>4.1653297966595986</v>
      </c>
      <c r="L62" s="141">
        <f>IF(L19=0,0,L19/TrRoad_act!L32*100)</f>
        <v>4.09734727920707</v>
      </c>
      <c r="M62" s="141">
        <f>IF(M19=0,0,M19/TrRoad_act!M32*100)</f>
        <v>4.0282347059480559</v>
      </c>
      <c r="N62" s="141">
        <f>IF(N19=0,0,N19/TrRoad_act!N32*100)</f>
        <v>3.9638926709385789</v>
      </c>
      <c r="O62" s="141">
        <f>IF(O19=0,0,O19/TrRoad_act!O32*100)</f>
        <v>3.8889743438565958</v>
      </c>
      <c r="P62" s="141">
        <f>IF(P19=0,0,P19/TrRoad_act!P32*100)</f>
        <v>3.8263030143806338</v>
      </c>
      <c r="Q62" s="141">
        <f>IF(Q19=0,0,Q19/TrRoad_act!Q32*100)</f>
        <v>3.771275522512215</v>
      </c>
      <c r="R62" s="141">
        <f>IF(R19=0,0,R19/TrRoad_act!R32*100)</f>
        <v>3.7129725201746124</v>
      </c>
      <c r="S62" s="141">
        <f>IF(S19=0,0,S19/TrRoad_act!S32*100)</f>
        <v>3.6562164800453183</v>
      </c>
      <c r="T62" s="141">
        <f>IF(T19=0,0,T19/TrRoad_act!T32*100)</f>
        <v>3.603433679196435</v>
      </c>
      <c r="U62" s="141">
        <f>IF(U19=0,0,U19/TrRoad_act!U32*100)</f>
        <v>3.5378059365664107</v>
      </c>
      <c r="V62" s="141">
        <f>IF(V19=0,0,V19/TrRoad_act!V32*100)</f>
        <v>3.4920251602005825</v>
      </c>
      <c r="W62" s="141">
        <f>IF(W19=0,0,W19/TrRoad_act!W32*100)</f>
        <v>3.4622998347263829</v>
      </c>
      <c r="X62" s="141">
        <f>IF(X19=0,0,X19/TrRoad_act!X32*100)</f>
        <v>3.4343923400373177</v>
      </c>
      <c r="Y62" s="141">
        <f>IF(Y19=0,0,Y19/TrRoad_act!Y32*100)</f>
        <v>3.4094916178817471</v>
      </c>
      <c r="DA62" s="174" t="s">
        <v>674</v>
      </c>
    </row>
    <row r="63" spans="1:105" ht="11.45" customHeight="1" x14ac:dyDescent="0.25">
      <c r="A63" s="109" t="s">
        <v>20</v>
      </c>
      <c r="B63" s="130">
        <f>IF(B21=0,0,B21/TrRoad_act!B33*100)</f>
        <v>6.5224613715849884</v>
      </c>
      <c r="C63" s="130">
        <f>IF(C21=0,0,C21/TrRoad_act!C33*100)</f>
        <v>6.7694994931446306</v>
      </c>
      <c r="D63" s="130">
        <f>IF(D21=0,0,D21/TrRoad_act!D33*100)</f>
        <v>6.67427967081702</v>
      </c>
      <c r="E63" s="130">
        <f>IF(E21=0,0,E21/TrRoad_act!E33*100)</f>
        <v>6.4953061720365524</v>
      </c>
      <c r="F63" s="130">
        <f>IF(F21=0,0,F21/TrRoad_act!F33*100)</f>
        <v>6.7960770599087184</v>
      </c>
      <c r="G63" s="130">
        <f>IF(G21=0,0,G21/TrRoad_act!G33*100)</f>
        <v>6.7320482351719821</v>
      </c>
      <c r="H63" s="130">
        <f>IF(H21=0,0,H21/TrRoad_act!H33*100)</f>
        <v>6.6053002793315496</v>
      </c>
      <c r="I63" s="130">
        <f>IF(I21=0,0,I21/TrRoad_act!I33*100)</f>
        <v>6.430529011027712</v>
      </c>
      <c r="J63" s="130">
        <f>IF(J21=0,0,J21/TrRoad_act!J33*100)</f>
        <v>7.0719242347527906</v>
      </c>
      <c r="K63" s="130">
        <f>IF(K21=0,0,K21/TrRoad_act!K33*100)</f>
        <v>7.0974302848981843</v>
      </c>
      <c r="L63" s="130">
        <f>IF(L21=0,0,L21/TrRoad_act!L33*100)</f>
        <v>6.6594774732545519</v>
      </c>
      <c r="M63" s="130">
        <f>IF(M21=0,0,M21/TrRoad_act!M33*100)</f>
        <v>6.7024237796087069</v>
      </c>
      <c r="N63" s="130">
        <f>IF(N21=0,0,N21/TrRoad_act!N33*100)</f>
        <v>6.7914322437828858</v>
      </c>
      <c r="O63" s="130">
        <f>IF(O21=0,0,O21/TrRoad_act!O33*100)</f>
        <v>6.1746948070040588</v>
      </c>
      <c r="P63" s="130">
        <f>IF(P21=0,0,P21/TrRoad_act!P33*100)</f>
        <v>6.1483990542865863</v>
      </c>
      <c r="Q63" s="130">
        <f>IF(Q21=0,0,Q21/TrRoad_act!Q33*100)</f>
        <v>5.9174928687755219</v>
      </c>
      <c r="R63" s="130">
        <f>IF(R21=0,0,R21/TrRoad_act!R33*100)</f>
        <v>6.1461707616365837</v>
      </c>
      <c r="S63" s="130">
        <f>IF(S21=0,0,S21/TrRoad_act!S33*100)</f>
        <v>6.4177489221609303</v>
      </c>
      <c r="T63" s="130">
        <f>IF(T21=0,0,T21/TrRoad_act!T33*100)</f>
        <v>6.2761376014376022</v>
      </c>
      <c r="U63" s="130">
        <f>IF(U21=0,0,U21/TrRoad_act!U33*100)</f>
        <v>6.0243258507036064</v>
      </c>
      <c r="V63" s="130">
        <f>IF(V21=0,0,V21/TrRoad_act!V33*100)</f>
        <v>6.3259295250648577</v>
      </c>
      <c r="W63" s="130">
        <f>IF(W21=0,0,W21/TrRoad_act!W33*100)</f>
        <v>6.1201165117696181</v>
      </c>
      <c r="X63" s="130">
        <f>IF(X21=0,0,X21/TrRoad_act!X33*100)</f>
        <v>6.0269202026439119</v>
      </c>
      <c r="Y63" s="130">
        <f>IF(Y21=0,0,Y21/TrRoad_act!Y33*100)</f>
        <v>5.8920763049131626</v>
      </c>
      <c r="DA63" s="176" t="s">
        <v>675</v>
      </c>
    </row>
    <row r="64" spans="1:105" ht="11.45" customHeight="1" x14ac:dyDescent="0.25">
      <c r="A64" s="111" t="s">
        <v>110</v>
      </c>
      <c r="B64" s="96">
        <f>IF(B22=0,0,B22/TrRoad_act!B34*100)</f>
        <v>6.5303197476737438</v>
      </c>
      <c r="C64" s="96">
        <f>IF(C22=0,0,C22/TrRoad_act!C34*100)</f>
        <v>6.7894533477125929</v>
      </c>
      <c r="D64" s="96">
        <f>IF(D22=0,0,D22/TrRoad_act!D34*100)</f>
        <v>6.7021996619769268</v>
      </c>
      <c r="E64" s="96">
        <f>IF(E22=0,0,E22/TrRoad_act!E34*100)</f>
        <v>6.6371116476104195</v>
      </c>
      <c r="F64" s="96">
        <f>IF(F22=0,0,F22/TrRoad_act!F34*100)</f>
        <v>6.7293406165066791</v>
      </c>
      <c r="G64" s="96">
        <f>IF(G22=0,0,G22/TrRoad_act!G34*100)</f>
        <v>6.8783552094842646</v>
      </c>
      <c r="H64" s="96">
        <f>IF(H22=0,0,H22/TrRoad_act!H34*100)</f>
        <v>6.7241732831635481</v>
      </c>
      <c r="I64" s="96">
        <f>IF(I22=0,0,I22/TrRoad_act!I34*100)</f>
        <v>6.8603347668724073</v>
      </c>
      <c r="J64" s="96">
        <f>IF(J22=0,0,J22/TrRoad_act!J34*100)</f>
        <v>7.8476479125382586</v>
      </c>
      <c r="K64" s="96">
        <f>IF(K22=0,0,K22/TrRoad_act!K34*100)</f>
        <v>7.7821784651783448</v>
      </c>
      <c r="L64" s="96">
        <f>IF(L22=0,0,L22/TrRoad_act!L34*100)</f>
        <v>7.3028913504293635</v>
      </c>
      <c r="M64" s="96">
        <f>IF(M22=0,0,M22/TrRoad_act!M34*100)</f>
        <v>7.6491358658846185</v>
      </c>
      <c r="N64" s="96">
        <f>IF(N22=0,0,N22/TrRoad_act!N34*100)</f>
        <v>7.7085366377219575</v>
      </c>
      <c r="O64" s="96">
        <f>IF(O22=0,0,O22/TrRoad_act!O34*100)</f>
        <v>6.716392229909804</v>
      </c>
      <c r="P64" s="96">
        <f>IF(P22=0,0,P22/TrRoad_act!P34*100)</f>
        <v>6.5452874155531378</v>
      </c>
      <c r="Q64" s="96">
        <f>IF(Q22=0,0,Q22/TrRoad_act!Q34*100)</f>
        <v>6.2713668881908644</v>
      </c>
      <c r="R64" s="96">
        <f>IF(R22=0,0,R22/TrRoad_act!R34*100)</f>
        <v>6.8378069610521948</v>
      </c>
      <c r="S64" s="96">
        <f>IF(S22=0,0,S22/TrRoad_act!S34*100)</f>
        <v>7.0584871624775021</v>
      </c>
      <c r="T64" s="96">
        <f>IF(T22=0,0,T22/TrRoad_act!T34*100)</f>
        <v>6.9230436969550464</v>
      </c>
      <c r="U64" s="96">
        <f>IF(U22=0,0,U22/TrRoad_act!U34*100)</f>
        <v>6.7805809974732654</v>
      </c>
      <c r="V64" s="96">
        <f>IF(V22=0,0,V22/TrRoad_act!V34*100)</f>
        <v>6.6523297282603684</v>
      </c>
      <c r="W64" s="96">
        <f>IF(W22=0,0,W22/TrRoad_act!W34*100)</f>
        <v>6.5086718030185162</v>
      </c>
      <c r="X64" s="96">
        <f>IF(X22=0,0,X22/TrRoad_act!X34*100)</f>
        <v>6.3962630004932199</v>
      </c>
      <c r="Y64" s="96">
        <f>IF(Y22=0,0,Y22/TrRoad_act!Y34*100)</f>
        <v>6.2605530248582548</v>
      </c>
      <c r="DA64" s="171" t="s">
        <v>676</v>
      </c>
    </row>
    <row r="65" spans="1:105" ht="11.45" customHeight="1" x14ac:dyDescent="0.25">
      <c r="A65" s="111" t="s">
        <v>111</v>
      </c>
      <c r="B65" s="96">
        <f>IF(B24=0,0,B24/TrRoad_act!B35*100)</f>
        <v>6.4694023412695962</v>
      </c>
      <c r="C65" s="96">
        <f>IF(C24=0,0,C24/TrRoad_act!C35*100)</f>
        <v>6.6420998637521089</v>
      </c>
      <c r="D65" s="96">
        <f>IF(D24=0,0,D24/TrRoad_act!D35*100)</f>
        <v>6.5255970230482312</v>
      </c>
      <c r="E65" s="96">
        <f>IF(E24=0,0,E24/TrRoad_act!E35*100)</f>
        <v>5.9280882275053726</v>
      </c>
      <c r="F65" s="96">
        <f>IF(F24=0,0,F24/TrRoad_act!F35*100)</f>
        <v>5.9137724073923517</v>
      </c>
      <c r="G65" s="96">
        <f>IF(G24=0,0,G24/TrRoad_act!G35*100)</f>
        <v>5.956555141584662</v>
      </c>
      <c r="H65" s="96">
        <f>IF(H24=0,0,H24/TrRoad_act!H35*100)</f>
        <v>6.3752486563288802</v>
      </c>
      <c r="I65" s="96">
        <f>IF(I24=0,0,I24/TrRoad_act!I35*100)</f>
        <v>5.7023001237595583</v>
      </c>
      <c r="J65" s="96">
        <f>IF(J24=0,0,J24/TrRoad_act!J35*100)</f>
        <v>6.0887799153859081</v>
      </c>
      <c r="K65" s="96">
        <f>IF(K24=0,0,K24/TrRoad_act!K35*100)</f>
        <v>6.1584447529610591</v>
      </c>
      <c r="L65" s="96">
        <f>IF(L24=0,0,L24/TrRoad_act!L35*100)</f>
        <v>6.0339552949818138</v>
      </c>
      <c r="M65" s="96">
        <f>IF(M24=0,0,M24/TrRoad_act!M35*100)</f>
        <v>5.8496369315094094</v>
      </c>
      <c r="N65" s="96">
        <f>IF(N24=0,0,N24/TrRoad_act!N35*100)</f>
        <v>6.1187939023423015</v>
      </c>
      <c r="O65" s="96">
        <f>IF(O24=0,0,O24/TrRoad_act!O35*100)</f>
        <v>5.7211361193910806</v>
      </c>
      <c r="P65" s="96">
        <f>IF(P24=0,0,P24/TrRoad_act!P35*100)</f>
        <v>5.7709325500023416</v>
      </c>
      <c r="Q65" s="96">
        <f>IF(Q24=0,0,Q24/TrRoad_act!Q35*100)</f>
        <v>5.6136391554799259</v>
      </c>
      <c r="R65" s="96">
        <f>IF(R24=0,0,R24/TrRoad_act!R35*100)</f>
        <v>5.6273532502134538</v>
      </c>
      <c r="S65" s="96">
        <f>IF(S24=0,0,S24/TrRoad_act!S35*100)</f>
        <v>5.9642657721115695</v>
      </c>
      <c r="T65" s="96">
        <f>IF(T24=0,0,T24/TrRoad_act!T35*100)</f>
        <v>5.8616727712893271</v>
      </c>
      <c r="U65" s="96">
        <f>IF(U24=0,0,U24/TrRoad_act!U35*100)</f>
        <v>5.5794156449732979</v>
      </c>
      <c r="V65" s="96">
        <f>IF(V24=0,0,V24/TrRoad_act!V35*100)</f>
        <v>6.1804269838577852</v>
      </c>
      <c r="W65" s="96">
        <f>IF(W24=0,0,W24/TrRoad_act!W35*100)</f>
        <v>6.0208097704257124</v>
      </c>
      <c r="X65" s="96">
        <f>IF(X24=0,0,X24/TrRoad_act!X35*100)</f>
        <v>5.96780135393041</v>
      </c>
      <c r="Y65" s="96">
        <f>IF(Y24=0,0,Y24/TrRoad_act!Y35*100)</f>
        <v>5.8714175241038165</v>
      </c>
      <c r="DA65" s="171" t="s">
        <v>677</v>
      </c>
    </row>
    <row r="66" spans="1:105" ht="11.45" customHeight="1" x14ac:dyDescent="0.25">
      <c r="A66" s="111" t="s">
        <v>112</v>
      </c>
      <c r="B66" s="96">
        <f>IF(B26=0,0,B26/TrRoad_act!B36*100)</f>
        <v>0</v>
      </c>
      <c r="C66" s="96">
        <f>IF(C26=0,0,C26/TrRoad_act!C36*100)</f>
        <v>0</v>
      </c>
      <c r="D66" s="96">
        <f>IF(D26=0,0,D26/TrRoad_act!D36*100)</f>
        <v>7.8018414667335829</v>
      </c>
      <c r="E66" s="96">
        <f>IF(E26=0,0,E26/TrRoad_act!E36*100)</f>
        <v>7.1079455557048767</v>
      </c>
      <c r="F66" s="96">
        <f>IF(F26=0,0,F26/TrRoad_act!F36*100)</f>
        <v>34.446763586321673</v>
      </c>
      <c r="G66" s="96">
        <f>IF(G26=0,0,G26/TrRoad_act!G36*100)</f>
        <v>20.640193152903795</v>
      </c>
      <c r="H66" s="96">
        <f>IF(H26=0,0,H26/TrRoad_act!H36*100)</f>
        <v>6.8909417036475293</v>
      </c>
      <c r="I66" s="96">
        <f>IF(I26=0,0,I26/TrRoad_act!I36*100)</f>
        <v>9.7720132718020203</v>
      </c>
      <c r="J66" s="96">
        <f>IF(J26=0,0,J26/TrRoad_act!J36*100)</f>
        <v>15.409773345191761</v>
      </c>
      <c r="K66" s="96">
        <f>IF(K26=0,0,K26/TrRoad_act!K36*100)</f>
        <v>25.223788014450804</v>
      </c>
      <c r="L66" s="96">
        <f>IF(L26=0,0,L26/TrRoad_act!L36*100)</f>
        <v>7.3557880466557934</v>
      </c>
      <c r="M66" s="96">
        <f>IF(M26=0,0,M26/TrRoad_act!M36*100)</f>
        <v>10.326230389190345</v>
      </c>
      <c r="N66" s="96">
        <f>IF(N26=0,0,N26/TrRoad_act!N36*100)</f>
        <v>8.1570841500220386</v>
      </c>
      <c r="O66" s="96">
        <f>IF(O26=0,0,O26/TrRoad_act!O36*100)</f>
        <v>8.1619676082978536</v>
      </c>
      <c r="P66" s="96">
        <f>IF(P26=0,0,P26/TrRoad_act!P36*100)</f>
        <v>8.137181368437016</v>
      </c>
      <c r="Q66" s="96">
        <f>IF(Q26=0,0,Q26/TrRoad_act!Q36*100)</f>
        <v>7.1211250976695952</v>
      </c>
      <c r="R66" s="96">
        <f>IF(R26=0,0,R26/TrRoad_act!R36*100)</f>
        <v>8.2093002808945119</v>
      </c>
      <c r="S66" s="96">
        <f>IF(S26=0,0,S26/TrRoad_act!S36*100)</f>
        <v>7.8881790199034603</v>
      </c>
      <c r="T66" s="96">
        <f>IF(T26=0,0,T26/TrRoad_act!T36*100)</f>
        <v>7.4836076014779458</v>
      </c>
      <c r="U66" s="96">
        <f>IF(U26=0,0,U26/TrRoad_act!U36*100)</f>
        <v>7.1066992443699837</v>
      </c>
      <c r="V66" s="96">
        <f>IF(V26=0,0,V26/TrRoad_act!V36*100)</f>
        <v>5.6434972764260634</v>
      </c>
      <c r="W66" s="96">
        <f>IF(W26=0,0,W26/TrRoad_act!W36*100)</f>
        <v>4.2779773885533183</v>
      </c>
      <c r="X66" s="96">
        <f>IF(X26=0,0,X26/TrRoad_act!X36*100)</f>
        <v>4.0640625564573867</v>
      </c>
      <c r="Y66" s="96">
        <f>IF(Y26=0,0,Y26/TrRoad_act!Y36*100)</f>
        <v>3.6039325905306092</v>
      </c>
      <c r="DA66" s="171" t="s">
        <v>678</v>
      </c>
    </row>
    <row r="67" spans="1:105" ht="11.45" customHeight="1" x14ac:dyDescent="0.25">
      <c r="A67" s="111" t="s">
        <v>113</v>
      </c>
      <c r="B67" s="96">
        <f>IF(B27=0,0,B27/TrRoad_act!B37*100)</f>
        <v>0</v>
      </c>
      <c r="C67" s="96">
        <f>IF(C27=0,0,C27/TrRoad_act!C37*100)</f>
        <v>0</v>
      </c>
      <c r="D67" s="96">
        <f>IF(D27=0,0,D27/TrRoad_act!D37*100)</f>
        <v>0</v>
      </c>
      <c r="E67" s="96">
        <f>IF(E27=0,0,E27/TrRoad_act!E37*100)</f>
        <v>0</v>
      </c>
      <c r="F67" s="96">
        <f>IF(F27=0,0,F27/TrRoad_act!F37*100)</f>
        <v>0</v>
      </c>
      <c r="G67" s="96">
        <f>IF(G27=0,0,G27/TrRoad_act!G37*100)</f>
        <v>0</v>
      </c>
      <c r="H67" s="96">
        <f>IF(H27=0,0,H27/TrRoad_act!H37*100)</f>
        <v>0</v>
      </c>
      <c r="I67" s="96">
        <f>IF(I27=0,0,I27/TrRoad_act!I37*100)</f>
        <v>0</v>
      </c>
      <c r="J67" s="96">
        <f>IF(J27=0,0,J27/TrRoad_act!J37*100)</f>
        <v>0</v>
      </c>
      <c r="K67" s="96">
        <f>IF(K27=0,0,K27/TrRoad_act!K37*100)</f>
        <v>0</v>
      </c>
      <c r="L67" s="96">
        <f>IF(L27=0,0,L27/TrRoad_act!L37*100)</f>
        <v>0</v>
      </c>
      <c r="M67" s="96">
        <f>IF(M27=0,0,M27/TrRoad_act!M37*100)</f>
        <v>0</v>
      </c>
      <c r="N67" s="96">
        <f>IF(N27=0,0,N27/TrRoad_act!N37*100)</f>
        <v>0</v>
      </c>
      <c r="O67" s="96">
        <f>IF(O27=0,0,O27/TrRoad_act!O37*100)</f>
        <v>0</v>
      </c>
      <c r="P67" s="96">
        <f>IF(P27=0,0,P27/TrRoad_act!P37*100)</f>
        <v>0</v>
      </c>
      <c r="Q67" s="96">
        <f>IF(Q27=0,0,Q27/TrRoad_act!Q37*100)</f>
        <v>0</v>
      </c>
      <c r="R67" s="96">
        <f>IF(R27=0,0,R27/TrRoad_act!R37*100)</f>
        <v>0</v>
      </c>
      <c r="S67" s="96">
        <f>IF(S27=0,0,S27/TrRoad_act!S37*100)</f>
        <v>0</v>
      </c>
      <c r="T67" s="96">
        <f>IF(T27=0,0,T27/TrRoad_act!T37*100)</f>
        <v>0</v>
      </c>
      <c r="U67" s="96">
        <f>IF(U27=0,0,U27/TrRoad_act!U37*100)</f>
        <v>0</v>
      </c>
      <c r="V67" s="96">
        <f>IF(V27=0,0,V27/TrRoad_act!V37*100)</f>
        <v>0</v>
      </c>
      <c r="W67" s="96">
        <f>IF(W27=0,0,W27/TrRoad_act!W37*100)</f>
        <v>0</v>
      </c>
      <c r="X67" s="96">
        <f>IF(X27=0,0,X27/TrRoad_act!X37*100)</f>
        <v>0</v>
      </c>
      <c r="Y67" s="96">
        <f>IF(Y27=0,0,Y27/TrRoad_act!Y37*100)</f>
        <v>0</v>
      </c>
      <c r="DA67" s="171" t="s">
        <v>679</v>
      </c>
    </row>
    <row r="68" spans="1:105" ht="11.45" customHeight="1" x14ac:dyDescent="0.25">
      <c r="A68" s="111" t="s">
        <v>114</v>
      </c>
      <c r="B68" s="96">
        <f>IF(B29=0,0,B29/TrRoad_act!B38*100)</f>
        <v>0</v>
      </c>
      <c r="C68" s="96">
        <f>IF(C29=0,0,C29/TrRoad_act!C38*100)</f>
        <v>0</v>
      </c>
      <c r="D68" s="96">
        <f>IF(D29=0,0,D29/TrRoad_act!D38*100)</f>
        <v>0</v>
      </c>
      <c r="E68" s="96">
        <f>IF(E29=0,0,E29/TrRoad_act!E38*100)</f>
        <v>0</v>
      </c>
      <c r="F68" s="96">
        <f>IF(F29=0,0,F29/TrRoad_act!F38*100)</f>
        <v>0</v>
      </c>
      <c r="G68" s="96">
        <f>IF(G29=0,0,G29/TrRoad_act!G38*100)</f>
        <v>0</v>
      </c>
      <c r="H68" s="96">
        <f>IF(H29=0,0,H29/TrRoad_act!H38*100)</f>
        <v>0</v>
      </c>
      <c r="I68" s="96">
        <f>IF(I29=0,0,I29/TrRoad_act!I38*100)</f>
        <v>0</v>
      </c>
      <c r="J68" s="96">
        <f>IF(J29=0,0,J29/TrRoad_act!J38*100)</f>
        <v>0</v>
      </c>
      <c r="K68" s="96">
        <f>IF(K29=0,0,K29/TrRoad_act!K38*100)</f>
        <v>0</v>
      </c>
      <c r="L68" s="96">
        <f>IF(L29=0,0,L29/TrRoad_act!L38*100)</f>
        <v>0</v>
      </c>
      <c r="M68" s="96">
        <f>IF(M29=0,0,M29/TrRoad_act!M38*100)</f>
        <v>0</v>
      </c>
      <c r="N68" s="96">
        <f>IF(N29=0,0,N29/TrRoad_act!N38*100)</f>
        <v>5.8662658253942119</v>
      </c>
      <c r="O68" s="96">
        <f>IF(O29=0,0,O29/TrRoad_act!O38*100)</f>
        <v>5.2627759690752587</v>
      </c>
      <c r="P68" s="96">
        <f>IF(P29=0,0,P29/TrRoad_act!P38*100)</f>
        <v>5.0398963650324253</v>
      </c>
      <c r="Q68" s="96">
        <f>IF(Q29=0,0,Q29/TrRoad_act!Q38*100)</f>
        <v>4.6386709317079191</v>
      </c>
      <c r="R68" s="96">
        <f>IF(R29=0,0,R29/TrRoad_act!R38*100)</f>
        <v>3.4832231932361526</v>
      </c>
      <c r="S68" s="96">
        <f>IF(S29=0,0,S29/TrRoad_act!S38*100)</f>
        <v>3.9380125321836617</v>
      </c>
      <c r="T68" s="96">
        <f>IF(T29=0,0,T29/TrRoad_act!T38*100)</f>
        <v>3.7179436989832566</v>
      </c>
      <c r="U68" s="96">
        <f>IF(U29=0,0,U29/TrRoad_act!U38*100)</f>
        <v>3.4897393377488659</v>
      </c>
      <c r="V68" s="96">
        <f>IF(V29=0,0,V29/TrRoad_act!V38*100)</f>
        <v>3.4478138696300036</v>
      </c>
      <c r="W68" s="96">
        <f>IF(W29=0,0,W29/TrRoad_act!W38*100)</f>
        <v>3.2686292360046845</v>
      </c>
      <c r="X68" s="96">
        <f>IF(X29=0,0,X29/TrRoad_act!X38*100)</f>
        <v>3.1945261391924893</v>
      </c>
      <c r="Y68" s="96">
        <f>IF(Y29=0,0,Y29/TrRoad_act!Y38*100)</f>
        <v>3.9002357897566573</v>
      </c>
      <c r="DA68" s="171" t="s">
        <v>680</v>
      </c>
    </row>
    <row r="69" spans="1:105" ht="11.45" customHeight="1" x14ac:dyDescent="0.25">
      <c r="A69" s="111" t="s">
        <v>115</v>
      </c>
      <c r="B69" s="96">
        <f>IF(B32=0,0,B32/TrRoad_act!B39*100)</f>
        <v>0</v>
      </c>
      <c r="C69" s="96">
        <f>IF(C32=0,0,C32/TrRoad_act!C39*100)</f>
        <v>0</v>
      </c>
      <c r="D69" s="96">
        <f>IF(D32=0,0,D32/TrRoad_act!D39*100)</f>
        <v>0</v>
      </c>
      <c r="E69" s="96">
        <f>IF(E32=0,0,E32/TrRoad_act!E39*100)</f>
        <v>0</v>
      </c>
      <c r="F69" s="96">
        <f>IF(F32=0,0,F32/TrRoad_act!F39*100)</f>
        <v>0</v>
      </c>
      <c r="G69" s="96">
        <f>IF(G32=0,0,G32/TrRoad_act!G39*100)</f>
        <v>0</v>
      </c>
      <c r="H69" s="96">
        <f>IF(H32=0,0,H32/TrRoad_act!H39*100)</f>
        <v>0</v>
      </c>
      <c r="I69" s="96">
        <f>IF(I32=0,0,I32/TrRoad_act!I39*100)</f>
        <v>0</v>
      </c>
      <c r="J69" s="96">
        <f>IF(J32=0,0,J32/TrRoad_act!J39*100)</f>
        <v>0</v>
      </c>
      <c r="K69" s="96">
        <f>IF(K32=0,0,K32/TrRoad_act!K39*100)</f>
        <v>1.3897157808406828</v>
      </c>
      <c r="L69" s="96">
        <f>IF(L32=0,0,L32/TrRoad_act!L39*100)</f>
        <v>1.3816774711863651</v>
      </c>
      <c r="M69" s="96">
        <f>IF(M32=0,0,M32/TrRoad_act!M39*100)</f>
        <v>1.3854811375236489</v>
      </c>
      <c r="N69" s="96">
        <f>IF(N32=0,0,N32/TrRoad_act!N39*100)</f>
        <v>1.3366211380732116</v>
      </c>
      <c r="O69" s="96">
        <f>IF(O32=0,0,O32/TrRoad_act!O39*100)</f>
        <v>1.3391403506132131</v>
      </c>
      <c r="P69" s="96">
        <f>IF(P32=0,0,P32/TrRoad_act!P39*100)</f>
        <v>1.3510512776716781</v>
      </c>
      <c r="Q69" s="96">
        <f>IF(Q32=0,0,Q32/TrRoad_act!Q39*100)</f>
        <v>1.3793222747074136</v>
      </c>
      <c r="R69" s="96">
        <f>IF(R32=0,0,R32/TrRoad_act!R39*100)</f>
        <v>1.3718556793846497</v>
      </c>
      <c r="S69" s="96">
        <f>IF(S32=0,0,S32/TrRoad_act!S39*100)</f>
        <v>1.3565634598253546</v>
      </c>
      <c r="T69" s="96">
        <f>IF(T32=0,0,T32/TrRoad_act!T39*100)</f>
        <v>1.3455754624953591</v>
      </c>
      <c r="U69" s="96">
        <f>IF(U32=0,0,U32/TrRoad_act!U39*100)</f>
        <v>1.5114091533768117</v>
      </c>
      <c r="V69" s="96">
        <f>IF(V32=0,0,V32/TrRoad_act!V39*100)</f>
        <v>1.5650996701600992</v>
      </c>
      <c r="W69" s="96">
        <f>IF(W32=0,0,W32/TrRoad_act!W39*100)</f>
        <v>1.4947909459663151</v>
      </c>
      <c r="X69" s="96">
        <f>IF(X32=0,0,X32/TrRoad_act!X39*100)</f>
        <v>1.4496712173570079</v>
      </c>
      <c r="Y69" s="96">
        <f>IF(Y32=0,0,Y32/TrRoad_act!Y39*100)</f>
        <v>1.4496347332673574</v>
      </c>
      <c r="DA69" s="171" t="s">
        <v>681</v>
      </c>
    </row>
    <row r="70" spans="1:105" ht="11.45" customHeight="1" x14ac:dyDescent="0.25">
      <c r="A70" s="109" t="s">
        <v>21</v>
      </c>
      <c r="B70" s="130">
        <f>IF(B33=0,0,B33/TrRoad_act!B40*100)</f>
        <v>59.806358388849326</v>
      </c>
      <c r="C70" s="130">
        <f>IF(C33=0,0,C33/TrRoad_act!C40*100)</f>
        <v>63.917639397689562</v>
      </c>
      <c r="D70" s="130">
        <f>IF(D33=0,0,D33/TrRoad_act!D40*100)</f>
        <v>64.750889144848429</v>
      </c>
      <c r="E70" s="130">
        <f>IF(E33=0,0,E33/TrRoad_act!E40*100)</f>
        <v>63.517812026961408</v>
      </c>
      <c r="F70" s="130">
        <f>IF(F33=0,0,F33/TrRoad_act!F40*100)</f>
        <v>58.796333798625923</v>
      </c>
      <c r="G70" s="130">
        <f>IF(G33=0,0,G33/TrRoad_act!G40*100)</f>
        <v>54.590763201556534</v>
      </c>
      <c r="H70" s="130">
        <f>IF(H33=0,0,H33/TrRoad_act!H40*100)</f>
        <v>55.805714248023762</v>
      </c>
      <c r="I70" s="130">
        <f>IF(I33=0,0,I33/TrRoad_act!I40*100)</f>
        <v>52.3286768644071</v>
      </c>
      <c r="J70" s="130">
        <f>IF(J33=0,0,J33/TrRoad_act!J40*100)</f>
        <v>53.310033154134729</v>
      </c>
      <c r="K70" s="130">
        <f>IF(K33=0,0,K33/TrRoad_act!K40*100)</f>
        <v>54.077478686141447</v>
      </c>
      <c r="L70" s="130">
        <f>IF(L33=0,0,L33/TrRoad_act!L40*100)</f>
        <v>53.699413090238679</v>
      </c>
      <c r="M70" s="130">
        <f>IF(M33=0,0,M33/TrRoad_act!M40*100)</f>
        <v>53.159341045692585</v>
      </c>
      <c r="N70" s="130">
        <f>IF(N33=0,0,N33/TrRoad_act!N40*100)</f>
        <v>52.851737556657994</v>
      </c>
      <c r="O70" s="130">
        <f>IF(O33=0,0,O33/TrRoad_act!O40*100)</f>
        <v>51.786224606549155</v>
      </c>
      <c r="P70" s="130">
        <f>IF(P33=0,0,P33/TrRoad_act!P40*100)</f>
        <v>51.985285859445284</v>
      </c>
      <c r="Q70" s="130">
        <f>IF(Q33=0,0,Q33/TrRoad_act!Q40*100)</f>
        <v>51.757202591507948</v>
      </c>
      <c r="R70" s="130">
        <f>IF(R33=0,0,R33/TrRoad_act!R40*100)</f>
        <v>52.574660007027198</v>
      </c>
      <c r="S70" s="130">
        <f>IF(S33=0,0,S33/TrRoad_act!S40*100)</f>
        <v>54.074332625934332</v>
      </c>
      <c r="T70" s="130">
        <f>IF(T33=0,0,T33/TrRoad_act!T40*100)</f>
        <v>53.752533331042564</v>
      </c>
      <c r="U70" s="130">
        <f>IF(U33=0,0,U33/TrRoad_act!U40*100)</f>
        <v>53.235774472237715</v>
      </c>
      <c r="V70" s="130">
        <f>IF(V33=0,0,V33/TrRoad_act!V40*100)</f>
        <v>54.653221110059803</v>
      </c>
      <c r="W70" s="130">
        <f>IF(W33=0,0,W33/TrRoad_act!W40*100)</f>
        <v>54.098152314350379</v>
      </c>
      <c r="X70" s="130">
        <f>IF(X33=0,0,X33/TrRoad_act!X40*100)</f>
        <v>54.466757871913984</v>
      </c>
      <c r="Y70" s="130">
        <f>IF(Y33=0,0,Y33/TrRoad_act!Y40*100)</f>
        <v>53.316390180730323</v>
      </c>
      <c r="DA70" s="176" t="s">
        <v>682</v>
      </c>
    </row>
    <row r="71" spans="1:105" ht="11.45" customHeight="1" x14ac:dyDescent="0.25">
      <c r="A71" s="111" t="s">
        <v>110</v>
      </c>
      <c r="B71" s="97">
        <f>IF(B34=0,0,B34/TrRoad_act!B41*100)</f>
        <v>0</v>
      </c>
      <c r="C71" s="97">
        <f>IF(C34=0,0,C34/TrRoad_act!C41*100)</f>
        <v>0</v>
      </c>
      <c r="D71" s="97">
        <f>IF(D34=0,0,D34/TrRoad_act!D41*100)</f>
        <v>0</v>
      </c>
      <c r="E71" s="97">
        <f>IF(E34=0,0,E34/TrRoad_act!E41*100)</f>
        <v>0</v>
      </c>
      <c r="F71" s="97">
        <f>IF(F34=0,0,F34/TrRoad_act!F41*100)</f>
        <v>0</v>
      </c>
      <c r="G71" s="97">
        <f>IF(G34=0,0,G34/TrRoad_act!G41*100)</f>
        <v>0</v>
      </c>
      <c r="H71" s="97">
        <f>IF(H34=0,0,H34/TrRoad_act!H41*100)</f>
        <v>0</v>
      </c>
      <c r="I71" s="97">
        <f>IF(I34=0,0,I34/TrRoad_act!I41*100)</f>
        <v>0</v>
      </c>
      <c r="J71" s="97">
        <f>IF(J34=0,0,J34/TrRoad_act!J41*100)</f>
        <v>16.634209083213193</v>
      </c>
      <c r="K71" s="97">
        <f>IF(K34=0,0,K34/TrRoad_act!K41*100)</f>
        <v>16.634209083213193</v>
      </c>
      <c r="L71" s="97">
        <f>IF(L34=0,0,L34/TrRoad_act!L41*100)</f>
        <v>16.620336880196035</v>
      </c>
      <c r="M71" s="97">
        <f>IF(M34=0,0,M34/TrRoad_act!M41*100)</f>
        <v>16.609497630237755</v>
      </c>
      <c r="N71" s="97">
        <f>IF(N34=0,0,N34/TrRoad_act!N41*100)</f>
        <v>16.609049063306809</v>
      </c>
      <c r="O71" s="97">
        <f>IF(O34=0,0,O34/TrRoad_act!O41*100)</f>
        <v>16.608425013614628</v>
      </c>
      <c r="P71" s="97">
        <f>IF(P34=0,0,P34/TrRoad_act!P41*100)</f>
        <v>16.607600025481233</v>
      </c>
      <c r="Q71" s="97">
        <f>IF(Q34=0,0,Q34/TrRoad_act!Q41*100)</f>
        <v>16.606352191138011</v>
      </c>
      <c r="R71" s="97">
        <f>IF(R34=0,0,R34/TrRoad_act!R41*100)</f>
        <v>16.604981563779287</v>
      </c>
      <c r="S71" s="97">
        <f>IF(S34=0,0,S34/TrRoad_act!S41*100)</f>
        <v>16.603469080301824</v>
      </c>
      <c r="T71" s="97">
        <f>IF(T34=0,0,T34/TrRoad_act!T41*100)</f>
        <v>16.601278049331928</v>
      </c>
      <c r="U71" s="97">
        <f>IF(U34=0,0,U34/TrRoad_act!U41*100)</f>
        <v>16.599920285081364</v>
      </c>
      <c r="V71" s="97">
        <f>IF(V34=0,0,V34/TrRoad_act!V41*100)</f>
        <v>16.599635184995083</v>
      </c>
      <c r="W71" s="97">
        <f>IF(W34=0,0,W34/TrRoad_act!W41*100)</f>
        <v>16.598750710860593</v>
      </c>
      <c r="X71" s="97">
        <f>IF(X34=0,0,X34/TrRoad_act!X41*100)</f>
        <v>16.371138977699353</v>
      </c>
      <c r="Y71" s="97">
        <f>IF(Y34=0,0,Y34/TrRoad_act!Y41*100)</f>
        <v>16.368999561581845</v>
      </c>
      <c r="DA71" s="175" t="s">
        <v>683</v>
      </c>
    </row>
    <row r="72" spans="1:105" ht="11.45" customHeight="1" x14ac:dyDescent="0.25">
      <c r="A72" s="111" t="s">
        <v>111</v>
      </c>
      <c r="B72" s="97">
        <f>IF(B36=0,0,B36/TrRoad_act!B42*100)</f>
        <v>59.806358388849326</v>
      </c>
      <c r="C72" s="97">
        <f>IF(C36=0,0,C36/TrRoad_act!C42*100)</f>
        <v>63.917639397689562</v>
      </c>
      <c r="D72" s="97">
        <f>IF(D36=0,0,D36/TrRoad_act!D42*100)</f>
        <v>64.750889144848429</v>
      </c>
      <c r="E72" s="97">
        <f>IF(E36=0,0,E36/TrRoad_act!E42*100)</f>
        <v>63.517812026961408</v>
      </c>
      <c r="F72" s="97">
        <f>IF(F36=0,0,F36/TrRoad_act!F42*100)</f>
        <v>58.796333798625923</v>
      </c>
      <c r="G72" s="97">
        <f>IF(G36=0,0,G36/TrRoad_act!G42*100)</f>
        <v>54.590763201556534</v>
      </c>
      <c r="H72" s="97">
        <f>IF(H36=0,0,H36/TrRoad_act!H42*100)</f>
        <v>55.805714248023762</v>
      </c>
      <c r="I72" s="97">
        <f>IF(I36=0,0,I36/TrRoad_act!I42*100)</f>
        <v>52.3286768644071</v>
      </c>
      <c r="J72" s="97">
        <f>IF(J36=0,0,J36/TrRoad_act!J42*100)</f>
        <v>53.437595731894938</v>
      </c>
      <c r="K72" s="97">
        <f>IF(K36=0,0,K36/TrRoad_act!K42*100)</f>
        <v>54.207278629008613</v>
      </c>
      <c r="L72" s="97">
        <f>IF(L36=0,0,L36/TrRoad_act!L42*100)</f>
        <v>53.83180997153638</v>
      </c>
      <c r="M72" s="97">
        <f>IF(M36=0,0,M36/TrRoad_act!M42*100)</f>
        <v>53.288381103845325</v>
      </c>
      <c r="N72" s="97">
        <f>IF(N36=0,0,N36/TrRoad_act!N42*100)</f>
        <v>52.971788603965251</v>
      </c>
      <c r="O72" s="97">
        <f>IF(O36=0,0,O36/TrRoad_act!O42*100)</f>
        <v>51.895719091486178</v>
      </c>
      <c r="P72" s="97">
        <f>IF(P36=0,0,P36/TrRoad_act!P42*100)</f>
        <v>52.089836822695325</v>
      </c>
      <c r="Q72" s="97">
        <f>IF(Q36=0,0,Q36/TrRoad_act!Q42*100)</f>
        <v>51.849201842027334</v>
      </c>
      <c r="R72" s="97">
        <f>IF(R36=0,0,R36/TrRoad_act!R42*100)</f>
        <v>52.66421305918405</v>
      </c>
      <c r="S72" s="97">
        <f>IF(S36=0,0,S36/TrRoad_act!S42*100)</f>
        <v>54.1635230349548</v>
      </c>
      <c r="T72" s="97">
        <f>IF(T36=0,0,T36/TrRoad_act!T42*100)</f>
        <v>53.841915440050613</v>
      </c>
      <c r="U72" s="97">
        <f>IF(U36=0,0,U36/TrRoad_act!U42*100)</f>
        <v>53.341499191994338</v>
      </c>
      <c r="V72" s="97">
        <f>IF(V36=0,0,V36/TrRoad_act!V42*100)</f>
        <v>54.857180104583705</v>
      </c>
      <c r="W72" s="97">
        <f>IF(W36=0,0,W36/TrRoad_act!W42*100)</f>
        <v>54.302543122843673</v>
      </c>
      <c r="X72" s="97">
        <f>IF(X36=0,0,X36/TrRoad_act!X42*100)</f>
        <v>54.765023913034582</v>
      </c>
      <c r="Y72" s="97">
        <f>IF(Y36=0,0,Y36/TrRoad_act!Y42*100)</f>
        <v>53.871143048413892</v>
      </c>
      <c r="DA72" s="175" t="s">
        <v>684</v>
      </c>
    </row>
    <row r="73" spans="1:105" ht="11.45" customHeight="1" x14ac:dyDescent="0.25">
      <c r="A73" s="111" t="s">
        <v>112</v>
      </c>
      <c r="B73" s="97">
        <f>IF(B38=0,0,B38/TrRoad_act!B43*100)</f>
        <v>0</v>
      </c>
      <c r="C73" s="97">
        <f>IF(C38=0,0,C38/TrRoad_act!C43*100)</f>
        <v>0</v>
      </c>
      <c r="D73" s="97">
        <f>IF(D38=0,0,D38/TrRoad_act!D43*100)</f>
        <v>0</v>
      </c>
      <c r="E73" s="97">
        <f>IF(E38=0,0,E38/TrRoad_act!E43*100)</f>
        <v>0</v>
      </c>
      <c r="F73" s="97">
        <f>IF(F38=0,0,F38/TrRoad_act!F43*100)</f>
        <v>0</v>
      </c>
      <c r="G73" s="97">
        <f>IF(G38=0,0,G38/TrRoad_act!G43*100)</f>
        <v>0</v>
      </c>
      <c r="H73" s="97">
        <f>IF(H38=0,0,H38/TrRoad_act!H43*100)</f>
        <v>0</v>
      </c>
      <c r="I73" s="97">
        <f>IF(I38=0,0,I38/TrRoad_act!I43*100)</f>
        <v>0</v>
      </c>
      <c r="J73" s="97">
        <f>IF(J38=0,0,J38/TrRoad_act!J43*100)</f>
        <v>44.839329566624833</v>
      </c>
      <c r="K73" s="97">
        <f>IF(K38=0,0,K38/TrRoad_act!K43*100)</f>
        <v>44.833185790692625</v>
      </c>
      <c r="L73" s="97">
        <f>IF(L38=0,0,L38/TrRoad_act!L43*100)</f>
        <v>44.90577586568336</v>
      </c>
      <c r="M73" s="97">
        <f>IF(M38=0,0,M38/TrRoad_act!M43*100)</f>
        <v>44.930678765342115</v>
      </c>
      <c r="N73" s="97">
        <f>IF(N38=0,0,N38/TrRoad_act!N43*100)</f>
        <v>44.930678765342122</v>
      </c>
      <c r="O73" s="97">
        <f>IF(O38=0,0,O38/TrRoad_act!O43*100)</f>
        <v>44.949297494226805</v>
      </c>
      <c r="P73" s="97">
        <f>IF(P38=0,0,P38/TrRoad_act!P43*100)</f>
        <v>44.970007337794932</v>
      </c>
      <c r="Q73" s="97">
        <f>IF(Q38=0,0,Q38/TrRoad_act!Q43*100)</f>
        <v>44.972780221784681</v>
      </c>
      <c r="R73" s="97">
        <f>IF(R38=0,0,R38/TrRoad_act!R43*100)</f>
        <v>44.982093368851558</v>
      </c>
      <c r="S73" s="97">
        <f>IF(S38=0,0,S38/TrRoad_act!S43*100)</f>
        <v>44.98374620569551</v>
      </c>
      <c r="T73" s="97">
        <f>IF(T38=0,0,T38/TrRoad_act!T43*100)</f>
        <v>45.032519551606711</v>
      </c>
      <c r="U73" s="97">
        <f>IF(U38=0,0,U38/TrRoad_act!U43*100)</f>
        <v>45.037476056014711</v>
      </c>
      <c r="V73" s="97">
        <f>IF(V38=0,0,V38/TrRoad_act!V43*100)</f>
        <v>45.03724141074472</v>
      </c>
      <c r="W73" s="97">
        <f>IF(W38=0,0,W38/TrRoad_act!W43*100)</f>
        <v>45.041110817348091</v>
      </c>
      <c r="X73" s="97">
        <f>IF(X38=0,0,X38/TrRoad_act!X43*100)</f>
        <v>45.201296618215878</v>
      </c>
      <c r="Y73" s="97">
        <f>IF(Y38=0,0,Y38/TrRoad_act!Y43*100)</f>
        <v>45.264277126042074</v>
      </c>
      <c r="DA73" s="175" t="s">
        <v>685</v>
      </c>
    </row>
    <row r="74" spans="1:105" ht="11.45" customHeight="1" x14ac:dyDescent="0.25">
      <c r="A74" s="111" t="s">
        <v>113</v>
      </c>
      <c r="B74" s="97">
        <f>IF(B39=0,0,B39/TrRoad_act!B44*100)</f>
        <v>0</v>
      </c>
      <c r="C74" s="97">
        <f>IF(C39=0,0,C39/TrRoad_act!C44*100)</f>
        <v>0</v>
      </c>
      <c r="D74" s="97">
        <f>IF(D39=0,0,D39/TrRoad_act!D44*100)</f>
        <v>0</v>
      </c>
      <c r="E74" s="97">
        <f>IF(E39=0,0,E39/TrRoad_act!E44*100)</f>
        <v>0</v>
      </c>
      <c r="F74" s="97">
        <f>IF(F39=0,0,F39/TrRoad_act!F44*100)</f>
        <v>0</v>
      </c>
      <c r="G74" s="97">
        <f>IF(G39=0,0,G39/TrRoad_act!G44*100)</f>
        <v>0</v>
      </c>
      <c r="H74" s="97">
        <f>IF(H39=0,0,H39/TrRoad_act!H44*100)</f>
        <v>0</v>
      </c>
      <c r="I74" s="97">
        <f>IF(I39=0,0,I39/TrRoad_act!I44*100)</f>
        <v>0</v>
      </c>
      <c r="J74" s="97">
        <f>IF(J39=0,0,J39/TrRoad_act!J44*100)</f>
        <v>0</v>
      </c>
      <c r="K74" s="97">
        <f>IF(K39=0,0,K39/TrRoad_act!K44*100)</f>
        <v>0</v>
      </c>
      <c r="L74" s="97">
        <f>IF(L39=0,0,L39/TrRoad_act!L44*100)</f>
        <v>0</v>
      </c>
      <c r="M74" s="97">
        <f>IF(M39=0,0,M39/TrRoad_act!M44*100)</f>
        <v>0</v>
      </c>
      <c r="N74" s="97">
        <f>IF(N39=0,0,N39/TrRoad_act!N44*100)</f>
        <v>0</v>
      </c>
      <c r="O74" s="97">
        <f>IF(O39=0,0,O39/TrRoad_act!O44*100)</f>
        <v>0</v>
      </c>
      <c r="P74" s="97">
        <f>IF(P39=0,0,P39/TrRoad_act!P44*100)</f>
        <v>0</v>
      </c>
      <c r="Q74" s="97">
        <f>IF(Q39=0,0,Q39/TrRoad_act!Q44*100)</f>
        <v>0</v>
      </c>
      <c r="R74" s="97">
        <f>IF(R39=0,0,R39/TrRoad_act!R44*100)</f>
        <v>0</v>
      </c>
      <c r="S74" s="97">
        <f>IF(S39=0,0,S39/TrRoad_act!S44*100)</f>
        <v>0</v>
      </c>
      <c r="T74" s="97">
        <f>IF(T39=0,0,T39/TrRoad_act!T44*100)</f>
        <v>0</v>
      </c>
      <c r="U74" s="97">
        <f>IF(U39=0,0,U39/TrRoad_act!U44*100)</f>
        <v>0</v>
      </c>
      <c r="V74" s="97">
        <f>IF(V39=0,0,V39/TrRoad_act!V44*100)</f>
        <v>0</v>
      </c>
      <c r="W74" s="97">
        <f>IF(W39=0,0,W39/TrRoad_act!W44*100)</f>
        <v>0</v>
      </c>
      <c r="X74" s="97">
        <f>IF(X39=0,0,X39/TrRoad_act!X44*100)</f>
        <v>0</v>
      </c>
      <c r="Y74" s="97">
        <f>IF(Y39=0,0,Y39/TrRoad_act!Y44*100)</f>
        <v>0</v>
      </c>
      <c r="DA74" s="175" t="s">
        <v>686</v>
      </c>
    </row>
    <row r="75" spans="1:105" ht="11.45" customHeight="1" x14ac:dyDescent="0.25">
      <c r="A75" s="111" t="s">
        <v>115</v>
      </c>
      <c r="B75" s="97">
        <f>IF(B41=0,0,B41/TrRoad_act!B45*100)</f>
        <v>0</v>
      </c>
      <c r="C75" s="97">
        <f>IF(C41=0,0,C41/TrRoad_act!C45*100)</f>
        <v>0</v>
      </c>
      <c r="D75" s="97">
        <f>IF(D41=0,0,D41/TrRoad_act!D45*100)</f>
        <v>0</v>
      </c>
      <c r="E75" s="97">
        <f>IF(E41=0,0,E41/TrRoad_act!E45*100)</f>
        <v>0</v>
      </c>
      <c r="F75" s="97">
        <f>IF(F41=0,0,F41/TrRoad_act!F45*100)</f>
        <v>0</v>
      </c>
      <c r="G75" s="97">
        <f>IF(G41=0,0,G41/TrRoad_act!G45*100)</f>
        <v>0</v>
      </c>
      <c r="H75" s="97">
        <f>IF(H41=0,0,H41/TrRoad_act!H45*100)</f>
        <v>0</v>
      </c>
      <c r="I75" s="97">
        <f>IF(I41=0,0,I41/TrRoad_act!I45*100)</f>
        <v>0</v>
      </c>
      <c r="J75" s="97">
        <f>IF(J41=0,0,J41/TrRoad_act!J45*100)</f>
        <v>0</v>
      </c>
      <c r="K75" s="97">
        <f>IF(K41=0,0,K41/TrRoad_act!K45*100)</f>
        <v>0</v>
      </c>
      <c r="L75" s="97">
        <f>IF(L41=0,0,L41/TrRoad_act!L45*100)</f>
        <v>0</v>
      </c>
      <c r="M75" s="97">
        <f>IF(M41=0,0,M41/TrRoad_act!M45*100)</f>
        <v>0</v>
      </c>
      <c r="N75" s="97">
        <f>IF(N41=0,0,N41/TrRoad_act!N45*100)</f>
        <v>0</v>
      </c>
      <c r="O75" s="97">
        <f>IF(O41=0,0,O41/TrRoad_act!O45*100)</f>
        <v>29.726934405649864</v>
      </c>
      <c r="P75" s="97">
        <f>IF(P41=0,0,P41/TrRoad_act!P45*100)</f>
        <v>29.830095951103353</v>
      </c>
      <c r="Q75" s="97">
        <f>IF(Q41=0,0,Q41/TrRoad_act!Q45*100)</f>
        <v>29.997545858223795</v>
      </c>
      <c r="R75" s="97">
        <f>IF(R41=0,0,R41/TrRoad_act!R45*100)</f>
        <v>30.129943188007385</v>
      </c>
      <c r="S75" s="97">
        <f>IF(S41=0,0,S41/TrRoad_act!S45*100)</f>
        <v>30.034591329967981</v>
      </c>
      <c r="T75" s="97">
        <f>IF(T41=0,0,T41/TrRoad_act!T45*100)</f>
        <v>29.496129075809137</v>
      </c>
      <c r="U75" s="97">
        <f>IF(U41=0,0,U41/TrRoad_act!U45*100)</f>
        <v>29.067411406765586</v>
      </c>
      <c r="V75" s="97">
        <f>IF(V41=0,0,V41/TrRoad_act!V45*100)</f>
        <v>28.323872572575283</v>
      </c>
      <c r="W75" s="97">
        <f>IF(W41=0,0,W41/TrRoad_act!W45*100)</f>
        <v>28.046044163510054</v>
      </c>
      <c r="X75" s="97">
        <f>IF(X41=0,0,X41/TrRoad_act!X45*100)</f>
        <v>27.527555077318073</v>
      </c>
      <c r="Y75" s="97">
        <f>IF(Y41=0,0,Y41/TrRoad_act!Y45*100)</f>
        <v>26.657462891482549</v>
      </c>
      <c r="DA75" s="175" t="s">
        <v>687</v>
      </c>
    </row>
    <row r="76" spans="1:105" ht="11.45" customHeight="1" x14ac:dyDescent="0.25">
      <c r="A76" s="27" t="s">
        <v>34</v>
      </c>
      <c r="B76" s="32">
        <f>IF(B42=0,0,B42/TrRoad_act!B46*100)</f>
        <v>17.462788981745739</v>
      </c>
      <c r="C76" s="32">
        <f>IF(C42=0,0,C42/TrRoad_act!C46*100)</f>
        <v>21.479128967462866</v>
      </c>
      <c r="D76" s="32">
        <f>IF(D42=0,0,D42/TrRoad_act!D46*100)</f>
        <v>22.422448997347018</v>
      </c>
      <c r="E76" s="32">
        <f>IF(E42=0,0,E42/TrRoad_act!E46*100)</f>
        <v>23.254865161845821</v>
      </c>
      <c r="F76" s="32">
        <f>IF(F42=0,0,F42/TrRoad_act!F46*100)</f>
        <v>20.6250723137072</v>
      </c>
      <c r="G76" s="32">
        <f>IF(G42=0,0,G42/TrRoad_act!G46*100)</f>
        <v>17.451091143271977</v>
      </c>
      <c r="H76" s="32">
        <f>IF(H42=0,0,H42/TrRoad_act!H46*100)</f>
        <v>18.865434141962687</v>
      </c>
      <c r="I76" s="32">
        <f>IF(I42=0,0,I42/TrRoad_act!I46*100)</f>
        <v>16.525584251309773</v>
      </c>
      <c r="J76" s="32">
        <f>IF(J42=0,0,J42/TrRoad_act!J46*100)</f>
        <v>16.603810578159873</v>
      </c>
      <c r="K76" s="32">
        <f>IF(K42=0,0,K42/TrRoad_act!K46*100)</f>
        <v>17.049773956219035</v>
      </c>
      <c r="L76" s="32">
        <f>IF(L42=0,0,L42/TrRoad_act!L46*100)</f>
        <v>15.544171938121373</v>
      </c>
      <c r="M76" s="32">
        <f>IF(M42=0,0,M42/TrRoad_act!M46*100)</f>
        <v>15.698424122421622</v>
      </c>
      <c r="N76" s="32">
        <f>IF(N42=0,0,N42/TrRoad_act!N46*100)</f>
        <v>14.874123330799737</v>
      </c>
      <c r="O76" s="32">
        <f>IF(O42=0,0,O42/TrRoad_act!O46*100)</f>
        <v>14.325938410361868</v>
      </c>
      <c r="P76" s="32">
        <f>IF(P42=0,0,P42/TrRoad_act!P46*100)</f>
        <v>13.519778392315212</v>
      </c>
      <c r="Q76" s="32">
        <f>IF(Q42=0,0,Q42/TrRoad_act!Q46*100)</f>
        <v>12.858231895861497</v>
      </c>
      <c r="R76" s="32">
        <f>IF(R42=0,0,R42/TrRoad_act!R46*100)</f>
        <v>13.489127433377258</v>
      </c>
      <c r="S76" s="32">
        <f>IF(S42=0,0,S42/TrRoad_act!S46*100)</f>
        <v>13.830266295023078</v>
      </c>
      <c r="T76" s="32">
        <f>IF(T42=0,0,T42/TrRoad_act!T46*100)</f>
        <v>12.970003082015664</v>
      </c>
      <c r="U76" s="32">
        <f>IF(U42=0,0,U42/TrRoad_act!U46*100)</f>
        <v>12.937249674149534</v>
      </c>
      <c r="V76" s="32">
        <f>IF(V42=0,0,V42/TrRoad_act!V46*100)</f>
        <v>12.548593347981274</v>
      </c>
      <c r="W76" s="32">
        <f>IF(W42=0,0,W42/TrRoad_act!W46*100)</f>
        <v>12.602936939517006</v>
      </c>
      <c r="X76" s="32">
        <f>IF(X42=0,0,X42/TrRoad_act!X46*100)</f>
        <v>13.644789661827886</v>
      </c>
      <c r="Y76" s="32">
        <f>IF(Y42=0,0,Y42/TrRoad_act!Y46*100)</f>
        <v>13.525190174867729</v>
      </c>
      <c r="DA76" s="173" t="s">
        <v>688</v>
      </c>
    </row>
    <row r="77" spans="1:105" ht="11.45" customHeight="1" x14ac:dyDescent="0.25">
      <c r="A77" s="136" t="s">
        <v>153</v>
      </c>
      <c r="B77" s="141">
        <f>IF(B43=0,0,B43/TrRoad_act!B47*100)</f>
        <v>10.423760461463615</v>
      </c>
      <c r="C77" s="141">
        <f>IF(C43=0,0,C43/TrRoad_act!C47*100)</f>
        <v>10.564847120346167</v>
      </c>
      <c r="D77" s="141">
        <f>IF(D43=0,0,D43/TrRoad_act!D47*100)</f>
        <v>10.500978675246674</v>
      </c>
      <c r="E77" s="141">
        <f>IF(E43=0,0,E43/TrRoad_act!E47*100)</f>
        <v>10.41332549136129</v>
      </c>
      <c r="F77" s="141">
        <f>IF(F43=0,0,F43/TrRoad_act!F47*100)</f>
        <v>10.025317166090977</v>
      </c>
      <c r="G77" s="141">
        <f>IF(G43=0,0,G43/TrRoad_act!G47*100)</f>
        <v>10.195761574627348</v>
      </c>
      <c r="H77" s="141">
        <f>IF(H43=0,0,H43/TrRoad_act!H47*100)</f>
        <v>10.20006113825654</v>
      </c>
      <c r="I77" s="141">
        <f>IF(I43=0,0,I43/TrRoad_act!I47*100)</f>
        <v>9.9592376838636127</v>
      </c>
      <c r="J77" s="141">
        <f>IF(J43=0,0,J43/TrRoad_act!J47*100)</f>
        <v>9.9937791179060831</v>
      </c>
      <c r="K77" s="141">
        <f>IF(K43=0,0,K43/TrRoad_act!K47*100)</f>
        <v>10.020751754912787</v>
      </c>
      <c r="L77" s="141">
        <f>IF(L43=0,0,L43/TrRoad_act!L47*100)</f>
        <v>9.8811137020131579</v>
      </c>
      <c r="M77" s="141">
        <f>IF(M43=0,0,M43/TrRoad_act!M47*100)</f>
        <v>9.9069773996126553</v>
      </c>
      <c r="N77" s="141">
        <f>IF(N43=0,0,N43/TrRoad_act!N47*100)</f>
        <v>10.102007535940368</v>
      </c>
      <c r="O77" s="141">
        <f>IF(O43=0,0,O43/TrRoad_act!O47*100)</f>
        <v>9.8084011060204332</v>
      </c>
      <c r="P77" s="141">
        <f>IF(P43=0,0,P43/TrRoad_act!P47*100)</f>
        <v>9.67258049624715</v>
      </c>
      <c r="Q77" s="141">
        <f>IF(Q43=0,0,Q43/TrRoad_act!Q47*100)</f>
        <v>9.5320116598730955</v>
      </c>
      <c r="R77" s="141">
        <f>IF(R43=0,0,R43/TrRoad_act!R47*100)</f>
        <v>9.5638694677470788</v>
      </c>
      <c r="S77" s="141">
        <f>IF(S43=0,0,S43/TrRoad_act!S47*100)</f>
        <v>9.5230714805966556</v>
      </c>
      <c r="T77" s="141">
        <f>IF(T43=0,0,T43/TrRoad_act!T47*100)</f>
        <v>9.3101111289022267</v>
      </c>
      <c r="U77" s="141">
        <f>IF(U43=0,0,U43/TrRoad_act!U47*100)</f>
        <v>9.1617413575158118</v>
      </c>
      <c r="V77" s="141">
        <f>IF(V43=0,0,V43/TrRoad_act!V47*100)</f>
        <v>8.9961818906055431</v>
      </c>
      <c r="W77" s="141">
        <f>IF(W43=0,0,W43/TrRoad_act!W47*100)</f>
        <v>8.9627763795572211</v>
      </c>
      <c r="X77" s="141">
        <f>IF(X43=0,0,X43/TrRoad_act!X47*100)</f>
        <v>9.0108373257012868</v>
      </c>
      <c r="Y77" s="141">
        <f>IF(Y43=0,0,Y43/TrRoad_act!Y47*100)</f>
        <v>8.8672220035173801</v>
      </c>
      <c r="DA77" s="174" t="s">
        <v>689</v>
      </c>
    </row>
    <row r="78" spans="1:105" ht="11.45" customHeight="1" x14ac:dyDescent="0.25">
      <c r="A78" s="111" t="s">
        <v>110</v>
      </c>
      <c r="B78" s="96">
        <f>IF(B44=0,0,B44/TrRoad_act!B48*100)</f>
        <v>12.306774045065797</v>
      </c>
      <c r="C78" s="96">
        <f>IF(C44=0,0,C44/TrRoad_act!C48*100)</f>
        <v>12.061296439239703</v>
      </c>
      <c r="D78" s="96">
        <f>IF(D44=0,0,D44/TrRoad_act!D48*100)</f>
        <v>11.815326459509791</v>
      </c>
      <c r="E78" s="96">
        <f>IF(E44=0,0,E44/TrRoad_act!E48*100)</f>
        <v>11.515398636862717</v>
      </c>
      <c r="F78" s="96">
        <f>IF(F44=0,0,F44/TrRoad_act!F48*100)</f>
        <v>11.211983279782274</v>
      </c>
      <c r="G78" s="96">
        <f>IF(G44=0,0,G44/TrRoad_act!G48*100)</f>
        <v>10.973772761873501</v>
      </c>
      <c r="H78" s="96">
        <f>IF(H44=0,0,H44/TrRoad_act!H48*100)</f>
        <v>10.637046583523373</v>
      </c>
      <c r="I78" s="96">
        <f>IF(I44=0,0,I44/TrRoad_act!I48*100)</f>
        <v>10.415938436524295</v>
      </c>
      <c r="J78" s="96">
        <f>IF(J44=0,0,J44/TrRoad_act!J48*100)</f>
        <v>10.250048452301884</v>
      </c>
      <c r="K78" s="96">
        <f>IF(K44=0,0,K44/TrRoad_act!K48*100)</f>
        <v>10.08572921826223</v>
      </c>
      <c r="L78" s="96">
        <f>IF(L44=0,0,L44/TrRoad_act!L48*100)</f>
        <v>9.9482823563744951</v>
      </c>
      <c r="M78" s="96">
        <f>IF(M44=0,0,M44/TrRoad_act!M48*100)</f>
        <v>9.7950874652033395</v>
      </c>
      <c r="N78" s="96">
        <f>IF(N44=0,0,N44/TrRoad_act!N48*100)</f>
        <v>9.6338932811953768</v>
      </c>
      <c r="O78" s="96">
        <f>IF(O44=0,0,O44/TrRoad_act!O48*100)</f>
        <v>9.6334696908571029</v>
      </c>
      <c r="P78" s="96">
        <f>IF(P44=0,0,P44/TrRoad_act!P48*100)</f>
        <v>9.4804949734073141</v>
      </c>
      <c r="Q78" s="96">
        <f>IF(Q44=0,0,Q44/TrRoad_act!Q48*100)</f>
        <v>9.3106918345078125</v>
      </c>
      <c r="R78" s="96">
        <f>IF(R44=0,0,R44/TrRoad_act!R48*100)</f>
        <v>9.1169145403961576</v>
      </c>
      <c r="S78" s="96">
        <f>IF(S44=0,0,S44/TrRoad_act!S48*100)</f>
        <v>8.8754340477880174</v>
      </c>
      <c r="T78" s="96">
        <f>IF(T44=0,0,T44/TrRoad_act!T48*100)</f>
        <v>8.730928188108221</v>
      </c>
      <c r="U78" s="96">
        <f>IF(U44=0,0,U44/TrRoad_act!U48*100)</f>
        <v>8.6773106243959059</v>
      </c>
      <c r="V78" s="96">
        <f>IF(V44=0,0,V44/TrRoad_act!V48*100)</f>
        <v>8.6338821619839656</v>
      </c>
      <c r="W78" s="96">
        <f>IF(W44=0,0,W44/TrRoad_act!W48*100)</f>
        <v>8.5093808607294648</v>
      </c>
      <c r="X78" s="96">
        <f>IF(X44=0,0,X44/TrRoad_act!X48*100)</f>
        <v>8.3403870171086325</v>
      </c>
      <c r="Y78" s="96">
        <f>IF(Y44=0,0,Y44/TrRoad_act!Y48*100)</f>
        <v>8.2120793478379674</v>
      </c>
      <c r="DA78" s="171" t="s">
        <v>690</v>
      </c>
    </row>
    <row r="79" spans="1:105" ht="11.45" customHeight="1" x14ac:dyDescent="0.25">
      <c r="A79" s="111" t="s">
        <v>111</v>
      </c>
      <c r="B79" s="96">
        <f>IF(B46=0,0,B46/TrRoad_act!B49*100)</f>
        <v>9.4133470209224122</v>
      </c>
      <c r="C79" s="96">
        <f>IF(C46=0,0,C46/TrRoad_act!C49*100)</f>
        <v>9.7866815204500899</v>
      </c>
      <c r="D79" s="96">
        <f>IF(D46=0,0,D46/TrRoad_act!D49*100)</f>
        <v>9.8441448727222731</v>
      </c>
      <c r="E79" s="96">
        <f>IF(E46=0,0,E46/TrRoad_act!E49*100)</f>
        <v>9.8852044114823769</v>
      </c>
      <c r="F79" s="96">
        <f>IF(F46=0,0,F46/TrRoad_act!F49*100)</f>
        <v>9.4803848455073645</v>
      </c>
      <c r="G79" s="96">
        <f>IF(G46=0,0,G46/TrRoad_act!G49*100)</f>
        <v>9.8521782151652886</v>
      </c>
      <c r="H79" s="96">
        <f>IF(H46=0,0,H46/TrRoad_act!H49*100)</f>
        <v>10.01675721953908</v>
      </c>
      <c r="I79" s="96">
        <f>IF(I46=0,0,I46/TrRoad_act!I49*100)</f>
        <v>9.7756503795614211</v>
      </c>
      <c r="J79" s="96">
        <f>IF(J46=0,0,J46/TrRoad_act!J49*100)</f>
        <v>9.9086752356017875</v>
      </c>
      <c r="K79" s="96">
        <f>IF(K46=0,0,K46/TrRoad_act!K49*100)</f>
        <v>10.000449139820196</v>
      </c>
      <c r="L79" s="96">
        <f>IF(L46=0,0,L46/TrRoad_act!L49*100)</f>
        <v>9.8616511144961052</v>
      </c>
      <c r="M79" s="96">
        <f>IF(M46=0,0,M46/TrRoad_act!M49*100)</f>
        <v>9.9358497781879223</v>
      </c>
      <c r="N79" s="96">
        <f>IF(N46=0,0,N46/TrRoad_act!N49*100)</f>
        <v>10.212015005554127</v>
      </c>
      <c r="O79" s="96">
        <f>IF(O46=0,0,O46/TrRoad_act!O49*100)</f>
        <v>9.8431491268467344</v>
      </c>
      <c r="P79" s="96">
        <f>IF(P46=0,0,P46/TrRoad_act!P49*100)</f>
        <v>9.7043379571963477</v>
      </c>
      <c r="Q79" s="96">
        <f>IF(Q46=0,0,Q46/TrRoad_act!Q49*100)</f>
        <v>9.5618101134784546</v>
      </c>
      <c r="R79" s="96">
        <f>IF(R46=0,0,R46/TrRoad_act!R49*100)</f>
        <v>9.6260190826147305</v>
      </c>
      <c r="S79" s="96">
        <f>IF(S46=0,0,S46/TrRoad_act!S49*100)</f>
        <v>9.609076195819533</v>
      </c>
      <c r="T79" s="96">
        <f>IF(T46=0,0,T46/TrRoad_act!T49*100)</f>
        <v>9.3810613294634937</v>
      </c>
      <c r="U79" s="96">
        <f>IF(U46=0,0,U46/TrRoad_act!U49*100)</f>
        <v>9.2154472495356945</v>
      </c>
      <c r="V79" s="96">
        <f>IF(V46=0,0,V46/TrRoad_act!V49*100)</f>
        <v>9.0337337419635446</v>
      </c>
      <c r="W79" s="96">
        <f>IF(W46=0,0,W46/TrRoad_act!W49*100)</f>
        <v>9.0070417178465227</v>
      </c>
      <c r="X79" s="96">
        <f>IF(X46=0,0,X46/TrRoad_act!X49*100)</f>
        <v>9.0734802184221302</v>
      </c>
      <c r="Y79" s="96">
        <f>IF(Y46=0,0,Y46/TrRoad_act!Y49*100)</f>
        <v>8.9294160012221955</v>
      </c>
      <c r="DA79" s="171" t="s">
        <v>691</v>
      </c>
    </row>
    <row r="80" spans="1:105" ht="11.45" customHeight="1" x14ac:dyDescent="0.25">
      <c r="A80" s="111" t="s">
        <v>112</v>
      </c>
      <c r="B80" s="96">
        <f>IF(B48=0,0,B48/TrRoad_act!B50*100)</f>
        <v>0</v>
      </c>
      <c r="C80" s="96">
        <f>IF(C48=0,0,C48/TrRoad_act!C50*100)</f>
        <v>0</v>
      </c>
      <c r="D80" s="96">
        <f>IF(D48=0,0,D48/TrRoad_act!D50*100)</f>
        <v>0</v>
      </c>
      <c r="E80" s="96">
        <f>IF(E48=0,0,E48/TrRoad_act!E50*100)</f>
        <v>0</v>
      </c>
      <c r="F80" s="96">
        <f>IF(F48=0,0,F48/TrRoad_act!F50*100)</f>
        <v>0</v>
      </c>
      <c r="G80" s="96">
        <f>IF(G48=0,0,G48/TrRoad_act!G50*100)</f>
        <v>0</v>
      </c>
      <c r="H80" s="96">
        <f>IF(H48=0,0,H48/TrRoad_act!H50*100)</f>
        <v>0</v>
      </c>
      <c r="I80" s="96">
        <f>IF(I48=0,0,I48/TrRoad_act!I50*100)</f>
        <v>0</v>
      </c>
      <c r="J80" s="96">
        <f>IF(J48=0,0,J48/TrRoad_act!J50*100)</f>
        <v>17.899218854590792</v>
      </c>
      <c r="K80" s="96">
        <f>IF(K48=0,0,K48/TrRoad_act!K50*100)</f>
        <v>17.899218854590789</v>
      </c>
      <c r="L80" s="96">
        <f>IF(L48=0,0,L48/TrRoad_act!L50*100)</f>
        <v>17.899218854590792</v>
      </c>
      <c r="M80" s="96">
        <f>IF(M48=0,0,M48/TrRoad_act!M50*100)</f>
        <v>17.1330099031942</v>
      </c>
      <c r="N80" s="96">
        <f>IF(N48=0,0,N48/TrRoad_act!N50*100)</f>
        <v>16.215770619695114</v>
      </c>
      <c r="O80" s="96">
        <f>IF(O48=0,0,O48/TrRoad_act!O50*100)</f>
        <v>16.215770619695114</v>
      </c>
      <c r="P80" s="96">
        <f>IF(P48=0,0,P48/TrRoad_act!P50*100)</f>
        <v>14.977457468443422</v>
      </c>
      <c r="Q80" s="96">
        <f>IF(Q48=0,0,Q48/TrRoad_act!Q50*100)</f>
        <v>14.477078811743921</v>
      </c>
      <c r="R80" s="96">
        <f>IF(R48=0,0,R48/TrRoad_act!R50*100)</f>
        <v>12.552441362112571</v>
      </c>
      <c r="S80" s="96">
        <f>IF(S48=0,0,S48/TrRoad_act!S50*100)</f>
        <v>12.552441362112567</v>
      </c>
      <c r="T80" s="96">
        <f>IF(T48=0,0,T48/TrRoad_act!T50*100)</f>
        <v>12.305171401513917</v>
      </c>
      <c r="U80" s="96">
        <f>IF(U48=0,0,U48/TrRoad_act!U50*100)</f>
        <v>12.305171401513915</v>
      </c>
      <c r="V80" s="96">
        <f>IF(V48=0,0,V48/TrRoad_act!V50*100)</f>
        <v>12.015106169183888</v>
      </c>
      <c r="W80" s="96">
        <f>IF(W48=0,0,W48/TrRoad_act!W50*100)</f>
        <v>11.069877230464092</v>
      </c>
      <c r="X80" s="96">
        <f>IF(X48=0,0,X48/TrRoad_act!X50*100)</f>
        <v>10.091703453625946</v>
      </c>
      <c r="Y80" s="96">
        <f>IF(Y48=0,0,Y48/TrRoad_act!Y50*100)</f>
        <v>9.5894670597616489</v>
      </c>
      <c r="DA80" s="171" t="s">
        <v>692</v>
      </c>
    </row>
    <row r="81" spans="1:105" ht="11.45" customHeight="1" x14ac:dyDescent="0.25">
      <c r="A81" s="111" t="s">
        <v>113</v>
      </c>
      <c r="B81" s="96">
        <f>IF(B49=0,0,B49/TrRoad_act!B51*100)</f>
        <v>0</v>
      </c>
      <c r="C81" s="96">
        <f>IF(C49=0,0,C49/TrRoad_act!C51*100)</f>
        <v>0</v>
      </c>
      <c r="D81" s="96">
        <f>IF(D49=0,0,D49/TrRoad_act!D51*100)</f>
        <v>0</v>
      </c>
      <c r="E81" s="96">
        <f>IF(E49=0,0,E49/TrRoad_act!E51*100)</f>
        <v>0</v>
      </c>
      <c r="F81" s="96">
        <f>IF(F49=0,0,F49/TrRoad_act!F51*100)</f>
        <v>0</v>
      </c>
      <c r="G81" s="96">
        <f>IF(G49=0,0,G49/TrRoad_act!G51*100)</f>
        <v>0</v>
      </c>
      <c r="H81" s="96">
        <f>IF(H49=0,0,H49/TrRoad_act!H51*100)</f>
        <v>0</v>
      </c>
      <c r="I81" s="96">
        <f>IF(I49=0,0,I49/TrRoad_act!I51*100)</f>
        <v>0</v>
      </c>
      <c r="J81" s="96">
        <f>IF(J49=0,0,J49/TrRoad_act!J51*100)</f>
        <v>0</v>
      </c>
      <c r="K81" s="96">
        <f>IF(K49=0,0,K49/TrRoad_act!K51*100)</f>
        <v>0</v>
      </c>
      <c r="L81" s="96">
        <f>IF(L49=0,0,L49/TrRoad_act!L51*100)</f>
        <v>0</v>
      </c>
      <c r="M81" s="96">
        <f>IF(M49=0,0,M49/TrRoad_act!M51*100)</f>
        <v>0</v>
      </c>
      <c r="N81" s="96">
        <f>IF(N49=0,0,N49/TrRoad_act!N51*100)</f>
        <v>0</v>
      </c>
      <c r="O81" s="96">
        <f>IF(O49=0,0,O49/TrRoad_act!O51*100)</f>
        <v>0</v>
      </c>
      <c r="P81" s="96">
        <f>IF(P49=0,0,P49/TrRoad_act!P51*100)</f>
        <v>0</v>
      </c>
      <c r="Q81" s="96">
        <f>IF(Q49=0,0,Q49/TrRoad_act!Q51*100)</f>
        <v>0</v>
      </c>
      <c r="R81" s="96">
        <f>IF(R49=0,0,R49/TrRoad_act!R51*100)</f>
        <v>0</v>
      </c>
      <c r="S81" s="96">
        <f>IF(S49=0,0,S49/TrRoad_act!S51*100)</f>
        <v>0</v>
      </c>
      <c r="T81" s="96">
        <f>IF(T49=0,0,T49/TrRoad_act!T51*100)</f>
        <v>0</v>
      </c>
      <c r="U81" s="96">
        <f>IF(U49=0,0,U49/TrRoad_act!U51*100)</f>
        <v>0</v>
      </c>
      <c r="V81" s="96">
        <f>IF(V49=0,0,V49/TrRoad_act!V51*100)</f>
        <v>0</v>
      </c>
      <c r="W81" s="96">
        <f>IF(W49=0,0,W49/TrRoad_act!W51*100)</f>
        <v>0</v>
      </c>
      <c r="X81" s="96">
        <f>IF(X49=0,0,X49/TrRoad_act!X51*100)</f>
        <v>0</v>
      </c>
      <c r="Y81" s="96">
        <f>IF(Y49=0,0,Y49/TrRoad_act!Y51*100)</f>
        <v>0</v>
      </c>
      <c r="DA81" s="171" t="s">
        <v>693</v>
      </c>
    </row>
    <row r="82" spans="1:105" ht="11.45" customHeight="1" x14ac:dyDescent="0.25">
      <c r="A82" s="111" t="s">
        <v>115</v>
      </c>
      <c r="B82" s="96">
        <f>IF(B51=0,0,B51/TrRoad_act!B52*100)</f>
        <v>0</v>
      </c>
      <c r="C82" s="96">
        <f>IF(C51=0,0,C51/TrRoad_act!C52*100)</f>
        <v>0</v>
      </c>
      <c r="D82" s="96">
        <f>IF(D51=0,0,D51/TrRoad_act!D52*100)</f>
        <v>0</v>
      </c>
      <c r="E82" s="96">
        <f>IF(E51=0,0,E51/TrRoad_act!E52*100)</f>
        <v>0</v>
      </c>
      <c r="F82" s="96">
        <f>IF(F51=0,0,F51/TrRoad_act!F52*100)</f>
        <v>0</v>
      </c>
      <c r="G82" s="96">
        <f>IF(G51=0,0,G51/TrRoad_act!G52*100)</f>
        <v>0</v>
      </c>
      <c r="H82" s="96">
        <f>IF(H51=0,0,H51/TrRoad_act!H52*100)</f>
        <v>0</v>
      </c>
      <c r="I82" s="96">
        <f>IF(I51=0,0,I51/TrRoad_act!I52*100)</f>
        <v>0</v>
      </c>
      <c r="J82" s="96">
        <f>IF(J51=0,0,J51/TrRoad_act!J52*100)</f>
        <v>0</v>
      </c>
      <c r="K82" s="96">
        <f>IF(K51=0,0,K51/TrRoad_act!K52*100)</f>
        <v>0</v>
      </c>
      <c r="L82" s="96">
        <f>IF(L51=0,0,L51/TrRoad_act!L52*100)</f>
        <v>1.632390236347776</v>
      </c>
      <c r="M82" s="96">
        <f>IF(M51=0,0,M51/TrRoad_act!M52*100)</f>
        <v>1.634787716431636</v>
      </c>
      <c r="N82" s="96">
        <f>IF(N51=0,0,N51/TrRoad_act!N52*100)</f>
        <v>1.6415457193479071</v>
      </c>
      <c r="O82" s="96">
        <f>IF(O51=0,0,O51/TrRoad_act!O52*100)</f>
        <v>1.6550295668350392</v>
      </c>
      <c r="P82" s="96">
        <f>IF(P51=0,0,P51/TrRoad_act!P52*100)</f>
        <v>1.6666114498195308</v>
      </c>
      <c r="Q82" s="96">
        <f>IF(Q51=0,0,Q51/TrRoad_act!Q52*100)</f>
        <v>1.6692022722036064</v>
      </c>
      <c r="R82" s="96">
        <f>IF(R51=0,0,R51/TrRoad_act!R52*100)</f>
        <v>1.6969168975663669</v>
      </c>
      <c r="S82" s="96">
        <f>IF(S51=0,0,S51/TrRoad_act!S52*100)</f>
        <v>1.7390447483057649</v>
      </c>
      <c r="T82" s="96">
        <f>IF(T51=0,0,T51/TrRoad_act!T52*100)</f>
        <v>1.7693277611351119</v>
      </c>
      <c r="U82" s="96">
        <f>IF(U51=0,0,U51/TrRoad_act!U52*100)</f>
        <v>1.86797761315102</v>
      </c>
      <c r="V82" s="96">
        <f>IF(V51=0,0,V51/TrRoad_act!V52*100)</f>
        <v>2.0095756752470892</v>
      </c>
      <c r="W82" s="96">
        <f>IF(W51=0,0,W51/TrRoad_act!W52*100)</f>
        <v>2.2882329120988385</v>
      </c>
      <c r="X82" s="96">
        <f>IF(X51=0,0,X51/TrRoad_act!X52*100)</f>
        <v>2.6405789986884267</v>
      </c>
      <c r="Y82" s="96">
        <f>IF(Y51=0,0,Y51/TrRoad_act!Y52*100)</f>
        <v>2.8415744251742461</v>
      </c>
      <c r="DA82" s="171" t="s">
        <v>694</v>
      </c>
    </row>
    <row r="83" spans="1:105" ht="11.45" customHeight="1" x14ac:dyDescent="0.25">
      <c r="A83" s="109" t="s">
        <v>154</v>
      </c>
      <c r="B83" s="130">
        <f>IF(B52=0,0,B52/TrRoad_act!B53*100)</f>
        <v>37.896552722463603</v>
      </c>
      <c r="C83" s="130">
        <f>IF(C52=0,0,C52/TrRoad_act!C53*100)</f>
        <v>51.96462053778658</v>
      </c>
      <c r="D83" s="130">
        <f>IF(D52=0,0,D52/TrRoad_act!D53*100)</f>
        <v>55.242528250942101</v>
      </c>
      <c r="E83" s="130">
        <f>IF(E52=0,0,E52/TrRoad_act!E53*100)</f>
        <v>55.745020961418746</v>
      </c>
      <c r="F83" s="130">
        <f>IF(F52=0,0,F52/TrRoad_act!F53*100)</f>
        <v>45.691293946160137</v>
      </c>
      <c r="G83" s="130">
        <f>IF(G52=0,0,G52/TrRoad_act!G53*100)</f>
        <v>32.306205377678744</v>
      </c>
      <c r="H83" s="130">
        <f>IF(H52=0,0,H52/TrRoad_act!H53*100)</f>
        <v>38.517397348170825</v>
      </c>
      <c r="I83" s="130">
        <f>IF(I52=0,0,I52/TrRoad_act!I53*100)</f>
        <v>32.138186372384531</v>
      </c>
      <c r="J83" s="130">
        <f>IF(J52=0,0,J52/TrRoad_act!J53*100)</f>
        <v>35.793437076504887</v>
      </c>
      <c r="K83" s="130">
        <f>IF(K52=0,0,K52/TrRoad_act!K53*100)</f>
        <v>42.504501430707741</v>
      </c>
      <c r="L83" s="130">
        <f>IF(L52=0,0,L52/TrRoad_act!L53*100)</f>
        <v>49.606449917865241</v>
      </c>
      <c r="M83" s="130">
        <f>IF(M52=0,0,M52/TrRoad_act!M53*100)</f>
        <v>52.281389821897349</v>
      </c>
      <c r="N83" s="130">
        <f>IF(N52=0,0,N52/TrRoad_act!N53*100)</f>
        <v>43.730115548043685</v>
      </c>
      <c r="O83" s="130">
        <f>IF(O52=0,0,O52/TrRoad_act!O53*100)</f>
        <v>42.424281169616926</v>
      </c>
      <c r="P83" s="130">
        <f>IF(P52=0,0,P52/TrRoad_act!P53*100)</f>
        <v>40.113143553907385</v>
      </c>
      <c r="Q83" s="130">
        <f>IF(Q52=0,0,Q52/TrRoad_act!Q53*100)</f>
        <v>37.138561741630816</v>
      </c>
      <c r="R83" s="130">
        <f>IF(R52=0,0,R52/TrRoad_act!R53*100)</f>
        <v>40.659953037647021</v>
      </c>
      <c r="S83" s="130">
        <f>IF(S52=0,0,S52/TrRoad_act!S53*100)</f>
        <v>42.995131886995573</v>
      </c>
      <c r="T83" s="130">
        <f>IF(T52=0,0,T52/TrRoad_act!T53*100)</f>
        <v>38.883706547488174</v>
      </c>
      <c r="U83" s="130">
        <f>IF(U52=0,0,U52/TrRoad_act!U53*100)</f>
        <v>38.30737115443997</v>
      </c>
      <c r="V83" s="130">
        <f>IF(V52=0,0,V52/TrRoad_act!V53*100)</f>
        <v>39.207325371179593</v>
      </c>
      <c r="W83" s="130">
        <f>IF(W52=0,0,W52/TrRoad_act!W53*100)</f>
        <v>36.235121423655386</v>
      </c>
      <c r="X83" s="130">
        <f>IF(X52=0,0,X52/TrRoad_act!X53*100)</f>
        <v>42.970054746571307</v>
      </c>
      <c r="Y83" s="130">
        <f>IF(Y52=0,0,Y52/TrRoad_act!Y53*100)</f>
        <v>42.941116188015052</v>
      </c>
      <c r="DA83" s="176" t="s">
        <v>695</v>
      </c>
    </row>
    <row r="84" spans="1:105" ht="11.45" customHeight="1" x14ac:dyDescent="0.25">
      <c r="A84" s="128" t="s">
        <v>27</v>
      </c>
      <c r="B84" s="97">
        <f>IF(B53=0,0,B53/TrRoad_act!B54*100)</f>
        <v>37.983169318875468</v>
      </c>
      <c r="C84" s="97">
        <f>IF(C53=0,0,C53/TrRoad_act!C54*100)</f>
        <v>43.382702845582088</v>
      </c>
      <c r="D84" s="97">
        <f>IF(D53=0,0,D53/TrRoad_act!D54*100)</f>
        <v>44.574465883122734</v>
      </c>
      <c r="E84" s="97">
        <f>IF(E53=0,0,E53/TrRoad_act!E54*100)</f>
        <v>44.578752069638846</v>
      </c>
      <c r="F84" s="97">
        <f>IF(F53=0,0,F53/TrRoad_act!F54*100)</f>
        <v>40.583165442872421</v>
      </c>
      <c r="G84" s="97">
        <f>IF(G53=0,0,G53/TrRoad_act!G54*100)</f>
        <v>35.094957264305101</v>
      </c>
      <c r="H84" s="97">
        <f>IF(H53=0,0,H53/TrRoad_act!H54*100)</f>
        <v>37.511619763081491</v>
      </c>
      <c r="I84" s="97">
        <f>IF(I53=0,0,I53/TrRoad_act!I54*100)</f>
        <v>34.923262425871506</v>
      </c>
      <c r="J84" s="97">
        <f>IF(J53=0,0,J53/TrRoad_act!J54*100)</f>
        <v>36.368627542097585</v>
      </c>
      <c r="K84" s="97">
        <f>IF(K53=0,0,K53/TrRoad_act!K54*100)</f>
        <v>39.086810446939438</v>
      </c>
      <c r="L84" s="97">
        <f>IF(L53=0,0,L53/TrRoad_act!L54*100)</f>
        <v>41.869278845719641</v>
      </c>
      <c r="M84" s="97">
        <f>IF(M53=0,0,M53/TrRoad_act!M54*100)</f>
        <v>42.861664196499241</v>
      </c>
      <c r="N84" s="97">
        <f>IF(N53=0,0,N53/TrRoad_act!N54*100)</f>
        <v>39.270704495828618</v>
      </c>
      <c r="O84" s="97">
        <f>IF(O53=0,0,O53/TrRoad_act!O54*100)</f>
        <v>38.507207178742817</v>
      </c>
      <c r="P84" s="97">
        <f>IF(P53=0,0,P53/TrRoad_act!P54*100)</f>
        <v>37.469038325406061</v>
      </c>
      <c r="Q84" s="97">
        <f>IF(Q53=0,0,Q53/TrRoad_act!Q54*100)</f>
        <v>36.155672457411612</v>
      </c>
      <c r="R84" s="97">
        <f>IF(R53=0,0,R53/TrRoad_act!R54*100)</f>
        <v>37.248276261970375</v>
      </c>
      <c r="S84" s="97">
        <f>IF(S53=0,0,S53/TrRoad_act!S54*100)</f>
        <v>37.766712692658253</v>
      </c>
      <c r="T84" s="97">
        <f>IF(T53=0,0,T53/TrRoad_act!T54*100)</f>
        <v>35.715710059781216</v>
      </c>
      <c r="U84" s="97">
        <f>IF(U53=0,0,U53/TrRoad_act!U54*100)</f>
        <v>35.074598945169733</v>
      </c>
      <c r="V84" s="97">
        <f>IF(V53=0,0,V53/TrRoad_act!V54*100)</f>
        <v>35.300872091643122</v>
      </c>
      <c r="W84" s="97">
        <f>IF(W53=0,0,W53/TrRoad_act!W54*100)</f>
        <v>33.652158124333205</v>
      </c>
      <c r="X84" s="97">
        <f>IF(X53=0,0,X53/TrRoad_act!X54*100)</f>
        <v>35.886304359296631</v>
      </c>
      <c r="Y84" s="97">
        <f>IF(Y53=0,0,Y53/TrRoad_act!Y54*100)</f>
        <v>35.487868303404419</v>
      </c>
      <c r="DA84" s="175" t="s">
        <v>696</v>
      </c>
    </row>
    <row r="85" spans="1:105" ht="11.45" customHeight="1" x14ac:dyDescent="0.25">
      <c r="A85" s="138" t="s">
        <v>116</v>
      </c>
      <c r="B85" s="98">
        <f>IF(B55=0,0,B55/TrRoad_act!B55*100)</f>
        <v>37.805976348103876</v>
      </c>
      <c r="C85" s="98">
        <f>IF(C55=0,0,C55/TrRoad_act!C55*100)</f>
        <v>60.983140287339111</v>
      </c>
      <c r="D85" s="98">
        <f>IF(D55=0,0,D55/TrRoad_act!D55*100)</f>
        <v>66.234014230924302</v>
      </c>
      <c r="E85" s="98">
        <f>IF(E55=0,0,E55/TrRoad_act!E55*100)</f>
        <v>69.724145054071684</v>
      </c>
      <c r="F85" s="98">
        <f>IF(F55=0,0,F55/TrRoad_act!F55*100)</f>
        <v>51.502028755987439</v>
      </c>
      <c r="G85" s="98">
        <f>IF(G55=0,0,G55/TrRoad_act!G55*100)</f>
        <v>28.248740647286642</v>
      </c>
      <c r="H85" s="98">
        <f>IF(H55=0,0,H55/TrRoad_act!H55*100)</f>
        <v>40.813549829398369</v>
      </c>
      <c r="I85" s="98">
        <f>IF(I55=0,0,I55/TrRoad_act!I55*100)</f>
        <v>25.872752919689461</v>
      </c>
      <c r="J85" s="98">
        <f>IF(J55=0,0,J55/TrRoad_act!J55*100)</f>
        <v>34.16150296158176</v>
      </c>
      <c r="K85" s="98">
        <f>IF(K55=0,0,K55/TrRoad_act!K55*100)</f>
        <v>58.399762481177397</v>
      </c>
      <c r="L85" s="98">
        <f>IF(L55=0,0,L55/TrRoad_act!L55*100)</f>
        <v>75.013394184501308</v>
      </c>
      <c r="M85" s="98">
        <f>IF(M55=0,0,M55/TrRoad_act!M55*100)</f>
        <v>82.546421818365374</v>
      </c>
      <c r="N85" s="98">
        <f>IF(N55=0,0,N55/TrRoad_act!N55*100)</f>
        <v>56.754722545161314</v>
      </c>
      <c r="O85" s="98">
        <f>IF(O55=0,0,O55/TrRoad_act!O55*100)</f>
        <v>53.238292780806326</v>
      </c>
      <c r="P85" s="98">
        <f>IF(P55=0,0,P55/TrRoad_act!P55*100)</f>
        <v>47.386765855561556</v>
      </c>
      <c r="Q85" s="98">
        <f>IF(Q55=0,0,Q55/TrRoad_act!Q55*100)</f>
        <v>39.815036432529702</v>
      </c>
      <c r="R85" s="98">
        <f>IF(R55=0,0,R55/TrRoad_act!R55*100)</f>
        <v>49.660766711614727</v>
      </c>
      <c r="S85" s="98">
        <f>IF(S55=0,0,S55/TrRoad_act!S55*100)</f>
        <v>55.166452639170174</v>
      </c>
      <c r="T85" s="98">
        <f>IF(T55=0,0,T55/TrRoad_act!T55*100)</f>
        <v>47.277671748361605</v>
      </c>
      <c r="U85" s="98">
        <f>IF(U55=0,0,U55/TrRoad_act!U55*100)</f>
        <v>48.052117915097149</v>
      </c>
      <c r="V85" s="98">
        <f>IF(V55=0,0,V55/TrRoad_act!V55*100)</f>
        <v>53.992556119238856</v>
      </c>
      <c r="W85" s="98">
        <f>IF(W55=0,0,W55/TrRoad_act!W55*100)</f>
        <v>44.162658886007442</v>
      </c>
      <c r="X85" s="98">
        <f>IF(X55=0,0,X55/TrRoad_act!X55*100)</f>
        <v>66.488800511395098</v>
      </c>
      <c r="Y85" s="98">
        <f>IF(Y55=0,0,Y55/TrRoad_act!Y55*100)</f>
        <v>67.189805061228654</v>
      </c>
      <c r="DA85" s="178" t="s">
        <v>697</v>
      </c>
    </row>
    <row r="86" spans="1:105" x14ac:dyDescent="0.25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DA86" s="171"/>
    </row>
    <row r="87" spans="1:105" ht="11.45" customHeight="1" x14ac:dyDescent="0.25">
      <c r="A87" s="53" t="s">
        <v>74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DA87" s="172"/>
    </row>
    <row r="88" spans="1:105" ht="11.45" customHeight="1" x14ac:dyDescent="0.25">
      <c r="A88" s="27" t="s">
        <v>155</v>
      </c>
      <c r="B88" s="29">
        <f>IF(TrRoad_act!B4=0,0,B18/TrRoad_act!B4*1000)</f>
        <v>30.393374760739473</v>
      </c>
      <c r="C88" s="29">
        <f>IF(TrRoad_act!C4=0,0,C18/TrRoad_act!C4*1000)</f>
        <v>38.57997323117101</v>
      </c>
      <c r="D88" s="29">
        <f>IF(TrRoad_act!D4=0,0,D18/TrRoad_act!D4*1000)</f>
        <v>37.732862511160334</v>
      </c>
      <c r="E88" s="29">
        <f>IF(TrRoad_act!E4=0,0,E18/TrRoad_act!E4*1000)</f>
        <v>37.498431814203236</v>
      </c>
      <c r="F88" s="29">
        <f>IF(TrRoad_act!F4=0,0,F18/TrRoad_act!F4*1000)</f>
        <v>39.943892434756101</v>
      </c>
      <c r="G88" s="29">
        <f>IF(TrRoad_act!G4=0,0,G18/TrRoad_act!G4*1000)</f>
        <v>36.003046044194875</v>
      </c>
      <c r="H88" s="29">
        <f>IF(TrRoad_act!H4=0,0,H18/TrRoad_act!H4*1000)</f>
        <v>34.024504078058023</v>
      </c>
      <c r="I88" s="29">
        <f>IF(TrRoad_act!I4=0,0,I18/TrRoad_act!I4*1000)</f>
        <v>34.708878260371357</v>
      </c>
      <c r="J88" s="29">
        <f>IF(TrRoad_act!J4=0,0,J18/TrRoad_act!J4*1000)</f>
        <v>35.830763487355036</v>
      </c>
      <c r="K88" s="29">
        <f>IF(TrRoad_act!K4=0,0,K18/TrRoad_act!K4*1000)</f>
        <v>36.975026620141556</v>
      </c>
      <c r="L88" s="29">
        <f>IF(TrRoad_act!L4=0,0,L18/TrRoad_act!L4*1000)</f>
        <v>36.625954009056741</v>
      </c>
      <c r="M88" s="29">
        <f>IF(TrRoad_act!M4=0,0,M18/TrRoad_act!M4*1000)</f>
        <v>38.673571697364856</v>
      </c>
      <c r="N88" s="29">
        <f>IF(TrRoad_act!N4=0,0,N18/TrRoad_act!N4*1000)</f>
        <v>39.249521305645445</v>
      </c>
      <c r="O88" s="29">
        <f>IF(TrRoad_act!O4=0,0,O18/TrRoad_act!O4*1000)</f>
        <v>36.687695640259577</v>
      </c>
      <c r="P88" s="29">
        <f>IF(TrRoad_act!P4=0,0,P18/TrRoad_act!P4*1000)</f>
        <v>36.010195743608477</v>
      </c>
      <c r="Q88" s="29">
        <f>IF(TrRoad_act!Q4=0,0,Q18/TrRoad_act!Q4*1000)</f>
        <v>33.015302904252692</v>
      </c>
      <c r="R88" s="29">
        <f>IF(TrRoad_act!R4=0,0,R18/TrRoad_act!R4*1000)</f>
        <v>33.692312024685997</v>
      </c>
      <c r="S88" s="29">
        <f>IF(TrRoad_act!S4=0,0,S18/TrRoad_act!S4*1000)</f>
        <v>35.438646137968675</v>
      </c>
      <c r="T88" s="29">
        <f>IF(TrRoad_act!T4=0,0,T18/TrRoad_act!T4*1000)</f>
        <v>34.402209847315632</v>
      </c>
      <c r="U88" s="29">
        <f>IF(TrRoad_act!U4=0,0,U18/TrRoad_act!U4*1000)</f>
        <v>33.627595658729646</v>
      </c>
      <c r="V88" s="29">
        <f>IF(TrRoad_act!V4=0,0,V18/TrRoad_act!V4*1000)</f>
        <v>38.502053788342607</v>
      </c>
      <c r="W88" s="29">
        <f>IF(TrRoad_act!W4=0,0,W18/TrRoad_act!W4*1000)</f>
        <v>37.125894311415152</v>
      </c>
      <c r="X88" s="29">
        <f>IF(TrRoad_act!X4=0,0,X18/TrRoad_act!X4*1000)</f>
        <v>37.340991261839633</v>
      </c>
      <c r="Y88" s="29">
        <f>IF(TrRoad_act!Y4=0,0,Y18/TrRoad_act!Y4*1000)</f>
        <v>36.756776826722586</v>
      </c>
      <c r="DA88" s="173" t="s">
        <v>416</v>
      </c>
    </row>
    <row r="89" spans="1:105" ht="11.45" customHeight="1" x14ac:dyDescent="0.25">
      <c r="A89" s="136" t="s">
        <v>173</v>
      </c>
      <c r="B89" s="152">
        <f>IF(TrRoad_act!B5=0,0,B19/TrRoad_act!B5*1000)</f>
        <v>40.557324698787603</v>
      </c>
      <c r="C89" s="152">
        <f>IF(TrRoad_act!C5=0,0,C19/TrRoad_act!C5*1000)</f>
        <v>40.499133122201904</v>
      </c>
      <c r="D89" s="152">
        <f>IF(TrRoad_act!D5=0,0,D19/TrRoad_act!D5*1000)</f>
        <v>40.446301831614093</v>
      </c>
      <c r="E89" s="152">
        <f>IF(TrRoad_act!E5=0,0,E19/TrRoad_act!E5*1000)</f>
        <v>40.285242862561745</v>
      </c>
      <c r="F89" s="152">
        <f>IF(TrRoad_act!F5=0,0,F19/TrRoad_act!F5*1000)</f>
        <v>40.118104797833688</v>
      </c>
      <c r="G89" s="152">
        <f>IF(TrRoad_act!G5=0,0,G19/TrRoad_act!G5*1000)</f>
        <v>38.039167054860798</v>
      </c>
      <c r="H89" s="152">
        <f>IF(TrRoad_act!H5=0,0,H19/TrRoad_act!H5*1000)</f>
        <v>37.3996660394195</v>
      </c>
      <c r="I89" s="152">
        <f>IF(TrRoad_act!I5=0,0,I19/TrRoad_act!I5*1000)</f>
        <v>36.820825630171726</v>
      </c>
      <c r="J89" s="152">
        <f>IF(TrRoad_act!J5=0,0,J19/TrRoad_act!J5*1000)</f>
        <v>35.322046391873322</v>
      </c>
      <c r="K89" s="152">
        <f>IF(TrRoad_act!K5=0,0,K19/TrRoad_act!K5*1000)</f>
        <v>34.481493175251437</v>
      </c>
      <c r="L89" s="152">
        <f>IF(TrRoad_act!L5=0,0,L19/TrRoad_act!L5*1000)</f>
        <v>33.977091672093366</v>
      </c>
      <c r="M89" s="152">
        <f>IF(TrRoad_act!M5=0,0,M19/TrRoad_act!M5*1000)</f>
        <v>33.433265982678229</v>
      </c>
      <c r="N89" s="152">
        <f>IF(TrRoad_act!N5=0,0,N19/TrRoad_act!N5*1000)</f>
        <v>33.103552800173766</v>
      </c>
      <c r="O89" s="152">
        <f>IF(TrRoad_act!O5=0,0,O19/TrRoad_act!O5*1000)</f>
        <v>32.494605795660313</v>
      </c>
      <c r="P89" s="152">
        <f>IF(TrRoad_act!P5=0,0,P19/TrRoad_act!P5*1000)</f>
        <v>31.901683568167609</v>
      </c>
      <c r="Q89" s="152">
        <f>IF(TrRoad_act!Q5=0,0,Q19/TrRoad_act!Q5*1000)</f>
        <v>31.388643774578064</v>
      </c>
      <c r="R89" s="152">
        <f>IF(TrRoad_act!R5=0,0,R19/TrRoad_act!R5*1000)</f>
        <v>30.878300752309066</v>
      </c>
      <c r="S89" s="152">
        <f>IF(TrRoad_act!S5=0,0,S19/TrRoad_act!S5*1000)</f>
        <v>30.42055920225382</v>
      </c>
      <c r="T89" s="152">
        <f>IF(TrRoad_act!T5=0,0,T19/TrRoad_act!T5*1000)</f>
        <v>29.99272140351394</v>
      </c>
      <c r="U89" s="152">
        <f>IF(TrRoad_act!U5=0,0,U19/TrRoad_act!U5*1000)</f>
        <v>29.42618620583152</v>
      </c>
      <c r="V89" s="152">
        <f>IF(TrRoad_act!V5=0,0,V19/TrRoad_act!V5*1000)</f>
        <v>29.072556622653877</v>
      </c>
      <c r="W89" s="152">
        <f>IF(TrRoad_act!W5=0,0,W19/TrRoad_act!W5*1000)</f>
        <v>28.808896481745595</v>
      </c>
      <c r="X89" s="152">
        <f>IF(TrRoad_act!X5=0,0,X19/TrRoad_act!X5*1000)</f>
        <v>28.571702671528179</v>
      </c>
      <c r="Y89" s="152">
        <f>IF(TrRoad_act!Y5=0,0,Y19/TrRoad_act!Y5*1000)</f>
        <v>28.326034708886645</v>
      </c>
      <c r="DA89" s="174" t="s">
        <v>417</v>
      </c>
    </row>
    <row r="90" spans="1:105" ht="11.45" customHeight="1" x14ac:dyDescent="0.25">
      <c r="A90" s="109" t="s">
        <v>20</v>
      </c>
      <c r="B90" s="116">
        <f>IF(TrRoad_act!B6=0,0,B21/TrRoad_act!B6*1000)</f>
        <v>25.296398839145258</v>
      </c>
      <c r="C90" s="116">
        <f>IF(TrRoad_act!C6=0,0,C21/TrRoad_act!C6*1000)</f>
        <v>32.759367351492777</v>
      </c>
      <c r="D90" s="116">
        <f>IF(TrRoad_act!D6=0,0,D21/TrRoad_act!D6*1000)</f>
        <v>32.39314337141159</v>
      </c>
      <c r="E90" s="116">
        <f>IF(TrRoad_act!E6=0,0,E21/TrRoad_act!E6*1000)</f>
        <v>32.758840463211691</v>
      </c>
      <c r="F90" s="116">
        <f>IF(TrRoad_act!F6=0,0,F21/TrRoad_act!F6*1000)</f>
        <v>35.120247278696311</v>
      </c>
      <c r="G90" s="116">
        <f>IF(TrRoad_act!G6=0,0,G21/TrRoad_act!G6*1000)</f>
        <v>32.91387764378478</v>
      </c>
      <c r="H90" s="116">
        <f>IF(TrRoad_act!H6=0,0,H21/TrRoad_act!H6*1000)</f>
        <v>31.384768271131154</v>
      </c>
      <c r="I90" s="116">
        <f>IF(TrRoad_act!I6=0,0,I21/TrRoad_act!I6*1000)</f>
        <v>31.652713621106354</v>
      </c>
      <c r="J90" s="116">
        <f>IF(TrRoad_act!J6=0,0,J21/TrRoad_act!J6*1000)</f>
        <v>33.748845315205223</v>
      </c>
      <c r="K90" s="116">
        <f>IF(TrRoad_act!K6=0,0,K21/TrRoad_act!K6*1000)</f>
        <v>33.485698361571828</v>
      </c>
      <c r="L90" s="116">
        <f>IF(TrRoad_act!L6=0,0,L21/TrRoad_act!L6*1000)</f>
        <v>32.293213884163187</v>
      </c>
      <c r="M90" s="116">
        <f>IF(TrRoad_act!M6=0,0,M21/TrRoad_act!M6*1000)</f>
        <v>34.26183168568825</v>
      </c>
      <c r="N90" s="116">
        <f>IF(TrRoad_act!N6=0,0,N21/TrRoad_act!N6*1000)</f>
        <v>35.368921017076097</v>
      </c>
      <c r="O90" s="116">
        <f>IF(TrRoad_act!O6=0,0,O21/TrRoad_act!O6*1000)</f>
        <v>32.272125225917392</v>
      </c>
      <c r="P90" s="116">
        <f>IF(TrRoad_act!P6=0,0,P21/TrRoad_act!P6*1000)</f>
        <v>31.733220623674228</v>
      </c>
      <c r="Q90" s="116">
        <f>IF(TrRoad_act!Q6=0,0,Q21/TrRoad_act!Q6*1000)</f>
        <v>30.331787688185063</v>
      </c>
      <c r="R90" s="116">
        <f>IF(TrRoad_act!R6=0,0,R21/TrRoad_act!R6*1000)</f>
        <v>31.016123494574753</v>
      </c>
      <c r="S90" s="116">
        <f>IF(TrRoad_act!S6=0,0,S21/TrRoad_act!S6*1000)</f>
        <v>32.453133406888433</v>
      </c>
      <c r="T90" s="116">
        <f>IF(TrRoad_act!T6=0,0,T21/TrRoad_act!T6*1000)</f>
        <v>31.70009743110295</v>
      </c>
      <c r="U90" s="116">
        <f>IF(TrRoad_act!U6=0,0,U21/TrRoad_act!U6*1000)</f>
        <v>30.721248319165372</v>
      </c>
      <c r="V90" s="116">
        <f>IF(TrRoad_act!V6=0,0,V21/TrRoad_act!V6*1000)</f>
        <v>32.831750985327268</v>
      </c>
      <c r="W90" s="116">
        <f>IF(TrRoad_act!W6=0,0,W21/TrRoad_act!W6*1000)</f>
        <v>31.865569659703599</v>
      </c>
      <c r="X90" s="116">
        <f>IF(TrRoad_act!X6=0,0,X21/TrRoad_act!X6*1000)</f>
        <v>32.574158855034604</v>
      </c>
      <c r="Y90" s="116">
        <f>IF(TrRoad_act!Y6=0,0,Y21/TrRoad_act!Y6*1000)</f>
        <v>33.020461105406156</v>
      </c>
      <c r="DA90" s="176" t="s">
        <v>418</v>
      </c>
    </row>
    <row r="91" spans="1:105" ht="11.45" customHeight="1" x14ac:dyDescent="0.25">
      <c r="A91" s="111" t="s">
        <v>110</v>
      </c>
      <c r="B91" s="87">
        <f>IF(TrRoad_act!B7=0,0,B22/TrRoad_act!B7*1000)</f>
        <v>25.523904052519036</v>
      </c>
      <c r="C91" s="87">
        <f>IF(TrRoad_act!C7=0,0,C22/TrRoad_act!C7*1000)</f>
        <v>33.1242376762427</v>
      </c>
      <c r="D91" s="87">
        <f>IF(TrRoad_act!D7=0,0,D22/TrRoad_act!D7*1000)</f>
        <v>32.85793504221779</v>
      </c>
      <c r="E91" s="87">
        <f>IF(TrRoad_act!E7=0,0,E22/TrRoad_act!E7*1000)</f>
        <v>33.880642984695484</v>
      </c>
      <c r="F91" s="87">
        <f>IF(TrRoad_act!F7=0,0,F22/TrRoad_act!F7*1000)</f>
        <v>35.237925109612497</v>
      </c>
      <c r="G91" s="87">
        <f>IF(TrRoad_act!G7=0,0,G22/TrRoad_act!G7*1000)</f>
        <v>34.218589993602599</v>
      </c>
      <c r="H91" s="87">
        <f>IF(TrRoad_act!H7=0,0,H22/TrRoad_act!H7*1000)</f>
        <v>32.611287926090277</v>
      </c>
      <c r="I91" s="87">
        <f>IF(TrRoad_act!I7=0,0,I22/TrRoad_act!I7*1000)</f>
        <v>34.579597870838533</v>
      </c>
      <c r="J91" s="87">
        <f>IF(TrRoad_act!J7=0,0,J22/TrRoad_act!J7*1000)</f>
        <v>38.540296256808801</v>
      </c>
      <c r="K91" s="87">
        <f>IF(TrRoad_act!K7=0,0,K22/TrRoad_act!K7*1000)</f>
        <v>37.84683875340761</v>
      </c>
      <c r="L91" s="87">
        <f>IF(TrRoad_act!L7=0,0,L22/TrRoad_act!L7*1000)</f>
        <v>36.495722346895917</v>
      </c>
      <c r="M91" s="87">
        <f>IF(TrRoad_act!M7=0,0,M22/TrRoad_act!M7*1000)</f>
        <v>40.414357055739245</v>
      </c>
      <c r="N91" s="87">
        <f>IF(TrRoad_act!N7=0,0,N22/TrRoad_act!N7*1000)</f>
        <v>41.5522692809338</v>
      </c>
      <c r="O91" s="87">
        <f>IF(TrRoad_act!O7=0,0,O22/TrRoad_act!O7*1000)</f>
        <v>36.298297568291147</v>
      </c>
      <c r="P91" s="87">
        <f>IF(TrRoad_act!P7=0,0,P22/TrRoad_act!P7*1000)</f>
        <v>34.887583847467603</v>
      </c>
      <c r="Q91" s="87">
        <f>IF(TrRoad_act!Q7=0,0,Q22/TrRoad_act!Q7*1000)</f>
        <v>33.230882941142212</v>
      </c>
      <c r="R91" s="87">
        <f>IF(TrRoad_act!R7=0,0,R22/TrRoad_act!R7*1000)</f>
        <v>35.736456751998688</v>
      </c>
      <c r="S91" s="87">
        <f>IF(TrRoad_act!S7=0,0,S22/TrRoad_act!S7*1000)</f>
        <v>36.987552242711303</v>
      </c>
      <c r="T91" s="87">
        <f>IF(TrRoad_act!T7=0,0,T22/TrRoad_act!T7*1000)</f>
        <v>36.275265625214971</v>
      </c>
      <c r="U91" s="87">
        <f>IF(TrRoad_act!U7=0,0,U22/TrRoad_act!U7*1000)</f>
        <v>35.898467258143171</v>
      </c>
      <c r="V91" s="87">
        <f>IF(TrRoad_act!V7=0,0,V22/TrRoad_act!V7*1000)</f>
        <v>35.800254105977587</v>
      </c>
      <c r="W91" s="87">
        <f>IF(TrRoad_act!W7=0,0,W22/TrRoad_act!W7*1000)</f>
        <v>35.107345845428341</v>
      </c>
      <c r="X91" s="87">
        <f>IF(TrRoad_act!X7=0,0,X22/TrRoad_act!X7*1000)</f>
        <v>35.838386537629596</v>
      </c>
      <c r="Y91" s="87">
        <f>IF(TrRoad_act!Y7=0,0,Y22/TrRoad_act!Y7*1000)</f>
        <v>36.372756278289607</v>
      </c>
      <c r="DA91" s="171" t="s">
        <v>698</v>
      </c>
    </row>
    <row r="92" spans="1:105" ht="11.45" customHeight="1" x14ac:dyDescent="0.25">
      <c r="A92" s="111" t="s">
        <v>111</v>
      </c>
      <c r="B92" s="87">
        <f>IF(TrRoad_act!B8=0,0,B24/TrRoad_act!B8*1000)</f>
        <v>23.847670371672574</v>
      </c>
      <c r="C92" s="87">
        <f>IF(TrRoad_act!C8=0,0,C24/TrRoad_act!C8*1000)</f>
        <v>30.562271282463136</v>
      </c>
      <c r="D92" s="87">
        <f>IF(TrRoad_act!D8=0,0,D24/TrRoad_act!D8*1000)</f>
        <v>30.172569624729785</v>
      </c>
      <c r="E92" s="87">
        <f>IF(TrRoad_act!E8=0,0,E24/TrRoad_act!E8*1000)</f>
        <v>28.540154569237856</v>
      </c>
      <c r="F92" s="87">
        <f>IF(TrRoad_act!F8=0,0,F24/TrRoad_act!F8*1000)</f>
        <v>29.205965324381204</v>
      </c>
      <c r="G92" s="87">
        <f>IF(TrRoad_act!G8=0,0,G24/TrRoad_act!G8*1000)</f>
        <v>27.947426243339493</v>
      </c>
      <c r="H92" s="87">
        <f>IF(TrRoad_act!H8=0,0,H24/TrRoad_act!H8*1000)</f>
        <v>29.160524033537719</v>
      </c>
      <c r="I92" s="87">
        <f>IF(TrRoad_act!I8=0,0,I24/TrRoad_act!I8*1000)</f>
        <v>27.107773174150296</v>
      </c>
      <c r="J92" s="87">
        <f>IF(TrRoad_act!J8=0,0,J24/TrRoad_act!J8*1000)</f>
        <v>28.20167846904376</v>
      </c>
      <c r="K92" s="87">
        <f>IF(TrRoad_act!K8=0,0,K24/TrRoad_act!K8*1000)</f>
        <v>28.24675840003388</v>
      </c>
      <c r="L92" s="87">
        <f>IF(TrRoad_act!L8=0,0,L24/TrRoad_act!L8*1000)</f>
        <v>28.439264110261441</v>
      </c>
      <c r="M92" s="87">
        <f>IF(TrRoad_act!M8=0,0,M24/TrRoad_act!M8*1000)</f>
        <v>29.148845107334015</v>
      </c>
      <c r="N92" s="87">
        <f>IF(TrRoad_act!N8=0,0,N24/TrRoad_act!N8*1000)</f>
        <v>31.106974477291814</v>
      </c>
      <c r="O92" s="87">
        <f>IF(TrRoad_act!O8=0,0,O24/TrRoad_act!O8*1000)</f>
        <v>29.160947341461558</v>
      </c>
      <c r="P92" s="87">
        <f>IF(TrRoad_act!P8=0,0,P24/TrRoad_act!P8*1000)</f>
        <v>29.010640107459043</v>
      </c>
      <c r="Q92" s="87">
        <f>IF(TrRoad_act!Q8=0,0,Q24/TrRoad_act!Q8*1000)</f>
        <v>28.053903997982705</v>
      </c>
      <c r="R92" s="87">
        <f>IF(TrRoad_act!R8=0,0,R24/TrRoad_act!R8*1000)</f>
        <v>27.737542096316517</v>
      </c>
      <c r="S92" s="87">
        <f>IF(TrRoad_act!S8=0,0,S24/TrRoad_act!S8*1000)</f>
        <v>29.476104795127448</v>
      </c>
      <c r="T92" s="87">
        <f>IF(TrRoad_act!T8=0,0,T24/TrRoad_act!T8*1000)</f>
        <v>28.967048097318933</v>
      </c>
      <c r="U92" s="87">
        <f>IF(TrRoad_act!U8=0,0,U24/TrRoad_act!U8*1000)</f>
        <v>27.859085457721875</v>
      </c>
      <c r="V92" s="87">
        <f>IF(TrRoad_act!V8=0,0,V24/TrRoad_act!V8*1000)</f>
        <v>31.36894868382295</v>
      </c>
      <c r="W92" s="87">
        <f>IF(TrRoad_act!W8=0,0,W24/TrRoad_act!W8*1000)</f>
        <v>30.628778144359078</v>
      </c>
      <c r="X92" s="87">
        <f>IF(TrRoad_act!X8=0,0,X24/TrRoad_act!X8*1000)</f>
        <v>31.535929569699356</v>
      </c>
      <c r="Y92" s="87">
        <f>IF(TrRoad_act!Y8=0,0,Y24/TrRoad_act!Y8*1000)</f>
        <v>32.17181930689766</v>
      </c>
      <c r="DA92" s="171" t="s">
        <v>699</v>
      </c>
    </row>
    <row r="93" spans="1:105" ht="11.45" customHeight="1" x14ac:dyDescent="0.25">
      <c r="A93" s="111" t="s">
        <v>112</v>
      </c>
      <c r="B93" s="87">
        <f>IF(TrRoad_act!B9=0,0,B26/TrRoad_act!B9*1000)</f>
        <v>0</v>
      </c>
      <c r="C93" s="87">
        <f>IF(TrRoad_act!C9=0,0,C26/TrRoad_act!C9*1000)</f>
        <v>0</v>
      </c>
      <c r="D93" s="87">
        <f>IF(TrRoad_act!D9=0,0,D26/TrRoad_act!D9*1000)</f>
        <v>39.036788285355037</v>
      </c>
      <c r="E93" s="87">
        <f>IF(TrRoad_act!E9=0,0,E26/TrRoad_act!E9*1000)</f>
        <v>36.957386510128487</v>
      </c>
      <c r="F93" s="87">
        <f>IF(TrRoad_act!F9=0,0,F26/TrRoad_act!F9*1000)</f>
        <v>183.51685611972982</v>
      </c>
      <c r="G93" s="87">
        <f>IF(TrRoad_act!G9=0,0,G26/TrRoad_act!G9*1000)</f>
        <v>104.03365437883774</v>
      </c>
      <c r="H93" s="87">
        <f>IF(TrRoad_act!H9=0,0,H26/TrRoad_act!H9*1000)</f>
        <v>33.754618384858944</v>
      </c>
      <c r="I93" s="87">
        <f>IF(TrRoad_act!I9=0,0,I26/TrRoad_act!I9*1000)</f>
        <v>49.5879963404468</v>
      </c>
      <c r="J93" s="87">
        <f>IF(TrRoad_act!J9=0,0,J26/TrRoad_act!J9*1000)</f>
        <v>75.813375919532007</v>
      </c>
      <c r="K93" s="87">
        <f>IF(TrRoad_act!K9=0,0,K26/TrRoad_act!K9*1000)</f>
        <v>122.68650621096204</v>
      </c>
      <c r="L93" s="87">
        <f>IF(TrRoad_act!L9=0,0,L26/TrRoad_act!L9*1000)</f>
        <v>36.772959828890095</v>
      </c>
      <c r="M93" s="87">
        <f>IF(TrRoad_act!M9=0,0,M26/TrRoad_act!M9*1000)</f>
        <v>54.418776026466361</v>
      </c>
      <c r="N93" s="87">
        <f>IF(TrRoad_act!N9=0,0,N26/TrRoad_act!N9*1000)</f>
        <v>43.794910920023696</v>
      </c>
      <c r="O93" s="87">
        <f>IF(TrRoad_act!O9=0,0,O26/TrRoad_act!O9*1000)</f>
        <v>43.977972346246766</v>
      </c>
      <c r="P93" s="87">
        <f>IF(TrRoad_act!P9=0,0,P26/TrRoad_act!P9*1000)</f>
        <v>43.296657069663524</v>
      </c>
      <c r="Q93" s="87">
        <f>IF(TrRoad_act!Q9=0,0,Q26/TrRoad_act!Q9*1000)</f>
        <v>37.630253592186776</v>
      </c>
      <c r="R93" s="87">
        <f>IF(TrRoad_act!R9=0,0,R26/TrRoad_act!R9*1000)</f>
        <v>42.708793429221032</v>
      </c>
      <c r="S93" s="87">
        <f>IF(TrRoad_act!S9=0,0,S26/TrRoad_act!S9*1000)</f>
        <v>41.122445772219649</v>
      </c>
      <c r="T93" s="87">
        <f>IF(TrRoad_act!T9=0,0,T26/TrRoad_act!T9*1000)</f>
        <v>38.967936915656061</v>
      </c>
      <c r="U93" s="87">
        <f>IF(TrRoad_act!U9=0,0,U26/TrRoad_act!U9*1000)</f>
        <v>37.36169807203806</v>
      </c>
      <c r="V93" s="87">
        <f>IF(TrRoad_act!V9=0,0,V26/TrRoad_act!V9*1000)</f>
        <v>30.195782007554879</v>
      </c>
      <c r="W93" s="87">
        <f>IF(TrRoad_act!W9=0,0,W26/TrRoad_act!W9*1000)</f>
        <v>22.963006414811144</v>
      </c>
      <c r="X93" s="87">
        <f>IF(TrRoad_act!X9=0,0,X26/TrRoad_act!X9*1000)</f>
        <v>22.644692028106785</v>
      </c>
      <c r="Y93" s="87">
        <f>IF(TrRoad_act!Y9=0,0,Y26/TrRoad_act!Y9*1000)</f>
        <v>20.821868335466579</v>
      </c>
      <c r="DA93" s="171" t="s">
        <v>700</v>
      </c>
    </row>
    <row r="94" spans="1:105" ht="11.45" customHeight="1" x14ac:dyDescent="0.25">
      <c r="A94" s="111" t="s">
        <v>113</v>
      </c>
      <c r="B94" s="87">
        <f>IF(TrRoad_act!B10=0,0,B27/TrRoad_act!B10*1000)</f>
        <v>0</v>
      </c>
      <c r="C94" s="87">
        <f>IF(TrRoad_act!C10=0,0,C27/TrRoad_act!C10*1000)</f>
        <v>0</v>
      </c>
      <c r="D94" s="87">
        <f>IF(TrRoad_act!D10=0,0,D27/TrRoad_act!D10*1000)</f>
        <v>0</v>
      </c>
      <c r="E94" s="87">
        <f>IF(TrRoad_act!E10=0,0,E27/TrRoad_act!E10*1000)</f>
        <v>0</v>
      </c>
      <c r="F94" s="87">
        <f>IF(TrRoad_act!F10=0,0,F27/TrRoad_act!F10*1000)</f>
        <v>0</v>
      </c>
      <c r="G94" s="87">
        <f>IF(TrRoad_act!G10=0,0,G27/TrRoad_act!G10*1000)</f>
        <v>0</v>
      </c>
      <c r="H94" s="87">
        <f>IF(TrRoad_act!H10=0,0,H27/TrRoad_act!H10*1000)</f>
        <v>0</v>
      </c>
      <c r="I94" s="87">
        <f>IF(TrRoad_act!I10=0,0,I27/TrRoad_act!I10*1000)</f>
        <v>0</v>
      </c>
      <c r="J94" s="87">
        <f>IF(TrRoad_act!J10=0,0,J27/TrRoad_act!J10*1000)</f>
        <v>0</v>
      </c>
      <c r="K94" s="87">
        <f>IF(TrRoad_act!K10=0,0,K27/TrRoad_act!K10*1000)</f>
        <v>0</v>
      </c>
      <c r="L94" s="87">
        <f>IF(TrRoad_act!L10=0,0,L27/TrRoad_act!L10*1000)</f>
        <v>0</v>
      </c>
      <c r="M94" s="87">
        <f>IF(TrRoad_act!M10=0,0,M27/TrRoad_act!M10*1000)</f>
        <v>0</v>
      </c>
      <c r="N94" s="87">
        <f>IF(TrRoad_act!N10=0,0,N27/TrRoad_act!N10*1000)</f>
        <v>0</v>
      </c>
      <c r="O94" s="87">
        <f>IF(TrRoad_act!O10=0,0,O27/TrRoad_act!O10*1000)</f>
        <v>0</v>
      </c>
      <c r="P94" s="87">
        <f>IF(TrRoad_act!P10=0,0,P27/TrRoad_act!P10*1000)</f>
        <v>0</v>
      </c>
      <c r="Q94" s="87">
        <f>IF(TrRoad_act!Q10=0,0,Q27/TrRoad_act!Q10*1000)</f>
        <v>0</v>
      </c>
      <c r="R94" s="87">
        <f>IF(TrRoad_act!R10=0,0,R27/TrRoad_act!R10*1000)</f>
        <v>0</v>
      </c>
      <c r="S94" s="87">
        <f>IF(TrRoad_act!S10=0,0,S27/TrRoad_act!S10*1000)</f>
        <v>0</v>
      </c>
      <c r="T94" s="87">
        <f>IF(TrRoad_act!T10=0,0,T27/TrRoad_act!T10*1000)</f>
        <v>0</v>
      </c>
      <c r="U94" s="87">
        <f>IF(TrRoad_act!U10=0,0,U27/TrRoad_act!U10*1000)</f>
        <v>0</v>
      </c>
      <c r="V94" s="87">
        <f>IF(TrRoad_act!V10=0,0,V27/TrRoad_act!V10*1000)</f>
        <v>0</v>
      </c>
      <c r="W94" s="87">
        <f>IF(TrRoad_act!W10=0,0,W27/TrRoad_act!W10*1000)</f>
        <v>0</v>
      </c>
      <c r="X94" s="87">
        <f>IF(TrRoad_act!X10=0,0,X27/TrRoad_act!X10*1000)</f>
        <v>0</v>
      </c>
      <c r="Y94" s="87">
        <f>IF(TrRoad_act!Y10=0,0,Y27/TrRoad_act!Y10*1000)</f>
        <v>0</v>
      </c>
      <c r="DA94" s="171" t="s">
        <v>701</v>
      </c>
    </row>
    <row r="95" spans="1:105" ht="11.45" customHeight="1" x14ac:dyDescent="0.25">
      <c r="A95" s="111" t="s">
        <v>114</v>
      </c>
      <c r="B95" s="87">
        <f>IF(TrRoad_act!B11=0,0,B29/TrRoad_act!B11*1000)</f>
        <v>0</v>
      </c>
      <c r="C95" s="87">
        <f>IF(TrRoad_act!C11=0,0,C29/TrRoad_act!C11*1000)</f>
        <v>0</v>
      </c>
      <c r="D95" s="87">
        <f>IF(TrRoad_act!D11=0,0,D29/TrRoad_act!D11*1000)</f>
        <v>0</v>
      </c>
      <c r="E95" s="87">
        <f>IF(TrRoad_act!E11=0,0,E29/TrRoad_act!E11*1000)</f>
        <v>0</v>
      </c>
      <c r="F95" s="87">
        <f>IF(TrRoad_act!F11=0,0,F29/TrRoad_act!F11*1000)</f>
        <v>0</v>
      </c>
      <c r="G95" s="87">
        <f>IF(TrRoad_act!G11=0,0,G29/TrRoad_act!G11*1000)</f>
        <v>0</v>
      </c>
      <c r="H95" s="87">
        <f>IF(TrRoad_act!H11=0,0,H29/TrRoad_act!H11*1000)</f>
        <v>0</v>
      </c>
      <c r="I95" s="87">
        <f>IF(TrRoad_act!I11=0,0,I29/TrRoad_act!I11*1000)</f>
        <v>0</v>
      </c>
      <c r="J95" s="87">
        <f>IF(TrRoad_act!J11=0,0,J29/TrRoad_act!J11*1000)</f>
        <v>0</v>
      </c>
      <c r="K95" s="87">
        <f>IF(TrRoad_act!K11=0,0,K29/TrRoad_act!K11*1000)</f>
        <v>0</v>
      </c>
      <c r="L95" s="87">
        <f>IF(TrRoad_act!L11=0,0,L29/TrRoad_act!L11*1000)</f>
        <v>0</v>
      </c>
      <c r="M95" s="87">
        <f>IF(TrRoad_act!M11=0,0,M29/TrRoad_act!M11*1000)</f>
        <v>0</v>
      </c>
      <c r="N95" s="87">
        <f>IF(TrRoad_act!N11=0,0,N29/TrRoad_act!N11*1000)</f>
        <v>32.187444484756234</v>
      </c>
      <c r="O95" s="87">
        <f>IF(TrRoad_act!O11=0,0,O29/TrRoad_act!O11*1000)</f>
        <v>28.97952559932364</v>
      </c>
      <c r="P95" s="87">
        <f>IF(TrRoad_act!P11=0,0,P29/TrRoad_act!P11*1000)</f>
        <v>27.405518918047992</v>
      </c>
      <c r="Q95" s="87">
        <f>IF(TrRoad_act!Q11=0,0,Q29/TrRoad_act!Q11*1000)</f>
        <v>25.050600925869425</v>
      </c>
      <c r="R95" s="87">
        <f>IF(TrRoad_act!R11=0,0,R29/TrRoad_act!R11*1000)</f>
        <v>18.519468477198483</v>
      </c>
      <c r="S95" s="87">
        <f>IF(TrRoad_act!S11=0,0,S29/TrRoad_act!S11*1000)</f>
        <v>20.980475463559184</v>
      </c>
      <c r="T95" s="87">
        <f>IF(TrRoad_act!T11=0,0,T29/TrRoad_act!T11*1000)</f>
        <v>19.784964200909581</v>
      </c>
      <c r="U95" s="87">
        <f>IF(TrRoad_act!U11=0,0,U29/TrRoad_act!U11*1000)</f>
        <v>18.749414610084983</v>
      </c>
      <c r="V95" s="87">
        <f>IF(TrRoad_act!V11=0,0,V29/TrRoad_act!V11*1000)</f>
        <v>18.852885408195728</v>
      </c>
      <c r="W95" s="87">
        <f>IF(TrRoad_act!W11=0,0,W29/TrRoad_act!W11*1000)</f>
        <v>17.930482529827515</v>
      </c>
      <c r="X95" s="87">
        <f>IF(TrRoad_act!X11=0,0,X29/TrRoad_act!X11*1000)</f>
        <v>18.190663252475833</v>
      </c>
      <c r="Y95" s="87">
        <f>IF(TrRoad_act!Y11=0,0,Y29/TrRoad_act!Y11*1000)</f>
        <v>23.028728189622598</v>
      </c>
      <c r="DA95" s="171" t="s">
        <v>702</v>
      </c>
    </row>
    <row r="96" spans="1:105" ht="11.45" customHeight="1" x14ac:dyDescent="0.25">
      <c r="A96" s="111" t="s">
        <v>115</v>
      </c>
      <c r="B96" s="87">
        <f>IF(TrRoad_act!B12=0,0,B32/TrRoad_act!B12*1000)</f>
        <v>0</v>
      </c>
      <c r="C96" s="87">
        <f>IF(TrRoad_act!C12=0,0,C32/TrRoad_act!C12*1000)</f>
        <v>0</v>
      </c>
      <c r="D96" s="87">
        <f>IF(TrRoad_act!D12=0,0,D32/TrRoad_act!D12*1000)</f>
        <v>0</v>
      </c>
      <c r="E96" s="87">
        <f>IF(TrRoad_act!E12=0,0,E32/TrRoad_act!E12*1000)</f>
        <v>0</v>
      </c>
      <c r="F96" s="87">
        <f>IF(TrRoad_act!F12=0,0,F32/TrRoad_act!F12*1000)</f>
        <v>0</v>
      </c>
      <c r="G96" s="87">
        <f>IF(TrRoad_act!G12=0,0,G32/TrRoad_act!G12*1000)</f>
        <v>0</v>
      </c>
      <c r="H96" s="87">
        <f>IF(TrRoad_act!H12=0,0,H32/TrRoad_act!H12*1000)</f>
        <v>0</v>
      </c>
      <c r="I96" s="87">
        <f>IF(TrRoad_act!I12=0,0,I32/TrRoad_act!I12*1000)</f>
        <v>0</v>
      </c>
      <c r="J96" s="87">
        <f>IF(TrRoad_act!J12=0,0,J32/TrRoad_act!J12*1000)</f>
        <v>0</v>
      </c>
      <c r="K96" s="87">
        <f>IF(TrRoad_act!K12=0,0,K32/TrRoad_act!K12*1000)</f>
        <v>8.1832509882434881</v>
      </c>
      <c r="L96" s="87">
        <f>IF(TrRoad_act!L12=0,0,L32/TrRoad_act!L12*1000)</f>
        <v>8.3621787752413894</v>
      </c>
      <c r="M96" s="87">
        <f>IF(TrRoad_act!M12=0,0,M32/TrRoad_act!M12*1000)</f>
        <v>8.839362974343528</v>
      </c>
      <c r="N96" s="87">
        <f>IF(TrRoad_act!N12=0,0,N32/TrRoad_act!N12*1000)</f>
        <v>8.6878121312527341</v>
      </c>
      <c r="O96" s="87">
        <f>IF(TrRoad_act!O12=0,0,O32/TrRoad_act!O12*1000)</f>
        <v>8.7353401826371133</v>
      </c>
      <c r="P96" s="87">
        <f>IF(TrRoad_act!P12=0,0,P32/TrRoad_act!P12*1000)</f>
        <v>8.7029320671543058</v>
      </c>
      <c r="Q96" s="87">
        <f>IF(TrRoad_act!Q12=0,0,Q32/TrRoad_act!Q12*1000)</f>
        <v>8.8240441193903205</v>
      </c>
      <c r="R96" s="87">
        <f>IF(TrRoad_act!R12=0,0,R32/TrRoad_act!R12*1000)</f>
        <v>8.6403826757064639</v>
      </c>
      <c r="S96" s="87">
        <f>IF(TrRoad_act!S12=0,0,S32/TrRoad_act!S12*1000)</f>
        <v>8.5616148004788197</v>
      </c>
      <c r="T96" s="87">
        <f>IF(TrRoad_act!T12=0,0,T32/TrRoad_act!T12*1000)</f>
        <v>8.4823825732545419</v>
      </c>
      <c r="U96" s="87">
        <f>IF(TrRoad_act!U12=0,0,U32/TrRoad_act!U12*1000)</f>
        <v>9.6195356687872113</v>
      </c>
      <c r="V96" s="87">
        <f>IF(TrRoad_act!V12=0,0,V32/TrRoad_act!V12*1000)</f>
        <v>10.13802488196195</v>
      </c>
      <c r="W96" s="87">
        <f>IF(TrRoad_act!W12=0,0,W32/TrRoad_act!W12*1000)</f>
        <v>9.7136871563781284</v>
      </c>
      <c r="X96" s="87">
        <f>IF(TrRoad_act!X12=0,0,X32/TrRoad_act!X12*1000)</f>
        <v>9.77887606064807</v>
      </c>
      <c r="Y96" s="87">
        <f>IF(TrRoad_act!Y12=0,0,Y32/TrRoad_act!Y12*1000)</f>
        <v>10.139464387422622</v>
      </c>
      <c r="DA96" s="171" t="s">
        <v>703</v>
      </c>
    </row>
    <row r="97" spans="1:105" ht="11.45" customHeight="1" x14ac:dyDescent="0.25">
      <c r="A97" s="109" t="s">
        <v>21</v>
      </c>
      <c r="B97" s="116">
        <f>IF(TrRoad_act!B13=0,0,B33/TrRoad_act!B13*1000)</f>
        <v>63.786521472075172</v>
      </c>
      <c r="C97" s="116">
        <f>IF(TrRoad_act!C13=0,0,C33/TrRoad_act!C13*1000)</f>
        <v>81.709055209984257</v>
      </c>
      <c r="D97" s="116">
        <f>IF(TrRoad_act!D13=0,0,D33/TrRoad_act!D13*1000)</f>
        <v>78.894912008727871</v>
      </c>
      <c r="E97" s="116">
        <f>IF(TrRoad_act!E13=0,0,E33/TrRoad_act!E13*1000)</f>
        <v>65.488398463518806</v>
      </c>
      <c r="F97" s="116">
        <f>IF(TrRoad_act!F13=0,0,F33/TrRoad_act!F13*1000)</f>
        <v>69.58180115380452</v>
      </c>
      <c r="G97" s="116">
        <f>IF(TrRoad_act!G13=0,0,G33/TrRoad_act!G13*1000)</f>
        <v>51.908763153838052</v>
      </c>
      <c r="H97" s="116">
        <f>IF(TrRoad_act!H13=0,0,H33/TrRoad_act!H13*1000)</f>
        <v>48.354493538965727</v>
      </c>
      <c r="I97" s="116">
        <f>IF(TrRoad_act!I13=0,0,I33/TrRoad_act!I13*1000)</f>
        <v>51.62113203081703</v>
      </c>
      <c r="J97" s="116">
        <f>IF(TrRoad_act!J13=0,0,J33/TrRoad_act!J13*1000)</f>
        <v>43.109480113252459</v>
      </c>
      <c r="K97" s="116">
        <f>IF(TrRoad_act!K13=0,0,K33/TrRoad_act!K13*1000)</f>
        <v>52.440108218557789</v>
      </c>
      <c r="L97" s="116">
        <f>IF(TrRoad_act!L13=0,0,L33/TrRoad_act!L13*1000)</f>
        <v>57.394389149066143</v>
      </c>
      <c r="M97" s="116">
        <f>IF(TrRoad_act!M13=0,0,M33/TrRoad_act!M13*1000)</f>
        <v>60.146153787933464</v>
      </c>
      <c r="N97" s="116">
        <f>IF(TrRoad_act!N13=0,0,N33/TrRoad_act!N13*1000)</f>
        <v>57.132787714344801</v>
      </c>
      <c r="O97" s="116">
        <f>IF(TrRoad_act!O13=0,0,O33/TrRoad_act!O13*1000)</f>
        <v>57.6008820702748</v>
      </c>
      <c r="P97" s="116">
        <f>IF(TrRoad_act!P13=0,0,P33/TrRoad_act!P13*1000)</f>
        <v>56.013373061924788</v>
      </c>
      <c r="Q97" s="116">
        <f>IF(TrRoad_act!Q13=0,0,Q33/TrRoad_act!Q13*1000)</f>
        <v>42.755852340341143</v>
      </c>
      <c r="R97" s="116">
        <f>IF(TrRoad_act!R13=0,0,R33/TrRoad_act!R13*1000)</f>
        <v>43.748657752160177</v>
      </c>
      <c r="S97" s="116">
        <f>IF(TrRoad_act!S13=0,0,S33/TrRoad_act!S13*1000)</f>
        <v>47.177689463948923</v>
      </c>
      <c r="T97" s="116">
        <f>IF(TrRoad_act!T13=0,0,T33/TrRoad_act!T13*1000)</f>
        <v>45.001554610695663</v>
      </c>
      <c r="U97" s="116">
        <f>IF(TrRoad_act!U13=0,0,U33/TrRoad_act!U13*1000)</f>
        <v>45.764040961228162</v>
      </c>
      <c r="V97" s="116">
        <f>IF(TrRoad_act!V13=0,0,V33/TrRoad_act!V13*1000)</f>
        <v>68.86685740456015</v>
      </c>
      <c r="W97" s="116">
        <f>IF(TrRoad_act!W13=0,0,W33/TrRoad_act!W13*1000)</f>
        <v>66.488559049332011</v>
      </c>
      <c r="X97" s="116">
        <f>IF(TrRoad_act!X13=0,0,X33/TrRoad_act!X13*1000)</f>
        <v>63.832766059517851</v>
      </c>
      <c r="Y97" s="116">
        <f>IF(TrRoad_act!Y13=0,0,Y33/TrRoad_act!Y13*1000)</f>
        <v>55.932272631601066</v>
      </c>
      <c r="DA97" s="176" t="s">
        <v>419</v>
      </c>
    </row>
    <row r="98" spans="1:105" ht="11.45" customHeight="1" x14ac:dyDescent="0.25">
      <c r="A98" s="111" t="s">
        <v>110</v>
      </c>
      <c r="B98" s="101">
        <f>IF(TrRoad_act!B14=0,0,B34/TrRoad_act!B14*1000)</f>
        <v>0</v>
      </c>
      <c r="C98" s="101">
        <f>IF(TrRoad_act!C14=0,0,C34/TrRoad_act!C14*1000)</f>
        <v>0</v>
      </c>
      <c r="D98" s="101">
        <f>IF(TrRoad_act!D14=0,0,D34/TrRoad_act!D14*1000)</f>
        <v>0</v>
      </c>
      <c r="E98" s="101">
        <f>IF(TrRoad_act!E14=0,0,E34/TrRoad_act!E14*1000)</f>
        <v>0</v>
      </c>
      <c r="F98" s="101">
        <f>IF(TrRoad_act!F14=0,0,F34/TrRoad_act!F14*1000)</f>
        <v>0</v>
      </c>
      <c r="G98" s="101">
        <f>IF(TrRoad_act!G14=0,0,G34/TrRoad_act!G14*1000)</f>
        <v>0</v>
      </c>
      <c r="H98" s="101">
        <f>IF(TrRoad_act!H14=0,0,H34/TrRoad_act!H14*1000)</f>
        <v>0</v>
      </c>
      <c r="I98" s="101">
        <f>IF(TrRoad_act!I14=0,0,I34/TrRoad_act!I14*1000)</f>
        <v>0</v>
      </c>
      <c r="J98" s="101">
        <f>IF(TrRoad_act!J14=0,0,J34/TrRoad_act!J14*1000)</f>
        <v>25.687426775649623</v>
      </c>
      <c r="K98" s="101">
        <f>IF(TrRoad_act!K14=0,0,K34/TrRoad_act!K14*1000)</f>
        <v>26.004667234310858</v>
      </c>
      <c r="L98" s="101">
        <f>IF(TrRoad_act!L14=0,0,L34/TrRoad_act!L14*1000)</f>
        <v>26.133203645556797</v>
      </c>
      <c r="M98" s="101">
        <f>IF(TrRoad_act!M14=0,0,M34/TrRoad_act!M14*1000)</f>
        <v>26.198206302185305</v>
      </c>
      <c r="N98" s="101">
        <f>IF(TrRoad_act!N14=0,0,N34/TrRoad_act!N14*1000)</f>
        <v>26.132132389304211</v>
      </c>
      <c r="O98" s="101">
        <f>IF(TrRoad_act!O14=0,0,O34/TrRoad_act!O14*1000)</f>
        <v>26.172354255509489</v>
      </c>
      <c r="P98" s="101">
        <f>IF(TrRoad_act!P14=0,0,P34/TrRoad_act!P14*1000)</f>
        <v>26.125080264827197</v>
      </c>
      <c r="Q98" s="101">
        <f>IF(TrRoad_act!Q14=0,0,Q34/TrRoad_act!Q14*1000)</f>
        <v>25.684209873398565</v>
      </c>
      <c r="R98" s="101">
        <f>IF(TrRoad_act!R14=0,0,R34/TrRoad_act!R14*1000)</f>
        <v>25.69551925621165</v>
      </c>
      <c r="S98" s="101">
        <f>IF(TrRoad_act!S14=0,0,S34/TrRoad_act!S14*1000)</f>
        <v>25.778421237098584</v>
      </c>
      <c r="T98" s="101">
        <f>IF(TrRoad_act!T14=0,0,T34/TrRoad_act!T14*1000)</f>
        <v>25.700930113545443</v>
      </c>
      <c r="U98" s="101">
        <f>IF(TrRoad_act!U14=0,0,U34/TrRoad_act!U14*1000)</f>
        <v>25.7466483715267</v>
      </c>
      <c r="V98" s="101">
        <f>IF(TrRoad_act!V14=0,0,V34/TrRoad_act!V14*1000)</f>
        <v>26.326757401551134</v>
      </c>
      <c r="W98" s="101">
        <f>IF(TrRoad_act!W14=0,0,W34/TrRoad_act!W14*1000)</f>
        <v>26.293214658895852</v>
      </c>
      <c r="X98" s="101">
        <f>IF(TrRoad_act!X14=0,0,X34/TrRoad_act!X14*1000)</f>
        <v>25.870209573719794</v>
      </c>
      <c r="Y98" s="101">
        <f>IF(TrRoad_act!Y14=0,0,Y34/TrRoad_act!Y14*1000)</f>
        <v>25.710629070668155</v>
      </c>
      <c r="DA98" s="175" t="s">
        <v>704</v>
      </c>
    </row>
    <row r="99" spans="1:105" ht="11.45" customHeight="1" x14ac:dyDescent="0.25">
      <c r="A99" s="111" t="s">
        <v>111</v>
      </c>
      <c r="B99" s="101">
        <f>IF(TrRoad_act!B15=0,0,B36/TrRoad_act!B15*1000)</f>
        <v>63.786521472075172</v>
      </c>
      <c r="C99" s="101">
        <f>IF(TrRoad_act!C15=0,0,C36/TrRoad_act!C15*1000)</f>
        <v>81.709055209984257</v>
      </c>
      <c r="D99" s="101">
        <f>IF(TrRoad_act!D15=0,0,D36/TrRoad_act!D15*1000)</f>
        <v>78.894912008727871</v>
      </c>
      <c r="E99" s="101">
        <f>IF(TrRoad_act!E15=0,0,E36/TrRoad_act!E15*1000)</f>
        <v>65.488398463518806</v>
      </c>
      <c r="F99" s="101">
        <f>IF(TrRoad_act!F15=0,0,F36/TrRoad_act!F15*1000)</f>
        <v>69.58180115380452</v>
      </c>
      <c r="G99" s="101">
        <f>IF(TrRoad_act!G15=0,0,G36/TrRoad_act!G15*1000)</f>
        <v>51.908763153838052</v>
      </c>
      <c r="H99" s="101">
        <f>IF(TrRoad_act!H15=0,0,H36/TrRoad_act!H15*1000)</f>
        <v>48.354493538965727</v>
      </c>
      <c r="I99" s="101">
        <f>IF(TrRoad_act!I15=0,0,I36/TrRoad_act!I15*1000)</f>
        <v>51.62113203081703</v>
      </c>
      <c r="J99" s="101">
        <f>IF(TrRoad_act!J15=0,0,J36/TrRoad_act!J15*1000)</f>
        <v>43.143415998504942</v>
      </c>
      <c r="K99" s="101">
        <f>IF(TrRoad_act!K15=0,0,K36/TrRoad_act!K15*1000)</f>
        <v>52.499536499167355</v>
      </c>
      <c r="L99" s="101">
        <f>IF(TrRoad_act!L15=0,0,L36/TrRoad_act!L15*1000)</f>
        <v>57.475213599854733</v>
      </c>
      <c r="M99" s="101">
        <f>IF(TrRoad_act!M15=0,0,M36/TrRoad_act!M15*1000)</f>
        <v>60.237359293507119</v>
      </c>
      <c r="N99" s="101">
        <f>IF(TrRoad_act!N15=0,0,N36/TrRoad_act!N15*1000)</f>
        <v>57.208551832603888</v>
      </c>
      <c r="O99" s="101">
        <f>IF(TrRoad_act!O15=0,0,O36/TrRoad_act!O15*1000)</f>
        <v>57.674612871110696</v>
      </c>
      <c r="P99" s="101">
        <f>IF(TrRoad_act!P15=0,0,P36/TrRoad_act!P15*1000)</f>
        <v>56.078956647709319</v>
      </c>
      <c r="Q99" s="101">
        <f>IF(TrRoad_act!Q15=0,0,Q36/TrRoad_act!Q15*1000)</f>
        <v>42.78540034777162</v>
      </c>
      <c r="R99" s="101">
        <f>IF(TrRoad_act!R15=0,0,R36/TrRoad_act!R15*1000)</f>
        <v>43.778690912965189</v>
      </c>
      <c r="S99" s="101">
        <f>IF(TrRoad_act!S15=0,0,S36/TrRoad_act!S15*1000)</f>
        <v>47.212757403639841</v>
      </c>
      <c r="T99" s="101">
        <f>IF(TrRoad_act!T15=0,0,T36/TrRoad_act!T15*1000)</f>
        <v>45.036879210437235</v>
      </c>
      <c r="U99" s="101">
        <f>IF(TrRoad_act!U15=0,0,U36/TrRoad_act!U15*1000)</f>
        <v>45.818138578586883</v>
      </c>
      <c r="V99" s="101">
        <f>IF(TrRoad_act!V15=0,0,V36/TrRoad_act!V15*1000)</f>
        <v>69.09817354026994</v>
      </c>
      <c r="W99" s="101">
        <f>IF(TrRoad_act!W15=0,0,W36/TrRoad_act!W15*1000)</f>
        <v>66.712900006229589</v>
      </c>
      <c r="X99" s="101">
        <f>IF(TrRoad_act!X15=0,0,X36/TrRoad_act!X15*1000)</f>
        <v>64.151079669161362</v>
      </c>
      <c r="Y99" s="101">
        <f>IF(TrRoad_act!Y15=0,0,Y36/TrRoad_act!Y15*1000)</f>
        <v>56.479285811359844</v>
      </c>
      <c r="DA99" s="175" t="s">
        <v>705</v>
      </c>
    </row>
    <row r="100" spans="1:105" ht="11.45" customHeight="1" x14ac:dyDescent="0.25">
      <c r="A100" s="111" t="s">
        <v>112</v>
      </c>
      <c r="B100" s="101">
        <f>IF(TrRoad_act!B16=0,0,B38/TrRoad_act!B16*1000)</f>
        <v>0</v>
      </c>
      <c r="C100" s="101">
        <f>IF(TrRoad_act!C16=0,0,C38/TrRoad_act!C16*1000)</f>
        <v>0</v>
      </c>
      <c r="D100" s="101">
        <f>IF(TrRoad_act!D16=0,0,D38/TrRoad_act!D16*1000)</f>
        <v>0</v>
      </c>
      <c r="E100" s="101">
        <f>IF(TrRoad_act!E16=0,0,E38/TrRoad_act!E16*1000)</f>
        <v>0</v>
      </c>
      <c r="F100" s="101">
        <f>IF(TrRoad_act!F16=0,0,F38/TrRoad_act!F16*1000)</f>
        <v>0</v>
      </c>
      <c r="G100" s="101">
        <f>IF(TrRoad_act!G16=0,0,G38/TrRoad_act!G16*1000)</f>
        <v>0</v>
      </c>
      <c r="H100" s="101">
        <f>IF(TrRoad_act!H16=0,0,H38/TrRoad_act!H16*1000)</f>
        <v>0</v>
      </c>
      <c r="I100" s="101">
        <f>IF(TrRoad_act!I16=0,0,I38/TrRoad_act!I16*1000)</f>
        <v>0</v>
      </c>
      <c r="J100" s="101">
        <f>IF(TrRoad_act!J16=0,0,J38/TrRoad_act!J16*1000)</f>
        <v>36.201513599016806</v>
      </c>
      <c r="K100" s="101">
        <f>IF(TrRoad_act!K16=0,0,K38/TrRoad_act!K16*1000)</f>
        <v>43.420764394042877</v>
      </c>
      <c r="L100" s="101">
        <f>IF(TrRoad_act!L16=0,0,L38/TrRoad_act!L16*1000)</f>
        <v>47.945054441083101</v>
      </c>
      <c r="M100" s="101">
        <f>IF(TrRoad_act!M16=0,0,M38/TrRoad_act!M16*1000)</f>
        <v>50.789785390829977</v>
      </c>
      <c r="N100" s="101">
        <f>IF(TrRoad_act!N16=0,0,N38/TrRoad_act!N16*1000)</f>
        <v>48.524301949448208</v>
      </c>
      <c r="O100" s="101">
        <f>IF(TrRoad_act!O16=0,0,O38/TrRoad_act!O16*1000)</f>
        <v>49.954666342280667</v>
      </c>
      <c r="P100" s="101">
        <f>IF(TrRoad_act!P16=0,0,P38/TrRoad_act!P16*1000)</f>
        <v>48.413879669605791</v>
      </c>
      <c r="Q100" s="101">
        <f>IF(TrRoad_act!Q16=0,0,Q38/TrRoad_act!Q16*1000)</f>
        <v>37.111051630147259</v>
      </c>
      <c r="R100" s="101">
        <f>IF(TrRoad_act!R16=0,0,R38/TrRoad_act!R16*1000)</f>
        <v>37.392700808042882</v>
      </c>
      <c r="S100" s="101">
        <f>IF(TrRoad_act!S16=0,0,S38/TrRoad_act!S16*1000)</f>
        <v>39.211014677641892</v>
      </c>
      <c r="T100" s="101">
        <f>IF(TrRoad_act!T16=0,0,T38/TrRoad_act!T16*1000)</f>
        <v>37.668127647604699</v>
      </c>
      <c r="U100" s="101">
        <f>IF(TrRoad_act!U16=0,0,U38/TrRoad_act!U16*1000)</f>
        <v>38.685326629776704</v>
      </c>
      <c r="V100" s="101">
        <f>IF(TrRoad_act!V16=0,0,V38/TrRoad_act!V16*1000)</f>
        <v>56.728966323856696</v>
      </c>
      <c r="W100" s="101">
        <f>IF(TrRoad_act!W16=0,0,W38/TrRoad_act!W16*1000)</f>
        <v>55.334850806705539</v>
      </c>
      <c r="X100" s="101">
        <f>IF(TrRoad_act!X16=0,0,X38/TrRoad_act!X16*1000)</f>
        <v>52.94824640466198</v>
      </c>
      <c r="Y100" s="101">
        <f>IF(TrRoad_act!Y16=0,0,Y38/TrRoad_act!Y16*1000)</f>
        <v>47.455723049143621</v>
      </c>
      <c r="DA100" s="175" t="s">
        <v>706</v>
      </c>
    </row>
    <row r="101" spans="1:105" ht="11.45" customHeight="1" x14ac:dyDescent="0.25">
      <c r="A101" s="111" t="s">
        <v>113</v>
      </c>
      <c r="B101" s="101">
        <f>IF(TrRoad_act!B17=0,0,B39/TrRoad_act!B17*1000)</f>
        <v>0</v>
      </c>
      <c r="C101" s="101">
        <f>IF(TrRoad_act!C17=0,0,C39/TrRoad_act!C17*1000)</f>
        <v>0</v>
      </c>
      <c r="D101" s="101">
        <f>IF(TrRoad_act!D17=0,0,D39/TrRoad_act!D17*1000)</f>
        <v>0</v>
      </c>
      <c r="E101" s="101">
        <f>IF(TrRoad_act!E17=0,0,E39/TrRoad_act!E17*1000)</f>
        <v>0</v>
      </c>
      <c r="F101" s="101">
        <f>IF(TrRoad_act!F17=0,0,F39/TrRoad_act!F17*1000)</f>
        <v>0</v>
      </c>
      <c r="G101" s="101">
        <f>IF(TrRoad_act!G17=0,0,G39/TrRoad_act!G17*1000)</f>
        <v>0</v>
      </c>
      <c r="H101" s="101">
        <f>IF(TrRoad_act!H17=0,0,H39/TrRoad_act!H17*1000)</f>
        <v>0</v>
      </c>
      <c r="I101" s="101">
        <f>IF(TrRoad_act!I17=0,0,I39/TrRoad_act!I17*1000)</f>
        <v>0</v>
      </c>
      <c r="J101" s="101">
        <f>IF(TrRoad_act!J17=0,0,J39/TrRoad_act!J17*1000)</f>
        <v>0</v>
      </c>
      <c r="K101" s="101">
        <f>IF(TrRoad_act!K17=0,0,K39/TrRoad_act!K17*1000)</f>
        <v>0</v>
      </c>
      <c r="L101" s="101">
        <f>IF(TrRoad_act!L17=0,0,L39/TrRoad_act!L17*1000)</f>
        <v>0</v>
      </c>
      <c r="M101" s="101">
        <f>IF(TrRoad_act!M17=0,0,M39/TrRoad_act!M17*1000)</f>
        <v>0</v>
      </c>
      <c r="N101" s="101">
        <f>IF(TrRoad_act!N17=0,0,N39/TrRoad_act!N17*1000)</f>
        <v>0</v>
      </c>
      <c r="O101" s="101">
        <f>IF(TrRoad_act!O17=0,0,O39/TrRoad_act!O17*1000)</f>
        <v>0</v>
      </c>
      <c r="P101" s="101">
        <f>IF(TrRoad_act!P17=0,0,P39/TrRoad_act!P17*1000)</f>
        <v>0</v>
      </c>
      <c r="Q101" s="101">
        <f>IF(TrRoad_act!Q17=0,0,Q39/TrRoad_act!Q17*1000)</f>
        <v>0</v>
      </c>
      <c r="R101" s="101">
        <f>IF(TrRoad_act!R17=0,0,R39/TrRoad_act!R17*1000)</f>
        <v>0</v>
      </c>
      <c r="S101" s="101">
        <f>IF(TrRoad_act!S17=0,0,S39/TrRoad_act!S17*1000)</f>
        <v>0</v>
      </c>
      <c r="T101" s="101">
        <f>IF(TrRoad_act!T17=0,0,T39/TrRoad_act!T17*1000)</f>
        <v>0</v>
      </c>
      <c r="U101" s="101">
        <f>IF(TrRoad_act!U17=0,0,U39/TrRoad_act!U17*1000)</f>
        <v>0</v>
      </c>
      <c r="V101" s="101">
        <f>IF(TrRoad_act!V17=0,0,V39/TrRoad_act!V17*1000)</f>
        <v>0</v>
      </c>
      <c r="W101" s="101">
        <f>IF(TrRoad_act!W17=0,0,W39/TrRoad_act!W17*1000)</f>
        <v>0</v>
      </c>
      <c r="X101" s="101">
        <f>IF(TrRoad_act!X17=0,0,X39/TrRoad_act!X17*1000)</f>
        <v>0</v>
      </c>
      <c r="Y101" s="101">
        <f>IF(TrRoad_act!Y17=0,0,Y39/TrRoad_act!Y17*1000)</f>
        <v>0</v>
      </c>
      <c r="DA101" s="175" t="s">
        <v>707</v>
      </c>
    </row>
    <row r="102" spans="1:105" ht="11.45" customHeight="1" x14ac:dyDescent="0.25">
      <c r="A102" s="111" t="s">
        <v>115</v>
      </c>
      <c r="B102" s="101">
        <f>IF(TrRoad_act!B18=0,0,B41/TrRoad_act!B18*1000)</f>
        <v>0</v>
      </c>
      <c r="C102" s="101">
        <f>IF(TrRoad_act!C18=0,0,C41/TrRoad_act!C18*1000)</f>
        <v>0</v>
      </c>
      <c r="D102" s="101">
        <f>IF(TrRoad_act!D18=0,0,D41/TrRoad_act!D18*1000)</f>
        <v>0</v>
      </c>
      <c r="E102" s="101">
        <f>IF(TrRoad_act!E18=0,0,E41/TrRoad_act!E18*1000)</f>
        <v>0</v>
      </c>
      <c r="F102" s="101">
        <f>IF(TrRoad_act!F18=0,0,F41/TrRoad_act!F18*1000)</f>
        <v>0</v>
      </c>
      <c r="G102" s="101">
        <f>IF(TrRoad_act!G18=0,0,G41/TrRoad_act!G18*1000)</f>
        <v>0</v>
      </c>
      <c r="H102" s="101">
        <f>IF(TrRoad_act!H18=0,0,H41/TrRoad_act!H18*1000)</f>
        <v>0</v>
      </c>
      <c r="I102" s="101">
        <f>IF(TrRoad_act!I18=0,0,I41/TrRoad_act!I18*1000)</f>
        <v>0</v>
      </c>
      <c r="J102" s="101">
        <f>IF(TrRoad_act!J18=0,0,J41/TrRoad_act!J18*1000)</f>
        <v>0</v>
      </c>
      <c r="K102" s="101">
        <f>IF(TrRoad_act!K18=0,0,K41/TrRoad_act!K18*1000)</f>
        <v>0</v>
      </c>
      <c r="L102" s="101">
        <f>IF(TrRoad_act!L18=0,0,L41/TrRoad_act!L18*1000)</f>
        <v>0</v>
      </c>
      <c r="M102" s="101">
        <f>IF(TrRoad_act!M18=0,0,M41/TrRoad_act!M18*1000)</f>
        <v>0</v>
      </c>
      <c r="N102" s="101">
        <f>IF(TrRoad_act!N18=0,0,N41/TrRoad_act!N18*1000)</f>
        <v>0</v>
      </c>
      <c r="O102" s="101">
        <f>IF(TrRoad_act!O18=0,0,O41/TrRoad_act!O18*1000)</f>
        <v>33.037203524789966</v>
      </c>
      <c r="P102" s="101">
        <f>IF(TrRoad_act!P18=0,0,P41/TrRoad_act!P18*1000)</f>
        <v>32.114530581713865</v>
      </c>
      <c r="Q102" s="101">
        <f>IF(TrRoad_act!Q18=0,0,Q41/TrRoad_act!Q18*1000)</f>
        <v>24.753650266500603</v>
      </c>
      <c r="R102" s="101">
        <f>IF(TrRoad_act!R18=0,0,R41/TrRoad_act!R18*1000)</f>
        <v>25.046409951490755</v>
      </c>
      <c r="S102" s="101">
        <f>IF(TrRoad_act!S18=0,0,S41/TrRoad_act!S18*1000)</f>
        <v>26.180274005886151</v>
      </c>
      <c r="T102" s="101">
        <f>IF(TrRoad_act!T18=0,0,T41/TrRoad_act!T18*1000)</f>
        <v>24.672480380862044</v>
      </c>
      <c r="U102" s="101">
        <f>IF(TrRoad_act!U18=0,0,U41/TrRoad_act!U18*1000)</f>
        <v>24.967702522989189</v>
      </c>
      <c r="V102" s="101">
        <f>IF(TrRoad_act!V18=0,0,V41/TrRoad_act!V18*1000)</f>
        <v>35.676785766623226</v>
      </c>
      <c r="W102" s="101">
        <f>IF(TrRoad_act!W18=0,0,W41/TrRoad_act!W18*1000)</f>
        <v>34.455714820167408</v>
      </c>
      <c r="X102" s="101">
        <f>IF(TrRoad_act!X18=0,0,X41/TrRoad_act!X18*1000)</f>
        <v>32.245441573557926</v>
      </c>
      <c r="Y102" s="101">
        <f>IF(TrRoad_act!Y18=0,0,Y41/TrRoad_act!Y18*1000)</f>
        <v>27.948069791292291</v>
      </c>
      <c r="DA102" s="175" t="s">
        <v>708</v>
      </c>
    </row>
    <row r="103" spans="1:105" ht="11.45" customHeight="1" x14ac:dyDescent="0.25">
      <c r="A103" s="27" t="s">
        <v>156</v>
      </c>
      <c r="B103" s="29">
        <f>IF(TrRoad_act!B19=0,0,B42/TrRoad_act!B19*1000)</f>
        <v>44.921223143121047</v>
      </c>
      <c r="C103" s="29">
        <f>IF(TrRoad_act!C19=0,0,C42/TrRoad_act!C19*1000)</f>
        <v>53.842843870143469</v>
      </c>
      <c r="D103" s="29">
        <f>IF(TrRoad_act!D19=0,0,D42/TrRoad_act!D19*1000)</f>
        <v>55.485145785913019</v>
      </c>
      <c r="E103" s="29">
        <f>IF(TrRoad_act!E19=0,0,E42/TrRoad_act!E19*1000)</f>
        <v>54.530628742925046</v>
      </c>
      <c r="F103" s="29">
        <f>IF(TrRoad_act!F19=0,0,F42/TrRoad_act!F19*1000)</f>
        <v>46.636901543946266</v>
      </c>
      <c r="G103" s="29">
        <f>IF(TrRoad_act!G19=0,0,G42/TrRoad_act!G19*1000)</f>
        <v>35.940198647882532</v>
      </c>
      <c r="H103" s="29">
        <f>IF(TrRoad_act!H19=0,0,H42/TrRoad_act!H19*1000)</f>
        <v>41.314539081563112</v>
      </c>
      <c r="I103" s="29">
        <f>IF(TrRoad_act!I19=0,0,I42/TrRoad_act!I19*1000)</f>
        <v>35.954625894116802</v>
      </c>
      <c r="J103" s="29">
        <f>IF(TrRoad_act!J19=0,0,J42/TrRoad_act!J19*1000)</f>
        <v>42.088558991000369</v>
      </c>
      <c r="K103" s="29">
        <f>IF(TrRoad_act!K19=0,0,K42/TrRoad_act!K19*1000)</f>
        <v>50.837147468621104</v>
      </c>
      <c r="L103" s="29">
        <f>IF(TrRoad_act!L19=0,0,L42/TrRoad_act!L19*1000)</f>
        <v>65.432449119006947</v>
      </c>
      <c r="M103" s="29">
        <f>IF(TrRoad_act!M19=0,0,M42/TrRoad_act!M19*1000)</f>
        <v>69.522575781007674</v>
      </c>
      <c r="N103" s="29">
        <f>IF(TrRoad_act!N19=0,0,N42/TrRoad_act!N19*1000)</f>
        <v>63.739756833555759</v>
      </c>
      <c r="O103" s="29">
        <f>IF(TrRoad_act!O19=0,0,O42/TrRoad_act!O19*1000)</f>
        <v>63.729988816231156</v>
      </c>
      <c r="P103" s="29">
        <f>IF(TrRoad_act!P19=0,0,P42/TrRoad_act!P19*1000)</f>
        <v>64.996249657449894</v>
      </c>
      <c r="Q103" s="29">
        <f>IF(TrRoad_act!Q19=0,0,Q42/TrRoad_act!Q19*1000)</f>
        <v>64.452695931418049</v>
      </c>
      <c r="R103" s="29">
        <f>IF(TrRoad_act!R19=0,0,R42/TrRoad_act!R19*1000)</f>
        <v>64.884811511717984</v>
      </c>
      <c r="S103" s="29">
        <f>IF(TrRoad_act!S19=0,0,S42/TrRoad_act!S19*1000)</f>
        <v>66.153454572864092</v>
      </c>
      <c r="T103" s="29">
        <f>IF(TrRoad_act!T19=0,0,T42/TrRoad_act!T19*1000)</f>
        <v>64.641361107867354</v>
      </c>
      <c r="U103" s="29">
        <f>IF(TrRoad_act!U19=0,0,U42/TrRoad_act!U19*1000)</f>
        <v>61.932746361910475</v>
      </c>
      <c r="V103" s="29">
        <f>IF(TrRoad_act!V19=0,0,V42/TrRoad_act!V19*1000)</f>
        <v>63.428642218534215</v>
      </c>
      <c r="W103" s="29">
        <f>IF(TrRoad_act!W19=0,0,W42/TrRoad_act!W19*1000)</f>
        <v>56.206764943841115</v>
      </c>
      <c r="X103" s="29">
        <f>IF(TrRoad_act!X19=0,0,X42/TrRoad_act!X19*1000)</f>
        <v>59.772228746087158</v>
      </c>
      <c r="Y103" s="29">
        <f>IF(TrRoad_act!Y19=0,0,Y42/TrRoad_act!Y19*1000)</f>
        <v>59.432268494746495</v>
      </c>
      <c r="DA103" s="173" t="s">
        <v>425</v>
      </c>
    </row>
    <row r="104" spans="1:105" ht="11.45" customHeight="1" x14ac:dyDescent="0.25">
      <c r="A104" s="136" t="s">
        <v>153</v>
      </c>
      <c r="B104" s="152">
        <f>IF(TrRoad_act!B20=0,0,B43/TrRoad_act!B20*1000)</f>
        <v>327.09249974313803</v>
      </c>
      <c r="C104" s="152">
        <f>IF(TrRoad_act!C20=0,0,C43/TrRoad_act!C20*1000)</f>
        <v>331.32075984498005</v>
      </c>
      <c r="D104" s="152">
        <f>IF(TrRoad_act!D20=0,0,D43/TrRoad_act!D20*1000)</f>
        <v>328.7801535616216</v>
      </c>
      <c r="E104" s="152">
        <f>IF(TrRoad_act!E20=0,0,E43/TrRoad_act!E20*1000)</f>
        <v>325.53157006679049</v>
      </c>
      <c r="F104" s="152">
        <f>IF(TrRoad_act!F20=0,0,F43/TrRoad_act!F20*1000)</f>
        <v>312.94930001633583</v>
      </c>
      <c r="G104" s="152">
        <f>IF(TrRoad_act!G20=0,0,G43/TrRoad_act!G20*1000)</f>
        <v>317.83598939642098</v>
      </c>
      <c r="H104" s="152">
        <f>IF(TrRoad_act!H20=0,0,H43/TrRoad_act!H20*1000)</f>
        <v>316.93930651448005</v>
      </c>
      <c r="I104" s="152">
        <f>IF(TrRoad_act!I20=0,0,I43/TrRoad_act!I20*1000)</f>
        <v>308.46683688172129</v>
      </c>
      <c r="J104" s="152">
        <f>IF(TrRoad_act!J20=0,0,J43/TrRoad_act!J20*1000)</f>
        <v>306.57803835836773</v>
      </c>
      <c r="K104" s="152">
        <f>IF(TrRoad_act!K20=0,0,K43/TrRoad_act!K20*1000)</f>
        <v>306.1811807838659</v>
      </c>
      <c r="L104" s="152">
        <f>IF(TrRoad_act!L20=0,0,L43/TrRoad_act!L20*1000)</f>
        <v>300.5457640715511</v>
      </c>
      <c r="M104" s="152">
        <f>IF(TrRoad_act!M20=0,0,M43/TrRoad_act!M20*1000)</f>
        <v>300.26255009769221</v>
      </c>
      <c r="N104" s="152">
        <f>IF(TrRoad_act!N20=0,0,N43/TrRoad_act!N20*1000)</f>
        <v>305.42219117948014</v>
      </c>
      <c r="O104" s="152">
        <f>IF(TrRoad_act!O20=0,0,O43/TrRoad_act!O20*1000)</f>
        <v>294.58750361151158</v>
      </c>
      <c r="P104" s="152">
        <f>IF(TrRoad_act!P20=0,0,P43/TrRoad_act!P20*1000)</f>
        <v>288.73678822240709</v>
      </c>
      <c r="Q104" s="152">
        <f>IF(TrRoad_act!Q20=0,0,Q43/TrRoad_act!Q20*1000)</f>
        <v>282.80943983542522</v>
      </c>
      <c r="R104" s="152">
        <f>IF(TrRoad_act!R20=0,0,R43/TrRoad_act!R20*1000)</f>
        <v>284.41231731206182</v>
      </c>
      <c r="S104" s="152">
        <f>IF(TrRoad_act!S20=0,0,S43/TrRoad_act!S20*1000)</f>
        <v>283.28425649716741</v>
      </c>
      <c r="T104" s="152">
        <f>IF(TrRoad_act!T20=0,0,T43/TrRoad_act!T20*1000)</f>
        <v>276.86113555580914</v>
      </c>
      <c r="U104" s="152">
        <f>IF(TrRoad_act!U20=0,0,U43/TrRoad_act!U20*1000)</f>
        <v>271.66336635936904</v>
      </c>
      <c r="V104" s="152">
        <f>IF(TrRoad_act!V20=0,0,V43/TrRoad_act!V20*1000)</f>
        <v>266.13300268494851</v>
      </c>
      <c r="W104" s="152">
        <f>IF(TrRoad_act!W20=0,0,W43/TrRoad_act!W20*1000)</f>
        <v>264.72454031537808</v>
      </c>
      <c r="X104" s="152">
        <f>IF(TrRoad_act!X20=0,0,X43/TrRoad_act!X20*1000)</f>
        <v>265.75161158218305</v>
      </c>
      <c r="Y104" s="152">
        <f>IF(TrRoad_act!Y20=0,0,Y43/TrRoad_act!Y20*1000)</f>
        <v>261.23230286200896</v>
      </c>
      <c r="DA104" s="174" t="s">
        <v>426</v>
      </c>
    </row>
    <row r="105" spans="1:105" ht="11.45" customHeight="1" x14ac:dyDescent="0.25">
      <c r="A105" s="111" t="s">
        <v>110</v>
      </c>
      <c r="B105" s="87">
        <f>IF(TrRoad_act!B21=0,0,B44/TrRoad_act!B21*1000)</f>
        <v>467.39101447513559</v>
      </c>
      <c r="C105" s="87">
        <f>IF(TrRoad_act!C21=0,0,C44/TrRoad_act!C21*1000)</f>
        <v>458.63108955452702</v>
      </c>
      <c r="D105" s="87">
        <f>IF(TrRoad_act!D21=0,0,D44/TrRoad_act!D21*1000)</f>
        <v>448.95812204885021</v>
      </c>
      <c r="E105" s="87">
        <f>IF(TrRoad_act!E21=0,0,E44/TrRoad_act!E21*1000)</f>
        <v>437.31350798790186</v>
      </c>
      <c r="F105" s="87">
        <f>IF(TrRoad_act!F21=0,0,F44/TrRoad_act!F21*1000)</f>
        <v>425.57761429346749</v>
      </c>
      <c r="G105" s="87">
        <f>IF(TrRoad_act!G21=0,0,G44/TrRoad_act!G21*1000)</f>
        <v>416.24919227547485</v>
      </c>
      <c r="H105" s="87">
        <f>IF(TrRoad_act!H21=0,0,H44/TrRoad_act!H21*1000)</f>
        <v>402.67902323236211</v>
      </c>
      <c r="I105" s="87">
        <f>IF(TrRoad_act!I21=0,0,I44/TrRoad_act!I21*1000)</f>
        <v>393.32715440171245</v>
      </c>
      <c r="J105" s="87">
        <f>IF(TrRoad_act!J21=0,0,J44/TrRoad_act!J21*1000)</f>
        <v>386.37251888646284</v>
      </c>
      <c r="K105" s="87">
        <f>IF(TrRoad_act!K21=0,0,K44/TrRoad_act!K21*1000)</f>
        <v>379.12801927034042</v>
      </c>
      <c r="L105" s="87">
        <f>IF(TrRoad_act!L21=0,0,L44/TrRoad_act!L21*1000)</f>
        <v>372.85899481239323</v>
      </c>
      <c r="M105" s="87">
        <f>IF(TrRoad_act!M21=0,0,M44/TrRoad_act!M21*1000)</f>
        <v>366.94007730896021</v>
      </c>
      <c r="N105" s="87">
        <f>IF(TrRoad_act!N21=0,0,N44/TrRoad_act!N21*1000)</f>
        <v>360.69089307540133</v>
      </c>
      <c r="O105" s="87">
        <f>IF(TrRoad_act!O21=0,0,O44/TrRoad_act!O21*1000)</f>
        <v>359.77585330122736</v>
      </c>
      <c r="P105" s="87">
        <f>IF(TrRoad_act!P21=0,0,P44/TrRoad_act!P21*1000)</f>
        <v>353.25751355835405</v>
      </c>
      <c r="Q105" s="87">
        <f>IF(TrRoad_act!Q21=0,0,Q44/TrRoad_act!Q21*1000)</f>
        <v>346.04898339859449</v>
      </c>
      <c r="R105" s="87">
        <f>IF(TrRoad_act!R21=0,0,R44/TrRoad_act!R21*1000)</f>
        <v>339.97560111917255</v>
      </c>
      <c r="S105" s="87">
        <f>IF(TrRoad_act!S21=0,0,S44/TrRoad_act!S21*1000)</f>
        <v>330.84302556150453</v>
      </c>
      <c r="T105" s="87">
        <f>IF(TrRoad_act!T21=0,0,T44/TrRoad_act!T21*1000)</f>
        <v>325.38781000006395</v>
      </c>
      <c r="U105" s="87">
        <f>IF(TrRoad_act!U21=0,0,U44/TrRoad_act!U21*1000)</f>
        <v>322.59338289990666</v>
      </c>
      <c r="V105" s="87">
        <f>IF(TrRoad_act!V21=0,0,V44/TrRoad_act!V21*1000)</f>
        <v>320.16974418686289</v>
      </c>
      <c r="W105" s="87">
        <f>IF(TrRoad_act!W21=0,0,W44/TrRoad_act!W21*1000)</f>
        <v>315.99655621169325</v>
      </c>
      <c r="X105" s="87">
        <f>IF(TrRoad_act!X21=0,0,X44/TrRoad_act!X21*1000)</f>
        <v>309.81092806642988</v>
      </c>
      <c r="Y105" s="87">
        <f>IF(TrRoad_act!Y21=0,0,Y44/TrRoad_act!Y21*1000)</f>
        <v>305.40421993468919</v>
      </c>
      <c r="DA105" s="171" t="s">
        <v>709</v>
      </c>
    </row>
    <row r="106" spans="1:105" ht="11.45" customHeight="1" x14ac:dyDescent="0.25">
      <c r="A106" s="111" t="s">
        <v>111</v>
      </c>
      <c r="B106" s="87">
        <f>IF(TrRoad_act!B22=0,0,B46/TrRoad_act!B22*1000)</f>
        <v>270.19471218391124</v>
      </c>
      <c r="C106" s="87">
        <f>IF(TrRoad_act!C22=0,0,C46/TrRoad_act!C22*1000)</f>
        <v>281.2815983097023</v>
      </c>
      <c r="D106" s="87">
        <f>IF(TrRoad_act!D22=0,0,D46/TrRoad_act!D22*1000)</f>
        <v>283.29489201673317</v>
      </c>
      <c r="E106" s="87">
        <f>IF(TrRoad_act!E22=0,0,E46/TrRoad_act!E22*1000)</f>
        <v>284.88165593163296</v>
      </c>
      <c r="F106" s="87">
        <f>IF(TrRoad_act!F22=0,0,F46/TrRoad_act!F22*1000)</f>
        <v>273.6223016237609</v>
      </c>
      <c r="G106" s="87">
        <f>IF(TrRoad_act!G22=0,0,G46/TrRoad_act!G22*1000)</f>
        <v>284.72340250083789</v>
      </c>
      <c r="H106" s="87">
        <f>IF(TrRoad_act!H22=0,0,H46/TrRoad_act!H22*1000)</f>
        <v>289.48284531387816</v>
      </c>
      <c r="I106" s="87">
        <f>IF(TrRoad_act!I22=0,0,I46/TrRoad_act!I22*1000)</f>
        <v>282.37302155788939</v>
      </c>
      <c r="J106" s="87">
        <f>IF(TrRoad_act!J22=0,0,J46/TrRoad_act!J22*1000)</f>
        <v>286.2741898838205</v>
      </c>
      <c r="K106" s="87">
        <f>IF(TrRoad_act!K22=0,0,K46/TrRoad_act!K22*1000)</f>
        <v>288.70123867852794</v>
      </c>
      <c r="L106" s="87">
        <f>IF(TrRoad_act!L22=0,0,L46/TrRoad_act!L22*1000)</f>
        <v>284.42056444285606</v>
      </c>
      <c r="M106" s="87">
        <f>IF(TrRoad_act!M22=0,0,M46/TrRoad_act!M22*1000)</f>
        <v>286.99277253954557</v>
      </c>
      <c r="N106" s="87">
        <f>IF(TrRoad_act!N22=0,0,N46/TrRoad_act!N22*1000)</f>
        <v>295.38482377362391</v>
      </c>
      <c r="O106" s="87">
        <f>IF(TrRoad_act!O22=0,0,O46/TrRoad_act!O22*1000)</f>
        <v>284.57123872123185</v>
      </c>
      <c r="P106" s="87">
        <f>IF(TrRoad_act!P22=0,0,P46/TrRoad_act!P22*1000)</f>
        <v>280.47764078920494</v>
      </c>
      <c r="Q106" s="87">
        <f>IF(TrRoad_act!Q22=0,0,Q46/TrRoad_act!Q22*1000)</f>
        <v>276.20526475377108</v>
      </c>
      <c r="R106" s="87">
        <f>IF(TrRoad_act!R22=0,0,R46/TrRoad_act!R22*1000)</f>
        <v>278.43159959923247</v>
      </c>
      <c r="S106" s="87">
        <f>IF(TrRoad_act!S22=0,0,S46/TrRoad_act!S22*1000)</f>
        <v>278.3933894275799</v>
      </c>
      <c r="T106" s="87">
        <f>IF(TrRoad_act!T22=0,0,T46/TrRoad_act!T22*1000)</f>
        <v>272.2768376151372</v>
      </c>
      <c r="U106" s="87">
        <f>IF(TrRoad_act!U22=0,0,U46/TrRoad_act!U22*1000)</f>
        <v>267.34837512475491</v>
      </c>
      <c r="V106" s="87">
        <f>IF(TrRoad_act!V22=0,0,V46/TrRoad_act!V22*1000)</f>
        <v>261.94206091510995</v>
      </c>
      <c r="W106" s="87">
        <f>IF(TrRoad_act!W22=0,0,W46/TrRoad_act!W22*1000)</f>
        <v>261.01536235562446</v>
      </c>
      <c r="X106" s="87">
        <f>IF(TrRoad_act!X22=0,0,X46/TrRoad_act!X22*1000)</f>
        <v>262.74921221542752</v>
      </c>
      <c r="Y106" s="87">
        <f>IF(TrRoad_act!Y22=0,0,Y46/TrRoad_act!Y22*1000)</f>
        <v>258.36737618466572</v>
      </c>
      <c r="DA106" s="171" t="s">
        <v>710</v>
      </c>
    </row>
    <row r="107" spans="1:105" ht="11.45" customHeight="1" x14ac:dyDescent="0.25">
      <c r="A107" s="111" t="s">
        <v>112</v>
      </c>
      <c r="B107" s="87">
        <f>IF(TrRoad_act!B23=0,0,B48/TrRoad_act!B23*1000)</f>
        <v>0</v>
      </c>
      <c r="C107" s="87">
        <f>IF(TrRoad_act!C23=0,0,C48/TrRoad_act!C23*1000)</f>
        <v>0</v>
      </c>
      <c r="D107" s="87">
        <f>IF(TrRoad_act!D23=0,0,D48/TrRoad_act!D23*1000)</f>
        <v>0</v>
      </c>
      <c r="E107" s="87">
        <f>IF(TrRoad_act!E23=0,0,E48/TrRoad_act!E23*1000)</f>
        <v>0</v>
      </c>
      <c r="F107" s="87">
        <f>IF(TrRoad_act!F23=0,0,F48/TrRoad_act!F23*1000)</f>
        <v>0</v>
      </c>
      <c r="G107" s="87">
        <f>IF(TrRoad_act!G23=0,0,G48/TrRoad_act!G23*1000)</f>
        <v>0</v>
      </c>
      <c r="H107" s="87">
        <f>IF(TrRoad_act!H23=0,0,H48/TrRoad_act!H23*1000)</f>
        <v>0</v>
      </c>
      <c r="I107" s="87">
        <f>IF(TrRoad_act!I23=0,0,I48/TrRoad_act!I23*1000)</f>
        <v>0</v>
      </c>
      <c r="J107" s="87">
        <f>IF(TrRoad_act!J23=0,0,J48/TrRoad_act!J23*1000)</f>
        <v>707.0817966492973</v>
      </c>
      <c r="K107" s="87">
        <f>IF(TrRoad_act!K23=0,0,K48/TrRoad_act!K23*1000)</f>
        <v>706.53258885583898</v>
      </c>
      <c r="L107" s="87">
        <f>IF(TrRoad_act!L23=0,0,L48/TrRoad_act!L23*1000)</f>
        <v>705.85324673395075</v>
      </c>
      <c r="M107" s="87">
        <f>IF(TrRoad_act!M23=0,0,M48/TrRoad_act!M23*1000)</f>
        <v>676.65701344193644</v>
      </c>
      <c r="N107" s="87">
        <f>IF(TrRoad_act!N23=0,0,N48/TrRoad_act!N23*1000)</f>
        <v>641.33258331641355</v>
      </c>
      <c r="O107" s="87">
        <f>IF(TrRoad_act!O23=0,0,O48/TrRoad_act!O23*1000)</f>
        <v>641.00808960814743</v>
      </c>
      <c r="P107" s="87">
        <f>IF(TrRoad_act!P23=0,0,P48/TrRoad_act!P23*1000)</f>
        <v>591.88782491325401</v>
      </c>
      <c r="Q107" s="87">
        <f>IF(TrRoad_act!Q23=0,0,Q48/TrRoad_act!Q23*1000)</f>
        <v>571.79684501431984</v>
      </c>
      <c r="R107" s="87">
        <f>IF(TrRoad_act!R23=0,0,R48/TrRoad_act!R23*1000)</f>
        <v>496.44253424132006</v>
      </c>
      <c r="S107" s="87">
        <f>IF(TrRoad_act!S23=0,0,S48/TrRoad_act!S23*1000)</f>
        <v>497.24962144907528</v>
      </c>
      <c r="T107" s="87">
        <f>IF(TrRoad_act!T23=0,0,T48/TrRoad_act!T23*1000)</f>
        <v>488.33220734383144</v>
      </c>
      <c r="U107" s="87">
        <f>IF(TrRoad_act!U23=0,0,U48/TrRoad_act!U23*1000)</f>
        <v>488.11008111574557</v>
      </c>
      <c r="V107" s="87">
        <f>IF(TrRoad_act!V23=0,0,V48/TrRoad_act!V23*1000)</f>
        <v>476.35918685930125</v>
      </c>
      <c r="W107" s="87">
        <f>IF(TrRoad_act!W23=0,0,W48/TrRoad_act!W23*1000)</f>
        <v>438.62731931364129</v>
      </c>
      <c r="X107" s="87">
        <f>IF(TrRoad_act!X23=0,0,X48/TrRoad_act!X23*1000)</f>
        <v>399.57746249266029</v>
      </c>
      <c r="Y107" s="87">
        <f>IF(TrRoad_act!Y23=0,0,Y48/TrRoad_act!Y23*1000)</f>
        <v>379.3831767580624</v>
      </c>
      <c r="DA107" s="171" t="s">
        <v>711</v>
      </c>
    </row>
    <row r="108" spans="1:105" ht="11.45" customHeight="1" x14ac:dyDescent="0.25">
      <c r="A108" s="111" t="s">
        <v>113</v>
      </c>
      <c r="B108" s="87">
        <f>IF(TrRoad_act!B24=0,0,B49/TrRoad_act!B24*1000)</f>
        <v>0</v>
      </c>
      <c r="C108" s="87">
        <f>IF(TrRoad_act!C24=0,0,C49/TrRoad_act!C24*1000)</f>
        <v>0</v>
      </c>
      <c r="D108" s="87">
        <f>IF(TrRoad_act!D24=0,0,D49/TrRoad_act!D24*1000)</f>
        <v>0</v>
      </c>
      <c r="E108" s="87">
        <f>IF(TrRoad_act!E24=0,0,E49/TrRoad_act!E24*1000)</f>
        <v>0</v>
      </c>
      <c r="F108" s="87">
        <f>IF(TrRoad_act!F24=0,0,F49/TrRoad_act!F24*1000)</f>
        <v>0</v>
      </c>
      <c r="G108" s="87">
        <f>IF(TrRoad_act!G24=0,0,G49/TrRoad_act!G24*1000)</f>
        <v>0</v>
      </c>
      <c r="H108" s="87">
        <f>IF(TrRoad_act!H24=0,0,H49/TrRoad_act!H24*1000)</f>
        <v>0</v>
      </c>
      <c r="I108" s="87">
        <f>IF(TrRoad_act!I24=0,0,I49/TrRoad_act!I24*1000)</f>
        <v>0</v>
      </c>
      <c r="J108" s="87">
        <f>IF(TrRoad_act!J24=0,0,J49/TrRoad_act!J24*1000)</f>
        <v>0</v>
      </c>
      <c r="K108" s="87">
        <f>IF(TrRoad_act!K24=0,0,K49/TrRoad_act!K24*1000)</f>
        <v>0</v>
      </c>
      <c r="L108" s="87">
        <f>IF(TrRoad_act!L24=0,0,L49/TrRoad_act!L24*1000)</f>
        <v>0</v>
      </c>
      <c r="M108" s="87">
        <f>IF(TrRoad_act!M24=0,0,M49/TrRoad_act!M24*1000)</f>
        <v>0</v>
      </c>
      <c r="N108" s="87">
        <f>IF(TrRoad_act!N24=0,0,N49/TrRoad_act!N24*1000)</f>
        <v>0</v>
      </c>
      <c r="O108" s="87">
        <f>IF(TrRoad_act!O24=0,0,O49/TrRoad_act!O24*1000)</f>
        <v>0</v>
      </c>
      <c r="P108" s="87">
        <f>IF(TrRoad_act!P24=0,0,P49/TrRoad_act!P24*1000)</f>
        <v>0</v>
      </c>
      <c r="Q108" s="87">
        <f>IF(TrRoad_act!Q24=0,0,Q49/TrRoad_act!Q24*1000)</f>
        <v>0</v>
      </c>
      <c r="R108" s="87">
        <f>IF(TrRoad_act!R24=0,0,R49/TrRoad_act!R24*1000)</f>
        <v>0</v>
      </c>
      <c r="S108" s="87">
        <f>IF(TrRoad_act!S24=0,0,S49/TrRoad_act!S24*1000)</f>
        <v>0</v>
      </c>
      <c r="T108" s="87">
        <f>IF(TrRoad_act!T24=0,0,T49/TrRoad_act!T24*1000)</f>
        <v>0</v>
      </c>
      <c r="U108" s="87">
        <f>IF(TrRoad_act!U24=0,0,U49/TrRoad_act!U24*1000)</f>
        <v>0</v>
      </c>
      <c r="V108" s="87">
        <f>IF(TrRoad_act!V24=0,0,V49/TrRoad_act!V24*1000)</f>
        <v>0</v>
      </c>
      <c r="W108" s="87">
        <f>IF(TrRoad_act!W24=0,0,W49/TrRoad_act!W24*1000)</f>
        <v>0</v>
      </c>
      <c r="X108" s="87">
        <f>IF(TrRoad_act!X24=0,0,X49/TrRoad_act!X24*1000)</f>
        <v>0</v>
      </c>
      <c r="Y108" s="87">
        <f>IF(TrRoad_act!Y24=0,0,Y49/TrRoad_act!Y24*1000)</f>
        <v>0</v>
      </c>
      <c r="DA108" s="171" t="s">
        <v>712</v>
      </c>
    </row>
    <row r="109" spans="1:105" ht="11.45" customHeight="1" x14ac:dyDescent="0.25">
      <c r="A109" s="111" t="s">
        <v>115</v>
      </c>
      <c r="B109" s="87">
        <f>IF(TrRoad_act!B25=0,0,B51/TrRoad_act!B25*1000)</f>
        <v>0</v>
      </c>
      <c r="C109" s="87">
        <f>IF(TrRoad_act!C25=0,0,C51/TrRoad_act!C25*1000)</f>
        <v>0</v>
      </c>
      <c r="D109" s="87">
        <f>IF(TrRoad_act!D25=0,0,D51/TrRoad_act!D25*1000)</f>
        <v>0</v>
      </c>
      <c r="E109" s="87">
        <f>IF(TrRoad_act!E25=0,0,E51/TrRoad_act!E25*1000)</f>
        <v>0</v>
      </c>
      <c r="F109" s="87">
        <f>IF(TrRoad_act!F25=0,0,F51/TrRoad_act!F25*1000)</f>
        <v>0</v>
      </c>
      <c r="G109" s="87">
        <f>IF(TrRoad_act!G25=0,0,G51/TrRoad_act!G25*1000)</f>
        <v>0</v>
      </c>
      <c r="H109" s="87">
        <f>IF(TrRoad_act!H25=0,0,H51/TrRoad_act!H25*1000)</f>
        <v>0</v>
      </c>
      <c r="I109" s="87">
        <f>IF(TrRoad_act!I25=0,0,I51/TrRoad_act!I25*1000)</f>
        <v>0</v>
      </c>
      <c r="J109" s="87">
        <f>IF(TrRoad_act!J25=0,0,J51/TrRoad_act!J25*1000)</f>
        <v>0</v>
      </c>
      <c r="K109" s="87">
        <f>IF(TrRoad_act!K25=0,0,K51/TrRoad_act!K25*1000)</f>
        <v>0</v>
      </c>
      <c r="L109" s="87">
        <f>IF(TrRoad_act!L25=0,0,L51/TrRoad_act!L25*1000)</f>
        <v>47.81051953419994</v>
      </c>
      <c r="M109" s="87">
        <f>IF(TrRoad_act!M25=0,0,M51/TrRoad_act!M25*1000)</f>
        <v>47.884175177330853</v>
      </c>
      <c r="N109" s="87">
        <f>IF(TrRoad_act!N25=0,0,N51/TrRoad_act!N25*1000)</f>
        <v>48.085342453355643</v>
      </c>
      <c r="O109" s="87">
        <f>IF(TrRoad_act!O25=0,0,O51/TrRoad_act!O25*1000)</f>
        <v>48.481489430149225</v>
      </c>
      <c r="P109" s="87">
        <f>IF(TrRoad_act!P25=0,0,P51/TrRoad_act!P25*1000)</f>
        <v>48.821429513239565</v>
      </c>
      <c r="Q109" s="87">
        <f>IF(TrRoad_act!Q25=0,0,Q51/TrRoad_act!Q25*1000)</f>
        <v>48.898614038896667</v>
      </c>
      <c r="R109" s="87">
        <f>IF(TrRoad_act!R25=0,0,R51/TrRoad_act!R25*1000)</f>
        <v>49.707341855113718</v>
      </c>
      <c r="S109" s="87">
        <f>IF(TrRoad_act!S25=0,0,S51/TrRoad_act!S25*1000)</f>
        <v>50.937441606925653</v>
      </c>
      <c r="T109" s="87">
        <f>IF(TrRoad_act!T25=0,0,T51/TrRoad_act!T25*1000)</f>
        <v>51.820005084303126</v>
      </c>
      <c r="U109" s="87">
        <f>IF(TrRoad_act!U25=0,0,U51/TrRoad_act!U25*1000)</f>
        <v>54.708072971235588</v>
      </c>
      <c r="V109" s="87">
        <f>IF(TrRoad_act!V25=0,0,V51/TrRoad_act!V25*1000)</f>
        <v>58.833502425384054</v>
      </c>
      <c r="W109" s="87">
        <f>IF(TrRoad_act!W25=0,0,W51/TrRoad_act!W25*1000)</f>
        <v>67.012721035065738</v>
      </c>
      <c r="X109" s="87">
        <f>IF(TrRoad_act!X25=0,0,X51/TrRoad_act!X25*1000)</f>
        <v>77.328773964842966</v>
      </c>
      <c r="Y109" s="87">
        <f>IF(TrRoad_act!Y25=0,0,Y51/TrRoad_act!Y25*1000)</f>
        <v>83.211660774546331</v>
      </c>
      <c r="DA109" s="171" t="s">
        <v>713</v>
      </c>
    </row>
    <row r="110" spans="1:105" ht="11.45" customHeight="1" x14ac:dyDescent="0.25">
      <c r="A110" s="109" t="s">
        <v>154</v>
      </c>
      <c r="B110" s="116">
        <f>IF(TrRoad_act!B26=0,0,B52/TrRoad_act!B26*1000)</f>
        <v>26.599256848472383</v>
      </c>
      <c r="C110" s="116">
        <f>IF(TrRoad_act!C26=0,0,C52/TrRoad_act!C26*1000)</f>
        <v>36.489012315445088</v>
      </c>
      <c r="D110" s="116">
        <f>IF(TrRoad_act!D26=0,0,D52/TrRoad_act!D26*1000)</f>
        <v>38.665529058962861</v>
      </c>
      <c r="E110" s="116">
        <f>IF(TrRoad_act!E26=0,0,E52/TrRoad_act!E26*1000)</f>
        <v>39.13338057805197</v>
      </c>
      <c r="F110" s="116">
        <f>IF(TrRoad_act!F26=0,0,F52/TrRoad_act!F26*1000)</f>
        <v>32.352023046519349</v>
      </c>
      <c r="G110" s="116">
        <f>IF(TrRoad_act!G26=0,0,G52/TrRoad_act!G26*1000)</f>
        <v>22.846587636198269</v>
      </c>
      <c r="H110" s="116">
        <f>IF(TrRoad_act!H26=0,0,H52/TrRoad_act!H26*1000)</f>
        <v>27.139837989855259</v>
      </c>
      <c r="I110" s="116">
        <f>IF(TrRoad_act!I26=0,0,I52/TrRoad_act!I26*1000)</f>
        <v>21.778418664041045</v>
      </c>
      <c r="J110" s="116">
        <f>IF(TrRoad_act!J26=0,0,J52/TrRoad_act!J26*1000)</f>
        <v>24.76833482050241</v>
      </c>
      <c r="K110" s="116">
        <f>IF(TrRoad_act!K26=0,0,K52/TrRoad_act!K26*1000)</f>
        <v>29.694420869353522</v>
      </c>
      <c r="L110" s="116">
        <f>IF(TrRoad_act!L26=0,0,L52/TrRoad_act!L26*1000)</f>
        <v>33.775885590257516</v>
      </c>
      <c r="M110" s="116">
        <f>IF(TrRoad_act!M26=0,0,M52/TrRoad_act!M26*1000)</f>
        <v>36.21288147929765</v>
      </c>
      <c r="N110" s="116">
        <f>IF(TrRoad_act!N26=0,0,N52/TrRoad_act!N26*1000)</f>
        <v>30.27525332253682</v>
      </c>
      <c r="O110" s="116">
        <f>IF(TrRoad_act!O26=0,0,O52/TrRoad_act!O26*1000)</f>
        <v>29.963535902986209</v>
      </c>
      <c r="P110" s="116">
        <f>IF(TrRoad_act!P26=0,0,P52/TrRoad_act!P26*1000)</f>
        <v>28.362863714378808</v>
      </c>
      <c r="Q110" s="116">
        <f>IF(TrRoad_act!Q26=0,0,Q52/TrRoad_act!Q26*1000)</f>
        <v>26.344236606091155</v>
      </c>
      <c r="R110" s="116">
        <f>IF(TrRoad_act!R26=0,0,R52/TrRoad_act!R26*1000)</f>
        <v>28.751696022698201</v>
      </c>
      <c r="S110" s="116">
        <f>IF(TrRoad_act!S26=0,0,S52/TrRoad_act!S26*1000)</f>
        <v>30.775703988491447</v>
      </c>
      <c r="T110" s="116">
        <f>IF(TrRoad_act!T26=0,0,T52/TrRoad_act!T26*1000)</f>
        <v>28.111197124781203</v>
      </c>
      <c r="U110" s="116">
        <f>IF(TrRoad_act!U26=0,0,U52/TrRoad_act!U26*1000)</f>
        <v>27.639671309815828</v>
      </c>
      <c r="V110" s="116">
        <f>IF(TrRoad_act!V26=0,0,V52/TrRoad_act!V26*1000)</f>
        <v>27.440349882434862</v>
      </c>
      <c r="W110" s="116">
        <f>IF(TrRoad_act!W26=0,0,W52/TrRoad_act!W26*1000)</f>
        <v>24.81680004969455</v>
      </c>
      <c r="X110" s="116">
        <f>IF(TrRoad_act!X26=0,0,X52/TrRoad_act!X26*1000)</f>
        <v>29.465079438163094</v>
      </c>
      <c r="Y110" s="116">
        <f>IF(TrRoad_act!Y26=0,0,Y52/TrRoad_act!Y26*1000)</f>
        <v>29.60684059847604</v>
      </c>
      <c r="DA110" s="176" t="s">
        <v>427</v>
      </c>
    </row>
    <row r="111" spans="1:105" ht="11.45" customHeight="1" x14ac:dyDescent="0.25">
      <c r="A111" s="128" t="s">
        <v>27</v>
      </c>
      <c r="B111" s="101">
        <f>IF(TrRoad_act!B27=0,0,B53/TrRoad_act!B27*1000)</f>
        <v>26.678316345960152</v>
      </c>
      <c r="C111" s="101">
        <f>IF(TrRoad_act!C27=0,0,C53/TrRoad_act!C27*1000)</f>
        <v>30.470797756259746</v>
      </c>
      <c r="D111" s="101">
        <f>IF(TrRoad_act!D27=0,0,D53/TrRoad_act!D27*1000)</f>
        <v>31.307858799218359</v>
      </c>
      <c r="E111" s="101">
        <f>IF(TrRoad_act!E27=0,0,E53/TrRoad_act!E27*1000)</f>
        <v>31.310869296810985</v>
      </c>
      <c r="F111" s="101">
        <f>IF(TrRoad_act!F27=0,0,F53/TrRoad_act!F27*1000)</f>
        <v>28.504480943020013</v>
      </c>
      <c r="G111" s="101">
        <f>IF(TrRoad_act!G27=0,0,G53/TrRoad_act!G27*1000)</f>
        <v>24.649716936069591</v>
      </c>
      <c r="H111" s="101">
        <f>IF(TrRoad_act!H27=0,0,H53/TrRoad_act!H27*1000)</f>
        <v>26.34711311969285</v>
      </c>
      <c r="I111" s="101">
        <f>IF(TrRoad_act!I27=0,0,I53/TrRoad_act!I27*1000)</f>
        <v>23.216994200050795</v>
      </c>
      <c r="J111" s="101">
        <f>IF(TrRoad_act!J27=0,0,J53/TrRoad_act!J27*1000)</f>
        <v>24.841701607021378</v>
      </c>
      <c r="K111" s="101">
        <f>IF(TrRoad_act!K27=0,0,K53/TrRoad_act!K27*1000)</f>
        <v>27.070035876370717</v>
      </c>
      <c r="L111" s="101">
        <f>IF(TrRoad_act!L27=0,0,L53/TrRoad_act!L27*1000)</f>
        <v>28.210534275183125</v>
      </c>
      <c r="M111" s="101">
        <f>IF(TrRoad_act!M27=0,0,M53/TrRoad_act!M27*1000)</f>
        <v>29.494955291232401</v>
      </c>
      <c r="N111" s="101">
        <f>IF(TrRoad_act!N27=0,0,N53/TrRoad_act!N27*1000)</f>
        <v>26.959293704230173</v>
      </c>
      <c r="O111" s="101">
        <f>IF(TrRoad_act!O27=0,0,O53/TrRoad_act!O27*1000)</f>
        <v>27.159821456738239</v>
      </c>
      <c r="P111" s="101">
        <f>IF(TrRoad_act!P27=0,0,P53/TrRoad_act!P27*1000)</f>
        <v>26.490140806854317</v>
      </c>
      <c r="Q111" s="101">
        <f>IF(TrRoad_act!Q27=0,0,Q53/TrRoad_act!Q27*1000)</f>
        <v>25.585800694920046</v>
      </c>
      <c r="R111" s="101">
        <f>IF(TrRoad_act!R27=0,0,R53/TrRoad_act!R27*1000)</f>
        <v>26.192851800654967</v>
      </c>
      <c r="S111" s="101">
        <f>IF(TrRoad_act!S27=0,0,S53/TrRoad_act!S27*1000)</f>
        <v>27.067816670040717</v>
      </c>
      <c r="T111" s="101">
        <f>IF(TrRoad_act!T27=0,0,T53/TrRoad_act!T27*1000)</f>
        <v>26.044259947479407</v>
      </c>
      <c r="U111" s="101">
        <f>IF(TrRoad_act!U27=0,0,U53/TrRoad_act!U27*1000)</f>
        <v>25.43039887538843</v>
      </c>
      <c r="V111" s="101">
        <f>IF(TrRoad_act!V27=0,0,V53/TrRoad_act!V27*1000)</f>
        <v>24.513075927302673</v>
      </c>
      <c r="W111" s="101">
        <f>IF(TrRoad_act!W27=0,0,W53/TrRoad_act!W27*1000)</f>
        <v>22.765953096137039</v>
      </c>
      <c r="X111" s="101">
        <f>IF(TrRoad_act!X27=0,0,X53/TrRoad_act!X27*1000)</f>
        <v>24.311445619419832</v>
      </c>
      <c r="Y111" s="101">
        <f>IF(TrRoad_act!Y27=0,0,Y53/TrRoad_act!Y27*1000)</f>
        <v>24.127233548274326</v>
      </c>
      <c r="DA111" s="175" t="s">
        <v>714</v>
      </c>
    </row>
    <row r="112" spans="1:105" ht="11.45" customHeight="1" x14ac:dyDescent="0.25">
      <c r="A112" s="138" t="s">
        <v>116</v>
      </c>
      <c r="B112" s="88">
        <f>IF(TrRoad_act!B28=0,0,B55/TrRoad_act!B28*1000)</f>
        <v>26.516698756756853</v>
      </c>
      <c r="C112" s="88">
        <f>IF(TrRoad_act!C28=0,0,C55/TrRoad_act!C28*1000)</f>
        <v>42.810031820965584</v>
      </c>
      <c r="D112" s="88">
        <f>IF(TrRoad_act!D28=0,0,D55/TrRoad_act!D28*1000)</f>
        <v>46.19279231404164</v>
      </c>
      <c r="E112" s="88">
        <f>IF(TrRoad_act!E28=0,0,E55/TrRoad_act!E28*1000)</f>
        <v>48.914970625173986</v>
      </c>
      <c r="F112" s="88">
        <f>IF(TrRoad_act!F28=0,0,F55/TrRoad_act!F28*1000)</f>
        <v>36.805203454615928</v>
      </c>
      <c r="G112" s="88">
        <f>IF(TrRoad_act!G28=0,0,G55/TrRoad_act!G28*1000)</f>
        <v>20.178531331558037</v>
      </c>
      <c r="H112" s="88">
        <f>IF(TrRoad_act!H28=0,0,H55/TrRoad_act!H28*1000)</f>
        <v>28.968689819026626</v>
      </c>
      <c r="I112" s="88">
        <f>IF(TrRoad_act!I28=0,0,I55/TrRoad_act!I28*1000)</f>
        <v>18.32962985005026</v>
      </c>
      <c r="J112" s="88">
        <f>IF(TrRoad_act!J28=0,0,J55/TrRoad_act!J28*1000)</f>
        <v>24.549337491376455</v>
      </c>
      <c r="K112" s="88">
        <f>IF(TrRoad_act!K28=0,0,K55/TrRoad_act!K28*1000)</f>
        <v>42.528842441966717</v>
      </c>
      <c r="L112" s="88">
        <f>IF(TrRoad_act!L28=0,0,L55/TrRoad_act!L28*1000)</f>
        <v>52.905691789643392</v>
      </c>
      <c r="M112" s="88">
        <f>IF(TrRoad_act!M28=0,0,M55/TrRoad_act!M28*1000)</f>
        <v>58.406022967683811</v>
      </c>
      <c r="N112" s="88">
        <f>IF(TrRoad_act!N28=0,0,N55/TrRoad_act!N28*1000)</f>
        <v>40.290363089237864</v>
      </c>
      <c r="O112" s="88">
        <f>IF(TrRoad_act!O28=0,0,O55/TrRoad_act!O28*1000)</f>
        <v>37.743825038325859</v>
      </c>
      <c r="P112" s="88">
        <f>IF(TrRoad_act!P28=0,0,P55/TrRoad_act!P28*1000)</f>
        <v>33.51680346235009</v>
      </c>
      <c r="Q112" s="88">
        <f>IF(TrRoad_act!Q28=0,0,Q55/TrRoad_act!Q28*1000)</f>
        <v>28.428029225873058</v>
      </c>
      <c r="R112" s="88">
        <f>IF(TrRoad_act!R28=0,0,R55/TrRoad_act!R28*1000)</f>
        <v>35.641830811667759</v>
      </c>
      <c r="S112" s="88">
        <f>IF(TrRoad_act!S28=0,0,S55/TrRoad_act!S28*1000)</f>
        <v>39.370755482368537</v>
      </c>
      <c r="T112" s="88">
        <f>IF(TrRoad_act!T28=0,0,T55/TrRoad_act!T28*1000)</f>
        <v>33.420156693958162</v>
      </c>
      <c r="U112" s="88">
        <f>IF(TrRoad_act!U28=0,0,U55/TrRoad_act!U28*1000)</f>
        <v>34.171518445290431</v>
      </c>
      <c r="V112" s="88">
        <f>IF(TrRoad_act!V28=0,0,V55/TrRoad_act!V28*1000)</f>
        <v>38.950297827517794</v>
      </c>
      <c r="W112" s="88">
        <f>IF(TrRoad_act!W28=0,0,W55/TrRoad_act!W28*1000)</f>
        <v>31.440770206922139</v>
      </c>
      <c r="X112" s="88">
        <f>IF(TrRoad_act!X28=0,0,X55/TrRoad_act!X28*1000)</f>
        <v>47.514286796354057</v>
      </c>
      <c r="Y112" s="88">
        <f>IF(TrRoad_act!Y28=0,0,Y55/TrRoad_act!Y28*1000)</f>
        <v>48.5570067657344</v>
      </c>
      <c r="DA112" s="178" t="s">
        <v>715</v>
      </c>
    </row>
    <row r="113" spans="1:105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DA113" s="171"/>
    </row>
    <row r="114" spans="1:105" ht="11.45" customHeight="1" x14ac:dyDescent="0.25">
      <c r="A114" s="53" t="s">
        <v>96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DA114" s="172"/>
    </row>
    <row r="115" spans="1:105" ht="11.45" customHeight="1" x14ac:dyDescent="0.25">
      <c r="A115" s="27" t="s">
        <v>33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DA115" s="173"/>
    </row>
    <row r="116" spans="1:105" ht="11.45" customHeight="1" x14ac:dyDescent="0.25">
      <c r="A116" s="136" t="s">
        <v>173</v>
      </c>
      <c r="B116" s="152">
        <f>IF(B19=0,0,1000000*B19/TrRoad_act!B59)</f>
        <v>244.62993797298287</v>
      </c>
      <c r="C116" s="152">
        <f>IF(C19=0,0,1000000*C19/TrRoad_act!C59)</f>
        <v>244.3957305279977</v>
      </c>
      <c r="D116" s="152">
        <f>IF(D19=0,0,1000000*D19/TrRoad_act!D59)</f>
        <v>244.15646342365505</v>
      </c>
      <c r="E116" s="152">
        <f>IF(E19=0,0,1000000*E19/TrRoad_act!E59)</f>
        <v>243.07888380057051</v>
      </c>
      <c r="F116" s="152">
        <f>IF(F19=0,0,1000000*F19/TrRoad_act!F59)</f>
        <v>241.78656197935729</v>
      </c>
      <c r="G116" s="152">
        <f>IF(G19=0,0,1000000*G19/TrRoad_act!G59)</f>
        <v>228.75754727557819</v>
      </c>
      <c r="H116" s="152">
        <f>IF(H19=0,0,1000000*H19/TrRoad_act!H59)</f>
        <v>222.78118841429105</v>
      </c>
      <c r="I116" s="152">
        <f>IF(I19=0,0,1000000*I19/TrRoad_act!I59)</f>
        <v>217.86035475913059</v>
      </c>
      <c r="J116" s="152">
        <f>IF(J19=0,0,1000000*J19/TrRoad_act!J59)</f>
        <v>204.13570187606879</v>
      </c>
      <c r="K116" s="152">
        <f>IF(K19=0,0,1000000*K19/TrRoad_act!K59)</f>
        <v>195.75331630957325</v>
      </c>
      <c r="L116" s="152">
        <f>IF(L19=0,0,1000000*L19/TrRoad_act!L59)</f>
        <v>191.05816204307663</v>
      </c>
      <c r="M116" s="152">
        <f>IF(M19=0,0,1000000*M19/TrRoad_act!M59)</f>
        <v>188.59125073672126</v>
      </c>
      <c r="N116" s="152">
        <f>IF(N19=0,0,1000000*N19/TrRoad_act!N59)</f>
        <v>184.18707987581755</v>
      </c>
      <c r="O116" s="152">
        <f>IF(O19=0,0,1000000*O19/TrRoad_act!O59)</f>
        <v>182.16053489163167</v>
      </c>
      <c r="P116" s="152">
        <f>IF(P19=0,0,1000000*P19/TrRoad_act!P59)</f>
        <v>178.4072865748588</v>
      </c>
      <c r="Q116" s="152">
        <f>IF(Q19=0,0,1000000*Q19/TrRoad_act!Q59)</f>
        <v>176.75870070782713</v>
      </c>
      <c r="R116" s="152">
        <f>IF(R19=0,0,1000000*R19/TrRoad_act!R59)</f>
        <v>178.07232728544903</v>
      </c>
      <c r="S116" s="152">
        <f>IF(S19=0,0,1000000*S19/TrRoad_act!S59)</f>
        <v>157.18458113358278</v>
      </c>
      <c r="T116" s="152">
        <f>IF(T19=0,0,1000000*T19/TrRoad_act!T59)</f>
        <v>139.23243920771699</v>
      </c>
      <c r="U116" s="152">
        <f>IF(U19=0,0,1000000*U19/TrRoad_act!U59)</f>
        <v>134.5678026738905</v>
      </c>
      <c r="V116" s="152">
        <f>IF(V19=0,0,1000000*V19/TrRoad_act!V59)</f>
        <v>110.85961091900042</v>
      </c>
      <c r="W116" s="152">
        <f>IF(W19=0,0,1000000*W19/TrRoad_act!W59)</f>
        <v>107.10371811597025</v>
      </c>
      <c r="X116" s="152">
        <f>IF(X19=0,0,1000000*X19/TrRoad_act!X59)</f>
        <v>100.4971625785396</v>
      </c>
      <c r="Y116" s="152">
        <f>IF(Y19=0,0,1000000*Y19/TrRoad_act!Y59)</f>
        <v>100.85609855273891</v>
      </c>
      <c r="DA116" s="174" t="s">
        <v>716</v>
      </c>
    </row>
    <row r="117" spans="1:105" ht="11.45" customHeight="1" x14ac:dyDescent="0.25">
      <c r="A117" s="109" t="s">
        <v>20</v>
      </c>
      <c r="B117" s="116">
        <f>IF(B21=0,0,1000000*B21/TrRoad_act!B60)</f>
        <v>412.33820087062895</v>
      </c>
      <c r="C117" s="116">
        <f>IF(C21=0,0,1000000*C21/TrRoad_act!C60)</f>
        <v>533.20935853460583</v>
      </c>
      <c r="D117" s="116">
        <f>IF(D21=0,0,1000000*D21/TrRoad_act!D60)</f>
        <v>588.76800473114292</v>
      </c>
      <c r="E117" s="116">
        <f>IF(E21=0,0,1000000*E21/TrRoad_act!E60)</f>
        <v>594.62179940263911</v>
      </c>
      <c r="F117" s="116">
        <f>IF(F21=0,0,1000000*F21/TrRoad_act!F60)</f>
        <v>631.56120117954481</v>
      </c>
      <c r="G117" s="116">
        <f>IF(G21=0,0,1000000*G21/TrRoad_act!G60)</f>
        <v>596.83309639443269</v>
      </c>
      <c r="H117" s="116">
        <f>IF(H21=0,0,1000000*H21/TrRoad_act!H60)</f>
        <v>624.57735056799345</v>
      </c>
      <c r="I117" s="116">
        <f>IF(I21=0,0,1000000*I21/TrRoad_act!I60)</f>
        <v>603.37705999002503</v>
      </c>
      <c r="J117" s="116">
        <f>IF(J21=0,0,1000000*J21/TrRoad_act!J60)</f>
        <v>590.82102932260341</v>
      </c>
      <c r="K117" s="116">
        <f>IF(K21=0,0,1000000*K21/TrRoad_act!K60)</f>
        <v>595.54362341249271</v>
      </c>
      <c r="L117" s="116">
        <f>IF(L21=0,0,1000000*L21/TrRoad_act!L60)</f>
        <v>564.35549709883037</v>
      </c>
      <c r="M117" s="116">
        <f>IF(M21=0,0,1000000*M21/TrRoad_act!M60)</f>
        <v>592.55304174605749</v>
      </c>
      <c r="N117" s="116">
        <f>IF(N21=0,0,1000000*N21/TrRoad_act!N60)</f>
        <v>607.24532148137189</v>
      </c>
      <c r="O117" s="116">
        <f>IF(O21=0,0,1000000*O21/TrRoad_act!O60)</f>
        <v>552.19033509815768</v>
      </c>
      <c r="P117" s="116">
        <f>IF(P21=0,0,1000000*P21/TrRoad_act!P60)</f>
        <v>550.77102551665189</v>
      </c>
      <c r="Q117" s="116">
        <f>IF(Q21=0,0,1000000*Q21/TrRoad_act!Q60)</f>
        <v>528.51054680592222</v>
      </c>
      <c r="R117" s="116">
        <f>IF(R21=0,0,1000000*R21/TrRoad_act!R60)</f>
        <v>541.78623086164305</v>
      </c>
      <c r="S117" s="116">
        <f>IF(S21=0,0,1000000*S21/TrRoad_act!S60)</f>
        <v>526.45812364865083</v>
      </c>
      <c r="T117" s="116">
        <f>IF(T21=0,0,1000000*T21/TrRoad_act!T60)</f>
        <v>509.96641951649343</v>
      </c>
      <c r="U117" s="116">
        <f>IF(U21=0,0,1000000*U21/TrRoad_act!U60)</f>
        <v>491.8172075666526</v>
      </c>
      <c r="V117" s="116">
        <f>IF(V21=0,0,1000000*V21/TrRoad_act!V60)</f>
        <v>447.35315323377824</v>
      </c>
      <c r="W117" s="116">
        <f>IF(W21=0,0,1000000*W21/TrRoad_act!W60)</f>
        <v>456.3512694797281</v>
      </c>
      <c r="X117" s="116">
        <f>IF(X21=0,0,1000000*X21/TrRoad_act!X60)</f>
        <v>484.57365252153943</v>
      </c>
      <c r="Y117" s="116">
        <f>IF(Y21=0,0,1000000*Y21/TrRoad_act!Y60)</f>
        <v>505.18517089011959</v>
      </c>
      <c r="DA117" s="176" t="s">
        <v>717</v>
      </c>
    </row>
    <row r="118" spans="1:105" ht="11.45" customHeight="1" x14ac:dyDescent="0.25">
      <c r="A118" s="111" t="s">
        <v>110</v>
      </c>
      <c r="B118" s="87">
        <f>IF(B22=0,0,1000000*B22/TrRoad_act!B61)</f>
        <v>386.68433053517793</v>
      </c>
      <c r="C118" s="87">
        <f>IF(C22=0,0,1000000*C22/TrRoad_act!C61)</f>
        <v>512.05700249260065</v>
      </c>
      <c r="D118" s="87">
        <f>IF(D22=0,0,1000000*D22/TrRoad_act!D61)</f>
        <v>559.13151081478065</v>
      </c>
      <c r="E118" s="87">
        <f>IF(E22=0,0,1000000*E22/TrRoad_act!E61)</f>
        <v>567.05666805522833</v>
      </c>
      <c r="F118" s="87">
        <f>IF(F22=0,0,1000000*F22/TrRoad_act!F61)</f>
        <v>583.30162330406074</v>
      </c>
      <c r="G118" s="87">
        <f>IF(G22=0,0,1000000*G22/TrRoad_act!G61)</f>
        <v>532.18806651749537</v>
      </c>
      <c r="H118" s="87">
        <f>IF(H22=0,0,1000000*H22/TrRoad_act!H61)</f>
        <v>535.94354605952537</v>
      </c>
      <c r="I118" s="87">
        <f>IF(I22=0,0,1000000*I22/TrRoad_act!I61)</f>
        <v>519.80874256880827</v>
      </c>
      <c r="J118" s="87">
        <f>IF(J22=0,0,1000000*J22/TrRoad_act!J61)</f>
        <v>465.40297876413428</v>
      </c>
      <c r="K118" s="87">
        <f>IF(K22=0,0,1000000*K22/TrRoad_act!K61)</f>
        <v>446.306074198869</v>
      </c>
      <c r="L118" s="87">
        <f>IF(L22=0,0,1000000*L22/TrRoad_act!L61)</f>
        <v>437.28086397543376</v>
      </c>
      <c r="M118" s="87">
        <f>IF(M22=0,0,1000000*M22/TrRoad_act!M61)</f>
        <v>427.60019721420355</v>
      </c>
      <c r="N118" s="87">
        <f>IF(N22=0,0,1000000*N22/TrRoad_act!N61)</f>
        <v>420.39454258513973</v>
      </c>
      <c r="O118" s="87">
        <f>IF(O22=0,0,1000000*O22/TrRoad_act!O61)</f>
        <v>389.86312545338563</v>
      </c>
      <c r="P118" s="87">
        <f>IF(P22=0,0,1000000*P22/TrRoad_act!P61)</f>
        <v>406.93846595433206</v>
      </c>
      <c r="Q118" s="87">
        <f>IF(Q22=0,0,1000000*Q22/TrRoad_act!Q61)</f>
        <v>381.05269519538018</v>
      </c>
      <c r="R118" s="87">
        <f>IF(R22=0,0,1000000*R22/TrRoad_act!R61)</f>
        <v>391.46729204277466</v>
      </c>
      <c r="S118" s="87">
        <f>IF(S22=0,0,1000000*S22/TrRoad_act!S61)</f>
        <v>382.83196445909346</v>
      </c>
      <c r="T118" s="87">
        <f>IF(T22=0,0,1000000*T22/TrRoad_act!T61)</f>
        <v>371.56309175759048</v>
      </c>
      <c r="U118" s="87">
        <f>IF(U22=0,0,1000000*U22/TrRoad_act!U61)</f>
        <v>365.14797175796053</v>
      </c>
      <c r="V118" s="87">
        <f>IF(V22=0,0,1000000*V22/TrRoad_act!V61)</f>
        <v>334.00151605520819</v>
      </c>
      <c r="W118" s="87">
        <f>IF(W22=0,0,1000000*W22/TrRoad_act!W61)</f>
        <v>361.17668926143625</v>
      </c>
      <c r="X118" s="87">
        <f>IF(X22=0,0,1000000*X22/TrRoad_act!X61)</f>
        <v>371.25249536261663</v>
      </c>
      <c r="Y118" s="87">
        <f>IF(Y22=0,0,1000000*Y22/TrRoad_act!Y61)</f>
        <v>384.18401870462458</v>
      </c>
      <c r="DA118" s="171" t="s">
        <v>718</v>
      </c>
    </row>
    <row r="119" spans="1:105" ht="11.45" customHeight="1" x14ac:dyDescent="0.25">
      <c r="A119" s="111" t="s">
        <v>111</v>
      </c>
      <c r="B119" s="87">
        <f>IF(B24=0,0,1000000*B24/TrRoad_act!B62)</f>
        <v>752.66310890572413</v>
      </c>
      <c r="C119" s="87">
        <f>IF(C24=0,0,1000000*C24/TrRoad_act!C62)</f>
        <v>730.01838045360546</v>
      </c>
      <c r="D119" s="87">
        <f>IF(D24=0,0,1000000*D24/TrRoad_act!D62)</f>
        <v>802.4766552923611</v>
      </c>
      <c r="E119" s="87">
        <f>IF(E24=0,0,1000000*E24/TrRoad_act!E62)</f>
        <v>751.91247957111159</v>
      </c>
      <c r="F119" s="87">
        <f>IF(F24=0,0,1000000*F24/TrRoad_act!F62)</f>
        <v>726.30087201014646</v>
      </c>
      <c r="G119" s="87">
        <f>IF(G24=0,0,1000000*G24/TrRoad_act!G62)</f>
        <v>802.53200718920743</v>
      </c>
      <c r="H119" s="87">
        <f>IF(H24=0,0,1000000*H24/TrRoad_act!H62)</f>
        <v>920.79486333953298</v>
      </c>
      <c r="I119" s="87">
        <f>IF(I24=0,0,1000000*I24/TrRoad_act!I62)</f>
        <v>817.1974009963252</v>
      </c>
      <c r="J119" s="87">
        <f>IF(J24=0,0,1000000*J24/TrRoad_act!J62)</f>
        <v>885.37191816974826</v>
      </c>
      <c r="K119" s="87">
        <f>IF(K24=0,0,1000000*K24/TrRoad_act!K62)</f>
        <v>913.08204186335752</v>
      </c>
      <c r="L119" s="87">
        <f>IF(L24=0,0,1000000*L24/TrRoad_act!L62)</f>
        <v>848.99473474185959</v>
      </c>
      <c r="M119" s="87">
        <f>IF(M24=0,0,1000000*M24/TrRoad_act!M62)</f>
        <v>919.47785802943645</v>
      </c>
      <c r="N119" s="87">
        <f>IF(N24=0,0,1000000*N24/TrRoad_act!N62)</f>
        <v>979.39226209010656</v>
      </c>
      <c r="O119" s="87">
        <f>IF(O24=0,0,1000000*O24/TrRoad_act!O62)</f>
        <v>857.29492159862139</v>
      </c>
      <c r="P119" s="87">
        <f>IF(P24=0,0,1000000*P24/TrRoad_act!P62)</f>
        <v>803.4490662741573</v>
      </c>
      <c r="Q119" s="87">
        <f>IF(Q24=0,0,1000000*Q24/TrRoad_act!Q62)</f>
        <v>771.21336132716317</v>
      </c>
      <c r="R119" s="87">
        <f>IF(R24=0,0,1000000*R24/TrRoad_act!R62)</f>
        <v>768.90636672521816</v>
      </c>
      <c r="S119" s="87">
        <f>IF(S24=0,0,1000000*S24/TrRoad_act!S62)</f>
        <v>712.24795885598166</v>
      </c>
      <c r="T119" s="87">
        <f>IF(T24=0,0,1000000*T24/TrRoad_act!T62)</f>
        <v>670.27838438608069</v>
      </c>
      <c r="U119" s="87">
        <f>IF(U24=0,0,1000000*U24/TrRoad_act!U62)</f>
        <v>628.02720850340063</v>
      </c>
      <c r="V119" s="87">
        <f>IF(V24=0,0,1000000*V24/TrRoad_act!V62)</f>
        <v>566.23909803556808</v>
      </c>
      <c r="W119" s="87">
        <f>IF(W24=0,0,1000000*W24/TrRoad_act!W62)</f>
        <v>556.9974369647075</v>
      </c>
      <c r="X119" s="87">
        <f>IF(X24=0,0,1000000*X24/TrRoad_act!X62)</f>
        <v>601.18488469456872</v>
      </c>
      <c r="Y119" s="87">
        <f>IF(Y24=0,0,1000000*Y24/TrRoad_act!Y62)</f>
        <v>629.54603667449783</v>
      </c>
      <c r="DA119" s="171" t="s">
        <v>719</v>
      </c>
    </row>
    <row r="120" spans="1:105" ht="11.45" customHeight="1" x14ac:dyDescent="0.25">
      <c r="A120" s="111" t="s">
        <v>112</v>
      </c>
      <c r="B120" s="87">
        <f>IF(B26=0,0,1000000*B26/TrRoad_act!B63)</f>
        <v>0</v>
      </c>
      <c r="C120" s="87">
        <f>IF(C26=0,0,1000000*C26/TrRoad_act!C63)</f>
        <v>0</v>
      </c>
      <c r="D120" s="87">
        <f>IF(D26=0,0,1000000*D26/TrRoad_act!D63)</f>
        <v>706.09415305245034</v>
      </c>
      <c r="E120" s="87">
        <f>IF(E26=0,0,1000000*E26/TrRoad_act!E63)</f>
        <v>715.5418503134872</v>
      </c>
      <c r="F120" s="87">
        <f>IF(F26=0,0,1000000*F26/TrRoad_act!F63)</f>
        <v>3639.0296979132036</v>
      </c>
      <c r="G120" s="87">
        <f>IF(G26=0,0,1000000*G26/TrRoad_act!G63)</f>
        <v>2295.1126854974377</v>
      </c>
      <c r="H120" s="87">
        <f>IF(H26=0,0,1000000*H26/TrRoad_act!H63)</f>
        <v>771.0677126945684</v>
      </c>
      <c r="I120" s="87">
        <f>IF(I26=0,0,1000000*I26/TrRoad_act!I63)</f>
        <v>1164.9266566885922</v>
      </c>
      <c r="J120" s="87">
        <f>IF(J26=0,0,1000000*J26/TrRoad_act!J63)</f>
        <v>1645.427377412708</v>
      </c>
      <c r="K120" s="87">
        <f>IF(K26=0,0,1000000*K26/TrRoad_act!K63)</f>
        <v>2475.7967283458574</v>
      </c>
      <c r="L120" s="87">
        <f>IF(L26=0,0,1000000*L26/TrRoad_act!L63)</f>
        <v>635.11246538584783</v>
      </c>
      <c r="M120" s="87">
        <f>IF(M26=0,0,1000000*M26/TrRoad_act!M63)</f>
        <v>1035.6211173261897</v>
      </c>
      <c r="N120" s="87">
        <f>IF(N26=0,0,1000000*N26/TrRoad_act!N63)</f>
        <v>752.5735619111822</v>
      </c>
      <c r="O120" s="87">
        <f>IF(O26=0,0,1000000*O26/TrRoad_act!O63)</f>
        <v>700.8550072832769</v>
      </c>
      <c r="P120" s="87">
        <f>IF(P26=0,0,1000000*P26/TrRoad_act!P63)</f>
        <v>741.13806842579618</v>
      </c>
      <c r="Q120" s="87">
        <f>IF(Q26=0,0,1000000*Q26/TrRoad_act!Q63)</f>
        <v>700.65459137822995</v>
      </c>
      <c r="R120" s="87">
        <f>IF(R26=0,0,1000000*R26/TrRoad_act!R63)</f>
        <v>761.05722865853068</v>
      </c>
      <c r="S120" s="87">
        <f>IF(S26=0,0,1000000*S26/TrRoad_act!S63)</f>
        <v>805.56832482172626</v>
      </c>
      <c r="T120" s="87">
        <f>IF(T26=0,0,1000000*T26/TrRoad_act!T63)</f>
        <v>728.8729804533333</v>
      </c>
      <c r="U120" s="87">
        <f>IF(U26=0,0,1000000*U26/TrRoad_act!U63)</f>
        <v>645.56698246006579</v>
      </c>
      <c r="V120" s="87">
        <f>IF(V26=0,0,1000000*V26/TrRoad_act!V63)</f>
        <v>481.11439993534708</v>
      </c>
      <c r="W120" s="87">
        <f>IF(W26=0,0,1000000*W26/TrRoad_act!W63)</f>
        <v>387.5595653080311</v>
      </c>
      <c r="X120" s="87">
        <f>IF(X26=0,0,1000000*X26/TrRoad_act!X63)</f>
        <v>398.91597959302374</v>
      </c>
      <c r="Y120" s="87">
        <f>IF(Y26=0,0,1000000*Y26/TrRoad_act!Y63)</f>
        <v>377.88190398733423</v>
      </c>
      <c r="DA120" s="171" t="s">
        <v>720</v>
      </c>
    </row>
    <row r="121" spans="1:105" ht="11.45" customHeight="1" x14ac:dyDescent="0.25">
      <c r="A121" s="111" t="s">
        <v>113</v>
      </c>
      <c r="B121" s="87">
        <f>IF(B27=0,0,1000000*B27/TrRoad_act!B64)</f>
        <v>0</v>
      </c>
      <c r="C121" s="87">
        <f>IF(C27=0,0,1000000*C27/TrRoad_act!C64)</f>
        <v>0</v>
      </c>
      <c r="D121" s="87">
        <f>IF(D27=0,0,1000000*D27/TrRoad_act!D64)</f>
        <v>0</v>
      </c>
      <c r="E121" s="87">
        <f>IF(E27=0,0,1000000*E27/TrRoad_act!E64)</f>
        <v>0</v>
      </c>
      <c r="F121" s="87">
        <f>IF(F27=0,0,1000000*F27/TrRoad_act!F64)</f>
        <v>0</v>
      </c>
      <c r="G121" s="87">
        <f>IF(G27=0,0,1000000*G27/TrRoad_act!G64)</f>
        <v>0</v>
      </c>
      <c r="H121" s="87">
        <f>IF(H27=0,0,1000000*H27/TrRoad_act!H64)</f>
        <v>0</v>
      </c>
      <c r="I121" s="87">
        <f>IF(I27=0,0,1000000*I27/TrRoad_act!I64)</f>
        <v>0</v>
      </c>
      <c r="J121" s="87">
        <f>IF(J27=0,0,1000000*J27/TrRoad_act!J64)</f>
        <v>0</v>
      </c>
      <c r="K121" s="87">
        <f>IF(K27=0,0,1000000*K27/TrRoad_act!K64)</f>
        <v>0</v>
      </c>
      <c r="L121" s="87">
        <f>IF(L27=0,0,1000000*L27/TrRoad_act!L64)</f>
        <v>0</v>
      </c>
      <c r="M121" s="87">
        <f>IF(M27=0,0,1000000*M27/TrRoad_act!M64)</f>
        <v>0</v>
      </c>
      <c r="N121" s="87">
        <f>IF(N27=0,0,1000000*N27/TrRoad_act!N64)</f>
        <v>0</v>
      </c>
      <c r="O121" s="87">
        <f>IF(O27=0,0,1000000*O27/TrRoad_act!O64)</f>
        <v>0</v>
      </c>
      <c r="P121" s="87">
        <f>IF(P27=0,0,1000000*P27/TrRoad_act!P64)</f>
        <v>0</v>
      </c>
      <c r="Q121" s="87">
        <f>IF(Q27=0,0,1000000*Q27/TrRoad_act!Q64)</f>
        <v>0</v>
      </c>
      <c r="R121" s="87">
        <f>IF(R27=0,0,1000000*R27/TrRoad_act!R64)</f>
        <v>0</v>
      </c>
      <c r="S121" s="87">
        <f>IF(S27=0,0,1000000*S27/TrRoad_act!S64)</f>
        <v>0</v>
      </c>
      <c r="T121" s="87">
        <f>IF(T27=0,0,1000000*T27/TrRoad_act!T64)</f>
        <v>0</v>
      </c>
      <c r="U121" s="87">
        <f>IF(U27=0,0,1000000*U27/TrRoad_act!U64)</f>
        <v>0</v>
      </c>
      <c r="V121" s="87">
        <f>IF(V27=0,0,1000000*V27/TrRoad_act!V64)</f>
        <v>0</v>
      </c>
      <c r="W121" s="87">
        <f>IF(W27=0,0,1000000*W27/TrRoad_act!W64)</f>
        <v>0</v>
      </c>
      <c r="X121" s="87">
        <f>IF(X27=0,0,1000000*X27/TrRoad_act!X64)</f>
        <v>0</v>
      </c>
      <c r="Y121" s="87">
        <f>IF(Y27=0,0,1000000*Y27/TrRoad_act!Y64)</f>
        <v>0</v>
      </c>
      <c r="DA121" s="171" t="s">
        <v>721</v>
      </c>
    </row>
    <row r="122" spans="1:105" ht="11.45" customHeight="1" x14ac:dyDescent="0.25">
      <c r="A122" s="111" t="s">
        <v>114</v>
      </c>
      <c r="B122" s="87">
        <f>IF(B29=0,0,1000000*B29/TrRoad_act!B65)</f>
        <v>0</v>
      </c>
      <c r="C122" s="87">
        <f>IF(C29=0,0,1000000*C29/TrRoad_act!C65)</f>
        <v>0</v>
      </c>
      <c r="D122" s="87">
        <f>IF(D29=0,0,1000000*D29/TrRoad_act!D65)</f>
        <v>0</v>
      </c>
      <c r="E122" s="87">
        <f>IF(E29=0,0,1000000*E29/TrRoad_act!E65)</f>
        <v>0</v>
      </c>
      <c r="F122" s="87">
        <f>IF(F29=0,0,1000000*F29/TrRoad_act!F65)</f>
        <v>0</v>
      </c>
      <c r="G122" s="87">
        <f>IF(G29=0,0,1000000*G29/TrRoad_act!G65)</f>
        <v>0</v>
      </c>
      <c r="H122" s="87">
        <f>IF(H29=0,0,1000000*H29/TrRoad_act!H65)</f>
        <v>0</v>
      </c>
      <c r="I122" s="87">
        <f>IF(I29=0,0,1000000*I29/TrRoad_act!I65)</f>
        <v>0</v>
      </c>
      <c r="J122" s="87">
        <f>IF(J29=0,0,1000000*J29/TrRoad_act!J65)</f>
        <v>0</v>
      </c>
      <c r="K122" s="87">
        <f>IF(K29=0,0,1000000*K29/TrRoad_act!K65)</f>
        <v>0</v>
      </c>
      <c r="L122" s="87">
        <f>IF(L29=0,0,1000000*L29/TrRoad_act!L65)</f>
        <v>0</v>
      </c>
      <c r="M122" s="87">
        <f>IF(M29=0,0,1000000*M29/TrRoad_act!M65)</f>
        <v>0</v>
      </c>
      <c r="N122" s="87">
        <f>IF(N29=0,0,1000000*N29/TrRoad_act!N65)</f>
        <v>386.50824633057135</v>
      </c>
      <c r="O122" s="87">
        <f>IF(O29=0,0,1000000*O29/TrRoad_act!O65)</f>
        <v>378.43065113900434</v>
      </c>
      <c r="P122" s="87">
        <f>IF(P29=0,0,1000000*P29/TrRoad_act!P65)</f>
        <v>403.36606117747925</v>
      </c>
      <c r="Q122" s="87">
        <f>IF(Q29=0,0,1000000*Q29/TrRoad_act!Q65)</f>
        <v>411.07809627937968</v>
      </c>
      <c r="R122" s="87">
        <f>IF(R29=0,0,1000000*R29/TrRoad_act!R65)</f>
        <v>290.84921232190231</v>
      </c>
      <c r="S122" s="87">
        <f>IF(S29=0,0,1000000*S29/TrRoad_act!S65)</f>
        <v>337.06179529875374</v>
      </c>
      <c r="T122" s="87">
        <f>IF(T29=0,0,1000000*T29/TrRoad_act!T65)</f>
        <v>317.71211125181071</v>
      </c>
      <c r="U122" s="87">
        <f>IF(U29=0,0,1000000*U29/TrRoad_act!U65)</f>
        <v>289.0844726171311</v>
      </c>
      <c r="V122" s="87">
        <f>IF(V29=0,0,1000000*V29/TrRoad_act!V65)</f>
        <v>280.31274662708762</v>
      </c>
      <c r="W122" s="87">
        <f>IF(W29=0,0,1000000*W29/TrRoad_act!W65)</f>
        <v>282.3999625651133</v>
      </c>
      <c r="X122" s="87">
        <f>IF(X29=0,0,1000000*X29/TrRoad_act!X65)</f>
        <v>299.03807876123921</v>
      </c>
      <c r="Y122" s="87">
        <f>IF(Y29=0,0,1000000*Y29/TrRoad_act!Y65)</f>
        <v>390.00421211226552</v>
      </c>
      <c r="DA122" s="171" t="s">
        <v>722</v>
      </c>
    </row>
    <row r="123" spans="1:105" ht="11.45" customHeight="1" x14ac:dyDescent="0.25">
      <c r="A123" s="111" t="s">
        <v>115</v>
      </c>
      <c r="B123" s="87">
        <f>IF(B32=0,0,1000000*B32/TrRoad_act!B66)</f>
        <v>0</v>
      </c>
      <c r="C123" s="87">
        <f>IF(C32=0,0,1000000*C32/TrRoad_act!C66)</f>
        <v>0</v>
      </c>
      <c r="D123" s="87">
        <f>IF(D32=0,0,1000000*D32/TrRoad_act!D66)</f>
        <v>0</v>
      </c>
      <c r="E123" s="87">
        <f>IF(E32=0,0,1000000*E32/TrRoad_act!E66)</f>
        <v>0</v>
      </c>
      <c r="F123" s="87">
        <f>IF(F32=0,0,1000000*F32/TrRoad_act!F66)</f>
        <v>0</v>
      </c>
      <c r="G123" s="87">
        <f>IF(G32=0,0,1000000*G32/TrRoad_act!G66)</f>
        <v>0</v>
      </c>
      <c r="H123" s="87">
        <f>IF(H32=0,0,1000000*H32/TrRoad_act!H66)</f>
        <v>0</v>
      </c>
      <c r="I123" s="87">
        <f>IF(I32=0,0,1000000*I32/TrRoad_act!I66)</f>
        <v>0</v>
      </c>
      <c r="J123" s="87">
        <f>IF(J32=0,0,1000000*J32/TrRoad_act!J66)</f>
        <v>0</v>
      </c>
      <c r="K123" s="87">
        <f>IF(K32=0,0,1000000*K32/TrRoad_act!K66)</f>
        <v>155.74088784311104</v>
      </c>
      <c r="L123" s="87">
        <f>IF(L32=0,0,1000000*L32/TrRoad_act!L66)</f>
        <v>154.92665883755654</v>
      </c>
      <c r="M123" s="87">
        <f>IF(M32=0,0,1000000*M32/TrRoad_act!M66)</f>
        <v>155.48646316926374</v>
      </c>
      <c r="N123" s="87">
        <f>IF(N32=0,0,1000000*N32/TrRoad_act!N66)</f>
        <v>150.09597700056284</v>
      </c>
      <c r="O123" s="87">
        <f>IF(O32=0,0,1000000*O32/TrRoad_act!O66)</f>
        <v>150.88182067135477</v>
      </c>
      <c r="P123" s="87">
        <f>IF(P32=0,0,1000000*P32/TrRoad_act!P66)</f>
        <v>152.60078495078974</v>
      </c>
      <c r="Q123" s="87">
        <f>IF(Q32=0,0,1000000*Q32/TrRoad_act!Q66)</f>
        <v>156.26615882183842</v>
      </c>
      <c r="R123" s="87">
        <f>IF(R32=0,0,1000000*R32/TrRoad_act!R66)</f>
        <v>154.95849993514057</v>
      </c>
      <c r="S123" s="87">
        <f>IF(S32=0,0,1000000*S32/TrRoad_act!S66)</f>
        <v>152.81746413083584</v>
      </c>
      <c r="T123" s="87">
        <f>IF(T32=0,0,1000000*T32/TrRoad_act!T66)</f>
        <v>151.50008599803334</v>
      </c>
      <c r="U123" s="87">
        <f>IF(U32=0,0,1000000*U32/TrRoad_act!U66)</f>
        <v>170.14278765237404</v>
      </c>
      <c r="V123" s="87">
        <f>IF(V32=0,0,1000000*V32/TrRoad_act!V66)</f>
        <v>167.16794771305342</v>
      </c>
      <c r="W123" s="87">
        <f>IF(W32=0,0,1000000*W32/TrRoad_act!W66)</f>
        <v>168.01988646499436</v>
      </c>
      <c r="X123" s="87">
        <f>IF(X32=0,0,1000000*X32/TrRoad_act!X66)</f>
        <v>162.58256017385739</v>
      </c>
      <c r="Y123" s="87">
        <f>IF(Y32=0,0,1000000*Y32/TrRoad_act!Y66)</f>
        <v>162.12644189557093</v>
      </c>
      <c r="DA123" s="171" t="s">
        <v>723</v>
      </c>
    </row>
    <row r="124" spans="1:105" ht="11.45" customHeight="1" x14ac:dyDescent="0.25">
      <c r="A124" s="109" t="s">
        <v>21</v>
      </c>
      <c r="B124" s="116">
        <f>IF(B33=0,0,1000000*B33/TrRoad_act!B67)</f>
        <v>10202.239527543075</v>
      </c>
      <c r="C124" s="116">
        <f>IF(C33=0,0,1000000*C33/TrRoad_act!C67)</f>
        <v>12109.801095889252</v>
      </c>
      <c r="D124" s="116">
        <f>IF(D33=0,0,1000000*D33/TrRoad_act!D67)</f>
        <v>13523.680729250551</v>
      </c>
      <c r="E124" s="116">
        <f>IF(E33=0,0,1000000*E33/TrRoad_act!E67)</f>
        <v>14761.313263703492</v>
      </c>
      <c r="F124" s="116">
        <f>IF(F33=0,0,1000000*F33/TrRoad_act!F67)</f>
        <v>15204.506373624912</v>
      </c>
      <c r="G124" s="116">
        <f>IF(G33=0,0,1000000*G33/TrRoad_act!G67)</f>
        <v>15611.091630636345</v>
      </c>
      <c r="H124" s="116">
        <f>IF(H33=0,0,1000000*H33/TrRoad_act!H67)</f>
        <v>17559.646655725293</v>
      </c>
      <c r="I124" s="116">
        <f>IF(I33=0,0,1000000*I33/TrRoad_act!I67)</f>
        <v>18347.069790264071</v>
      </c>
      <c r="J124" s="116">
        <f>IF(J33=0,0,1000000*J33/TrRoad_act!J67)</f>
        <v>20970.102649877637</v>
      </c>
      <c r="K124" s="116">
        <f>IF(K33=0,0,1000000*K33/TrRoad_act!K67)</f>
        <v>21788.065169105466</v>
      </c>
      <c r="L124" s="116">
        <f>IF(L33=0,0,1000000*L33/TrRoad_act!L67)</f>
        <v>22193.095990047779</v>
      </c>
      <c r="M124" s="116">
        <f>IF(M33=0,0,1000000*M33/TrRoad_act!M67)</f>
        <v>22831.397056217913</v>
      </c>
      <c r="N124" s="116">
        <f>IF(N33=0,0,1000000*N33/TrRoad_act!N67)</f>
        <v>22971.909529431923</v>
      </c>
      <c r="O124" s="116">
        <f>IF(O33=0,0,1000000*O33/TrRoad_act!O67)</f>
        <v>22955.957900341422</v>
      </c>
      <c r="P124" s="116">
        <f>IF(P33=0,0,1000000*P33/TrRoad_act!P67)</f>
        <v>23186.448966946678</v>
      </c>
      <c r="Q124" s="116">
        <f>IF(Q33=0,0,1000000*Q33/TrRoad_act!Q67)</f>
        <v>22453.22705196893</v>
      </c>
      <c r="R124" s="116">
        <f>IF(R33=0,0,1000000*R33/TrRoad_act!R67)</f>
        <v>22977.116602231308</v>
      </c>
      <c r="S124" s="116">
        <f>IF(S33=0,0,1000000*S33/TrRoad_act!S67)</f>
        <v>23469.921113397661</v>
      </c>
      <c r="T124" s="116">
        <f>IF(T33=0,0,1000000*T33/TrRoad_act!T67)</f>
        <v>23217.732114372546</v>
      </c>
      <c r="U124" s="116">
        <f>IF(U33=0,0,1000000*U33/TrRoad_act!U67)</f>
        <v>22723.334470734757</v>
      </c>
      <c r="V124" s="116">
        <f>IF(V33=0,0,1000000*V33/TrRoad_act!V67)</f>
        <v>23757.662095478736</v>
      </c>
      <c r="W124" s="116">
        <f>IF(W33=0,0,1000000*W33/TrRoad_act!W67)</f>
        <v>24114.425749706483</v>
      </c>
      <c r="X124" s="116">
        <f>IF(X33=0,0,1000000*X33/TrRoad_act!X67)</f>
        <v>24822.669542883326</v>
      </c>
      <c r="Y124" s="116">
        <f>IF(Y33=0,0,1000000*Y33/TrRoad_act!Y67)</f>
        <v>24465.484005979702</v>
      </c>
      <c r="DA124" s="176" t="s">
        <v>724</v>
      </c>
    </row>
    <row r="125" spans="1:105" ht="11.45" customHeight="1" x14ac:dyDescent="0.25">
      <c r="A125" s="111" t="s">
        <v>110</v>
      </c>
      <c r="B125" s="101">
        <f>IF(B34=0,0,1000000*B34/TrRoad_act!B68)</f>
        <v>0</v>
      </c>
      <c r="C125" s="101">
        <f>IF(C34=0,0,1000000*C34/TrRoad_act!C68)</f>
        <v>0</v>
      </c>
      <c r="D125" s="101">
        <f>IF(D34=0,0,1000000*D34/TrRoad_act!D68)</f>
        <v>0</v>
      </c>
      <c r="E125" s="101">
        <f>IF(E34=0,0,1000000*E34/TrRoad_act!E68)</f>
        <v>0</v>
      </c>
      <c r="F125" s="101">
        <f>IF(F34=0,0,1000000*F34/TrRoad_act!F68)</f>
        <v>0</v>
      </c>
      <c r="G125" s="101">
        <f>IF(G34=0,0,1000000*G34/TrRoad_act!G68)</f>
        <v>0</v>
      </c>
      <c r="H125" s="101">
        <f>IF(H34=0,0,1000000*H34/TrRoad_act!H68)</f>
        <v>0</v>
      </c>
      <c r="I125" s="101">
        <f>IF(I34=0,0,1000000*I34/TrRoad_act!I68)</f>
        <v>0</v>
      </c>
      <c r="J125" s="101">
        <f>IF(J34=0,0,1000000*J34/TrRoad_act!J68)</f>
        <v>5395.4376480802521</v>
      </c>
      <c r="K125" s="101">
        <f>IF(K34=0,0,1000000*K34/TrRoad_act!K68)</f>
        <v>5424.4316515184428</v>
      </c>
      <c r="L125" s="101">
        <f>IF(L34=0,0,1000000*L34/TrRoad_act!L68)</f>
        <v>5461.3411220435182</v>
      </c>
      <c r="M125" s="101">
        <f>IF(M34=0,0,1000000*M34/TrRoad_act!M68)</f>
        <v>5571.8601182813836</v>
      </c>
      <c r="N125" s="101">
        <f>IF(N34=0,0,1000000*N34/TrRoad_act!N68)</f>
        <v>5531.6661880060028</v>
      </c>
      <c r="O125" s="101">
        <f>IF(O34=0,0,1000000*O34/TrRoad_act!O68)</f>
        <v>5536.1878963111394</v>
      </c>
      <c r="P125" s="101">
        <f>IF(P34=0,0,1000000*P34/TrRoad_act!P68)</f>
        <v>5589.4429112268972</v>
      </c>
      <c r="Q125" s="101">
        <f>IF(Q34=0,0,1000000*Q34/TrRoad_act!Q68)</f>
        <v>5322.2821000247313</v>
      </c>
      <c r="R125" s="101">
        <f>IF(R34=0,0,1000000*R34/TrRoad_act!R68)</f>
        <v>5470.5860266280424</v>
      </c>
      <c r="S125" s="101">
        <f>IF(S34=0,0,1000000*S34/TrRoad_act!S68)</f>
        <v>5539.1858945906388</v>
      </c>
      <c r="T125" s="101">
        <f>IF(T34=0,0,1000000*T34/TrRoad_act!T68)</f>
        <v>5620.6198755821033</v>
      </c>
      <c r="U125" s="101">
        <f>IF(U34=0,0,1000000*U34/TrRoad_act!U68)</f>
        <v>5661.5959572909233</v>
      </c>
      <c r="V125" s="101">
        <f>IF(V34=0,0,1000000*V34/TrRoad_act!V68)</f>
        <v>5886.362603610557</v>
      </c>
      <c r="W125" s="101">
        <f>IF(W34=0,0,1000000*W34/TrRoad_act!W68)</f>
        <v>6164.1886840119432</v>
      </c>
      <c r="X125" s="101">
        <f>IF(X34=0,0,1000000*X34/TrRoad_act!X68)</f>
        <v>6347.2145826862798</v>
      </c>
      <c r="Y125" s="101">
        <f>IF(Y34=0,0,1000000*Y34/TrRoad_act!Y68)</f>
        <v>6520.0588169284119</v>
      </c>
      <c r="DA125" s="175" t="s">
        <v>725</v>
      </c>
    </row>
    <row r="126" spans="1:105" ht="11.45" customHeight="1" x14ac:dyDescent="0.25">
      <c r="A126" s="111" t="s">
        <v>111</v>
      </c>
      <c r="B126" s="101">
        <f>IF(B36=0,0,1000000*B36/TrRoad_act!B69)</f>
        <v>10202.239527543075</v>
      </c>
      <c r="C126" s="101">
        <f>IF(C36=0,0,1000000*C36/TrRoad_act!C69)</f>
        <v>12109.801095889252</v>
      </c>
      <c r="D126" s="101">
        <f>IF(D36=0,0,1000000*D36/TrRoad_act!D69)</f>
        <v>13523.680729250551</v>
      </c>
      <c r="E126" s="101">
        <f>IF(E36=0,0,1000000*E36/TrRoad_act!E69)</f>
        <v>14761.313263703492</v>
      </c>
      <c r="F126" s="101">
        <f>IF(F36=0,0,1000000*F36/TrRoad_act!F69)</f>
        <v>15204.506373624912</v>
      </c>
      <c r="G126" s="101">
        <f>IF(G36=0,0,1000000*G36/TrRoad_act!G69)</f>
        <v>15611.091630636345</v>
      </c>
      <c r="H126" s="101">
        <f>IF(H36=0,0,1000000*H36/TrRoad_act!H69)</f>
        <v>17559.646655725293</v>
      </c>
      <c r="I126" s="101">
        <f>IF(I36=0,0,1000000*I36/TrRoad_act!I69)</f>
        <v>18347.069790264071</v>
      </c>
      <c r="J126" s="101">
        <f>IF(J36=0,0,1000000*J36/TrRoad_act!J69)</f>
        <v>21041.768387138567</v>
      </c>
      <c r="K126" s="101">
        <f>IF(K36=0,0,1000000*K36/TrRoad_act!K69)</f>
        <v>21865.054969834873</v>
      </c>
      <c r="L126" s="101">
        <f>IF(L36=0,0,1000000*L36/TrRoad_act!L69)</f>
        <v>22282.985265785745</v>
      </c>
      <c r="M126" s="101">
        <f>IF(M36=0,0,1000000*M36/TrRoad_act!M69)</f>
        <v>22927.375961681486</v>
      </c>
      <c r="N126" s="101">
        <f>IF(N36=0,0,1000000*N36/TrRoad_act!N69)</f>
        <v>23064.735543042883</v>
      </c>
      <c r="O126" s="101">
        <f>IF(O36=0,0,1000000*O36/TrRoad_act!O69)</f>
        <v>23045.365272741459</v>
      </c>
      <c r="P126" s="101">
        <f>IF(P36=0,0,1000000*P36/TrRoad_act!P69)</f>
        <v>23272.076296350275</v>
      </c>
      <c r="Q126" s="101">
        <f>IF(Q36=0,0,1000000*Q36/TrRoad_act!Q69)</f>
        <v>22528.136857949357</v>
      </c>
      <c r="R126" s="101">
        <f>IF(R36=0,0,1000000*R36/TrRoad_act!R69)</f>
        <v>23047.589826471194</v>
      </c>
      <c r="S126" s="101">
        <f>IF(S36=0,0,1000000*S36/TrRoad_act!S69)</f>
        <v>23537.741165857129</v>
      </c>
      <c r="T126" s="101">
        <f>IF(T36=0,0,1000000*T36/TrRoad_act!T69)</f>
        <v>23276.249400580564</v>
      </c>
      <c r="U126" s="101">
        <f>IF(U36=0,0,1000000*U36/TrRoad_act!U69)</f>
        <v>22783.230274690664</v>
      </c>
      <c r="V126" s="101">
        <f>IF(V36=0,0,1000000*V36/TrRoad_act!V69)</f>
        <v>23854.737770729429</v>
      </c>
      <c r="W126" s="101">
        <f>IF(W36=0,0,1000000*W36/TrRoad_act!W69)</f>
        <v>24213.926113106816</v>
      </c>
      <c r="X126" s="101">
        <f>IF(X36=0,0,1000000*X36/TrRoad_act!X69)</f>
        <v>24960.087970875702</v>
      </c>
      <c r="Y126" s="101">
        <f>IF(Y36=0,0,1000000*Y36/TrRoad_act!Y69)</f>
        <v>24711.246590200597</v>
      </c>
      <c r="DA126" s="175" t="s">
        <v>726</v>
      </c>
    </row>
    <row r="127" spans="1:105" ht="11.45" customHeight="1" x14ac:dyDescent="0.25">
      <c r="A127" s="111" t="s">
        <v>112</v>
      </c>
      <c r="B127" s="101">
        <f>IF(B38=0,0,1000000*B38/TrRoad_act!B70)</f>
        <v>0</v>
      </c>
      <c r="C127" s="101">
        <f>IF(C38=0,0,1000000*C38/TrRoad_act!C70)</f>
        <v>0</v>
      </c>
      <c r="D127" s="101">
        <f>IF(D38=0,0,1000000*D38/TrRoad_act!D70)</f>
        <v>0</v>
      </c>
      <c r="E127" s="101">
        <f>IF(E38=0,0,1000000*E38/TrRoad_act!E70)</f>
        <v>0</v>
      </c>
      <c r="F127" s="101">
        <f>IF(F38=0,0,1000000*F38/TrRoad_act!F70)</f>
        <v>0</v>
      </c>
      <c r="G127" s="101">
        <f>IF(G38=0,0,1000000*G38/TrRoad_act!G70)</f>
        <v>0</v>
      </c>
      <c r="H127" s="101">
        <f>IF(H38=0,0,1000000*H38/TrRoad_act!H70)</f>
        <v>0</v>
      </c>
      <c r="I127" s="101">
        <f>IF(I38=0,0,1000000*I38/TrRoad_act!I70)</f>
        <v>0</v>
      </c>
      <c r="J127" s="101">
        <f>IF(J38=0,0,1000000*J38/TrRoad_act!J70)</f>
        <v>10701.095832471032</v>
      </c>
      <c r="K127" s="101">
        <f>IF(K38=0,0,1000000*K38/TrRoad_act!K70)</f>
        <v>10985.424579869996</v>
      </c>
      <c r="L127" s="101">
        <f>IF(L38=0,0,1000000*L38/TrRoad_act!L70)</f>
        <v>11323.848381779389</v>
      </c>
      <c r="M127" s="101">
        <f>IF(M38=0,0,1000000*M38/TrRoad_act!M70)</f>
        <v>11821.064072473568</v>
      </c>
      <c r="N127" s="101">
        <f>IF(N38=0,0,1000000*N38/TrRoad_act!N70)</f>
        <v>11978.007932690318</v>
      </c>
      <c r="O127" s="101">
        <f>IF(O38=0,0,1000000*O38/TrRoad_act!O70)</f>
        <v>12245.120952515013</v>
      </c>
      <c r="P127" s="101">
        <f>IF(P38=0,0,1000000*P38/TrRoad_act!P70)</f>
        <v>12334.933875283166</v>
      </c>
      <c r="Q127" s="101">
        <f>IF(Q38=0,0,1000000*Q38/TrRoad_act!Q70)</f>
        <v>11965.310466589772</v>
      </c>
      <c r="R127" s="101">
        <f>IF(R38=0,0,1000000*R38/TrRoad_act!R70)</f>
        <v>12065.521246824754</v>
      </c>
      <c r="S127" s="101">
        <f>IF(S38=0,0,1000000*S38/TrRoad_act!S70)</f>
        <v>11974.671087344968</v>
      </c>
      <c r="T127" s="101">
        <f>IF(T38=0,0,1000000*T38/TrRoad_act!T70)</f>
        <v>11924.073824891953</v>
      </c>
      <c r="U127" s="101">
        <f>IF(U38=0,0,1000000*U38/TrRoad_act!U70)</f>
        <v>11770.769150672362</v>
      </c>
      <c r="V127" s="101">
        <f>IF(V38=0,0,1000000*V38/TrRoad_act!V70)</f>
        <v>12009.197259866609</v>
      </c>
      <c r="W127" s="101">
        <f>IF(W38=0,0,1000000*W38/TrRoad_act!W70)</f>
        <v>12346.631862239255</v>
      </c>
      <c r="X127" s="101">
        <f>IF(X38=0,0,1000000*X38/TrRoad_act!X70)</f>
        <v>12696.236836761613</v>
      </c>
      <c r="Y127" s="101">
        <f>IF(Y38=0,0,1000000*Y38/TrRoad_act!Y70)</f>
        <v>12810.127020144506</v>
      </c>
      <c r="DA127" s="175" t="s">
        <v>727</v>
      </c>
    </row>
    <row r="128" spans="1:105" ht="11.45" customHeight="1" x14ac:dyDescent="0.25">
      <c r="A128" s="111" t="s">
        <v>113</v>
      </c>
      <c r="B128" s="101">
        <f>IF(B39=0,0,1000000*B39/TrRoad_act!B71)</f>
        <v>0</v>
      </c>
      <c r="C128" s="101">
        <f>IF(C39=0,0,1000000*C39/TrRoad_act!C71)</f>
        <v>0</v>
      </c>
      <c r="D128" s="101">
        <f>IF(D39=0,0,1000000*D39/TrRoad_act!D71)</f>
        <v>0</v>
      </c>
      <c r="E128" s="101">
        <f>IF(E39=0,0,1000000*E39/TrRoad_act!E71)</f>
        <v>0</v>
      </c>
      <c r="F128" s="101">
        <f>IF(F39=0,0,1000000*F39/TrRoad_act!F71)</f>
        <v>0</v>
      </c>
      <c r="G128" s="101">
        <f>IF(G39=0,0,1000000*G39/TrRoad_act!G71)</f>
        <v>0</v>
      </c>
      <c r="H128" s="101">
        <f>IF(H39=0,0,1000000*H39/TrRoad_act!H71)</f>
        <v>0</v>
      </c>
      <c r="I128" s="101">
        <f>IF(I39=0,0,1000000*I39/TrRoad_act!I71)</f>
        <v>0</v>
      </c>
      <c r="J128" s="101">
        <f>IF(J39=0,0,1000000*J39/TrRoad_act!J71)</f>
        <v>0</v>
      </c>
      <c r="K128" s="101">
        <f>IF(K39=0,0,1000000*K39/TrRoad_act!K71)</f>
        <v>0</v>
      </c>
      <c r="L128" s="101">
        <f>IF(L39=0,0,1000000*L39/TrRoad_act!L71)</f>
        <v>0</v>
      </c>
      <c r="M128" s="101">
        <f>IF(M39=0,0,1000000*M39/TrRoad_act!M71)</f>
        <v>0</v>
      </c>
      <c r="N128" s="101">
        <f>IF(N39=0,0,1000000*N39/TrRoad_act!N71)</f>
        <v>0</v>
      </c>
      <c r="O128" s="101">
        <f>IF(O39=0,0,1000000*O39/TrRoad_act!O71)</f>
        <v>0</v>
      </c>
      <c r="P128" s="101">
        <f>IF(P39=0,0,1000000*P39/TrRoad_act!P71)</f>
        <v>0</v>
      </c>
      <c r="Q128" s="101">
        <f>IF(Q39=0,0,1000000*Q39/TrRoad_act!Q71)</f>
        <v>0</v>
      </c>
      <c r="R128" s="101">
        <f>IF(R39=0,0,1000000*R39/TrRoad_act!R71)</f>
        <v>0</v>
      </c>
      <c r="S128" s="101">
        <f>IF(S39=0,0,1000000*S39/TrRoad_act!S71)</f>
        <v>0</v>
      </c>
      <c r="T128" s="101">
        <f>IF(T39=0,0,1000000*T39/TrRoad_act!T71)</f>
        <v>0</v>
      </c>
      <c r="U128" s="101">
        <f>IF(U39=0,0,1000000*U39/TrRoad_act!U71)</f>
        <v>0</v>
      </c>
      <c r="V128" s="101">
        <f>IF(V39=0,0,1000000*V39/TrRoad_act!V71)</f>
        <v>0</v>
      </c>
      <c r="W128" s="101">
        <f>IF(W39=0,0,1000000*W39/TrRoad_act!W71)</f>
        <v>0</v>
      </c>
      <c r="X128" s="101">
        <f>IF(X39=0,0,1000000*X39/TrRoad_act!X71)</f>
        <v>0</v>
      </c>
      <c r="Y128" s="101">
        <f>IF(Y39=0,0,1000000*Y39/TrRoad_act!Y71)</f>
        <v>0</v>
      </c>
      <c r="DA128" s="175" t="s">
        <v>728</v>
      </c>
    </row>
    <row r="129" spans="1:105" ht="11.45" customHeight="1" x14ac:dyDescent="0.25">
      <c r="A129" s="111" t="s">
        <v>115</v>
      </c>
      <c r="B129" s="101">
        <f>IF(B41=0,0,1000000*B41/TrRoad_act!B72)</f>
        <v>0</v>
      </c>
      <c r="C129" s="101">
        <f>IF(C41=0,0,1000000*C41/TrRoad_act!C72)</f>
        <v>0</v>
      </c>
      <c r="D129" s="101">
        <f>IF(D41=0,0,1000000*D41/TrRoad_act!D72)</f>
        <v>0</v>
      </c>
      <c r="E129" s="101">
        <f>IF(E41=0,0,1000000*E41/TrRoad_act!E72)</f>
        <v>0</v>
      </c>
      <c r="F129" s="101">
        <f>IF(F41=0,0,1000000*F41/TrRoad_act!F72)</f>
        <v>0</v>
      </c>
      <c r="G129" s="101">
        <f>IF(G41=0,0,1000000*G41/TrRoad_act!G72)</f>
        <v>0</v>
      </c>
      <c r="H129" s="101">
        <f>IF(H41=0,0,1000000*H41/TrRoad_act!H72)</f>
        <v>0</v>
      </c>
      <c r="I129" s="101">
        <f>IF(I41=0,0,1000000*I41/TrRoad_act!I72)</f>
        <v>0</v>
      </c>
      <c r="J129" s="101">
        <f>IF(J41=0,0,1000000*J41/TrRoad_act!J72)</f>
        <v>0</v>
      </c>
      <c r="K129" s="101">
        <f>IF(K41=0,0,1000000*K41/TrRoad_act!K72)</f>
        <v>0</v>
      </c>
      <c r="L129" s="101">
        <f>IF(L41=0,0,1000000*L41/TrRoad_act!L72)</f>
        <v>0</v>
      </c>
      <c r="M129" s="101">
        <f>IF(M41=0,0,1000000*M41/TrRoad_act!M72)</f>
        <v>0</v>
      </c>
      <c r="N129" s="101">
        <f>IF(N41=0,0,1000000*N41/TrRoad_act!N72)</f>
        <v>0</v>
      </c>
      <c r="O129" s="101">
        <f>IF(O41=0,0,1000000*O41/TrRoad_act!O72)</f>
        <v>14266.848848882817</v>
      </c>
      <c r="P129" s="101">
        <f>IF(P41=0,0,1000000*P41/TrRoad_act!P72)</f>
        <v>14320.815631767646</v>
      </c>
      <c r="Q129" s="101">
        <f>IF(Q41=0,0,1000000*Q41/TrRoad_act!Q72)</f>
        <v>14421.174457364792</v>
      </c>
      <c r="R129" s="101">
        <f>IF(R41=0,0,1000000*R41/TrRoad_act!R72)</f>
        <v>14479.469932432859</v>
      </c>
      <c r="S129" s="101">
        <f>IF(S41=0,0,1000000*S41/TrRoad_act!S72)</f>
        <v>14428.664925243269</v>
      </c>
      <c r="T129" s="101">
        <f>IF(T41=0,0,1000000*T41/TrRoad_act!T72)</f>
        <v>14166.561975071067</v>
      </c>
      <c r="U129" s="101">
        <f>IF(U41=0,0,1000000*U41/TrRoad_act!U72)</f>
        <v>13952.376259752127</v>
      </c>
      <c r="V129" s="101">
        <f>IF(V41=0,0,1000000*V41/TrRoad_act!V72)</f>
        <v>13410.805498651815</v>
      </c>
      <c r="W129" s="101">
        <f>IF(W41=0,0,1000000*W41/TrRoad_act!W72)</f>
        <v>13432.972797450399</v>
      </c>
      <c r="X129" s="101">
        <f>IF(X41=0,0,1000000*X41/TrRoad_act!X72)</f>
        <v>13170.038317039487</v>
      </c>
      <c r="Y129" s="101">
        <f>IF(Y41=0,0,1000000*Y41/TrRoad_act!Y72)</f>
        <v>12749.389989507663</v>
      </c>
      <c r="DA129" s="175" t="s">
        <v>729</v>
      </c>
    </row>
    <row r="130" spans="1:105" ht="11.45" customHeight="1" x14ac:dyDescent="0.25">
      <c r="A130" s="27" t="s">
        <v>34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DA130" s="173"/>
    </row>
    <row r="131" spans="1:105" ht="11.45" customHeight="1" x14ac:dyDescent="0.25">
      <c r="A131" s="136" t="s">
        <v>153</v>
      </c>
      <c r="B131" s="152">
        <f>IF(B43=0,0,1000000*B43/TrRoad_act!B74)</f>
        <v>1283.0852037850107</v>
      </c>
      <c r="C131" s="152">
        <f>IF(C43=0,0,1000000*C43/TrRoad_act!C74)</f>
        <v>1311.1745595370817</v>
      </c>
      <c r="D131" s="152">
        <f>IF(D43=0,0,1000000*D43/TrRoad_act!D74)</f>
        <v>1309.4616156601226</v>
      </c>
      <c r="E131" s="152">
        <f>IF(E43=0,0,1000000*E43/TrRoad_act!E74)</f>
        <v>1306.0284261742499</v>
      </c>
      <c r="F131" s="152">
        <f>IF(F43=0,0,1000000*F43/TrRoad_act!F74)</f>
        <v>1265.2737870430979</v>
      </c>
      <c r="G131" s="152">
        <f>IF(G43=0,0,1000000*G43/TrRoad_act!G74)</f>
        <v>1293.5582393819154</v>
      </c>
      <c r="H131" s="152">
        <f>IF(H43=0,0,1000000*H43/TrRoad_act!H74)</f>
        <v>1293.7492684688498</v>
      </c>
      <c r="I131" s="152">
        <f>IF(I43=0,0,1000000*I43/TrRoad_act!I74)</f>
        <v>1259.078358159376</v>
      </c>
      <c r="J131" s="152">
        <f>IF(J43=0,0,1000000*J43/TrRoad_act!J74)</f>
        <v>1276.2980387684991</v>
      </c>
      <c r="K131" s="152">
        <f>IF(K43=0,0,1000000*K43/TrRoad_act!K74)</f>
        <v>1275.9120342032029</v>
      </c>
      <c r="L131" s="152">
        <f>IF(L43=0,0,1000000*L43/TrRoad_act!L74)</f>
        <v>1254.3111295776757</v>
      </c>
      <c r="M131" s="152">
        <f>IF(M43=0,0,1000000*M43/TrRoad_act!M74)</f>
        <v>1272.8229952948818</v>
      </c>
      <c r="N131" s="152">
        <f>IF(N43=0,0,1000000*N43/TrRoad_act!N74)</f>
        <v>1311.1689385863783</v>
      </c>
      <c r="O131" s="152">
        <f>IF(O43=0,0,1000000*O43/TrRoad_act!O74)</f>
        <v>1279.4853829789697</v>
      </c>
      <c r="P131" s="152">
        <f>IF(P43=0,0,1000000*P43/TrRoad_act!P74)</f>
        <v>1270.011105392226</v>
      </c>
      <c r="Q131" s="152">
        <f>IF(Q43=0,0,1000000*Q43/TrRoad_act!Q74)</f>
        <v>1258.5175354482421</v>
      </c>
      <c r="R131" s="152">
        <f>IF(R43=0,0,1000000*R43/TrRoad_act!R74)</f>
        <v>1271.3774600351264</v>
      </c>
      <c r="S131" s="152">
        <f>IF(S43=0,0,1000000*S43/TrRoad_act!S74)</f>
        <v>1276.8998147568273</v>
      </c>
      <c r="T131" s="152">
        <f>IF(T43=0,0,1000000*T43/TrRoad_act!T74)</f>
        <v>1262.4536050094989</v>
      </c>
      <c r="U131" s="152">
        <f>IF(U43=0,0,1000000*U43/TrRoad_act!U74)</f>
        <v>1243.4853705749777</v>
      </c>
      <c r="V131" s="152">
        <f>IF(V43=0,0,1000000*V43/TrRoad_act!V74)</f>
        <v>1220.5645468305329</v>
      </c>
      <c r="W131" s="152">
        <f>IF(W43=0,0,1000000*W43/TrRoad_act!W74)</f>
        <v>1216.9971173852416</v>
      </c>
      <c r="X131" s="152">
        <f>IF(X43=0,0,1000000*X43/TrRoad_act!X74)</f>
        <v>1221.8529594181837</v>
      </c>
      <c r="Y131" s="152">
        <f>IF(Y43=0,0,1000000*Y43/TrRoad_act!Y74)</f>
        <v>1199.6732737211842</v>
      </c>
      <c r="DA131" s="174" t="s">
        <v>730</v>
      </c>
    </row>
    <row r="132" spans="1:105" ht="11.45" customHeight="1" x14ac:dyDescent="0.25">
      <c r="A132" s="111" t="s">
        <v>110</v>
      </c>
      <c r="B132" s="87">
        <f>IF(B44=0,0,1000000*B44/TrRoad_act!B75)</f>
        <v>1300.9218731100329</v>
      </c>
      <c r="C132" s="87">
        <f>IF(C44=0,0,1000000*C44/TrRoad_act!C75)</f>
        <v>1282.826193228723</v>
      </c>
      <c r="D132" s="87">
        <f>IF(D44=0,0,1000000*D44/TrRoad_act!D75)</f>
        <v>1252.1968002718852</v>
      </c>
      <c r="E132" s="87">
        <f>IF(E44=0,0,1000000*E44/TrRoad_act!E75)</f>
        <v>1216.9560192493536</v>
      </c>
      <c r="F132" s="87">
        <f>IF(F44=0,0,1000000*F44/TrRoad_act!F75)</f>
        <v>1181.9264226943906</v>
      </c>
      <c r="G132" s="87">
        <f>IF(G44=0,0,1000000*G44/TrRoad_act!G75)</f>
        <v>1152.8412205322204</v>
      </c>
      <c r="H132" s="87">
        <f>IF(H44=0,0,1000000*H44/TrRoad_act!H75)</f>
        <v>1106.4635631249953</v>
      </c>
      <c r="I132" s="87">
        <f>IF(I44=0,0,1000000*I44/TrRoad_act!I75)</f>
        <v>1070.0457894526678</v>
      </c>
      <c r="J132" s="87">
        <f>IF(J44=0,0,1000000*J44/TrRoad_act!J75)</f>
        <v>1043.6474155111612</v>
      </c>
      <c r="K132" s="87">
        <f>IF(K44=0,0,1000000*K44/TrRoad_act!K75)</f>
        <v>1012.8065995531284</v>
      </c>
      <c r="L132" s="87">
        <f>IF(L44=0,0,1000000*L44/TrRoad_act!L75)</f>
        <v>984.36698380870371</v>
      </c>
      <c r="M132" s="87">
        <f>IF(M44=0,0,1000000*M44/TrRoad_act!M75)</f>
        <v>966.87158292332231</v>
      </c>
      <c r="N132" s="87">
        <f>IF(N44=0,0,1000000*N44/TrRoad_act!N75)</f>
        <v>948.18895094538072</v>
      </c>
      <c r="O132" s="87">
        <f>IF(O44=0,0,1000000*O44/TrRoad_act!O75)</f>
        <v>936.38715432358356</v>
      </c>
      <c r="P132" s="87">
        <f>IF(P44=0,0,1000000*P44/TrRoad_act!P75)</f>
        <v>911.08588586518238</v>
      </c>
      <c r="Q132" s="87">
        <f>IF(Q44=0,0,1000000*Q44/TrRoad_act!Q75)</f>
        <v>883.45901628036722</v>
      </c>
      <c r="R132" s="87">
        <f>IF(R44=0,0,1000000*R44/TrRoad_act!R75)</f>
        <v>879.5763536210012</v>
      </c>
      <c r="S132" s="87">
        <f>IF(S44=0,0,1000000*S44/TrRoad_act!S75)</f>
        <v>854.62942869400888</v>
      </c>
      <c r="T132" s="87">
        <f>IF(T44=0,0,1000000*T44/TrRoad_act!T75)</f>
        <v>839.8293712758898</v>
      </c>
      <c r="U132" s="87">
        <f>IF(U44=0,0,1000000*U44/TrRoad_act!U75)</f>
        <v>824.44753888093089</v>
      </c>
      <c r="V132" s="87">
        <f>IF(V44=0,0,1000000*V44/TrRoad_act!V75)</f>
        <v>810.03410831362601</v>
      </c>
      <c r="W132" s="87">
        <f>IF(W44=0,0,1000000*W44/TrRoad_act!W75)</f>
        <v>803.98182047512887</v>
      </c>
      <c r="X132" s="87">
        <f>IF(X44=0,0,1000000*X44/TrRoad_act!X75)</f>
        <v>789.16020749979089</v>
      </c>
      <c r="Y132" s="87">
        <f>IF(Y44=0,0,1000000*Y44/TrRoad_act!Y75)</f>
        <v>781.60791604771123</v>
      </c>
      <c r="DA132" s="171" t="s">
        <v>731</v>
      </c>
    </row>
    <row r="133" spans="1:105" ht="11.45" customHeight="1" x14ac:dyDescent="0.25">
      <c r="A133" s="111" t="s">
        <v>111</v>
      </c>
      <c r="B133" s="87">
        <f>IF(B46=0,0,1000000*B46/TrRoad_act!B76)</f>
        <v>1270.8613948809063</v>
      </c>
      <c r="C133" s="87">
        <f>IF(C46=0,0,1000000*C46/TrRoad_act!C76)</f>
        <v>1330.0103472826329</v>
      </c>
      <c r="D133" s="87">
        <f>IF(D46=0,0,1000000*D46/TrRoad_act!D76)</f>
        <v>1346.3933899592562</v>
      </c>
      <c r="E133" s="87">
        <f>IF(E46=0,0,1000000*E46/TrRoad_act!E76)</f>
        <v>1361.6642796851436</v>
      </c>
      <c r="F133" s="87">
        <f>IF(F46=0,0,1000000*F46/TrRoad_act!F76)</f>
        <v>1315.6604684120443</v>
      </c>
      <c r="G133" s="87">
        <f>IF(G46=0,0,1000000*G46/TrRoad_act!G76)</f>
        <v>1376.1856489563861</v>
      </c>
      <c r="H133" s="87">
        <f>IF(H46=0,0,1000000*H46/TrRoad_act!H76)</f>
        <v>1399.2515894535345</v>
      </c>
      <c r="I133" s="87">
        <f>IF(I46=0,0,1000000*I46/TrRoad_act!I76)</f>
        <v>1362.1458085333809</v>
      </c>
      <c r="J133" s="87">
        <f>IF(J46=0,0,1000000*J46/TrRoad_act!J76)</f>
        <v>1382.0979764243596</v>
      </c>
      <c r="K133" s="87">
        <f>IF(K46=0,0,1000000*K46/TrRoad_act!K76)</f>
        <v>1389.4900812372944</v>
      </c>
      <c r="L133" s="87">
        <f>IF(L46=0,0,1000000*L46/TrRoad_act!L76)</f>
        <v>1363.6303869497394</v>
      </c>
      <c r="M133" s="87">
        <f>IF(M46=0,0,1000000*M46/TrRoad_act!M76)</f>
        <v>1384.283266271384</v>
      </c>
      <c r="N133" s="87">
        <f>IF(N46=0,0,1000000*N46/TrRoad_act!N76)</f>
        <v>1432.7992704318563</v>
      </c>
      <c r="O133" s="87">
        <f>IF(O46=0,0,1000000*O46/TrRoad_act!O76)</f>
        <v>1377.5551631483904</v>
      </c>
      <c r="P133" s="87">
        <f>IF(P46=0,0,1000000*P46/TrRoad_act!P76)</f>
        <v>1356.1814974217168</v>
      </c>
      <c r="Q133" s="87">
        <f>IF(Q46=0,0,1000000*Q46/TrRoad_act!Q76)</f>
        <v>1332.5684886462634</v>
      </c>
      <c r="R133" s="87">
        <f>IF(R46=0,0,1000000*R46/TrRoad_act!R76)</f>
        <v>1350.5043134206448</v>
      </c>
      <c r="S133" s="87">
        <f>IF(S46=0,0,1000000*S46/TrRoad_act!S76)</f>
        <v>1359.1214938734327</v>
      </c>
      <c r="T133" s="87">
        <f>IF(T46=0,0,1000000*T46/TrRoad_act!T76)</f>
        <v>1338.8620288514076</v>
      </c>
      <c r="U133" s="87">
        <f>IF(U46=0,0,1000000*U46/TrRoad_act!U76)</f>
        <v>1312.2370971182918</v>
      </c>
      <c r="V133" s="87">
        <f>IF(V46=0,0,1000000*V46/TrRoad_act!V76)</f>
        <v>1283.0609660126538</v>
      </c>
      <c r="W133" s="87">
        <f>IF(W46=0,0,1000000*W46/TrRoad_act!W76)</f>
        <v>1275.5335448399089</v>
      </c>
      <c r="X133" s="87">
        <f>IF(X46=0,0,1000000*X46/TrRoad_act!X76)</f>
        <v>1280.2705707301432</v>
      </c>
      <c r="Y133" s="87">
        <f>IF(Y46=0,0,1000000*Y46/TrRoad_act!Y76)</f>
        <v>1254.8343128010522</v>
      </c>
      <c r="DA133" s="171" t="s">
        <v>732</v>
      </c>
    </row>
    <row r="134" spans="1:105" ht="11.45" customHeight="1" x14ac:dyDescent="0.25">
      <c r="A134" s="111" t="s">
        <v>112</v>
      </c>
      <c r="B134" s="87">
        <f>IF(B48=0,0,1000000*B48/TrRoad_act!B77)</f>
        <v>0</v>
      </c>
      <c r="C134" s="87">
        <f>IF(C48=0,0,1000000*C48/TrRoad_act!C77)</f>
        <v>0</v>
      </c>
      <c r="D134" s="87">
        <f>IF(D48=0,0,1000000*D48/TrRoad_act!D77)</f>
        <v>0</v>
      </c>
      <c r="E134" s="87">
        <f>IF(E48=0,0,1000000*E48/TrRoad_act!E77)</f>
        <v>0</v>
      </c>
      <c r="F134" s="87">
        <f>IF(F48=0,0,1000000*F48/TrRoad_act!F77)</f>
        <v>0</v>
      </c>
      <c r="G134" s="87">
        <f>IF(G48=0,0,1000000*G48/TrRoad_act!G77)</f>
        <v>0</v>
      </c>
      <c r="H134" s="87">
        <f>IF(H48=0,0,1000000*H48/TrRoad_act!H77)</f>
        <v>0</v>
      </c>
      <c r="I134" s="87">
        <f>IF(I48=0,0,1000000*I48/TrRoad_act!I77)</f>
        <v>0</v>
      </c>
      <c r="J134" s="87">
        <f>IF(J48=0,0,1000000*J48/TrRoad_act!J77)</f>
        <v>1636.8487730974812</v>
      </c>
      <c r="K134" s="87">
        <f>IF(K48=0,0,1000000*K48/TrRoad_act!K77)</f>
        <v>1630.5017373858873</v>
      </c>
      <c r="L134" s="87">
        <f>IF(L48=0,0,1000000*L48/TrRoad_act!L77)</f>
        <v>1622.6780326238954</v>
      </c>
      <c r="M134" s="87">
        <f>IF(M48=0,0,1000000*M48/TrRoad_act!M77)</f>
        <v>1564.9658335004885</v>
      </c>
      <c r="N134" s="87">
        <f>IF(N48=0,0,1000000*N48/TrRoad_act!N77)</f>
        <v>1491.6356074327591</v>
      </c>
      <c r="O134" s="87">
        <f>IF(O48=0,0,1000000*O48/TrRoad_act!O77)</f>
        <v>1487.8658253699493</v>
      </c>
      <c r="P134" s="87">
        <f>IF(P48=0,0,1000000*P48/TrRoad_act!P77)</f>
        <v>1372.2752783106334</v>
      </c>
      <c r="Q134" s="87">
        <f>IF(Q48=0,0,1000000*Q48/TrRoad_act!Q77)</f>
        <v>1322.7616806611798</v>
      </c>
      <c r="R134" s="87">
        <f>IF(R48=0,0,1000000*R48/TrRoad_act!R77)</f>
        <v>1154.5924168915085</v>
      </c>
      <c r="S134" s="87">
        <f>IF(S48=0,0,1000000*S48/TrRoad_act!S77)</f>
        <v>1164.0083266050076</v>
      </c>
      <c r="T134" s="87">
        <f>IF(T48=0,0,1000000*T48/TrRoad_act!T77)</f>
        <v>1151.3908113977584</v>
      </c>
      <c r="U134" s="87">
        <f>IF(U48=0,0,1000000*U48/TrRoad_act!U77)</f>
        <v>1148.7745439088117</v>
      </c>
      <c r="V134" s="87">
        <f>IF(V48=0,0,1000000*V48/TrRoad_act!V77)</f>
        <v>1118.8164974794781</v>
      </c>
      <c r="W134" s="87">
        <f>IF(W48=0,0,1000000*W48/TrRoad_act!W77)</f>
        <v>1027.7885065676123</v>
      </c>
      <c r="X134" s="87">
        <f>IF(X48=0,0,1000000*X48/TrRoad_act!X77)</f>
        <v>933.56290827157977</v>
      </c>
      <c r="Y134" s="87">
        <f>IF(Y48=0,0,1000000*Y48/TrRoad_act!Y77)</f>
        <v>883.50506458813618</v>
      </c>
      <c r="DA134" s="171" t="s">
        <v>733</v>
      </c>
    </row>
    <row r="135" spans="1:105" ht="11.45" customHeight="1" x14ac:dyDescent="0.25">
      <c r="A135" s="111" t="s">
        <v>113</v>
      </c>
      <c r="B135" s="87">
        <f>IF(B49=0,0,1000000*B49/TrRoad_act!B78)</f>
        <v>0</v>
      </c>
      <c r="C135" s="87">
        <f>IF(C49=0,0,1000000*C49/TrRoad_act!C78)</f>
        <v>0</v>
      </c>
      <c r="D135" s="87">
        <f>IF(D49=0,0,1000000*D49/TrRoad_act!D78)</f>
        <v>0</v>
      </c>
      <c r="E135" s="87">
        <f>IF(E49=0,0,1000000*E49/TrRoad_act!E78)</f>
        <v>0</v>
      </c>
      <c r="F135" s="87">
        <f>IF(F49=0,0,1000000*F49/TrRoad_act!F78)</f>
        <v>0</v>
      </c>
      <c r="G135" s="87">
        <f>IF(G49=0,0,1000000*G49/TrRoad_act!G78)</f>
        <v>0</v>
      </c>
      <c r="H135" s="87">
        <f>IF(H49=0,0,1000000*H49/TrRoad_act!H78)</f>
        <v>0</v>
      </c>
      <c r="I135" s="87">
        <f>IF(I49=0,0,1000000*I49/TrRoad_act!I78)</f>
        <v>0</v>
      </c>
      <c r="J135" s="87">
        <f>IF(J49=0,0,1000000*J49/TrRoad_act!J78)</f>
        <v>0</v>
      </c>
      <c r="K135" s="87">
        <f>IF(K49=0,0,1000000*K49/TrRoad_act!K78)</f>
        <v>0</v>
      </c>
      <c r="L135" s="87">
        <f>IF(L49=0,0,1000000*L49/TrRoad_act!L78)</f>
        <v>0</v>
      </c>
      <c r="M135" s="87">
        <f>IF(M49=0,0,1000000*M49/TrRoad_act!M78)</f>
        <v>0</v>
      </c>
      <c r="N135" s="87">
        <f>IF(N49=0,0,1000000*N49/TrRoad_act!N78)</f>
        <v>0</v>
      </c>
      <c r="O135" s="87">
        <f>IF(O49=0,0,1000000*O49/TrRoad_act!O78)</f>
        <v>0</v>
      </c>
      <c r="P135" s="87">
        <f>IF(P49=0,0,1000000*P49/TrRoad_act!P78)</f>
        <v>0</v>
      </c>
      <c r="Q135" s="87">
        <f>IF(Q49=0,0,1000000*Q49/TrRoad_act!Q78)</f>
        <v>0</v>
      </c>
      <c r="R135" s="87">
        <f>IF(R49=0,0,1000000*R49/TrRoad_act!R78)</f>
        <v>0</v>
      </c>
      <c r="S135" s="87">
        <f>IF(S49=0,0,1000000*S49/TrRoad_act!S78)</f>
        <v>0</v>
      </c>
      <c r="T135" s="87">
        <f>IF(T49=0,0,1000000*T49/TrRoad_act!T78)</f>
        <v>0</v>
      </c>
      <c r="U135" s="87">
        <f>IF(U49=0,0,1000000*U49/TrRoad_act!U78)</f>
        <v>0</v>
      </c>
      <c r="V135" s="87">
        <f>IF(V49=0,0,1000000*V49/TrRoad_act!V78)</f>
        <v>0</v>
      </c>
      <c r="W135" s="87">
        <f>IF(W49=0,0,1000000*W49/TrRoad_act!W78)</f>
        <v>0</v>
      </c>
      <c r="X135" s="87">
        <f>IF(X49=0,0,1000000*X49/TrRoad_act!X78)</f>
        <v>0</v>
      </c>
      <c r="Y135" s="87">
        <f>IF(Y49=0,0,1000000*Y49/TrRoad_act!Y78)</f>
        <v>0</v>
      </c>
      <c r="DA135" s="171" t="s">
        <v>734</v>
      </c>
    </row>
    <row r="136" spans="1:105" ht="11.45" customHeight="1" x14ac:dyDescent="0.25">
      <c r="A136" s="111" t="s">
        <v>115</v>
      </c>
      <c r="B136" s="87">
        <f>IF(B51=0,0,1000000*B51/TrRoad_act!B79)</f>
        <v>0</v>
      </c>
      <c r="C136" s="87">
        <f>IF(C51=0,0,1000000*C51/TrRoad_act!C79)</f>
        <v>0</v>
      </c>
      <c r="D136" s="87">
        <f>IF(D51=0,0,1000000*D51/TrRoad_act!D79)</f>
        <v>0</v>
      </c>
      <c r="E136" s="87">
        <f>IF(E51=0,0,1000000*E51/TrRoad_act!E79)</f>
        <v>0</v>
      </c>
      <c r="F136" s="87">
        <f>IF(F51=0,0,1000000*F51/TrRoad_act!F79)</f>
        <v>0</v>
      </c>
      <c r="G136" s="87">
        <f>IF(G51=0,0,1000000*G51/TrRoad_act!G79)</f>
        <v>0</v>
      </c>
      <c r="H136" s="87">
        <f>IF(H51=0,0,1000000*H51/TrRoad_act!H79)</f>
        <v>0</v>
      </c>
      <c r="I136" s="87">
        <f>IF(I51=0,0,1000000*I51/TrRoad_act!I79)</f>
        <v>0</v>
      </c>
      <c r="J136" s="87">
        <f>IF(J51=0,0,1000000*J51/TrRoad_act!J79)</f>
        <v>0</v>
      </c>
      <c r="K136" s="87">
        <f>IF(K51=0,0,1000000*K51/TrRoad_act!K79)</f>
        <v>0</v>
      </c>
      <c r="L136" s="87">
        <f>IF(L51=0,0,1000000*L51/TrRoad_act!L79)</f>
        <v>151.42383688715896</v>
      </c>
      <c r="M136" s="87">
        <f>IF(M51=0,0,1000000*M51/TrRoad_act!M79)</f>
        <v>151.7006623214493</v>
      </c>
      <c r="N136" s="87">
        <f>IF(N51=0,0,1000000*N51/TrRoad_act!N79)</f>
        <v>152.37878994109249</v>
      </c>
      <c r="O136" s="87">
        <f>IF(O51=0,0,1000000*O51/TrRoad_act!O79)</f>
        <v>153.64896048311712</v>
      </c>
      <c r="P136" s="87">
        <f>IF(P51=0,0,1000000*P51/TrRoad_act!P79)</f>
        <v>154.73476472752668</v>
      </c>
      <c r="Q136" s="87">
        <f>IF(Q51=0,0,1000000*Q51/TrRoad_act!Q79)</f>
        <v>154.99574140185584</v>
      </c>
      <c r="R136" s="87">
        <f>IF(R51=0,0,1000000*R51/TrRoad_act!R79)</f>
        <v>157.51912317170081</v>
      </c>
      <c r="S136" s="87">
        <f>IF(S51=0,0,1000000*S51/TrRoad_act!S79)</f>
        <v>161.36728712025743</v>
      </c>
      <c r="T136" s="87">
        <f>IF(T51=0,0,1000000*T51/TrRoad_act!T79)</f>
        <v>164.10695032794595</v>
      </c>
      <c r="U136" s="87">
        <f>IF(U51=0,0,1000000*U51/TrRoad_act!U79)</f>
        <v>173.23805723228054</v>
      </c>
      <c r="V136" s="87">
        <f>IF(V51=0,0,1000000*V51/TrRoad_act!V79)</f>
        <v>186.02826717913072</v>
      </c>
      <c r="W136" s="87">
        <f>IF(W51=0,0,1000000*W51/TrRoad_act!W79)</f>
        <v>212.15742600005169</v>
      </c>
      <c r="X136" s="87">
        <f>IF(X51=0,0,1000000*X51/TrRoad_act!X79)</f>
        <v>244.78333575906294</v>
      </c>
      <c r="Y136" s="87">
        <f>IF(Y51=0,0,1000000*Y51/TrRoad_act!Y79)</f>
        <v>263.36477866494187</v>
      </c>
      <c r="DA136" s="171" t="s">
        <v>735</v>
      </c>
    </row>
    <row r="137" spans="1:105" ht="11.45" customHeight="1" x14ac:dyDescent="0.25">
      <c r="A137" s="109" t="s">
        <v>154</v>
      </c>
      <c r="B137" s="116">
        <f>IF(B52=0,0,1000000*B52/TrRoad_act!B80)</f>
        <v>8908.3222184652368</v>
      </c>
      <c r="C137" s="116">
        <f>IF(C52=0,0,1000000*C52/TrRoad_act!C80)</f>
        <v>12334.180748889958</v>
      </c>
      <c r="D137" s="116">
        <f>IF(D52=0,0,1000000*D52/TrRoad_act!D80)</f>
        <v>13642.460772431452</v>
      </c>
      <c r="E137" s="116">
        <f>IF(E52=0,0,1000000*E52/TrRoad_act!E80)</f>
        <v>13024.339168088523</v>
      </c>
      <c r="F137" s="116">
        <f>IF(F52=0,0,1000000*F52/TrRoad_act!F80)</f>
        <v>11588.004231973819</v>
      </c>
      <c r="G137" s="116">
        <f>IF(G52=0,0,1000000*G52/TrRoad_act!G80)</f>
        <v>7986.2109160366008</v>
      </c>
      <c r="H137" s="116">
        <f>IF(H52=0,0,1000000*H52/TrRoad_act!H80)</f>
        <v>8755.0838376936372</v>
      </c>
      <c r="I137" s="116">
        <f>IF(I52=0,0,1000000*I52/TrRoad_act!I80)</f>
        <v>7368.0189086011978</v>
      </c>
      <c r="J137" s="116">
        <f>IF(J52=0,0,1000000*J52/TrRoad_act!J80)</f>
        <v>7338.2322535258845</v>
      </c>
      <c r="K137" s="116">
        <f>IF(K52=0,0,1000000*K52/TrRoad_act!K80)</f>
        <v>6945.8153866978937</v>
      </c>
      <c r="L137" s="116">
        <f>IF(L52=0,0,1000000*L52/TrRoad_act!L80)</f>
        <v>5243.8077119872887</v>
      </c>
      <c r="M137" s="116">
        <f>IF(M52=0,0,1000000*M52/TrRoad_act!M80)</f>
        <v>5930.4610727592835</v>
      </c>
      <c r="N137" s="116">
        <f>IF(N52=0,0,1000000*N52/TrRoad_act!N80)</f>
        <v>5816.771180792628</v>
      </c>
      <c r="O137" s="116">
        <f>IF(O52=0,0,1000000*O52/TrRoad_act!O80)</f>
        <v>5964.1393746213371</v>
      </c>
      <c r="P137" s="116">
        <f>IF(P52=0,0,1000000*P52/TrRoad_act!P80)</f>
        <v>5763.4559628679299</v>
      </c>
      <c r="Q137" s="116">
        <f>IF(Q52=0,0,1000000*Q52/TrRoad_act!Q80)</f>
        <v>5928.3636708951299</v>
      </c>
      <c r="R137" s="116">
        <f>IF(R52=0,0,1000000*R52/TrRoad_act!R80)</f>
        <v>7891.4136550002459</v>
      </c>
      <c r="S137" s="116">
        <f>IF(S52=0,0,1000000*S52/TrRoad_act!S80)</f>
        <v>9679.0559771994886</v>
      </c>
      <c r="T137" s="116">
        <f>IF(T52=0,0,1000000*T52/TrRoad_act!T80)</f>
        <v>9396.1487976731805</v>
      </c>
      <c r="U137" s="116">
        <f>IF(U52=0,0,1000000*U52/TrRoad_act!U80)</f>
        <v>10128.403594300777</v>
      </c>
      <c r="V137" s="116">
        <f>IF(V52=0,0,1000000*V52/TrRoad_act!V80)</f>
        <v>9276.4550921202481</v>
      </c>
      <c r="W137" s="116">
        <f>IF(W52=0,0,1000000*W52/TrRoad_act!W80)</f>
        <v>10252.921508911724</v>
      </c>
      <c r="X137" s="116">
        <f>IF(X52=0,0,1000000*X52/TrRoad_act!X80)</f>
        <v>13312.915977414159</v>
      </c>
      <c r="Y137" s="116">
        <f>IF(Y52=0,0,1000000*Y52/TrRoad_act!Y80)</f>
        <v>13615.795386186022</v>
      </c>
      <c r="DA137" s="176" t="s">
        <v>736</v>
      </c>
    </row>
    <row r="138" spans="1:105" ht="11.45" customHeight="1" x14ac:dyDescent="0.25">
      <c r="A138" s="128" t="s">
        <v>27</v>
      </c>
      <c r="B138" s="101">
        <f>IF(B53=0,0,1000000*B53/TrRoad_act!B81)</f>
        <v>5277.546161662789</v>
      </c>
      <c r="C138" s="101">
        <f>IF(C53=0,0,1000000*C53/TrRoad_act!C81)</f>
        <v>6107.9303665452408</v>
      </c>
      <c r="D138" s="101">
        <f>IF(D53=0,0,1000000*D53/TrRoad_act!D81)</f>
        <v>6519.0072368849578</v>
      </c>
      <c r="E138" s="101">
        <f>IF(E53=0,0,1000000*E53/TrRoad_act!E81)</f>
        <v>6595.3001127664293</v>
      </c>
      <c r="F138" s="101">
        <f>IF(F53=0,0,1000000*F53/TrRoad_act!F81)</f>
        <v>6366.0485403604562</v>
      </c>
      <c r="G138" s="101">
        <f>IF(G53=0,0,1000000*G53/TrRoad_act!G81)</f>
        <v>5832.5997614511862</v>
      </c>
      <c r="H138" s="101">
        <f>IF(H53=0,0,1000000*H53/TrRoad_act!H81)</f>
        <v>6455.1080523017781</v>
      </c>
      <c r="I138" s="101">
        <f>IF(I53=0,0,1000000*I53/TrRoad_act!I81)</f>
        <v>6044.3742746327507</v>
      </c>
      <c r="J138" s="101">
        <f>IF(J53=0,0,1000000*J53/TrRoad_act!J81)</f>
        <v>5882.7998720138248</v>
      </c>
      <c r="K138" s="101">
        <f>IF(K53=0,0,1000000*K53/TrRoad_act!K81)</f>
        <v>5442.1576145851841</v>
      </c>
      <c r="L138" s="101">
        <f>IF(L53=0,0,1000000*L53/TrRoad_act!L81)</f>
        <v>3494.1799196442184</v>
      </c>
      <c r="M138" s="101">
        <f>IF(M53=0,0,1000000*M53/TrRoad_act!M81)</f>
        <v>3829.1968276449429</v>
      </c>
      <c r="N138" s="101">
        <f>IF(N53=0,0,1000000*N53/TrRoad_act!N81)</f>
        <v>4053.0408217911759</v>
      </c>
      <c r="O138" s="101">
        <f>IF(O53=0,0,1000000*O53/TrRoad_act!O81)</f>
        <v>4156.8272115110667</v>
      </c>
      <c r="P138" s="101">
        <f>IF(P53=0,0,1000000*P53/TrRoad_act!P81)</f>
        <v>4134.5810408589032</v>
      </c>
      <c r="Q138" s="101">
        <f>IF(Q53=0,0,1000000*Q53/TrRoad_act!Q81)</f>
        <v>4445.5402382270086</v>
      </c>
      <c r="R138" s="101">
        <f>IF(R53=0,0,1000000*R53/TrRoad_act!R81)</f>
        <v>5593.2341902136423</v>
      </c>
      <c r="S138" s="101">
        <f>IF(S53=0,0,1000000*S53/TrRoad_act!S81)</f>
        <v>6461.4790190244148</v>
      </c>
      <c r="T138" s="101">
        <f>IF(T53=0,0,1000000*T53/TrRoad_act!T81)</f>
        <v>6795.1424529067126</v>
      </c>
      <c r="U138" s="101">
        <f>IF(U53=0,0,1000000*U53/TrRoad_act!U81)</f>
        <v>7548.4967379372711</v>
      </c>
      <c r="V138" s="101">
        <f>IF(V53=0,0,1000000*V53/TrRoad_act!V81)</f>
        <v>7014.6958071787485</v>
      </c>
      <c r="W138" s="101">
        <f>IF(W53=0,0,1000000*W53/TrRoad_act!W81)</f>
        <v>7821.8774089878325</v>
      </c>
      <c r="X138" s="101">
        <f>IF(X53=0,0,1000000*X53/TrRoad_act!X81)</f>
        <v>9332.0174343523286</v>
      </c>
      <c r="Y138" s="101">
        <f>IF(Y53=0,0,1000000*Y53/TrRoad_act!Y81)</f>
        <v>9434.4916435218711</v>
      </c>
      <c r="DA138" s="175" t="s">
        <v>737</v>
      </c>
    </row>
    <row r="139" spans="1:105" ht="11.45" customHeight="1" x14ac:dyDescent="0.25">
      <c r="A139" s="138" t="s">
        <v>116</v>
      </c>
      <c r="B139" s="88">
        <f>IF(B55=0,0,1000000*B55/TrRoad_act!B82)</f>
        <v>32135.615593761951</v>
      </c>
      <c r="C139" s="88">
        <f>IF(C55=0,0,1000000*C55/TrRoad_act!C82)</f>
        <v>51837.768150851261</v>
      </c>
      <c r="D139" s="88">
        <f>IF(D55=0,0,1000000*D55/TrRoad_act!D82)</f>
        <v>56299.05307727334</v>
      </c>
      <c r="E139" s="88">
        <f>IF(E55=0,0,1000000*E55/TrRoad_act!E82)</f>
        <v>59266.136466234035</v>
      </c>
      <c r="F139" s="88">
        <f>IF(F55=0,0,1000000*F55/TrRoad_act!F82)</f>
        <v>43774.936048710471</v>
      </c>
      <c r="G139" s="88">
        <f>IF(G55=0,0,1000000*G55/TrRoad_act!G82)</f>
        <v>24012.502728465639</v>
      </c>
      <c r="H139" s="88">
        <f>IF(H55=0,0,1000000*H55/TrRoad_act!H82)</f>
        <v>34689.862462855148</v>
      </c>
      <c r="I139" s="88">
        <f>IF(I55=0,0,1000000*I55/TrRoad_act!I82)</f>
        <v>21992.54210301819</v>
      </c>
      <c r="J139" s="88">
        <f>IF(J55=0,0,1000000*J55/TrRoad_act!J82)</f>
        <v>29038.090869839816</v>
      </c>
      <c r="K139" s="88">
        <f>IF(K55=0,0,1000000*K55/TrRoad_act!K82)</f>
        <v>49636.459980127504</v>
      </c>
      <c r="L139" s="88">
        <f>IF(L55=0,0,1000000*L55/TrRoad_act!L82)</f>
        <v>63759.27036426108</v>
      </c>
      <c r="M139" s="88">
        <f>IF(M55=0,0,1000000*M55/TrRoad_act!M82)</f>
        <v>70162.480356646032</v>
      </c>
      <c r="N139" s="88">
        <f>IF(N55=0,0,1000000*N55/TrRoad_act!N82)</f>
        <v>48246.969337866365</v>
      </c>
      <c r="O139" s="88">
        <f>IF(O55=0,0,1000000*O55/TrRoad_act!O82)</f>
        <v>45247.576535282329</v>
      </c>
      <c r="P139" s="88">
        <f>IF(P55=0,0,1000000*P55/TrRoad_act!P82)</f>
        <v>40283.26232994668</v>
      </c>
      <c r="Q139" s="88">
        <f>IF(Q55=0,0,1000000*Q55/TrRoad_act!Q82)</f>
        <v>33839.199535230357</v>
      </c>
      <c r="R139" s="88">
        <f>IF(R55=0,0,1000000*R55/TrRoad_act!R82)</f>
        <v>42215.728020577633</v>
      </c>
      <c r="S139" s="88">
        <f>IF(S55=0,0,1000000*S55/TrRoad_act!S82)</f>
        <v>46893.313707843074</v>
      </c>
      <c r="T139" s="88">
        <f>IF(T55=0,0,1000000*T55/TrRoad_act!T82)</f>
        <v>40184.70120869566</v>
      </c>
      <c r="U139" s="88">
        <f>IF(U55=0,0,1000000*U55/TrRoad_act!U82)</f>
        <v>40840.72134592881</v>
      </c>
      <c r="V139" s="88">
        <f>IF(V55=0,0,1000000*V55/TrRoad_act!V82)</f>
        <v>45894.519826257558</v>
      </c>
      <c r="W139" s="88">
        <f>IF(W55=0,0,1000000*W55/TrRoad_act!W82)</f>
        <v>37539.272100027294</v>
      </c>
      <c r="X139" s="88">
        <f>IF(X55=0,0,1000000*X55/TrRoad_act!X82)</f>
        <v>56513.204750208984</v>
      </c>
      <c r="Y139" s="88">
        <f>IF(Y55=0,0,1000000*Y55/TrRoad_act!Y82)</f>
        <v>57107.146856091567</v>
      </c>
      <c r="DA139" s="178" t="s">
        <v>738</v>
      </c>
    </row>
    <row r="140" spans="1:105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DA140" s="171"/>
    </row>
    <row r="141" spans="1:105" ht="11.45" customHeight="1" x14ac:dyDescent="0.25">
      <c r="A141" s="53" t="s">
        <v>40</v>
      </c>
      <c r="B141" s="76">
        <f t="shared" ref="B141:K141" si="38">IF(B17=0,0,B17/B$17)</f>
        <v>1</v>
      </c>
      <c r="C141" s="76">
        <f t="shared" si="38"/>
        <v>1</v>
      </c>
      <c r="D141" s="76">
        <f t="shared" si="38"/>
        <v>1</v>
      </c>
      <c r="E141" s="76">
        <f t="shared" si="38"/>
        <v>1</v>
      </c>
      <c r="F141" s="76">
        <f t="shared" si="38"/>
        <v>1</v>
      </c>
      <c r="G141" s="76">
        <f t="shared" si="38"/>
        <v>1</v>
      </c>
      <c r="H141" s="76">
        <f t="shared" si="38"/>
        <v>1</v>
      </c>
      <c r="I141" s="76">
        <f t="shared" si="38"/>
        <v>1</v>
      </c>
      <c r="J141" s="76">
        <f t="shared" si="38"/>
        <v>1</v>
      </c>
      <c r="K141" s="76">
        <f t="shared" si="38"/>
        <v>1</v>
      </c>
      <c r="L141" s="76">
        <f t="shared" ref="L141" si="39">IF(L17=0,0,L17/L$17)</f>
        <v>1</v>
      </c>
      <c r="M141" s="76">
        <f t="shared" ref="M141:V141" si="40">IF(M17=0,0,M17/M$17)</f>
        <v>1</v>
      </c>
      <c r="N141" s="76">
        <f t="shared" si="40"/>
        <v>1</v>
      </c>
      <c r="O141" s="76">
        <f t="shared" si="40"/>
        <v>1</v>
      </c>
      <c r="P141" s="76">
        <f t="shared" si="40"/>
        <v>1</v>
      </c>
      <c r="Q141" s="76">
        <f t="shared" si="40"/>
        <v>1</v>
      </c>
      <c r="R141" s="76">
        <f t="shared" si="40"/>
        <v>1</v>
      </c>
      <c r="S141" s="76">
        <f t="shared" si="40"/>
        <v>1</v>
      </c>
      <c r="T141" s="76">
        <f t="shared" si="40"/>
        <v>1</v>
      </c>
      <c r="U141" s="76">
        <f t="shared" si="40"/>
        <v>1</v>
      </c>
      <c r="V141" s="76">
        <f t="shared" si="40"/>
        <v>1</v>
      </c>
      <c r="W141" s="76">
        <f t="shared" ref="W141:Y141" si="41">IF(W17=0,0,W17/W$17)</f>
        <v>1</v>
      </c>
      <c r="X141" s="76">
        <f t="shared" si="41"/>
        <v>1</v>
      </c>
      <c r="Y141" s="76">
        <f t="shared" si="41"/>
        <v>1</v>
      </c>
      <c r="DA141" s="183"/>
    </row>
    <row r="142" spans="1:105" ht="11.45" customHeight="1" x14ac:dyDescent="0.25">
      <c r="A142" s="27" t="s">
        <v>33</v>
      </c>
      <c r="B142" s="46">
        <f t="shared" ref="B142:K142" si="42">IF(B18=0,0,B18/B$17)</f>
        <v>0.65955521125382521</v>
      </c>
      <c r="C142" s="46">
        <f t="shared" si="42"/>
        <v>0.66012075213089683</v>
      </c>
      <c r="D142" s="46">
        <f t="shared" si="42"/>
        <v>0.64381346730327271</v>
      </c>
      <c r="E142" s="46">
        <f t="shared" si="42"/>
        <v>0.63539801074972313</v>
      </c>
      <c r="F142" s="46">
        <f t="shared" si="42"/>
        <v>0.66840003033676743</v>
      </c>
      <c r="G142" s="46">
        <f t="shared" si="42"/>
        <v>0.682778615029347</v>
      </c>
      <c r="H142" s="46">
        <f t="shared" si="42"/>
        <v>0.64677322438412699</v>
      </c>
      <c r="I142" s="46">
        <f t="shared" si="42"/>
        <v>0.68397119871269307</v>
      </c>
      <c r="J142" s="46">
        <f t="shared" si="42"/>
        <v>0.70161422009511099</v>
      </c>
      <c r="K142" s="46">
        <f t="shared" si="42"/>
        <v>0.71311052166388234</v>
      </c>
      <c r="L142" s="46">
        <f t="shared" ref="L142" si="43">IF(L18=0,0,L18/L$17)</f>
        <v>0.74358753198726535</v>
      </c>
      <c r="M142" s="46">
        <f t="shared" ref="M142:V142" si="44">IF(M18=0,0,M18/M$17)</f>
        <v>0.74120571959289594</v>
      </c>
      <c r="N142" s="46">
        <f t="shared" si="44"/>
        <v>0.75181798050292015</v>
      </c>
      <c r="O142" s="46">
        <f t="shared" si="44"/>
        <v>0.74317178196079314</v>
      </c>
      <c r="P142" s="46">
        <f t="shared" si="44"/>
        <v>0.74976970263651277</v>
      </c>
      <c r="Q142" s="46">
        <f t="shared" si="44"/>
        <v>0.75349352263810843</v>
      </c>
      <c r="R142" s="46">
        <f t="shared" si="44"/>
        <v>0.75102960719410028</v>
      </c>
      <c r="S142" s="46">
        <f t="shared" si="44"/>
        <v>0.74499289881310427</v>
      </c>
      <c r="T142" s="46">
        <f t="shared" si="44"/>
        <v>0.74908775322792431</v>
      </c>
      <c r="U142" s="46">
        <f t="shared" si="44"/>
        <v>0.74250644497732909</v>
      </c>
      <c r="V142" s="46">
        <f t="shared" si="44"/>
        <v>0.73799864163990592</v>
      </c>
      <c r="W142" s="46">
        <f t="shared" ref="W142:Y142" si="45">IF(W18=0,0,W18/W$17)</f>
        <v>0.734890864319523</v>
      </c>
      <c r="X142" s="46">
        <f t="shared" si="45"/>
        <v>0.727995571506033</v>
      </c>
      <c r="Y142" s="46">
        <f t="shared" si="45"/>
        <v>0.73656009450159921</v>
      </c>
      <c r="DA142" s="211"/>
    </row>
    <row r="143" spans="1:105" ht="11.45" customHeight="1" x14ac:dyDescent="0.25">
      <c r="A143" s="153" t="s">
        <v>173</v>
      </c>
      <c r="B143" s="154">
        <f t="shared" ref="B143:K143" si="46">IF(B19=0,0,B19/B$17)</f>
        <v>4.1382681676755484E-3</v>
      </c>
      <c r="C143" s="154">
        <f t="shared" si="46"/>
        <v>3.1963941830141901E-3</v>
      </c>
      <c r="D143" s="154">
        <f t="shared" si="46"/>
        <v>3.0953634072398194E-3</v>
      </c>
      <c r="E143" s="154">
        <f t="shared" si="46"/>
        <v>2.8767417970583719E-3</v>
      </c>
      <c r="F143" s="154">
        <f t="shared" si="46"/>
        <v>2.7789860319484957E-3</v>
      </c>
      <c r="G143" s="154">
        <f t="shared" si="46"/>
        <v>2.7960545897499408E-3</v>
      </c>
      <c r="H143" s="154">
        <f t="shared" si="46"/>
        <v>2.889754476904728E-3</v>
      </c>
      <c r="I143" s="154">
        <f t="shared" si="46"/>
        <v>3.0312782542728975E-3</v>
      </c>
      <c r="J143" s="154">
        <f t="shared" si="46"/>
        <v>3.1512816517137504E-3</v>
      </c>
      <c r="K143" s="154">
        <f t="shared" si="46"/>
        <v>3.2450417614675832E-3</v>
      </c>
      <c r="L143" s="154">
        <f t="shared" ref="L143" si="47">IF(L19=0,0,L19/L$17)</f>
        <v>3.5991564902694475E-3</v>
      </c>
      <c r="M143" s="154">
        <f t="shared" ref="M143:V143" si="48">IF(M19=0,0,M19/M$17)</f>
        <v>3.5774106781890826E-3</v>
      </c>
      <c r="N143" s="154">
        <f t="shared" si="48"/>
        <v>3.5644021741569549E-3</v>
      </c>
      <c r="O143" s="154">
        <f t="shared" si="48"/>
        <v>3.8257609401761744E-3</v>
      </c>
      <c r="P143" s="154">
        <f t="shared" si="48"/>
        <v>3.8289485990704161E-3</v>
      </c>
      <c r="Q143" s="154">
        <f t="shared" si="48"/>
        <v>3.9466584362739593E-3</v>
      </c>
      <c r="R143" s="154">
        <f t="shared" si="48"/>
        <v>3.8919308562603019E-3</v>
      </c>
      <c r="S143" s="154">
        <f t="shared" si="48"/>
        <v>3.420171366815964E-3</v>
      </c>
      <c r="T143" s="154">
        <f t="shared" si="48"/>
        <v>3.1536755877033368E-3</v>
      </c>
      <c r="U143" s="154">
        <f t="shared" si="48"/>
        <v>3.1975400325750395E-3</v>
      </c>
      <c r="V143" s="154">
        <f t="shared" si="48"/>
        <v>2.9077726324414984E-3</v>
      </c>
      <c r="W143" s="154">
        <f t="shared" ref="W143:Y143" si="49">IF(W19=0,0,W19/W$17)</f>
        <v>2.8817871099186521E-3</v>
      </c>
      <c r="X143" s="154">
        <f t="shared" si="49"/>
        <v>2.7035461255995926E-3</v>
      </c>
      <c r="Y143" s="154">
        <f t="shared" si="49"/>
        <v>2.8255054917116929E-3</v>
      </c>
      <c r="DA143" s="212"/>
    </row>
    <row r="144" spans="1:105" ht="11.45" customHeight="1" x14ac:dyDescent="0.25">
      <c r="A144" s="155" t="s">
        <v>20</v>
      </c>
      <c r="B144" s="156">
        <f t="shared" ref="B144:K144" si="50">IF(B21=0,0,B21/B$17)</f>
        <v>0.47469664617002172</v>
      </c>
      <c r="C144" s="156">
        <f t="shared" si="50"/>
        <v>0.4916985269961327</v>
      </c>
      <c r="D144" s="156">
        <f t="shared" si="50"/>
        <v>0.48718909534256477</v>
      </c>
      <c r="E144" s="156">
        <f t="shared" si="50"/>
        <v>0.47290332220696524</v>
      </c>
      <c r="F144" s="156">
        <f t="shared" si="50"/>
        <v>0.50334459677415144</v>
      </c>
      <c r="G144" s="156">
        <f t="shared" si="50"/>
        <v>0.52091395960530629</v>
      </c>
      <c r="H144" s="156">
        <f t="shared" si="50"/>
        <v>0.50222531604082576</v>
      </c>
      <c r="I144" s="156">
        <f t="shared" si="50"/>
        <v>0.52635083978114339</v>
      </c>
      <c r="J144" s="156">
        <f t="shared" si="50"/>
        <v>0.5113621299499147</v>
      </c>
      <c r="K144" s="156">
        <f t="shared" si="50"/>
        <v>0.52394026762691437</v>
      </c>
      <c r="L144" s="156">
        <f t="shared" ref="L144" si="51">IF(L21=0,0,L21/L$17)</f>
        <v>0.53926422349561332</v>
      </c>
      <c r="M144" s="156">
        <f t="shared" ref="M144:V144" si="52">IF(M21=0,0,M21/M$17)</f>
        <v>0.54094813268429465</v>
      </c>
      <c r="N144" s="156">
        <f t="shared" si="52"/>
        <v>0.55248209937703296</v>
      </c>
      <c r="O144" s="156">
        <f t="shared" si="52"/>
        <v>0.53599626782906618</v>
      </c>
      <c r="P144" s="156">
        <f t="shared" si="52"/>
        <v>0.54055002992532764</v>
      </c>
      <c r="Q144" s="156">
        <f t="shared" si="52"/>
        <v>0.53923835631062167</v>
      </c>
      <c r="R144" s="156">
        <f t="shared" si="52"/>
        <v>0.54210679598055489</v>
      </c>
      <c r="S144" s="156">
        <f t="shared" si="52"/>
        <v>0.53975150342516176</v>
      </c>
      <c r="T144" s="156">
        <f t="shared" si="52"/>
        <v>0.54626942013994451</v>
      </c>
      <c r="U144" s="156">
        <f t="shared" si="52"/>
        <v>0.54365021145850601</v>
      </c>
      <c r="V144" s="156">
        <f t="shared" si="52"/>
        <v>0.52665994374019609</v>
      </c>
      <c r="W144" s="156">
        <f t="shared" ref="W144:Y144" si="53">IF(W21=0,0,W21/W$17)</f>
        <v>0.53146296099305823</v>
      </c>
      <c r="X144" s="156">
        <f t="shared" si="53"/>
        <v>0.5347402192109082</v>
      </c>
      <c r="Y144" s="156">
        <f t="shared" si="53"/>
        <v>0.54981621536545833</v>
      </c>
      <c r="DA144" s="213"/>
    </row>
    <row r="145" spans="1:105" ht="11.45" customHeight="1" x14ac:dyDescent="0.25">
      <c r="A145" s="157" t="s">
        <v>110</v>
      </c>
      <c r="B145" s="103">
        <f t="shared" ref="B145:K145" si="54">IF(B22=0,0,B22/B$17)</f>
        <v>0.41395868440151135</v>
      </c>
      <c r="C145" s="103">
        <f t="shared" si="54"/>
        <v>0.42636830377240148</v>
      </c>
      <c r="D145" s="103">
        <f t="shared" si="54"/>
        <v>0.40602257594369845</v>
      </c>
      <c r="E145" s="103">
        <f t="shared" si="54"/>
        <v>0.38341401674541103</v>
      </c>
      <c r="F145" s="103">
        <f t="shared" si="54"/>
        <v>0.38273217569522799</v>
      </c>
      <c r="G145" s="103">
        <f t="shared" si="54"/>
        <v>0.37175224326047374</v>
      </c>
      <c r="H145" s="103">
        <f t="shared" si="54"/>
        <v>0.33046088406871998</v>
      </c>
      <c r="I145" s="103">
        <f t="shared" si="54"/>
        <v>0.33075677147699256</v>
      </c>
      <c r="J145" s="103">
        <f t="shared" si="54"/>
        <v>0.28804463937504521</v>
      </c>
      <c r="K145" s="103">
        <f t="shared" si="54"/>
        <v>0.27640736216642997</v>
      </c>
      <c r="L145" s="103">
        <f t="shared" ref="L145" si="55">IF(L22=0,0,L22/L$17)</f>
        <v>0.28736556390063384</v>
      </c>
      <c r="M145" s="103">
        <f t="shared" ref="M145:V145" si="56">IF(M22=0,0,M22/M$17)</f>
        <v>0.26106645726869943</v>
      </c>
      <c r="N145" s="103">
        <f t="shared" si="56"/>
        <v>0.25192293264504045</v>
      </c>
      <c r="O145" s="103">
        <f t="shared" si="56"/>
        <v>0.24487528381702531</v>
      </c>
      <c r="P145" s="103">
        <f t="shared" si="56"/>
        <v>0.25333844818564688</v>
      </c>
      <c r="Q145" s="103">
        <f t="shared" si="56"/>
        <v>0.24046465704392553</v>
      </c>
      <c r="R145" s="103">
        <f t="shared" si="56"/>
        <v>0.23536006991997899</v>
      </c>
      <c r="S145" s="103">
        <f t="shared" si="56"/>
        <v>0.22318882167671034</v>
      </c>
      <c r="T145" s="103">
        <f t="shared" si="56"/>
        <v>0.21485790640873226</v>
      </c>
      <c r="U145" s="103">
        <f t="shared" si="56"/>
        <v>0.20928808874141652</v>
      </c>
      <c r="V145" s="103">
        <f t="shared" si="56"/>
        <v>0.19703296900923747</v>
      </c>
      <c r="W145" s="103">
        <f t="shared" ref="W145:Y145" si="57">IF(W22=0,0,W22/W$17)</f>
        <v>0.2035570950696754</v>
      </c>
      <c r="X145" s="103">
        <f t="shared" si="57"/>
        <v>0.1946932516344381</v>
      </c>
      <c r="Y145" s="103">
        <f t="shared" si="57"/>
        <v>0.19538036331391698</v>
      </c>
      <c r="DA145" s="191"/>
    </row>
    <row r="146" spans="1:105" ht="11.45" customHeight="1" x14ac:dyDescent="0.25">
      <c r="A146" s="157" t="s">
        <v>111</v>
      </c>
      <c r="B146" s="103">
        <f t="shared" ref="B146:K146" si="58">IF(B24=0,0,B24/B$17)</f>
        <v>6.0737961768510394E-2</v>
      </c>
      <c r="C146" s="103">
        <f t="shared" si="58"/>
        <v>6.5330223223731235E-2</v>
      </c>
      <c r="D146" s="103">
        <f t="shared" si="58"/>
        <v>8.022255729701569E-2</v>
      </c>
      <c r="E146" s="103">
        <f t="shared" si="58"/>
        <v>8.7450706808613707E-2</v>
      </c>
      <c r="F146" s="103">
        <f t="shared" si="58"/>
        <v>9.7721004183699667E-2</v>
      </c>
      <c r="G146" s="103">
        <f t="shared" si="58"/>
        <v>0.13484359939473406</v>
      </c>
      <c r="H146" s="103">
        <f t="shared" si="58"/>
        <v>0.1671717497139544</v>
      </c>
      <c r="I146" s="103">
        <f t="shared" si="58"/>
        <v>0.1865305083626134</v>
      </c>
      <c r="J146" s="103">
        <f t="shared" si="58"/>
        <v>0.21251949992445829</v>
      </c>
      <c r="K146" s="103">
        <f t="shared" si="58"/>
        <v>0.2321259166605483</v>
      </c>
      <c r="L146" s="103">
        <f t="shared" ref="L146" si="59">IF(L24=0,0,L24/L$17)</f>
        <v>0.24776033356759261</v>
      </c>
      <c r="M146" s="103">
        <f t="shared" ref="M146:V146" si="60">IF(M24=0,0,M24/M$17)</f>
        <v>0.26266352330524018</v>
      </c>
      <c r="N146" s="103">
        <f t="shared" si="60"/>
        <v>0.28909091895663475</v>
      </c>
      <c r="O146" s="103">
        <f t="shared" si="60"/>
        <v>0.28038406993446596</v>
      </c>
      <c r="P146" s="103">
        <f t="shared" si="60"/>
        <v>0.27566957084177046</v>
      </c>
      <c r="Q146" s="103">
        <f t="shared" si="60"/>
        <v>0.28642349409896134</v>
      </c>
      <c r="R146" s="103">
        <f t="shared" si="60"/>
        <v>0.29321394363052833</v>
      </c>
      <c r="S146" s="103">
        <f t="shared" si="60"/>
        <v>0.30126186717652886</v>
      </c>
      <c r="T146" s="103">
        <f t="shared" si="60"/>
        <v>0.31587009786923409</v>
      </c>
      <c r="U146" s="103">
        <f t="shared" si="60"/>
        <v>0.31852376162803336</v>
      </c>
      <c r="V146" s="103">
        <f t="shared" si="60"/>
        <v>0.31516940432975471</v>
      </c>
      <c r="W146" s="103">
        <f t="shared" ref="W146:Y146" si="61">IF(W24=0,0,W24/W$17)</f>
        <v>0.31380991083806736</v>
      </c>
      <c r="X146" s="103">
        <f t="shared" si="61"/>
        <v>0.32672841194412588</v>
      </c>
      <c r="Y146" s="103">
        <f t="shared" si="61"/>
        <v>0.3413219097740457</v>
      </c>
      <c r="DA146" s="191"/>
    </row>
    <row r="147" spans="1:105" ht="11.45" customHeight="1" x14ac:dyDescent="0.25">
      <c r="A147" s="157" t="s">
        <v>112</v>
      </c>
      <c r="B147" s="103">
        <f t="shared" ref="B147:K147" si="62">IF(B26=0,0,B26/B$17)</f>
        <v>0</v>
      </c>
      <c r="C147" s="103">
        <f t="shared" si="62"/>
        <v>0</v>
      </c>
      <c r="D147" s="103">
        <f t="shared" si="62"/>
        <v>9.4396210185062961E-4</v>
      </c>
      <c r="E147" s="103">
        <f t="shared" si="62"/>
        <v>2.0385986529405046E-3</v>
      </c>
      <c r="F147" s="103">
        <f t="shared" si="62"/>
        <v>2.2891416895223737E-2</v>
      </c>
      <c r="G147" s="103">
        <f t="shared" si="62"/>
        <v>1.4318116950098513E-2</v>
      </c>
      <c r="H147" s="103">
        <f t="shared" si="62"/>
        <v>4.5926822581513482E-3</v>
      </c>
      <c r="I147" s="103">
        <f t="shared" si="62"/>
        <v>9.0635599415375013E-3</v>
      </c>
      <c r="J147" s="103">
        <f t="shared" si="62"/>
        <v>1.0797990650411208E-2</v>
      </c>
      <c r="K147" s="103">
        <f t="shared" si="62"/>
        <v>1.5406956524054756E-2</v>
      </c>
      <c r="L147" s="103">
        <f t="shared" ref="L147" si="63">IF(L26=0,0,L26/L$17)</f>
        <v>4.1318839284209211E-3</v>
      </c>
      <c r="M147" s="103">
        <f t="shared" ref="M147:V147" si="64">IF(M26=0,0,M26/M$17)</f>
        <v>1.7203451066801528E-2</v>
      </c>
      <c r="N147" s="103">
        <f t="shared" si="64"/>
        <v>1.1430913542745254E-2</v>
      </c>
      <c r="O147" s="103">
        <f t="shared" si="64"/>
        <v>1.0691600412513828E-2</v>
      </c>
      <c r="P147" s="103">
        <f t="shared" si="64"/>
        <v>1.1491226128949565E-2</v>
      </c>
      <c r="Q147" s="103">
        <f t="shared" si="64"/>
        <v>1.2293734265967023E-2</v>
      </c>
      <c r="R147" s="103">
        <f t="shared" si="64"/>
        <v>1.348036887861691E-2</v>
      </c>
      <c r="S147" s="103">
        <f t="shared" si="64"/>
        <v>1.5235456470196881E-2</v>
      </c>
      <c r="T147" s="103">
        <f t="shared" si="64"/>
        <v>1.5455136210641429E-2</v>
      </c>
      <c r="U147" s="103">
        <f t="shared" si="64"/>
        <v>1.5698596279423136E-2</v>
      </c>
      <c r="V147" s="103">
        <f t="shared" si="64"/>
        <v>1.4223288100075808E-2</v>
      </c>
      <c r="W147" s="103">
        <f t="shared" ref="W147:Y147" si="65">IF(W26=0,0,W26/W$17)</f>
        <v>1.3581310020343922E-2</v>
      </c>
      <c r="X147" s="103">
        <f t="shared" si="65"/>
        <v>1.2433964590776045E-2</v>
      </c>
      <c r="Y147" s="103">
        <f t="shared" si="65"/>
        <v>1.1740454790474898E-2</v>
      </c>
      <c r="DA147" s="191"/>
    </row>
    <row r="148" spans="1:105" ht="11.45" customHeight="1" x14ac:dyDescent="0.25">
      <c r="A148" s="157" t="s">
        <v>113</v>
      </c>
      <c r="B148" s="103">
        <f t="shared" ref="B148:K148" si="66">IF(B27=0,0,B27/B$17)</f>
        <v>0</v>
      </c>
      <c r="C148" s="103">
        <f t="shared" si="66"/>
        <v>0</v>
      </c>
      <c r="D148" s="103">
        <f t="shared" si="66"/>
        <v>0</v>
      </c>
      <c r="E148" s="103">
        <f t="shared" si="66"/>
        <v>0</v>
      </c>
      <c r="F148" s="103">
        <f t="shared" si="66"/>
        <v>0</v>
      </c>
      <c r="G148" s="103">
        <f t="shared" si="66"/>
        <v>0</v>
      </c>
      <c r="H148" s="103">
        <f t="shared" si="66"/>
        <v>0</v>
      </c>
      <c r="I148" s="103">
        <f t="shared" si="66"/>
        <v>0</v>
      </c>
      <c r="J148" s="103">
        <f t="shared" si="66"/>
        <v>0</v>
      </c>
      <c r="K148" s="103">
        <f t="shared" si="66"/>
        <v>0</v>
      </c>
      <c r="L148" s="103">
        <f t="shared" ref="L148" si="67">IF(L27=0,0,L27/L$17)</f>
        <v>0</v>
      </c>
      <c r="M148" s="103">
        <f t="shared" ref="M148:V148" si="68">IF(M27=0,0,M27/M$17)</f>
        <v>0</v>
      </c>
      <c r="N148" s="103">
        <f t="shared" si="68"/>
        <v>0</v>
      </c>
      <c r="O148" s="103">
        <f t="shared" si="68"/>
        <v>0</v>
      </c>
      <c r="P148" s="103">
        <f t="shared" si="68"/>
        <v>0</v>
      </c>
      <c r="Q148" s="103">
        <f t="shared" si="68"/>
        <v>0</v>
      </c>
      <c r="R148" s="103">
        <f t="shared" si="68"/>
        <v>0</v>
      </c>
      <c r="S148" s="103">
        <f t="shared" si="68"/>
        <v>0</v>
      </c>
      <c r="T148" s="103">
        <f t="shared" si="68"/>
        <v>0</v>
      </c>
      <c r="U148" s="103">
        <f t="shared" si="68"/>
        <v>0</v>
      </c>
      <c r="V148" s="103">
        <f t="shared" si="68"/>
        <v>0</v>
      </c>
      <c r="W148" s="103">
        <f t="shared" ref="W148:Y148" si="69">IF(W27=0,0,W27/W$17)</f>
        <v>0</v>
      </c>
      <c r="X148" s="103">
        <f t="shared" si="69"/>
        <v>0</v>
      </c>
      <c r="Y148" s="103">
        <f t="shared" si="69"/>
        <v>0</v>
      </c>
      <c r="DA148" s="191"/>
    </row>
    <row r="149" spans="1:105" ht="11.45" customHeight="1" x14ac:dyDescent="0.25">
      <c r="A149" s="157" t="s">
        <v>114</v>
      </c>
      <c r="B149" s="103">
        <f t="shared" ref="B149:K149" si="70">IF(B29=0,0,B29/B$17)</f>
        <v>0</v>
      </c>
      <c r="C149" s="103">
        <f t="shared" si="70"/>
        <v>0</v>
      </c>
      <c r="D149" s="103">
        <f t="shared" si="70"/>
        <v>0</v>
      </c>
      <c r="E149" s="103">
        <f t="shared" si="70"/>
        <v>0</v>
      </c>
      <c r="F149" s="103">
        <f t="shared" si="70"/>
        <v>0</v>
      </c>
      <c r="G149" s="103">
        <f t="shared" si="70"/>
        <v>0</v>
      </c>
      <c r="H149" s="103">
        <f t="shared" si="70"/>
        <v>0</v>
      </c>
      <c r="I149" s="103">
        <f t="shared" si="70"/>
        <v>0</v>
      </c>
      <c r="J149" s="103">
        <f t="shared" si="70"/>
        <v>0</v>
      </c>
      <c r="K149" s="103">
        <f t="shared" si="70"/>
        <v>0</v>
      </c>
      <c r="L149" s="103">
        <f t="shared" ref="L149" si="71">IF(L29=0,0,L29/L$17)</f>
        <v>0</v>
      </c>
      <c r="M149" s="103">
        <f t="shared" ref="M149:V149" si="72">IF(M29=0,0,M29/M$17)</f>
        <v>0</v>
      </c>
      <c r="N149" s="103">
        <f t="shared" si="72"/>
        <v>1.1832794334055147E-5</v>
      </c>
      <c r="O149" s="103">
        <f t="shared" si="72"/>
        <v>1.1262235259138925E-5</v>
      </c>
      <c r="P149" s="103">
        <f t="shared" si="72"/>
        <v>1.2339689575405286E-5</v>
      </c>
      <c r="Q149" s="103">
        <f t="shared" si="72"/>
        <v>1.4150089686626629E-5</v>
      </c>
      <c r="R149" s="103">
        <f t="shared" si="72"/>
        <v>7.8174021770323351E-6</v>
      </c>
      <c r="S149" s="103">
        <f t="shared" si="72"/>
        <v>1.601636091211089E-5</v>
      </c>
      <c r="T149" s="103">
        <f t="shared" si="72"/>
        <v>2.6899166343368727E-5</v>
      </c>
      <c r="U149" s="103">
        <f t="shared" si="72"/>
        <v>3.6940828510291022E-5</v>
      </c>
      <c r="V149" s="103">
        <f t="shared" si="72"/>
        <v>8.3786252843206144E-5</v>
      </c>
      <c r="W149" s="103">
        <f t="shared" ref="W149:Y149" si="73">IF(W29=0,0,W29/W$17)</f>
        <v>2.091412931326136E-4</v>
      </c>
      <c r="X149" s="103">
        <f t="shared" si="73"/>
        <v>3.491210791305826E-4</v>
      </c>
      <c r="Y149" s="103">
        <f t="shared" si="73"/>
        <v>5.3433315115999273E-4</v>
      </c>
      <c r="DA149" s="191"/>
    </row>
    <row r="150" spans="1:105" ht="11.45" customHeight="1" x14ac:dyDescent="0.25">
      <c r="A150" s="157" t="s">
        <v>115</v>
      </c>
      <c r="B150" s="103">
        <f t="shared" ref="B150:K150" si="74">IF(B32=0,0,B32/B$17)</f>
        <v>0</v>
      </c>
      <c r="C150" s="103">
        <f t="shared" si="74"/>
        <v>0</v>
      </c>
      <c r="D150" s="103">
        <f t="shared" si="74"/>
        <v>0</v>
      </c>
      <c r="E150" s="103">
        <f t="shared" si="74"/>
        <v>0</v>
      </c>
      <c r="F150" s="103">
        <f t="shared" si="74"/>
        <v>0</v>
      </c>
      <c r="G150" s="103">
        <f t="shared" si="74"/>
        <v>0</v>
      </c>
      <c r="H150" s="103">
        <f t="shared" si="74"/>
        <v>0</v>
      </c>
      <c r="I150" s="103">
        <f t="shared" si="74"/>
        <v>0</v>
      </c>
      <c r="J150" s="103">
        <f t="shared" si="74"/>
        <v>0</v>
      </c>
      <c r="K150" s="103">
        <f t="shared" si="74"/>
        <v>3.2275881429248705E-8</v>
      </c>
      <c r="L150" s="103">
        <f t="shared" ref="L150" si="75">IF(L32=0,0,L32/L$17)</f>
        <v>6.4420989660223367E-6</v>
      </c>
      <c r="M150" s="103">
        <f t="shared" ref="M150:V150" si="76">IF(M32=0,0,M32/M$17)</f>
        <v>1.470104355347877E-5</v>
      </c>
      <c r="N150" s="103">
        <f t="shared" si="76"/>
        <v>2.5501438278365323E-5</v>
      </c>
      <c r="O150" s="103">
        <f t="shared" si="76"/>
        <v>3.4051429802006441E-5</v>
      </c>
      <c r="P150" s="103">
        <f t="shared" si="76"/>
        <v>3.8445079385250701E-5</v>
      </c>
      <c r="Q150" s="103">
        <f t="shared" si="76"/>
        <v>4.2320812081014665E-5</v>
      </c>
      <c r="R150" s="103">
        <f t="shared" si="76"/>
        <v>4.4596149253692858E-5</v>
      </c>
      <c r="S150" s="103">
        <f t="shared" si="76"/>
        <v>4.9341740813555588E-5</v>
      </c>
      <c r="T150" s="103">
        <f t="shared" si="76"/>
        <v>5.9380484993421106E-5</v>
      </c>
      <c r="U150" s="103">
        <f t="shared" si="76"/>
        <v>1.0282398112260325E-4</v>
      </c>
      <c r="V150" s="103">
        <f t="shared" si="76"/>
        <v>1.5049604828488791E-4</v>
      </c>
      <c r="W150" s="103">
        <f t="shared" ref="W150:Y150" si="77">IF(W32=0,0,W32/W$17)</f>
        <v>3.0550377183890837E-4</v>
      </c>
      <c r="X150" s="103">
        <f t="shared" si="77"/>
        <v>5.3546996243761995E-4</v>
      </c>
      <c r="Y150" s="103">
        <f t="shared" si="77"/>
        <v>8.3915433586071158E-4</v>
      </c>
      <c r="DA150" s="191"/>
    </row>
    <row r="151" spans="1:105" ht="11.45" customHeight="1" x14ac:dyDescent="0.25">
      <c r="A151" s="155" t="s">
        <v>21</v>
      </c>
      <c r="B151" s="156">
        <f t="shared" ref="B151:K151" si="78">IF(B33=0,0,B33/B$17)</f>
        <v>0.18072029691612795</v>
      </c>
      <c r="C151" s="156">
        <f t="shared" si="78"/>
        <v>0.16522583095174997</v>
      </c>
      <c r="D151" s="156">
        <f t="shared" si="78"/>
        <v>0.1535290085534681</v>
      </c>
      <c r="E151" s="156">
        <f t="shared" si="78"/>
        <v>0.15961794674569957</v>
      </c>
      <c r="F151" s="156">
        <f t="shared" si="78"/>
        <v>0.16227644753066744</v>
      </c>
      <c r="G151" s="156">
        <f t="shared" si="78"/>
        <v>0.15906860083429078</v>
      </c>
      <c r="H151" s="156">
        <f t="shared" si="78"/>
        <v>0.14165815386639644</v>
      </c>
      <c r="I151" s="156">
        <f t="shared" si="78"/>
        <v>0.15458908067727664</v>
      </c>
      <c r="J151" s="156">
        <f t="shared" si="78"/>
        <v>0.18710080849348237</v>
      </c>
      <c r="K151" s="156">
        <f t="shared" si="78"/>
        <v>0.18592521227550038</v>
      </c>
      <c r="L151" s="156">
        <f t="shared" ref="L151" si="79">IF(L33=0,0,L33/L$17)</f>
        <v>0.20072415200138263</v>
      </c>
      <c r="M151" s="156">
        <f t="shared" ref="M151:V151" si="80">IF(M33=0,0,M33/M$17)</f>
        <v>0.19668017623041223</v>
      </c>
      <c r="N151" s="156">
        <f t="shared" si="80"/>
        <v>0.19577147895173025</v>
      </c>
      <c r="O151" s="156">
        <f t="shared" si="80"/>
        <v>0.20334975319155071</v>
      </c>
      <c r="P151" s="156">
        <f t="shared" si="80"/>
        <v>0.20539072411211481</v>
      </c>
      <c r="Q151" s="156">
        <f t="shared" si="80"/>
        <v>0.21030850789121297</v>
      </c>
      <c r="R151" s="156">
        <f t="shared" si="80"/>
        <v>0.20503088035728512</v>
      </c>
      <c r="S151" s="156">
        <f t="shared" si="80"/>
        <v>0.20182122402112637</v>
      </c>
      <c r="T151" s="156">
        <f t="shared" si="80"/>
        <v>0.19966465750027651</v>
      </c>
      <c r="U151" s="156">
        <f t="shared" si="80"/>
        <v>0.19565869348624804</v>
      </c>
      <c r="V151" s="156">
        <f t="shared" si="80"/>
        <v>0.20843092526726825</v>
      </c>
      <c r="W151" s="156">
        <f t="shared" ref="W151:Y151" si="81">IF(W33=0,0,W33/W$17)</f>
        <v>0.20054611621654606</v>
      </c>
      <c r="X151" s="156">
        <f t="shared" si="81"/>
        <v>0.19055180616952516</v>
      </c>
      <c r="Y151" s="156">
        <f t="shared" si="81"/>
        <v>0.1839183736444292</v>
      </c>
      <c r="DA151" s="213"/>
    </row>
    <row r="152" spans="1:105" ht="11.45" customHeight="1" x14ac:dyDescent="0.25">
      <c r="A152" s="157" t="s">
        <v>110</v>
      </c>
      <c r="B152" s="103">
        <f t="shared" ref="B152:K152" si="82">IF(B34=0,0,B34/B$17)</f>
        <v>0</v>
      </c>
      <c r="C152" s="103">
        <f t="shared" si="82"/>
        <v>0</v>
      </c>
      <c r="D152" s="103">
        <f t="shared" si="82"/>
        <v>0</v>
      </c>
      <c r="E152" s="103">
        <f t="shared" si="82"/>
        <v>0</v>
      </c>
      <c r="F152" s="103">
        <f t="shared" si="82"/>
        <v>0</v>
      </c>
      <c r="G152" s="103">
        <f t="shared" si="82"/>
        <v>0</v>
      </c>
      <c r="H152" s="103">
        <f t="shared" si="82"/>
        <v>0</v>
      </c>
      <c r="I152" s="103">
        <f t="shared" si="82"/>
        <v>0</v>
      </c>
      <c r="J152" s="103">
        <f t="shared" si="82"/>
        <v>1.9597194791825563E-4</v>
      </c>
      <c r="K152" s="103">
        <f t="shared" si="82"/>
        <v>1.8998373050198154E-4</v>
      </c>
      <c r="L152" s="103">
        <f t="shared" ref="L152" si="83">IF(L34=0,0,L34/L$17)</f>
        <v>2.0414060460406276E-4</v>
      </c>
      <c r="M152" s="103">
        <f t="shared" ref="M152:V152" si="84">IF(M34=0,0,M34/M$17)</f>
        <v>1.9711456913134383E-4</v>
      </c>
      <c r="N152" s="103">
        <f t="shared" si="84"/>
        <v>1.8505103277362294E-4</v>
      </c>
      <c r="O152" s="103">
        <f t="shared" si="84"/>
        <v>1.8420970013928564E-4</v>
      </c>
      <c r="P152" s="103">
        <f t="shared" si="84"/>
        <v>1.7434382602195413E-4</v>
      </c>
      <c r="Q152" s="103">
        <f t="shared" si="84"/>
        <v>1.5688078942083675E-4</v>
      </c>
      <c r="R152" s="103">
        <f t="shared" si="84"/>
        <v>1.4203632431836847E-4</v>
      </c>
      <c r="S152" s="103">
        <f t="shared" si="84"/>
        <v>1.2781717948391293E-4</v>
      </c>
      <c r="T152" s="103">
        <f t="shared" si="84"/>
        <v>1.1756813632682843E-4</v>
      </c>
      <c r="U152" s="103">
        <f t="shared" si="84"/>
        <v>1.0969913868653872E-4</v>
      </c>
      <c r="V152" s="103">
        <f t="shared" si="84"/>
        <v>1.1431185784889175E-4</v>
      </c>
      <c r="W152" s="103">
        <f t="shared" ref="W152:Y152" si="85">IF(W34=0,0,W34/W$17)</f>
        <v>1.1035488896507863E-4</v>
      </c>
      <c r="X152" s="103">
        <f t="shared" si="85"/>
        <v>1.0775628412147772E-4</v>
      </c>
      <c r="Y152" s="103">
        <f t="shared" si="85"/>
        <v>1.0504190093419561E-4</v>
      </c>
      <c r="DA152" s="191"/>
    </row>
    <row r="153" spans="1:105" ht="11.45" customHeight="1" x14ac:dyDescent="0.25">
      <c r="A153" s="157" t="s">
        <v>111</v>
      </c>
      <c r="B153" s="103">
        <f t="shared" ref="B153:K153" si="86">IF(B36=0,0,B36/B$17)</f>
        <v>0.18072029691612795</v>
      </c>
      <c r="C153" s="103">
        <f t="shared" si="86"/>
        <v>0.16522583095174997</v>
      </c>
      <c r="D153" s="103">
        <f t="shared" si="86"/>
        <v>0.1535290085534681</v>
      </c>
      <c r="E153" s="103">
        <f t="shared" si="86"/>
        <v>0.15961794674569957</v>
      </c>
      <c r="F153" s="103">
        <f t="shared" si="86"/>
        <v>0.16227644753066744</v>
      </c>
      <c r="G153" s="103">
        <f t="shared" si="86"/>
        <v>0.15906860083429078</v>
      </c>
      <c r="H153" s="103">
        <f t="shared" si="86"/>
        <v>0.14165815386639644</v>
      </c>
      <c r="I153" s="103">
        <f t="shared" si="86"/>
        <v>0.15458908067727664</v>
      </c>
      <c r="J153" s="103">
        <f t="shared" si="86"/>
        <v>0.18683123977489466</v>
      </c>
      <c r="K153" s="103">
        <f t="shared" si="86"/>
        <v>0.18565326989188161</v>
      </c>
      <c r="L153" s="103">
        <f t="shared" ref="L153" si="87">IF(L36=0,0,L36/L$17)</f>
        <v>0.20032966220977488</v>
      </c>
      <c r="M153" s="103">
        <f t="shared" ref="M153:V153" si="88">IF(M36=0,0,M36/M$17)</f>
        <v>0.19625654132273956</v>
      </c>
      <c r="N153" s="103">
        <f t="shared" si="88"/>
        <v>0.19536543538926954</v>
      </c>
      <c r="O153" s="103">
        <f t="shared" si="88"/>
        <v>0.20292724084172675</v>
      </c>
      <c r="P153" s="103">
        <f t="shared" si="88"/>
        <v>0.20498128528780837</v>
      </c>
      <c r="Q153" s="103">
        <f t="shared" si="88"/>
        <v>0.20992717995645196</v>
      </c>
      <c r="R153" s="103">
        <f t="shared" si="88"/>
        <v>0.20469470730010245</v>
      </c>
      <c r="S153" s="103">
        <f t="shared" si="88"/>
        <v>0.20151528570791788</v>
      </c>
      <c r="T153" s="103">
        <f t="shared" si="88"/>
        <v>0.1993873390701599</v>
      </c>
      <c r="U153" s="103">
        <f t="shared" si="88"/>
        <v>0.1953024735911531</v>
      </c>
      <c r="V153" s="103">
        <f t="shared" si="88"/>
        <v>0.20769594641318714</v>
      </c>
      <c r="W153" s="103">
        <f t="shared" ref="W153:Y153" si="89">IF(W36=0,0,W36/W$17)</f>
        <v>0.19982489055253189</v>
      </c>
      <c r="X153" s="103">
        <f t="shared" si="89"/>
        <v>0.18962104955725398</v>
      </c>
      <c r="Y153" s="103">
        <f t="shared" si="89"/>
        <v>0.18215633230701972</v>
      </c>
      <c r="DA153" s="191"/>
    </row>
    <row r="154" spans="1:105" ht="11.45" customHeight="1" x14ac:dyDescent="0.25">
      <c r="A154" s="157" t="s">
        <v>112</v>
      </c>
      <c r="B154" s="103">
        <f t="shared" ref="B154:K154" si="90">IF(B38=0,0,B38/B$17)</f>
        <v>0</v>
      </c>
      <c r="C154" s="103">
        <f t="shared" si="90"/>
        <v>0</v>
      </c>
      <c r="D154" s="103">
        <f t="shared" si="90"/>
        <v>0</v>
      </c>
      <c r="E154" s="103">
        <f t="shared" si="90"/>
        <v>0</v>
      </c>
      <c r="F154" s="103">
        <f t="shared" si="90"/>
        <v>0</v>
      </c>
      <c r="G154" s="103">
        <f t="shared" si="90"/>
        <v>0</v>
      </c>
      <c r="H154" s="103">
        <f t="shared" si="90"/>
        <v>0</v>
      </c>
      <c r="I154" s="103">
        <f t="shared" si="90"/>
        <v>0</v>
      </c>
      <c r="J154" s="103">
        <f t="shared" si="90"/>
        <v>7.3596770669472444E-5</v>
      </c>
      <c r="K154" s="103">
        <f t="shared" si="90"/>
        <v>8.1958653116788357E-5</v>
      </c>
      <c r="L154" s="103">
        <f t="shared" ref="L154" si="91">IF(L38=0,0,L38/L$17)</f>
        <v>1.9034918700367267E-4</v>
      </c>
      <c r="M154" s="103">
        <f t="shared" ref="M154:V154" si="92">IF(M38=0,0,M38/M$17)</f>
        <v>2.265203385413483E-4</v>
      </c>
      <c r="N154" s="103">
        <f t="shared" si="92"/>
        <v>2.2099252968707479E-4</v>
      </c>
      <c r="O154" s="103">
        <f t="shared" si="92"/>
        <v>2.353541311769831E-4</v>
      </c>
      <c r="P154" s="103">
        <f t="shared" si="92"/>
        <v>2.293682090666789E-4</v>
      </c>
      <c r="Q154" s="103">
        <f t="shared" si="92"/>
        <v>2.1303555350445837E-4</v>
      </c>
      <c r="R154" s="103">
        <f t="shared" si="92"/>
        <v>1.8089941808341331E-4</v>
      </c>
      <c r="S154" s="103">
        <f t="shared" si="92"/>
        <v>1.6578992430566636E-4</v>
      </c>
      <c r="T154" s="103">
        <f t="shared" si="92"/>
        <v>1.0095543542315925E-4</v>
      </c>
      <c r="U154" s="103">
        <f t="shared" si="92"/>
        <v>9.2359143601251104E-5</v>
      </c>
      <c r="V154" s="103">
        <f t="shared" si="92"/>
        <v>9.3286380231291386E-5</v>
      </c>
      <c r="W154" s="103">
        <f t="shared" ref="W154:Y154" si="93">IF(W38=0,0,W38/W$17)</f>
        <v>8.8792472507199328E-5</v>
      </c>
      <c r="X154" s="103">
        <f t="shared" si="93"/>
        <v>3.0282936930023043E-5</v>
      </c>
      <c r="Y154" s="103">
        <f t="shared" si="93"/>
        <v>2.2357673074002382E-5</v>
      </c>
      <c r="DA154" s="191"/>
    </row>
    <row r="155" spans="1:105" ht="11.45" customHeight="1" x14ac:dyDescent="0.25">
      <c r="A155" s="157" t="s">
        <v>113</v>
      </c>
      <c r="B155" s="103">
        <f t="shared" ref="B155:K155" si="94">IF(B39=0,0,B39/B$17)</f>
        <v>0</v>
      </c>
      <c r="C155" s="103">
        <f t="shared" si="94"/>
        <v>0</v>
      </c>
      <c r="D155" s="103">
        <f t="shared" si="94"/>
        <v>0</v>
      </c>
      <c r="E155" s="103">
        <f t="shared" si="94"/>
        <v>0</v>
      </c>
      <c r="F155" s="103">
        <f t="shared" si="94"/>
        <v>0</v>
      </c>
      <c r="G155" s="103">
        <f t="shared" si="94"/>
        <v>0</v>
      </c>
      <c r="H155" s="103">
        <f t="shared" si="94"/>
        <v>0</v>
      </c>
      <c r="I155" s="103">
        <f t="shared" si="94"/>
        <v>0</v>
      </c>
      <c r="J155" s="103">
        <f t="shared" si="94"/>
        <v>0</v>
      </c>
      <c r="K155" s="103">
        <f t="shared" si="94"/>
        <v>0</v>
      </c>
      <c r="L155" s="103">
        <f t="shared" ref="L155" si="95">IF(L39=0,0,L39/L$17)</f>
        <v>0</v>
      </c>
      <c r="M155" s="103">
        <f t="shared" ref="M155:V155" si="96">IF(M39=0,0,M39/M$17)</f>
        <v>0</v>
      </c>
      <c r="N155" s="103">
        <f t="shared" si="96"/>
        <v>0</v>
      </c>
      <c r="O155" s="103">
        <f t="shared" si="96"/>
        <v>0</v>
      </c>
      <c r="P155" s="103">
        <f t="shared" si="96"/>
        <v>0</v>
      </c>
      <c r="Q155" s="103">
        <f t="shared" si="96"/>
        <v>0</v>
      </c>
      <c r="R155" s="103">
        <f t="shared" si="96"/>
        <v>0</v>
      </c>
      <c r="S155" s="103">
        <f t="shared" si="96"/>
        <v>0</v>
      </c>
      <c r="T155" s="103">
        <f t="shared" si="96"/>
        <v>0</v>
      </c>
      <c r="U155" s="103">
        <f t="shared" si="96"/>
        <v>0</v>
      </c>
      <c r="V155" s="103">
        <f t="shared" si="96"/>
        <v>0</v>
      </c>
      <c r="W155" s="103">
        <f t="shared" ref="W155:Y155" si="97">IF(W39=0,0,W39/W$17)</f>
        <v>0</v>
      </c>
      <c r="X155" s="103">
        <f t="shared" si="97"/>
        <v>0</v>
      </c>
      <c r="Y155" s="103">
        <f t="shared" si="97"/>
        <v>0</v>
      </c>
      <c r="DA155" s="191"/>
    </row>
    <row r="156" spans="1:105" ht="11.45" customHeight="1" x14ac:dyDescent="0.25">
      <c r="A156" s="157" t="s">
        <v>115</v>
      </c>
      <c r="B156" s="103">
        <f t="shared" ref="B156:K156" si="98">IF(B41=0,0,B41/B$17)</f>
        <v>0</v>
      </c>
      <c r="C156" s="103">
        <f t="shared" si="98"/>
        <v>0</v>
      </c>
      <c r="D156" s="103">
        <f t="shared" si="98"/>
        <v>0</v>
      </c>
      <c r="E156" s="103">
        <f t="shared" si="98"/>
        <v>0</v>
      </c>
      <c r="F156" s="103">
        <f t="shared" si="98"/>
        <v>0</v>
      </c>
      <c r="G156" s="103">
        <f t="shared" si="98"/>
        <v>0</v>
      </c>
      <c r="H156" s="103">
        <f t="shared" si="98"/>
        <v>0</v>
      </c>
      <c r="I156" s="103">
        <f t="shared" si="98"/>
        <v>0</v>
      </c>
      <c r="J156" s="103">
        <f t="shared" si="98"/>
        <v>0</v>
      </c>
      <c r="K156" s="103">
        <f t="shared" si="98"/>
        <v>0</v>
      </c>
      <c r="L156" s="103">
        <f t="shared" ref="L156" si="99">IF(L41=0,0,L41/L$17)</f>
        <v>0</v>
      </c>
      <c r="M156" s="103">
        <f t="shared" ref="M156:V156" si="100">IF(M41=0,0,M41/M$17)</f>
        <v>0</v>
      </c>
      <c r="N156" s="103">
        <f t="shared" si="100"/>
        <v>0</v>
      </c>
      <c r="O156" s="103">
        <f t="shared" si="100"/>
        <v>2.9485185077115989E-6</v>
      </c>
      <c r="P156" s="103">
        <f t="shared" si="100"/>
        <v>5.7267892177784353E-6</v>
      </c>
      <c r="Q156" s="103">
        <f t="shared" si="100"/>
        <v>1.1411591835646717E-5</v>
      </c>
      <c r="R156" s="103">
        <f t="shared" si="100"/>
        <v>1.3237314780898688E-5</v>
      </c>
      <c r="S156" s="103">
        <f t="shared" si="100"/>
        <v>1.233120941889918E-5</v>
      </c>
      <c r="T156" s="103">
        <f t="shared" si="100"/>
        <v>5.8794858366606776E-5</v>
      </c>
      <c r="U156" s="103">
        <f t="shared" si="100"/>
        <v>1.5416161280714931E-4</v>
      </c>
      <c r="V156" s="103">
        <f t="shared" si="100"/>
        <v>5.2738061600094625E-4</v>
      </c>
      <c r="W156" s="103">
        <f t="shared" ref="W156:Y156" si="101">IF(W41=0,0,W41/W$17)</f>
        <v>5.2207830254187495E-4</v>
      </c>
      <c r="X156" s="103">
        <f t="shared" si="101"/>
        <v>7.9271739121968292E-4</v>
      </c>
      <c r="Y156" s="103">
        <f t="shared" si="101"/>
        <v>1.6346417634012806E-3</v>
      </c>
      <c r="DA156" s="191"/>
    </row>
    <row r="157" spans="1:105" ht="11.45" customHeight="1" x14ac:dyDescent="0.25">
      <c r="A157" s="27" t="s">
        <v>34</v>
      </c>
      <c r="B157" s="46">
        <f t="shared" ref="B157:K157" si="102">IF(B42=0,0,B42/B$17)</f>
        <v>0.34044478874617479</v>
      </c>
      <c r="C157" s="46">
        <f t="shared" si="102"/>
        <v>0.33987924786910317</v>
      </c>
      <c r="D157" s="46">
        <f t="shared" si="102"/>
        <v>0.35618653269672729</v>
      </c>
      <c r="E157" s="46">
        <f t="shared" si="102"/>
        <v>0.36460198925027687</v>
      </c>
      <c r="F157" s="46">
        <f t="shared" si="102"/>
        <v>0.33159996966323257</v>
      </c>
      <c r="G157" s="46">
        <f t="shared" si="102"/>
        <v>0.31722138497065305</v>
      </c>
      <c r="H157" s="46">
        <f t="shared" si="102"/>
        <v>0.35322677561587307</v>
      </c>
      <c r="I157" s="46">
        <f t="shared" si="102"/>
        <v>0.31602880128730693</v>
      </c>
      <c r="J157" s="46">
        <f t="shared" si="102"/>
        <v>0.29838577990488913</v>
      </c>
      <c r="K157" s="46">
        <f t="shared" si="102"/>
        <v>0.28688947833611761</v>
      </c>
      <c r="L157" s="46">
        <f t="shared" ref="L157" si="103">IF(L42=0,0,L42/L$17)</f>
        <v>0.25641246801273465</v>
      </c>
      <c r="M157" s="46">
        <f t="shared" ref="M157:V157" si="104">IF(M42=0,0,M42/M$17)</f>
        <v>0.25879428040710417</v>
      </c>
      <c r="N157" s="46">
        <f t="shared" si="104"/>
        <v>0.24818201949707985</v>
      </c>
      <c r="O157" s="46">
        <f t="shared" si="104"/>
        <v>0.25682821803920697</v>
      </c>
      <c r="P157" s="46">
        <f t="shared" si="104"/>
        <v>0.25023029736348723</v>
      </c>
      <c r="Q157" s="46">
        <f t="shared" si="104"/>
        <v>0.24650647736189157</v>
      </c>
      <c r="R157" s="46">
        <f t="shared" si="104"/>
        <v>0.24897039280589975</v>
      </c>
      <c r="S157" s="46">
        <f t="shared" si="104"/>
        <v>0.25500710118689579</v>
      </c>
      <c r="T157" s="46">
        <f t="shared" si="104"/>
        <v>0.25091224677207563</v>
      </c>
      <c r="U157" s="46">
        <f t="shared" si="104"/>
        <v>0.25749355502267091</v>
      </c>
      <c r="V157" s="46">
        <f t="shared" si="104"/>
        <v>0.26200135836009408</v>
      </c>
      <c r="W157" s="46">
        <f t="shared" ref="W157:Y157" si="105">IF(W42=0,0,W42/W$17)</f>
        <v>0.265109135680477</v>
      </c>
      <c r="X157" s="46">
        <f t="shared" si="105"/>
        <v>0.272004428493967</v>
      </c>
      <c r="Y157" s="46">
        <f t="shared" si="105"/>
        <v>0.26343990549840074</v>
      </c>
      <c r="DA157" s="211"/>
    </row>
    <row r="158" spans="1:105" ht="11.45" customHeight="1" x14ac:dyDescent="0.25">
      <c r="A158" s="153" t="s">
        <v>153</v>
      </c>
      <c r="B158" s="154">
        <f t="shared" ref="B158:K158" si="106">IF(B43=0,0,B43/B$17)</f>
        <v>0.15114823245566117</v>
      </c>
      <c r="C158" s="154">
        <f t="shared" si="106"/>
        <v>0.12310237671999399</v>
      </c>
      <c r="D158" s="154">
        <f t="shared" si="106"/>
        <v>0.1223637648372969</v>
      </c>
      <c r="E158" s="154">
        <f t="shared" si="106"/>
        <v>0.11701579374094966</v>
      </c>
      <c r="F158" s="154">
        <f t="shared" si="106"/>
        <v>0.11327964416737146</v>
      </c>
      <c r="G158" s="154">
        <f t="shared" si="106"/>
        <v>0.12451970329059189</v>
      </c>
      <c r="H158" s="154">
        <f t="shared" si="106"/>
        <v>0.1325388301866102</v>
      </c>
      <c r="I158" s="154">
        <f t="shared" si="106"/>
        <v>0.13406958787091797</v>
      </c>
      <c r="J158" s="154">
        <f t="shared" si="106"/>
        <v>0.13358345506068658</v>
      </c>
      <c r="K158" s="154">
        <f t="shared" si="106"/>
        <v>0.13212913605984694</v>
      </c>
      <c r="L158" s="154">
        <f t="shared" ref="L158" si="107">IF(L43=0,0,L43/L$17)</f>
        <v>0.13976021222936541</v>
      </c>
      <c r="M158" s="154">
        <f t="shared" ref="M158:V158" si="108">IF(M43=0,0,M43/M$17)</f>
        <v>0.14099866754354409</v>
      </c>
      <c r="N158" s="154">
        <f t="shared" si="108"/>
        <v>0.14463726555326395</v>
      </c>
      <c r="O158" s="154">
        <f t="shared" si="108"/>
        <v>0.15148494756607864</v>
      </c>
      <c r="P158" s="154">
        <f t="shared" si="108"/>
        <v>0.15639875350740987</v>
      </c>
      <c r="Q158" s="154">
        <f t="shared" si="108"/>
        <v>0.16072154236374703</v>
      </c>
      <c r="R158" s="154">
        <f t="shared" si="108"/>
        <v>0.15423915141446365</v>
      </c>
      <c r="S158" s="154">
        <f t="shared" si="108"/>
        <v>0.15299467272635878</v>
      </c>
      <c r="T158" s="154">
        <f t="shared" si="108"/>
        <v>0.15781998671072142</v>
      </c>
      <c r="U158" s="154">
        <f t="shared" si="108"/>
        <v>0.15872726509431992</v>
      </c>
      <c r="V158" s="154">
        <f t="shared" si="108"/>
        <v>0.1657444712678966</v>
      </c>
      <c r="W158" s="154">
        <f t="shared" ref="W158:Y158" si="109">IF(W43=0,0,W43/W$17)</f>
        <v>0.16337171834407913</v>
      </c>
      <c r="X158" s="154">
        <f t="shared" si="109"/>
        <v>0.15511669825898264</v>
      </c>
      <c r="Y158" s="154">
        <f t="shared" si="109"/>
        <v>0.14910304662658927</v>
      </c>
      <c r="DA158" s="212"/>
    </row>
    <row r="159" spans="1:105" ht="11.45" customHeight="1" x14ac:dyDescent="0.25">
      <c r="A159" s="157" t="s">
        <v>110</v>
      </c>
      <c r="B159" s="103">
        <f t="shared" ref="B159:K159" si="110">IF(B44=0,0,B44/B$17)</f>
        <v>6.2317419058253193E-2</v>
      </c>
      <c r="C159" s="103">
        <f t="shared" si="110"/>
        <v>4.8079656629956509E-2</v>
      </c>
      <c r="D159" s="103">
        <f t="shared" si="110"/>
        <v>4.5877277855059767E-2</v>
      </c>
      <c r="E159" s="103">
        <f t="shared" si="110"/>
        <v>4.1920665496446012E-2</v>
      </c>
      <c r="F159" s="103">
        <f t="shared" si="110"/>
        <v>3.986865450432947E-2</v>
      </c>
      <c r="G159" s="103">
        <f t="shared" si="110"/>
        <v>4.1055429674881766E-2</v>
      </c>
      <c r="H159" s="103">
        <f t="shared" si="110"/>
        <v>4.0844993799723929E-2</v>
      </c>
      <c r="I159" s="103">
        <f t="shared" si="110"/>
        <v>4.0204051925597083E-2</v>
      </c>
      <c r="J159" s="103">
        <f t="shared" si="110"/>
        <v>3.4146707965161394E-2</v>
      </c>
      <c r="K159" s="103">
        <f t="shared" si="110"/>
        <v>3.1624662077549368E-2</v>
      </c>
      <c r="L159" s="103">
        <f t="shared" ref="L159" si="111">IF(L44=0,0,L44/L$17)</f>
        <v>3.1613750119591055E-2</v>
      </c>
      <c r="M159" s="103">
        <f t="shared" ref="M159:V159" si="112">IF(M44=0,0,M44/M$17)</f>
        <v>2.8598894781664833E-2</v>
      </c>
      <c r="N159" s="103">
        <f t="shared" si="112"/>
        <v>2.6249383991084126E-2</v>
      </c>
      <c r="O159" s="103">
        <f t="shared" si="112"/>
        <v>2.4639659237991454E-2</v>
      </c>
      <c r="P159" s="103">
        <f t="shared" si="112"/>
        <v>2.1715188165074072E-2</v>
      </c>
      <c r="Q159" s="103">
        <f t="shared" si="112"/>
        <v>1.8597320551613821E-2</v>
      </c>
      <c r="R159" s="103">
        <f t="shared" si="112"/>
        <v>1.7921901378867924E-2</v>
      </c>
      <c r="S159" s="103">
        <f t="shared" si="112"/>
        <v>1.6677823197380336E-2</v>
      </c>
      <c r="T159" s="103">
        <f t="shared" si="112"/>
        <v>1.6052013869374722E-2</v>
      </c>
      <c r="U159" s="103">
        <f t="shared" si="112"/>
        <v>1.4794106587203192E-2</v>
      </c>
      <c r="V159" s="103">
        <f t="shared" si="112"/>
        <v>1.4467902375589823E-2</v>
      </c>
      <c r="W159" s="103">
        <f t="shared" ref="W159:Y159" si="113">IF(W44=0,0,W44/W$17)</f>
        <v>1.3313233549554777E-2</v>
      </c>
      <c r="X159" s="103">
        <f t="shared" si="113"/>
        <v>1.1797684118584586E-2</v>
      </c>
      <c r="Y159" s="103">
        <f t="shared" si="113"/>
        <v>1.1095890838073271E-2</v>
      </c>
      <c r="DA159" s="191"/>
    </row>
    <row r="160" spans="1:105" ht="11.45" customHeight="1" x14ac:dyDescent="0.25">
      <c r="A160" s="157" t="s">
        <v>111</v>
      </c>
      <c r="B160" s="103">
        <f t="shared" ref="B160:K160" si="114">IF(B46=0,0,B46/B$17)</f>
        <v>8.8830813397408004E-2</v>
      </c>
      <c r="C160" s="103">
        <f t="shared" si="114"/>
        <v>7.5022720090037479E-2</v>
      </c>
      <c r="D160" s="103">
        <f t="shared" si="114"/>
        <v>7.6486486982237131E-2</v>
      </c>
      <c r="E160" s="103">
        <f t="shared" si="114"/>
        <v>7.5095128244503651E-2</v>
      </c>
      <c r="F160" s="103">
        <f t="shared" si="114"/>
        <v>7.3410989663041992E-2</v>
      </c>
      <c r="G160" s="103">
        <f t="shared" si="114"/>
        <v>8.3464273615710127E-2</v>
      </c>
      <c r="H160" s="103">
        <f t="shared" si="114"/>
        <v>9.1693836386886288E-2</v>
      </c>
      <c r="I160" s="103">
        <f t="shared" si="114"/>
        <v>9.3865535945320905E-2</v>
      </c>
      <c r="J160" s="103">
        <f t="shared" si="114"/>
        <v>9.9436043506462568E-2</v>
      </c>
      <c r="K160" s="103">
        <f t="shared" si="114"/>
        <v>0.10050379816900953</v>
      </c>
      <c r="L160" s="103">
        <f t="shared" ref="L160" si="115">IF(L46=0,0,L46/L$17)</f>
        <v>0.10814567732252682</v>
      </c>
      <c r="M160" s="103">
        <f t="shared" ref="M160:V160" si="116">IF(M46=0,0,M46/M$17)</f>
        <v>0.11239835875014816</v>
      </c>
      <c r="N160" s="103">
        <f t="shared" si="116"/>
        <v>0.11838467197061064</v>
      </c>
      <c r="O160" s="103">
        <f t="shared" si="116"/>
        <v>0.12684189582230121</v>
      </c>
      <c r="P160" s="103">
        <f t="shared" si="116"/>
        <v>0.13467987056293559</v>
      </c>
      <c r="Q160" s="103">
        <f t="shared" si="116"/>
        <v>0.14212123708398036</v>
      </c>
      <c r="R160" s="103">
        <f t="shared" si="116"/>
        <v>0.13631404480464432</v>
      </c>
      <c r="S160" s="103">
        <f t="shared" si="116"/>
        <v>0.13631343559135731</v>
      </c>
      <c r="T160" s="103">
        <f t="shared" si="116"/>
        <v>0.14176382657587436</v>
      </c>
      <c r="U160" s="103">
        <f t="shared" si="116"/>
        <v>0.14392751115070365</v>
      </c>
      <c r="V160" s="103">
        <f t="shared" si="116"/>
        <v>0.15126819492618138</v>
      </c>
      <c r="W160" s="103">
        <f t="shared" ref="W160:Y160" si="117">IF(W46=0,0,W46/W$17)</f>
        <v>0.15004635446252457</v>
      </c>
      <c r="X160" s="103">
        <f t="shared" si="117"/>
        <v>0.14329738849176274</v>
      </c>
      <c r="Y160" s="103">
        <f t="shared" si="117"/>
        <v>0.13796530133613186</v>
      </c>
      <c r="DA160" s="191"/>
    </row>
    <row r="161" spans="1:105" ht="11.45" customHeight="1" x14ac:dyDescent="0.25">
      <c r="A161" s="157" t="s">
        <v>112</v>
      </c>
      <c r="B161" s="103">
        <f t="shared" ref="B161:K161" si="118">IF(B48=0,0,B48/B$17)</f>
        <v>0</v>
      </c>
      <c r="C161" s="103">
        <f t="shared" si="118"/>
        <v>0</v>
      </c>
      <c r="D161" s="103">
        <f t="shared" si="118"/>
        <v>0</v>
      </c>
      <c r="E161" s="103">
        <f t="shared" si="118"/>
        <v>0</v>
      </c>
      <c r="F161" s="103">
        <f t="shared" si="118"/>
        <v>0</v>
      </c>
      <c r="G161" s="103">
        <f t="shared" si="118"/>
        <v>0</v>
      </c>
      <c r="H161" s="103">
        <f t="shared" si="118"/>
        <v>0</v>
      </c>
      <c r="I161" s="103">
        <f t="shared" si="118"/>
        <v>0</v>
      </c>
      <c r="J161" s="103">
        <f t="shared" si="118"/>
        <v>7.0358906263087115E-7</v>
      </c>
      <c r="K161" s="103">
        <f t="shared" si="118"/>
        <v>6.7581328801804104E-7</v>
      </c>
      <c r="L161" s="103">
        <f t="shared" ref="L161" si="119">IF(L48=0,0,L48/L$17)</f>
        <v>7.178037793500643E-7</v>
      </c>
      <c r="M161" s="103">
        <f t="shared" ref="M161:V161" si="120">IF(M48=0,0,M48/M$17)</f>
        <v>1.3181780941888353E-6</v>
      </c>
      <c r="N161" s="103">
        <f t="shared" si="120"/>
        <v>3.0242267228616023E-6</v>
      </c>
      <c r="O161" s="103">
        <f t="shared" si="120"/>
        <v>3.0749606795185319E-6</v>
      </c>
      <c r="P161" s="103">
        <f t="shared" si="120"/>
        <v>3.292576960583307E-6</v>
      </c>
      <c r="Q161" s="103">
        <f t="shared" si="120"/>
        <v>2.6167800064006976E-6</v>
      </c>
      <c r="R161" s="103">
        <f t="shared" si="120"/>
        <v>2.744411824266632E-6</v>
      </c>
      <c r="S161" s="103">
        <f t="shared" si="120"/>
        <v>2.5864790220855114E-6</v>
      </c>
      <c r="T161" s="103">
        <f t="shared" si="120"/>
        <v>2.2937119608791989E-6</v>
      </c>
      <c r="U161" s="103">
        <f t="shared" si="120"/>
        <v>2.2074710883434348E-6</v>
      </c>
      <c r="V161" s="103">
        <f t="shared" si="120"/>
        <v>1.9916571168311432E-6</v>
      </c>
      <c r="W161" s="103">
        <f t="shared" ref="W161:Y161" si="121">IF(W48=0,0,W48/W$17)</f>
        <v>2.3589829848112728E-6</v>
      </c>
      <c r="X161" s="103">
        <f t="shared" si="121"/>
        <v>4.4534497953817526E-6</v>
      </c>
      <c r="Y161" s="103">
        <f t="shared" si="121"/>
        <v>5.9307396652856805E-6</v>
      </c>
      <c r="DA161" s="191"/>
    </row>
    <row r="162" spans="1:105" ht="11.45" customHeight="1" x14ac:dyDescent="0.25">
      <c r="A162" s="157" t="s">
        <v>113</v>
      </c>
      <c r="B162" s="103">
        <f t="shared" ref="B162:K162" si="122">IF(B49=0,0,B49/B$17)</f>
        <v>0</v>
      </c>
      <c r="C162" s="103">
        <f t="shared" si="122"/>
        <v>0</v>
      </c>
      <c r="D162" s="103">
        <f t="shared" si="122"/>
        <v>0</v>
      </c>
      <c r="E162" s="103">
        <f t="shared" si="122"/>
        <v>0</v>
      </c>
      <c r="F162" s="103">
        <f t="shared" si="122"/>
        <v>0</v>
      </c>
      <c r="G162" s="103">
        <f t="shared" si="122"/>
        <v>0</v>
      </c>
      <c r="H162" s="103">
        <f t="shared" si="122"/>
        <v>0</v>
      </c>
      <c r="I162" s="103">
        <f t="shared" si="122"/>
        <v>0</v>
      </c>
      <c r="J162" s="103">
        <f t="shared" si="122"/>
        <v>0</v>
      </c>
      <c r="K162" s="103">
        <f t="shared" si="122"/>
        <v>0</v>
      </c>
      <c r="L162" s="103">
        <f t="shared" ref="L162" si="123">IF(L49=0,0,L49/L$17)</f>
        <v>0</v>
      </c>
      <c r="M162" s="103">
        <f t="shared" ref="M162:V162" si="124">IF(M49=0,0,M49/M$17)</f>
        <v>0</v>
      </c>
      <c r="N162" s="103">
        <f t="shared" si="124"/>
        <v>0</v>
      </c>
      <c r="O162" s="103">
        <f t="shared" si="124"/>
        <v>0</v>
      </c>
      <c r="P162" s="103">
        <f t="shared" si="124"/>
        <v>0</v>
      </c>
      <c r="Q162" s="103">
        <f t="shared" si="124"/>
        <v>0</v>
      </c>
      <c r="R162" s="103">
        <f t="shared" si="124"/>
        <v>0</v>
      </c>
      <c r="S162" s="103">
        <f t="shared" si="124"/>
        <v>0</v>
      </c>
      <c r="T162" s="103">
        <f t="shared" si="124"/>
        <v>0</v>
      </c>
      <c r="U162" s="103">
        <f t="shared" si="124"/>
        <v>0</v>
      </c>
      <c r="V162" s="103">
        <f t="shared" si="124"/>
        <v>0</v>
      </c>
      <c r="W162" s="103">
        <f t="shared" ref="W162:Y162" si="125">IF(W49=0,0,W49/W$17)</f>
        <v>0</v>
      </c>
      <c r="X162" s="103">
        <f t="shared" si="125"/>
        <v>0</v>
      </c>
      <c r="Y162" s="103">
        <f t="shared" si="125"/>
        <v>0</v>
      </c>
      <c r="DA162" s="191"/>
    </row>
    <row r="163" spans="1:105" ht="11.45" customHeight="1" x14ac:dyDescent="0.25">
      <c r="A163" s="157" t="s">
        <v>115</v>
      </c>
      <c r="B163" s="103">
        <f t="shared" ref="B163:K163" si="126">IF(B51=0,0,B51/B$17)</f>
        <v>0</v>
      </c>
      <c r="C163" s="103">
        <f t="shared" si="126"/>
        <v>0</v>
      </c>
      <c r="D163" s="103">
        <f t="shared" si="126"/>
        <v>0</v>
      </c>
      <c r="E163" s="103">
        <f t="shared" si="126"/>
        <v>0</v>
      </c>
      <c r="F163" s="103">
        <f t="shared" si="126"/>
        <v>0</v>
      </c>
      <c r="G163" s="103">
        <f t="shared" si="126"/>
        <v>0</v>
      </c>
      <c r="H163" s="103">
        <f t="shared" si="126"/>
        <v>0</v>
      </c>
      <c r="I163" s="103">
        <f t="shared" si="126"/>
        <v>0</v>
      </c>
      <c r="J163" s="103">
        <f t="shared" si="126"/>
        <v>0</v>
      </c>
      <c r="K163" s="103">
        <f t="shared" si="126"/>
        <v>0</v>
      </c>
      <c r="L163" s="103">
        <f t="shared" ref="L163" si="127">IF(L51=0,0,L51/L$17)</f>
        <v>6.6983468202581616E-8</v>
      </c>
      <c r="M163" s="103">
        <f t="shared" ref="M163:V163" si="128">IF(M51=0,0,M51/M$17)</f>
        <v>9.5833636907004878E-8</v>
      </c>
      <c r="N163" s="103">
        <f t="shared" si="128"/>
        <v>1.8536484631000208E-7</v>
      </c>
      <c r="O163" s="103">
        <f t="shared" si="128"/>
        <v>3.1754510647289465E-7</v>
      </c>
      <c r="P163" s="103">
        <f t="shared" si="128"/>
        <v>4.0220243963577138E-7</v>
      </c>
      <c r="Q163" s="103">
        <f t="shared" si="128"/>
        <v>3.6794814646420297E-7</v>
      </c>
      <c r="R163" s="103">
        <f t="shared" si="128"/>
        <v>4.6081912714540594E-7</v>
      </c>
      <c r="S163" s="103">
        <f t="shared" si="128"/>
        <v>8.2745859903845982E-7</v>
      </c>
      <c r="T163" s="103">
        <f t="shared" si="128"/>
        <v>1.8525535114505687E-6</v>
      </c>
      <c r="U163" s="103">
        <f t="shared" si="128"/>
        <v>3.4398853247086498E-6</v>
      </c>
      <c r="V163" s="103">
        <f t="shared" si="128"/>
        <v>6.3823090085801646E-6</v>
      </c>
      <c r="W163" s="103">
        <f t="shared" ref="W163:Y163" si="129">IF(W51=0,0,W51/W$17)</f>
        <v>9.77134901496839E-6</v>
      </c>
      <c r="X163" s="103">
        <f t="shared" si="129"/>
        <v>1.71721988399348E-5</v>
      </c>
      <c r="Y163" s="103">
        <f t="shared" si="129"/>
        <v>3.592371271884934E-5</v>
      </c>
      <c r="DA163" s="191"/>
    </row>
    <row r="164" spans="1:105" ht="11.45" customHeight="1" x14ac:dyDescent="0.25">
      <c r="A164" s="155" t="s">
        <v>154</v>
      </c>
      <c r="B164" s="156">
        <f t="shared" ref="B164:K164" si="130">IF(B52=0,0,B52/B$17)</f>
        <v>0.18929655629051362</v>
      </c>
      <c r="C164" s="156">
        <f t="shared" si="130"/>
        <v>0.21677687114910918</v>
      </c>
      <c r="D164" s="156">
        <f t="shared" si="130"/>
        <v>0.23382276785943037</v>
      </c>
      <c r="E164" s="156">
        <f t="shared" si="130"/>
        <v>0.24758619550932723</v>
      </c>
      <c r="F164" s="156">
        <f t="shared" si="130"/>
        <v>0.21832032549586111</v>
      </c>
      <c r="G164" s="156">
        <f t="shared" si="130"/>
        <v>0.19270168168006119</v>
      </c>
      <c r="H164" s="156">
        <f t="shared" si="130"/>
        <v>0.22068794542926282</v>
      </c>
      <c r="I164" s="156">
        <f t="shared" si="130"/>
        <v>0.18195921341638896</v>
      </c>
      <c r="J164" s="156">
        <f t="shared" si="130"/>
        <v>0.16480232484420257</v>
      </c>
      <c r="K164" s="156">
        <f t="shared" si="130"/>
        <v>0.1547603422762707</v>
      </c>
      <c r="L164" s="156">
        <f t="shared" ref="L164" si="131">IF(L52=0,0,L52/L$17)</f>
        <v>0.1166522557833692</v>
      </c>
      <c r="M164" s="156">
        <f t="shared" ref="M164:V164" si="132">IF(M52=0,0,M52/M$17)</f>
        <v>0.11779561286356012</v>
      </c>
      <c r="N164" s="156">
        <f t="shared" si="132"/>
        <v>0.10354475394381589</v>
      </c>
      <c r="O164" s="156">
        <f t="shared" si="132"/>
        <v>0.10534327047312833</v>
      </c>
      <c r="P164" s="156">
        <f t="shared" si="132"/>
        <v>9.3831543856077365E-2</v>
      </c>
      <c r="Q164" s="156">
        <f t="shared" si="132"/>
        <v>8.5784934998144532E-2</v>
      </c>
      <c r="R164" s="156">
        <f t="shared" si="132"/>
        <v>9.47312413914361E-2</v>
      </c>
      <c r="S164" s="156">
        <f t="shared" si="132"/>
        <v>0.10201242846053701</v>
      </c>
      <c r="T164" s="156">
        <f t="shared" si="132"/>
        <v>9.3092260061354209E-2</v>
      </c>
      <c r="U164" s="156">
        <f t="shared" si="132"/>
        <v>9.8766289928351042E-2</v>
      </c>
      <c r="V164" s="156">
        <f t="shared" si="132"/>
        <v>9.6256887092197457E-2</v>
      </c>
      <c r="W164" s="156">
        <f t="shared" ref="W164:Y164" si="133">IF(W52=0,0,W52/W$17)</f>
        <v>0.10173741733639789</v>
      </c>
      <c r="X164" s="156">
        <f t="shared" si="133"/>
        <v>0.11688773023498439</v>
      </c>
      <c r="Y164" s="156">
        <f t="shared" si="133"/>
        <v>0.11433685887181148</v>
      </c>
      <c r="DA164" s="213"/>
    </row>
    <row r="165" spans="1:105" ht="11.45" customHeight="1" x14ac:dyDescent="0.25">
      <c r="A165" s="162" t="s">
        <v>27</v>
      </c>
      <c r="B165" s="104">
        <f t="shared" ref="B165:K165" si="134">IF(B53=0,0,B53/B$17)</f>
        <v>9.6984571171523509E-2</v>
      </c>
      <c r="C165" s="104">
        <f t="shared" si="134"/>
        <v>9.2732845906883868E-2</v>
      </c>
      <c r="D165" s="104">
        <f t="shared" si="134"/>
        <v>9.5742863550653118E-2</v>
      </c>
      <c r="E165" s="104">
        <f t="shared" si="134"/>
        <v>0.11007020688666763</v>
      </c>
      <c r="F165" s="104">
        <f t="shared" si="134"/>
        <v>0.10319538074674174</v>
      </c>
      <c r="G165" s="104">
        <f t="shared" si="134"/>
        <v>0.1240647458099816</v>
      </c>
      <c r="H165" s="104">
        <f t="shared" si="134"/>
        <v>0.14945840711399991</v>
      </c>
      <c r="I165" s="104">
        <f t="shared" si="134"/>
        <v>0.13688176166310911</v>
      </c>
      <c r="J165" s="104">
        <f t="shared" si="134"/>
        <v>0.12381196500132344</v>
      </c>
      <c r="K165" s="104">
        <f t="shared" si="134"/>
        <v>0.11713157709603479</v>
      </c>
      <c r="L165" s="104">
        <f t="shared" ref="L165" si="135">IF(L53=0,0,L53/L$17)</f>
        <v>7.5473845340101445E-2</v>
      </c>
      <c r="M165" s="104">
        <f t="shared" ref="M165:V165" si="136">IF(M53=0,0,M53/M$17)</f>
        <v>7.3649266619303835E-2</v>
      </c>
      <c r="N165" s="104">
        <f t="shared" si="136"/>
        <v>6.9269100732095995E-2</v>
      </c>
      <c r="O165" s="104">
        <f t="shared" si="136"/>
        <v>7.0191804068300973E-2</v>
      </c>
      <c r="P165" s="104">
        <f t="shared" si="136"/>
        <v>6.4279617513247747E-2</v>
      </c>
      <c r="Q165" s="104">
        <f t="shared" si="136"/>
        <v>6.1082938543154143E-2</v>
      </c>
      <c r="R165" s="104">
        <f t="shared" si="136"/>
        <v>6.2929659172500485E-2</v>
      </c>
      <c r="S165" s="104">
        <f t="shared" si="136"/>
        <v>6.2681291382739895E-2</v>
      </c>
      <c r="T165" s="104">
        <f t="shared" si="136"/>
        <v>6.2078447083338963E-2</v>
      </c>
      <c r="U165" s="104">
        <f t="shared" si="136"/>
        <v>6.7904411482324498E-2</v>
      </c>
      <c r="V165" s="104">
        <f t="shared" si="136"/>
        <v>6.8553511637333628E-2</v>
      </c>
      <c r="W165" s="104">
        <f t="shared" ref="W165:Y165" si="137">IF(W53=0,0,W53/W$17)</f>
        <v>7.1265412542059994E-2</v>
      </c>
      <c r="X165" s="104">
        <f t="shared" si="137"/>
        <v>7.5022072948240912E-2</v>
      </c>
      <c r="Y165" s="104">
        <f t="shared" si="137"/>
        <v>7.2276199268446903E-2</v>
      </c>
      <c r="DA165" s="195"/>
    </row>
    <row r="166" spans="1:105" ht="11.45" customHeight="1" x14ac:dyDescent="0.25">
      <c r="A166" s="158" t="s">
        <v>116</v>
      </c>
      <c r="B166" s="105">
        <f t="shared" ref="B166:K166" si="138">IF(B55=0,0,B55/B$17)</f>
        <v>9.2311985118990109E-2</v>
      </c>
      <c r="C166" s="105">
        <f t="shared" si="138"/>
        <v>0.12404402524222533</v>
      </c>
      <c r="D166" s="105">
        <f t="shared" si="138"/>
        <v>0.13807990430877723</v>
      </c>
      <c r="E166" s="105">
        <f t="shared" si="138"/>
        <v>0.13751598862265962</v>
      </c>
      <c r="F166" s="105">
        <f t="shared" si="138"/>
        <v>0.11512494474911937</v>
      </c>
      <c r="G166" s="105">
        <f t="shared" si="138"/>
        <v>6.8636935870079574E-2</v>
      </c>
      <c r="H166" s="105">
        <f t="shared" si="138"/>
        <v>7.1229538315262908E-2</v>
      </c>
      <c r="I166" s="105">
        <f t="shared" si="138"/>
        <v>4.5077451753279846E-2</v>
      </c>
      <c r="J166" s="105">
        <f t="shared" si="138"/>
        <v>4.0990359842879125E-2</v>
      </c>
      <c r="K166" s="105">
        <f t="shared" si="138"/>
        <v>3.7628765180235897E-2</v>
      </c>
      <c r="L166" s="105">
        <f t="shared" ref="L166" si="139">IF(L55=0,0,L55/L$17)</f>
        <v>4.1178410443267741E-2</v>
      </c>
      <c r="M166" s="105">
        <f t="shared" ref="M166:V166" si="140">IF(M55=0,0,M55/M$17)</f>
        <v>4.4146346244256278E-2</v>
      </c>
      <c r="N166" s="105">
        <f t="shared" si="140"/>
        <v>3.4275653211719888E-2</v>
      </c>
      <c r="O166" s="105">
        <f t="shared" si="140"/>
        <v>3.5151466404827358E-2</v>
      </c>
      <c r="P166" s="105">
        <f t="shared" si="140"/>
        <v>2.9551926342829625E-2</v>
      </c>
      <c r="Q166" s="105">
        <f t="shared" si="140"/>
        <v>2.4701996454990396E-2</v>
      </c>
      <c r="R166" s="105">
        <f t="shared" si="140"/>
        <v>3.1801582218935608E-2</v>
      </c>
      <c r="S166" s="105">
        <f t="shared" si="140"/>
        <v>3.9331137077797104E-2</v>
      </c>
      <c r="T166" s="105">
        <f t="shared" si="140"/>
        <v>3.1013812978015257E-2</v>
      </c>
      <c r="U166" s="105">
        <f t="shared" si="140"/>
        <v>3.0861878446026537E-2</v>
      </c>
      <c r="V166" s="105">
        <f t="shared" si="140"/>
        <v>2.7703375454863836E-2</v>
      </c>
      <c r="W166" s="105">
        <f t="shared" ref="W166:Y166" si="141">IF(W55=0,0,W55/W$17)</f>
        <v>3.0472004794337891E-2</v>
      </c>
      <c r="X166" s="105">
        <f t="shared" si="141"/>
        <v>4.1865657286743463E-2</v>
      </c>
      <c r="Y166" s="105">
        <f t="shared" si="141"/>
        <v>4.2060659603364581E-2</v>
      </c>
      <c r="DA166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DA160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739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133" t="s">
        <v>45</v>
      </c>
      <c r="B4" s="146">
        <f t="shared" ref="B4:K4" si="0">B5+B9+B10+B15</f>
        <v>8169.6291098400006</v>
      </c>
      <c r="C4" s="146">
        <f t="shared" si="0"/>
        <v>10516.021398360001</v>
      </c>
      <c r="D4" s="146">
        <f t="shared" si="0"/>
        <v>10809.678153960002</v>
      </c>
      <c r="E4" s="146">
        <f t="shared" si="0"/>
        <v>11698.169548680002</v>
      </c>
      <c r="F4" s="146">
        <f t="shared" si="0"/>
        <v>12166.946645399999</v>
      </c>
      <c r="G4" s="146">
        <f t="shared" si="0"/>
        <v>11611.803035519999</v>
      </c>
      <c r="H4" s="146">
        <f t="shared" si="0"/>
        <v>12118.36656312</v>
      </c>
      <c r="I4" s="146">
        <f t="shared" si="0"/>
        <v>12146.574517919998</v>
      </c>
      <c r="J4" s="146">
        <f t="shared" si="0"/>
        <v>13775.693210279998</v>
      </c>
      <c r="K4" s="146">
        <f t="shared" si="0"/>
        <v>14129.050167360001</v>
      </c>
      <c r="L4" s="146">
        <f t="shared" ref="L4" si="1">L5+L9+L10+L15</f>
        <v>13373.68933836</v>
      </c>
      <c r="M4" s="146">
        <f t="shared" ref="M4:V4" si="2">M5+M9+M10+M15</f>
        <v>13816.155787919997</v>
      </c>
      <c r="N4" s="146">
        <f t="shared" si="2"/>
        <v>14425.614832679999</v>
      </c>
      <c r="O4" s="146">
        <f t="shared" si="2"/>
        <v>14100.61364424</v>
      </c>
      <c r="P4" s="146">
        <f t="shared" si="2"/>
        <v>14699.375717760002</v>
      </c>
      <c r="Q4" s="146">
        <f t="shared" si="2"/>
        <v>14769.2854278</v>
      </c>
      <c r="R4" s="146">
        <f t="shared" si="2"/>
        <v>15867.949836960001</v>
      </c>
      <c r="S4" s="146">
        <f t="shared" si="2"/>
        <v>16917.820801920003</v>
      </c>
      <c r="T4" s="146">
        <f t="shared" si="2"/>
        <v>17455.5539298</v>
      </c>
      <c r="U4" s="146">
        <f t="shared" si="2"/>
        <v>17778.353713920002</v>
      </c>
      <c r="V4" s="146">
        <f t="shared" si="2"/>
        <v>17368.820928720001</v>
      </c>
      <c r="W4" s="146">
        <f t="shared" ref="W4:Y4" si="3">W5+W9+W10+W15</f>
        <v>18412.55361648</v>
      </c>
      <c r="X4" s="146">
        <f t="shared" si="3"/>
        <v>20032.821762119998</v>
      </c>
      <c r="Y4" s="146">
        <f t="shared" si="3"/>
        <v>21076.123849919997</v>
      </c>
      <c r="DA4" s="206" t="s">
        <v>740</v>
      </c>
    </row>
    <row r="5" spans="1:105" ht="11.45" customHeight="1" x14ac:dyDescent="0.25">
      <c r="A5" s="92" t="s">
        <v>46</v>
      </c>
      <c r="B5" s="101">
        <f t="shared" ref="B5:K5" si="4">SUM(B6:B8)</f>
        <v>8169.6291098400006</v>
      </c>
      <c r="C5" s="101">
        <f t="shared" si="4"/>
        <v>10516.021398360001</v>
      </c>
      <c r="D5" s="101">
        <f t="shared" si="4"/>
        <v>10809.678153960002</v>
      </c>
      <c r="E5" s="101">
        <f t="shared" si="4"/>
        <v>11698.169548680002</v>
      </c>
      <c r="F5" s="101">
        <f t="shared" si="4"/>
        <v>12166.946645399999</v>
      </c>
      <c r="G5" s="101">
        <f t="shared" si="4"/>
        <v>11611.803035519999</v>
      </c>
      <c r="H5" s="101">
        <f t="shared" si="4"/>
        <v>12118.36656312</v>
      </c>
      <c r="I5" s="101">
        <f t="shared" si="4"/>
        <v>12146.574517919998</v>
      </c>
      <c r="J5" s="101">
        <f t="shared" si="4"/>
        <v>13775.693210279998</v>
      </c>
      <c r="K5" s="101">
        <f t="shared" si="4"/>
        <v>14129.050167360001</v>
      </c>
      <c r="L5" s="101">
        <f t="shared" ref="L5" si="5">SUM(L6:L8)</f>
        <v>13373.68933836</v>
      </c>
      <c r="M5" s="101">
        <f t="shared" ref="M5:V5" si="6">SUM(M6:M8)</f>
        <v>13816.155787919997</v>
      </c>
      <c r="N5" s="101">
        <f t="shared" si="6"/>
        <v>14425.614832679999</v>
      </c>
      <c r="O5" s="101">
        <f t="shared" si="6"/>
        <v>14100.61364424</v>
      </c>
      <c r="P5" s="101">
        <f t="shared" si="6"/>
        <v>14699.375717760002</v>
      </c>
      <c r="Q5" s="101">
        <f t="shared" si="6"/>
        <v>14769.2854278</v>
      </c>
      <c r="R5" s="101">
        <f t="shared" si="6"/>
        <v>15867.949836960001</v>
      </c>
      <c r="S5" s="101">
        <f t="shared" si="6"/>
        <v>16917.820801920003</v>
      </c>
      <c r="T5" s="101">
        <f t="shared" si="6"/>
        <v>17455.5539298</v>
      </c>
      <c r="U5" s="101">
        <f t="shared" si="6"/>
        <v>17778.353713920002</v>
      </c>
      <c r="V5" s="101">
        <f t="shared" si="6"/>
        <v>17368.820928720001</v>
      </c>
      <c r="W5" s="101">
        <f t="shared" ref="W5:Y5" si="7">SUM(W6:W8)</f>
        <v>18412.55361648</v>
      </c>
      <c r="X5" s="101">
        <f t="shared" si="7"/>
        <v>20032.821762119998</v>
      </c>
      <c r="Y5" s="101">
        <f t="shared" si="7"/>
        <v>21076.123849919997</v>
      </c>
      <c r="DA5" s="175"/>
    </row>
    <row r="6" spans="1:105" ht="11.45" customHeight="1" x14ac:dyDescent="0.25">
      <c r="A6" s="128" t="s">
        <v>52</v>
      </c>
      <c r="B6" s="101">
        <v>0</v>
      </c>
      <c r="C6" s="101">
        <v>0</v>
      </c>
      <c r="D6" s="101">
        <v>8.9539657199999994</v>
      </c>
      <c r="E6" s="101">
        <v>20.892359520000003</v>
      </c>
      <c r="F6" s="101">
        <v>244.73968524</v>
      </c>
      <c r="G6" s="101">
        <v>145.79424107999998</v>
      </c>
      <c r="H6" s="101">
        <v>48.602244960000014</v>
      </c>
      <c r="I6" s="101">
        <v>97.196312160000019</v>
      </c>
      <c r="J6" s="101">
        <v>133.64481563999999</v>
      </c>
      <c r="K6" s="101">
        <v>197.45860284</v>
      </c>
      <c r="L6" s="101">
        <v>51.635512440000007</v>
      </c>
      <c r="M6" s="101">
        <v>218.69147520000001</v>
      </c>
      <c r="N6" s="101">
        <v>151.86918096000002</v>
      </c>
      <c r="O6" s="101">
        <v>139.71952836000003</v>
      </c>
      <c r="P6" s="101">
        <v>154.90653732000001</v>
      </c>
      <c r="Q6" s="101">
        <v>167.05596276</v>
      </c>
      <c r="R6" s="101">
        <v>197.42975352000002</v>
      </c>
      <c r="S6" s="101">
        <v>238.08435156000002</v>
      </c>
      <c r="T6" s="101">
        <v>247.59463212000006</v>
      </c>
      <c r="U6" s="101">
        <v>260.55638172000005</v>
      </c>
      <c r="V6" s="101">
        <v>233.74809432000001</v>
      </c>
      <c r="W6" s="101">
        <v>236.06330904000001</v>
      </c>
      <c r="X6" s="101">
        <v>234.77871924000002</v>
      </c>
      <c r="Y6" s="101">
        <v>231.58575827999999</v>
      </c>
      <c r="DA6" s="175" t="s">
        <v>741</v>
      </c>
    </row>
    <row r="7" spans="1:105" ht="11.45" customHeight="1" x14ac:dyDescent="0.25">
      <c r="A7" s="128" t="s">
        <v>53</v>
      </c>
      <c r="B7" s="101">
        <v>3788.5259228400009</v>
      </c>
      <c r="C7" s="101">
        <v>4847.5936094400004</v>
      </c>
      <c r="D7" s="101">
        <v>4740.3816771599995</v>
      </c>
      <c r="E7" s="101">
        <v>4820.3597077200002</v>
      </c>
      <c r="F7" s="101">
        <v>4995.1908194399984</v>
      </c>
      <c r="G7" s="101">
        <v>4647.9201674400001</v>
      </c>
      <c r="H7" s="101">
        <v>4349.4782219999997</v>
      </c>
      <c r="I7" s="101">
        <v>4405.4445650399994</v>
      </c>
      <c r="J7" s="101">
        <v>4395.4057353600001</v>
      </c>
      <c r="K7" s="101">
        <v>4353.5737645200006</v>
      </c>
      <c r="L7" s="101">
        <v>4097.7152370000003</v>
      </c>
      <c r="M7" s="101">
        <v>3904.7397127200006</v>
      </c>
      <c r="N7" s="101">
        <v>3862.5261998399997</v>
      </c>
      <c r="O7" s="101">
        <v>3678.5965708800004</v>
      </c>
      <c r="P7" s="101">
        <v>3928.8616844400012</v>
      </c>
      <c r="Q7" s="101">
        <v>3681.6117861599992</v>
      </c>
      <c r="R7" s="101">
        <v>3847.4501234399991</v>
      </c>
      <c r="S7" s="101">
        <v>3867.8647975200001</v>
      </c>
      <c r="T7" s="101">
        <v>3830.8128011999993</v>
      </c>
      <c r="U7" s="101">
        <v>3836.7164959200009</v>
      </c>
      <c r="V7" s="101">
        <v>3581.1476870400011</v>
      </c>
      <c r="W7" s="101">
        <v>3820.13480772</v>
      </c>
      <c r="X7" s="101">
        <v>3914.1800359199992</v>
      </c>
      <c r="Y7" s="101">
        <v>4082.7135056399984</v>
      </c>
      <c r="DA7" s="175" t="s">
        <v>742</v>
      </c>
    </row>
    <row r="8" spans="1:105" ht="11.45" customHeight="1" x14ac:dyDescent="0.25">
      <c r="A8" s="128" t="s">
        <v>54</v>
      </c>
      <c r="B8" s="101">
        <v>4381.1031869999997</v>
      </c>
      <c r="C8" s="101">
        <v>5668.4277889199993</v>
      </c>
      <c r="D8" s="101">
        <v>6060.3425110800008</v>
      </c>
      <c r="E8" s="101">
        <v>6856.9174814400012</v>
      </c>
      <c r="F8" s="101">
        <v>6927.0161407200012</v>
      </c>
      <c r="G8" s="101">
        <v>6818.0886270000001</v>
      </c>
      <c r="H8" s="101">
        <v>7720.2860961599999</v>
      </c>
      <c r="I8" s="101">
        <v>7643.9336407199999</v>
      </c>
      <c r="J8" s="101">
        <v>9246.642659279998</v>
      </c>
      <c r="K8" s="101">
        <v>9578.0178000000014</v>
      </c>
      <c r="L8" s="101">
        <v>9224.3385889199999</v>
      </c>
      <c r="M8" s="101">
        <v>9692.7245999999977</v>
      </c>
      <c r="N8" s="101">
        <v>10411.219451880001</v>
      </c>
      <c r="O8" s="101">
        <v>10282.297544999999</v>
      </c>
      <c r="P8" s="101">
        <v>10615.607496000001</v>
      </c>
      <c r="Q8" s="101">
        <v>10920.61767888</v>
      </c>
      <c r="R8" s="101">
        <v>11823.069960000001</v>
      </c>
      <c r="S8" s="101">
        <v>12811.871652840002</v>
      </c>
      <c r="T8" s="101">
        <v>13377.14649648</v>
      </c>
      <c r="U8" s="101">
        <v>13681.080836280002</v>
      </c>
      <c r="V8" s="101">
        <v>13553.92514736</v>
      </c>
      <c r="W8" s="101">
        <v>14356.355499719999</v>
      </c>
      <c r="X8" s="101">
        <v>15883.86300696</v>
      </c>
      <c r="Y8" s="101">
        <v>16761.824585999999</v>
      </c>
      <c r="DA8" s="175" t="s">
        <v>743</v>
      </c>
    </row>
    <row r="9" spans="1:105" ht="11.45" customHeight="1" x14ac:dyDescent="0.25">
      <c r="A9" s="92" t="s">
        <v>55</v>
      </c>
      <c r="B9" s="101">
        <v>0</v>
      </c>
      <c r="C9" s="101">
        <v>0</v>
      </c>
      <c r="D9" s="101">
        <v>0</v>
      </c>
      <c r="E9" s="101">
        <v>0</v>
      </c>
      <c r="F9" s="101">
        <v>0</v>
      </c>
      <c r="G9" s="101">
        <v>0</v>
      </c>
      <c r="H9" s="101">
        <v>0</v>
      </c>
      <c r="I9" s="101">
        <v>0</v>
      </c>
      <c r="J9" s="101">
        <v>0</v>
      </c>
      <c r="K9" s="101">
        <v>0</v>
      </c>
      <c r="L9" s="101">
        <v>0</v>
      </c>
      <c r="M9" s="101">
        <v>0</v>
      </c>
      <c r="N9" s="101">
        <v>0</v>
      </c>
      <c r="O9" s="101">
        <v>0</v>
      </c>
      <c r="P9" s="101">
        <v>0</v>
      </c>
      <c r="Q9" s="101">
        <v>0</v>
      </c>
      <c r="R9" s="101">
        <v>0</v>
      </c>
      <c r="S9" s="101">
        <v>0</v>
      </c>
      <c r="T9" s="101">
        <v>0</v>
      </c>
      <c r="U9" s="101">
        <v>0</v>
      </c>
      <c r="V9" s="101">
        <v>0</v>
      </c>
      <c r="W9" s="101">
        <v>0</v>
      </c>
      <c r="X9" s="101">
        <v>0</v>
      </c>
      <c r="Y9" s="101">
        <v>0</v>
      </c>
      <c r="DA9" s="175" t="s">
        <v>744</v>
      </c>
    </row>
    <row r="10" spans="1:105" ht="11.45" customHeight="1" x14ac:dyDescent="0.25">
      <c r="A10" s="92" t="s">
        <v>56</v>
      </c>
      <c r="B10" s="101">
        <f t="shared" ref="B10:K10" si="8">SUM(B11:B14)</f>
        <v>0</v>
      </c>
      <c r="C10" s="101">
        <f t="shared" si="8"/>
        <v>0</v>
      </c>
      <c r="D10" s="101">
        <f t="shared" si="8"/>
        <v>0</v>
      </c>
      <c r="E10" s="101">
        <f t="shared" si="8"/>
        <v>0</v>
      </c>
      <c r="F10" s="101">
        <f t="shared" si="8"/>
        <v>0</v>
      </c>
      <c r="G10" s="101">
        <f t="shared" si="8"/>
        <v>0</v>
      </c>
      <c r="H10" s="101">
        <f t="shared" si="8"/>
        <v>0</v>
      </c>
      <c r="I10" s="101">
        <f t="shared" si="8"/>
        <v>0</v>
      </c>
      <c r="J10" s="101">
        <f t="shared" si="8"/>
        <v>0</v>
      </c>
      <c r="K10" s="101">
        <f t="shared" si="8"/>
        <v>0</v>
      </c>
      <c r="L10" s="101">
        <f t="shared" ref="L10" si="9">SUM(L11:L14)</f>
        <v>0</v>
      </c>
      <c r="M10" s="101">
        <f t="shared" ref="M10:V10" si="10">SUM(M11:M14)</f>
        <v>0</v>
      </c>
      <c r="N10" s="101">
        <f t="shared" si="10"/>
        <v>0</v>
      </c>
      <c r="O10" s="101">
        <f t="shared" si="10"/>
        <v>0</v>
      </c>
      <c r="P10" s="101">
        <f t="shared" si="10"/>
        <v>0</v>
      </c>
      <c r="Q10" s="101">
        <f t="shared" si="10"/>
        <v>0</v>
      </c>
      <c r="R10" s="101">
        <f t="shared" si="10"/>
        <v>0</v>
      </c>
      <c r="S10" s="101">
        <f t="shared" si="10"/>
        <v>0</v>
      </c>
      <c r="T10" s="101">
        <f t="shared" si="10"/>
        <v>0</v>
      </c>
      <c r="U10" s="101">
        <f t="shared" si="10"/>
        <v>0</v>
      </c>
      <c r="V10" s="101">
        <f t="shared" si="10"/>
        <v>0</v>
      </c>
      <c r="W10" s="101">
        <f t="shared" ref="W10:Y10" si="11">SUM(W11:W14)</f>
        <v>0</v>
      </c>
      <c r="X10" s="101">
        <f t="shared" si="11"/>
        <v>0</v>
      </c>
      <c r="Y10" s="101">
        <f t="shared" si="11"/>
        <v>0</v>
      </c>
      <c r="DA10" s="175"/>
    </row>
    <row r="11" spans="1:105" ht="11.45" customHeight="1" x14ac:dyDescent="0.25">
      <c r="A11" s="128" t="s">
        <v>57</v>
      </c>
      <c r="B11" s="101"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X11" s="101">
        <v>0</v>
      </c>
      <c r="Y11" s="101">
        <v>0</v>
      </c>
      <c r="DA11" s="175" t="s">
        <v>745</v>
      </c>
    </row>
    <row r="12" spans="1:105" ht="11.45" customHeight="1" x14ac:dyDescent="0.25">
      <c r="A12" s="128" t="s">
        <v>58</v>
      </c>
      <c r="B12" s="101">
        <v>0</v>
      </c>
      <c r="C12" s="101">
        <v>0</v>
      </c>
      <c r="D12" s="101">
        <v>0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X12" s="101">
        <v>0</v>
      </c>
      <c r="Y12" s="101">
        <v>0</v>
      </c>
      <c r="DA12" s="175" t="s">
        <v>746</v>
      </c>
    </row>
    <row r="13" spans="1:105" ht="11.45" customHeight="1" x14ac:dyDescent="0.25">
      <c r="A13" s="128" t="s">
        <v>59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75" t="s">
        <v>747</v>
      </c>
    </row>
    <row r="14" spans="1:105" ht="11.45" customHeight="1" x14ac:dyDescent="0.25">
      <c r="A14" s="128" t="s">
        <v>60</v>
      </c>
      <c r="B14" s="101">
        <v>0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X14" s="101">
        <v>0</v>
      </c>
      <c r="Y14" s="101">
        <v>0</v>
      </c>
      <c r="DA14" s="175" t="s">
        <v>748</v>
      </c>
    </row>
    <row r="15" spans="1:105" ht="11.45" customHeight="1" x14ac:dyDescent="0.25">
      <c r="A15" s="85" t="s">
        <v>91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X15" s="88">
        <v>0</v>
      </c>
      <c r="Y15" s="88">
        <v>0</v>
      </c>
      <c r="DA15" s="178" t="s">
        <v>749</v>
      </c>
    </row>
    <row r="16" spans="1:105" ht="11.4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DA16" s="208"/>
    </row>
    <row r="17" spans="1:105" ht="11.45" customHeight="1" x14ac:dyDescent="0.25">
      <c r="A17" s="53" t="s">
        <v>47</v>
      </c>
      <c r="B17" s="79">
        <f t="shared" ref="B17:K17" si="12">SUM(B18,B33)</f>
        <v>8169.6291098400015</v>
      </c>
      <c r="C17" s="79">
        <f t="shared" si="12"/>
        <v>10516.021398359999</v>
      </c>
      <c r="D17" s="79">
        <f t="shared" si="12"/>
        <v>10809.67815396</v>
      </c>
      <c r="E17" s="79">
        <f t="shared" si="12"/>
        <v>11698.169548680002</v>
      </c>
      <c r="F17" s="79">
        <f t="shared" si="12"/>
        <v>12166.946645399999</v>
      </c>
      <c r="G17" s="79">
        <f t="shared" si="12"/>
        <v>11611.803035520001</v>
      </c>
      <c r="H17" s="79">
        <f t="shared" si="12"/>
        <v>12118.36656312</v>
      </c>
      <c r="I17" s="79">
        <f t="shared" si="12"/>
        <v>12146.57451792</v>
      </c>
      <c r="J17" s="79">
        <f t="shared" si="12"/>
        <v>13775.693210279998</v>
      </c>
      <c r="K17" s="79">
        <f t="shared" si="12"/>
        <v>14129.050167360001</v>
      </c>
      <c r="L17" s="79">
        <f t="shared" ref="L17" si="13">SUM(L18,L33)</f>
        <v>13373.68933836</v>
      </c>
      <c r="M17" s="79">
        <f t="shared" ref="M17:V17" si="14">SUM(M18,M33)</f>
        <v>13816.155787919995</v>
      </c>
      <c r="N17" s="79">
        <f t="shared" si="14"/>
        <v>14425.614832679999</v>
      </c>
      <c r="O17" s="79">
        <f t="shared" si="14"/>
        <v>14100.613644240002</v>
      </c>
      <c r="P17" s="79">
        <f t="shared" si="14"/>
        <v>14699.375717760002</v>
      </c>
      <c r="Q17" s="79">
        <f t="shared" si="14"/>
        <v>14769.2854278</v>
      </c>
      <c r="R17" s="79">
        <f t="shared" si="14"/>
        <v>15867.949836960001</v>
      </c>
      <c r="S17" s="79">
        <f t="shared" si="14"/>
        <v>16917.820801920003</v>
      </c>
      <c r="T17" s="79">
        <f t="shared" si="14"/>
        <v>17455.5539298</v>
      </c>
      <c r="U17" s="79">
        <f t="shared" si="14"/>
        <v>17778.353713919998</v>
      </c>
      <c r="V17" s="79">
        <f t="shared" si="14"/>
        <v>17368.820928720001</v>
      </c>
      <c r="W17" s="79">
        <f t="shared" ref="W17:Y17" si="15">SUM(W18,W33)</f>
        <v>18412.55361648</v>
      </c>
      <c r="X17" s="79">
        <f t="shared" si="15"/>
        <v>20032.821762119995</v>
      </c>
      <c r="Y17" s="79">
        <f t="shared" si="15"/>
        <v>21076.123849919997</v>
      </c>
      <c r="DA17" s="172" t="s">
        <v>750</v>
      </c>
    </row>
    <row r="18" spans="1:105" ht="11.45" customHeight="1" x14ac:dyDescent="0.25">
      <c r="A18" s="27" t="s">
        <v>33</v>
      </c>
      <c r="B18" s="32">
        <f t="shared" ref="B18:K18" si="16">SUM(B19,B20,B27)</f>
        <v>5333.0497183852876</v>
      </c>
      <c r="C18" s="32">
        <f t="shared" si="16"/>
        <v>6861.5518421889128</v>
      </c>
      <c r="D18" s="32">
        <f t="shared" si="16"/>
        <v>6875.1415683587775</v>
      </c>
      <c r="E18" s="32">
        <f t="shared" si="16"/>
        <v>7342.813787613175</v>
      </c>
      <c r="F18" s="32">
        <f t="shared" si="16"/>
        <v>8036.0540274319919</v>
      </c>
      <c r="G18" s="32">
        <f t="shared" si="16"/>
        <v>7849.7355824415463</v>
      </c>
      <c r="H18" s="32">
        <f t="shared" si="16"/>
        <v>7761.3890687994772</v>
      </c>
      <c r="I18" s="32">
        <f t="shared" si="16"/>
        <v>8255.5247496366919</v>
      </c>
      <c r="J18" s="32">
        <f t="shared" si="16"/>
        <v>9632.6635473945244</v>
      </c>
      <c r="K18" s="32">
        <f t="shared" si="16"/>
        <v>10054.362915233447</v>
      </c>
      <c r="L18" s="32">
        <f t="shared" ref="L18" si="17">SUM(L19,L20,L27)</f>
        <v>9890.6845420982845</v>
      </c>
      <c r="M18" s="32">
        <f t="shared" ref="M18:V18" si="18">SUM(M19,M20,M27)</f>
        <v>10197.789723875901</v>
      </c>
      <c r="N18" s="32">
        <f t="shared" si="18"/>
        <v>10794.998290846121</v>
      </c>
      <c r="O18" s="32">
        <f t="shared" si="18"/>
        <v>10432.510519891055</v>
      </c>
      <c r="P18" s="32">
        <f t="shared" si="18"/>
        <v>10972.975338237566</v>
      </c>
      <c r="Q18" s="32">
        <f t="shared" si="18"/>
        <v>11072.634814869038</v>
      </c>
      <c r="R18" s="32">
        <f t="shared" si="18"/>
        <v>11852.566668066842</v>
      </c>
      <c r="S18" s="32">
        <f t="shared" si="18"/>
        <v>12532.705978758957</v>
      </c>
      <c r="T18" s="32">
        <f t="shared" si="18"/>
        <v>13004.647322534935</v>
      </c>
      <c r="U18" s="32">
        <f t="shared" si="18"/>
        <v>13139.793710560363</v>
      </c>
      <c r="V18" s="32">
        <f t="shared" si="18"/>
        <v>12772.469502555916</v>
      </c>
      <c r="W18" s="32">
        <f t="shared" ref="W18:Y18" si="19">SUM(W19,W20,W27)</f>
        <v>13458.793901653466</v>
      </c>
      <c r="X18" s="32">
        <f t="shared" si="19"/>
        <v>14490.246881688301</v>
      </c>
      <c r="Y18" s="32">
        <f t="shared" si="19"/>
        <v>15408.63338381102</v>
      </c>
      <c r="DA18" s="173" t="s">
        <v>403</v>
      </c>
    </row>
    <row r="19" spans="1:105" ht="11.45" customHeight="1" x14ac:dyDescent="0.25">
      <c r="A19" s="136" t="s">
        <v>173</v>
      </c>
      <c r="B19" s="141">
        <v>32.634194884287517</v>
      </c>
      <c r="C19" s="141">
        <v>32.440077781891382</v>
      </c>
      <c r="D19" s="141">
        <v>32.249138946856064</v>
      </c>
      <c r="E19" s="141">
        <v>32.383372954557117</v>
      </c>
      <c r="F19" s="141">
        <v>32.633343154641601</v>
      </c>
      <c r="G19" s="141">
        <v>31.269783344705171</v>
      </c>
      <c r="H19" s="141">
        <v>33.589179236127848</v>
      </c>
      <c r="I19" s="141">
        <v>35.706979509056254</v>
      </c>
      <c r="J19" s="141">
        <v>42.548445578154734</v>
      </c>
      <c r="K19" s="141">
        <v>45.358020020011352</v>
      </c>
      <c r="L19" s="141">
        <v>45.69118001609317</v>
      </c>
      <c r="M19" s="141">
        <v>47.603814697831851</v>
      </c>
      <c r="N19" s="141">
        <v>48.833094340538153</v>
      </c>
      <c r="O19" s="141">
        <v>51.450364169542333</v>
      </c>
      <c r="P19" s="141">
        <v>53.906116544024101</v>
      </c>
      <c r="Q19" s="141">
        <v>55.210355726653056</v>
      </c>
      <c r="R19" s="141">
        <v>58.191958513540968</v>
      </c>
      <c r="S19" s="141">
        <v>54.344213321204705</v>
      </c>
      <c r="T19" s="141">
        <v>51.585111857096948</v>
      </c>
      <c r="U19" s="141">
        <v>53.94616798438107</v>
      </c>
      <c r="V19" s="141">
        <v>48.530216823117222</v>
      </c>
      <c r="W19" s="141">
        <v>50.047443301547752</v>
      </c>
      <c r="X19" s="141">
        <v>50.519326382795235</v>
      </c>
      <c r="Y19" s="141">
        <v>55.011173063260081</v>
      </c>
      <c r="DA19" s="174" t="s">
        <v>404</v>
      </c>
    </row>
    <row r="20" spans="1:105" ht="11.45" customHeight="1" x14ac:dyDescent="0.25">
      <c r="A20" s="109" t="s">
        <v>20</v>
      </c>
      <c r="B20" s="130">
        <f t="shared" ref="B20:K20" si="20">SUM(B21:B26)</f>
        <v>3776.5968773718569</v>
      </c>
      <c r="C20" s="130">
        <f t="shared" si="20"/>
        <v>5036.1366145531701</v>
      </c>
      <c r="D20" s="130">
        <f t="shared" si="20"/>
        <v>5132.7189674874826</v>
      </c>
      <c r="E20" s="130">
        <f t="shared" si="20"/>
        <v>5389.4350079309352</v>
      </c>
      <c r="F20" s="130">
        <f t="shared" si="20"/>
        <v>5966.0218049801342</v>
      </c>
      <c r="G20" s="130">
        <f t="shared" si="20"/>
        <v>5916.0182000256509</v>
      </c>
      <c r="H20" s="130">
        <f t="shared" si="20"/>
        <v>5967.3026204168464</v>
      </c>
      <c r="I20" s="130">
        <f t="shared" si="20"/>
        <v>6304.4607423955713</v>
      </c>
      <c r="J20" s="130">
        <f t="shared" si="20"/>
        <v>6983.2038695101401</v>
      </c>
      <c r="K20" s="130">
        <f t="shared" si="20"/>
        <v>7363.289936187467</v>
      </c>
      <c r="L20" s="130">
        <f t="shared" ref="L20" si="21">SUM(L21:L26)</f>
        <v>7093.8928015880265</v>
      </c>
      <c r="M20" s="130">
        <f t="shared" ref="M20:V20" si="22">SUM(M21:M26)</f>
        <v>7384.2771902925342</v>
      </c>
      <c r="N20" s="130">
        <f t="shared" si="22"/>
        <v>7861.3146385315886</v>
      </c>
      <c r="O20" s="130">
        <f t="shared" si="22"/>
        <v>7459.3359209769587</v>
      </c>
      <c r="P20" s="130">
        <f t="shared" si="22"/>
        <v>7845.1737158961623</v>
      </c>
      <c r="Q20" s="130">
        <f t="shared" si="22"/>
        <v>7847.0237242320081</v>
      </c>
      <c r="R20" s="130">
        <f t="shared" si="22"/>
        <v>8469.6471078654104</v>
      </c>
      <c r="S20" s="130">
        <f t="shared" si="22"/>
        <v>8990.0583781691657</v>
      </c>
      <c r="T20" s="130">
        <f t="shared" si="22"/>
        <v>9393.7592303650945</v>
      </c>
      <c r="U20" s="130">
        <f t="shared" si="22"/>
        <v>9550.5785817467277</v>
      </c>
      <c r="V20" s="130">
        <f t="shared" si="22"/>
        <v>9066.3934597251009</v>
      </c>
      <c r="W20" s="130">
        <f t="shared" ref="W20:Y20" si="23">SUM(W21:W26)</f>
        <v>9657.3382349990807</v>
      </c>
      <c r="X20" s="130">
        <f t="shared" si="23"/>
        <v>10558.482282953655</v>
      </c>
      <c r="Y20" s="130">
        <f t="shared" si="23"/>
        <v>11415.39388282232</v>
      </c>
      <c r="DA20" s="176" t="s">
        <v>405</v>
      </c>
    </row>
    <row r="21" spans="1:105" ht="11.45" customHeight="1" x14ac:dyDescent="0.25">
      <c r="A21" s="111" t="s">
        <v>110</v>
      </c>
      <c r="B21" s="96">
        <v>3264.4593906030677</v>
      </c>
      <c r="C21" s="96">
        <v>4327.1950035482814</v>
      </c>
      <c r="D21" s="96">
        <v>4230.1587065813219</v>
      </c>
      <c r="E21" s="96">
        <v>4316.0769982790061</v>
      </c>
      <c r="F21" s="96">
        <v>4494.3840243153963</v>
      </c>
      <c r="G21" s="96">
        <v>4157.5054175543719</v>
      </c>
      <c r="H21" s="96">
        <v>3841.1255884281322</v>
      </c>
      <c r="I21" s="96">
        <v>3896.1534609904952</v>
      </c>
      <c r="J21" s="96">
        <v>3889.1641614653076</v>
      </c>
      <c r="K21" s="96">
        <v>3863.5221326561345</v>
      </c>
      <c r="L21" s="96">
        <v>3648.0969210724752</v>
      </c>
      <c r="M21" s="96">
        <v>3473.9537541520535</v>
      </c>
      <c r="N21" s="96">
        <v>3451.3996275714835</v>
      </c>
      <c r="O21" s="96">
        <v>3293.1808143573689</v>
      </c>
      <c r="P21" s="96">
        <v>3566.6427896924979</v>
      </c>
      <c r="Q21" s="96">
        <v>3363.8936506541881</v>
      </c>
      <c r="R21" s="96">
        <v>3519.0921756734033</v>
      </c>
      <c r="S21" s="96">
        <v>3546.3196533918335</v>
      </c>
      <c r="T21" s="96">
        <v>3514.4607703760848</v>
      </c>
      <c r="U21" s="96">
        <v>3530.9301141985152</v>
      </c>
      <c r="V21" s="96">
        <v>3288.4458023432508</v>
      </c>
      <c r="W21" s="96">
        <v>3535.1369776981614</v>
      </c>
      <c r="X21" s="96">
        <v>3638.1002827042503</v>
      </c>
      <c r="Y21" s="96">
        <v>3803.9575612055569</v>
      </c>
      <c r="DA21" s="171" t="s">
        <v>751</v>
      </c>
    </row>
    <row r="22" spans="1:105" ht="11.45" customHeight="1" x14ac:dyDescent="0.25">
      <c r="A22" s="111" t="s">
        <v>111</v>
      </c>
      <c r="B22" s="96">
        <v>512.13748676878936</v>
      </c>
      <c r="C22" s="96">
        <v>708.94161100488895</v>
      </c>
      <c r="D22" s="96">
        <v>893.60629518616054</v>
      </c>
      <c r="E22" s="96">
        <v>1052.4656501319284</v>
      </c>
      <c r="F22" s="96">
        <v>1226.8980954247379</v>
      </c>
      <c r="G22" s="96">
        <v>1612.7185413912798</v>
      </c>
      <c r="H22" s="96">
        <v>2077.5747870287137</v>
      </c>
      <c r="I22" s="96">
        <v>2311.1109692450759</v>
      </c>
      <c r="J22" s="96">
        <v>2961.3082102942376</v>
      </c>
      <c r="K22" s="96">
        <v>3303.3626104484247</v>
      </c>
      <c r="L22" s="96">
        <v>3396.4425688601173</v>
      </c>
      <c r="M22" s="96">
        <v>3694.490403574453</v>
      </c>
      <c r="N22" s="96">
        <v>4260.8289732190751</v>
      </c>
      <c r="O22" s="96">
        <v>4029.3593697955775</v>
      </c>
      <c r="P22" s="96">
        <v>4126.559017843977</v>
      </c>
      <c r="Q22" s="96">
        <v>4318.8013892929066</v>
      </c>
      <c r="R22" s="96">
        <v>4755.703745089495</v>
      </c>
      <c r="S22" s="96">
        <v>5208.0861741953495</v>
      </c>
      <c r="T22" s="96">
        <v>5633.068116019107</v>
      </c>
      <c r="U22" s="96">
        <v>5760.2563342964268</v>
      </c>
      <c r="V22" s="96">
        <v>5544.9578984413492</v>
      </c>
      <c r="W22" s="96">
        <v>5885.8862289604103</v>
      </c>
      <c r="X22" s="96">
        <v>6683.1657828779225</v>
      </c>
      <c r="Y22" s="96">
        <v>7374.7389881340523</v>
      </c>
      <c r="DA22" s="171" t="s">
        <v>752</v>
      </c>
    </row>
    <row r="23" spans="1:105" ht="11.45" customHeight="1" x14ac:dyDescent="0.25">
      <c r="A23" s="111" t="s">
        <v>112</v>
      </c>
      <c r="B23" s="96">
        <v>0</v>
      </c>
      <c r="C23" s="96">
        <v>0</v>
      </c>
      <c r="D23" s="96">
        <v>8.9539657199999994</v>
      </c>
      <c r="E23" s="96">
        <v>20.892359520000003</v>
      </c>
      <c r="F23" s="96">
        <v>244.73968524</v>
      </c>
      <c r="G23" s="96">
        <v>145.79424107999998</v>
      </c>
      <c r="H23" s="96">
        <v>48.602244960000014</v>
      </c>
      <c r="I23" s="96">
        <v>97.196312160000019</v>
      </c>
      <c r="J23" s="96">
        <v>132.73149775059485</v>
      </c>
      <c r="K23" s="96">
        <v>196.40519308290752</v>
      </c>
      <c r="L23" s="96">
        <v>49.353311655433409</v>
      </c>
      <c r="M23" s="96">
        <v>215.83303256602818</v>
      </c>
      <c r="N23" s="96">
        <v>148.95013807908643</v>
      </c>
      <c r="O23" s="96">
        <v>136.67166831093309</v>
      </c>
      <c r="P23" s="96">
        <v>151.83241378102318</v>
      </c>
      <c r="Q23" s="96">
        <v>164.17604471528941</v>
      </c>
      <c r="R23" s="96">
        <v>194.77630487006411</v>
      </c>
      <c r="S23" s="96">
        <v>235.48189624037667</v>
      </c>
      <c r="T23" s="96">
        <v>245.95153522562549</v>
      </c>
      <c r="U23" s="96">
        <v>258.99621703859759</v>
      </c>
      <c r="V23" s="96">
        <v>232.19269698154272</v>
      </c>
      <c r="W23" s="96">
        <v>234.48952408216451</v>
      </c>
      <c r="X23" s="96">
        <v>234.12465235675921</v>
      </c>
      <c r="Y23" s="96">
        <v>231.02909786166606</v>
      </c>
      <c r="DA23" s="171" t="s">
        <v>753</v>
      </c>
    </row>
    <row r="24" spans="1:105" ht="11.45" customHeight="1" x14ac:dyDescent="0.25">
      <c r="A24" s="111" t="s">
        <v>113</v>
      </c>
      <c r="B24" s="96">
        <v>0</v>
      </c>
      <c r="C24" s="96">
        <v>0</v>
      </c>
      <c r="D24" s="96">
        <v>0</v>
      </c>
      <c r="E24" s="96">
        <v>0</v>
      </c>
      <c r="F24" s="96">
        <v>0</v>
      </c>
      <c r="G24" s="96">
        <v>0</v>
      </c>
      <c r="H24" s="96">
        <v>0</v>
      </c>
      <c r="I24" s="96">
        <v>0</v>
      </c>
      <c r="J24" s="96">
        <v>0</v>
      </c>
      <c r="K24" s="96">
        <v>0</v>
      </c>
      <c r="L24" s="96">
        <v>0</v>
      </c>
      <c r="M24" s="96">
        <v>0</v>
      </c>
      <c r="N24" s="96">
        <v>0</v>
      </c>
      <c r="O24" s="96">
        <v>0</v>
      </c>
      <c r="P24" s="96">
        <v>0</v>
      </c>
      <c r="Q24" s="96">
        <v>0</v>
      </c>
      <c r="R24" s="96">
        <v>0</v>
      </c>
      <c r="S24" s="96">
        <v>0</v>
      </c>
      <c r="T24" s="96">
        <v>0</v>
      </c>
      <c r="U24" s="96">
        <v>0</v>
      </c>
      <c r="V24" s="96">
        <v>0</v>
      </c>
      <c r="W24" s="96">
        <v>0</v>
      </c>
      <c r="X24" s="96">
        <v>0</v>
      </c>
      <c r="Y24" s="96">
        <v>0</v>
      </c>
      <c r="DA24" s="171" t="s">
        <v>754</v>
      </c>
    </row>
    <row r="25" spans="1:105" ht="11.45" customHeight="1" x14ac:dyDescent="0.25">
      <c r="A25" s="111" t="s">
        <v>114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</v>
      </c>
      <c r="M25" s="96">
        <v>0</v>
      </c>
      <c r="N25" s="96">
        <v>0.1358996619434715</v>
      </c>
      <c r="O25" s="96">
        <v>0.1240685130789199</v>
      </c>
      <c r="P25" s="96">
        <v>0.13949457866387943</v>
      </c>
      <c r="Q25" s="96">
        <v>0.15263956962367697</v>
      </c>
      <c r="R25" s="96">
        <v>7.4882232447724587E-2</v>
      </c>
      <c r="S25" s="96">
        <v>0.17065434160500656</v>
      </c>
      <c r="T25" s="96">
        <v>0.27880874427723601</v>
      </c>
      <c r="U25" s="96">
        <v>0.39591621318851572</v>
      </c>
      <c r="V25" s="96">
        <v>0.79706195895794152</v>
      </c>
      <c r="W25" s="96">
        <v>1.8255042583449499</v>
      </c>
      <c r="X25" s="96">
        <v>3.0915650147237042</v>
      </c>
      <c r="Y25" s="96">
        <v>5.6682356210435687</v>
      </c>
      <c r="DA25" s="171" t="s">
        <v>755</v>
      </c>
    </row>
    <row r="26" spans="1:105" ht="11.45" customHeight="1" x14ac:dyDescent="0.25">
      <c r="A26" s="111" t="s">
        <v>115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X26" s="96">
        <v>0</v>
      </c>
      <c r="Y26" s="96">
        <v>0</v>
      </c>
      <c r="DA26" s="171" t="s">
        <v>756</v>
      </c>
    </row>
    <row r="27" spans="1:105" ht="11.45" customHeight="1" x14ac:dyDescent="0.25">
      <c r="A27" s="109" t="s">
        <v>21</v>
      </c>
      <c r="B27" s="130">
        <f t="shared" ref="B27:K27" si="24">SUM(B28:B32)</f>
        <v>1523.818646129143</v>
      </c>
      <c r="C27" s="130">
        <f t="shared" si="24"/>
        <v>1792.9751498538515</v>
      </c>
      <c r="D27" s="130">
        <f t="shared" si="24"/>
        <v>1710.1734619244392</v>
      </c>
      <c r="E27" s="130">
        <f t="shared" si="24"/>
        <v>1920.9954067276831</v>
      </c>
      <c r="F27" s="130">
        <f t="shared" si="24"/>
        <v>2037.3988792972161</v>
      </c>
      <c r="G27" s="130">
        <f t="shared" si="24"/>
        <v>1902.4475990711894</v>
      </c>
      <c r="H27" s="130">
        <f t="shared" si="24"/>
        <v>1760.4972691465023</v>
      </c>
      <c r="I27" s="130">
        <f t="shared" si="24"/>
        <v>1915.3570277320639</v>
      </c>
      <c r="J27" s="130">
        <f t="shared" si="24"/>
        <v>2606.9112323062304</v>
      </c>
      <c r="K27" s="130">
        <f t="shared" si="24"/>
        <v>2645.7149590259692</v>
      </c>
      <c r="L27" s="130">
        <f t="shared" ref="L27" si="25">SUM(L28:L32)</f>
        <v>2751.1005604941643</v>
      </c>
      <c r="M27" s="130">
        <f t="shared" ref="M27:V27" si="26">SUM(M28:M32)</f>
        <v>2765.908718885536</v>
      </c>
      <c r="N27" s="130">
        <f t="shared" si="26"/>
        <v>2884.850557973994</v>
      </c>
      <c r="O27" s="130">
        <f t="shared" si="26"/>
        <v>2921.7242347445545</v>
      </c>
      <c r="P27" s="130">
        <f t="shared" si="26"/>
        <v>3073.8955057973785</v>
      </c>
      <c r="Q27" s="130">
        <f t="shared" si="26"/>
        <v>3170.4007349103777</v>
      </c>
      <c r="R27" s="130">
        <f t="shared" si="26"/>
        <v>3324.7276016878914</v>
      </c>
      <c r="S27" s="130">
        <f t="shared" si="26"/>
        <v>3488.303387268586</v>
      </c>
      <c r="T27" s="130">
        <f t="shared" si="26"/>
        <v>3559.3029803127429</v>
      </c>
      <c r="U27" s="130">
        <f t="shared" si="26"/>
        <v>3535.2689608292553</v>
      </c>
      <c r="V27" s="130">
        <f t="shared" si="26"/>
        <v>3657.5458260076971</v>
      </c>
      <c r="W27" s="130">
        <f t="shared" ref="W27:Y27" si="27">SUM(W28:W32)</f>
        <v>3751.408223352837</v>
      </c>
      <c r="X27" s="130">
        <f t="shared" si="27"/>
        <v>3881.2452723518518</v>
      </c>
      <c r="Y27" s="130">
        <f t="shared" si="27"/>
        <v>3938.2283279254402</v>
      </c>
      <c r="DA27" s="176" t="s">
        <v>406</v>
      </c>
    </row>
    <row r="28" spans="1:105" ht="11.45" customHeight="1" x14ac:dyDescent="0.25">
      <c r="A28" s="111" t="s">
        <v>110</v>
      </c>
      <c r="B28" s="97">
        <v>0</v>
      </c>
      <c r="C28" s="97">
        <v>0</v>
      </c>
      <c r="D28" s="97">
        <v>0</v>
      </c>
      <c r="E28" s="97">
        <v>0</v>
      </c>
      <c r="F28" s="97">
        <v>0</v>
      </c>
      <c r="G28" s="97">
        <v>0</v>
      </c>
      <c r="H28" s="97">
        <v>0</v>
      </c>
      <c r="I28" s="97">
        <v>0</v>
      </c>
      <c r="J28" s="97">
        <v>2.6460033352811494</v>
      </c>
      <c r="K28" s="97">
        <v>2.6555238684164477</v>
      </c>
      <c r="L28" s="97">
        <v>2.5915586440255174</v>
      </c>
      <c r="M28" s="97">
        <v>2.6229600868529368</v>
      </c>
      <c r="N28" s="97">
        <v>2.5352398802712743</v>
      </c>
      <c r="O28" s="97">
        <v>2.4773257670647864</v>
      </c>
      <c r="P28" s="97">
        <v>2.454511561359741</v>
      </c>
      <c r="Q28" s="97">
        <v>2.1946272601131951</v>
      </c>
      <c r="R28" s="97">
        <v>2.1237201269532369</v>
      </c>
      <c r="S28" s="97">
        <v>2.0309286649735987</v>
      </c>
      <c r="T28" s="97">
        <v>1.9230784190033103</v>
      </c>
      <c r="U28" s="97">
        <v>1.8507502964896982</v>
      </c>
      <c r="V28" s="97">
        <v>1.9078449205301411</v>
      </c>
      <c r="W28" s="97">
        <v>1.9165121634138595</v>
      </c>
      <c r="X28" s="97">
        <v>2.0135683411441065</v>
      </c>
      <c r="Y28" s="97">
        <v>2.045113063179449</v>
      </c>
      <c r="DA28" s="175" t="s">
        <v>757</v>
      </c>
    </row>
    <row r="29" spans="1:105" ht="11.45" customHeight="1" x14ac:dyDescent="0.25">
      <c r="A29" s="111" t="s">
        <v>111</v>
      </c>
      <c r="B29" s="97">
        <v>1523.818646129143</v>
      </c>
      <c r="C29" s="97">
        <v>1792.9751498538515</v>
      </c>
      <c r="D29" s="97">
        <v>1710.1734619244392</v>
      </c>
      <c r="E29" s="97">
        <v>1920.9954067276831</v>
      </c>
      <c r="F29" s="97">
        <v>2037.3988792972161</v>
      </c>
      <c r="G29" s="97">
        <v>1902.4475990711894</v>
      </c>
      <c r="H29" s="97">
        <v>1760.4972691465023</v>
      </c>
      <c r="I29" s="97">
        <v>1915.3570277320639</v>
      </c>
      <c r="J29" s="97">
        <v>2603.3605597674996</v>
      </c>
      <c r="K29" s="97">
        <v>2642.0146405503192</v>
      </c>
      <c r="L29" s="97">
        <v>2746.2353748769965</v>
      </c>
      <c r="M29" s="97">
        <v>2760.4438539148655</v>
      </c>
      <c r="N29" s="97">
        <v>2879.4356822983646</v>
      </c>
      <c r="O29" s="97">
        <v>2916.2383564212064</v>
      </c>
      <c r="P29" s="97">
        <v>3068.4103751848902</v>
      </c>
      <c r="Q29" s="97">
        <v>3165.3611352601488</v>
      </c>
      <c r="R29" s="97">
        <v>3319.9900866028993</v>
      </c>
      <c r="S29" s="97">
        <v>3483.7099803589063</v>
      </c>
      <c r="T29" s="97">
        <v>3555.7733069085334</v>
      </c>
      <c r="U29" s="97">
        <v>3531.8944648184429</v>
      </c>
      <c r="V29" s="97">
        <v>3654.1150972036971</v>
      </c>
      <c r="W29" s="97">
        <v>3747.9586554982488</v>
      </c>
      <c r="X29" s="97">
        <v>3878.6614931154359</v>
      </c>
      <c r="Y29" s="97">
        <v>3935.7432597555162</v>
      </c>
      <c r="DA29" s="175" t="s">
        <v>758</v>
      </c>
    </row>
    <row r="30" spans="1:105" ht="11.45" customHeight="1" x14ac:dyDescent="0.25">
      <c r="A30" s="111" t="s">
        <v>112</v>
      </c>
      <c r="B30" s="97">
        <v>0</v>
      </c>
      <c r="C30" s="97">
        <v>0</v>
      </c>
      <c r="D30" s="97">
        <v>0</v>
      </c>
      <c r="E30" s="97">
        <v>0</v>
      </c>
      <c r="F30" s="97">
        <v>0</v>
      </c>
      <c r="G30" s="97">
        <v>0</v>
      </c>
      <c r="H30" s="97">
        <v>0</v>
      </c>
      <c r="I30" s="97">
        <v>0</v>
      </c>
      <c r="J30" s="97">
        <v>0.90466920344982127</v>
      </c>
      <c r="K30" s="97">
        <v>1.0447946072337893</v>
      </c>
      <c r="L30" s="97">
        <v>2.2736269731422172</v>
      </c>
      <c r="M30" s="97">
        <v>2.8419048838177274</v>
      </c>
      <c r="N30" s="97">
        <v>2.8796357953584057</v>
      </c>
      <c r="O30" s="97">
        <v>3.008552556283338</v>
      </c>
      <c r="P30" s="97">
        <v>3.0306190511288542</v>
      </c>
      <c r="Q30" s="97">
        <v>2.8449723901156108</v>
      </c>
      <c r="R30" s="97">
        <v>2.6137949580388051</v>
      </c>
      <c r="S30" s="97">
        <v>2.5624782447061349</v>
      </c>
      <c r="T30" s="97">
        <v>1.6065949852063448</v>
      </c>
      <c r="U30" s="97">
        <v>1.5237457143224036</v>
      </c>
      <c r="V30" s="97">
        <v>1.5228838834695173</v>
      </c>
      <c r="W30" s="97">
        <v>1.5330556911743773</v>
      </c>
      <c r="X30" s="97">
        <v>0.57021089527172286</v>
      </c>
      <c r="Y30" s="97">
        <v>0.43995510674454025</v>
      </c>
      <c r="DA30" s="175" t="s">
        <v>759</v>
      </c>
    </row>
    <row r="31" spans="1:105" ht="11.45" customHeight="1" x14ac:dyDescent="0.25">
      <c r="A31" s="111" t="s">
        <v>113</v>
      </c>
      <c r="B31" s="97">
        <v>0</v>
      </c>
      <c r="C31" s="97">
        <v>0</v>
      </c>
      <c r="D31" s="97">
        <v>0</v>
      </c>
      <c r="E31" s="97">
        <v>0</v>
      </c>
      <c r="F31" s="97">
        <v>0</v>
      </c>
      <c r="G31" s="97">
        <v>0</v>
      </c>
      <c r="H31" s="97">
        <v>0</v>
      </c>
      <c r="I31" s="97">
        <v>0</v>
      </c>
      <c r="J31" s="97">
        <v>0</v>
      </c>
      <c r="K31" s="97">
        <v>0</v>
      </c>
      <c r="L31" s="97">
        <v>0</v>
      </c>
      <c r="M31" s="97">
        <v>0</v>
      </c>
      <c r="N31" s="97">
        <v>0</v>
      </c>
      <c r="O31" s="97">
        <v>0</v>
      </c>
      <c r="P31" s="97">
        <v>0</v>
      </c>
      <c r="Q31" s="97">
        <v>0</v>
      </c>
      <c r="R31" s="97">
        <v>0</v>
      </c>
      <c r="S31" s="97">
        <v>0</v>
      </c>
      <c r="T31" s="97">
        <v>0</v>
      </c>
      <c r="U31" s="97">
        <v>0</v>
      </c>
      <c r="V31" s="97">
        <v>0</v>
      </c>
      <c r="W31" s="97">
        <v>0</v>
      </c>
      <c r="X31" s="97">
        <v>0</v>
      </c>
      <c r="Y31" s="97">
        <v>0</v>
      </c>
      <c r="DA31" s="175" t="s">
        <v>760</v>
      </c>
    </row>
    <row r="32" spans="1:105" ht="11.45" customHeight="1" x14ac:dyDescent="0.25">
      <c r="A32" s="111" t="s">
        <v>115</v>
      </c>
      <c r="B32" s="97">
        <v>0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7">
        <v>0</v>
      </c>
      <c r="N32" s="97">
        <v>0</v>
      </c>
      <c r="O32" s="97">
        <v>0</v>
      </c>
      <c r="P32" s="97">
        <v>0</v>
      </c>
      <c r="Q32" s="97">
        <v>0</v>
      </c>
      <c r="R32" s="97">
        <v>0</v>
      </c>
      <c r="S32" s="97">
        <v>0</v>
      </c>
      <c r="T32" s="97">
        <v>0</v>
      </c>
      <c r="U32" s="97">
        <v>0</v>
      </c>
      <c r="V32" s="97">
        <v>0</v>
      </c>
      <c r="W32" s="97">
        <v>0</v>
      </c>
      <c r="X32" s="97">
        <v>0</v>
      </c>
      <c r="Y32" s="97">
        <v>0</v>
      </c>
      <c r="DA32" s="175" t="s">
        <v>761</v>
      </c>
    </row>
    <row r="33" spans="1:105" ht="11.45" customHeight="1" x14ac:dyDescent="0.25">
      <c r="A33" s="27" t="s">
        <v>34</v>
      </c>
      <c r="B33" s="32">
        <f t="shared" ref="B33:K33" si="28">B34+B40</f>
        <v>2836.5793914547135</v>
      </c>
      <c r="C33" s="32">
        <f t="shared" si="28"/>
        <v>3654.4695561710864</v>
      </c>
      <c r="D33" s="32">
        <f t="shared" si="28"/>
        <v>3934.5365856012222</v>
      </c>
      <c r="E33" s="32">
        <f t="shared" si="28"/>
        <v>4355.3557610668267</v>
      </c>
      <c r="F33" s="32">
        <f t="shared" si="28"/>
        <v>4130.8926179680075</v>
      </c>
      <c r="G33" s="32">
        <f t="shared" si="28"/>
        <v>3762.067453078454</v>
      </c>
      <c r="H33" s="32">
        <f t="shared" si="28"/>
        <v>4356.977494320523</v>
      </c>
      <c r="I33" s="32">
        <f t="shared" si="28"/>
        <v>3891.0497682833079</v>
      </c>
      <c r="J33" s="32">
        <f t="shared" si="28"/>
        <v>4143.029662885474</v>
      </c>
      <c r="K33" s="32">
        <f t="shared" si="28"/>
        <v>4074.6872521265532</v>
      </c>
      <c r="L33" s="32">
        <f t="shared" ref="L33" si="29">L34+L40</f>
        <v>3483.0047962617164</v>
      </c>
      <c r="M33" s="32">
        <f t="shared" ref="M33:V33" si="30">M34+M40</f>
        <v>3618.3660640440939</v>
      </c>
      <c r="N33" s="32">
        <f t="shared" si="30"/>
        <v>3630.6165418338787</v>
      </c>
      <c r="O33" s="32">
        <f t="shared" si="30"/>
        <v>3668.103124348946</v>
      </c>
      <c r="P33" s="32">
        <f t="shared" si="30"/>
        <v>3726.4003795224367</v>
      </c>
      <c r="Q33" s="32">
        <f t="shared" si="30"/>
        <v>3696.6506129309619</v>
      </c>
      <c r="R33" s="32">
        <f t="shared" si="30"/>
        <v>4015.3831688931577</v>
      </c>
      <c r="S33" s="32">
        <f t="shared" si="30"/>
        <v>4385.114823161045</v>
      </c>
      <c r="T33" s="32">
        <f t="shared" si="30"/>
        <v>4450.9066072650648</v>
      </c>
      <c r="U33" s="32">
        <f t="shared" si="30"/>
        <v>4638.5600033596356</v>
      </c>
      <c r="V33" s="32">
        <f t="shared" si="30"/>
        <v>4596.3514261640858</v>
      </c>
      <c r="W33" s="32">
        <f t="shared" ref="W33:Y33" si="31">W34+W40</f>
        <v>4953.7597148265331</v>
      </c>
      <c r="X33" s="32">
        <f t="shared" si="31"/>
        <v>5542.5748804316954</v>
      </c>
      <c r="Y33" s="32">
        <f t="shared" si="31"/>
        <v>5667.4904661089786</v>
      </c>
      <c r="DA33" s="173" t="s">
        <v>411</v>
      </c>
    </row>
    <row r="34" spans="1:105" ht="11.45" customHeight="1" x14ac:dyDescent="0.25">
      <c r="A34" s="136" t="s">
        <v>153</v>
      </c>
      <c r="B34" s="141">
        <f t="shared" ref="B34:K34" si="32">SUM(B35:B39)</f>
        <v>1240.446433254725</v>
      </c>
      <c r="C34" s="141">
        <f t="shared" si="32"/>
        <v>1302.0798553928471</v>
      </c>
      <c r="D34" s="141">
        <f t="shared" si="32"/>
        <v>1329.9637028964214</v>
      </c>
      <c r="E34" s="141">
        <f t="shared" si="32"/>
        <v>1375.6661081211207</v>
      </c>
      <c r="F34" s="141">
        <f t="shared" si="32"/>
        <v>1389.8566065097816</v>
      </c>
      <c r="G34" s="141">
        <f t="shared" si="32"/>
        <v>1457.3709276395807</v>
      </c>
      <c r="H34" s="141">
        <f t="shared" si="32"/>
        <v>1614.3148613724829</v>
      </c>
      <c r="I34" s="141">
        <f t="shared" si="32"/>
        <v>1636.5770936883277</v>
      </c>
      <c r="J34" s="141">
        <f t="shared" si="32"/>
        <v>1846.6263784330388</v>
      </c>
      <c r="K34" s="141">
        <f t="shared" si="32"/>
        <v>1872.3070284515086</v>
      </c>
      <c r="L34" s="141">
        <f t="shared" ref="L34" si="33">SUM(L35:L39)</f>
        <v>1883.8679142954829</v>
      </c>
      <c r="M34" s="141">
        <f t="shared" ref="M34:V34" si="34">SUM(M35:M39)</f>
        <v>1961.5133886847673</v>
      </c>
      <c r="N34" s="141">
        <f t="shared" si="34"/>
        <v>2104.4998128098473</v>
      </c>
      <c r="O34" s="141">
        <f t="shared" si="34"/>
        <v>2154.2300500868469</v>
      </c>
      <c r="P34" s="141">
        <f t="shared" si="34"/>
        <v>2321.81516442169</v>
      </c>
      <c r="Q34" s="141">
        <f t="shared" si="34"/>
        <v>2403.1530330069418</v>
      </c>
      <c r="R34" s="141">
        <f t="shared" si="34"/>
        <v>2478.915585244029</v>
      </c>
      <c r="S34" s="141">
        <f t="shared" si="34"/>
        <v>2621.5676366527109</v>
      </c>
      <c r="T34" s="141">
        <f t="shared" si="34"/>
        <v>2790.7461630280613</v>
      </c>
      <c r="U34" s="141">
        <f t="shared" si="34"/>
        <v>2852.4478958456116</v>
      </c>
      <c r="V34" s="141">
        <f t="shared" si="34"/>
        <v>2902.8482528585428</v>
      </c>
      <c r="W34" s="141">
        <f t="shared" ref="W34:Y34" si="35">SUM(W35:W39)</f>
        <v>3045.5508183289853</v>
      </c>
      <c r="X34" s="141">
        <f t="shared" si="35"/>
        <v>3151.6592129007581</v>
      </c>
      <c r="Y34" s="141">
        <f t="shared" si="35"/>
        <v>3197.0821308780855</v>
      </c>
      <c r="DA34" s="174" t="s">
        <v>412</v>
      </c>
    </row>
    <row r="35" spans="1:105" ht="11.45" customHeight="1" x14ac:dyDescent="0.25">
      <c r="A35" s="111" t="s">
        <v>110</v>
      </c>
      <c r="B35" s="96">
        <v>491.43233735264636</v>
      </c>
      <c r="C35" s="96">
        <v>487.95852810982751</v>
      </c>
      <c r="D35" s="96">
        <v>477.97383163182093</v>
      </c>
      <c r="E35" s="96">
        <v>471.89933648643677</v>
      </c>
      <c r="F35" s="96">
        <v>468.17345196996081</v>
      </c>
      <c r="G35" s="96">
        <v>459.14496654092358</v>
      </c>
      <c r="H35" s="96">
        <v>474.76345433573994</v>
      </c>
      <c r="I35" s="96">
        <v>473.58412454044833</v>
      </c>
      <c r="J35" s="96">
        <v>461.0471249812573</v>
      </c>
      <c r="K35" s="96">
        <v>442.03808797543803</v>
      </c>
      <c r="L35" s="96">
        <v>401.33557726740662</v>
      </c>
      <c r="M35" s="96">
        <v>380.55918378326203</v>
      </c>
      <c r="N35" s="96">
        <v>359.62233838576338</v>
      </c>
      <c r="O35" s="96">
        <v>331.36399807294561</v>
      </c>
      <c r="P35" s="96">
        <v>305.7187720634555</v>
      </c>
      <c r="Q35" s="96">
        <v>260.16051294942139</v>
      </c>
      <c r="R35" s="96">
        <v>267.96738689365407</v>
      </c>
      <c r="S35" s="96">
        <v>264.99934780038251</v>
      </c>
      <c r="T35" s="96">
        <v>262.56503180353758</v>
      </c>
      <c r="U35" s="96">
        <v>249.59354722742552</v>
      </c>
      <c r="V35" s="96">
        <v>241.46676099414486</v>
      </c>
      <c r="W35" s="96">
        <v>231.20837029853126</v>
      </c>
      <c r="X35" s="96">
        <v>220.45529347708509</v>
      </c>
      <c r="Y35" s="96">
        <v>216.03142268695831</v>
      </c>
      <c r="DA35" s="171" t="s">
        <v>762</v>
      </c>
    </row>
    <row r="36" spans="1:105" ht="11.45" customHeight="1" x14ac:dyDescent="0.25">
      <c r="A36" s="111" t="s">
        <v>111</v>
      </c>
      <c r="B36" s="96">
        <v>749.01409590207868</v>
      </c>
      <c r="C36" s="96">
        <v>814.12132728301947</v>
      </c>
      <c r="D36" s="96">
        <v>851.98987126460042</v>
      </c>
      <c r="E36" s="96">
        <v>903.76677163468389</v>
      </c>
      <c r="F36" s="96">
        <v>921.68315453982086</v>
      </c>
      <c r="G36" s="96">
        <v>998.22596109865708</v>
      </c>
      <c r="H36" s="96">
        <v>1139.5514070367431</v>
      </c>
      <c r="I36" s="96">
        <v>1162.9929691478794</v>
      </c>
      <c r="J36" s="96">
        <v>1385.5706047658261</v>
      </c>
      <c r="K36" s="96">
        <v>1430.2603253262118</v>
      </c>
      <c r="L36" s="96">
        <v>1482.5237632166518</v>
      </c>
      <c r="M36" s="96">
        <v>1580.937667151351</v>
      </c>
      <c r="N36" s="96">
        <v>1744.8380673385291</v>
      </c>
      <c r="O36" s="96">
        <v>1822.8267445211175</v>
      </c>
      <c r="P36" s="96">
        <v>2016.0528878703865</v>
      </c>
      <c r="Q36" s="96">
        <v>2142.9575744029253</v>
      </c>
      <c r="R36" s="96">
        <v>2210.9085446584777</v>
      </c>
      <c r="S36" s="96">
        <v>2356.5283117774111</v>
      </c>
      <c r="T36" s="96">
        <v>2528.1446293153554</v>
      </c>
      <c r="U36" s="96">
        <v>2602.8179296511062</v>
      </c>
      <c r="V36" s="96">
        <v>2661.3489784094104</v>
      </c>
      <c r="W36" s="96">
        <v>2814.3017187637929</v>
      </c>
      <c r="X36" s="96">
        <v>2931.1200634357042</v>
      </c>
      <c r="Y36" s="96">
        <v>2980.9340028795382</v>
      </c>
      <c r="DA36" s="171" t="s">
        <v>763</v>
      </c>
    </row>
    <row r="37" spans="1:105" ht="11.45" customHeight="1" x14ac:dyDescent="0.25">
      <c r="A37" s="111" t="s">
        <v>112</v>
      </c>
      <c r="B37" s="96">
        <v>0</v>
      </c>
      <c r="C37" s="96">
        <v>0</v>
      </c>
      <c r="D37" s="96">
        <v>0</v>
      </c>
      <c r="E37" s="96">
        <v>0</v>
      </c>
      <c r="F37" s="96">
        <v>0</v>
      </c>
      <c r="G37" s="96">
        <v>0</v>
      </c>
      <c r="H37" s="96">
        <v>0</v>
      </c>
      <c r="I37" s="96">
        <v>0</v>
      </c>
      <c r="J37" s="96">
        <v>8.6486859553241233E-3</v>
      </c>
      <c r="K37" s="96">
        <v>8.6151498586980891E-3</v>
      </c>
      <c r="L37" s="96">
        <v>8.5738114243810344E-3</v>
      </c>
      <c r="M37" s="96">
        <v>1.6537750154090414E-2</v>
      </c>
      <c r="N37" s="96">
        <v>3.9407085555168697E-2</v>
      </c>
      <c r="O37" s="96">
        <v>3.9307492783627697E-2</v>
      </c>
      <c r="P37" s="96">
        <v>4.3504487847968842E-2</v>
      </c>
      <c r="Q37" s="96">
        <v>3.4945654594976963E-2</v>
      </c>
      <c r="R37" s="96">
        <v>3.9653691897132345E-2</v>
      </c>
      <c r="S37" s="96">
        <v>3.9977074917190235E-2</v>
      </c>
      <c r="T37" s="96">
        <v>3.6501909168240546E-2</v>
      </c>
      <c r="U37" s="96">
        <v>3.6418967080032096E-2</v>
      </c>
      <c r="V37" s="96">
        <v>3.2513454987742378E-2</v>
      </c>
      <c r="W37" s="96">
        <v>4.0729266661148761E-2</v>
      </c>
      <c r="X37" s="96">
        <v>8.3855987969076021E-2</v>
      </c>
      <c r="Y37" s="96">
        <v>0.11670531158937557</v>
      </c>
      <c r="DA37" s="171" t="s">
        <v>764</v>
      </c>
    </row>
    <row r="38" spans="1:105" ht="11.45" customHeight="1" x14ac:dyDescent="0.25">
      <c r="A38" s="111" t="s">
        <v>113</v>
      </c>
      <c r="B38" s="96">
        <v>0</v>
      </c>
      <c r="C38" s="96">
        <v>0</v>
      </c>
      <c r="D38" s="96">
        <v>0</v>
      </c>
      <c r="E38" s="96">
        <v>0</v>
      </c>
      <c r="F38" s="96">
        <v>0</v>
      </c>
      <c r="G38" s="96">
        <v>0</v>
      </c>
      <c r="H38" s="96">
        <v>0</v>
      </c>
      <c r="I38" s="96">
        <v>0</v>
      </c>
      <c r="J38" s="96">
        <v>0</v>
      </c>
      <c r="K38" s="96">
        <v>0</v>
      </c>
      <c r="L38" s="96">
        <v>0</v>
      </c>
      <c r="M38" s="96">
        <v>0</v>
      </c>
      <c r="N38" s="96">
        <v>0</v>
      </c>
      <c r="O38" s="96">
        <v>0</v>
      </c>
      <c r="P38" s="96">
        <v>0</v>
      </c>
      <c r="Q38" s="96">
        <v>0</v>
      </c>
      <c r="R38" s="96">
        <v>0</v>
      </c>
      <c r="S38" s="96">
        <v>0</v>
      </c>
      <c r="T38" s="96">
        <v>0</v>
      </c>
      <c r="U38" s="96">
        <v>0</v>
      </c>
      <c r="V38" s="96">
        <v>0</v>
      </c>
      <c r="W38" s="96">
        <v>0</v>
      </c>
      <c r="X38" s="96">
        <v>0</v>
      </c>
      <c r="Y38" s="96">
        <v>0</v>
      </c>
      <c r="DA38" s="171" t="s">
        <v>765</v>
      </c>
    </row>
    <row r="39" spans="1:105" ht="11.45" customHeight="1" x14ac:dyDescent="0.25">
      <c r="A39" s="111" t="s">
        <v>115</v>
      </c>
      <c r="B39" s="96">
        <v>0</v>
      </c>
      <c r="C39" s="96">
        <v>0</v>
      </c>
      <c r="D39" s="96">
        <v>0</v>
      </c>
      <c r="E39" s="96">
        <v>0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  <c r="M39" s="96">
        <v>0</v>
      </c>
      <c r="N39" s="96">
        <v>0</v>
      </c>
      <c r="O39" s="96">
        <v>0</v>
      </c>
      <c r="P39" s="96">
        <v>0</v>
      </c>
      <c r="Q39" s="96">
        <v>0</v>
      </c>
      <c r="R39" s="96">
        <v>0</v>
      </c>
      <c r="S39" s="96">
        <v>0</v>
      </c>
      <c r="T39" s="96">
        <v>0</v>
      </c>
      <c r="U39" s="96">
        <v>0</v>
      </c>
      <c r="V39" s="96">
        <v>0</v>
      </c>
      <c r="W39" s="96">
        <v>0</v>
      </c>
      <c r="X39" s="96">
        <v>0</v>
      </c>
      <c r="Y39" s="96">
        <v>0</v>
      </c>
      <c r="DA39" s="171" t="s">
        <v>766</v>
      </c>
    </row>
    <row r="40" spans="1:105" ht="11.45" customHeight="1" x14ac:dyDescent="0.25">
      <c r="A40" s="109" t="s">
        <v>154</v>
      </c>
      <c r="B40" s="130">
        <f t="shared" ref="B40:K40" si="36">SUM(B41:B42)</f>
        <v>1596.1329581999885</v>
      </c>
      <c r="C40" s="130">
        <f t="shared" si="36"/>
        <v>2352.3897007782393</v>
      </c>
      <c r="D40" s="130">
        <f t="shared" si="36"/>
        <v>2604.572882704801</v>
      </c>
      <c r="E40" s="130">
        <f t="shared" si="36"/>
        <v>2979.6896529457058</v>
      </c>
      <c r="F40" s="130">
        <f t="shared" si="36"/>
        <v>2741.0360114582263</v>
      </c>
      <c r="G40" s="130">
        <f t="shared" si="36"/>
        <v>2304.6965254388733</v>
      </c>
      <c r="H40" s="130">
        <f t="shared" si="36"/>
        <v>2742.6626329480405</v>
      </c>
      <c r="I40" s="130">
        <f t="shared" si="36"/>
        <v>2254.4726745949802</v>
      </c>
      <c r="J40" s="130">
        <f t="shared" si="36"/>
        <v>2296.4032844524349</v>
      </c>
      <c r="K40" s="130">
        <f t="shared" si="36"/>
        <v>2202.3802236750448</v>
      </c>
      <c r="L40" s="130">
        <f t="shared" ref="L40" si="37">SUM(L41:L42)</f>
        <v>1599.1368819662332</v>
      </c>
      <c r="M40" s="130">
        <f t="shared" ref="M40:V40" si="38">SUM(M41:M42)</f>
        <v>1656.8526753593269</v>
      </c>
      <c r="N40" s="130">
        <f t="shared" si="38"/>
        <v>1526.1167290240314</v>
      </c>
      <c r="O40" s="130">
        <f t="shared" si="38"/>
        <v>1513.8730742620994</v>
      </c>
      <c r="P40" s="130">
        <f t="shared" si="38"/>
        <v>1404.5852151007466</v>
      </c>
      <c r="Q40" s="130">
        <f t="shared" si="38"/>
        <v>1293.4975799240199</v>
      </c>
      <c r="R40" s="130">
        <f t="shared" si="38"/>
        <v>1536.4675836491288</v>
      </c>
      <c r="S40" s="130">
        <f t="shared" si="38"/>
        <v>1763.5471865083341</v>
      </c>
      <c r="T40" s="130">
        <f t="shared" si="38"/>
        <v>1660.1604442370035</v>
      </c>
      <c r="U40" s="130">
        <f t="shared" si="38"/>
        <v>1786.112107514024</v>
      </c>
      <c r="V40" s="130">
        <f t="shared" si="38"/>
        <v>1693.503173305543</v>
      </c>
      <c r="W40" s="130">
        <f t="shared" ref="W40:Y40" si="39">SUM(W41:W42)</f>
        <v>1908.208896497548</v>
      </c>
      <c r="X40" s="130">
        <f t="shared" si="39"/>
        <v>2390.9156675309368</v>
      </c>
      <c r="Y40" s="130">
        <f t="shared" si="39"/>
        <v>2470.4083352308926</v>
      </c>
      <c r="DA40" s="176" t="s">
        <v>413</v>
      </c>
    </row>
    <row r="41" spans="1:105" ht="11.45" customHeight="1" x14ac:dyDescent="0.25">
      <c r="A41" s="128" t="s">
        <v>27</v>
      </c>
      <c r="B41" s="97">
        <v>817.76590930787472</v>
      </c>
      <c r="C41" s="97">
        <v>1006.3056564976422</v>
      </c>
      <c r="D41" s="97">
        <v>1066.4883851963164</v>
      </c>
      <c r="E41" s="97">
        <v>1324.6904007838393</v>
      </c>
      <c r="F41" s="97">
        <v>1295.6295031189138</v>
      </c>
      <c r="G41" s="97">
        <v>1483.8043244087937</v>
      </c>
      <c r="H41" s="97">
        <v>1857.4371498822668</v>
      </c>
      <c r="I41" s="97">
        <v>1695.9635377941636</v>
      </c>
      <c r="J41" s="97">
        <v>1725.2317487167475</v>
      </c>
      <c r="K41" s="97">
        <v>1666.8887207787598</v>
      </c>
      <c r="L41" s="97">
        <v>1034.639312344772</v>
      </c>
      <c r="M41" s="97">
        <v>1035.912810927736</v>
      </c>
      <c r="N41" s="97">
        <v>1020.9376081869193</v>
      </c>
      <c r="O41" s="97">
        <v>1008.7163777584408</v>
      </c>
      <c r="P41" s="97">
        <v>962.21586772486069</v>
      </c>
      <c r="Q41" s="97">
        <v>921.03156786126203</v>
      </c>
      <c r="R41" s="97">
        <v>1020.6704773255085</v>
      </c>
      <c r="S41" s="97">
        <v>1083.6073283708017</v>
      </c>
      <c r="T41" s="97">
        <v>1107.0757356142772</v>
      </c>
      <c r="U41" s="97">
        <v>1227.9988606454585</v>
      </c>
      <c r="V41" s="97">
        <v>1206.1016412037454</v>
      </c>
      <c r="W41" s="97">
        <v>1336.6694160878299</v>
      </c>
      <c r="X41" s="97">
        <v>1534.5618334961248</v>
      </c>
      <c r="Y41" s="97">
        <v>1561.6287422393075</v>
      </c>
      <c r="DA41" s="175" t="s">
        <v>767</v>
      </c>
    </row>
    <row r="42" spans="1:105" ht="11.45" customHeight="1" x14ac:dyDescent="0.25">
      <c r="A42" s="138" t="s">
        <v>116</v>
      </c>
      <c r="B42" s="98">
        <v>778.36704889211387</v>
      </c>
      <c r="C42" s="98">
        <v>1346.0840442805973</v>
      </c>
      <c r="D42" s="98">
        <v>1538.0844975084847</v>
      </c>
      <c r="E42" s="98">
        <v>1654.9992521618665</v>
      </c>
      <c r="F42" s="98">
        <v>1445.4065083393127</v>
      </c>
      <c r="G42" s="98">
        <v>820.89220103007949</v>
      </c>
      <c r="H42" s="98">
        <v>885.2254830657738</v>
      </c>
      <c r="I42" s="98">
        <v>558.5091368008168</v>
      </c>
      <c r="J42" s="98">
        <v>571.17153573568748</v>
      </c>
      <c r="K42" s="98">
        <v>535.49150289628506</v>
      </c>
      <c r="L42" s="98">
        <v>564.49756962146125</v>
      </c>
      <c r="M42" s="98">
        <v>620.93986443159099</v>
      </c>
      <c r="N42" s="98">
        <v>505.17912083711201</v>
      </c>
      <c r="O42" s="98">
        <v>505.15669650365857</v>
      </c>
      <c r="P42" s="98">
        <v>442.36934737588598</v>
      </c>
      <c r="Q42" s="98">
        <v>372.46601206275778</v>
      </c>
      <c r="R42" s="98">
        <v>515.79710632362014</v>
      </c>
      <c r="S42" s="98">
        <v>679.93985813753238</v>
      </c>
      <c r="T42" s="98">
        <v>553.08470862272623</v>
      </c>
      <c r="U42" s="98">
        <v>558.11324686856562</v>
      </c>
      <c r="V42" s="98">
        <v>487.40153210179767</v>
      </c>
      <c r="W42" s="98">
        <v>571.53948040971818</v>
      </c>
      <c r="X42" s="98">
        <v>856.35383403481194</v>
      </c>
      <c r="Y42" s="98">
        <v>908.77959299158499</v>
      </c>
      <c r="DA42" s="178" t="s">
        <v>768</v>
      </c>
    </row>
    <row r="43" spans="1:105" x14ac:dyDescent="0.25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DA43" s="171"/>
    </row>
    <row r="44" spans="1:105" ht="11.45" customHeight="1" x14ac:dyDescent="0.25">
      <c r="A44" s="68" t="s">
        <v>36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DA44" s="179"/>
    </row>
    <row r="45" spans="1:105" x14ac:dyDescent="0.2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DA45" s="171"/>
    </row>
    <row r="46" spans="1:105" ht="11.45" customHeight="1" x14ac:dyDescent="0.25">
      <c r="A46" s="53" t="s">
        <v>48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X46" s="132"/>
      <c r="Y46" s="132"/>
      <c r="DA46" s="172"/>
    </row>
    <row r="47" spans="1:105" ht="11.45" customHeight="1" x14ac:dyDescent="0.25">
      <c r="A47" s="133" t="s">
        <v>45</v>
      </c>
      <c r="B47" s="145">
        <f>IF(B4=0,0,B4/TrRoad_ene!B4)</f>
        <v>3.0060045100273838</v>
      </c>
      <c r="C47" s="145">
        <f>IF(C4=0,0,C4/TrRoad_ene!C4)</f>
        <v>3.0064608920086515</v>
      </c>
      <c r="D47" s="145">
        <f>IF(D4=0,0,D4/TrRoad_ene!D4)</f>
        <v>3.0106721799627287</v>
      </c>
      <c r="E47" s="145">
        <f>IF(E4=0,0,E4/TrRoad_ene!E4)</f>
        <v>3.0155999577338206</v>
      </c>
      <c r="F47" s="145">
        <f>IF(F4=0,0,F4/TrRoad_ene!F4)</f>
        <v>3.0065017150359625</v>
      </c>
      <c r="G47" s="145">
        <f>IF(G4=0,0,G4/TrRoad_ene!G4)</f>
        <v>3.0127061300399025</v>
      </c>
      <c r="H47" s="145">
        <f>IF(H4=0,0,H4/TrRoad_ene!H4)</f>
        <v>3.0252810704774311</v>
      </c>
      <c r="I47" s="145">
        <f>IF(I4=0,0,I4/TrRoad_ene!I4)</f>
        <v>2.9923639756052136</v>
      </c>
      <c r="J47" s="145">
        <f>IF(J4=0,0,J4/TrRoad_ene!J4)</f>
        <v>2.9606971738048693</v>
      </c>
      <c r="K47" s="145">
        <f>IF(K4=0,0,K4/TrRoad_ene!K4)</f>
        <v>2.9281170425136347</v>
      </c>
      <c r="L47" s="145">
        <f>IF(L4=0,0,L4/TrRoad_ene!L4)</f>
        <v>2.9579758146493269</v>
      </c>
      <c r="M47" s="145">
        <f>IF(M4=0,0,M4/TrRoad_ene!M4)</f>
        <v>2.9093532771894122</v>
      </c>
      <c r="N47" s="145">
        <f>IF(N4=0,0,N4/TrRoad_ene!N4)</f>
        <v>2.9247310571906002</v>
      </c>
      <c r="O47" s="145">
        <f>IF(O4=0,0,O4/TrRoad_ene!O4)</f>
        <v>2.9141628078149848</v>
      </c>
      <c r="P47" s="145">
        <f>IF(P4=0,0,P4/TrRoad_ene!P4)</f>
        <v>2.9390863109013989</v>
      </c>
      <c r="Q47" s="145">
        <f>IF(Q4=0,0,Q4/TrRoad_ene!Q4)</f>
        <v>2.9217637146076152</v>
      </c>
      <c r="R47" s="145">
        <f>IF(R4=0,0,R4/TrRoad_ene!R4)</f>
        <v>2.9013361386780656</v>
      </c>
      <c r="S47" s="145">
        <f>IF(S4=0,0,S4/TrRoad_ene!S4)</f>
        <v>2.8917047044997766</v>
      </c>
      <c r="T47" s="145">
        <f>IF(T4=0,0,T4/TrRoad_ene!T4)</f>
        <v>2.8978006740639946</v>
      </c>
      <c r="U47" s="145">
        <f>IF(U4=0,0,U4/TrRoad_ene!U4)</f>
        <v>2.8468888891146924</v>
      </c>
      <c r="V47" s="145">
        <f>IF(V4=0,0,V4/TrRoad_ene!V4)</f>
        <v>2.8108221249526553</v>
      </c>
      <c r="W47" s="145">
        <f>IF(W4=0,0,W4/TrRoad_ene!W4)</f>
        <v>2.8173695535382186</v>
      </c>
      <c r="X47" s="145">
        <f>IF(X4=0,0,X4/TrRoad_ene!X4)</f>
        <v>2.8107109297889443</v>
      </c>
      <c r="Y47" s="145">
        <f>IF(Y4=0,0,Y4/TrRoad_ene!Y4)</f>
        <v>2.8295707340503808</v>
      </c>
      <c r="DA47" s="206"/>
    </row>
    <row r="48" spans="1:105" ht="11.45" customHeight="1" x14ac:dyDescent="0.25">
      <c r="A48" s="92" t="s">
        <v>126</v>
      </c>
      <c r="B48" s="97">
        <f>IF(B7=0,0,(B7+B12)/(TrRoad_ene!B7+TrRoad_ene!B12))</f>
        <v>2.901626838683848</v>
      </c>
      <c r="C48" s="97">
        <f>IF(C7=0,0,(C7+C12)/(TrRoad_ene!C7+TrRoad_ene!C12))</f>
        <v>2.9015205645866513</v>
      </c>
      <c r="D48" s="97">
        <f>IF(D7=0,0,(D7+D12)/(TrRoad_ene!D7+TrRoad_ene!D12))</f>
        <v>2.9017312395023103</v>
      </c>
      <c r="E48" s="97">
        <f>IF(E7=0,0,(E7+E12)/(TrRoad_ene!E7+TrRoad_ene!E12))</f>
        <v>2.9018637355793908</v>
      </c>
      <c r="F48" s="97">
        <f>IF(F7=0,0,(F7+F12)/(TrRoad_ene!F7+TrRoad_ene!F12))</f>
        <v>2.9017170143531876</v>
      </c>
      <c r="G48" s="97">
        <f>IF(G7=0,0,(G7+G12)/(TrRoad_ene!G7+TrRoad_ene!G12))</f>
        <v>2.9015919423504273</v>
      </c>
      <c r="H48" s="97">
        <f>IF(H7=0,0,(H7+H12)/(TrRoad_ene!H7+TrRoad_ene!H12))</f>
        <v>2.9017506568154996</v>
      </c>
      <c r="I48" s="97">
        <f>IF(I7=0,0,(I7+I12)/(TrRoad_ene!I7+TrRoad_ene!I12))</f>
        <v>2.9019365280705989</v>
      </c>
      <c r="J48" s="97">
        <f>IF(J7=0,0,(J7+J12)/(TrRoad_ene!J7+TrRoad_ene!J12))</f>
        <v>2.9018636652561582</v>
      </c>
      <c r="K48" s="97">
        <f>IF(K7=0,0,(K7+K12)/(TrRoad_ene!K7+TrRoad_ene!K12))</f>
        <v>2.8967383118034449</v>
      </c>
      <c r="L48" s="97">
        <f>IF(L7=0,0,(L7+L12)/(TrRoad_ene!L7+TrRoad_ene!L12))</f>
        <v>2.8078572991531909</v>
      </c>
      <c r="M48" s="97">
        <f>IF(M7=0,0,(M7+M12)/(TrRoad_ene!M7+TrRoad_ene!M12))</f>
        <v>2.802090743199531</v>
      </c>
      <c r="N48" s="97">
        <f>IF(N7=0,0,(N7+N12)/(TrRoad_ene!N7+TrRoad_ene!N12))</f>
        <v>2.7776604121155248</v>
      </c>
      <c r="O48" s="97">
        <f>IF(O7=0,0,(O7+O12)/(TrRoad_ene!O7+TrRoad_ene!O12))</f>
        <v>2.7793703634720384</v>
      </c>
      <c r="P48" s="97">
        <f>IF(P7=0,0,(P7+P12)/(TrRoad_ene!P7+TrRoad_ene!P12))</f>
        <v>2.8149582561531319</v>
      </c>
      <c r="Q48" s="97">
        <f>IF(Q7=0,0,(Q7+Q12)/(TrRoad_ene!Q7+TrRoad_ene!Q12))</f>
        <v>2.7674297862028161</v>
      </c>
      <c r="R48" s="97">
        <f>IF(R7=0,0,(R7+R12)/(TrRoad_ene!R7+TrRoad_ene!R12))</f>
        <v>2.73385254689846</v>
      </c>
      <c r="S48" s="97">
        <f>IF(S7=0,0,(S7+S12)/(TrRoad_ene!S7+TrRoad_ene!S12))</f>
        <v>2.7159074136747776</v>
      </c>
      <c r="T48" s="97">
        <f>IF(T7=0,0,(T7+T12)/(TrRoad_ene!T7+TrRoad_ene!T12))</f>
        <v>2.7154526498496283</v>
      </c>
      <c r="U48" s="97">
        <f>IF(U7=0,0,(U7+U12)/(TrRoad_ene!U7+TrRoad_ene!U12))</f>
        <v>2.7016157831053551</v>
      </c>
      <c r="V48" s="97">
        <f>IF(V7=0,0,(V7+V12)/(TrRoad_ene!V7+TrRoad_ene!V12))</f>
        <v>2.7009392288087408</v>
      </c>
      <c r="W48" s="97">
        <f>IF(W7=0,0,(W7+W12)/(TrRoad_ene!W7+TrRoad_ene!W12))</f>
        <v>2.6573563336291217</v>
      </c>
      <c r="X48" s="97">
        <f>IF(X7=0,0,(X7+X12)/(TrRoad_ene!X7+TrRoad_ene!X12))</f>
        <v>2.6217895194539951</v>
      </c>
      <c r="Y48" s="97">
        <f>IF(Y7=0,0,(Y7+Y12)/(TrRoad_ene!Y7+TrRoad_ene!Y12))</f>
        <v>2.6138734846348339</v>
      </c>
      <c r="DA48" s="175"/>
    </row>
    <row r="49" spans="1:105" ht="11.45" customHeight="1" x14ac:dyDescent="0.25">
      <c r="A49" s="92" t="s">
        <v>95</v>
      </c>
      <c r="B49" s="97">
        <f>IF(B8=0,0,(B8+B13+B14)/(TrRoad_ene!B8+TrRoad_ene!B13+TrRoad_ene!B14))</f>
        <v>3.1025132097531682</v>
      </c>
      <c r="C49" s="97">
        <f>IF(C8=0,0,(C8+C13+C14)/(TrRoad_ene!C8+TrRoad_ene!C13+TrRoad_ene!C14))</f>
        <v>3.1024188000000001</v>
      </c>
      <c r="D49" s="97">
        <f>IF(D8=0,0,(D8+D13+D14)/(TrRoad_ene!D8+TrRoad_ene!D13+TrRoad_ene!D14))</f>
        <v>3.1024188000000001</v>
      </c>
      <c r="E49" s="97">
        <f>IF(E8=0,0,(E8+E13+E14)/(TrRoad_ene!E8+TrRoad_ene!E13+TrRoad_ene!E14))</f>
        <v>3.1024188000000001</v>
      </c>
      <c r="F49" s="97">
        <f>IF(F8=0,0,(F8+F13+F14)/(TrRoad_ene!F8+TrRoad_ene!F13+TrRoad_ene!F14))</f>
        <v>3.1024188000000001</v>
      </c>
      <c r="G49" s="97">
        <f>IF(G8=0,0,(G8+G13+G14)/(TrRoad_ene!G8+TrRoad_ene!G13+TrRoad_ene!G14))</f>
        <v>3.1030255602976906</v>
      </c>
      <c r="H49" s="97">
        <f>IF(H8=0,0,(H8+H13+H14)/(TrRoad_ene!H8+TrRoad_ene!H13+TrRoad_ene!H14))</f>
        <v>3.102525951616935</v>
      </c>
      <c r="I49" s="97">
        <f>IF(I8=0,0,(I8+I13+I14)/(TrRoad_ene!I8+TrRoad_ene!I13+TrRoad_ene!I14))</f>
        <v>3.0523302720023633</v>
      </c>
      <c r="J49" s="97">
        <f>IF(J8=0,0,(J8+J13+J14)/(TrRoad_ene!J8+TrRoad_ene!J13+TrRoad_ene!J14))</f>
        <v>2.9947829520442251</v>
      </c>
      <c r="K49" s="97">
        <f>IF(K8=0,0,(K8+K13+K14)/(TrRoad_ene!K8+TrRoad_ene!K13+TrRoad_ene!K14))</f>
        <v>2.9492261923046121</v>
      </c>
      <c r="L49" s="97">
        <f>IF(L8=0,0,(L8+L13+L14)/(TrRoad_ene!L8+TrRoad_ene!L13+TrRoad_ene!L14))</f>
        <v>3.0320467028926963</v>
      </c>
      <c r="M49" s="97">
        <f>IF(M8=0,0,(M8+M13+M14)/(TrRoad_ene!M8+TrRoad_ene!M13+TrRoad_ene!M14))</f>
        <v>2.9618565157992114</v>
      </c>
      <c r="N49" s="97">
        <f>IF(N8=0,0,(N8+N13+N14)/(TrRoad_ene!N8+TrRoad_ene!N13+TrRoad_ene!N14))</f>
        <v>2.9882109799883407</v>
      </c>
      <c r="O49" s="97">
        <f>IF(O8=0,0,(O8+O13+O14)/(TrRoad_ene!O8+TrRoad_ene!O13+TrRoad_ene!O14))</f>
        <v>2.9700137878845077</v>
      </c>
      <c r="P49" s="97">
        <f>IF(P8=0,0,(P8+P13+P14)/(TrRoad_ene!P8+TrRoad_ene!P13+TrRoad_ene!P14))</f>
        <v>2.9930410958442626</v>
      </c>
      <c r="Q49" s="97">
        <f>IF(Q8=0,0,(Q8+Q13+Q14)/(TrRoad_ene!Q8+TrRoad_ene!Q13+TrRoad_ene!Q14))</f>
        <v>2.9829103539197188</v>
      </c>
      <c r="R49" s="97">
        <f>IF(R8=0,0,(R8+R13+R14)/(TrRoad_ene!R8+TrRoad_ene!R13+TrRoad_ene!R14))</f>
        <v>2.9655646906674531</v>
      </c>
      <c r="S49" s="97">
        <f>IF(S8=0,0,(S8+S13+S14)/(TrRoad_ene!S8+TrRoad_ene!S13+TrRoad_ene!S14))</f>
        <v>2.9549049745002023</v>
      </c>
      <c r="T49" s="97">
        <f>IF(T8=0,0,(T8+T13+T14)/(TrRoad_ene!T8+TrRoad_ene!T13+TrRoad_ene!T14))</f>
        <v>2.9605429216394867</v>
      </c>
      <c r="U49" s="97">
        <f>IF(U8=0,0,(U8+U13+U14)/(TrRoad_ene!U8+TrRoad_ene!U13+TrRoad_ene!U14))</f>
        <v>2.8958692486320996</v>
      </c>
      <c r="V49" s="97">
        <f>IF(V8=0,0,(V8+V13+V14)/(TrRoad_ene!V8+TrRoad_ene!V13+TrRoad_ene!V14))</f>
        <v>2.8471951015653745</v>
      </c>
      <c r="W49" s="97">
        <f>IF(W8=0,0,(W8+W13+W14)/(TrRoad_ene!W8+TrRoad_ene!W13+TrRoad_ene!W14))</f>
        <v>2.8699544250660649</v>
      </c>
      <c r="X49" s="97">
        <f>IF(X8=0,0,(X8+X13+X14)/(TrRoad_ene!X8+TrRoad_ene!X13+TrRoad_ene!X14))</f>
        <v>2.8699173380776473</v>
      </c>
      <c r="Y49" s="97">
        <f>IF(Y8=0,0,(Y8+Y13+Y14)/(TrRoad_ene!Y8+TrRoad_ene!Y13+TrRoad_ene!Y14))</f>
        <v>2.9007633532704871</v>
      </c>
      <c r="DA49" s="175"/>
    </row>
    <row r="50" spans="1:105" ht="11.45" customHeight="1" x14ac:dyDescent="0.25">
      <c r="A50" s="92" t="s">
        <v>127</v>
      </c>
      <c r="B50" s="97">
        <f>IF(B6=0,0,B6/TrRoad_ene!B6)</f>
        <v>0</v>
      </c>
      <c r="C50" s="97">
        <f>IF(C6=0,0,C6/TrRoad_ene!C6)</f>
        <v>0</v>
      </c>
      <c r="D50" s="97">
        <f>IF(D6=0,0,D6/TrRoad_ene!D6)</f>
        <v>2.6418708000000004</v>
      </c>
      <c r="E50" s="97">
        <f>IF(E6=0,0,E6/TrRoad_ene!E6)</f>
        <v>2.6418708000000004</v>
      </c>
      <c r="F50" s="97">
        <f>IF(F6=0,0,F6/TrRoad_ene!F6)</f>
        <v>2.6418708000000004</v>
      </c>
      <c r="G50" s="97">
        <f>IF(G6=0,0,G6/TrRoad_ene!G6)</f>
        <v>2.6418708</v>
      </c>
      <c r="H50" s="97">
        <f>IF(H6=0,0,H6/TrRoad_ene!H6)</f>
        <v>2.6418708000000004</v>
      </c>
      <c r="I50" s="97">
        <f>IF(I6=0,0,I6/TrRoad_ene!I6)</f>
        <v>2.6418708000000004</v>
      </c>
      <c r="J50" s="97">
        <f>IF(J6=0,0,J6/TrRoad_ene!J6)</f>
        <v>2.6418708000000004</v>
      </c>
      <c r="K50" s="97">
        <f>IF(K6=0,0,K6/TrRoad_ene!K6)</f>
        <v>2.6418708000000004</v>
      </c>
      <c r="L50" s="97">
        <f>IF(L6=0,0,L6/TrRoad_ene!L6)</f>
        <v>2.6418708000000004</v>
      </c>
      <c r="M50" s="97">
        <f>IF(M6=0,0,M6/TrRoad_ene!M6)</f>
        <v>2.6418708000000004</v>
      </c>
      <c r="N50" s="97">
        <f>IF(N6=0,0,N6/TrRoad_ene!N6)</f>
        <v>2.6418708000000004</v>
      </c>
      <c r="O50" s="97">
        <f>IF(O6=0,0,O6/TrRoad_ene!O6)</f>
        <v>2.6418708000000009</v>
      </c>
      <c r="P50" s="97">
        <f>IF(P6=0,0,P6/TrRoad_ene!P6)</f>
        <v>2.6418708000000004</v>
      </c>
      <c r="Q50" s="97">
        <f>IF(Q6=0,0,Q6/TrRoad_ene!Q6)</f>
        <v>2.6418708000000004</v>
      </c>
      <c r="R50" s="97">
        <f>IF(R6=0,0,R6/TrRoad_ene!R6)</f>
        <v>2.6418708000000004</v>
      </c>
      <c r="S50" s="97">
        <f>IF(S6=0,0,S6/TrRoad_ene!S6)</f>
        <v>2.6418708000000004</v>
      </c>
      <c r="T50" s="97">
        <f>IF(T6=0,0,T6/TrRoad_ene!T6)</f>
        <v>2.6418708000000004</v>
      </c>
      <c r="U50" s="97">
        <f>IF(U6=0,0,U6/TrRoad_ene!U6)</f>
        <v>2.6418708000000004</v>
      </c>
      <c r="V50" s="97">
        <f>IF(V6=0,0,V6/TrRoad_ene!V6)</f>
        <v>2.6418708000000004</v>
      </c>
      <c r="W50" s="97">
        <f>IF(W6=0,0,W6/TrRoad_ene!W6)</f>
        <v>2.6418708000000004</v>
      </c>
      <c r="X50" s="97">
        <f>IF(X6=0,0,X6/TrRoad_ene!X6)</f>
        <v>2.6418708000000004</v>
      </c>
      <c r="Y50" s="97">
        <f>IF(Y6=0,0,Y6/TrRoad_ene!Y6)</f>
        <v>2.6418708000000004</v>
      </c>
      <c r="DA50" s="175"/>
    </row>
    <row r="51" spans="1:105" ht="11.45" customHeight="1" x14ac:dyDescent="0.25">
      <c r="A51" s="92" t="s">
        <v>128</v>
      </c>
      <c r="B51" s="97">
        <f>IF(B9=0,0,(B9+B11)/(TrRoad_ene!B9+TrRoad_ene!B11))</f>
        <v>0</v>
      </c>
      <c r="C51" s="97">
        <f>IF(C9=0,0,(C9+C11)/(TrRoad_ene!C9+TrRoad_ene!C11))</f>
        <v>0</v>
      </c>
      <c r="D51" s="97">
        <f>IF(D9=0,0,(D9+D11)/(TrRoad_ene!D9+TrRoad_ene!D11))</f>
        <v>0</v>
      </c>
      <c r="E51" s="97">
        <f>IF(E9=0,0,(E9+E11)/(TrRoad_ene!E9+TrRoad_ene!E11))</f>
        <v>0</v>
      </c>
      <c r="F51" s="97">
        <f>IF(F9=0,0,(F9+F11)/(TrRoad_ene!F9+TrRoad_ene!F11))</f>
        <v>0</v>
      </c>
      <c r="G51" s="97">
        <f>IF(G9=0,0,(G9+G11)/(TrRoad_ene!G9+TrRoad_ene!G11))</f>
        <v>0</v>
      </c>
      <c r="H51" s="97">
        <f>IF(H9=0,0,(H9+H11)/(TrRoad_ene!H9+TrRoad_ene!H11))</f>
        <v>0</v>
      </c>
      <c r="I51" s="97">
        <f>IF(I9=0,0,(I9+I11)/(TrRoad_ene!I9+TrRoad_ene!I11))</f>
        <v>0</v>
      </c>
      <c r="J51" s="97">
        <f>IF(J9=0,0,(J9+J11)/(TrRoad_ene!J9+TrRoad_ene!J11))</f>
        <v>0</v>
      </c>
      <c r="K51" s="97">
        <f>IF(K9=0,0,(K9+K11)/(TrRoad_ene!K9+TrRoad_ene!K11))</f>
        <v>0</v>
      </c>
      <c r="L51" s="97">
        <f>IF(L9=0,0,(L9+L11)/(TrRoad_ene!L9+TrRoad_ene!L11))</f>
        <v>0</v>
      </c>
      <c r="M51" s="97">
        <f>IF(M9=0,0,(M9+M11)/(TrRoad_ene!M9+TrRoad_ene!M11))</f>
        <v>0</v>
      </c>
      <c r="N51" s="97">
        <f>IF(N9=0,0,(N9+N11)/(TrRoad_ene!N9+TrRoad_ene!N11))</f>
        <v>0</v>
      </c>
      <c r="O51" s="97">
        <f>IF(O9=0,0,(O9+O11)/(TrRoad_ene!O9+TrRoad_ene!O11))</f>
        <v>0</v>
      </c>
      <c r="P51" s="97">
        <f>IF(P9=0,0,(P9+P11)/(TrRoad_ene!P9+TrRoad_ene!P11))</f>
        <v>0</v>
      </c>
      <c r="Q51" s="97">
        <f>IF(Q9=0,0,(Q9+Q11)/(TrRoad_ene!Q9+TrRoad_ene!Q11))</f>
        <v>0</v>
      </c>
      <c r="R51" s="97">
        <f>IF(R9=0,0,(R9+R11)/(TrRoad_ene!R9+TrRoad_ene!R11))</f>
        <v>0</v>
      </c>
      <c r="S51" s="97">
        <f>IF(S9=0,0,(S9+S11)/(TrRoad_ene!S9+TrRoad_ene!S11))</f>
        <v>0</v>
      </c>
      <c r="T51" s="97">
        <f>IF(T9=0,0,(T9+T11)/(TrRoad_ene!T9+TrRoad_ene!T11))</f>
        <v>0</v>
      </c>
      <c r="U51" s="97">
        <f>IF(U9=0,0,(U9+U11)/(TrRoad_ene!U9+TrRoad_ene!U11))</f>
        <v>0</v>
      </c>
      <c r="V51" s="97">
        <f>IF(V9=0,0,(V9+V11)/(TrRoad_ene!V9+TrRoad_ene!V11))</f>
        <v>0</v>
      </c>
      <c r="W51" s="97">
        <f>IF(W9=0,0,(W9+W11)/(TrRoad_ene!W9+TrRoad_ene!W11))</f>
        <v>0</v>
      </c>
      <c r="X51" s="97">
        <f>IF(X9=0,0,(X9+X11)/(TrRoad_ene!X9+TrRoad_ene!X11))</f>
        <v>0</v>
      </c>
      <c r="Y51" s="97">
        <f>IF(Y9=0,0,(Y9+Y11)/(TrRoad_ene!Y9+TrRoad_ene!Y11))</f>
        <v>0</v>
      </c>
      <c r="DA51" s="175"/>
    </row>
    <row r="52" spans="1:105" ht="11.45" customHeight="1" x14ac:dyDescent="0.25">
      <c r="A52" s="85" t="s">
        <v>91</v>
      </c>
      <c r="B52" s="98">
        <f>IF(B15=0,0,B15/TrRoad_ene!B15)</f>
        <v>0</v>
      </c>
      <c r="C52" s="98">
        <f>IF(C15=0,0,C15/TrRoad_ene!C15)</f>
        <v>0</v>
      </c>
      <c r="D52" s="98">
        <f>IF(D15=0,0,D15/TrRoad_ene!D15)</f>
        <v>0</v>
      </c>
      <c r="E52" s="98">
        <f>IF(E15=0,0,E15/TrRoad_ene!E15)</f>
        <v>0</v>
      </c>
      <c r="F52" s="98">
        <f>IF(F15=0,0,F15/TrRoad_ene!F15)</f>
        <v>0</v>
      </c>
      <c r="G52" s="98">
        <f>IF(G15=0,0,G15/TrRoad_ene!G15)</f>
        <v>0</v>
      </c>
      <c r="H52" s="98">
        <f>IF(H15=0,0,H15/TrRoad_ene!H15)</f>
        <v>0</v>
      </c>
      <c r="I52" s="98">
        <f>IF(I15=0,0,I15/TrRoad_ene!I15)</f>
        <v>0</v>
      </c>
      <c r="J52" s="98">
        <f>IF(J15=0,0,J15/TrRoad_ene!J15)</f>
        <v>0</v>
      </c>
      <c r="K52" s="98">
        <f>IF(K15=0,0,K15/TrRoad_ene!K15)</f>
        <v>0</v>
      </c>
      <c r="L52" s="98">
        <f>IF(L15=0,0,L15/TrRoad_ene!L15)</f>
        <v>0</v>
      </c>
      <c r="M52" s="98">
        <f>IF(M15=0,0,M15/TrRoad_ene!M15)</f>
        <v>0</v>
      </c>
      <c r="N52" s="98">
        <f>IF(N15=0,0,N15/TrRoad_ene!N15)</f>
        <v>0</v>
      </c>
      <c r="O52" s="98">
        <f>IF(O15=0,0,O15/TrRoad_ene!O15)</f>
        <v>0</v>
      </c>
      <c r="P52" s="98">
        <f>IF(P15=0,0,P15/TrRoad_ene!P15)</f>
        <v>0</v>
      </c>
      <c r="Q52" s="98">
        <f>IF(Q15=0,0,Q15/TrRoad_ene!Q15)</f>
        <v>0</v>
      </c>
      <c r="R52" s="98">
        <f>IF(R15=0,0,R15/TrRoad_ene!R15)</f>
        <v>0</v>
      </c>
      <c r="S52" s="98">
        <f>IF(S15=0,0,S15/TrRoad_ene!S15)</f>
        <v>0</v>
      </c>
      <c r="T52" s="98">
        <f>IF(T15=0,0,T15/TrRoad_ene!T15)</f>
        <v>0</v>
      </c>
      <c r="U52" s="98">
        <f>IF(U15=0,0,U15/TrRoad_ene!U15)</f>
        <v>0</v>
      </c>
      <c r="V52" s="98">
        <f>IF(V15=0,0,V15/TrRoad_ene!V15)</f>
        <v>0</v>
      </c>
      <c r="W52" s="98">
        <f>IF(W15=0,0,W15/TrRoad_ene!W15)</f>
        <v>0</v>
      </c>
      <c r="X52" s="98">
        <f>IF(X15=0,0,X15/TrRoad_ene!X15)</f>
        <v>0</v>
      </c>
      <c r="Y52" s="98">
        <f>IF(Y15=0,0,Y15/TrRoad_ene!Y15)</f>
        <v>0</v>
      </c>
      <c r="DA52" s="178"/>
    </row>
    <row r="53" spans="1:105" x14ac:dyDescent="0.25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DA53" s="171"/>
    </row>
    <row r="54" spans="1:105" ht="11.45" customHeight="1" x14ac:dyDescent="0.25">
      <c r="A54" s="53" t="s">
        <v>129</v>
      </c>
      <c r="B54" s="62">
        <f>IF(TrRoad_act!B30=0,0,B17/TrRoad_act!B30*1000
)</f>
        <v>312.66101119779171</v>
      </c>
      <c r="C54" s="62">
        <f>IF(TrRoad_act!C30=0,0,C17/TrRoad_act!C30*1000
)</f>
        <v>327.86555070903785</v>
      </c>
      <c r="D54" s="62">
        <f>IF(TrRoad_act!D30=0,0,D17/TrRoad_act!D30*1000
)</f>
        <v>327.65124696943377</v>
      </c>
      <c r="E54" s="62">
        <f>IF(TrRoad_act!E30=0,0,E17/TrRoad_act!E30*1000
)</f>
        <v>329.24697989642436</v>
      </c>
      <c r="F54" s="62">
        <f>IF(TrRoad_act!F30=0,0,F17/TrRoad_act!F30*1000
)</f>
        <v>321.63334957808456</v>
      </c>
      <c r="G54" s="62">
        <f>IF(TrRoad_act!G30=0,0,G17/TrRoad_act!G30*1000
)</f>
        <v>304.06788166610164</v>
      </c>
      <c r="H54" s="62">
        <f>IF(TrRoad_act!H30=0,0,H17/TrRoad_act!H30*1000
)</f>
        <v>308.90106230862432</v>
      </c>
      <c r="I54" s="62">
        <f>IF(TrRoad_act!I30=0,0,I17/TrRoad_act!I30*1000
)</f>
        <v>286.04441313021698</v>
      </c>
      <c r="J54" s="62">
        <f>IF(TrRoad_act!J30=0,0,J17/TrRoad_act!J30*1000
)</f>
        <v>313.20760908672594</v>
      </c>
      <c r="K54" s="62">
        <f>IF(TrRoad_act!K30=0,0,K17/TrRoad_act!K30*1000
)</f>
        <v>308.66181559630661</v>
      </c>
      <c r="L54" s="62">
        <f>IF(TrRoad_act!L30=0,0,L17/TrRoad_act!L30*1000
)</f>
        <v>289.74475603613689</v>
      </c>
      <c r="M54" s="62">
        <f>IF(TrRoad_act!M30=0,0,M17/TrRoad_act!M30*1000
)</f>
        <v>285.83993289872132</v>
      </c>
      <c r="N54" s="62">
        <f>IF(TrRoad_act!N30=0,0,N17/TrRoad_act!N30*1000
)</f>
        <v>284.95392528374794</v>
      </c>
      <c r="O54" s="62">
        <f>IF(TrRoad_act!O30=0,0,O17/TrRoad_act!O30*1000
)</f>
        <v>265.78585217719848</v>
      </c>
      <c r="P54" s="62">
        <f>IF(TrRoad_act!P30=0,0,P17/TrRoad_act!P30*1000
)</f>
        <v>263.8855949032677</v>
      </c>
      <c r="Q54" s="62">
        <f>IF(TrRoad_act!Q30=0,0,Q17/TrRoad_act!Q30*1000
)</f>
        <v>253.17012966814312</v>
      </c>
      <c r="R54" s="62">
        <f>IF(TrRoad_act!R30=0,0,R17/TrRoad_act!R30*1000
)</f>
        <v>259.95892477707332</v>
      </c>
      <c r="S54" s="62">
        <f>IF(TrRoad_act!S30=0,0,S17/TrRoad_act!S30*1000
)</f>
        <v>269.72592531432804</v>
      </c>
      <c r="T54" s="62">
        <f>IF(TrRoad_act!T30=0,0,T17/TrRoad_act!T30*1000
)</f>
        <v>261.12336599556392</v>
      </c>
      <c r="U54" s="62">
        <f>IF(TrRoad_act!U30=0,0,U17/TrRoad_act!U30*1000
)</f>
        <v>248.1491502928622</v>
      </c>
      <c r="V54" s="62">
        <f>IF(TrRoad_act!V30=0,0,V17/TrRoad_act!V30*1000
)</f>
        <v>258.39633243297664</v>
      </c>
      <c r="W54" s="62">
        <f>IF(TrRoad_act!W30=0,0,W17/TrRoad_act!W30*1000
)</f>
        <v>250.62529300440946</v>
      </c>
      <c r="X54" s="62">
        <f>IF(TrRoad_act!X30=0,0,X17/TrRoad_act!X30*1000
)</f>
        <v>248.85516260121915</v>
      </c>
      <c r="Y54" s="62">
        <f>IF(TrRoad_act!Y30=0,0,Y17/TrRoad_act!Y30*1000
)</f>
        <v>241.69798069263169</v>
      </c>
      <c r="DA54" s="172" t="s">
        <v>769</v>
      </c>
    </row>
    <row r="55" spans="1:105" ht="11.45" customHeight="1" x14ac:dyDescent="0.25">
      <c r="A55" s="27" t="s">
        <v>33</v>
      </c>
      <c r="B55" s="29">
        <f>IF(TrRoad_act!B31=0,0,B18/TrRoad_act!B31*1000
)</f>
        <v>256.01582832444961</v>
      </c>
      <c r="C55" s="29">
        <f>IF(TrRoad_act!C31=0,0,C18/TrRoad_act!C31*1000
)</f>
        <v>258.54244297951806</v>
      </c>
      <c r="D55" s="29">
        <f>IF(TrRoad_act!D31=0,0,D18/TrRoad_act!D31*1000
)</f>
        <v>251.94850017924219</v>
      </c>
      <c r="E55" s="29">
        <f>IF(TrRoad_act!E31=0,0,E18/TrRoad_act!E31*1000
)</f>
        <v>249.34819798104292</v>
      </c>
      <c r="F55" s="29">
        <f>IF(TrRoad_act!F31=0,0,F18/TrRoad_act!F31*1000
)</f>
        <v>256.56058656193619</v>
      </c>
      <c r="G55" s="29">
        <f>IF(TrRoad_act!G31=0,0,G18/TrRoad_act!G31*1000
)</f>
        <v>251.73940747189545</v>
      </c>
      <c r="H55" s="29">
        <f>IF(TrRoad_act!H31=0,0,H18/TrRoad_act!H31*1000
)</f>
        <v>244.60336282041862</v>
      </c>
      <c r="I55" s="29">
        <f>IF(TrRoad_act!I31=0,0,I18/TrRoad_act!I31*1000
)</f>
        <v>237.90239711006325</v>
      </c>
      <c r="J55" s="29">
        <f>IF(TrRoad_act!J31=0,0,J18/TrRoad_act!J31*1000
)</f>
        <v>270.42078336451289</v>
      </c>
      <c r="K55" s="29">
        <f>IF(TrRoad_act!K31=0,0,K18/TrRoad_act!K31*1000
)</f>
        <v>267.00670939371901</v>
      </c>
      <c r="L55" s="29">
        <f>IF(TrRoad_act!L31=0,0,L18/TrRoad_act!L31*1000
)</f>
        <v>255.58185684974893</v>
      </c>
      <c r="M55" s="29">
        <f>IF(TrRoad_act!M31=0,0,M18/TrRoad_act!M31*1000
)</f>
        <v>251.75628737073592</v>
      </c>
      <c r="N55" s="29">
        <f>IF(TrRoad_act!N31=0,0,N18/TrRoad_act!N31*1000
)</f>
        <v>254.63136428715987</v>
      </c>
      <c r="O55" s="29">
        <f>IF(TrRoad_act!O31=0,0,O18/TrRoad_act!O31*1000
)</f>
        <v>235.08267943437039</v>
      </c>
      <c r="P55" s="29">
        <f>IF(TrRoad_act!P31=0,0,P18/TrRoad_act!P31*1000
)</f>
        <v>236.2478544966331</v>
      </c>
      <c r="Q55" s="29">
        <f>IF(TrRoad_act!Q31=0,0,Q18/TrRoad_act!Q31*1000
)</f>
        <v>227.61396893069809</v>
      </c>
      <c r="R55" s="29">
        <f>IF(TrRoad_act!R31=0,0,R18/TrRoad_act!R31*1000
)</f>
        <v>232.65107536784129</v>
      </c>
      <c r="S55" s="29">
        <f>IF(TrRoad_act!S31=0,0,S18/TrRoad_act!S31*1000
)</f>
        <v>241.31532298255496</v>
      </c>
      <c r="T55" s="29">
        <f>IF(TrRoad_act!T31=0,0,T18/TrRoad_act!T31*1000
)</f>
        <v>235.61416857729549</v>
      </c>
      <c r="U55" s="29">
        <f>IF(TrRoad_act!U31=0,0,U18/TrRoad_act!U31*1000
)</f>
        <v>221.90140588877691</v>
      </c>
      <c r="V55" s="29">
        <f>IF(TrRoad_act!V31=0,0,V18/TrRoad_act!V31*1000
)</f>
        <v>235.15072382644831</v>
      </c>
      <c r="W55" s="29">
        <f>IF(TrRoad_act!W31=0,0,W18/TrRoad_act!W31*1000
)</f>
        <v>225.36878059302239</v>
      </c>
      <c r="X55" s="29">
        <f>IF(TrRoad_act!X31=0,0,X18/TrRoad_act!X31*1000
)</f>
        <v>218.582613572159</v>
      </c>
      <c r="Y55" s="29">
        <f>IF(TrRoad_act!Y31=0,0,Y18/TrRoad_act!Y31*1000
)</f>
        <v>211.97087217099204</v>
      </c>
      <c r="DA55" s="173" t="s">
        <v>770</v>
      </c>
    </row>
    <row r="56" spans="1:105" ht="11.45" customHeight="1" x14ac:dyDescent="0.25">
      <c r="A56" s="136" t="s">
        <v>173</v>
      </c>
      <c r="B56" s="152">
        <f>IF(TrRoad_act!B32=0,0,B19/TrRoad_act!B32*1000
)</f>
        <v>141.82618506481941</v>
      </c>
      <c r="C56" s="152">
        <f>IF(TrRoad_act!C32=0,0,C19/TrRoad_act!C32*1000
)</f>
        <v>141.61478982389841</v>
      </c>
      <c r="D56" s="152">
        <f>IF(TrRoad_act!D32=0,0,D19/TrRoad_act!D32*1000
)</f>
        <v>141.4157446332847</v>
      </c>
      <c r="E56" s="152">
        <f>IF(TrRoad_act!E32=0,0,E19/TrRoad_act!E32*1000
)</f>
        <v>140.91820884971494</v>
      </c>
      <c r="F56" s="152">
        <f>IF(TrRoad_act!F32=0,0,F19/TrRoad_act!F32*1000
)</f>
        <v>140.34525497625387</v>
      </c>
      <c r="G56" s="152">
        <f>IF(TrRoad_act!G32=0,0,G19/TrRoad_act!G32*1000
)</f>
        <v>132.94627117120567</v>
      </c>
      <c r="H56" s="152">
        <f>IF(TrRoad_act!H32=0,0,H19/TrRoad_act!H32*1000
)</f>
        <v>130.75483851263957</v>
      </c>
      <c r="I56" s="152">
        <f>IF(TrRoad_act!I32=0,0,I19/TrRoad_act!I32*1000
)</f>
        <v>128.94600698311316</v>
      </c>
      <c r="J56" s="152">
        <f>IF(TrRoad_act!J32=0,0,J19/TrRoad_act!J32*1000
)</f>
        <v>123.75929487537735</v>
      </c>
      <c r="K56" s="152">
        <f>IF(TrRoad_act!K32=0,0,K19/TrRoad_act!K32*1000
)</f>
        <v>120.65870403280313</v>
      </c>
      <c r="L56" s="152">
        <f>IF(TrRoad_act!L32=0,0,L19/TrRoad_act!L32*1000
)</f>
        <v>115.04766465087036</v>
      </c>
      <c r="M56" s="152">
        <f>IF(TrRoad_act!M32=0,0,M19/TrRoad_act!M32*1000
)</f>
        <v>112.87479180972129</v>
      </c>
      <c r="N56" s="152">
        <f>IF(TrRoad_act!N32=0,0,N19/TrRoad_act!N32*1000
)</f>
        <v>110.10347749940962</v>
      </c>
      <c r="O56" s="152">
        <f>IF(TrRoad_act!O32=0,0,O19/TrRoad_act!O32*1000
)</f>
        <v>108.08900035618137</v>
      </c>
      <c r="P56" s="152">
        <f>IF(TrRoad_act!P32=0,0,P19/TrRoad_act!P32*1000
)</f>
        <v>107.7088326087438</v>
      </c>
      <c r="Q56" s="152">
        <f>IF(TrRoad_act!Q32=0,0,Q19/TrRoad_act!Q32*1000
)</f>
        <v>104.36740212977894</v>
      </c>
      <c r="R56" s="152">
        <f>IF(TrRoad_act!R32=0,0,R19/TrRoad_act!R32*1000
)</f>
        <v>101.5071938084336</v>
      </c>
      <c r="S56" s="152">
        <f>IF(TrRoad_act!S32=0,0,S19/TrRoad_act!S32*1000
)</f>
        <v>99.299454441549798</v>
      </c>
      <c r="T56" s="152">
        <f>IF(TrRoad_act!T32=0,0,T19/TrRoad_act!T32*1000
)</f>
        <v>97.849535327313518</v>
      </c>
      <c r="U56" s="152">
        <f>IF(TrRoad_act!U32=0,0,U19/TrRoad_act!U32*1000
)</f>
        <v>95.577923557916392</v>
      </c>
      <c r="V56" s="152">
        <f>IF(TrRoad_act!V32=0,0,V19/TrRoad_act!V32*1000
)</f>
        <v>94.317477431728818</v>
      </c>
      <c r="W56" s="152">
        <f>IF(TrRoad_act!W32=0,0,W19/TrRoad_act!W32*1000
)</f>
        <v>92.00564394733216</v>
      </c>
      <c r="X56" s="152">
        <f>IF(TrRoad_act!X32=0,0,X19/TrRoad_act!X32*1000
)</f>
        <v>90.042538428029218</v>
      </c>
      <c r="Y56" s="152">
        <f>IF(TrRoad_act!Y32=0,0,Y19/TrRoad_act!Y32*1000
)</f>
        <v>89.119797360658197</v>
      </c>
      <c r="DA56" s="174" t="s">
        <v>771</v>
      </c>
    </row>
    <row r="57" spans="1:105" ht="11.45" customHeight="1" x14ac:dyDescent="0.25">
      <c r="A57" s="109" t="s">
        <v>20</v>
      </c>
      <c r="B57" s="116">
        <f>IF(TrRoad_act!B33=0,0,B20/TrRoad_act!B33*1000
)</f>
        <v>190.93399928180341</v>
      </c>
      <c r="C57" s="116">
        <f>IF(TrRoad_act!C33=0,0,C20/TrRoad_act!C33*1000
)</f>
        <v>198.22537732610823</v>
      </c>
      <c r="D57" s="116">
        <f>IF(TrRoad_act!D33=0,0,D20/TrRoad_act!D33*1000
)</f>
        <v>195.84163839135945</v>
      </c>
      <c r="E57" s="116">
        <f>IF(TrRoad_act!E33=0,0,E20/TrRoad_act!E33*1000
)</f>
        <v>190.82106635631237</v>
      </c>
      <c r="F57" s="116">
        <f>IF(TrRoad_act!F33=0,0,F20/TrRoad_act!F33*1000
)</f>
        <v>199.04788729277294</v>
      </c>
      <c r="G57" s="116">
        <f>IF(TrRoad_act!G33=0,0,G20/TrRoad_act!G33*1000
)</f>
        <v>198.36627364677881</v>
      </c>
      <c r="H57" s="116">
        <f>IF(TrRoad_act!H33=0,0,H20/TrRoad_act!H33*1000
)</f>
        <v>195.92672201005794</v>
      </c>
      <c r="I57" s="116">
        <f>IF(TrRoad_act!I33=0,0,I20/TrRoad_act!I33*1000
)</f>
        <v>189.74918765622328</v>
      </c>
      <c r="J57" s="116">
        <f>IF(TrRoad_act!J33=0,0,J20/TrRoad_act!J33*1000
)</f>
        <v>207.56029768902508</v>
      </c>
      <c r="K57" s="116">
        <f>IF(TrRoad_act!K33=0,0,K20/TrRoad_act!K33*1000
)</f>
        <v>206.71249287708761</v>
      </c>
      <c r="L57" s="116">
        <f>IF(TrRoad_act!L33=0,0,L20/TrRoad_act!L33*1000
)</f>
        <v>193.76108376687657</v>
      </c>
      <c r="M57" s="116">
        <f>IF(TrRoad_act!M33=0,0,M20/TrRoad_act!M33*1000
)</f>
        <v>192.66085669507336</v>
      </c>
      <c r="N57" s="116">
        <f>IF(TrRoad_act!N33=0,0,N20/TrRoad_act!N33*1000
)</f>
        <v>195.92504003902221</v>
      </c>
      <c r="O57" s="116">
        <f>IF(TrRoad_act!O33=0,0,O20/TrRoad_act!O33*1000
)</f>
        <v>177.59457478142423</v>
      </c>
      <c r="P57" s="116">
        <f>IF(TrRoad_act!P33=0,0,P20/TrRoad_act!P33*1000
)</f>
        <v>178.41943728974005</v>
      </c>
      <c r="Q57" s="116">
        <f>IF(TrRoad_act!Q33=0,0,Q20/TrRoad_act!Q33*1000
)</f>
        <v>170.3521190631887</v>
      </c>
      <c r="R57" s="116">
        <f>IF(TrRoad_act!R33=0,0,R20/TrRoad_act!R33*1000
)</f>
        <v>175.57485354764339</v>
      </c>
      <c r="S57" s="116">
        <f>IF(TrRoad_act!S33=0,0,S20/TrRoad_act!S33*1000
)</f>
        <v>182.70940137566342</v>
      </c>
      <c r="T57" s="116">
        <f>IF(TrRoad_act!T33=0,0,T20/TrRoad_act!T33*1000
)</f>
        <v>179.16776068449795</v>
      </c>
      <c r="U57" s="116">
        <f>IF(TrRoad_act!U33=0,0,U20/TrRoad_act!U33*1000
)</f>
        <v>169.47184218508997</v>
      </c>
      <c r="V57" s="116">
        <f>IF(TrRoad_act!V33=0,0,V20/TrRoad_act!V33*1000
)</f>
        <v>176.23479150424225</v>
      </c>
      <c r="W57" s="116">
        <f>IF(TrRoad_act!W33=0,0,W20/TrRoad_act!W33*1000
)</f>
        <v>170.16644345444203</v>
      </c>
      <c r="X57" s="116">
        <f>IF(TrRoad_act!X33=0,0,X20/TrRoad_act!X33*1000
)</f>
        <v>166.96603833620119</v>
      </c>
      <c r="Y57" s="116">
        <f>IF(TrRoad_act!Y33=0,0,Y20/TrRoad_act!Y33*1000
)</f>
        <v>164.23720012179498</v>
      </c>
      <c r="DA57" s="176" t="s">
        <v>772</v>
      </c>
    </row>
    <row r="58" spans="1:105" ht="11.45" customHeight="1" x14ac:dyDescent="0.25">
      <c r="A58" s="111" t="s">
        <v>110</v>
      </c>
      <c r="B58" s="87">
        <f>IF(TrRoad_act!B34=0,0,B21/TrRoad_act!B34*1000
)</f>
        <v>189.48551045037269</v>
      </c>
      <c r="C58" s="87">
        <f>IF(TrRoad_act!C34=0,0,C21/TrRoad_act!C34*1000
)</f>
        <v>196.99738510689772</v>
      </c>
      <c r="D58" s="87">
        <f>IF(TrRoad_act!D34=0,0,D21/TrRoad_act!D34*1000
)</f>
        <v>194.4798213254027</v>
      </c>
      <c r="E58" s="87">
        <f>IF(TrRoad_act!E34=0,0,E21/TrRoad_act!E34*1000
)</f>
        <v>192.59993599192254</v>
      </c>
      <c r="F58" s="87">
        <f>IF(TrRoad_act!F34=0,0,F21/TrRoad_act!F34*1000
)</f>
        <v>195.26642162295403</v>
      </c>
      <c r="G58" s="87">
        <f>IF(TrRoad_act!G34=0,0,G21/TrRoad_act!G34*1000
)</f>
        <v>199.58180052463626</v>
      </c>
      <c r="H58" s="87">
        <f>IF(TrRoad_act!H34=0,0,H21/TrRoad_act!H34*1000
)</f>
        <v>195.1187424096106</v>
      </c>
      <c r="I58" s="87">
        <f>IF(TrRoad_act!I34=0,0,I21/TrRoad_act!I34*1000
)</f>
        <v>199.08256054779736</v>
      </c>
      <c r="J58" s="87">
        <f>IF(TrRoad_act!J34=0,0,J21/TrRoad_act!J34*1000
)</f>
        <v>227.7280433511811</v>
      </c>
      <c r="K58" s="87">
        <f>IF(TrRoad_act!K34=0,0,K21/TrRoad_act!K34*1000
)</f>
        <v>225.42934509373842</v>
      </c>
      <c r="L58" s="87">
        <f>IF(TrRoad_act!L34=0,0,L21/TrRoad_act!L34*1000
)</f>
        <v>205.05476783225794</v>
      </c>
      <c r="M58" s="87">
        <f>IF(TrRoad_act!M34=0,0,M21/TrRoad_act!M34*1000
)</f>
        <v>214.3357280327082</v>
      </c>
      <c r="N58" s="87">
        <f>IF(TrRoad_act!N34=0,0,N21/TrRoad_act!N34*1000
)</f>
        <v>214.11697053942393</v>
      </c>
      <c r="O58" s="87">
        <f>IF(TrRoad_act!O34=0,0,O21/TrRoad_act!O34*1000
)</f>
        <v>186.67341513265185</v>
      </c>
      <c r="P58" s="87">
        <f>IF(TrRoad_act!P34=0,0,P21/TrRoad_act!P34*1000
)</f>
        <v>184.24710849306499</v>
      </c>
      <c r="Q58" s="87">
        <f>IF(TrRoad_act!Q34=0,0,Q21/TrRoad_act!Q34*1000
)</f>
        <v>173.55567526585463</v>
      </c>
      <c r="R58" s="87">
        <f>IF(TrRoad_act!R34=0,0,R21/TrRoad_act!R34*1000
)</f>
        <v>186.93555975672564</v>
      </c>
      <c r="S58" s="87">
        <f>IF(TrRoad_act!S34=0,0,S21/TrRoad_act!S34*1000
)</f>
        <v>191.70197613900891</v>
      </c>
      <c r="T58" s="87">
        <f>IF(TrRoad_act!T34=0,0,T21/TrRoad_act!T34*1000
)</f>
        <v>187.99197351921342</v>
      </c>
      <c r="U58" s="87">
        <f>IF(TrRoad_act!U34=0,0,U21/TrRoad_act!U34*1000
)</f>
        <v>183.18524641398025</v>
      </c>
      <c r="V58" s="87">
        <f>IF(TrRoad_act!V34=0,0,V21/TrRoad_act!V34*1000
)</f>
        <v>179.6753832602902</v>
      </c>
      <c r="W58" s="87">
        <f>IF(TrRoad_act!W34=0,0,W21/TrRoad_act!W34*1000
)</f>
        <v>172.9586023926453</v>
      </c>
      <c r="X58" s="87">
        <f>IF(TrRoad_act!X34=0,0,X21/TrRoad_act!X34*1000
)</f>
        <v>167.69655298364484</v>
      </c>
      <c r="Y58" s="87">
        <f>IF(TrRoad_act!Y34=0,0,Y21/TrRoad_act!Y34*1000
)</f>
        <v>163.64293550827401</v>
      </c>
      <c r="DA58" s="171" t="s">
        <v>773</v>
      </c>
    </row>
    <row r="59" spans="1:105" ht="11.45" customHeight="1" x14ac:dyDescent="0.25">
      <c r="A59" s="111" t="s">
        <v>111</v>
      </c>
      <c r="B59" s="87">
        <f>IF(TrRoad_act!B35=0,0,B22/TrRoad_act!B35*1000
)</f>
        <v>200.71406222996998</v>
      </c>
      <c r="C59" s="87">
        <f>IF(TrRoad_act!C35=0,0,C22/TrRoad_act!C35*1000
)</f>
        <v>206.06575488781982</v>
      </c>
      <c r="D59" s="87">
        <f>IF(TrRoad_act!D35=0,0,D22/TrRoad_act!D35*1000
)</f>
        <v>202.45134885528864</v>
      </c>
      <c r="E59" s="87">
        <f>IF(TrRoad_act!E35=0,0,E22/TrRoad_act!E35*1000
)</f>
        <v>183.91412365071346</v>
      </c>
      <c r="F59" s="87">
        <f>IF(TrRoad_act!F35=0,0,F22/TrRoad_act!F35*1000
)</f>
        <v>183.46998695615292</v>
      </c>
      <c r="G59" s="87">
        <f>IF(TrRoad_act!G35=0,0,G22/TrRoad_act!G35*1000
)</f>
        <v>184.83342855659836</v>
      </c>
      <c r="H59" s="87">
        <f>IF(TrRoad_act!H35=0,0,H22/TrRoad_act!H35*1000
)</f>
        <v>197.79374404271348</v>
      </c>
      <c r="I59" s="87">
        <f>IF(TrRoad_act!I35=0,0,I22/TrRoad_act!I35*1000
)</f>
        <v>174.05303287794123</v>
      </c>
      <c r="J59" s="87">
        <f>IF(TrRoad_act!J35=0,0,J22/TrRoad_act!J35*1000
)</f>
        <v>182.34574289346997</v>
      </c>
      <c r="K59" s="87">
        <f>IF(TrRoad_act!K35=0,0,K22/TrRoad_act!K35*1000
)</f>
        <v>181.62646569293662</v>
      </c>
      <c r="L59" s="87">
        <f>IF(TrRoad_act!L35=0,0,L22/TrRoad_act!L35*1000
)</f>
        <v>182.95234257551533</v>
      </c>
      <c r="M59" s="87">
        <f>IF(TrRoad_act!M35=0,0,M22/TrRoad_act!M35*1000
)</f>
        <v>173.25785260650849</v>
      </c>
      <c r="N59" s="87">
        <f>IF(TrRoad_act!N35=0,0,N22/TrRoad_act!N35*1000
)</f>
        <v>182.8424712326497</v>
      </c>
      <c r="O59" s="87">
        <f>IF(TrRoad_act!O35=0,0,O22/TrRoad_act!O35*1000
)</f>
        <v>169.91853156955577</v>
      </c>
      <c r="P59" s="87">
        <f>IF(TrRoad_act!P35=0,0,P22/TrRoad_act!P35*1000
)</f>
        <v>172.72638283502334</v>
      </c>
      <c r="Q59" s="87">
        <f>IF(TrRoad_act!Q35=0,0,Q22/TrRoad_act!Q35*1000
)</f>
        <v>167.44982360050224</v>
      </c>
      <c r="R59" s="87">
        <f>IF(TrRoad_act!R35=0,0,R22/TrRoad_act!R35*1000
)</f>
        <v>166.88280100745749</v>
      </c>
      <c r="S59" s="87">
        <f>IF(TrRoad_act!S35=0,0,S22/TrRoad_act!S35*1000
)</f>
        <v>176.23838599253767</v>
      </c>
      <c r="T59" s="87">
        <f>IF(TrRoad_act!T35=0,0,T22/TrRoad_act!T35*1000
)</f>
        <v>173.53733832007529</v>
      </c>
      <c r="U59" s="87">
        <f>IF(TrRoad_act!U35=0,0,U22/TrRoad_act!U35*1000
)</f>
        <v>161.57258191615003</v>
      </c>
      <c r="V59" s="87">
        <f>IF(TrRoad_act!V35=0,0,V22/TrRoad_act!V35*1000
)</f>
        <v>175.9688143402235</v>
      </c>
      <c r="W59" s="87">
        <f>IF(TrRoad_act!W35=0,0,W22/TrRoad_act!W35*1000
)</f>
        <v>172.79449643114276</v>
      </c>
      <c r="X59" s="87">
        <f>IF(TrRoad_act!X35=0,0,X22/TrRoad_act!X35*1000
)</f>
        <v>171.27096575848142</v>
      </c>
      <c r="Y59" s="87">
        <f>IF(TrRoad_act!Y35=0,0,Y22/TrRoad_act!Y35*1000
)</f>
        <v>170.31592785670486</v>
      </c>
      <c r="DA59" s="171" t="s">
        <v>774</v>
      </c>
    </row>
    <row r="60" spans="1:105" ht="11.45" customHeight="1" x14ac:dyDescent="0.25">
      <c r="A60" s="111" t="s">
        <v>112</v>
      </c>
      <c r="B60" s="87">
        <f>IF(TrRoad_act!B36=0,0,B23/TrRoad_act!B36*1000
)</f>
        <v>0</v>
      </c>
      <c r="C60" s="87">
        <f>IF(TrRoad_act!C36=0,0,C23/TrRoad_act!C36*1000
)</f>
        <v>0</v>
      </c>
      <c r="D60" s="87">
        <f>IF(TrRoad_act!D36=0,0,D23/TrRoad_act!D36*1000
)</f>
        <v>206.11457157192632</v>
      </c>
      <c r="E60" s="87">
        <f>IF(TrRoad_act!E36=0,0,E23/TrRoad_act!E36*1000
)</f>
        <v>187.78273811606491</v>
      </c>
      <c r="F60" s="87">
        <f>IF(TrRoad_act!F36=0,0,F23/TrRoad_act!F36*1000
)</f>
        <v>910.03898873206515</v>
      </c>
      <c r="G60" s="87">
        <f>IF(TrRoad_act!G36=0,0,G23/TrRoad_act!G36*1000
)</f>
        <v>545.28723597016472</v>
      </c>
      <c r="H60" s="87">
        <f>IF(TrRoad_act!H36=0,0,H23/TrRoad_act!H36*1000
)</f>
        <v>182.04977671368667</v>
      </c>
      <c r="I60" s="87">
        <f>IF(TrRoad_act!I36=0,0,I23/TrRoad_act!I36*1000
)</f>
        <v>258.16396519986222</v>
      </c>
      <c r="J60" s="87">
        <f>IF(TrRoad_act!J36=0,0,J23/TrRoad_act!J36*1000
)</f>
        <v>407.10630235280439</v>
      </c>
      <c r="K60" s="87">
        <f>IF(TrRoad_act!K36=0,0,K23/TrRoad_act!K36*1000
)</f>
        <v>666.37989020767566</v>
      </c>
      <c r="L60" s="87">
        <f>IF(TrRoad_act!L36=0,0,L23/TrRoad_act!L36*1000
)</f>
        <v>194.33041651448983</v>
      </c>
      <c r="M60" s="87">
        <f>IF(TrRoad_act!M36=0,0,M23/TrRoad_act!M36*1000
)</f>
        <v>272.80566539274611</v>
      </c>
      <c r="N60" s="87">
        <f>IF(TrRoad_act!N36=0,0,N23/TrRoad_act!N36*1000
)</f>
        <v>215.49962429086045</v>
      </c>
      <c r="O60" s="87">
        <f>IF(TrRoad_act!O36=0,0,O23/TrRoad_act!O36*1000
)</f>
        <v>215.62863894907946</v>
      </c>
      <c r="P60" s="87">
        <f>IF(TrRoad_act!P36=0,0,P23/TrRoad_act!P36*1000
)</f>
        <v>214.97381851577796</v>
      </c>
      <c r="Q60" s="87">
        <f>IF(TrRoad_act!Q36=0,0,Q23/TrRoad_act!Q36*1000
)</f>
        <v>188.13092458680455</v>
      </c>
      <c r="R60" s="87">
        <f>IF(TrRoad_act!R36=0,0,R23/TrRoad_act!R36*1000
)</f>
        <v>216.8791070052701</v>
      </c>
      <c r="S60" s="87">
        <f>IF(TrRoad_act!S36=0,0,S23/TrRoad_act!S36*1000
)</f>
        <v>208.39549817855573</v>
      </c>
      <c r="T60" s="87">
        <f>IF(TrRoad_act!T36=0,0,T23/TrRoad_act!T36*1000
)</f>
        <v>197.70724401002627</v>
      </c>
      <c r="U60" s="87">
        <f>IF(TrRoad_act!U36=0,0,U23/TrRoad_act!U36*1000
)</f>
        <v>187.74981218083127</v>
      </c>
      <c r="V60" s="87">
        <f>IF(TrRoad_act!V36=0,0,V23/TrRoad_act!V36*1000
)</f>
        <v>149.09390664469549</v>
      </c>
      <c r="W60" s="87">
        <f>IF(TrRoad_act!W36=0,0,W23/TrRoad_act!W36*1000
)</f>
        <v>113.01863545879266</v>
      </c>
      <c r="X60" s="87">
        <f>IF(TrRoad_act!X36=0,0,X23/TrRoad_act!X36*1000
)</f>
        <v>107.36728197278124</v>
      </c>
      <c r="Y60" s="87">
        <f>IF(TrRoad_act!Y36=0,0,Y23/TrRoad_act!Y36*1000
)</f>
        <v>95.21124276091173</v>
      </c>
      <c r="DA60" s="171" t="s">
        <v>775</v>
      </c>
    </row>
    <row r="61" spans="1:105" ht="11.45" customHeight="1" x14ac:dyDescent="0.25">
      <c r="A61" s="111" t="s">
        <v>113</v>
      </c>
      <c r="B61" s="87">
        <f>IF(TrRoad_act!B37=0,0,B24/TrRoad_act!B37*1000
)</f>
        <v>0</v>
      </c>
      <c r="C61" s="87">
        <f>IF(TrRoad_act!C37=0,0,C24/TrRoad_act!C37*1000
)</f>
        <v>0</v>
      </c>
      <c r="D61" s="87">
        <f>IF(TrRoad_act!D37=0,0,D24/TrRoad_act!D37*1000
)</f>
        <v>0</v>
      </c>
      <c r="E61" s="87">
        <f>IF(TrRoad_act!E37=0,0,E24/TrRoad_act!E37*1000
)</f>
        <v>0</v>
      </c>
      <c r="F61" s="87">
        <f>IF(TrRoad_act!F37=0,0,F24/TrRoad_act!F37*1000
)</f>
        <v>0</v>
      </c>
      <c r="G61" s="87">
        <f>IF(TrRoad_act!G37=0,0,G24/TrRoad_act!G37*1000
)</f>
        <v>0</v>
      </c>
      <c r="H61" s="87">
        <f>IF(TrRoad_act!H37=0,0,H24/TrRoad_act!H37*1000
)</f>
        <v>0</v>
      </c>
      <c r="I61" s="87">
        <f>IF(TrRoad_act!I37=0,0,I24/TrRoad_act!I37*1000
)</f>
        <v>0</v>
      </c>
      <c r="J61" s="87">
        <f>IF(TrRoad_act!J37=0,0,J24/TrRoad_act!J37*1000
)</f>
        <v>0</v>
      </c>
      <c r="K61" s="87">
        <f>IF(TrRoad_act!K37=0,0,K24/TrRoad_act!K37*1000
)</f>
        <v>0</v>
      </c>
      <c r="L61" s="87">
        <f>IF(TrRoad_act!L37=0,0,L24/TrRoad_act!L37*1000
)</f>
        <v>0</v>
      </c>
      <c r="M61" s="87">
        <f>IF(TrRoad_act!M37=0,0,M24/TrRoad_act!M37*1000
)</f>
        <v>0</v>
      </c>
      <c r="N61" s="87">
        <f>IF(TrRoad_act!N37=0,0,N24/TrRoad_act!N37*1000
)</f>
        <v>0</v>
      </c>
      <c r="O61" s="87">
        <f>IF(TrRoad_act!O37=0,0,O24/TrRoad_act!O37*1000
)</f>
        <v>0</v>
      </c>
      <c r="P61" s="87">
        <f>IF(TrRoad_act!P37=0,0,P24/TrRoad_act!P37*1000
)</f>
        <v>0</v>
      </c>
      <c r="Q61" s="87">
        <f>IF(TrRoad_act!Q37=0,0,Q24/TrRoad_act!Q37*1000
)</f>
        <v>0</v>
      </c>
      <c r="R61" s="87">
        <f>IF(TrRoad_act!R37=0,0,R24/TrRoad_act!R37*1000
)</f>
        <v>0</v>
      </c>
      <c r="S61" s="87">
        <f>IF(TrRoad_act!S37=0,0,S24/TrRoad_act!S37*1000
)</f>
        <v>0</v>
      </c>
      <c r="T61" s="87">
        <f>IF(TrRoad_act!T37=0,0,T24/TrRoad_act!T37*1000
)</f>
        <v>0</v>
      </c>
      <c r="U61" s="87">
        <f>IF(TrRoad_act!U37=0,0,U24/TrRoad_act!U37*1000
)</f>
        <v>0</v>
      </c>
      <c r="V61" s="87">
        <f>IF(TrRoad_act!V37=0,0,V24/TrRoad_act!V37*1000
)</f>
        <v>0</v>
      </c>
      <c r="W61" s="87">
        <f>IF(TrRoad_act!W37=0,0,W24/TrRoad_act!W37*1000
)</f>
        <v>0</v>
      </c>
      <c r="X61" s="87">
        <f>IF(TrRoad_act!X37=0,0,X24/TrRoad_act!X37*1000
)</f>
        <v>0</v>
      </c>
      <c r="Y61" s="87">
        <f>IF(TrRoad_act!Y37=0,0,Y24/TrRoad_act!Y37*1000
)</f>
        <v>0</v>
      </c>
      <c r="DA61" s="171" t="s">
        <v>776</v>
      </c>
    </row>
    <row r="62" spans="1:105" ht="11.45" customHeight="1" x14ac:dyDescent="0.25">
      <c r="A62" s="111" t="s">
        <v>114</v>
      </c>
      <c r="B62" s="87">
        <f>IF(TrRoad_act!B38=0,0,B25/TrRoad_act!B38*1000
)</f>
        <v>0</v>
      </c>
      <c r="C62" s="87">
        <f>IF(TrRoad_act!C38=0,0,C25/TrRoad_act!C38*1000
)</f>
        <v>0</v>
      </c>
      <c r="D62" s="87">
        <f>IF(TrRoad_act!D38=0,0,D25/TrRoad_act!D38*1000
)</f>
        <v>0</v>
      </c>
      <c r="E62" s="87">
        <f>IF(TrRoad_act!E38=0,0,E25/TrRoad_act!E38*1000
)</f>
        <v>0</v>
      </c>
      <c r="F62" s="87">
        <f>IF(TrRoad_act!F38=0,0,F25/TrRoad_act!F38*1000
)</f>
        <v>0</v>
      </c>
      <c r="G62" s="87">
        <f>IF(TrRoad_act!G38=0,0,G25/TrRoad_act!G38*1000
)</f>
        <v>0</v>
      </c>
      <c r="H62" s="87">
        <f>IF(TrRoad_act!H38=0,0,H25/TrRoad_act!H38*1000
)</f>
        <v>0</v>
      </c>
      <c r="I62" s="87">
        <f>IF(TrRoad_act!I38=0,0,I25/TrRoad_act!I38*1000
)</f>
        <v>0</v>
      </c>
      <c r="J62" s="87">
        <f>IF(TrRoad_act!J38=0,0,J25/TrRoad_act!J38*1000
)</f>
        <v>0</v>
      </c>
      <c r="K62" s="87">
        <f>IF(TrRoad_act!K38=0,0,K25/TrRoad_act!K38*1000
)</f>
        <v>0</v>
      </c>
      <c r="L62" s="87">
        <f>IF(TrRoad_act!L38=0,0,L25/TrRoad_act!L38*1000
)</f>
        <v>0</v>
      </c>
      <c r="M62" s="87">
        <f>IF(TrRoad_act!M38=0,0,M25/TrRoad_act!M38*1000
)</f>
        <v>0</v>
      </c>
      <c r="N62" s="87">
        <f>IF(TrRoad_act!N38=0,0,N25/TrRoad_act!N38*1000
)</f>
        <v>136.59801982676379</v>
      </c>
      <c r="O62" s="87">
        <f>IF(TrRoad_act!O38=0,0,O25/TrRoad_act!O38*1000
)</f>
        <v>119.81954421235719</v>
      </c>
      <c r="P62" s="87">
        <f>IF(TrRoad_act!P38=0,0,P25/TrRoad_act!P38*1000
)</f>
        <v>113.91689801591521</v>
      </c>
      <c r="Q62" s="87">
        <f>IF(TrRoad_act!Q38=0,0,Q25/TrRoad_act!Q38*1000
)</f>
        <v>98.989040031899719</v>
      </c>
      <c r="R62" s="87">
        <f>IF(TrRoad_act!R38=0,0,R25/TrRoad_act!R38*1000
)</f>
        <v>61.006324462406191</v>
      </c>
      <c r="S62" s="87">
        <f>IF(TrRoad_act!S38=0,0,S25/TrRoad_act!S38*1000
)</f>
        <v>71.71997176794693</v>
      </c>
      <c r="T62" s="87">
        <f>IF(TrRoad_act!T38=0,0,T25/TrRoad_act!T38*1000
)</f>
        <v>63.974257301663606</v>
      </c>
      <c r="U62" s="87">
        <f>IF(TrRoad_act!U38=0,0,U25/TrRoad_act!U38*1000
)</f>
        <v>59.891972878881049</v>
      </c>
      <c r="V62" s="87">
        <f>IF(TrRoad_act!V38=0,0,V25/TrRoad_act!V38*1000
)</f>
        <v>53.079418004424831</v>
      </c>
      <c r="W62" s="87">
        <f>IF(TrRoad_act!W38=0,0,W25/TrRoad_act!W38*1000
)</f>
        <v>43.655454576534495</v>
      </c>
      <c r="X62" s="87">
        <f>IF(TrRoad_act!X38=0,0,X25/TrRoad_act!X38*1000
)</f>
        <v>39.69015676798756</v>
      </c>
      <c r="Y62" s="87">
        <f>IF(TrRoad_act!Y38=0,0,Y25/TrRoad_act!Y38*1000
)</f>
        <v>55.546468346747716</v>
      </c>
      <c r="DA62" s="171" t="s">
        <v>777</v>
      </c>
    </row>
    <row r="63" spans="1:105" ht="11.45" customHeight="1" x14ac:dyDescent="0.25">
      <c r="A63" s="111" t="s">
        <v>115</v>
      </c>
      <c r="B63" s="87">
        <f>IF(TrRoad_act!B39=0,0,B26/TrRoad_act!B39*1000
)</f>
        <v>0</v>
      </c>
      <c r="C63" s="87">
        <f>IF(TrRoad_act!C39=0,0,C26/TrRoad_act!C39*1000
)</f>
        <v>0</v>
      </c>
      <c r="D63" s="87">
        <f>IF(TrRoad_act!D39=0,0,D26/TrRoad_act!D39*1000
)</f>
        <v>0</v>
      </c>
      <c r="E63" s="87">
        <f>IF(TrRoad_act!E39=0,0,E26/TrRoad_act!E39*1000
)</f>
        <v>0</v>
      </c>
      <c r="F63" s="87">
        <f>IF(TrRoad_act!F39=0,0,F26/TrRoad_act!F39*1000
)</f>
        <v>0</v>
      </c>
      <c r="G63" s="87">
        <f>IF(TrRoad_act!G39=0,0,G26/TrRoad_act!G39*1000
)</f>
        <v>0</v>
      </c>
      <c r="H63" s="87">
        <f>IF(TrRoad_act!H39=0,0,H26/TrRoad_act!H39*1000
)</f>
        <v>0</v>
      </c>
      <c r="I63" s="87">
        <f>IF(TrRoad_act!I39=0,0,I26/TrRoad_act!I39*1000
)</f>
        <v>0</v>
      </c>
      <c r="J63" s="87">
        <f>IF(TrRoad_act!J39=0,0,J26/TrRoad_act!J39*1000
)</f>
        <v>0</v>
      </c>
      <c r="K63" s="87">
        <f>IF(TrRoad_act!K39=0,0,K26/TrRoad_act!K39*1000
)</f>
        <v>0</v>
      </c>
      <c r="L63" s="87">
        <f>IF(TrRoad_act!L39=0,0,L26/TrRoad_act!L39*1000
)</f>
        <v>0</v>
      </c>
      <c r="M63" s="87">
        <f>IF(TrRoad_act!M39=0,0,M26/TrRoad_act!M39*1000
)</f>
        <v>0</v>
      </c>
      <c r="N63" s="87">
        <f>IF(TrRoad_act!N39=0,0,N26/TrRoad_act!N39*1000
)</f>
        <v>0</v>
      </c>
      <c r="O63" s="87">
        <f>IF(TrRoad_act!O39=0,0,O26/TrRoad_act!O39*1000
)</f>
        <v>0</v>
      </c>
      <c r="P63" s="87">
        <f>IF(TrRoad_act!P39=0,0,P26/TrRoad_act!P39*1000
)</f>
        <v>0</v>
      </c>
      <c r="Q63" s="87">
        <f>IF(TrRoad_act!Q39=0,0,Q26/TrRoad_act!Q39*1000
)</f>
        <v>0</v>
      </c>
      <c r="R63" s="87">
        <f>IF(TrRoad_act!R39=0,0,R26/TrRoad_act!R39*1000
)</f>
        <v>0</v>
      </c>
      <c r="S63" s="87">
        <f>IF(TrRoad_act!S39=0,0,S26/TrRoad_act!S39*1000
)</f>
        <v>0</v>
      </c>
      <c r="T63" s="87">
        <f>IF(TrRoad_act!T39=0,0,T26/TrRoad_act!T39*1000
)</f>
        <v>0</v>
      </c>
      <c r="U63" s="87">
        <f>IF(TrRoad_act!U39=0,0,U26/TrRoad_act!U39*1000
)</f>
        <v>0</v>
      </c>
      <c r="V63" s="87">
        <f>IF(TrRoad_act!V39=0,0,V26/TrRoad_act!V39*1000
)</f>
        <v>0</v>
      </c>
      <c r="W63" s="87">
        <f>IF(TrRoad_act!W39=0,0,W26/TrRoad_act!W39*1000
)</f>
        <v>0</v>
      </c>
      <c r="X63" s="87">
        <f>IF(TrRoad_act!X39=0,0,X26/TrRoad_act!X39*1000
)</f>
        <v>0</v>
      </c>
      <c r="Y63" s="87">
        <f>IF(TrRoad_act!Y39=0,0,Y26/TrRoad_act!Y39*1000
)</f>
        <v>0</v>
      </c>
      <c r="DA63" s="171" t="s">
        <v>778</v>
      </c>
    </row>
    <row r="64" spans="1:105" ht="11.45" customHeight="1" x14ac:dyDescent="0.25">
      <c r="A64" s="109" t="s">
        <v>21</v>
      </c>
      <c r="B64" s="116">
        <f>IF(TrRoad_act!B40=0,0,B27/TrRoad_act!B40*1000
)</f>
        <v>1855.5001692863725</v>
      </c>
      <c r="C64" s="116">
        <f>IF(TrRoad_act!C40=0,0,C27/TrRoad_act!C40*1000
)</f>
        <v>1982.992861190128</v>
      </c>
      <c r="D64" s="116">
        <f>IF(TrRoad_act!D40=0,0,D27/TrRoad_act!D40*1000
)</f>
        <v>2008.843757996937</v>
      </c>
      <c r="E64" s="116">
        <f>IF(TrRoad_act!E40=0,0,E27/TrRoad_act!E40*1000
)</f>
        <v>1970.5885416731119</v>
      </c>
      <c r="F64" s="116">
        <f>IF(TrRoad_act!F40=0,0,F27/TrRoad_act!F40*1000
)</f>
        <v>1824.1085134793248</v>
      </c>
      <c r="G64" s="116">
        <f>IF(TrRoad_act!G40=0,0,G27/TrRoad_act!G40*1000
)</f>
        <v>1693.9653357058853</v>
      </c>
      <c r="H64" s="116">
        <f>IF(TrRoad_act!H40=0,0,H27/TrRoad_act!H40*1000
)</f>
        <v>1731.3867670301267</v>
      </c>
      <c r="I64" s="116">
        <f>IF(TrRoad_act!I40=0,0,I27/TrRoad_act!I40*1000
)</f>
        <v>1597.244044870595</v>
      </c>
      <c r="J64" s="116">
        <f>IF(TrRoad_act!J40=0,0,J27/TrRoad_act!J40*1000
)</f>
        <v>1596.3938960846481</v>
      </c>
      <c r="K64" s="116">
        <f>IF(TrRoad_act!K40=0,0,K27/TrRoad_act!K40*1000
)</f>
        <v>1594.7648939276485</v>
      </c>
      <c r="L64" s="116">
        <f>IF(TrRoad_act!L40=0,0,L27/TrRoad_act!L40*1000
)</f>
        <v>1627.8701541385585</v>
      </c>
      <c r="M64" s="116">
        <f>IF(TrRoad_act!M40=0,0,M27/TrRoad_act!M40*1000
)</f>
        <v>1574.2223784209086</v>
      </c>
      <c r="N64" s="116">
        <f>IF(TrRoad_act!N40=0,0,N27/TrRoad_act!N40*1000
)</f>
        <v>1579.0096102758589</v>
      </c>
      <c r="O64" s="116">
        <f>IF(TrRoad_act!O40=0,0,O27/TrRoad_act!O40*1000
)</f>
        <v>1537.7495972339761</v>
      </c>
      <c r="P64" s="116">
        <f>IF(TrRoad_act!P40=0,0,P27/TrRoad_act!P40*1000
)</f>
        <v>1555.6151345128433</v>
      </c>
      <c r="Q64" s="116">
        <f>IF(TrRoad_act!Q40=0,0,Q27/TrRoad_act!Q40*1000
)</f>
        <v>1543.5251873955106</v>
      </c>
      <c r="R64" s="116">
        <f>IF(TrRoad_act!R40=0,0,R27/TrRoad_act!R40*1000
)</f>
        <v>1558.800347627332</v>
      </c>
      <c r="S64" s="116">
        <f>IF(TrRoad_act!S40=0,0,S27/TrRoad_act!S40*1000
)</f>
        <v>1597.5266180500432</v>
      </c>
      <c r="T64" s="116">
        <f>IF(TrRoad_act!T40=0,0,T27/TrRoad_act!T40*1000
)</f>
        <v>1590.7340298766771</v>
      </c>
      <c r="U64" s="116">
        <f>IF(TrRoad_act!U40=0,0,U27/TrRoad_act!U40*1000
)</f>
        <v>1540.3019401599477</v>
      </c>
      <c r="V64" s="116">
        <f>IF(TrRoad_act!V40=0,0,V27/TrRoad_act!V40*1000
)</f>
        <v>1552.0525032483745</v>
      </c>
      <c r="W64" s="116">
        <f>IF(TrRoad_act!W40=0,0,W27/TrRoad_act!W40*1000
)</f>
        <v>1548.4325604029373</v>
      </c>
      <c r="X64" s="116">
        <f>IF(TrRoad_act!X40=0,0,X27/TrRoad_act!X40*1000
)</f>
        <v>1556.5518754673792</v>
      </c>
      <c r="Y64" s="116">
        <f>IF(TrRoad_act!Y40=0,0,Y27/TrRoad_act!Y40*1000
)</f>
        <v>1532.7323523889534</v>
      </c>
      <c r="DA64" s="176" t="s">
        <v>779</v>
      </c>
    </row>
    <row r="65" spans="1:105" ht="11.45" customHeight="1" x14ac:dyDescent="0.25">
      <c r="A65" s="111" t="s">
        <v>110</v>
      </c>
      <c r="B65" s="101">
        <f>IF(TrRoad_act!B41=0,0,B28/TrRoad_act!B41*1000
)</f>
        <v>0</v>
      </c>
      <c r="C65" s="101">
        <f>IF(TrRoad_act!C41=0,0,C28/TrRoad_act!C41*1000
)</f>
        <v>0</v>
      </c>
      <c r="D65" s="101">
        <f>IF(TrRoad_act!D41=0,0,D28/TrRoad_act!D41*1000
)</f>
        <v>0</v>
      </c>
      <c r="E65" s="101">
        <f>IF(TrRoad_act!E41=0,0,E28/TrRoad_act!E41*1000
)</f>
        <v>0</v>
      </c>
      <c r="F65" s="101">
        <f>IF(TrRoad_act!F41=0,0,F28/TrRoad_act!F41*1000
)</f>
        <v>0</v>
      </c>
      <c r="G65" s="101">
        <f>IF(TrRoad_act!G41=0,0,G28/TrRoad_act!G41*1000
)</f>
        <v>0</v>
      </c>
      <c r="H65" s="101">
        <f>IF(TrRoad_act!H41=0,0,H28/TrRoad_act!H41*1000
)</f>
        <v>0</v>
      </c>
      <c r="I65" s="101">
        <f>IF(TrRoad_act!I41=0,0,I28/TrRoad_act!I41*1000
)</f>
        <v>0</v>
      </c>
      <c r="J65" s="101">
        <f>IF(TrRoad_act!J41=0,0,J28/TrRoad_act!J41*1000
)</f>
        <v>482.70206938850316</v>
      </c>
      <c r="K65" s="101">
        <f>IF(TrRoad_act!K41=0,0,K28/TrRoad_act!K41*1000
)</f>
        <v>481.84950737892507</v>
      </c>
      <c r="L65" s="101">
        <f>IF(TrRoad_act!L41=0,0,L28/TrRoad_act!L41*1000
)</f>
        <v>466.67534223443408</v>
      </c>
      <c r="M65" s="101">
        <f>IF(TrRoad_act!M41=0,0,M28/TrRoad_act!M41*1000
)</f>
        <v>465.4131955888376</v>
      </c>
      <c r="N65" s="101">
        <f>IF(TrRoad_act!N41=0,0,N28/TrRoad_act!N41*1000
)</f>
        <v>461.34298066031772</v>
      </c>
      <c r="O65" s="101">
        <f>IF(TrRoad_act!O41=0,0,O28/TrRoad_act!O41*1000
)</f>
        <v>461.60964266788187</v>
      </c>
      <c r="P65" s="101">
        <f>IF(TrRoad_act!P41=0,0,P28/TrRoad_act!P41*1000
)</f>
        <v>467.49700806617352</v>
      </c>
      <c r="Q65" s="101">
        <f>IF(TrRoad_act!Q41=0,0,Q28/TrRoad_act!Q41*1000
)</f>
        <v>459.56913693929727</v>
      </c>
      <c r="R65" s="101">
        <f>IF(TrRoad_act!R41=0,0,R28/TrRoad_act!R41*1000
)</f>
        <v>453.95571139339984</v>
      </c>
      <c r="S65" s="101">
        <f>IF(TrRoad_act!S41=0,0,S28/TrRoad_act!S41*1000
)</f>
        <v>450.93484767911673</v>
      </c>
      <c r="T65" s="101">
        <f>IF(TrRoad_act!T41=0,0,T28/TrRoad_act!T41*1000
)</f>
        <v>450.7998446994884</v>
      </c>
      <c r="U65" s="101">
        <f>IF(TrRoad_act!U41=0,0,U28/TrRoad_act!U41*1000
)</f>
        <v>448.46606640466558</v>
      </c>
      <c r="V65" s="101">
        <f>IF(TrRoad_act!V41=0,0,V28/TrRoad_act!V41*1000
)</f>
        <v>448.34605855067059</v>
      </c>
      <c r="W65" s="101">
        <f>IF(TrRoad_act!W41=0,0,W28/TrRoad_act!W41*1000
)</f>
        <v>441.08795331836279</v>
      </c>
      <c r="X65" s="101">
        <f>IF(TrRoad_act!X41=0,0,X28/TrRoad_act!X41*1000
)</f>
        <v>429.21680593256946</v>
      </c>
      <c r="Y65" s="101">
        <f>IF(TrRoad_act!Y41=0,0,Y28/TrRoad_act!Y41*1000
)</f>
        <v>427.86493924018009</v>
      </c>
      <c r="DA65" s="175" t="s">
        <v>780</v>
      </c>
    </row>
    <row r="66" spans="1:105" ht="11.45" customHeight="1" x14ac:dyDescent="0.25">
      <c r="A66" s="111" t="s">
        <v>111</v>
      </c>
      <c r="B66" s="101">
        <f>IF(TrRoad_act!B42=0,0,B29/TrRoad_act!B42*1000
)</f>
        <v>1855.5001692863725</v>
      </c>
      <c r="C66" s="101">
        <f>IF(TrRoad_act!C42=0,0,C29/TrRoad_act!C42*1000
)</f>
        <v>1982.992861190128</v>
      </c>
      <c r="D66" s="101">
        <f>IF(TrRoad_act!D42=0,0,D29/TrRoad_act!D42*1000
)</f>
        <v>2008.843757996937</v>
      </c>
      <c r="E66" s="101">
        <f>IF(TrRoad_act!E42=0,0,E29/TrRoad_act!E42*1000
)</f>
        <v>1970.5885416731119</v>
      </c>
      <c r="F66" s="101">
        <f>IF(TrRoad_act!F42=0,0,F29/TrRoad_act!F42*1000
)</f>
        <v>1824.1085134793248</v>
      </c>
      <c r="G66" s="101">
        <f>IF(TrRoad_act!G42=0,0,G29/TrRoad_act!G42*1000
)</f>
        <v>1693.9653357058853</v>
      </c>
      <c r="H66" s="101">
        <f>IF(TrRoad_act!H42=0,0,H29/TrRoad_act!H42*1000
)</f>
        <v>1731.3867670301267</v>
      </c>
      <c r="I66" s="101">
        <f>IF(TrRoad_act!I42=0,0,I29/TrRoad_act!I42*1000
)</f>
        <v>1597.244044870595</v>
      </c>
      <c r="J66" s="101">
        <f>IF(TrRoad_act!J42=0,0,J29/TrRoad_act!J42*1000
)</f>
        <v>1600.3400069611023</v>
      </c>
      <c r="K66" s="101">
        <f>IF(TrRoad_act!K42=0,0,K29/TrRoad_act!K42*1000
)</f>
        <v>1598.6952594622624</v>
      </c>
      <c r="L66" s="101">
        <f>IF(TrRoad_act!L42=0,0,L29/TrRoad_act!L42*1000
)</f>
        <v>1632.2056193494304</v>
      </c>
      <c r="M66" s="101">
        <f>IF(TrRoad_act!M42=0,0,M29/TrRoad_act!M42*1000
)</f>
        <v>1578.3253878881585</v>
      </c>
      <c r="N66" s="101">
        <f>IF(TrRoad_act!N42=0,0,N29/TrRoad_act!N42*1000
)</f>
        <v>1582.9088033599019</v>
      </c>
      <c r="O66" s="101">
        <f>IF(TrRoad_act!O42=0,0,O29/TrRoad_act!O42*1000
)</f>
        <v>1541.3100123389524</v>
      </c>
      <c r="P66" s="101">
        <f>IF(TrRoad_act!P42=0,0,P29/TrRoad_act!P42*1000
)</f>
        <v>1559.0702228614882</v>
      </c>
      <c r="Q66" s="101">
        <f>IF(TrRoad_act!Q42=0,0,Q29/TrRoad_act!Q42*1000
)</f>
        <v>1546.6152101705673</v>
      </c>
      <c r="R66" s="101">
        <f>IF(TrRoad_act!R42=0,0,R29/TrRoad_act!R42*1000
)</f>
        <v>1561.79130710104</v>
      </c>
      <c r="S66" s="101">
        <f>IF(TrRoad_act!S42=0,0,S29/TrRoad_act!S42*1000
)</f>
        <v>1600.4806365244424</v>
      </c>
      <c r="T66" s="101">
        <f>IF(TrRoad_act!T42=0,0,T29/TrRoad_act!T42*1000
)</f>
        <v>1594.0130164355364</v>
      </c>
      <c r="U66" s="101">
        <f>IF(TrRoad_act!U42=0,0,U29/TrRoad_act!U42*1000
)</f>
        <v>1544.7000718603038</v>
      </c>
      <c r="V66" s="101">
        <f>IF(TrRoad_act!V42=0,0,V29/TrRoad_act!V42*1000
)</f>
        <v>1561.8909447946023</v>
      </c>
      <c r="W66" s="101">
        <f>IF(TrRoad_act!W42=0,0,W29/TrRoad_act!W42*1000
)</f>
        <v>1558.4582392774603</v>
      </c>
      <c r="X66" s="101">
        <f>IF(TrRoad_act!X42=0,0,X29/TrRoad_act!X42*1000
)</f>
        <v>1571.710916482549</v>
      </c>
      <c r="Y66" s="101">
        <f>IF(TrRoad_act!Y42=0,0,Y29/TrRoad_act!Y42*1000
)</f>
        <v>1562.6743755363118</v>
      </c>
      <c r="DA66" s="175" t="s">
        <v>781</v>
      </c>
    </row>
    <row r="67" spans="1:105" ht="11.45" customHeight="1" x14ac:dyDescent="0.25">
      <c r="A67" s="111" t="s">
        <v>112</v>
      </c>
      <c r="B67" s="101">
        <f>IF(TrRoad_act!B43=0,0,B30/TrRoad_act!B43*1000
)</f>
        <v>0</v>
      </c>
      <c r="C67" s="101">
        <f>IF(TrRoad_act!C43=0,0,C30/TrRoad_act!C43*1000
)</f>
        <v>0</v>
      </c>
      <c r="D67" s="101">
        <f>IF(TrRoad_act!D43=0,0,D30/TrRoad_act!D43*1000
)</f>
        <v>0</v>
      </c>
      <c r="E67" s="101">
        <f>IF(TrRoad_act!E43=0,0,E30/TrRoad_act!E43*1000
)</f>
        <v>0</v>
      </c>
      <c r="F67" s="101">
        <f>IF(TrRoad_act!F43=0,0,F30/TrRoad_act!F43*1000
)</f>
        <v>0</v>
      </c>
      <c r="G67" s="101">
        <f>IF(TrRoad_act!G43=0,0,G30/TrRoad_act!G43*1000
)</f>
        <v>0</v>
      </c>
      <c r="H67" s="101">
        <f>IF(TrRoad_act!H43=0,0,H30/TrRoad_act!H43*1000
)</f>
        <v>0</v>
      </c>
      <c r="I67" s="101">
        <f>IF(TrRoad_act!I43=0,0,I30/TrRoad_act!I43*1000
)</f>
        <v>0</v>
      </c>
      <c r="J67" s="101">
        <f>IF(TrRoad_act!J43=0,0,J30/TrRoad_act!J43*1000
)</f>
        <v>1184.5971547364279</v>
      </c>
      <c r="K67" s="101">
        <f>IF(TrRoad_act!K43=0,0,K30/TrRoad_act!K43*1000
)</f>
        <v>1184.4348441140578</v>
      </c>
      <c r="L67" s="101">
        <f>IF(TrRoad_act!L43=0,0,L30/TrRoad_act!L43*1000
)</f>
        <v>1186.3525801089361</v>
      </c>
      <c r="M67" s="101">
        <f>IF(TrRoad_act!M43=0,0,M30/TrRoad_act!M43*1000
)</f>
        <v>1187.0104825433741</v>
      </c>
      <c r="N67" s="101">
        <f>IF(TrRoad_act!N43=0,0,N30/TrRoad_act!N43*1000
)</f>
        <v>1187.0104825433743</v>
      </c>
      <c r="O67" s="101">
        <f>IF(TrRoad_act!O43=0,0,O30/TrRoad_act!O43*1000
)</f>
        <v>1187.5023653051101</v>
      </c>
      <c r="P67" s="101">
        <f>IF(TrRoad_act!P43=0,0,P30/TrRoad_act!P43*1000
)</f>
        <v>1188.0494926150618</v>
      </c>
      <c r="Q67" s="101">
        <f>IF(TrRoad_act!Q43=0,0,Q30/TrRoad_act!Q43*1000
)</f>
        <v>1188.122748627505</v>
      </c>
      <c r="R67" s="101">
        <f>IF(TrRoad_act!R43=0,0,R30/TrRoad_act!R43*1000
)</f>
        <v>1188.3687899404258</v>
      </c>
      <c r="S67" s="101">
        <f>IF(TrRoad_act!S43=0,0,S30/TrRoad_act!S43*1000
)</f>
        <v>1188.4124557543778</v>
      </c>
      <c r="T67" s="101">
        <f>IF(TrRoad_act!T43=0,0,T30/TrRoad_act!T43*1000
)</f>
        <v>1189.7009845381888</v>
      </c>
      <c r="U67" s="101">
        <f>IF(TrRoad_act!U43=0,0,U30/TrRoad_act!U43*1000
)</f>
        <v>1189.8319289808446</v>
      </c>
      <c r="V67" s="101">
        <f>IF(TrRoad_act!V43=0,0,V30/TrRoad_act!V43*1000
)</f>
        <v>1189.825729955973</v>
      </c>
      <c r="W67" s="101">
        <f>IF(TrRoad_act!W43=0,0,W30/TrRoad_act!W43*1000
)</f>
        <v>1189.9279546791608</v>
      </c>
      <c r="X67" s="101">
        <f>IF(TrRoad_act!X43=0,0,X30/TrRoad_act!X43*1000
)</f>
        <v>1194.1598565780328</v>
      </c>
      <c r="Y67" s="101">
        <f>IF(TrRoad_act!Y43=0,0,Y30/TrRoad_act!Y43*1000
)</f>
        <v>1195.823720223985</v>
      </c>
      <c r="DA67" s="175" t="s">
        <v>782</v>
      </c>
    </row>
    <row r="68" spans="1:105" ht="11.45" customHeight="1" x14ac:dyDescent="0.25">
      <c r="A68" s="111" t="s">
        <v>113</v>
      </c>
      <c r="B68" s="101">
        <f>IF(TrRoad_act!B44=0,0,B31/TrRoad_act!B44*1000
)</f>
        <v>0</v>
      </c>
      <c r="C68" s="101">
        <f>IF(TrRoad_act!C44=0,0,C31/TrRoad_act!C44*1000
)</f>
        <v>0</v>
      </c>
      <c r="D68" s="101">
        <f>IF(TrRoad_act!D44=0,0,D31/TrRoad_act!D44*1000
)</f>
        <v>0</v>
      </c>
      <c r="E68" s="101">
        <f>IF(TrRoad_act!E44=0,0,E31/TrRoad_act!E44*1000
)</f>
        <v>0</v>
      </c>
      <c r="F68" s="101">
        <f>IF(TrRoad_act!F44=0,0,F31/TrRoad_act!F44*1000
)</f>
        <v>0</v>
      </c>
      <c r="G68" s="101">
        <f>IF(TrRoad_act!G44=0,0,G31/TrRoad_act!G44*1000
)</f>
        <v>0</v>
      </c>
      <c r="H68" s="101">
        <f>IF(TrRoad_act!H44=0,0,H31/TrRoad_act!H44*1000
)</f>
        <v>0</v>
      </c>
      <c r="I68" s="101">
        <f>IF(TrRoad_act!I44=0,0,I31/TrRoad_act!I44*1000
)</f>
        <v>0</v>
      </c>
      <c r="J68" s="101">
        <f>IF(TrRoad_act!J44=0,0,J31/TrRoad_act!J44*1000
)</f>
        <v>0</v>
      </c>
      <c r="K68" s="101">
        <f>IF(TrRoad_act!K44=0,0,K31/TrRoad_act!K44*1000
)</f>
        <v>0</v>
      </c>
      <c r="L68" s="101">
        <f>IF(TrRoad_act!L44=0,0,L31/TrRoad_act!L44*1000
)</f>
        <v>0</v>
      </c>
      <c r="M68" s="101">
        <f>IF(TrRoad_act!M44=0,0,M31/TrRoad_act!M44*1000
)</f>
        <v>0</v>
      </c>
      <c r="N68" s="101">
        <f>IF(TrRoad_act!N44=0,0,N31/TrRoad_act!N44*1000
)</f>
        <v>0</v>
      </c>
      <c r="O68" s="101">
        <f>IF(TrRoad_act!O44=0,0,O31/TrRoad_act!O44*1000
)</f>
        <v>0</v>
      </c>
      <c r="P68" s="101">
        <f>IF(TrRoad_act!P44=0,0,P31/TrRoad_act!P44*1000
)</f>
        <v>0</v>
      </c>
      <c r="Q68" s="101">
        <f>IF(TrRoad_act!Q44=0,0,Q31/TrRoad_act!Q44*1000
)</f>
        <v>0</v>
      </c>
      <c r="R68" s="101">
        <f>IF(TrRoad_act!R44=0,0,R31/TrRoad_act!R44*1000
)</f>
        <v>0</v>
      </c>
      <c r="S68" s="101">
        <f>IF(TrRoad_act!S44=0,0,S31/TrRoad_act!S44*1000
)</f>
        <v>0</v>
      </c>
      <c r="T68" s="101">
        <f>IF(TrRoad_act!T44=0,0,T31/TrRoad_act!T44*1000
)</f>
        <v>0</v>
      </c>
      <c r="U68" s="101">
        <f>IF(TrRoad_act!U44=0,0,U31/TrRoad_act!U44*1000
)</f>
        <v>0</v>
      </c>
      <c r="V68" s="101">
        <f>IF(TrRoad_act!V44=0,0,V31/TrRoad_act!V44*1000
)</f>
        <v>0</v>
      </c>
      <c r="W68" s="101">
        <f>IF(TrRoad_act!W44=0,0,W31/TrRoad_act!W44*1000
)</f>
        <v>0</v>
      </c>
      <c r="X68" s="101">
        <f>IF(TrRoad_act!X44=0,0,X31/TrRoad_act!X44*1000
)</f>
        <v>0</v>
      </c>
      <c r="Y68" s="101">
        <f>IF(TrRoad_act!Y44=0,0,Y31/TrRoad_act!Y44*1000
)</f>
        <v>0</v>
      </c>
      <c r="DA68" s="175" t="s">
        <v>783</v>
      </c>
    </row>
    <row r="69" spans="1:105" ht="11.45" customHeight="1" x14ac:dyDescent="0.25">
      <c r="A69" s="111" t="s">
        <v>115</v>
      </c>
      <c r="B69" s="101">
        <f>IF(TrRoad_act!B45=0,0,B32/TrRoad_act!B45*1000
)</f>
        <v>0</v>
      </c>
      <c r="C69" s="101">
        <f>IF(TrRoad_act!C45=0,0,C32/TrRoad_act!C45*1000
)</f>
        <v>0</v>
      </c>
      <c r="D69" s="101">
        <f>IF(TrRoad_act!D45=0,0,D32/TrRoad_act!D45*1000
)</f>
        <v>0</v>
      </c>
      <c r="E69" s="101">
        <f>IF(TrRoad_act!E45=0,0,E32/TrRoad_act!E45*1000
)</f>
        <v>0</v>
      </c>
      <c r="F69" s="101">
        <f>IF(TrRoad_act!F45=0,0,F32/TrRoad_act!F45*1000
)</f>
        <v>0</v>
      </c>
      <c r="G69" s="101">
        <f>IF(TrRoad_act!G45=0,0,G32/TrRoad_act!G45*1000
)</f>
        <v>0</v>
      </c>
      <c r="H69" s="101">
        <f>IF(TrRoad_act!H45=0,0,H32/TrRoad_act!H45*1000
)</f>
        <v>0</v>
      </c>
      <c r="I69" s="101">
        <f>IF(TrRoad_act!I45=0,0,I32/TrRoad_act!I45*1000
)</f>
        <v>0</v>
      </c>
      <c r="J69" s="101">
        <f>IF(TrRoad_act!J45=0,0,J32/TrRoad_act!J45*1000
)</f>
        <v>0</v>
      </c>
      <c r="K69" s="101">
        <f>IF(TrRoad_act!K45=0,0,K32/TrRoad_act!K45*1000
)</f>
        <v>0</v>
      </c>
      <c r="L69" s="101">
        <f>IF(TrRoad_act!L45=0,0,L32/TrRoad_act!L45*1000
)</f>
        <v>0</v>
      </c>
      <c r="M69" s="101">
        <f>IF(TrRoad_act!M45=0,0,M32/TrRoad_act!M45*1000
)</f>
        <v>0</v>
      </c>
      <c r="N69" s="101">
        <f>IF(TrRoad_act!N45=0,0,N32/TrRoad_act!N45*1000
)</f>
        <v>0</v>
      </c>
      <c r="O69" s="101">
        <f>IF(TrRoad_act!O45=0,0,O32/TrRoad_act!O45*1000
)</f>
        <v>0</v>
      </c>
      <c r="P69" s="101">
        <f>IF(TrRoad_act!P45=0,0,P32/TrRoad_act!P45*1000
)</f>
        <v>0</v>
      </c>
      <c r="Q69" s="101">
        <f>IF(TrRoad_act!Q45=0,0,Q32/TrRoad_act!Q45*1000
)</f>
        <v>0</v>
      </c>
      <c r="R69" s="101">
        <f>IF(TrRoad_act!R45=0,0,R32/TrRoad_act!R45*1000
)</f>
        <v>0</v>
      </c>
      <c r="S69" s="101">
        <f>IF(TrRoad_act!S45=0,0,S32/TrRoad_act!S45*1000
)</f>
        <v>0</v>
      </c>
      <c r="T69" s="101">
        <f>IF(TrRoad_act!T45=0,0,T32/TrRoad_act!T45*1000
)</f>
        <v>0</v>
      </c>
      <c r="U69" s="101">
        <f>IF(TrRoad_act!U45=0,0,U32/TrRoad_act!U45*1000
)</f>
        <v>0</v>
      </c>
      <c r="V69" s="101">
        <f>IF(TrRoad_act!V45=0,0,V32/TrRoad_act!V45*1000
)</f>
        <v>0</v>
      </c>
      <c r="W69" s="101">
        <f>IF(TrRoad_act!W45=0,0,W32/TrRoad_act!W45*1000
)</f>
        <v>0</v>
      </c>
      <c r="X69" s="101">
        <f>IF(TrRoad_act!X45=0,0,X32/TrRoad_act!X45*1000
)</f>
        <v>0</v>
      </c>
      <c r="Y69" s="101">
        <f>IF(TrRoad_act!Y45=0,0,Y32/TrRoad_act!Y45*1000
)</f>
        <v>0</v>
      </c>
      <c r="DA69" s="175" t="s">
        <v>784</v>
      </c>
    </row>
    <row r="70" spans="1:105" ht="11.45" customHeight="1" x14ac:dyDescent="0.25">
      <c r="A70" s="27" t="s">
        <v>34</v>
      </c>
      <c r="B70" s="29">
        <f>IF(TrRoad_act!B46=0,0,B33/TrRoad_act!B46*1000
)</f>
        <v>535.36397748293973</v>
      </c>
      <c r="C70" s="29">
        <f>IF(TrRoad_act!C46=0,0,C33/TrRoad_act!C46*1000
)</f>
        <v>660.26832473160562</v>
      </c>
      <c r="D70" s="29">
        <f>IF(TrRoad_act!D46=0,0,D33/TrRoad_act!D46*1000
)</f>
        <v>689.84233626683863</v>
      </c>
      <c r="E70" s="29">
        <f>IF(TrRoad_act!E46=0,0,E33/TrRoad_act!E46*1000
)</f>
        <v>716.10094095590523</v>
      </c>
      <c r="F70" s="29">
        <f>IF(TrRoad_act!F46=0,0,F33/TrRoad_act!F46*1000
)</f>
        <v>634.89916483463617</v>
      </c>
      <c r="G70" s="29">
        <f>IF(TrRoad_act!G46=0,0,G33/TrRoad_act!G46*1000
)</f>
        <v>536.96232904143494</v>
      </c>
      <c r="H70" s="29">
        <f>IF(TrRoad_act!H46=0,0,H33/TrRoad_act!H46*1000
)</f>
        <v>580.92510931452159</v>
      </c>
      <c r="I70" s="29">
        <f>IF(TrRoad_act!I46=0,0,I33/TrRoad_act!I46*1000
)</f>
        <v>501.25364451016583</v>
      </c>
      <c r="J70" s="29">
        <f>IF(TrRoad_act!J46=0,0,J33/TrRoad_act!J46*1000
)</f>
        <v>495.48238279177855</v>
      </c>
      <c r="K70" s="29">
        <f>IF(TrRoad_act!K46=0,0,K33/TrRoad_act!K46*1000
)</f>
        <v>501.84979432557941</v>
      </c>
      <c r="L70" s="29">
        <f>IF(TrRoad_act!L46=0,0,L33/TrRoad_act!L46*1000
)</f>
        <v>467.00971299747033</v>
      </c>
      <c r="M70" s="29">
        <f>IF(TrRoad_act!M46=0,0,M33/TrRoad_act!M46*1000
)</f>
        <v>462.19274529093917</v>
      </c>
      <c r="N70" s="29">
        <f>IF(TrRoad_act!N46=0,0,N33/TrRoad_act!N46*1000
)</f>
        <v>441.15687396568126</v>
      </c>
      <c r="O70" s="29">
        <f>IF(TrRoad_act!O46=0,0,O33/TrRoad_act!O46*1000
)</f>
        <v>422.86104248286119</v>
      </c>
      <c r="P70" s="29">
        <f>IF(TrRoad_act!P46=0,0,P33/TrRoad_act!P46*1000
)</f>
        <v>402.56187824372478</v>
      </c>
      <c r="Q70" s="29">
        <f>IF(TrRoad_act!Q46=0,0,Q33/TrRoad_act!Q46*1000
)</f>
        <v>381.45817913353915</v>
      </c>
      <c r="R70" s="29">
        <f>IF(TrRoad_act!R46=0,0,R33/TrRoad_act!R46*1000
)</f>
        <v>397.77764839677201</v>
      </c>
      <c r="S70" s="29">
        <f>IF(TrRoad_act!S46=0,0,S33/TrRoad_act!S46*1000
)</f>
        <v>406.50768350143545</v>
      </c>
      <c r="T70" s="29">
        <f>IF(TrRoad_act!T46=0,0,T33/TrRoad_act!T46*1000
)</f>
        <v>381.9456564971988</v>
      </c>
      <c r="U70" s="29">
        <f>IF(TrRoad_act!U46=0,0,U33/TrRoad_act!U46*1000
)</f>
        <v>373.19666158994187</v>
      </c>
      <c r="V70" s="29">
        <f>IF(TrRoad_act!V46=0,0,V33/TrRoad_act!V46*1000
)</f>
        <v>356.26056710000745</v>
      </c>
      <c r="W70" s="29">
        <f>IF(TrRoad_act!W46=0,0,W33/TrRoad_act!W46*1000
)</f>
        <v>360.33943972394167</v>
      </c>
      <c r="X70" s="29">
        <f>IF(TrRoad_act!X46=0,0,X33/TrRoad_act!X46*1000
)</f>
        <v>390.10048935980041</v>
      </c>
      <c r="Y70" s="29">
        <f>IF(TrRoad_act!Y46=0,0,Y33/TrRoad_act!Y46*1000
)</f>
        <v>390.64514362319358</v>
      </c>
      <c r="DA70" s="173" t="s">
        <v>785</v>
      </c>
    </row>
    <row r="71" spans="1:105" ht="11.45" customHeight="1" x14ac:dyDescent="0.25">
      <c r="A71" s="136" t="s">
        <v>153</v>
      </c>
      <c r="B71" s="152">
        <f>IF(TrRoad_act!B47=0,0,B34/TrRoad_act!B47*1000
)</f>
        <v>314.76515682695737</v>
      </c>
      <c r="C71" s="152">
        <f>IF(TrRoad_act!C47=0,0,C34/TrRoad_act!C47*1000
)</f>
        <v>319.47619020329216</v>
      </c>
      <c r="D71" s="152">
        <f>IF(TrRoad_act!D47=0,0,D34/TrRoad_act!D47*1000
)</f>
        <v>317.88310048088846</v>
      </c>
      <c r="E71" s="152">
        <f>IF(TrRoad_act!E47=0,0,E34/TrRoad_act!E47*1000
)</f>
        <v>315.58315624662112</v>
      </c>
      <c r="F71" s="152">
        <f>IF(TrRoad_act!F47=0,0,F34/TrRoad_act!F47*1000
)</f>
        <v>303.94576254007376</v>
      </c>
      <c r="G71" s="152">
        <f>IF(TrRoad_act!G47=0,0,G34/TrRoad_act!G47*1000
)</f>
        <v>309.6055991730758</v>
      </c>
      <c r="H71" s="152">
        <f>IF(TrRoad_act!H47=0,0,H34/TrRoad_act!H47*1000
)</f>
        <v>310.14839031825392</v>
      </c>
      <c r="I71" s="152">
        <f>IF(TrRoad_act!I47=0,0,I34/TrRoad_act!I47*1000
)</f>
        <v>299.49728516216004</v>
      </c>
      <c r="J71" s="152">
        <f>IF(TrRoad_act!J47=0,0,J34/TrRoad_act!J47*1000
)</f>
        <v>296.91807498843485</v>
      </c>
      <c r="K71" s="152">
        <f>IF(TrRoad_act!K47=0,0,K34/TrRoad_act!K47*1000
)</f>
        <v>294.27559121151216</v>
      </c>
      <c r="L71" s="152">
        <f>IF(TrRoad_act!L47=0,0,L34/TrRoad_act!L47*1000
)</f>
        <v>294.58876705941941</v>
      </c>
      <c r="M71" s="152">
        <f>IF(TrRoad_act!M47=0,0,M34/TrRoad_act!M47*1000
)</f>
        <v>290.21955974322219</v>
      </c>
      <c r="N71" s="152">
        <f>IF(TrRoad_act!N47=0,0,N34/TrRoad_act!N47*1000
)</f>
        <v>298.00804029818187</v>
      </c>
      <c r="O71" s="152">
        <f>IF(TrRoad_act!O47=0,0,O34/TrRoad_act!O47*1000
)</f>
        <v>288.26811914443573</v>
      </c>
      <c r="P71" s="152">
        <f>IF(TrRoad_act!P47=0,0,P34/TrRoad_act!P47*1000
)</f>
        <v>287.11121559895429</v>
      </c>
      <c r="Q71" s="152">
        <f>IF(TrRoad_act!Q47=0,0,Q34/TrRoad_act!Q47*1000
)</f>
        <v>281.95351210630002</v>
      </c>
      <c r="R71" s="152">
        <f>IF(TrRoad_act!R47=0,0,R34/TrRoad_act!R47*1000
)</f>
        <v>281.04636945705403</v>
      </c>
      <c r="S71" s="152">
        <f>IF(TrRoad_act!S47=0,0,S34/TrRoad_act!S47*1000
)</f>
        <v>278.91464814764618</v>
      </c>
      <c r="T71" s="152">
        <f>IF(TrRoad_act!T47=0,0,T34/TrRoad_act!T47*1000
)</f>
        <v>273.30531194664724</v>
      </c>
      <c r="U71" s="152">
        <f>IF(TrRoad_act!U47=0,0,U34/TrRoad_act!U47*1000
)</f>
        <v>263.64721547127522</v>
      </c>
      <c r="V71" s="152">
        <f>IF(TrRoad_act!V47=0,0,V34/TrRoad_act!V47*1000
)</f>
        <v>254.98024636641213</v>
      </c>
      <c r="W71" s="152">
        <f>IF(TrRoad_act!W47=0,0,W34/TrRoad_act!W47*1000
)</f>
        <v>255.65914198092077</v>
      </c>
      <c r="X71" s="152">
        <f>IF(TrRoad_act!X47=0,0,X34/TrRoad_act!X47*1000
)</f>
        <v>256.87385548765218</v>
      </c>
      <c r="Y71" s="152">
        <f>IF(TrRoad_act!Y47=0,0,Y34/TrRoad_act!Y47*1000
)</f>
        <v>255.26111999937424</v>
      </c>
      <c r="DA71" s="174" t="s">
        <v>786</v>
      </c>
    </row>
    <row r="72" spans="1:105" ht="11.45" customHeight="1" x14ac:dyDescent="0.25">
      <c r="A72" s="111" t="s">
        <v>110</v>
      </c>
      <c r="B72" s="87">
        <f>IF(TrRoad_act!B48=0,0,B35/TrRoad_act!B48*1000
)</f>
        <v>357.09665866780699</v>
      </c>
      <c r="C72" s="87">
        <f>IF(TrRoad_act!C48=0,0,C35/TrRoad_act!C48*1000
)</f>
        <v>349.96099654029757</v>
      </c>
      <c r="D72" s="87">
        <f>IF(TrRoad_act!D48=0,0,D35/TrRoad_act!D48*1000
)</f>
        <v>342.84901892477791</v>
      </c>
      <c r="E72" s="87">
        <f>IF(TrRoad_act!E48=0,0,E35/TrRoad_act!E48*1000
)</f>
        <v>334.16117705052272</v>
      </c>
      <c r="F72" s="87">
        <f>IF(TrRoad_act!F48=0,0,F35/TrRoad_act!F48*1000
)</f>
        <v>325.34002647587687</v>
      </c>
      <c r="G72" s="87">
        <f>IF(TrRoad_act!G48=0,0,G35/TrRoad_act!G48*1000
)</f>
        <v>318.41410623036745</v>
      </c>
      <c r="H72" s="87">
        <f>IF(TrRoad_act!H48=0,0,H35/TrRoad_act!H48*1000
)</f>
        <v>308.66056910316013</v>
      </c>
      <c r="I72" s="87">
        <f>IF(TrRoad_act!I48=0,0,I35/TrRoad_act!I48*1000
)</f>
        <v>302.26392223084412</v>
      </c>
      <c r="J72" s="87">
        <f>IF(TrRoad_act!J48=0,0,J35/TrRoad_act!J48*1000
)</f>
        <v>297.44243170849956</v>
      </c>
      <c r="K72" s="87">
        <f>IF(TrRoad_act!K48=0,0,K35/TrRoad_act!K48*1000
)</f>
        <v>292.15718229015613</v>
      </c>
      <c r="L72" s="87">
        <f>IF(TrRoad_act!L48=0,0,L35/TrRoad_act!L48*1000
)</f>
        <v>279.33357228383034</v>
      </c>
      <c r="M72" s="87">
        <f>IF(TrRoad_act!M48=0,0,M35/TrRoad_act!M48*1000
)</f>
        <v>274.46723915076035</v>
      </c>
      <c r="N72" s="87">
        <f>IF(TrRoad_act!N48=0,0,N35/TrRoad_act!N48*1000
)</f>
        <v>267.59683981722139</v>
      </c>
      <c r="O72" s="87">
        <f>IF(TrRoad_act!O48=0,0,O35/TrRoad_act!O48*1000
)</f>
        <v>267.74980156174371</v>
      </c>
      <c r="P72" s="87">
        <f>IF(TrRoad_act!P48=0,0,P35/TrRoad_act!P48*1000
)</f>
        <v>266.87197597811183</v>
      </c>
      <c r="Q72" s="87">
        <f>IF(TrRoad_act!Q48=0,0,Q35/TrRoad_act!Q48*1000
)</f>
        <v>257.66685912972258</v>
      </c>
      <c r="R72" s="87">
        <f>IF(TrRoad_act!R48=0,0,R35/TrRoad_act!R48*1000
)</f>
        <v>249.24300036117643</v>
      </c>
      <c r="S72" s="87">
        <f>IF(TrRoad_act!S48=0,0,S35/TrRoad_act!S48*1000
)</f>
        <v>241.04857129969011</v>
      </c>
      <c r="T72" s="87">
        <f>IF(TrRoad_act!T48=0,0,T35/TrRoad_act!T48*1000
)</f>
        <v>237.08422084045282</v>
      </c>
      <c r="U72" s="87">
        <f>IF(TrRoad_act!U48=0,0,U35/TrRoad_act!U48*1000
)</f>
        <v>234.42759337775763</v>
      </c>
      <c r="V72" s="87">
        <f>IF(TrRoad_act!V48=0,0,V35/TrRoad_act!V48*1000
)</f>
        <v>233.19591028214512</v>
      </c>
      <c r="W72" s="87">
        <f>IF(TrRoad_act!W48=0,0,W35/TrRoad_act!W48*1000
)</f>
        <v>226.12457125521871</v>
      </c>
      <c r="X72" s="87">
        <f>IF(TrRoad_act!X48=0,0,X35/TrRoad_act!X48*1000
)</f>
        <v>218.66739269645578</v>
      </c>
      <c r="Y72" s="87">
        <f>IF(TrRoad_act!Y48=0,0,Y35/TrRoad_act!Y48*1000
)</f>
        <v>214.65336461030986</v>
      </c>
      <c r="DA72" s="171" t="s">
        <v>787</v>
      </c>
    </row>
    <row r="73" spans="1:105" ht="11.45" customHeight="1" x14ac:dyDescent="0.25">
      <c r="A73" s="111" t="s">
        <v>111</v>
      </c>
      <c r="B73" s="87">
        <f>IF(TrRoad_act!B49=0,0,B36/TrRoad_act!B49*1000
)</f>
        <v>292.05033480402415</v>
      </c>
      <c r="C73" s="87">
        <f>IF(TrRoad_act!C49=0,0,C36/TrRoad_act!C49*1000
)</f>
        <v>303.62384738656942</v>
      </c>
      <c r="D73" s="87">
        <f>IF(TrRoad_act!D49=0,0,D36/TrRoad_act!D49*1000
)</f>
        <v>305.40660123057188</v>
      </c>
      <c r="E73" s="87">
        <f>IF(TrRoad_act!E49=0,0,E36/TrRoad_act!E49*1000
)</f>
        <v>306.68044008025862</v>
      </c>
      <c r="F73" s="87">
        <f>IF(TrRoad_act!F49=0,0,F36/TrRoad_act!F49*1000
)</f>
        <v>294.12124175937146</v>
      </c>
      <c r="G73" s="87">
        <f>IF(TrRoad_act!G49=0,0,G36/TrRoad_act!G49*1000
)</f>
        <v>305.71560826265971</v>
      </c>
      <c r="H73" s="87">
        <f>IF(TrRoad_act!H49=0,0,H36/TrRoad_act!H49*1000
)</f>
        <v>310.77249224666292</v>
      </c>
      <c r="I73" s="87">
        <f>IF(TrRoad_act!I49=0,0,I36/TrRoad_act!I49*1000
)</f>
        <v>298.38513582046716</v>
      </c>
      <c r="J73" s="87">
        <f>IF(TrRoad_act!J49=0,0,J36/TrRoad_act!J49*1000
)</f>
        <v>296.74331672923034</v>
      </c>
      <c r="K73" s="87">
        <f>IF(TrRoad_act!K49=0,0,K36/TrRoad_act!K49*1000
)</f>
        <v>294.93586537967849</v>
      </c>
      <c r="L73" s="87">
        <f>IF(TrRoad_act!L49=0,0,L36/TrRoad_act!L49*1000
)</f>
        <v>299.00986746785998</v>
      </c>
      <c r="M73" s="87">
        <f>IF(TrRoad_act!M49=0,0,M36/TrRoad_act!M49*1000
)</f>
        <v>294.2856140552804</v>
      </c>
      <c r="N73" s="87">
        <f>IF(TrRoad_act!N49=0,0,N36/TrRoad_act!N49*1000
)</f>
        <v>305.15655367402536</v>
      </c>
      <c r="O73" s="87">
        <f>IF(TrRoad_act!O49=0,0,O36/TrRoad_act!O49*1000
)</f>
        <v>292.34288622938158</v>
      </c>
      <c r="P73" s="87">
        <f>IF(TrRoad_act!P49=0,0,P36/TrRoad_act!P49*1000
)</f>
        <v>290.45482313850027</v>
      </c>
      <c r="Q73" s="87">
        <f>IF(TrRoad_act!Q49=0,0,Q36/TrRoad_act!Q49*1000
)</f>
        <v>285.22022389709161</v>
      </c>
      <c r="R73" s="87">
        <f>IF(TrRoad_act!R49=0,0,R36/TrRoad_act!R49*1000
)</f>
        <v>285.46582303093362</v>
      </c>
      <c r="S73" s="87">
        <f>IF(TrRoad_act!S49=0,0,S36/TrRoad_act!S49*1000
)</f>
        <v>283.93907051378613</v>
      </c>
      <c r="T73" s="87">
        <f>IF(TrRoad_act!T49=0,0,T36/TrRoad_act!T49*1000
)</f>
        <v>277.73034716409057</v>
      </c>
      <c r="U73" s="87">
        <f>IF(TrRoad_act!U49=0,0,U36/TrRoad_act!U49*1000
)</f>
        <v>266.86730302321678</v>
      </c>
      <c r="V73" s="87">
        <f>IF(TrRoad_act!V49=0,0,V36/TrRoad_act!V49*1000
)</f>
        <v>257.20802458964448</v>
      </c>
      <c r="W73" s="87">
        <f>IF(TrRoad_act!W49=0,0,W36/TrRoad_act!W49*1000
)</f>
        <v>258.4979923488828</v>
      </c>
      <c r="X73" s="87">
        <f>IF(TrRoad_act!X49=0,0,X36/TrRoad_act!X49*1000
)</f>
        <v>260.40138195554226</v>
      </c>
      <c r="Y73" s="87">
        <f>IF(TrRoad_act!Y49=0,0,Y36/TrRoad_act!Y49*1000
)</f>
        <v>259.02122702452436</v>
      </c>
      <c r="DA73" s="171" t="s">
        <v>788</v>
      </c>
    </row>
    <row r="74" spans="1:105" ht="11.45" customHeight="1" x14ac:dyDescent="0.25">
      <c r="A74" s="111" t="s">
        <v>112</v>
      </c>
      <c r="B74" s="87">
        <f>IF(TrRoad_act!B50=0,0,B37/TrRoad_act!B50*1000
)</f>
        <v>0</v>
      </c>
      <c r="C74" s="87">
        <f>IF(TrRoad_act!C50=0,0,C37/TrRoad_act!C50*1000
)</f>
        <v>0</v>
      </c>
      <c r="D74" s="87">
        <f>IF(TrRoad_act!D50=0,0,D37/TrRoad_act!D50*1000
)</f>
        <v>0</v>
      </c>
      <c r="E74" s="87">
        <f>IF(TrRoad_act!E50=0,0,E37/TrRoad_act!E50*1000
)</f>
        <v>0</v>
      </c>
      <c r="F74" s="87">
        <f>IF(TrRoad_act!F50=0,0,F37/TrRoad_act!F50*1000
)</f>
        <v>0</v>
      </c>
      <c r="G74" s="87">
        <f>IF(TrRoad_act!G50=0,0,G37/TrRoad_act!G50*1000
)</f>
        <v>0</v>
      </c>
      <c r="H74" s="87">
        <f>IF(TrRoad_act!H50=0,0,H37/TrRoad_act!H50*1000
)</f>
        <v>0</v>
      </c>
      <c r="I74" s="87">
        <f>IF(TrRoad_act!I50=0,0,I37/TrRoad_act!I50*1000
)</f>
        <v>0</v>
      </c>
      <c r="J74" s="87">
        <f>IF(TrRoad_act!J50=0,0,J37/TrRoad_act!J50*1000
)</f>
        <v>472.87423634752867</v>
      </c>
      <c r="K74" s="87">
        <f>IF(TrRoad_act!K50=0,0,K37/TrRoad_act!K50*1000
)</f>
        <v>472.87423634752861</v>
      </c>
      <c r="L74" s="87">
        <f>IF(TrRoad_act!L50=0,0,L37/TrRoad_act!L50*1000
)</f>
        <v>472.87423634752867</v>
      </c>
      <c r="M74" s="87">
        <f>IF(TrRoad_act!M50=0,0,M37/TrRoad_act!M50*1000
)</f>
        <v>452.6319857935959</v>
      </c>
      <c r="N74" s="87">
        <f>IF(TrRoad_act!N50=0,0,N37/TrRoad_act!N50*1000
)</f>
        <v>428.39970899670431</v>
      </c>
      <c r="O74" s="87">
        <f>IF(TrRoad_act!O50=0,0,O37/TrRoad_act!O50*1000
)</f>
        <v>428.39970899670442</v>
      </c>
      <c r="P74" s="87">
        <f>IF(TrRoad_act!P50=0,0,P37/TrRoad_act!P50*1000
)</f>
        <v>395.68507544122605</v>
      </c>
      <c r="Q74" s="87">
        <f>IF(TrRoad_act!Q50=0,0,Q37/TrRoad_act!Q50*1000
)</f>
        <v>382.4657178204497</v>
      </c>
      <c r="R74" s="87">
        <f>IF(TrRoad_act!R50=0,0,R37/TrRoad_act!R50*1000
)</f>
        <v>331.61928303277432</v>
      </c>
      <c r="S74" s="87">
        <f>IF(TrRoad_act!S50=0,0,S37/TrRoad_act!S50*1000
)</f>
        <v>331.61928303277426</v>
      </c>
      <c r="T74" s="87">
        <f>IF(TrRoad_act!T50=0,0,T37/TrRoad_act!T50*1000
)</f>
        <v>325.08673014654698</v>
      </c>
      <c r="U74" s="87">
        <f>IF(TrRoad_act!U50=0,0,U37/TrRoad_act!U50*1000
)</f>
        <v>325.08673014654693</v>
      </c>
      <c r="V74" s="87">
        <f>IF(TrRoad_act!V50=0,0,V37/TrRoad_act!V50*1000
)</f>
        <v>317.42358147266776</v>
      </c>
      <c r="W74" s="87">
        <f>IF(TrRoad_act!W50=0,0,W37/TrRoad_act!W50*1000
)</f>
        <v>292.45185414747965</v>
      </c>
      <c r="X74" s="87">
        <f>IF(TrRoad_act!X50=0,0,X37/TrRoad_act!X50*1000
)</f>
        <v>266.60976676393545</v>
      </c>
      <c r="Y74" s="87">
        <f>IF(TrRoad_act!Y50=0,0,Y37/TrRoad_act!Y50*1000
)</f>
        <v>253.34133012746156</v>
      </c>
      <c r="DA74" s="171" t="s">
        <v>789</v>
      </c>
    </row>
    <row r="75" spans="1:105" ht="11.45" customHeight="1" x14ac:dyDescent="0.25">
      <c r="A75" s="111" t="s">
        <v>113</v>
      </c>
      <c r="B75" s="87">
        <f>IF(TrRoad_act!B51=0,0,B38/TrRoad_act!B51*1000
)</f>
        <v>0</v>
      </c>
      <c r="C75" s="87">
        <f>IF(TrRoad_act!C51=0,0,C38/TrRoad_act!C51*1000
)</f>
        <v>0</v>
      </c>
      <c r="D75" s="87">
        <f>IF(TrRoad_act!D51=0,0,D38/TrRoad_act!D51*1000
)</f>
        <v>0</v>
      </c>
      <c r="E75" s="87">
        <f>IF(TrRoad_act!E51=0,0,E38/TrRoad_act!E51*1000
)</f>
        <v>0</v>
      </c>
      <c r="F75" s="87">
        <f>IF(TrRoad_act!F51=0,0,F38/TrRoad_act!F51*1000
)</f>
        <v>0</v>
      </c>
      <c r="G75" s="87">
        <f>IF(TrRoad_act!G51=0,0,G38/TrRoad_act!G51*1000
)</f>
        <v>0</v>
      </c>
      <c r="H75" s="87">
        <f>IF(TrRoad_act!H51=0,0,H38/TrRoad_act!H51*1000
)</f>
        <v>0</v>
      </c>
      <c r="I75" s="87">
        <f>IF(TrRoad_act!I51=0,0,I38/TrRoad_act!I51*1000
)</f>
        <v>0</v>
      </c>
      <c r="J75" s="87">
        <f>IF(TrRoad_act!J51=0,0,J38/TrRoad_act!J51*1000
)</f>
        <v>0</v>
      </c>
      <c r="K75" s="87">
        <f>IF(TrRoad_act!K51=0,0,K38/TrRoad_act!K51*1000
)</f>
        <v>0</v>
      </c>
      <c r="L75" s="87">
        <f>IF(TrRoad_act!L51=0,0,L38/TrRoad_act!L51*1000
)</f>
        <v>0</v>
      </c>
      <c r="M75" s="87">
        <f>IF(TrRoad_act!M51=0,0,M38/TrRoad_act!M51*1000
)</f>
        <v>0</v>
      </c>
      <c r="N75" s="87">
        <f>IF(TrRoad_act!N51=0,0,N38/TrRoad_act!N51*1000
)</f>
        <v>0</v>
      </c>
      <c r="O75" s="87">
        <f>IF(TrRoad_act!O51=0,0,O38/TrRoad_act!O51*1000
)</f>
        <v>0</v>
      </c>
      <c r="P75" s="87">
        <f>IF(TrRoad_act!P51=0,0,P38/TrRoad_act!P51*1000
)</f>
        <v>0</v>
      </c>
      <c r="Q75" s="87">
        <f>IF(TrRoad_act!Q51=0,0,Q38/TrRoad_act!Q51*1000
)</f>
        <v>0</v>
      </c>
      <c r="R75" s="87">
        <f>IF(TrRoad_act!R51=0,0,R38/TrRoad_act!R51*1000
)</f>
        <v>0</v>
      </c>
      <c r="S75" s="87">
        <f>IF(TrRoad_act!S51=0,0,S38/TrRoad_act!S51*1000
)</f>
        <v>0</v>
      </c>
      <c r="T75" s="87">
        <f>IF(TrRoad_act!T51=0,0,T38/TrRoad_act!T51*1000
)</f>
        <v>0</v>
      </c>
      <c r="U75" s="87">
        <f>IF(TrRoad_act!U51=0,0,U38/TrRoad_act!U51*1000
)</f>
        <v>0</v>
      </c>
      <c r="V75" s="87">
        <f>IF(TrRoad_act!V51=0,0,V38/TrRoad_act!V51*1000
)</f>
        <v>0</v>
      </c>
      <c r="W75" s="87">
        <f>IF(TrRoad_act!W51=0,0,W38/TrRoad_act!W51*1000
)</f>
        <v>0</v>
      </c>
      <c r="X75" s="87">
        <f>IF(TrRoad_act!X51=0,0,X38/TrRoad_act!X51*1000
)</f>
        <v>0</v>
      </c>
      <c r="Y75" s="87">
        <f>IF(TrRoad_act!Y51=0,0,Y38/TrRoad_act!Y51*1000
)</f>
        <v>0</v>
      </c>
      <c r="DA75" s="171" t="s">
        <v>790</v>
      </c>
    </row>
    <row r="76" spans="1:105" ht="11.45" customHeight="1" x14ac:dyDescent="0.25">
      <c r="A76" s="111" t="s">
        <v>115</v>
      </c>
      <c r="B76" s="87">
        <f>IF(TrRoad_act!B52=0,0,B39/TrRoad_act!B52*1000
)</f>
        <v>0</v>
      </c>
      <c r="C76" s="87">
        <f>IF(TrRoad_act!C52=0,0,C39/TrRoad_act!C52*1000
)</f>
        <v>0</v>
      </c>
      <c r="D76" s="87">
        <f>IF(TrRoad_act!D52=0,0,D39/TrRoad_act!D52*1000
)</f>
        <v>0</v>
      </c>
      <c r="E76" s="87">
        <f>IF(TrRoad_act!E52=0,0,E39/TrRoad_act!E52*1000
)</f>
        <v>0</v>
      </c>
      <c r="F76" s="87">
        <f>IF(TrRoad_act!F52=0,0,F39/TrRoad_act!F52*1000
)</f>
        <v>0</v>
      </c>
      <c r="G76" s="87">
        <f>IF(TrRoad_act!G52=0,0,G39/TrRoad_act!G52*1000
)</f>
        <v>0</v>
      </c>
      <c r="H76" s="87">
        <f>IF(TrRoad_act!H52=0,0,H39/TrRoad_act!H52*1000
)</f>
        <v>0</v>
      </c>
      <c r="I76" s="87">
        <f>IF(TrRoad_act!I52=0,0,I39/TrRoad_act!I52*1000
)</f>
        <v>0</v>
      </c>
      <c r="J76" s="87">
        <f>IF(TrRoad_act!J52=0,0,J39/TrRoad_act!J52*1000
)</f>
        <v>0</v>
      </c>
      <c r="K76" s="87">
        <f>IF(TrRoad_act!K52=0,0,K39/TrRoad_act!K52*1000
)</f>
        <v>0</v>
      </c>
      <c r="L76" s="87">
        <f>IF(TrRoad_act!L52=0,0,L39/TrRoad_act!L52*1000
)</f>
        <v>0</v>
      </c>
      <c r="M76" s="87">
        <f>IF(TrRoad_act!M52=0,0,M39/TrRoad_act!M52*1000
)</f>
        <v>0</v>
      </c>
      <c r="N76" s="87">
        <f>IF(TrRoad_act!N52=0,0,N39/TrRoad_act!N52*1000
)</f>
        <v>0</v>
      </c>
      <c r="O76" s="87">
        <f>IF(TrRoad_act!O52=0,0,O39/TrRoad_act!O52*1000
)</f>
        <v>0</v>
      </c>
      <c r="P76" s="87">
        <f>IF(TrRoad_act!P52=0,0,P39/TrRoad_act!P52*1000
)</f>
        <v>0</v>
      </c>
      <c r="Q76" s="87">
        <f>IF(TrRoad_act!Q52=0,0,Q39/TrRoad_act!Q52*1000
)</f>
        <v>0</v>
      </c>
      <c r="R76" s="87">
        <f>IF(TrRoad_act!R52=0,0,R39/TrRoad_act!R52*1000
)</f>
        <v>0</v>
      </c>
      <c r="S76" s="87">
        <f>IF(TrRoad_act!S52=0,0,S39/TrRoad_act!S52*1000
)</f>
        <v>0</v>
      </c>
      <c r="T76" s="87">
        <f>IF(TrRoad_act!T52=0,0,T39/TrRoad_act!T52*1000
)</f>
        <v>0</v>
      </c>
      <c r="U76" s="87">
        <f>IF(TrRoad_act!U52=0,0,U39/TrRoad_act!U52*1000
)</f>
        <v>0</v>
      </c>
      <c r="V76" s="87">
        <f>IF(TrRoad_act!V52=0,0,V39/TrRoad_act!V52*1000
)</f>
        <v>0</v>
      </c>
      <c r="W76" s="87">
        <f>IF(TrRoad_act!W52=0,0,W39/TrRoad_act!W52*1000
)</f>
        <v>0</v>
      </c>
      <c r="X76" s="87">
        <f>IF(TrRoad_act!X52=0,0,X39/TrRoad_act!X52*1000
)</f>
        <v>0</v>
      </c>
      <c r="Y76" s="87">
        <f>IF(TrRoad_act!Y52=0,0,Y39/TrRoad_act!Y52*1000
)</f>
        <v>0</v>
      </c>
      <c r="DA76" s="171" t="s">
        <v>791</v>
      </c>
    </row>
    <row r="77" spans="1:105" ht="11.45" customHeight="1" x14ac:dyDescent="0.25">
      <c r="A77" s="109" t="s">
        <v>154</v>
      </c>
      <c r="B77" s="116">
        <f>IF(TrRoad_act!B53=0,0,B40/TrRoad_act!B53*1000
)</f>
        <v>1175.7455542555074</v>
      </c>
      <c r="C77" s="116">
        <f>IF(TrRoad_act!C53=0,0,C40/TrRoad_act!C53*1000
)</f>
        <v>1612.1601569129518</v>
      </c>
      <c r="D77" s="116">
        <f>IF(TrRoad_act!D53=0,0,D40/TrRoad_act!D53*1000
)</f>
        <v>1713.8545820525389</v>
      </c>
      <c r="E77" s="116">
        <f>IF(TrRoad_act!E53=0,0,E40/TrRoad_act!E53*1000
)</f>
        <v>1729.444010370996</v>
      </c>
      <c r="F77" s="116">
        <f>IF(TrRoad_act!F53=0,0,F40/TrRoad_act!F53*1000
)</f>
        <v>1417.5352933489339</v>
      </c>
      <c r="G77" s="116">
        <f>IF(TrRoad_act!G53=0,0,G40/TrRoad_act!G53*1000
)</f>
        <v>1002.4698104316385</v>
      </c>
      <c r="H77" s="116">
        <f>IF(TrRoad_act!H53=0,0,H40/TrRoad_act!H53*1000
)</f>
        <v>1195.0122486144128</v>
      </c>
      <c r="I77" s="116">
        <f>IF(TrRoad_act!I53=0,0,I40/TrRoad_act!I53*1000
)</f>
        <v>980.96359151683134</v>
      </c>
      <c r="J77" s="116">
        <f>IF(TrRoad_act!J53=0,0,J40/TrRoad_act!J53*1000
)</f>
        <v>1071.9357515178451</v>
      </c>
      <c r="K77" s="116">
        <f>IF(TrRoad_act!K53=0,0,K40/TrRoad_act!K53*1000
)</f>
        <v>1253.5538891029212</v>
      </c>
      <c r="L77" s="116">
        <f>IF(TrRoad_act!L53=0,0,L40/TrRoad_act!L53*1000
)</f>
        <v>1504.0907291567494</v>
      </c>
      <c r="M77" s="116">
        <f>IF(TrRoad_act!M53=0,0,M40/TrRoad_act!M53*1000
)</f>
        <v>1548.4997509902521</v>
      </c>
      <c r="N77" s="116">
        <f>IF(TrRoad_act!N53=0,0,N40/TrRoad_act!N53*1000
)</f>
        <v>1306.7481143682298</v>
      </c>
      <c r="O77" s="116">
        <f>IF(TrRoad_act!O53=0,0,O40/TrRoad_act!O53*1000
)</f>
        <v>1260.0070001485137</v>
      </c>
      <c r="P77" s="116">
        <f>IF(TrRoad_act!P53=0,0,P40/TrRoad_act!P53*1000
)</f>
        <v>1200.6028714034519</v>
      </c>
      <c r="Q77" s="116">
        <f>IF(TrRoad_act!Q53=0,0,Q40/TrRoad_act!Q53*1000
)</f>
        <v>1107.8100034879733</v>
      </c>
      <c r="R77" s="116">
        <f>IF(TrRoad_act!R53=0,0,R40/TrRoad_act!R53*1000
)</f>
        <v>1205.7972105264287</v>
      </c>
      <c r="S77" s="116">
        <f>IF(TrRoad_act!S53=0,0,S40/TrRoad_act!S53*1000
)</f>
        <v>1270.4652909217548</v>
      </c>
      <c r="T77" s="116">
        <f>IF(TrRoad_act!T53=0,0,T40/TrRoad_act!T53*1000
)</f>
        <v>1151.168821862731</v>
      </c>
      <c r="U77" s="116">
        <f>IF(TrRoad_act!U53=0,0,U40/TrRoad_act!U53*1000
)</f>
        <v>1109.33138122079</v>
      </c>
      <c r="V77" s="116">
        <f>IF(TrRoad_act!V53=0,0,V40/TrRoad_act!V53*1000
)</f>
        <v>1116.3090474230235</v>
      </c>
      <c r="W77" s="116">
        <f>IF(TrRoad_act!W53=0,0,W40/TrRoad_act!W53*1000
)</f>
        <v>1039.9314707262597</v>
      </c>
      <c r="X77" s="116">
        <f>IF(TrRoad_act!X53=0,0,X40/TrRoad_act!X53*1000
)</f>
        <v>1233.2050513533068</v>
      </c>
      <c r="Y77" s="116">
        <f>IF(TrRoad_act!Y53=0,0,Y40/TrRoad_act!Y53*1000
)</f>
        <v>1245.6201618672414</v>
      </c>
      <c r="DA77" s="176" t="s">
        <v>792</v>
      </c>
    </row>
    <row r="78" spans="1:105" ht="11.45" customHeight="1" x14ac:dyDescent="0.25">
      <c r="A78" s="128" t="s">
        <v>27</v>
      </c>
      <c r="B78" s="101">
        <f>IF(TrRoad_act!B54=0,0,B41/TrRoad_act!B54*1000
)</f>
        <v>1178.4328456010239</v>
      </c>
      <c r="C78" s="101">
        <f>IF(TrRoad_act!C54=0,0,C41/TrRoad_act!C54*1000
)</f>
        <v>1345.9131290294738</v>
      </c>
      <c r="D78" s="101">
        <f>IF(TrRoad_act!D54=0,0,D41/TrRoad_act!D54*1000
)</f>
        <v>1382.8866095575856</v>
      </c>
      <c r="E78" s="101">
        <f>IF(TrRoad_act!E54=0,0,E41/TrRoad_act!E54*1000
)</f>
        <v>1383.0195850138646</v>
      </c>
      <c r="F78" s="101">
        <f>IF(TrRoad_act!F54=0,0,F41/TrRoad_act!F54*1000
)</f>
        <v>1259.0597543347772</v>
      </c>
      <c r="G78" s="101">
        <f>IF(TrRoad_act!G54=0,0,G41/TrRoad_act!G54*1000
)</f>
        <v>1089.0054942869383</v>
      </c>
      <c r="H78" s="101">
        <f>IF(TrRoad_act!H54=0,0,H41/TrRoad_act!H54*1000
)</f>
        <v>1163.8077380214704</v>
      </c>
      <c r="I78" s="101">
        <f>IF(TrRoad_act!I54=0,0,I41/TrRoad_act!I54*1000
)</f>
        <v>1065.9733109957031</v>
      </c>
      <c r="J78" s="101">
        <f>IF(TrRoad_act!J54=0,0,J41/TrRoad_act!J54*1000
)</f>
        <v>1089.1614575231993</v>
      </c>
      <c r="K78" s="101">
        <f>IF(TrRoad_act!K54=0,0,K41/TrRoad_act!K54*1000
)</f>
        <v>1152.7584514375933</v>
      </c>
      <c r="L78" s="101">
        <f>IF(TrRoad_act!L54=0,0,L41/TrRoad_act!L54*1000
)</f>
        <v>1269.4960887665914</v>
      </c>
      <c r="M78" s="101">
        <f>IF(TrRoad_act!M54=0,0,M41/TrRoad_act!M54*1000
)</f>
        <v>1269.5009937839902</v>
      </c>
      <c r="N78" s="101">
        <f>IF(TrRoad_act!N54=0,0,N41/TrRoad_act!N54*1000
)</f>
        <v>1173.4915036631257</v>
      </c>
      <c r="O78" s="101">
        <f>IF(TrRoad_act!O54=0,0,O41/TrRoad_act!O54*1000
)</f>
        <v>1143.6693625379146</v>
      </c>
      <c r="P78" s="101">
        <f>IF(TrRoad_act!P54=0,0,P41/TrRoad_act!P54*1000
)</f>
        <v>1121.4637152970404</v>
      </c>
      <c r="Q78" s="101">
        <f>IF(TrRoad_act!Q54=0,0,Q41/TrRoad_act!Q54*1000
)</f>
        <v>1078.4912972614309</v>
      </c>
      <c r="R78" s="101">
        <f>IF(TrRoad_act!R54=0,0,R41/TrRoad_act!R54*1000
)</f>
        <v>1104.6217287072604</v>
      </c>
      <c r="S78" s="101">
        <f>IF(TrRoad_act!S54=0,0,S41/TrRoad_act!S54*1000
)</f>
        <v>1115.970472060558</v>
      </c>
      <c r="T78" s="101">
        <f>IF(TrRoad_act!T54=0,0,T41/TrRoad_act!T54*1000
)</f>
        <v>1057.3789260881347</v>
      </c>
      <c r="U78" s="101">
        <f>IF(TrRoad_act!U54=0,0,U41/TrRoad_act!U54*1000
)</f>
        <v>1015.7145249342087</v>
      </c>
      <c r="V78" s="101">
        <f>IF(TrRoad_act!V54=0,0,V41/TrRoad_act!V54*1000
)</f>
        <v>1005.0847010031212</v>
      </c>
      <c r="W78" s="101">
        <f>IF(TrRoad_act!W54=0,0,W41/TrRoad_act!W54*1000
)</f>
        <v>965.80160121953031</v>
      </c>
      <c r="X78" s="101">
        <f>IF(TrRoad_act!X54=0,0,X41/TrRoad_act!X54*1000
)</f>
        <v>1029.9072708027684</v>
      </c>
      <c r="Y78" s="101">
        <f>IF(TrRoad_act!Y54=0,0,Y41/TrRoad_act!Y54*1000
)</f>
        <v>1029.4190786020486</v>
      </c>
      <c r="DA78" s="175" t="s">
        <v>793</v>
      </c>
    </row>
    <row r="79" spans="1:105" ht="11.45" customHeight="1" x14ac:dyDescent="0.25">
      <c r="A79" s="138" t="s">
        <v>116</v>
      </c>
      <c r="B79" s="88">
        <f>IF(TrRoad_act!B55=0,0,B42/TrRoad_act!B55*1000
)</f>
        <v>1172.9354102760813</v>
      </c>
      <c r="C79" s="88">
        <f>IF(TrRoad_act!C55=0,0,C42/TrRoad_act!C55*1000
)</f>
        <v>1891.9524091047829</v>
      </c>
      <c r="D79" s="88">
        <f>IF(TrRoad_act!D55=0,0,D42/TrRoad_act!D55*1000
)</f>
        <v>2054.8565094948708</v>
      </c>
      <c r="E79" s="88">
        <f>IF(TrRoad_act!E55=0,0,E42/TrRoad_act!E55*1000
)</f>
        <v>2163.1349842967902</v>
      </c>
      <c r="F79" s="88">
        <f>IF(TrRoad_act!F55=0,0,F42/TrRoad_act!F55*1000
)</f>
        <v>1597.8086225071604</v>
      </c>
      <c r="G79" s="88">
        <f>IF(TrRoad_act!G55=0,0,G42/TrRoad_act!G55*1000
)</f>
        <v>876.5656427475077</v>
      </c>
      <c r="H79" s="88">
        <f>IF(TrRoad_act!H55=0,0,H42/TrRoad_act!H55*1000
)</f>
        <v>1266.2509752331937</v>
      </c>
      <c r="I79" s="88">
        <f>IF(TrRoad_act!I55=0,0,I42/TrRoad_act!I55*1000
)</f>
        <v>789.72186956805683</v>
      </c>
      <c r="J79" s="88">
        <f>IF(TrRoad_act!J55=0,0,J42/TrRoad_act!J55*1000
)</f>
        <v>1023.0628668555337</v>
      </c>
      <c r="K79" s="88">
        <f>IF(TrRoad_act!K55=0,0,K42/TrRoad_act!K55*1000
)</f>
        <v>1722.3410913385658</v>
      </c>
      <c r="L79" s="88">
        <f>IF(TrRoad_act!L55=0,0,L42/TrRoad_act!L55*1000
)</f>
        <v>2274.4411450990738</v>
      </c>
      <c r="M79" s="88">
        <f>IF(TrRoad_act!M55=0,0,M42/TrRoad_act!M55*1000
)</f>
        <v>2444.9065731863561</v>
      </c>
      <c r="N79" s="88">
        <f>IF(TrRoad_act!N55=0,0,N42/TrRoad_act!N55*1000
)</f>
        <v>1695.9508507564285</v>
      </c>
      <c r="O79" s="88">
        <f>IF(TrRoad_act!O55=0,0,O42/TrRoad_act!O55*1000
)</f>
        <v>1581.1846360242705</v>
      </c>
      <c r="P79" s="88">
        <f>IF(TrRoad_act!P55=0,0,P42/TrRoad_act!P55*1000
)</f>
        <v>1418.3053760484545</v>
      </c>
      <c r="Q79" s="88">
        <f>IF(TrRoad_act!Q55=0,0,Q42/TrRoad_act!Q55*1000
)</f>
        <v>1187.6468441628367</v>
      </c>
      <c r="R79" s="88">
        <f>IF(TrRoad_act!R55=0,0,R42/TrRoad_act!R55*1000
)</f>
        <v>1472.7221627143829</v>
      </c>
      <c r="S79" s="88">
        <f>IF(TrRoad_act!S55=0,0,S42/TrRoad_act!S55*1000
)</f>
        <v>1630.1162532901374</v>
      </c>
      <c r="T79" s="88">
        <f>IF(TrRoad_act!T55=0,0,T42/TrRoad_act!T55*1000
)</f>
        <v>1399.6757644620709</v>
      </c>
      <c r="U79" s="88">
        <f>IF(TrRoad_act!U55=0,0,U42/TrRoad_act!U55*1000
)</f>
        <v>1391.5265060197344</v>
      </c>
      <c r="V79" s="88">
        <f>IF(TrRoad_act!V55=0,0,V42/TrRoad_act!V55*1000
)</f>
        <v>1537.2734130369045</v>
      </c>
      <c r="W79" s="88">
        <f>IF(TrRoad_act!W55=0,0,W42/TrRoad_act!W55*1000
)</f>
        <v>1267.4481829258029</v>
      </c>
      <c r="X79" s="88">
        <f>IF(TrRoad_act!X55=0,0,X42/TrRoad_act!X55*1000
)</f>
        <v>1908.1736137563869</v>
      </c>
      <c r="Y79" s="88">
        <f>IF(TrRoad_act!Y55=0,0,Y42/TrRoad_act!Y55*1000
)</f>
        <v>1949.0172423499996</v>
      </c>
      <c r="DA79" s="178" t="s">
        <v>794</v>
      </c>
    </row>
    <row r="80" spans="1:105" x14ac:dyDescent="0.25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DA80" s="171"/>
    </row>
    <row r="81" spans="1:105" ht="11.45" customHeight="1" x14ac:dyDescent="0.25">
      <c r="A81" s="53" t="s">
        <v>71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DA81" s="172"/>
    </row>
    <row r="82" spans="1:105" ht="11.45" customHeight="1" x14ac:dyDescent="0.25">
      <c r="A82" s="27" t="s">
        <v>157</v>
      </c>
      <c r="B82" s="29">
        <f>IF(TrRoad_act!B4=0,0,B18/TrRoad_act!B4*1000)</f>
        <v>90.425452089059448</v>
      </c>
      <c r="C82" s="29">
        <f>IF(TrRoad_act!C4=0,0,C18/TrRoad_act!C4*1000)</f>
        <v>114.64760399550586</v>
      </c>
      <c r="D82" s="29">
        <f>IF(TrRoad_act!D4=0,0,D18/TrRoad_act!D4*1000)</f>
        <v>112.22562879073695</v>
      </c>
      <c r="E82" s="29">
        <f>IF(TrRoad_act!E4=0,0,E18/TrRoad_act!E4*1000)</f>
        <v>111.70833706069321</v>
      </c>
      <c r="F82" s="29">
        <f>IF(TrRoad_act!F4=0,0,F18/TrRoad_act!F4*1000)</f>
        <v>118.66881970560023</v>
      </c>
      <c r="G82" s="29">
        <f>IF(TrRoad_act!G4=0,0,G18/TrRoad_act!G4*1000)</f>
        <v>107.39188711652199</v>
      </c>
      <c r="H82" s="29">
        <f>IF(TrRoad_act!H4=0,0,H18/TrRoad_act!H4*1000)</f>
        <v>101.92972933500816</v>
      </c>
      <c r="I82" s="29">
        <f>IF(TrRoad_act!I4=0,0,I18/TrRoad_act!I4*1000)</f>
        <v>103.20673670518001</v>
      </c>
      <c r="J82" s="29">
        <f>IF(TrRoad_act!J4=0,0,J18/TrRoad_act!J4*1000)</f>
        <v>105.72668074259531</v>
      </c>
      <c r="K82" s="29">
        <f>IF(TrRoad_act!K4=0,0,K18/TrRoad_act!K4*1000)</f>
        <v>108.03927802183637</v>
      </c>
      <c r="L82" s="29">
        <f>IF(TrRoad_act!L4=0,0,L18/TrRoad_act!L4*1000)</f>
        <v>107.75230896204647</v>
      </c>
      <c r="M82" s="29">
        <f>IF(TrRoad_act!M4=0,0,M18/TrRoad_act!M4*1000)</f>
        <v>112.04456950681576</v>
      </c>
      <c r="N82" s="29">
        <f>IF(TrRoad_act!N4=0,0,N18/TrRoad_act!N4*1000)</f>
        <v>114.26042596100226</v>
      </c>
      <c r="O82" s="29">
        <f>IF(TrRoad_act!O4=0,0,O18/TrRoad_act!O4*1000)</f>
        <v>106.43779099386525</v>
      </c>
      <c r="P82" s="29">
        <f>IF(TrRoad_act!P4=0,0,P18/TrRoad_act!P4*1000)</f>
        <v>105.37448072855248</v>
      </c>
      <c r="Q82" s="29">
        <f>IF(TrRoad_act!Q4=0,0,Q18/TrRoad_act!Q4*1000)</f>
        <v>95.978143958575671</v>
      </c>
      <c r="R82" s="29">
        <f>IF(TrRoad_act!R4=0,0,R18/TrRoad_act!R4*1000)</f>
        <v>97.221740424523219</v>
      </c>
      <c r="S82" s="29">
        <f>IF(TrRoad_act!S4=0,0,S18/TrRoad_act!S4*1000)</f>
        <v>101.9012147557807</v>
      </c>
      <c r="T82" s="29">
        <f>IF(TrRoad_act!T4=0,0,T18/TrRoad_act!T4*1000)</f>
        <v>99.148716517824255</v>
      </c>
      <c r="U82" s="29">
        <f>IF(TrRoad_act!U4=0,0,U18/TrRoad_act!U4*1000)</f>
        <v>95.293463293580103</v>
      </c>
      <c r="V82" s="29">
        <f>IF(TrRoad_act!V4=0,0,V18/TrRoad_act!V4*1000)</f>
        <v>107.83661180998004</v>
      </c>
      <c r="W82" s="29">
        <f>IF(TrRoad_act!W4=0,0,W18/TrRoad_act!W4*1000)</f>
        <v>104.03752467904745</v>
      </c>
      <c r="X82" s="29">
        <f>IF(TrRoad_act!X4=0,0,X18/TrRoad_act!X4*1000)</f>
        <v>104.2814222322875</v>
      </c>
      <c r="Y82" s="29">
        <f>IF(TrRoad_act!Y4=0,0,Y18/TrRoad_act!Y4*1000)</f>
        <v>103.23409876621531</v>
      </c>
      <c r="DA82" s="173" t="s">
        <v>436</v>
      </c>
    </row>
    <row r="83" spans="1:105" ht="11.45" customHeight="1" x14ac:dyDescent="0.25">
      <c r="A83" s="136" t="s">
        <v>173</v>
      </c>
      <c r="B83" s="152">
        <f>IF(TrRoad_act!B5=0,0,B19/TrRoad_act!B5*1000)</f>
        <v>117.68222185121742</v>
      </c>
      <c r="C83" s="152">
        <f>IF(TrRoad_act!C5=0,0,C19/TrRoad_act!C5*1000)</f>
        <v>117.50906760200121</v>
      </c>
      <c r="D83" s="152">
        <f>IF(TrRoad_act!D5=0,0,D19/TrRoad_act!D5*1000)</f>
        <v>117.36429754713414</v>
      </c>
      <c r="E83" s="152">
        <f>IF(TrRoad_act!E5=0,0,E19/TrRoad_act!E5*1000)</f>
        <v>116.90228534187642</v>
      </c>
      <c r="F83" s="152">
        <f>IF(TrRoad_act!F5=0,0,F19/TrRoad_act!F5*1000)</f>
        <v>116.41138727547828</v>
      </c>
      <c r="G83" s="152">
        <f>IF(TrRoad_act!G5=0,0,G19/TrRoad_act!G5*1000)</f>
        <v>110.3741406201059</v>
      </c>
      <c r="H83" s="152">
        <f>IF(TrRoad_act!H5=0,0,H19/TrRoad_act!H5*1000)</f>
        <v>108.52450549456589</v>
      </c>
      <c r="I83" s="152">
        <f>IF(TrRoad_act!I5=0,0,I19/TrRoad_act!I5*1000)</f>
        <v>106.85169888991345</v>
      </c>
      <c r="J83" s="152">
        <f>IF(TrRoad_act!J5=0,0,J19/TrRoad_act!J5*1000)</f>
        <v>102.49976300706959</v>
      </c>
      <c r="K83" s="152">
        <f>IF(TrRoad_act!K5=0,0,K19/TrRoad_act!K5*1000)</f>
        <v>99.883862328939841</v>
      </c>
      <c r="L83" s="152">
        <f>IF(TrRoad_act!L5=0,0,L19/TrRoad_act!L5*1000)</f>
        <v>95.40282485548444</v>
      </c>
      <c r="M83" s="152">
        <f>IF(TrRoad_act!M5=0,0,M19/TrRoad_act!M5*1000)</f>
        <v>93.683045124990414</v>
      </c>
      <c r="N83" s="152">
        <f>IF(TrRoad_act!N5=0,0,N19/TrRoad_act!N5*1000)</f>
        <v>91.95042811341871</v>
      </c>
      <c r="O83" s="152">
        <f>IF(TrRoad_act!O5=0,0,O19/TrRoad_act!O5*1000)</f>
        <v>90.314544321165002</v>
      </c>
      <c r="P83" s="152">
        <f>IF(TrRoad_act!P5=0,0,P19/TrRoad_act!P5*1000)</f>
        <v>89.801907545398109</v>
      </c>
      <c r="Q83" s="152">
        <f>IF(TrRoad_act!Q5=0,0,Q19/TrRoad_act!Q5*1000)</f>
        <v>86.865867730276904</v>
      </c>
      <c r="R83" s="152">
        <f>IF(TrRoad_act!R5=0,0,R19/TrRoad_act!R5*1000)</f>
        <v>84.416721155596804</v>
      </c>
      <c r="S83" s="152">
        <f>IF(TrRoad_act!S5=0,0,S19/TrRoad_act!S5*1000)</f>
        <v>82.619422265533629</v>
      </c>
      <c r="T83" s="152">
        <f>IF(TrRoad_act!T5=0,0,T19/TrRoad_act!T5*1000)</f>
        <v>81.443814811373585</v>
      </c>
      <c r="U83" s="152">
        <f>IF(TrRoad_act!U5=0,0,U19/TrRoad_act!U5*1000)</f>
        <v>79.498249090271514</v>
      </c>
      <c r="V83" s="152">
        <f>IF(TrRoad_act!V5=0,0,V19/TrRoad_act!V5*1000)</f>
        <v>78.523208663889207</v>
      </c>
      <c r="W83" s="152">
        <f>IF(TrRoad_act!W5=0,0,W19/TrRoad_act!W5*1000)</f>
        <v>76.555503530632379</v>
      </c>
      <c r="X83" s="152">
        <f>IF(TrRoad_act!X5=0,0,X19/TrRoad_act!X5*1000)</f>
        <v>74.908990617168286</v>
      </c>
      <c r="Y83" s="152">
        <f>IF(TrRoad_act!Y5=0,0,Y19/TrRoad_act!Y5*1000)</f>
        <v>74.040671050404796</v>
      </c>
      <c r="DA83" s="174" t="s">
        <v>437</v>
      </c>
    </row>
    <row r="84" spans="1:105" ht="11.45" customHeight="1" x14ac:dyDescent="0.25">
      <c r="A84" s="109" t="s">
        <v>20</v>
      </c>
      <c r="B84" s="116">
        <f>IF(TrRoad_act!B6=0,0,B20/TrRoad_act!B6*1000)</f>
        <v>74.050919164154053</v>
      </c>
      <c r="C84" s="116">
        <f>IF(TrRoad_act!C6=0,0,C20/TrRoad_act!C6*1000)</f>
        <v>95.926411705774655</v>
      </c>
      <c r="D84" s="116">
        <f>IF(TrRoad_act!D6=0,0,D20/TrRoad_act!D6*1000)</f>
        <v>95.050351249768198</v>
      </c>
      <c r="E84" s="116">
        <f>IF(TrRoad_act!E6=0,0,E20/TrRoad_act!E6*1000)</f>
        <v>96.239910855909557</v>
      </c>
      <c r="F84" s="116">
        <f>IF(TrRoad_act!F6=0,0,F20/TrRoad_act!F6*1000)</f>
        <v>102.86244491345059</v>
      </c>
      <c r="G84" s="116">
        <f>IF(TrRoad_act!G6=0,0,G20/TrRoad_act!G6*1000)</f>
        <v>96.983904918453277</v>
      </c>
      <c r="H84" s="116">
        <f>IF(TrRoad_act!H6=0,0,H20/TrRoad_act!H6*1000)</f>
        <v>93.093644624287791</v>
      </c>
      <c r="I84" s="116">
        <f>IF(TrRoad_act!I6=0,0,I20/TrRoad_act!I6*1000)</f>
        <v>93.399418405860317</v>
      </c>
      <c r="J84" s="116">
        <f>IF(TrRoad_act!J6=0,0,J20/TrRoad_act!J6*1000)</f>
        <v>99.052537156172193</v>
      </c>
      <c r="K84" s="116">
        <f>IF(TrRoad_act!K6=0,0,K20/TrRoad_act!K6*1000)</f>
        <v>97.527019022350558</v>
      </c>
      <c r="L84" s="116">
        <f>IF(TrRoad_act!L6=0,0,L20/TrRoad_act!L6*1000)</f>
        <v>93.958845054146053</v>
      </c>
      <c r="M84" s="116">
        <f>IF(TrRoad_act!M6=0,0,M20/TrRoad_act!M6*1000)</f>
        <v>98.485474233807309</v>
      </c>
      <c r="N84" s="116">
        <f>IF(TrRoad_act!N6=0,0,N20/TrRoad_act!N6*1000)</f>
        <v>102.03528530747394</v>
      </c>
      <c r="O84" s="116">
        <f>IF(TrRoad_act!O6=0,0,O20/TrRoad_act!O6*1000)</f>
        <v>92.820042705406337</v>
      </c>
      <c r="P84" s="116">
        <f>IF(TrRoad_act!P6=0,0,P20/TrRoad_act!P6*1000)</f>
        <v>92.086140100483206</v>
      </c>
      <c r="Q84" s="116">
        <f>IF(TrRoad_act!Q6=0,0,Q20/TrRoad_act!Q6*1000)</f>
        <v>87.318809202490229</v>
      </c>
      <c r="R84" s="116">
        <f>IF(TrRoad_act!R6=0,0,R20/TrRoad_act!R6*1000)</f>
        <v>88.60234366032374</v>
      </c>
      <c r="S84" s="116">
        <f>IF(TrRoad_act!S6=0,0,S20/TrRoad_act!S6*1000)</f>
        <v>92.3920933874833</v>
      </c>
      <c r="T84" s="116">
        <f>IF(TrRoad_act!T6=0,0,T20/TrRoad_act!T6*1000)</f>
        <v>90.495712982936396</v>
      </c>
      <c r="U84" s="116">
        <f>IF(TrRoad_act!U6=0,0,U20/TrRoad_act!U6*1000)</f>
        <v>86.422724731373521</v>
      </c>
      <c r="V84" s="116">
        <f>IF(TrRoad_act!V6=0,0,V20/TrRoad_act!V6*1000)</f>
        <v>91.466349201211315</v>
      </c>
      <c r="W84" s="116">
        <f>IF(TrRoad_act!W6=0,0,W20/TrRoad_act!W6*1000)</f>
        <v>88.600448164893621</v>
      </c>
      <c r="X84" s="116">
        <f>IF(TrRoad_act!X6=0,0,X20/TrRoad_act!X6*1000)</f>
        <v>90.241418059149197</v>
      </c>
      <c r="Y84" s="116">
        <f>IF(TrRoad_act!Y6=0,0,Y20/TrRoad_act!Y6*1000)</f>
        <v>92.042054413999409</v>
      </c>
      <c r="DA84" s="176" t="s">
        <v>438</v>
      </c>
    </row>
    <row r="85" spans="1:105" ht="11.45" customHeight="1" x14ac:dyDescent="0.25">
      <c r="A85" s="111" t="s">
        <v>110</v>
      </c>
      <c r="B85" s="87">
        <f>IF(TrRoad_act!B7=0,0,B21/TrRoad_act!B7*1000)</f>
        <v>74.060845026780669</v>
      </c>
      <c r="C85" s="87">
        <f>IF(TrRoad_act!C7=0,0,C21/TrRoad_act!C7*1000)</f>
        <v>96.11065680387415</v>
      </c>
      <c r="D85" s="87">
        <f>IF(TrRoad_act!D7=0,0,D21/TrRoad_act!D7*1000)</f>
        <v>95.344896577541007</v>
      </c>
      <c r="E85" s="87">
        <f>IF(TrRoad_act!E7=0,0,E21/TrRoad_act!E7*1000)</f>
        <v>98.31700921540012</v>
      </c>
      <c r="F85" s="87">
        <f>IF(TrRoad_act!F7=0,0,F21/TrRoad_act!F7*1000)</f>
        <v>102.25048684106599</v>
      </c>
      <c r="G85" s="87">
        <f>IF(TrRoad_act!G7=0,0,G21/TrRoad_act!G7*1000)</f>
        <v>99.28838500403026</v>
      </c>
      <c r="H85" s="87">
        <f>IF(TrRoad_act!H7=0,0,H21/TrRoad_act!H7*1000)</f>
        <v>94.629826159131838</v>
      </c>
      <c r="I85" s="87">
        <f>IF(TrRoad_act!I7=0,0,I21/TrRoad_act!I7*1000)</f>
        <v>100.34779818737866</v>
      </c>
      <c r="J85" s="87">
        <f>IF(TrRoad_act!J7=0,0,J21/TrRoad_act!J7*1000)</f>
        <v>111.83868535584138</v>
      </c>
      <c r="K85" s="87">
        <f>IF(TrRoad_act!K7=0,0,K21/TrRoad_act!K7*1000)</f>
        <v>109.63238779764313</v>
      </c>
      <c r="L85" s="87">
        <f>IF(TrRoad_act!L7=0,0,L21/TrRoad_act!L7*1000)</f>
        <v>102.47478037959992</v>
      </c>
      <c r="M85" s="87">
        <f>IF(TrRoad_act!M7=0,0,M21/TrRoad_act!M7*1000)</f>
        <v>113.24469579824759</v>
      </c>
      <c r="N85" s="87">
        <f>IF(TrRoad_act!N7=0,0,N21/TrRoad_act!N7*1000)</f>
        <v>115.41809341521383</v>
      </c>
      <c r="O85" s="87">
        <f>IF(TrRoad_act!O7=0,0,O21/TrRoad_act!O7*1000)</f>
        <v>100.88641250579757</v>
      </c>
      <c r="P85" s="87">
        <f>IF(TrRoad_act!P7=0,0,P21/TrRoad_act!P7*1000)</f>
        <v>98.20709218866358</v>
      </c>
      <c r="Q85" s="87">
        <f>IF(TrRoad_act!Q7=0,0,Q21/TrRoad_act!Q7*1000)</f>
        <v>91.964135273136009</v>
      </c>
      <c r="R85" s="87">
        <f>IF(TrRoad_act!R7=0,0,R21/TrRoad_act!R7*1000)</f>
        <v>97.698203308578286</v>
      </c>
      <c r="S85" s="87">
        <f>IF(TrRoad_act!S7=0,0,S21/TrRoad_act!S7*1000)</f>
        <v>100.45476734966279</v>
      </c>
      <c r="T85" s="87">
        <f>IF(TrRoad_act!T7=0,0,T21/TrRoad_act!T7*1000)</f>
        <v>98.503766165989106</v>
      </c>
      <c r="U85" s="87">
        <f>IF(TrRoad_act!U7=0,0,U21/TrRoad_act!U7*1000)</f>
        <v>96.983865733890426</v>
      </c>
      <c r="V85" s="87">
        <f>IF(TrRoad_act!V7=0,0,V21/TrRoad_act!V7*1000)</f>
        <v>96.694310716156053</v>
      </c>
      <c r="W85" s="87">
        <f>IF(TrRoad_act!W7=0,0,W21/TrRoad_act!W7*1000)</f>
        <v>93.29272783925704</v>
      </c>
      <c r="X85" s="87">
        <f>IF(TrRoad_act!X7=0,0,X21/TrRoad_act!X7*1000)</f>
        <v>93.960706218498402</v>
      </c>
      <c r="Y85" s="87">
        <f>IF(TrRoad_act!Y7=0,0,Y21/TrRoad_act!Y7*1000)</f>
        <v>95.073783198906398</v>
      </c>
      <c r="DA85" s="171" t="s">
        <v>795</v>
      </c>
    </row>
    <row r="86" spans="1:105" ht="11.45" customHeight="1" x14ac:dyDescent="0.25">
      <c r="A86" s="111" t="s">
        <v>111</v>
      </c>
      <c r="B86" s="87">
        <f>IF(TrRoad_act!B8=0,0,B22/TrRoad_act!B8*1000)</f>
        <v>73.987712349953412</v>
      </c>
      <c r="C86" s="87">
        <f>IF(TrRoad_act!C8=0,0,C22/TrRoad_act!C8*1000)</f>
        <v>94.816964997413749</v>
      </c>
      <c r="D86" s="87">
        <f>IF(TrRoad_act!D8=0,0,D22/TrRoad_act!D8*1000)</f>
        <v>93.607947248070644</v>
      </c>
      <c r="E86" s="87">
        <f>IF(TrRoad_act!E8=0,0,E22/TrRoad_act!E8*1000)</f>
        <v>88.543512090509424</v>
      </c>
      <c r="F86" s="87">
        <f>IF(TrRoad_act!F8=0,0,F22/TrRoad_act!F8*1000)</f>
        <v>90.609135894508356</v>
      </c>
      <c r="G86" s="87">
        <f>IF(TrRoad_act!G8=0,0,G22/TrRoad_act!G8*1000)</f>
        <v>86.721577977616917</v>
      </c>
      <c r="H86" s="87">
        <f>IF(TrRoad_act!H8=0,0,H22/TrRoad_act!H8*1000)</f>
        <v>90.471282576800121</v>
      </c>
      <c r="I86" s="87">
        <f>IF(TrRoad_act!I8=0,0,I22/TrRoad_act!I8*1000)</f>
        <v>82.741876666032539</v>
      </c>
      <c r="J86" s="87">
        <f>IF(TrRoad_act!J8=0,0,J22/TrRoad_act!J8*1000)</f>
        <v>84.457905898124935</v>
      </c>
      <c r="K86" s="87">
        <f>IF(TrRoad_act!K8=0,0,K22/TrRoad_act!K8*1000)</f>
        <v>83.306079721080238</v>
      </c>
      <c r="L86" s="87">
        <f>IF(TrRoad_act!L8=0,0,L22/TrRoad_act!L8*1000)</f>
        <v>86.229176978212777</v>
      </c>
      <c r="M86" s="87">
        <f>IF(TrRoad_act!M8=0,0,M22/TrRoad_act!M8*1000)</f>
        <v>86.334696809179206</v>
      </c>
      <c r="N86" s="87">
        <f>IF(TrRoad_act!N8=0,0,N22/TrRoad_act!N8*1000)</f>
        <v>92.954202687260462</v>
      </c>
      <c r="O86" s="87">
        <f>IF(TrRoad_act!O8=0,0,O22/TrRoad_act!O8*1000)</f>
        <v>86.608415671914912</v>
      </c>
      <c r="P86" s="87">
        <f>IF(TrRoad_act!P8=0,0,P22/TrRoad_act!P8*1000)</f>
        <v>86.830038058372736</v>
      </c>
      <c r="Q86" s="87">
        <f>IF(TrRoad_act!Q8=0,0,Q22/TrRoad_act!Q8*1000)</f>
        <v>83.68228070345242</v>
      </c>
      <c r="R86" s="87">
        <f>IF(TrRoad_act!R8=0,0,R22/TrRoad_act!R8*1000)</f>
        <v>82.257475446738354</v>
      </c>
      <c r="S86" s="87">
        <f>IF(TrRoad_act!S8=0,0,S22/TrRoad_act!S8*1000)</f>
        <v>87.099088688011378</v>
      </c>
      <c r="T86" s="87">
        <f>IF(TrRoad_act!T8=0,0,T22/TrRoad_act!T8*1000)</f>
        <v>85.758189205308113</v>
      </c>
      <c r="U86" s="87">
        <f>IF(TrRoad_act!U8=0,0,U22/TrRoad_act!U8*1000)</f>
        <v>80.676268872030505</v>
      </c>
      <c r="V86" s="87">
        <f>IF(TrRoad_act!V8=0,0,V22/TrRoad_act!V8*1000)</f>
        <v>89.313517033836305</v>
      </c>
      <c r="W86" s="87">
        <f>IF(TrRoad_act!W8=0,0,W22/TrRoad_act!W8*1000)</f>
        <v>87.90319736977014</v>
      </c>
      <c r="X86" s="87">
        <f>IF(TrRoad_act!X8=0,0,X22/TrRoad_act!X8*1000)</f>
        <v>90.505511044475739</v>
      </c>
      <c r="Y86" s="87">
        <f>IF(TrRoad_act!Y8=0,0,Y22/TrRoad_act!Y8*1000)</f>
        <v>93.322834453488639</v>
      </c>
      <c r="DA86" s="171" t="s">
        <v>796</v>
      </c>
    </row>
    <row r="87" spans="1:105" ht="11.45" customHeight="1" x14ac:dyDescent="0.25">
      <c r="A87" s="111" t="s">
        <v>112</v>
      </c>
      <c r="B87" s="87">
        <f>IF(TrRoad_act!B9=0,0,B23/TrRoad_act!B9*1000)</f>
        <v>0</v>
      </c>
      <c r="C87" s="87">
        <f>IF(TrRoad_act!C9=0,0,C23/TrRoad_act!C9*1000)</f>
        <v>0</v>
      </c>
      <c r="D87" s="87">
        <f>IF(TrRoad_act!D9=0,0,D23/TrRoad_act!D9*1000)</f>
        <v>103.13015109686154</v>
      </c>
      <c r="E87" s="87">
        <f>IF(TrRoad_act!E9=0,0,E23/TrRoad_act!E9*1000)</f>
        <v>97.636640265422372</v>
      </c>
      <c r="F87" s="87">
        <f>IF(TrRoad_act!F9=0,0,F23/TrRoad_act!F9*1000)</f>
        <v>484.82782349051558</v>
      </c>
      <c r="G87" s="87">
        <f>IF(TrRoad_act!G9=0,0,G23/TrRoad_act!G9*1000)</f>
        <v>274.84347372074359</v>
      </c>
      <c r="H87" s="87">
        <f>IF(TrRoad_act!H9=0,0,H23/TrRoad_act!H9*1000)</f>
        <v>89.175340676102024</v>
      </c>
      <c r="I87" s="87">
        <f>IF(TrRoad_act!I9=0,0,I23/TrRoad_act!I9*1000)</f>
        <v>131.00507956233329</v>
      </c>
      <c r="J87" s="87">
        <f>IF(TrRoad_act!J9=0,0,J23/TrRoad_act!J9*1000)</f>
        <v>200.28914409123479</v>
      </c>
      <c r="K87" s="87">
        <f>IF(TrRoad_act!K9=0,0,K23/TrRoad_act!K9*1000)</f>
        <v>324.12189831275936</v>
      </c>
      <c r="L87" s="87">
        <f>IF(TrRoad_act!L9=0,0,L23/TrRoad_act!L9*1000)</f>
        <v>97.149408801517751</v>
      </c>
      <c r="M87" s="87">
        <f>IF(TrRoad_act!M9=0,0,M23/TrRoad_act!M9*1000)</f>
        <v>143.76737535606151</v>
      </c>
      <c r="N87" s="87">
        <f>IF(TrRoad_act!N9=0,0,N23/TrRoad_act!N9*1000)</f>
        <v>115.70049634821176</v>
      </c>
      <c r="O87" s="87">
        <f>IF(TrRoad_act!O9=0,0,O23/TrRoad_act!O9*1000)</f>
        <v>116.18412098475686</v>
      </c>
      <c r="P87" s="87">
        <f>IF(TrRoad_act!P9=0,0,P23/TrRoad_act!P9*1000)</f>
        <v>114.38417404995765</v>
      </c>
      <c r="Q87" s="87">
        <f>IF(TrRoad_act!Q9=0,0,Q23/TrRoad_act!Q9*1000)</f>
        <v>99.414268161793373</v>
      </c>
      <c r="R87" s="87">
        <f>IF(TrRoad_act!R9=0,0,R23/TrRoad_act!R9*1000)</f>
        <v>112.83111426389095</v>
      </c>
      <c r="S87" s="87">
        <f>IF(TrRoad_act!S9=0,0,S23/TrRoad_act!S9*1000)</f>
        <v>108.64018871021055</v>
      </c>
      <c r="T87" s="87">
        <f>IF(TrRoad_act!T9=0,0,T23/TrRoad_act!T9*1000)</f>
        <v>102.94825467371382</v>
      </c>
      <c r="U87" s="87">
        <f>IF(TrRoad_act!U9=0,0,U23/TrRoad_act!U9*1000)</f>
        <v>98.704779174933677</v>
      </c>
      <c r="V87" s="87">
        <f>IF(TrRoad_act!V9=0,0,V23/TrRoad_act!V9*1000)</f>
        <v>79.773354768924619</v>
      </c>
      <c r="W87" s="87">
        <f>IF(TrRoad_act!W9=0,0,W23/TrRoad_act!W9*1000)</f>
        <v>60.665296127502259</v>
      </c>
      <c r="X87" s="87">
        <f>IF(TrRoad_act!X9=0,0,X23/TrRoad_act!X9*1000)</f>
        <v>59.824350644048103</v>
      </c>
      <c r="Y87" s="87">
        <f>IF(TrRoad_act!Y9=0,0,Y23/TrRoad_act!Y9*1000)</f>
        <v>55.008685956913766</v>
      </c>
      <c r="DA87" s="171" t="s">
        <v>797</v>
      </c>
    </row>
    <row r="88" spans="1:105" ht="11.45" customHeight="1" x14ac:dyDescent="0.25">
      <c r="A88" s="111" t="s">
        <v>113</v>
      </c>
      <c r="B88" s="87">
        <f>IF(TrRoad_act!B10=0,0,B24/TrRoad_act!B10*1000)</f>
        <v>0</v>
      </c>
      <c r="C88" s="87">
        <f>IF(TrRoad_act!C10=0,0,C24/TrRoad_act!C10*1000)</f>
        <v>0</v>
      </c>
      <c r="D88" s="87">
        <f>IF(TrRoad_act!D10=0,0,D24/TrRoad_act!D10*1000)</f>
        <v>0</v>
      </c>
      <c r="E88" s="87">
        <f>IF(TrRoad_act!E10=0,0,E24/TrRoad_act!E10*1000)</f>
        <v>0</v>
      </c>
      <c r="F88" s="87">
        <f>IF(TrRoad_act!F10=0,0,F24/TrRoad_act!F10*1000)</f>
        <v>0</v>
      </c>
      <c r="G88" s="87">
        <f>IF(TrRoad_act!G10=0,0,G24/TrRoad_act!G10*1000)</f>
        <v>0</v>
      </c>
      <c r="H88" s="87">
        <f>IF(TrRoad_act!H10=0,0,H24/TrRoad_act!H10*1000)</f>
        <v>0</v>
      </c>
      <c r="I88" s="87">
        <f>IF(TrRoad_act!I10=0,0,I24/TrRoad_act!I10*1000)</f>
        <v>0</v>
      </c>
      <c r="J88" s="87">
        <f>IF(TrRoad_act!J10=0,0,J24/TrRoad_act!J10*1000)</f>
        <v>0</v>
      </c>
      <c r="K88" s="87">
        <f>IF(TrRoad_act!K10=0,0,K24/TrRoad_act!K10*1000)</f>
        <v>0</v>
      </c>
      <c r="L88" s="87">
        <f>IF(TrRoad_act!L10=0,0,L24/TrRoad_act!L10*1000)</f>
        <v>0</v>
      </c>
      <c r="M88" s="87">
        <f>IF(TrRoad_act!M10=0,0,M24/TrRoad_act!M10*1000)</f>
        <v>0</v>
      </c>
      <c r="N88" s="87">
        <f>IF(TrRoad_act!N10=0,0,N24/TrRoad_act!N10*1000)</f>
        <v>0</v>
      </c>
      <c r="O88" s="87">
        <f>IF(TrRoad_act!O10=0,0,O24/TrRoad_act!O10*1000)</f>
        <v>0</v>
      </c>
      <c r="P88" s="87">
        <f>IF(TrRoad_act!P10=0,0,P24/TrRoad_act!P10*1000)</f>
        <v>0</v>
      </c>
      <c r="Q88" s="87">
        <f>IF(TrRoad_act!Q10=0,0,Q24/TrRoad_act!Q10*1000)</f>
        <v>0</v>
      </c>
      <c r="R88" s="87">
        <f>IF(TrRoad_act!R10=0,0,R24/TrRoad_act!R10*1000)</f>
        <v>0</v>
      </c>
      <c r="S88" s="87">
        <f>IF(TrRoad_act!S10=0,0,S24/TrRoad_act!S10*1000)</f>
        <v>0</v>
      </c>
      <c r="T88" s="87">
        <f>IF(TrRoad_act!T10=0,0,T24/TrRoad_act!T10*1000)</f>
        <v>0</v>
      </c>
      <c r="U88" s="87">
        <f>IF(TrRoad_act!U10=0,0,U24/TrRoad_act!U10*1000)</f>
        <v>0</v>
      </c>
      <c r="V88" s="87">
        <f>IF(TrRoad_act!V10=0,0,V24/TrRoad_act!V10*1000)</f>
        <v>0</v>
      </c>
      <c r="W88" s="87">
        <f>IF(TrRoad_act!W10=0,0,W24/TrRoad_act!W10*1000)</f>
        <v>0</v>
      </c>
      <c r="X88" s="87">
        <f>IF(TrRoad_act!X10=0,0,X24/TrRoad_act!X10*1000)</f>
        <v>0</v>
      </c>
      <c r="Y88" s="87">
        <f>IF(TrRoad_act!Y10=0,0,Y24/TrRoad_act!Y10*1000)</f>
        <v>0</v>
      </c>
      <c r="DA88" s="171" t="s">
        <v>798</v>
      </c>
    </row>
    <row r="89" spans="1:105" ht="11.45" customHeight="1" x14ac:dyDescent="0.25">
      <c r="A89" s="111" t="s">
        <v>114</v>
      </c>
      <c r="B89" s="87">
        <f>IF(TrRoad_act!B11=0,0,B25/TrRoad_act!B11*1000)</f>
        <v>0</v>
      </c>
      <c r="C89" s="87">
        <f>IF(TrRoad_act!C11=0,0,C25/TrRoad_act!C11*1000)</f>
        <v>0</v>
      </c>
      <c r="D89" s="87">
        <f>IF(TrRoad_act!D11=0,0,D25/TrRoad_act!D11*1000)</f>
        <v>0</v>
      </c>
      <c r="E89" s="87">
        <f>IF(TrRoad_act!E11=0,0,E25/TrRoad_act!E11*1000)</f>
        <v>0</v>
      </c>
      <c r="F89" s="87">
        <f>IF(TrRoad_act!F11=0,0,F25/TrRoad_act!F11*1000)</f>
        <v>0</v>
      </c>
      <c r="G89" s="87">
        <f>IF(TrRoad_act!G11=0,0,G25/TrRoad_act!G11*1000)</f>
        <v>0</v>
      </c>
      <c r="H89" s="87">
        <f>IF(TrRoad_act!H11=0,0,H25/TrRoad_act!H11*1000)</f>
        <v>0</v>
      </c>
      <c r="I89" s="87">
        <f>IF(TrRoad_act!I11=0,0,I25/TrRoad_act!I11*1000)</f>
        <v>0</v>
      </c>
      <c r="J89" s="87">
        <f>IF(TrRoad_act!J11=0,0,J25/TrRoad_act!J11*1000)</f>
        <v>0</v>
      </c>
      <c r="K89" s="87">
        <f>IF(TrRoad_act!K11=0,0,K25/TrRoad_act!K11*1000)</f>
        <v>0</v>
      </c>
      <c r="L89" s="87">
        <f>IF(TrRoad_act!L11=0,0,L25/TrRoad_act!L11*1000)</f>
        <v>0</v>
      </c>
      <c r="M89" s="87">
        <f>IF(TrRoad_act!M11=0,0,M25/TrRoad_act!M11*1000)</f>
        <v>0</v>
      </c>
      <c r="N89" s="87">
        <f>IF(TrRoad_act!N11=0,0,N25/TrRoad_act!N11*1000)</f>
        <v>74.949572875963739</v>
      </c>
      <c r="O89" s="87">
        <f>IF(TrRoad_act!O11=0,0,O25/TrRoad_act!O11*1000)</f>
        <v>65.97874523265007</v>
      </c>
      <c r="P89" s="87">
        <f>IF(TrRoad_act!P11=0,0,P25/TrRoad_act!P11*1000)</f>
        <v>61.944759922467611</v>
      </c>
      <c r="Q89" s="87">
        <f>IF(TrRoad_act!Q11=0,0,Q25/TrRoad_act!Q11*1000)</f>
        <v>53.457875636826323</v>
      </c>
      <c r="R89" s="87">
        <f>IF(TrRoad_act!R11=0,0,R25/TrRoad_act!R11*1000)</f>
        <v>32.435610356096888</v>
      </c>
      <c r="S89" s="87">
        <f>IF(TrRoad_act!S11=0,0,S25/TrRoad_act!S11*1000)</f>
        <v>38.210114762895081</v>
      </c>
      <c r="T89" s="87">
        <f>IF(TrRoad_act!T11=0,0,T25/TrRoad_act!T11*1000)</f>
        <v>34.043775080277051</v>
      </c>
      <c r="U89" s="87">
        <f>IF(TrRoad_act!U11=0,0,U25/TrRoad_act!U11*1000)</f>
        <v>32.178318282261252</v>
      </c>
      <c r="V89" s="87">
        <f>IF(TrRoad_act!V11=0,0,V25/TrRoad_act!V11*1000)</f>
        <v>29.024193967829557</v>
      </c>
      <c r="W89" s="87">
        <f>IF(TrRoad_act!W11=0,0,W25/TrRoad_act!W11*1000)</f>
        <v>23.947756355903458</v>
      </c>
      <c r="X89" s="87">
        <f>IF(TrRoad_act!X11=0,0,X25/TrRoad_act!X11*1000)</f>
        <v>22.600856738863339</v>
      </c>
      <c r="Y89" s="87">
        <f>IF(TrRoad_act!Y11=0,0,Y25/TrRoad_act!Y11*1000)</f>
        <v>32.797107416178491</v>
      </c>
      <c r="DA89" s="171" t="s">
        <v>799</v>
      </c>
    </row>
    <row r="90" spans="1:105" ht="11.45" customHeight="1" x14ac:dyDescent="0.25">
      <c r="A90" s="111" t="s">
        <v>115</v>
      </c>
      <c r="B90" s="87">
        <f>IF(TrRoad_act!B12=0,0,B26/TrRoad_act!B12*1000)</f>
        <v>0</v>
      </c>
      <c r="C90" s="87">
        <f>IF(TrRoad_act!C12=0,0,C26/TrRoad_act!C12*1000)</f>
        <v>0</v>
      </c>
      <c r="D90" s="87">
        <f>IF(TrRoad_act!D12=0,0,D26/TrRoad_act!D12*1000)</f>
        <v>0</v>
      </c>
      <c r="E90" s="87">
        <f>IF(TrRoad_act!E12=0,0,E26/TrRoad_act!E12*1000)</f>
        <v>0</v>
      </c>
      <c r="F90" s="87">
        <f>IF(TrRoad_act!F12=0,0,F26/TrRoad_act!F12*1000)</f>
        <v>0</v>
      </c>
      <c r="G90" s="87">
        <f>IF(TrRoad_act!G12=0,0,G26/TrRoad_act!G12*1000)</f>
        <v>0</v>
      </c>
      <c r="H90" s="87">
        <f>IF(TrRoad_act!H12=0,0,H26/TrRoad_act!H12*1000)</f>
        <v>0</v>
      </c>
      <c r="I90" s="87">
        <f>IF(TrRoad_act!I12=0,0,I26/TrRoad_act!I12*1000)</f>
        <v>0</v>
      </c>
      <c r="J90" s="87">
        <f>IF(TrRoad_act!J12=0,0,J26/TrRoad_act!J12*1000)</f>
        <v>0</v>
      </c>
      <c r="K90" s="87">
        <f>IF(TrRoad_act!K12=0,0,K26/TrRoad_act!K12*1000)</f>
        <v>0</v>
      </c>
      <c r="L90" s="87">
        <f>IF(TrRoad_act!L12=0,0,L26/TrRoad_act!L12*1000)</f>
        <v>0</v>
      </c>
      <c r="M90" s="87">
        <f>IF(TrRoad_act!M12=0,0,M26/TrRoad_act!M12*1000)</f>
        <v>0</v>
      </c>
      <c r="N90" s="87">
        <f>IF(TrRoad_act!N12=0,0,N26/TrRoad_act!N12*1000)</f>
        <v>0</v>
      </c>
      <c r="O90" s="87">
        <f>IF(TrRoad_act!O12=0,0,O26/TrRoad_act!O12*1000)</f>
        <v>0</v>
      </c>
      <c r="P90" s="87">
        <f>IF(TrRoad_act!P12=0,0,P26/TrRoad_act!P12*1000)</f>
        <v>0</v>
      </c>
      <c r="Q90" s="87">
        <f>IF(TrRoad_act!Q12=0,0,Q26/TrRoad_act!Q12*1000)</f>
        <v>0</v>
      </c>
      <c r="R90" s="87">
        <f>IF(TrRoad_act!R12=0,0,R26/TrRoad_act!R12*1000)</f>
        <v>0</v>
      </c>
      <c r="S90" s="87">
        <f>IF(TrRoad_act!S12=0,0,S26/TrRoad_act!S12*1000)</f>
        <v>0</v>
      </c>
      <c r="T90" s="87">
        <f>IF(TrRoad_act!T12=0,0,T26/TrRoad_act!T12*1000)</f>
        <v>0</v>
      </c>
      <c r="U90" s="87">
        <f>IF(TrRoad_act!U12=0,0,U26/TrRoad_act!U12*1000)</f>
        <v>0</v>
      </c>
      <c r="V90" s="87">
        <f>IF(TrRoad_act!V12=0,0,V26/TrRoad_act!V12*1000)</f>
        <v>0</v>
      </c>
      <c r="W90" s="87">
        <f>IF(TrRoad_act!W12=0,0,W26/TrRoad_act!W12*1000)</f>
        <v>0</v>
      </c>
      <c r="X90" s="87">
        <f>IF(TrRoad_act!X12=0,0,X26/TrRoad_act!X12*1000)</f>
        <v>0</v>
      </c>
      <c r="Y90" s="87">
        <f>IF(TrRoad_act!Y12=0,0,Y26/TrRoad_act!Y12*1000)</f>
        <v>0</v>
      </c>
      <c r="DA90" s="171" t="s">
        <v>800</v>
      </c>
    </row>
    <row r="91" spans="1:105" ht="11.45" customHeight="1" x14ac:dyDescent="0.25">
      <c r="A91" s="109" t="s">
        <v>21</v>
      </c>
      <c r="B91" s="116">
        <f>IF(TrRoad_act!B13=0,0,B27/TrRoad_act!B13*1000)</f>
        <v>197.89852547131727</v>
      </c>
      <c r="C91" s="116">
        <f>IF(TrRoad_act!C13=0,0,C27/TrRoad_act!C13*1000)</f>
        <v>253.4957090136931</v>
      </c>
      <c r="D91" s="116">
        <f>IF(TrRoad_act!D13=0,0,D27/TrRoad_act!D13*1000)</f>
        <v>244.76505824022314</v>
      </c>
      <c r="E91" s="116">
        <f>IF(TrRoad_act!E13=0,0,E27/TrRoad_act!E13*1000)</f>
        <v>203.17243857511193</v>
      </c>
      <c r="F91" s="116">
        <f>IF(TrRoad_act!F13=0,0,F27/TrRoad_act!F13*1000)</f>
        <v>215.87188803742487</v>
      </c>
      <c r="G91" s="116">
        <f>IF(TrRoad_act!G13=0,0,G27/TrRoad_act!G13*1000)</f>
        <v>161.07421886979844</v>
      </c>
      <c r="H91" s="116">
        <f>IF(TrRoad_act!H13=0,0,H27/TrRoad_act!H13*1000)</f>
        <v>150.02107108193456</v>
      </c>
      <c r="I91" s="116">
        <f>IF(TrRoad_act!I13=0,0,I27/TrRoad_act!I13*1000)</f>
        <v>157.56474397269363</v>
      </c>
      <c r="J91" s="116">
        <f>IF(TrRoad_act!J13=0,0,J27/TrRoad_act!J13*1000)</f>
        <v>129.09335606151484</v>
      </c>
      <c r="K91" s="116">
        <f>IF(TrRoad_act!K13=0,0,K27/TrRoad_act!K13*1000)</f>
        <v>154.64782318365496</v>
      </c>
      <c r="L91" s="116">
        <f>IF(TrRoad_act!L13=0,0,L27/TrRoad_act!L13*1000)</f>
        <v>173.98814574336987</v>
      </c>
      <c r="M91" s="116">
        <f>IF(TrRoad_act!M13=0,0,M27/TrRoad_act!M13*1000)</f>
        <v>178.11248109250667</v>
      </c>
      <c r="N91" s="116">
        <f>IF(TrRoad_act!N13=0,0,N27/TrRoad_act!N13*1000)</f>
        <v>170.69111638210723</v>
      </c>
      <c r="O91" s="116">
        <f>IF(TrRoad_act!O13=0,0,O27/TrRoad_act!O13*1000)</f>
        <v>171.04110963262818</v>
      </c>
      <c r="P91" s="116">
        <f>IF(TrRoad_act!P13=0,0,P27/TrRoad_act!P13*1000)</f>
        <v>167.61521924845295</v>
      </c>
      <c r="Q91" s="116">
        <f>IF(TrRoad_act!Q13=0,0,Q27/TrRoad_act!Q13*1000)</f>
        <v>127.50831129097365</v>
      </c>
      <c r="R91" s="116">
        <f>IF(TrRoad_act!R13=0,0,R27/TrRoad_act!R13*1000)</f>
        <v>129.71158140286855</v>
      </c>
      <c r="S91" s="116">
        <f>IF(TrRoad_act!S13=0,0,S27/TrRoad_act!S13*1000)</f>
        <v>139.37779910872311</v>
      </c>
      <c r="T91" s="116">
        <f>IF(TrRoad_act!T13=0,0,T27/TrRoad_act!T13*1000)</f>
        <v>133.1760567929289</v>
      </c>
      <c r="U91" s="116">
        <f>IF(TrRoad_act!U13=0,0,U27/TrRoad_act!U13*1000)</f>
        <v>132.41178846547933</v>
      </c>
      <c r="V91" s="116">
        <f>IF(TrRoad_act!V13=0,0,V27/TrRoad_act!V13*1000)</f>
        <v>195.5694033300492</v>
      </c>
      <c r="W91" s="116">
        <f>IF(TrRoad_act!W13=0,0,W27/TrRoad_act!W13*1000)</f>
        <v>190.30788543021856</v>
      </c>
      <c r="X91" s="116">
        <f>IF(TrRoad_act!X13=0,0,X27/TrRoad_act!X13*1000)</f>
        <v>182.4213806885096</v>
      </c>
      <c r="Y91" s="116">
        <f>IF(TrRoad_act!Y13=0,0,Y27/TrRoad_act!Y13*1000)</f>
        <v>160.79333862343617</v>
      </c>
      <c r="DA91" s="176" t="s">
        <v>439</v>
      </c>
    </row>
    <row r="92" spans="1:105" ht="11.45" customHeight="1" x14ac:dyDescent="0.25">
      <c r="A92" s="111" t="s">
        <v>110</v>
      </c>
      <c r="B92" s="101">
        <f>IF(TrRoad_act!B14=0,0,B28/TrRoad_act!B14*1000)</f>
        <v>0</v>
      </c>
      <c r="C92" s="101">
        <f>IF(TrRoad_act!C14=0,0,C28/TrRoad_act!C14*1000)</f>
        <v>0</v>
      </c>
      <c r="D92" s="101">
        <f>IF(TrRoad_act!D14=0,0,D28/TrRoad_act!D14*1000)</f>
        <v>0</v>
      </c>
      <c r="E92" s="101">
        <f>IF(TrRoad_act!E14=0,0,E28/TrRoad_act!E14*1000)</f>
        <v>0</v>
      </c>
      <c r="F92" s="101">
        <f>IF(TrRoad_act!F14=0,0,F28/TrRoad_act!F14*1000)</f>
        <v>0</v>
      </c>
      <c r="G92" s="101">
        <f>IF(TrRoad_act!G14=0,0,G28/TrRoad_act!G14*1000)</f>
        <v>0</v>
      </c>
      <c r="H92" s="101">
        <f>IF(TrRoad_act!H14=0,0,H28/TrRoad_act!H14*1000)</f>
        <v>0</v>
      </c>
      <c r="I92" s="101">
        <f>IF(TrRoad_act!I14=0,0,I28/TrRoad_act!I14*1000)</f>
        <v>0</v>
      </c>
      <c r="J92" s="101">
        <f>IF(TrRoad_act!J14=0,0,J28/TrRoad_act!J14*1000)</f>
        <v>74.541410414185791</v>
      </c>
      <c r="K92" s="101">
        <f>IF(TrRoad_act!K14=0,0,K28/TrRoad_act!K14*1000)</f>
        <v>75.328715863328</v>
      </c>
      <c r="L92" s="101">
        <f>IF(TrRoad_act!L14=0,0,L28/TrRoad_act!L14*1000)</f>
        <v>73.378306606433426</v>
      </c>
      <c r="M92" s="101">
        <f>IF(TrRoad_act!M14=0,0,M28/TrRoad_act!M14*1000)</f>
        <v>73.409751367785063</v>
      </c>
      <c r="N92" s="101">
        <f>IF(TrRoad_act!N14=0,0,N28/TrRoad_act!N14*1000)</f>
        <v>72.586189621932192</v>
      </c>
      <c r="O92" s="101">
        <f>IF(TrRoad_act!O14=0,0,O28/TrRoad_act!O14*1000)</f>
        <v>72.742665760054365</v>
      </c>
      <c r="P92" s="101">
        <f>IF(TrRoad_act!P14=0,0,P28/TrRoad_act!P14*1000)</f>
        <v>73.541010384138559</v>
      </c>
      <c r="Q92" s="101">
        <f>IF(TrRoad_act!Q14=0,0,Q28/TrRoad_act!Q14*1000)</f>
        <v>71.079247438727634</v>
      </c>
      <c r="R92" s="101">
        <f>IF(TrRoad_act!R14=0,0,R28/TrRoad_act!R14*1000)</f>
        <v>70.247760762472652</v>
      </c>
      <c r="S92" s="101">
        <f>IF(TrRoad_act!S14=0,0,S28/TrRoad_act!S14*1000)</f>
        <v>70.011805350667387</v>
      </c>
      <c r="T92" s="101">
        <f>IF(TrRoad_act!T14=0,0,T28/TrRoad_act!T14*1000)</f>
        <v>69.789658780427075</v>
      </c>
      <c r="U92" s="101">
        <f>IF(TrRoad_act!U14=0,0,U28/TrRoad_act!U14*1000)</f>
        <v>69.557551602580318</v>
      </c>
      <c r="V92" s="101">
        <f>IF(TrRoad_act!V14=0,0,V28/TrRoad_act!V14*1000)</f>
        <v>71.106971833180324</v>
      </c>
      <c r="W92" s="101">
        <f>IF(TrRoad_act!W14=0,0,W28/TrRoad_act!W14*1000)</f>
        <v>69.870440505286965</v>
      </c>
      <c r="X92" s="101">
        <f>IF(TrRoad_act!X14=0,0,X28/TrRoad_act!X14*1000)</f>
        <v>67.826244326456973</v>
      </c>
      <c r="Y92" s="101">
        <f>IF(TrRoad_act!Y14=0,0,Y28/TrRoad_act!Y14*1000)</f>
        <v>67.204331601101032</v>
      </c>
      <c r="DA92" s="175" t="s">
        <v>801</v>
      </c>
    </row>
    <row r="93" spans="1:105" ht="11.45" customHeight="1" x14ac:dyDescent="0.25">
      <c r="A93" s="111" t="s">
        <v>111</v>
      </c>
      <c r="B93" s="101">
        <f>IF(TrRoad_act!B15=0,0,B29/TrRoad_act!B15*1000)</f>
        <v>197.89852547131727</v>
      </c>
      <c r="C93" s="101">
        <f>IF(TrRoad_act!C15=0,0,C29/TrRoad_act!C15*1000)</f>
        <v>253.4957090136931</v>
      </c>
      <c r="D93" s="101">
        <f>IF(TrRoad_act!D15=0,0,D29/TrRoad_act!D15*1000)</f>
        <v>244.76505824022314</v>
      </c>
      <c r="E93" s="101">
        <f>IF(TrRoad_act!E15=0,0,E29/TrRoad_act!E15*1000)</f>
        <v>203.17243857511193</v>
      </c>
      <c r="F93" s="101">
        <f>IF(TrRoad_act!F15=0,0,F29/TrRoad_act!F15*1000)</f>
        <v>215.87188803742487</v>
      </c>
      <c r="G93" s="101">
        <f>IF(TrRoad_act!G15=0,0,G29/TrRoad_act!G15*1000)</f>
        <v>161.07421886979844</v>
      </c>
      <c r="H93" s="101">
        <f>IF(TrRoad_act!H15=0,0,H29/TrRoad_act!H15*1000)</f>
        <v>150.02107108193456</v>
      </c>
      <c r="I93" s="101">
        <f>IF(TrRoad_act!I15=0,0,I29/TrRoad_act!I15*1000)</f>
        <v>157.56474397269363</v>
      </c>
      <c r="J93" s="101">
        <f>IF(TrRoad_act!J15=0,0,J29/TrRoad_act!J15*1000)</f>
        <v>129.20516672527469</v>
      </c>
      <c r="K93" s="101">
        <f>IF(TrRoad_act!K15=0,0,K29/TrRoad_act!K15*1000)</f>
        <v>154.83300812719631</v>
      </c>
      <c r="L93" s="101">
        <f>IF(TrRoad_act!L15=0,0,L29/TrRoad_act!L15*1000)</f>
        <v>174.26753189349299</v>
      </c>
      <c r="M93" s="101">
        <f>IF(TrRoad_act!M15=0,0,M29/TrRoad_act!M15*1000)</f>
        <v>178.41441511801224</v>
      </c>
      <c r="N93" s="101">
        <f>IF(TrRoad_act!N15=0,0,N29/TrRoad_act!N15*1000)</f>
        <v>170.95122273541901</v>
      </c>
      <c r="O93" s="101">
        <f>IF(TrRoad_act!O15=0,0,O29/TrRoad_act!O15*1000)</f>
        <v>171.29439543810008</v>
      </c>
      <c r="P93" s="101">
        <f>IF(TrRoad_act!P15=0,0,P29/TrRoad_act!P15*1000)</f>
        <v>167.84662185866279</v>
      </c>
      <c r="Q93" s="101">
        <f>IF(TrRoad_act!Q15=0,0,Q29/TrRoad_act!Q15*1000)</f>
        <v>127.62501369396831</v>
      </c>
      <c r="R93" s="101">
        <f>IF(TrRoad_act!R15=0,0,R29/TrRoad_act!R15*1000)</f>
        <v>129.82853997513368</v>
      </c>
      <c r="S93" s="101">
        <f>IF(TrRoad_act!S15=0,0,S29/TrRoad_act!S15*1000)</f>
        <v>139.50921171188662</v>
      </c>
      <c r="T93" s="101">
        <f>IF(TrRoad_act!T15=0,0,T29/TrRoad_act!T15*1000)</f>
        <v>133.33361395919249</v>
      </c>
      <c r="U93" s="101">
        <f>IF(TrRoad_act!U15=0,0,U29/TrRoad_act!U15*1000)</f>
        <v>132.68333853929383</v>
      </c>
      <c r="V93" s="101">
        <f>IF(TrRoad_act!V15=0,0,V29/TrRoad_act!V15*1000)</f>
        <v>196.73598123097071</v>
      </c>
      <c r="W93" s="101">
        <f>IF(TrRoad_act!W15=0,0,W29/TrRoad_act!W15*1000)</f>
        <v>191.46298258186852</v>
      </c>
      <c r="X93" s="101">
        <f>IF(TrRoad_act!X15=0,0,X29/TrRoad_act!X15*1000)</f>
        <v>184.10829579892663</v>
      </c>
      <c r="Y93" s="101">
        <f>IF(TrRoad_act!Y15=0,0,Y29/TrRoad_act!Y15*1000)</f>
        <v>163.83304250048241</v>
      </c>
      <c r="DA93" s="175" t="s">
        <v>802</v>
      </c>
    </row>
    <row r="94" spans="1:105" ht="11.45" customHeight="1" x14ac:dyDescent="0.25">
      <c r="A94" s="111" t="s">
        <v>112</v>
      </c>
      <c r="B94" s="101">
        <f>IF(TrRoad_act!B16=0,0,B30/TrRoad_act!B16*1000)</f>
        <v>0</v>
      </c>
      <c r="C94" s="101">
        <f>IF(TrRoad_act!C16=0,0,C30/TrRoad_act!C16*1000)</f>
        <v>0</v>
      </c>
      <c r="D94" s="101">
        <f>IF(TrRoad_act!D16=0,0,D30/TrRoad_act!D16*1000)</f>
        <v>0</v>
      </c>
      <c r="E94" s="101">
        <f>IF(TrRoad_act!E16=0,0,E30/TrRoad_act!E16*1000)</f>
        <v>0</v>
      </c>
      <c r="F94" s="101">
        <f>IF(TrRoad_act!F16=0,0,F30/TrRoad_act!F16*1000)</f>
        <v>0</v>
      </c>
      <c r="G94" s="101">
        <f>IF(TrRoad_act!G16=0,0,G30/TrRoad_act!G16*1000)</f>
        <v>0</v>
      </c>
      <c r="H94" s="101">
        <f>IF(TrRoad_act!H16=0,0,H30/TrRoad_act!H16*1000)</f>
        <v>0</v>
      </c>
      <c r="I94" s="101">
        <f>IF(TrRoad_act!I16=0,0,I30/TrRoad_act!I16*1000)</f>
        <v>0</v>
      </c>
      <c r="J94" s="101">
        <f>IF(TrRoad_act!J16=0,0,J30/TrRoad_act!J16*1000)</f>
        <v>95.639721693045431</v>
      </c>
      <c r="K94" s="101">
        <f>IF(TrRoad_act!K16=0,0,K30/TrRoad_act!K16*1000)</f>
        <v>114.71204956630157</v>
      </c>
      <c r="L94" s="101">
        <f>IF(TrRoad_act!L16=0,0,L30/TrRoad_act!L16*1000)</f>
        <v>126.66463933230779</v>
      </c>
      <c r="M94" s="101">
        <f>IF(TrRoad_act!M16=0,0,M30/TrRoad_act!M16*1000)</f>
        <v>134.18005096230033</v>
      </c>
      <c r="N94" s="101">
        <f>IF(TrRoad_act!N16=0,0,N30/TrRoad_act!N16*1000)</f>
        <v>128.19493641063031</v>
      </c>
      <c r="O94" s="101">
        <f>IF(TrRoad_act!O16=0,0,O30/TrRoad_act!O16*1000)</f>
        <v>131.97377433341418</v>
      </c>
      <c r="P94" s="101">
        <f>IF(TrRoad_act!P16=0,0,P30/TrRoad_act!P16*1000)</f>
        <v>127.90321501384518</v>
      </c>
      <c r="Q94" s="101">
        <f>IF(TrRoad_act!Q16=0,0,Q30/TrRoad_act!Q16*1000)</f>
        <v>98.042603658978464</v>
      </c>
      <c r="R94" s="101">
        <f>IF(TrRoad_act!R16=0,0,R30/TrRoad_act!R16*1000)</f>
        <v>98.786684397904921</v>
      </c>
      <c r="S94" s="101">
        <f>IF(TrRoad_act!S16=0,0,S30/TrRoad_act!S16*1000)</f>
        <v>103.59043471523353</v>
      </c>
      <c r="T94" s="101">
        <f>IF(TrRoad_act!T16=0,0,T30/TrRoad_act!T16*1000)</f>
        <v>99.514326522879557</v>
      </c>
      <c r="U94" s="101">
        <f>IF(TrRoad_act!U16=0,0,U30/TrRoad_act!U16*1000)</f>
        <v>102.20163481166948</v>
      </c>
      <c r="V94" s="101">
        <f>IF(TrRoad_act!V16=0,0,V30/TrRoad_act!V16*1000)</f>
        <v>149.87059964518036</v>
      </c>
      <c r="W94" s="101">
        <f>IF(TrRoad_act!W16=0,0,W30/TrRoad_act!W16*1000)</f>
        <v>146.18752656859184</v>
      </c>
      <c r="X94" s="101">
        <f>IF(TrRoad_act!X16=0,0,X30/TrRoad_act!X16*1000)</f>
        <v>139.88242608768147</v>
      </c>
      <c r="Y94" s="101">
        <f>IF(TrRoad_act!Y16=0,0,Y30/TrRoad_act!Y16*1000)</f>
        <v>125.37188901641952</v>
      </c>
      <c r="DA94" s="175" t="s">
        <v>803</v>
      </c>
    </row>
    <row r="95" spans="1:105" ht="11.45" customHeight="1" x14ac:dyDescent="0.25">
      <c r="A95" s="111" t="s">
        <v>113</v>
      </c>
      <c r="B95" s="101">
        <f>IF(TrRoad_act!B17=0,0,B31/TrRoad_act!B17*1000)</f>
        <v>0</v>
      </c>
      <c r="C95" s="101">
        <f>IF(TrRoad_act!C17=0,0,C31/TrRoad_act!C17*1000)</f>
        <v>0</v>
      </c>
      <c r="D95" s="101">
        <f>IF(TrRoad_act!D17=0,0,D31/TrRoad_act!D17*1000)</f>
        <v>0</v>
      </c>
      <c r="E95" s="101">
        <f>IF(TrRoad_act!E17=0,0,E31/TrRoad_act!E17*1000)</f>
        <v>0</v>
      </c>
      <c r="F95" s="101">
        <f>IF(TrRoad_act!F17=0,0,F31/TrRoad_act!F17*1000)</f>
        <v>0</v>
      </c>
      <c r="G95" s="101">
        <f>IF(TrRoad_act!G17=0,0,G31/TrRoad_act!G17*1000)</f>
        <v>0</v>
      </c>
      <c r="H95" s="101">
        <f>IF(TrRoad_act!H17=0,0,H31/TrRoad_act!H17*1000)</f>
        <v>0</v>
      </c>
      <c r="I95" s="101">
        <f>IF(TrRoad_act!I17=0,0,I31/TrRoad_act!I17*1000)</f>
        <v>0</v>
      </c>
      <c r="J95" s="101">
        <f>IF(TrRoad_act!J17=0,0,J31/TrRoad_act!J17*1000)</f>
        <v>0</v>
      </c>
      <c r="K95" s="101">
        <f>IF(TrRoad_act!K17=0,0,K31/TrRoad_act!K17*1000)</f>
        <v>0</v>
      </c>
      <c r="L95" s="101">
        <f>IF(TrRoad_act!L17=0,0,L31/TrRoad_act!L17*1000)</f>
        <v>0</v>
      </c>
      <c r="M95" s="101">
        <f>IF(TrRoad_act!M17=0,0,M31/TrRoad_act!M17*1000)</f>
        <v>0</v>
      </c>
      <c r="N95" s="101">
        <f>IF(TrRoad_act!N17=0,0,N31/TrRoad_act!N17*1000)</f>
        <v>0</v>
      </c>
      <c r="O95" s="101">
        <f>IF(TrRoad_act!O17=0,0,O31/TrRoad_act!O17*1000)</f>
        <v>0</v>
      </c>
      <c r="P95" s="101">
        <f>IF(TrRoad_act!P17=0,0,P31/TrRoad_act!P17*1000)</f>
        <v>0</v>
      </c>
      <c r="Q95" s="101">
        <f>IF(TrRoad_act!Q17=0,0,Q31/TrRoad_act!Q17*1000)</f>
        <v>0</v>
      </c>
      <c r="R95" s="101">
        <f>IF(TrRoad_act!R17=0,0,R31/TrRoad_act!R17*1000)</f>
        <v>0</v>
      </c>
      <c r="S95" s="101">
        <f>IF(TrRoad_act!S17=0,0,S31/TrRoad_act!S17*1000)</f>
        <v>0</v>
      </c>
      <c r="T95" s="101">
        <f>IF(TrRoad_act!T17=0,0,T31/TrRoad_act!T17*1000)</f>
        <v>0</v>
      </c>
      <c r="U95" s="101">
        <f>IF(TrRoad_act!U17=0,0,U31/TrRoad_act!U17*1000)</f>
        <v>0</v>
      </c>
      <c r="V95" s="101">
        <f>IF(TrRoad_act!V17=0,0,V31/TrRoad_act!V17*1000)</f>
        <v>0</v>
      </c>
      <c r="W95" s="101">
        <f>IF(TrRoad_act!W17=0,0,W31/TrRoad_act!W17*1000)</f>
        <v>0</v>
      </c>
      <c r="X95" s="101">
        <f>IF(TrRoad_act!X17=0,0,X31/TrRoad_act!X17*1000)</f>
        <v>0</v>
      </c>
      <c r="Y95" s="101">
        <f>IF(TrRoad_act!Y17=0,0,Y31/TrRoad_act!Y17*1000)</f>
        <v>0</v>
      </c>
      <c r="DA95" s="175" t="s">
        <v>804</v>
      </c>
    </row>
    <row r="96" spans="1:105" ht="11.45" customHeight="1" x14ac:dyDescent="0.25">
      <c r="A96" s="111" t="s">
        <v>115</v>
      </c>
      <c r="B96" s="101">
        <f>IF(TrRoad_act!B18=0,0,B32/TrRoad_act!B18*1000)</f>
        <v>0</v>
      </c>
      <c r="C96" s="101">
        <f>IF(TrRoad_act!C18=0,0,C32/TrRoad_act!C18*1000)</f>
        <v>0</v>
      </c>
      <c r="D96" s="101">
        <f>IF(TrRoad_act!D18=0,0,D32/TrRoad_act!D18*1000)</f>
        <v>0</v>
      </c>
      <c r="E96" s="101">
        <f>IF(TrRoad_act!E18=0,0,E32/TrRoad_act!E18*1000)</f>
        <v>0</v>
      </c>
      <c r="F96" s="101">
        <f>IF(TrRoad_act!F18=0,0,F32/TrRoad_act!F18*1000)</f>
        <v>0</v>
      </c>
      <c r="G96" s="101">
        <f>IF(TrRoad_act!G18=0,0,G32/TrRoad_act!G18*1000)</f>
        <v>0</v>
      </c>
      <c r="H96" s="101">
        <f>IF(TrRoad_act!H18=0,0,H32/TrRoad_act!H18*1000)</f>
        <v>0</v>
      </c>
      <c r="I96" s="101">
        <f>IF(TrRoad_act!I18=0,0,I32/TrRoad_act!I18*1000)</f>
        <v>0</v>
      </c>
      <c r="J96" s="101">
        <f>IF(TrRoad_act!J18=0,0,J32/TrRoad_act!J18*1000)</f>
        <v>0</v>
      </c>
      <c r="K96" s="101">
        <f>IF(TrRoad_act!K18=0,0,K32/TrRoad_act!K18*1000)</f>
        <v>0</v>
      </c>
      <c r="L96" s="101">
        <f>IF(TrRoad_act!L18=0,0,L32/TrRoad_act!L18*1000)</f>
        <v>0</v>
      </c>
      <c r="M96" s="101">
        <f>IF(TrRoad_act!M18=0,0,M32/TrRoad_act!M18*1000)</f>
        <v>0</v>
      </c>
      <c r="N96" s="101">
        <f>IF(TrRoad_act!N18=0,0,N32/TrRoad_act!N18*1000)</f>
        <v>0</v>
      </c>
      <c r="O96" s="101">
        <f>IF(TrRoad_act!O18=0,0,O32/TrRoad_act!O18*1000)</f>
        <v>0</v>
      </c>
      <c r="P96" s="101">
        <f>IF(TrRoad_act!P18=0,0,P32/TrRoad_act!P18*1000)</f>
        <v>0</v>
      </c>
      <c r="Q96" s="101">
        <f>IF(TrRoad_act!Q18=0,0,Q32/TrRoad_act!Q18*1000)</f>
        <v>0</v>
      </c>
      <c r="R96" s="101">
        <f>IF(TrRoad_act!R18=0,0,R32/TrRoad_act!R18*1000)</f>
        <v>0</v>
      </c>
      <c r="S96" s="101">
        <f>IF(TrRoad_act!S18=0,0,S32/TrRoad_act!S18*1000)</f>
        <v>0</v>
      </c>
      <c r="T96" s="101">
        <f>IF(TrRoad_act!T18=0,0,T32/TrRoad_act!T18*1000)</f>
        <v>0</v>
      </c>
      <c r="U96" s="101">
        <f>IF(TrRoad_act!U18=0,0,U32/TrRoad_act!U18*1000)</f>
        <v>0</v>
      </c>
      <c r="V96" s="101">
        <f>IF(TrRoad_act!V18=0,0,V32/TrRoad_act!V18*1000)</f>
        <v>0</v>
      </c>
      <c r="W96" s="101">
        <f>IF(TrRoad_act!W18=0,0,W32/TrRoad_act!W18*1000)</f>
        <v>0</v>
      </c>
      <c r="X96" s="101">
        <f>IF(TrRoad_act!X18=0,0,X32/TrRoad_act!X18*1000)</f>
        <v>0</v>
      </c>
      <c r="Y96" s="101">
        <f>IF(TrRoad_act!Y18=0,0,Y32/TrRoad_act!Y18*1000)</f>
        <v>0</v>
      </c>
      <c r="DA96" s="175" t="s">
        <v>805</v>
      </c>
    </row>
    <row r="97" spans="1:105" ht="11.45" customHeight="1" x14ac:dyDescent="0.25">
      <c r="A97" s="27" t="s">
        <v>158</v>
      </c>
      <c r="B97" s="29">
        <f>IF(TrRoad_act!B19=0,0,B33/TrRoad_act!B19*1000)</f>
        <v>137.71686023600907</v>
      </c>
      <c r="C97" s="29">
        <f>IF(TrRoad_act!C19=0,0,C33/TrRoad_act!C19*1000)</f>
        <v>165.51287705743641</v>
      </c>
      <c r="D97" s="29">
        <f>IF(TrRoad_act!D19=0,0,D33/TrRoad_act!D19*1000)</f>
        <v>170.70393426511583</v>
      </c>
      <c r="E97" s="29">
        <f>IF(TrRoad_act!E19=0,0,E33/TrRoad_act!E19*1000)</f>
        <v>167.91941936431451</v>
      </c>
      <c r="F97" s="29">
        <f>IF(TrRoad_act!F19=0,0,F33/TrRoad_act!F19*1000)</f>
        <v>143.56182315563726</v>
      </c>
      <c r="G97" s="29">
        <f>IF(TrRoad_act!G19=0,0,G33/TrRoad_act!G19*1000)</f>
        <v>110.58639608113624</v>
      </c>
      <c r="H97" s="29">
        <f>IF(TrRoad_act!H19=0,0,H33/TrRoad_act!H19*1000)</f>
        <v>127.22025346266</v>
      </c>
      <c r="I97" s="29">
        <f>IF(TrRoad_act!I19=0,0,I33/TrRoad_act!I19*1000)</f>
        <v>109.05748923822296</v>
      </c>
      <c r="J97" s="29">
        <f>IF(TrRoad_act!J19=0,0,J33/TrRoad_act!J19*1000)</f>
        <v>125.598514864799</v>
      </c>
      <c r="K97" s="29">
        <f>IF(TrRoad_act!K19=0,0,K33/TrRoad_act!K19*1000)</f>
        <v>149.63607181384793</v>
      </c>
      <c r="L97" s="29">
        <f>IF(TrRoad_act!L19=0,0,L33/TrRoad_act!L19*1000)</f>
        <v>196.58550745213978</v>
      </c>
      <c r="M97" s="29">
        <f>IF(TrRoad_act!M19=0,0,M33/TrRoad_act!M19*1000)</f>
        <v>204.68825347906656</v>
      </c>
      <c r="N97" s="29">
        <f>IF(TrRoad_act!N19=0,0,N33/TrRoad_act!N19*1000)</f>
        <v>189.04799460548944</v>
      </c>
      <c r="O97" s="29">
        <f>IF(TrRoad_act!O19=0,0,O33/TrRoad_act!O19*1000)</f>
        <v>188.11283935690096</v>
      </c>
      <c r="P97" s="29">
        <f>IF(TrRoad_act!P19=0,0,P33/TrRoad_act!P19*1000)</f>
        <v>193.53136997995139</v>
      </c>
      <c r="Q97" s="29">
        <f>IF(TrRoad_act!Q19=0,0,Q33/TrRoad_act!Q19*1000)</f>
        <v>191.20831098216198</v>
      </c>
      <c r="R97" s="29">
        <f>IF(TrRoad_act!R19=0,0,R33/TrRoad_act!R19*1000)</f>
        <v>191.33726675259845</v>
      </c>
      <c r="S97" s="29">
        <f>IF(TrRoad_act!S19=0,0,S33/TrRoad_act!S19*1000)</f>
        <v>194.44229778648344</v>
      </c>
      <c r="T97" s="29">
        <f>IF(TrRoad_act!T19=0,0,T33/TrRoad_act!T19*1000)</f>
        <v>190.35837500649154</v>
      </c>
      <c r="U97" s="29">
        <f>IF(TrRoad_act!U19=0,0,U33/TrRoad_act!U19*1000)</f>
        <v>178.65539251008551</v>
      </c>
      <c r="V97" s="29">
        <f>IF(TrRoad_act!V19=0,0,V33/TrRoad_act!V19*1000)</f>
        <v>180.07694902946025</v>
      </c>
      <c r="W97" s="29">
        <f>IF(TrRoad_act!W19=0,0,W33/TrRoad_act!W19*1000)</f>
        <v>160.70471736673775</v>
      </c>
      <c r="X97" s="29">
        <f>IF(TrRoad_act!X19=0,0,X33/TrRoad_act!X19*1000)</f>
        <v>170.8870291288236</v>
      </c>
      <c r="Y97" s="29">
        <f>IF(TrRoad_act!Y19=0,0,Y33/TrRoad_act!Y19*1000)</f>
        <v>171.6569361451474</v>
      </c>
      <c r="DA97" s="173" t="s">
        <v>445</v>
      </c>
    </row>
    <row r="98" spans="1:105" ht="11.45" customHeight="1" x14ac:dyDescent="0.25">
      <c r="A98" s="136" t="s">
        <v>153</v>
      </c>
      <c r="B98" s="152">
        <f>IF(TrRoad_act!B20=0,0,B34/TrRoad_act!B20*1000)</f>
        <v>987.71765102623965</v>
      </c>
      <c r="C98" s="152">
        <f>IF(TrRoad_act!C20=0,0,C34/TrRoad_act!C20*1000)</f>
        <v>1001.8989663057791</v>
      </c>
      <c r="D98" s="152">
        <f>IF(TrRoad_act!D20=0,0,D34/TrRoad_act!D20*1000)</f>
        <v>995.27537216235521</v>
      </c>
      <c r="E98" s="152">
        <f>IF(TrRoad_act!E20=0,0,E34/TrRoad_act!E20*1000)</f>
        <v>986.5463287863297</v>
      </c>
      <c r="F98" s="152">
        <f>IF(TrRoad_act!F20=0,0,F34/TrRoad_act!F20*1000)</f>
        <v>948.79405862164958</v>
      </c>
      <c r="G98" s="152">
        <f>IF(TrRoad_act!G20=0,0,G34/TrRoad_act!G20*1000)</f>
        <v>965.14420443813594</v>
      </c>
      <c r="H98" s="152">
        <f>IF(TrRoad_act!H20=0,0,H34/TrRoad_act!H20*1000)</f>
        <v>963.70222111091618</v>
      </c>
      <c r="I98" s="152">
        <f>IF(TrRoad_act!I20=0,0,I34/TrRoad_act!I20*1000)</f>
        <v>927.63104106171227</v>
      </c>
      <c r="J98" s="152">
        <f>IF(TrRoad_act!J20=0,0,J34/TrRoad_act!J20*1000)</f>
        <v>910.85224027014078</v>
      </c>
      <c r="K98" s="152">
        <f>IF(TrRoad_act!K20=0,0,K34/TrRoad_act!K20*1000)</f>
        <v>899.15058467382607</v>
      </c>
      <c r="L98" s="152">
        <f>IF(TrRoad_act!L20=0,0,L34/TrRoad_act!L20*1000)</f>
        <v>896.02658923690888</v>
      </c>
      <c r="M98" s="152">
        <f>IF(TrRoad_act!M20=0,0,M34/TrRoad_act!M20*1000)</f>
        <v>879.60294630465705</v>
      </c>
      <c r="N98" s="152">
        <f>IF(TrRoad_act!N20=0,0,N34/TrRoad_act!N20*1000)</f>
        <v>900.99189030649302</v>
      </c>
      <c r="O98" s="152">
        <f>IF(TrRoad_act!O20=0,0,O34/TrRoad_act!O20*1000)</f>
        <v>865.79030232991579</v>
      </c>
      <c r="P98" s="152">
        <f>IF(TrRoad_act!P20=0,0,P34/TrRoad_act!P20*1000)</f>
        <v>857.05743453711443</v>
      </c>
      <c r="Q98" s="152">
        <f>IF(TrRoad_act!Q20=0,0,Q34/TrRoad_act!Q20*1000)</f>
        <v>836.54025680739778</v>
      </c>
      <c r="R98" s="152">
        <f>IF(TrRoad_act!R20=0,0,R34/TrRoad_act!R20*1000)</f>
        <v>835.78147400470641</v>
      </c>
      <c r="S98" s="152">
        <f>IF(TrRoad_act!S20=0,0,S34/TrRoad_act!S20*1000)</f>
        <v>829.69164820050901</v>
      </c>
      <c r="T98" s="152">
        <f>IF(TrRoad_act!T20=0,0,T34/TrRoad_act!T20*1000)</f>
        <v>812.74667908185882</v>
      </c>
      <c r="U98" s="152">
        <f>IF(TrRoad_act!U20=0,0,U34/TrRoad_act!U20*1000)</f>
        <v>781.76503015384264</v>
      </c>
      <c r="V98" s="152">
        <f>IF(TrRoad_act!V20=0,0,V34/TrRoad_act!V20*1000)</f>
        <v>754.30509760706457</v>
      </c>
      <c r="W98" s="152">
        <f>IF(TrRoad_act!W20=0,0,W34/TrRoad_act!W20*1000)</f>
        <v>755.11477662981372</v>
      </c>
      <c r="X98" s="152">
        <f>IF(TrRoad_act!X20=0,0,X34/TrRoad_act!X20*1000)</f>
        <v>757.58376942910263</v>
      </c>
      <c r="Y98" s="152">
        <f>IF(TrRoad_act!Y20=0,0,Y34/TrRoad_act!Y20*1000)</f>
        <v>752.01060920907435</v>
      </c>
      <c r="DA98" s="174" t="s">
        <v>446</v>
      </c>
    </row>
    <row r="99" spans="1:105" ht="11.45" customHeight="1" x14ac:dyDescent="0.25">
      <c r="A99" s="111" t="s">
        <v>110</v>
      </c>
      <c r="B99" s="87">
        <f>IF(TrRoad_act!B21=0,0,B35/TrRoad_act!B21*1000)</f>
        <v>1356.1943117607245</v>
      </c>
      <c r="C99" s="87">
        <f>IF(TrRoad_act!C21=0,0,C35/TrRoad_act!C21*1000)</f>
        <v>1330.7275379012422</v>
      </c>
      <c r="D99" s="87">
        <f>IF(TrRoad_act!D21=0,0,D35/TrRoad_act!D21*1000)</f>
        <v>1302.7558079774394</v>
      </c>
      <c r="E99" s="87">
        <f>IF(TrRoad_act!E21=0,0,E35/TrRoad_act!E21*1000)</f>
        <v>1269.0242099091006</v>
      </c>
      <c r="F99" s="87">
        <f>IF(TrRoad_act!F21=0,0,F35/TrRoad_act!F21*1000)</f>
        <v>1234.905804323193</v>
      </c>
      <c r="G99" s="87">
        <f>IF(TrRoad_act!G21=0,0,G35/TrRoad_act!G21*1000)</f>
        <v>1207.7853023163916</v>
      </c>
      <c r="H99" s="87">
        <f>IF(TrRoad_act!H21=0,0,H35/TrRoad_act!H21*1000)</f>
        <v>1168.4741201503307</v>
      </c>
      <c r="I99" s="87">
        <f>IF(TrRoad_act!I21=0,0,I35/TrRoad_act!I21*1000)</f>
        <v>1141.4104368403937</v>
      </c>
      <c r="J99" s="87">
        <f>IF(TrRoad_act!J21=0,0,J35/TrRoad_act!J21*1000)</f>
        <v>1121.2003738101253</v>
      </c>
      <c r="K99" s="87">
        <f>IF(TrRoad_act!K21=0,0,K35/TrRoad_act!K21*1000)</f>
        <v>1098.2346584985496</v>
      </c>
      <c r="L99" s="87">
        <f>IF(TrRoad_act!L21=0,0,L35/TrRoad_act!L21*1000)</f>
        <v>1046.9348501388999</v>
      </c>
      <c r="M99" s="87">
        <f>IF(TrRoad_act!M21=0,0,M35/TrRoad_act!M21*1000)</f>
        <v>1028.1993939363576</v>
      </c>
      <c r="N99" s="87">
        <f>IF(TrRoad_act!N21=0,0,N35/TrRoad_act!N21*1000)</f>
        <v>1001.8768147061361</v>
      </c>
      <c r="O99" s="87">
        <f>IF(TrRoad_act!O21=0,0,O35/TrRoad_act!O21*1000)</f>
        <v>999.95034415829502</v>
      </c>
      <c r="P99" s="87">
        <f>IF(TrRoad_act!P21=0,0,P35/TrRoad_act!P21*1000)</f>
        <v>994.40515433921564</v>
      </c>
      <c r="Q99" s="87">
        <f>IF(TrRoad_act!Q21=0,0,Q35/TrRoad_act!Q21*1000)</f>
        <v>957.66626414247401</v>
      </c>
      <c r="R99" s="87">
        <f>IF(TrRoad_act!R21=0,0,R35/TrRoad_act!R21*1000)</f>
        <v>929.44316300298499</v>
      </c>
      <c r="S99" s="87">
        <f>IF(TrRoad_act!S21=0,0,S35/TrRoad_act!S21*1000)</f>
        <v>898.53902588508402</v>
      </c>
      <c r="T99" s="87">
        <f>IF(TrRoad_act!T21=0,0,T35/TrRoad_act!T21*1000)</f>
        <v>883.57519089344089</v>
      </c>
      <c r="U99" s="87">
        <f>IF(TrRoad_act!U21=0,0,U35/TrRoad_act!U21*1000)</f>
        <v>871.52337476773687</v>
      </c>
      <c r="V99" s="87">
        <f>IF(TrRoad_act!V21=0,0,V35/TrRoad_act!V21*1000)</f>
        <v>864.75902195195715</v>
      </c>
      <c r="W99" s="87">
        <f>IF(TrRoad_act!W21=0,0,W35/TrRoad_act!W21*1000)</f>
        <v>839.71545005413384</v>
      </c>
      <c r="X99" s="87">
        <f>IF(TrRoad_act!X21=0,0,X35/TrRoad_act!X21*1000)</f>
        <v>812.25904421688142</v>
      </c>
      <c r="Y99" s="87">
        <f>IF(TrRoad_act!Y21=0,0,Y35/TrRoad_act!Y21*1000)</f>
        <v>798.28799258286926</v>
      </c>
      <c r="DA99" s="171" t="s">
        <v>806</v>
      </c>
    </row>
    <row r="100" spans="1:105" ht="11.45" customHeight="1" x14ac:dyDescent="0.25">
      <c r="A100" s="111" t="s">
        <v>111</v>
      </c>
      <c r="B100" s="87">
        <f>IF(TrRoad_act!B22=0,0,B36/TrRoad_act!B22*1000)</f>
        <v>838.28266375603994</v>
      </c>
      <c r="C100" s="87">
        <f>IF(TrRoad_act!C22=0,0,C36/TrRoad_act!C22*1000)</f>
        <v>872.65331869006855</v>
      </c>
      <c r="D100" s="87">
        <f>IF(TrRoad_act!D22=0,0,D36/TrRoad_act!D22*1000)</f>
        <v>878.89939893668316</v>
      </c>
      <c r="E100" s="87">
        <f>IF(TrRoad_act!E22=0,0,E36/TrRoad_act!E22*1000)</f>
        <v>883.82220513742959</v>
      </c>
      <c r="F100" s="87">
        <f>IF(TrRoad_act!F22=0,0,F36/TrRoad_act!F22*1000)</f>
        <v>848.89097265682631</v>
      </c>
      <c r="G100" s="87">
        <f>IF(TrRoad_act!G22=0,0,G36/TrRoad_act!G22*1000)</f>
        <v>883.50399557502737</v>
      </c>
      <c r="H100" s="87">
        <f>IF(TrRoad_act!H22=0,0,H36/TrRoad_act!H22*1000)</f>
        <v>898.12804013421771</v>
      </c>
      <c r="I100" s="87">
        <f>IF(TrRoad_act!I22=0,0,I36/TrRoad_act!I22*1000)</f>
        <v>861.89572169792189</v>
      </c>
      <c r="J100" s="87">
        <f>IF(TrRoad_act!J22=0,0,J36/TrRoad_act!J22*1000)</f>
        <v>857.32906347433686</v>
      </c>
      <c r="K100" s="87">
        <f>IF(TrRoad_act!K22=0,0,K36/TrRoad_act!K22*1000)</f>
        <v>851.44525486149996</v>
      </c>
      <c r="L100" s="87">
        <f>IF(TrRoad_act!L22=0,0,L36/TrRoad_act!L22*1000)</f>
        <v>862.37643465384133</v>
      </c>
      <c r="M100" s="87">
        <f>IF(TrRoad_act!M22=0,0,M36/TrRoad_act!M22*1000)</f>
        <v>850.03141333353392</v>
      </c>
      <c r="N100" s="87">
        <f>IF(TrRoad_act!N22=0,0,N36/TrRoad_act!N22*1000)</f>
        <v>882.67217372226378</v>
      </c>
      <c r="O100" s="87">
        <f>IF(TrRoad_act!O22=0,0,O36/TrRoad_act!O22*1000)</f>
        <v>845.18050263743226</v>
      </c>
      <c r="P100" s="87">
        <f>IF(TrRoad_act!P22=0,0,P36/TrRoad_act!P22*1000)</f>
        <v>839.4811053475355</v>
      </c>
      <c r="Q100" s="87">
        <f>IF(TrRoad_act!Q22=0,0,Q36/TrRoad_act!Q22*1000)</f>
        <v>823.89554404116086</v>
      </c>
      <c r="R100" s="87">
        <f>IF(TrRoad_act!R22=0,0,R36/TrRoad_act!R22*1000)</f>
        <v>825.70692053754215</v>
      </c>
      <c r="S100" s="87">
        <f>IF(TrRoad_act!S22=0,0,S36/TrRoad_act!S22*1000)</f>
        <v>822.6260112875276</v>
      </c>
      <c r="T100" s="87">
        <f>IF(TrRoad_act!T22=0,0,T36/TrRoad_act!T22*1000)</f>
        <v>806.08726432787842</v>
      </c>
      <c r="U100" s="87">
        <f>IF(TrRoad_act!U22=0,0,U36/TrRoad_act!U22*1000)</f>
        <v>774.20593819553665</v>
      </c>
      <c r="V100" s="87">
        <f>IF(TrRoad_act!V22=0,0,V36/TrRoad_act!V22*1000)</f>
        <v>745.80015273144022</v>
      </c>
      <c r="W100" s="87">
        <f>IF(TrRoad_act!W22=0,0,W36/TrRoad_act!W22*1000)</f>
        <v>749.10219420274677</v>
      </c>
      <c r="X100" s="87">
        <f>IF(TrRoad_act!X22=0,0,X36/TrRoad_act!X22*1000)</f>
        <v>754.06851970329853</v>
      </c>
      <c r="Y100" s="87">
        <f>IF(TrRoad_act!Y22=0,0,Y36/TrRoad_act!Y22*1000)</f>
        <v>749.46261651712825</v>
      </c>
      <c r="DA100" s="171" t="s">
        <v>807</v>
      </c>
    </row>
    <row r="101" spans="1:105" ht="11.45" customHeight="1" x14ac:dyDescent="0.25">
      <c r="A101" s="111" t="s">
        <v>112</v>
      </c>
      <c r="B101" s="87">
        <f>IF(TrRoad_act!B23=0,0,B37/TrRoad_act!B23*1000)</f>
        <v>0</v>
      </c>
      <c r="C101" s="87">
        <f>IF(TrRoad_act!C23=0,0,C37/TrRoad_act!C23*1000)</f>
        <v>0</v>
      </c>
      <c r="D101" s="87">
        <f>IF(TrRoad_act!D23=0,0,D37/TrRoad_act!D23*1000)</f>
        <v>0</v>
      </c>
      <c r="E101" s="87">
        <f>IF(TrRoad_act!E23=0,0,E37/TrRoad_act!E23*1000)</f>
        <v>0</v>
      </c>
      <c r="F101" s="87">
        <f>IF(TrRoad_act!F23=0,0,F37/TrRoad_act!F23*1000)</f>
        <v>0</v>
      </c>
      <c r="G101" s="87">
        <f>IF(TrRoad_act!G23=0,0,G37/TrRoad_act!G23*1000)</f>
        <v>0</v>
      </c>
      <c r="H101" s="87">
        <f>IF(TrRoad_act!H23=0,0,H37/TrRoad_act!H23*1000)</f>
        <v>0</v>
      </c>
      <c r="I101" s="87">
        <f>IF(TrRoad_act!I23=0,0,I37/TrRoad_act!I23*1000)</f>
        <v>0</v>
      </c>
      <c r="J101" s="87">
        <f>IF(TrRoad_act!J23=0,0,J37/TrRoad_act!J23*1000)</f>
        <v>1868.0187517793163</v>
      </c>
      <c r="K101" s="87">
        <f>IF(TrRoad_act!K23=0,0,K37/TrRoad_act!K23*1000)</f>
        <v>1866.5678157466471</v>
      </c>
      <c r="L101" s="87">
        <f>IF(TrRoad_act!L23=0,0,L37/TrRoad_act!L23*1000)</f>
        <v>1864.7730816316205</v>
      </c>
      <c r="M101" s="87">
        <f>IF(TrRoad_act!M23=0,0,M37/TrRoad_act!M23*1000)</f>
        <v>1787.6404054274597</v>
      </c>
      <c r="N101" s="87">
        <f>IF(TrRoad_act!N23=0,0,N37/TrRoad_act!N23*1000)</f>
        <v>1694.3178249522005</v>
      </c>
      <c r="O101" s="87">
        <f>IF(TrRoad_act!O23=0,0,O37/TrRoad_act!O23*1000)</f>
        <v>1693.4605544995488</v>
      </c>
      <c r="P101" s="87">
        <f>IF(TrRoad_act!P23=0,0,P37/TrRoad_act!P23*1000)</f>
        <v>1563.6911615138386</v>
      </c>
      <c r="Q101" s="87">
        <f>IF(TrRoad_act!Q23=0,0,Q37/TrRoad_act!Q23*1000)</f>
        <v>1510.6133883754576</v>
      </c>
      <c r="R101" s="87">
        <f>IF(TrRoad_act!R23=0,0,R37/TrRoad_act!R23*1000)</f>
        <v>1311.5370350901439</v>
      </c>
      <c r="S101" s="87">
        <f>IF(TrRoad_act!S23=0,0,S37/TrRoad_act!S23*1000)</f>
        <v>1313.6692552173658</v>
      </c>
      <c r="T101" s="87">
        <f>IF(TrRoad_act!T23=0,0,T37/TrRoad_act!T23*1000)</f>
        <v>1290.1105992812138</v>
      </c>
      <c r="U101" s="87">
        <f>IF(TrRoad_act!U23=0,0,U37/TrRoad_act!U23*1000)</f>
        <v>1289.5237704853198</v>
      </c>
      <c r="V101" s="87">
        <f>IF(TrRoad_act!V23=0,0,V37/TrRoad_act!V23*1000)</f>
        <v>1258.4794260753317</v>
      </c>
      <c r="W101" s="87">
        <f>IF(TrRoad_act!W23=0,0,W37/TrRoad_act!W23*1000)</f>
        <v>1158.7967069769852</v>
      </c>
      <c r="X101" s="87">
        <f>IF(TrRoad_act!X23=0,0,X37/TrRoad_act!X23*1000)</f>
        <v>1055.6320304974545</v>
      </c>
      <c r="Y101" s="87">
        <f>IF(TrRoad_act!Y23=0,0,Y37/TrRoad_act!Y23*1000)</f>
        <v>1002.2813366883638</v>
      </c>
      <c r="DA101" s="171" t="s">
        <v>808</v>
      </c>
    </row>
    <row r="102" spans="1:105" ht="11.45" customHeight="1" x14ac:dyDescent="0.25">
      <c r="A102" s="111" t="s">
        <v>113</v>
      </c>
      <c r="B102" s="87">
        <f>IF(TrRoad_act!B24=0,0,B38/TrRoad_act!B24*1000)</f>
        <v>0</v>
      </c>
      <c r="C102" s="87">
        <f>IF(TrRoad_act!C24=0,0,C38/TrRoad_act!C24*1000)</f>
        <v>0</v>
      </c>
      <c r="D102" s="87">
        <f>IF(TrRoad_act!D24=0,0,D38/TrRoad_act!D24*1000)</f>
        <v>0</v>
      </c>
      <c r="E102" s="87">
        <f>IF(TrRoad_act!E24=0,0,E38/TrRoad_act!E24*1000)</f>
        <v>0</v>
      </c>
      <c r="F102" s="87">
        <f>IF(TrRoad_act!F24=0,0,F38/TrRoad_act!F24*1000)</f>
        <v>0</v>
      </c>
      <c r="G102" s="87">
        <f>IF(TrRoad_act!G24=0,0,G38/TrRoad_act!G24*1000)</f>
        <v>0</v>
      </c>
      <c r="H102" s="87">
        <f>IF(TrRoad_act!H24=0,0,H38/TrRoad_act!H24*1000)</f>
        <v>0</v>
      </c>
      <c r="I102" s="87">
        <f>IF(TrRoad_act!I24=0,0,I38/TrRoad_act!I24*1000)</f>
        <v>0</v>
      </c>
      <c r="J102" s="87">
        <f>IF(TrRoad_act!J24=0,0,J38/TrRoad_act!J24*1000)</f>
        <v>0</v>
      </c>
      <c r="K102" s="87">
        <f>IF(TrRoad_act!K24=0,0,K38/TrRoad_act!K24*1000)</f>
        <v>0</v>
      </c>
      <c r="L102" s="87">
        <f>IF(TrRoad_act!L24=0,0,L38/TrRoad_act!L24*1000)</f>
        <v>0</v>
      </c>
      <c r="M102" s="87">
        <f>IF(TrRoad_act!M24=0,0,M38/TrRoad_act!M24*1000)</f>
        <v>0</v>
      </c>
      <c r="N102" s="87">
        <f>IF(TrRoad_act!N24=0,0,N38/TrRoad_act!N24*1000)</f>
        <v>0</v>
      </c>
      <c r="O102" s="87">
        <f>IF(TrRoad_act!O24=0,0,O38/TrRoad_act!O24*1000)</f>
        <v>0</v>
      </c>
      <c r="P102" s="87">
        <f>IF(TrRoad_act!P24=0,0,P38/TrRoad_act!P24*1000)</f>
        <v>0</v>
      </c>
      <c r="Q102" s="87">
        <f>IF(TrRoad_act!Q24=0,0,Q38/TrRoad_act!Q24*1000)</f>
        <v>0</v>
      </c>
      <c r="R102" s="87">
        <f>IF(TrRoad_act!R24=0,0,R38/TrRoad_act!R24*1000)</f>
        <v>0</v>
      </c>
      <c r="S102" s="87">
        <f>IF(TrRoad_act!S24=0,0,S38/TrRoad_act!S24*1000)</f>
        <v>0</v>
      </c>
      <c r="T102" s="87">
        <f>IF(TrRoad_act!T24=0,0,T38/TrRoad_act!T24*1000)</f>
        <v>0</v>
      </c>
      <c r="U102" s="87">
        <f>IF(TrRoad_act!U24=0,0,U38/TrRoad_act!U24*1000)</f>
        <v>0</v>
      </c>
      <c r="V102" s="87">
        <f>IF(TrRoad_act!V24=0,0,V38/TrRoad_act!V24*1000)</f>
        <v>0</v>
      </c>
      <c r="W102" s="87">
        <f>IF(TrRoad_act!W24=0,0,W38/TrRoad_act!W24*1000)</f>
        <v>0</v>
      </c>
      <c r="X102" s="87">
        <f>IF(TrRoad_act!X24=0,0,X38/TrRoad_act!X24*1000)</f>
        <v>0</v>
      </c>
      <c r="Y102" s="87">
        <f>IF(TrRoad_act!Y24=0,0,Y38/TrRoad_act!Y24*1000)</f>
        <v>0</v>
      </c>
      <c r="DA102" s="171" t="s">
        <v>809</v>
      </c>
    </row>
    <row r="103" spans="1:105" ht="11.45" customHeight="1" x14ac:dyDescent="0.25">
      <c r="A103" s="111" t="s">
        <v>115</v>
      </c>
      <c r="B103" s="87">
        <f>IF(TrRoad_act!B25=0,0,B39/TrRoad_act!B25*1000)</f>
        <v>0</v>
      </c>
      <c r="C103" s="87">
        <f>IF(TrRoad_act!C25=0,0,C39/TrRoad_act!C25*1000)</f>
        <v>0</v>
      </c>
      <c r="D103" s="87">
        <f>IF(TrRoad_act!D25=0,0,D39/TrRoad_act!D25*1000)</f>
        <v>0</v>
      </c>
      <c r="E103" s="87">
        <f>IF(TrRoad_act!E25=0,0,E39/TrRoad_act!E25*1000)</f>
        <v>0</v>
      </c>
      <c r="F103" s="87">
        <f>IF(TrRoad_act!F25=0,0,F39/TrRoad_act!F25*1000)</f>
        <v>0</v>
      </c>
      <c r="G103" s="87">
        <f>IF(TrRoad_act!G25=0,0,G39/TrRoad_act!G25*1000)</f>
        <v>0</v>
      </c>
      <c r="H103" s="87">
        <f>IF(TrRoad_act!H25=0,0,H39/TrRoad_act!H25*1000)</f>
        <v>0</v>
      </c>
      <c r="I103" s="87">
        <f>IF(TrRoad_act!I25=0,0,I39/TrRoad_act!I25*1000)</f>
        <v>0</v>
      </c>
      <c r="J103" s="87">
        <f>IF(TrRoad_act!J25=0,0,J39/TrRoad_act!J25*1000)</f>
        <v>0</v>
      </c>
      <c r="K103" s="87">
        <f>IF(TrRoad_act!K25=0,0,K39/TrRoad_act!K25*1000)</f>
        <v>0</v>
      </c>
      <c r="L103" s="87">
        <f>IF(TrRoad_act!L25=0,0,L39/TrRoad_act!L25*1000)</f>
        <v>0</v>
      </c>
      <c r="M103" s="87">
        <f>IF(TrRoad_act!M25=0,0,M39/TrRoad_act!M25*1000)</f>
        <v>0</v>
      </c>
      <c r="N103" s="87">
        <f>IF(TrRoad_act!N25=0,0,N39/TrRoad_act!N25*1000)</f>
        <v>0</v>
      </c>
      <c r="O103" s="87">
        <f>IF(TrRoad_act!O25=0,0,O39/TrRoad_act!O25*1000)</f>
        <v>0</v>
      </c>
      <c r="P103" s="87">
        <f>IF(TrRoad_act!P25=0,0,P39/TrRoad_act!P25*1000)</f>
        <v>0</v>
      </c>
      <c r="Q103" s="87">
        <f>IF(TrRoad_act!Q25=0,0,Q39/TrRoad_act!Q25*1000)</f>
        <v>0</v>
      </c>
      <c r="R103" s="87">
        <f>IF(TrRoad_act!R25=0,0,R39/TrRoad_act!R25*1000)</f>
        <v>0</v>
      </c>
      <c r="S103" s="87">
        <f>IF(TrRoad_act!S25=0,0,S39/TrRoad_act!S25*1000)</f>
        <v>0</v>
      </c>
      <c r="T103" s="87">
        <f>IF(TrRoad_act!T25=0,0,T39/TrRoad_act!T25*1000)</f>
        <v>0</v>
      </c>
      <c r="U103" s="87">
        <f>IF(TrRoad_act!U25=0,0,U39/TrRoad_act!U25*1000)</f>
        <v>0</v>
      </c>
      <c r="V103" s="87">
        <f>IF(TrRoad_act!V25=0,0,V39/TrRoad_act!V25*1000)</f>
        <v>0</v>
      </c>
      <c r="W103" s="87">
        <f>IF(TrRoad_act!W25=0,0,W39/TrRoad_act!W25*1000)</f>
        <v>0</v>
      </c>
      <c r="X103" s="87">
        <f>IF(TrRoad_act!X25=0,0,X39/TrRoad_act!X25*1000)</f>
        <v>0</v>
      </c>
      <c r="Y103" s="87">
        <f>IF(TrRoad_act!Y25=0,0,Y39/TrRoad_act!Y25*1000)</f>
        <v>0</v>
      </c>
      <c r="DA103" s="171" t="s">
        <v>810</v>
      </c>
    </row>
    <row r="104" spans="1:105" ht="11.45" customHeight="1" x14ac:dyDescent="0.25">
      <c r="A104" s="109" t="s">
        <v>154</v>
      </c>
      <c r="B104" s="116">
        <f>IF(TrRoad_act!B26=0,0,B40/TrRoad_act!B26*1000)</f>
        <v>82.524545742002971</v>
      </c>
      <c r="C104" s="116">
        <f>IF(TrRoad_act!C26=0,0,C40/TrRoad_act!C26*1000)</f>
        <v>113.20419780086836</v>
      </c>
      <c r="D104" s="116">
        <f>IF(TrRoad_act!D26=0,0,D40/TrRoad_act!D26*1000)</f>
        <v>119.95666426447268</v>
      </c>
      <c r="E104" s="116">
        <f>IF(TrRoad_act!E26=0,0,E40/TrRoad_act!E26*1000)</f>
        <v>121.40813561290331</v>
      </c>
      <c r="F104" s="116">
        <f>IF(TrRoad_act!F26=0,0,F40/TrRoad_act!F26*1000)</f>
        <v>100.36952451755491</v>
      </c>
      <c r="G104" s="116">
        <f>IF(TrRoad_act!G26=0,0,G40/TrRoad_act!G26*1000)</f>
        <v>70.893545400704426</v>
      </c>
      <c r="H104" s="116">
        <f>IF(TrRoad_act!H26=0,0,H40/TrRoad_act!H26*1000)</f>
        <v>84.202051686205138</v>
      </c>
      <c r="I104" s="116">
        <f>IF(TrRoad_act!I26=0,0,I40/TrRoad_act!I26*1000)</f>
        <v>66.474926564593744</v>
      </c>
      <c r="J104" s="116">
        <f>IF(TrRoad_act!J26=0,0,J40/TrRoad_act!J26*1000)</f>
        <v>74.175786870963975</v>
      </c>
      <c r="K104" s="116">
        <f>IF(TrRoad_act!K26=0,0,K40/TrRoad_act!K26*1000)</f>
        <v>87.575563793214101</v>
      </c>
      <c r="L104" s="116">
        <f>IF(TrRoad_act!L26=0,0,L40/TrRoad_act!L26*1000)</f>
        <v>102.41006254122121</v>
      </c>
      <c r="M104" s="116">
        <f>IF(TrRoad_act!M26=0,0,M40/TrRoad_act!M26*1000)</f>
        <v>107.25735896532233</v>
      </c>
      <c r="N104" s="116">
        <f>IF(TrRoad_act!N26=0,0,N40/TrRoad_act!N26*1000)</f>
        <v>90.468844400333012</v>
      </c>
      <c r="O104" s="116">
        <f>IF(TrRoad_act!O26=0,0,O40/TrRoad_act!O26*1000)</f>
        <v>88.992114765641517</v>
      </c>
      <c r="P104" s="116">
        <f>IF(TrRoad_act!P26=0,0,P40/TrRoad_act!P26*1000)</f>
        <v>84.891216692965827</v>
      </c>
      <c r="Q104" s="116">
        <f>IF(TrRoad_act!Q26=0,0,Q40/TrRoad_act!Q26*1000)</f>
        <v>78.582496138420197</v>
      </c>
      <c r="R104" s="116">
        <f>IF(TrRoad_act!R26=0,0,R40/TrRoad_act!R26*1000)</f>
        <v>85.265014521717646</v>
      </c>
      <c r="S104" s="116">
        <f>IF(TrRoad_act!S26=0,0,S40/TrRoad_act!S26*1000)</f>
        <v>90.939280809339081</v>
      </c>
      <c r="T104" s="116">
        <f>IF(TrRoad_act!T26=0,0,T40/TrRoad_act!T26*1000)</f>
        <v>83.224405666583294</v>
      </c>
      <c r="U104" s="116">
        <f>IF(TrRoad_act!U26=0,0,U40/TrRoad_act!U26*1000)</f>
        <v>80.04087418839454</v>
      </c>
      <c r="V104" s="116">
        <f>IF(TrRoad_act!V26=0,0,V40/TrRoad_act!V26*1000)</f>
        <v>78.128029770508533</v>
      </c>
      <c r="W104" s="116">
        <f>IF(TrRoad_act!W26=0,0,W40/TrRoad_act!W26*1000)</f>
        <v>71.223085118600636</v>
      </c>
      <c r="X104" s="116">
        <f>IF(TrRoad_act!X26=0,0,X40/TrRoad_act!X26*1000)</f>
        <v>84.562342347419431</v>
      </c>
      <c r="Y104" s="116">
        <f>IF(TrRoad_act!Y26=0,0,Y40/TrRoad_act!Y26*1000)</f>
        <v>85.882438214180169</v>
      </c>
      <c r="DA104" s="176" t="s">
        <v>447</v>
      </c>
    </row>
    <row r="105" spans="1:105" ht="11.45" customHeight="1" x14ac:dyDescent="0.25">
      <c r="A105" s="128" t="s">
        <v>27</v>
      </c>
      <c r="B105" s="101">
        <f>IF(TrRoad_act!B27=0,0,B41/TrRoad_act!B27*1000)</f>
        <v>82.769828877315248</v>
      </c>
      <c r="C105" s="101">
        <f>IF(TrRoad_act!C27=0,0,C41/TrRoad_act!C27*1000)</f>
        <v>94.533175810018051</v>
      </c>
      <c r="D105" s="101">
        <f>IF(TrRoad_act!D27=0,0,D41/TrRoad_act!D27*1000)</f>
        <v>97.13008972644046</v>
      </c>
      <c r="E105" s="101">
        <f>IF(TrRoad_act!E27=0,0,E41/TrRoad_act!E27*1000)</f>
        <v>97.139429550769179</v>
      </c>
      <c r="F105" s="101">
        <f>IF(TrRoad_act!F27=0,0,F41/TrRoad_act!F27*1000)</f>
        <v>88.432837561867032</v>
      </c>
      <c r="G105" s="101">
        <f>IF(TrRoad_act!G27=0,0,G41/TrRoad_act!G27*1000)</f>
        <v>76.488701706726829</v>
      </c>
      <c r="H105" s="101">
        <f>IF(TrRoad_act!H27=0,0,H41/TrRoad_act!H27*1000)</f>
        <v>81.7426022040341</v>
      </c>
      <c r="I105" s="101">
        <f>IF(TrRoad_act!I27=0,0,I41/TrRoad_act!I27*1000)</f>
        <v>70.865934221718362</v>
      </c>
      <c r="J105" s="101">
        <f>IF(TrRoad_act!J27=0,0,J41/TrRoad_act!J27*1000)</f>
        <v>74.395504472477256</v>
      </c>
      <c r="K105" s="101">
        <f>IF(TrRoad_act!K27=0,0,K41/TrRoad_act!K27*1000)</f>
        <v>79.835658833218048</v>
      </c>
      <c r="L105" s="101">
        <f>IF(TrRoad_act!L27=0,0,L41/TrRoad_act!L27*1000)</f>
        <v>85.53565743591038</v>
      </c>
      <c r="M105" s="101">
        <f>IF(TrRoad_act!M27=0,0,M41/TrRoad_act!M27*1000)</f>
        <v>87.359825512543097</v>
      </c>
      <c r="N105" s="101">
        <f>IF(TrRoad_act!N27=0,0,N41/TrRoad_act!N27*1000)</f>
        <v>80.560057459711146</v>
      </c>
      <c r="O105" s="101">
        <f>IF(TrRoad_act!O27=0,0,O41/TrRoad_act!O27*1000)</f>
        <v>80.665044202994068</v>
      </c>
      <c r="P105" s="101">
        <f>IF(TrRoad_act!P27=0,0,P41/TrRoad_act!P27*1000)</f>
        <v>79.286080069616077</v>
      </c>
      <c r="Q105" s="101">
        <f>IF(TrRoad_act!Q27=0,0,Q41/TrRoad_act!Q27*1000)</f>
        <v>76.320149806203347</v>
      </c>
      <c r="R105" s="101">
        <f>IF(TrRoad_act!R27=0,0,R41/TrRoad_act!R27*1000)</f>
        <v>77.676596447907798</v>
      </c>
      <c r="S105" s="101">
        <f>IF(TrRoad_act!S27=0,0,S41/TrRoad_act!S27*1000)</f>
        <v>79.982826127162809</v>
      </c>
      <c r="T105" s="101">
        <f>IF(TrRoad_act!T27=0,0,T41/TrRoad_act!T27*1000)</f>
        <v>77.105149436848947</v>
      </c>
      <c r="U105" s="101">
        <f>IF(TrRoad_act!U27=0,0,U41/TrRoad_act!U27*1000)</f>
        <v>73.64311008368567</v>
      </c>
      <c r="V105" s="101">
        <f>IF(TrRoad_act!V27=0,0,V41/TrRoad_act!V27*1000)</f>
        <v>69.793509704516254</v>
      </c>
      <c r="W105" s="101">
        <f>IF(TrRoad_act!W27=0,0,W41/TrRoad_act!W27*1000)</f>
        <v>65.337247829104996</v>
      </c>
      <c r="X105" s="101">
        <f>IF(TrRoad_act!X27=0,0,X41/TrRoad_act!X27*1000)</f>
        <v>69.771839296904815</v>
      </c>
      <c r="Y105" s="101">
        <f>IF(TrRoad_act!Y27=0,0,Y41/TrRoad_act!Y27*1000)</f>
        <v>69.987394892632437</v>
      </c>
      <c r="DA105" s="175" t="s">
        <v>811</v>
      </c>
    </row>
    <row r="106" spans="1:105" ht="11.45" customHeight="1" x14ac:dyDescent="0.25">
      <c r="A106" s="138" t="s">
        <v>116</v>
      </c>
      <c r="B106" s="88">
        <f>IF(TrRoad_act!B28=0,0,B42/TrRoad_act!B28*1000)</f>
        <v>82.26840817188355</v>
      </c>
      <c r="C106" s="88">
        <f>IF(TrRoad_act!C28=0,0,C42/TrRoad_act!C28*1000)</f>
        <v>132.81464754996188</v>
      </c>
      <c r="D106" s="88">
        <f>IF(TrRoad_act!D28=0,0,D42/TrRoad_act!D28*1000)</f>
        <v>143.30938729957825</v>
      </c>
      <c r="E106" s="88">
        <f>IF(TrRoad_act!E28=0,0,E42/TrRoad_act!E28*1000)</f>
        <v>151.75472446898755</v>
      </c>
      <c r="F106" s="88">
        <f>IF(TrRoad_act!F28=0,0,F42/TrRoad_act!F28*1000)</f>
        <v>114.1851551354254</v>
      </c>
      <c r="G106" s="88">
        <f>IF(TrRoad_act!G28=0,0,G42/TrRoad_act!G28*1000)</f>
        <v>62.614498491092377</v>
      </c>
      <c r="H106" s="88">
        <f>IF(TrRoad_act!H28=0,0,H42/TrRoad_act!H28*1000)</f>
        <v>89.876111947871408</v>
      </c>
      <c r="I106" s="88">
        <f>IF(TrRoad_act!I28=0,0,I42/TrRoad_act!I28*1000)</f>
        <v>55.948084065906556</v>
      </c>
      <c r="J106" s="88">
        <f>IF(TrRoad_act!J28=0,0,J42/TrRoad_act!J28*1000)</f>
        <v>73.519937403154344</v>
      </c>
      <c r="K106" s="88">
        <f>IF(TrRoad_act!K28=0,0,K42/TrRoad_act!K28*1000)</f>
        <v>125.42717605824427</v>
      </c>
      <c r="L106" s="88">
        <f>IF(TrRoad_act!L28=0,0,L42/TrRoad_act!L28*1000)</f>
        <v>160.4125283550454</v>
      </c>
      <c r="M106" s="88">
        <f>IF(TrRoad_act!M28=0,0,M42/TrRoad_act!M28*1000)</f>
        <v>172.99025968875267</v>
      </c>
      <c r="N106" s="88">
        <f>IF(TrRoad_act!N28=0,0,N42/TrRoad_act!N28*1000)</f>
        <v>120.39610537097754</v>
      </c>
      <c r="O106" s="88">
        <f>IF(TrRoad_act!O28=0,0,O42/TrRoad_act!O28*1000)</f>
        <v>112.09968077132829</v>
      </c>
      <c r="P106" s="88">
        <f>IF(TrRoad_act!P28=0,0,P42/TrRoad_act!P28*1000)</f>
        <v>100.3171701641491</v>
      </c>
      <c r="Q106" s="88">
        <f>IF(TrRoad_act!Q28=0,0,Q42/TrRoad_act!Q28*1000)</f>
        <v>84.798262719389115</v>
      </c>
      <c r="R106" s="88">
        <f>IF(TrRoad_act!R28=0,0,R42/TrRoad_act!R28*1000)</f>
        <v>105.69815496582521</v>
      </c>
      <c r="S106" s="88">
        <f>IF(TrRoad_act!S28=0,0,S42/TrRoad_act!S28*1000)</f>
        <v>116.33684122468188</v>
      </c>
      <c r="T106" s="88">
        <f>IF(TrRoad_act!T28=0,0,T42/TrRoad_act!T28*1000)</f>
        <v>98.941808340380362</v>
      </c>
      <c r="U106" s="88">
        <f>IF(TrRoad_act!U28=0,0,U42/TrRoad_act!U28*1000)</f>
        <v>98.956249444781136</v>
      </c>
      <c r="V106" s="88">
        <f>IF(TrRoad_act!V28=0,0,V42/TrRoad_act!V28*1000)</f>
        <v>110.8990971790211</v>
      </c>
      <c r="W106" s="88">
        <f>IF(TrRoad_act!W28=0,0,W42/TrRoad_act!W28*1000)</f>
        <v>90.233577582841519</v>
      </c>
      <c r="X106" s="88">
        <f>IF(TrRoad_act!X28=0,0,X42/TrRoad_act!X28*1000)</f>
        <v>136.36207548325029</v>
      </c>
      <c r="Y106" s="88">
        <f>IF(TrRoad_act!Y28=0,0,Y42/TrRoad_act!Y28*1000)</f>
        <v>140.85238577054946</v>
      </c>
      <c r="DA106" s="178" t="s">
        <v>812</v>
      </c>
    </row>
    <row r="107" spans="1:105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DA107" s="171"/>
    </row>
    <row r="108" spans="1:105" ht="11.45" customHeight="1" x14ac:dyDescent="0.25">
      <c r="A108" s="53" t="s">
        <v>130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DA108" s="172"/>
    </row>
    <row r="109" spans="1:105" ht="11.45" customHeight="1" x14ac:dyDescent="0.25">
      <c r="A109" s="27" t="s">
        <v>33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DA109" s="173"/>
    </row>
    <row r="110" spans="1:105" ht="11.45" customHeight="1" x14ac:dyDescent="0.25">
      <c r="A110" s="136" t="s">
        <v>173</v>
      </c>
      <c r="B110" s="152">
        <f>IF(B19=0,0,1000000*B19/TrRoad_act!B59)</f>
        <v>709.82479356797205</v>
      </c>
      <c r="C110" s="152">
        <f>IF(C19=0,0,1000000*C19/TrRoad_act!C59)</f>
        <v>709.119238024163</v>
      </c>
      <c r="D110" s="152">
        <f>IF(D19=0,0,1000000*D19/TrRoad_act!D59)</f>
        <v>708.47643724282307</v>
      </c>
      <c r="E110" s="152">
        <f>IF(E19=0,0,1000000*E19/TrRoad_act!E59)</f>
        <v>705.38179778599226</v>
      </c>
      <c r="F110" s="152">
        <f>IF(F19=0,0,1000000*F19/TrRoad_act!F59)</f>
        <v>701.59618073746265</v>
      </c>
      <c r="G110" s="152">
        <f>IF(G19=0,0,1000000*G19/TrRoad_act!G59)</f>
        <v>663.76105592666465</v>
      </c>
      <c r="H110" s="152">
        <f>IF(H19=0,0,1000000*H19/TrRoad_act!H59)</f>
        <v>646.45545980730662</v>
      </c>
      <c r="I110" s="152">
        <f>IF(I19=0,0,1000000*I19/TrRoad_act!I59)</f>
        <v>632.21692149394028</v>
      </c>
      <c r="J110" s="152">
        <f>IF(J19=0,0,1000000*J19/TrRoad_act!J59)</f>
        <v>592.37397605572744</v>
      </c>
      <c r="K110" s="152">
        <f>IF(K19=0,0,1000000*K19/TrRoad_act!K59)</f>
        <v>567.04613101651898</v>
      </c>
      <c r="L110" s="152">
        <f>IF(L19=0,0,1000000*L19/TrRoad_act!L59)</f>
        <v>536.46405485544574</v>
      </c>
      <c r="M110" s="152">
        <f>IF(M19=0,0,1000000*M19/TrRoad_act!M59)</f>
        <v>528.44979793778839</v>
      </c>
      <c r="N110" s="152">
        <f>IF(N19=0,0,1000000*N19/TrRoad_act!N59)</f>
        <v>511.60916019421848</v>
      </c>
      <c r="O110" s="152">
        <f>IF(O19=0,0,1000000*O19/TrRoad_act!O59)</f>
        <v>506.29159207201525</v>
      </c>
      <c r="P110" s="152">
        <f>IF(P19=0,0,1000000*P19/TrRoad_act!P59)</f>
        <v>502.20906430177666</v>
      </c>
      <c r="Q110" s="152">
        <f>IF(Q19=0,0,1000000*Q19/TrRoad_act!Q59)</f>
        <v>489.16729330934965</v>
      </c>
      <c r="R110" s="152">
        <f>IF(R19=0,0,1000000*R19/TrRoad_act!R59)</f>
        <v>486.82348548146109</v>
      </c>
      <c r="S110" s="152">
        <f>IF(S19=0,0,1000000*S19/TrRoad_act!S59)</f>
        <v>426.89876921606214</v>
      </c>
      <c r="T110" s="152">
        <f>IF(T19=0,0,1000000*T19/TrRoad_act!T59)</f>
        <v>378.0790959916223</v>
      </c>
      <c r="U110" s="152">
        <f>IF(U19=0,0,1000000*U19/TrRoad_act!U59)</f>
        <v>363.55049960158959</v>
      </c>
      <c r="V110" s="152">
        <f>IF(V19=0,0,1000000*V19/TrRoad_act!V59)</f>
        <v>299.42507202160203</v>
      </c>
      <c r="W110" s="152">
        <f>IF(W19=0,0,1000000*W19/TrRoad_act!W59)</f>
        <v>284.61274369070173</v>
      </c>
      <c r="X110" s="152">
        <f>IF(X19=0,0,1000000*X19/TrRoad_act!X59)</f>
        <v>263.48240758327938</v>
      </c>
      <c r="Y110" s="152">
        <f>IF(Y19=0,0,1000000*Y19/TrRoad_act!Y59)</f>
        <v>263.62508177072186</v>
      </c>
      <c r="DA110" s="174" t="s">
        <v>813</v>
      </c>
    </row>
    <row r="111" spans="1:105" ht="11.45" customHeight="1" x14ac:dyDescent="0.25">
      <c r="A111" s="109" t="s">
        <v>20</v>
      </c>
      <c r="B111" s="116">
        <f>IF(B20=0,0,1000000*B20/TrRoad_act!B60)</f>
        <v>1207.0501803487289</v>
      </c>
      <c r="C111" s="116">
        <f>IF(C20=0,0,1000000*C20/TrRoad_act!C60)</f>
        <v>1561.3506788259713</v>
      </c>
      <c r="D111" s="116">
        <f>IF(D20=0,0,1000000*D20/TrRoad_act!D60)</f>
        <v>1727.6065188446594</v>
      </c>
      <c r="E111" s="116">
        <f>IF(E20=0,0,1000000*E20/TrRoad_act!E60)</f>
        <v>1746.8978803372465</v>
      </c>
      <c r="F111" s="116">
        <f>IF(F20=0,0,1000000*F20/TrRoad_act!F60)</f>
        <v>1849.7571714197545</v>
      </c>
      <c r="G111" s="116">
        <f>IF(G20=0,0,1000000*G20/TrRoad_act!G60)</f>
        <v>1758.6260998887192</v>
      </c>
      <c r="H111" s="116">
        <f>IF(H20=0,0,1000000*H20/TrRoad_act!H60)</f>
        <v>1852.6242224206292</v>
      </c>
      <c r="I111" s="116">
        <f>IF(I20=0,0,1000000*I20/TrRoad_act!I60)</f>
        <v>1780.4181706849963</v>
      </c>
      <c r="J111" s="116">
        <f>IF(J20=0,0,1000000*J20/TrRoad_act!J60)</f>
        <v>1734.0540517176867</v>
      </c>
      <c r="K111" s="116">
        <f>IF(K20=0,0,1000000*K20/TrRoad_act!K60)</f>
        <v>1734.5194256376674</v>
      </c>
      <c r="L111" s="116">
        <f>IF(L20=0,0,1000000*L20/TrRoad_act!L60)</f>
        <v>1642.0227140467111</v>
      </c>
      <c r="M111" s="116">
        <f>IF(M20=0,0,1000000*M20/TrRoad_act!M60)</f>
        <v>1703.2909349508764</v>
      </c>
      <c r="N111" s="116">
        <f>IF(N20=0,0,1000000*N20/TrRoad_act!N60)</f>
        <v>1751.8331870815637</v>
      </c>
      <c r="O111" s="116">
        <f>IF(O20=0,0,1000000*O20/TrRoad_act!O60)</f>
        <v>1588.19198074262</v>
      </c>
      <c r="P111" s="116">
        <f>IF(P20=0,0,1000000*P20/TrRoad_act!P60)</f>
        <v>1598.2738852915327</v>
      </c>
      <c r="Q111" s="116">
        <f>IF(Q20=0,0,1000000*Q20/TrRoad_act!Q60)</f>
        <v>1521.4702170695389</v>
      </c>
      <c r="R111" s="116">
        <f>IF(R20=0,0,1000000*R20/TrRoad_act!R60)</f>
        <v>1547.6959854648317</v>
      </c>
      <c r="S111" s="116">
        <f>IF(S20=0,0,1000000*S20/TrRoad_act!S60)</f>
        <v>1498.7942000824191</v>
      </c>
      <c r="T111" s="116">
        <f>IF(T20=0,0,1000000*T20/TrRoad_act!T60)</f>
        <v>1455.8243813541055</v>
      </c>
      <c r="U111" s="116">
        <f>IF(U20=0,0,1000000*U20/TrRoad_act!U60)</f>
        <v>1383.5434910100801</v>
      </c>
      <c r="V111" s="116">
        <f>IF(V20=0,0,1000000*V20/TrRoad_act!V60)</f>
        <v>1246.2862473655512</v>
      </c>
      <c r="W111" s="116">
        <f>IF(W20=0,0,1000000*W20/TrRoad_act!W60)</f>
        <v>1268.8593810909497</v>
      </c>
      <c r="X111" s="116">
        <f>IF(X20=0,0,1000000*X20/TrRoad_act!X60)</f>
        <v>1342.4326243465387</v>
      </c>
      <c r="Y111" s="116">
        <f>IF(Y20=0,0,1000000*Y20/TrRoad_act!Y60)</f>
        <v>1408.165707916211</v>
      </c>
      <c r="DA111" s="176" t="s">
        <v>814</v>
      </c>
    </row>
    <row r="112" spans="1:105" ht="11.45" customHeight="1" x14ac:dyDescent="0.25">
      <c r="A112" s="111" t="s">
        <v>110</v>
      </c>
      <c r="B112" s="87">
        <f>IF(B21=0,0,1000000*B21/TrRoad_act!B61)</f>
        <v>1122.0136315793686</v>
      </c>
      <c r="C112" s="87">
        <f>IF(C21=0,0,1000000*C21/TrRoad_act!C61)</f>
        <v>1485.7439229728791</v>
      </c>
      <c r="D112" s="87">
        <f>IF(D21=0,0,1000000*D21/TrRoad_act!D61)</f>
        <v>1622.4493719213726</v>
      </c>
      <c r="E112" s="87">
        <f>IF(E21=0,0,1000000*E21/TrRoad_act!E61)</f>
        <v>1645.5211810479473</v>
      </c>
      <c r="F112" s="87">
        <f>IF(F21=0,0,1000000*F21/TrRoad_act!F61)</f>
        <v>1692.5762448412268</v>
      </c>
      <c r="G112" s="87">
        <f>IF(G21=0,0,1000000*G21/TrRoad_act!G61)</f>
        <v>1544.1926056222176</v>
      </c>
      <c r="H112" s="87">
        <f>IF(H21=0,0,1000000*H21/TrRoad_act!H61)</f>
        <v>1555.1745367942556</v>
      </c>
      <c r="I112" s="87">
        <f>IF(I21=0,0,1000000*I21/TrRoad_act!I61)</f>
        <v>1508.4519776708712</v>
      </c>
      <c r="J112" s="87">
        <f>IF(J21=0,0,1000000*J21/TrRoad_act!J61)</f>
        <v>1350.5359937776248</v>
      </c>
      <c r="K112" s="87">
        <f>IF(K21=0,0,1000000*K21/TrRoad_act!K61)</f>
        <v>1292.8319039224548</v>
      </c>
      <c r="L112" s="87">
        <f>IF(L21=0,0,1000000*L21/TrRoad_act!L61)</f>
        <v>1227.8222656934354</v>
      </c>
      <c r="M112" s="87">
        <f>IF(M21=0,0,1000000*M21/TrRoad_act!M61)</f>
        <v>1198.1745544042135</v>
      </c>
      <c r="N112" s="87">
        <f>IF(N21=0,0,1000000*N21/TrRoad_act!N61)</f>
        <v>1167.7132784081568</v>
      </c>
      <c r="O112" s="87">
        <f>IF(O21=0,0,1000000*O21/TrRoad_act!O61)</f>
        <v>1083.5740166957212</v>
      </c>
      <c r="P112" s="87">
        <f>IF(P21=0,0,1000000*P21/TrRoad_act!P61)</f>
        <v>1145.5147944844371</v>
      </c>
      <c r="Q112" s="87">
        <f>IF(Q21=0,0,1000000*Q21/TrRoad_act!Q61)</f>
        <v>1054.5365787965577</v>
      </c>
      <c r="R112" s="87">
        <f>IF(R21=0,0,1000000*R21/TrRoad_act!R61)</f>
        <v>1070.2138533785828</v>
      </c>
      <c r="S112" s="87">
        <f>IF(S21=0,0,1000000*S21/TrRoad_act!S61)</f>
        <v>1039.7361704661307</v>
      </c>
      <c r="T112" s="87">
        <f>IF(T21=0,0,1000000*T21/TrRoad_act!T61)</f>
        <v>1008.9619820994695</v>
      </c>
      <c r="U112" s="87">
        <f>IF(U21=0,0,1000000*U21/TrRoad_act!U61)</f>
        <v>986.48952367021468</v>
      </c>
      <c r="V112" s="87">
        <f>IF(V21=0,0,1000000*V21/TrRoad_act!V61)</f>
        <v>902.11779719510423</v>
      </c>
      <c r="W112" s="87">
        <f>IF(W21=0,0,1000000*W21/TrRoad_act!W61)</f>
        <v>959.77516276807478</v>
      </c>
      <c r="X112" s="87">
        <f>IF(X21=0,0,1000000*X21/TrRoad_act!X61)</f>
        <v>973.34590141285116</v>
      </c>
      <c r="Y112" s="87">
        <f>IF(Y21=0,0,1000000*Y21/TrRoad_act!Y61)</f>
        <v>1004.2084197124714</v>
      </c>
      <c r="DA112" s="171" t="s">
        <v>815</v>
      </c>
    </row>
    <row r="113" spans="1:105" ht="11.45" customHeight="1" x14ac:dyDescent="0.25">
      <c r="A113" s="111" t="s">
        <v>111</v>
      </c>
      <c r="B113" s="87">
        <f>IF(B22=0,0,1000000*B22/TrRoad_act!B62)</f>
        <v>2335.1472378738963</v>
      </c>
      <c r="C113" s="87">
        <f>IF(C22=0,0,1000000*C22/TrRoad_act!C62)</f>
        <v>2264.8227478648182</v>
      </c>
      <c r="D113" s="87">
        <f>IF(D22=0,0,1000000*D22/TrRoad_act!D62)</f>
        <v>2489.618661940141</v>
      </c>
      <c r="E113" s="87">
        <f>IF(E22=0,0,1000000*E22/TrRoad_act!E62)</f>
        <v>2332.7474125760323</v>
      </c>
      <c r="F113" s="87">
        <f>IF(F22=0,0,1000000*F22/TrRoad_act!F62)</f>
        <v>2253.2894797806725</v>
      </c>
      <c r="G113" s="87">
        <f>IF(G22=0,0,1000000*G22/TrRoad_act!G62)</f>
        <v>2490.2773312651207</v>
      </c>
      <c r="H113" s="87">
        <f>IF(H22=0,0,1000000*H22/TrRoad_act!H62)</f>
        <v>2856.7899596264701</v>
      </c>
      <c r="I113" s="87">
        <f>IF(I22=0,0,1000000*I22/TrRoad_act!I62)</f>
        <v>2494.3563652627377</v>
      </c>
      <c r="J113" s="87">
        <f>IF(J22=0,0,1000000*J22/TrRoad_act!J62)</f>
        <v>2651.4967267534566</v>
      </c>
      <c r="K113" s="87">
        <f>IF(K22=0,0,1000000*K22/TrRoad_act!K62)</f>
        <v>2692.8854735863902</v>
      </c>
      <c r="L113" s="87">
        <f>IF(L22=0,0,1000000*L22/TrRoad_act!L62)</f>
        <v>2574.191686247314</v>
      </c>
      <c r="M113" s="87">
        <f>IF(M22=0,0,1000000*M22/TrRoad_act!M62)</f>
        <v>2723.3614849375886</v>
      </c>
      <c r="N113" s="87">
        <f>IF(N22=0,0,1000000*N22/TrRoad_act!N62)</f>
        <v>2926.6307112932745</v>
      </c>
      <c r="O113" s="87">
        <f>IF(O22=0,0,1000000*O22/TrRoad_act!O62)</f>
        <v>2546.1777374312737</v>
      </c>
      <c r="P113" s="87">
        <f>IF(P22=0,0,1000000*P22/TrRoad_act!P62)</f>
        <v>2404.7560737762533</v>
      </c>
      <c r="Q113" s="87">
        <f>IF(Q22=0,0,1000000*Q22/TrRoad_act!Q62)</f>
        <v>2300.4603205840244</v>
      </c>
      <c r="R113" s="87">
        <f>IF(R22=0,0,1000000*R22/TrRoad_act!R62)</f>
        <v>2280.2415715897068</v>
      </c>
      <c r="S113" s="87">
        <f>IF(S22=0,0,1000000*S22/TrRoad_act!S62)</f>
        <v>2104.6250367011558</v>
      </c>
      <c r="T113" s="87">
        <f>IF(T22=0,0,1000000*T22/TrRoad_act!T62)</f>
        <v>1984.3879264221621</v>
      </c>
      <c r="U113" s="87">
        <f>IF(U22=0,0,1000000*U22/TrRoad_act!U62)</f>
        <v>1818.6846804092575</v>
      </c>
      <c r="V113" s="87">
        <f>IF(V22=0,0,1000000*V22/TrRoad_act!V62)</f>
        <v>1612.1931862416654</v>
      </c>
      <c r="W113" s="87">
        <f>IF(W22=0,0,1000000*W22/TrRoad_act!W62)</f>
        <v>1598.5572589673191</v>
      </c>
      <c r="X113" s="87">
        <f>IF(X22=0,0,1000000*X22/TrRoad_act!X62)</f>
        <v>1725.350923975154</v>
      </c>
      <c r="Y113" s="87">
        <f>IF(Y22=0,0,1000000*Y22/TrRoad_act!Y62)</f>
        <v>1826.1640723820615</v>
      </c>
      <c r="DA113" s="171" t="s">
        <v>816</v>
      </c>
    </row>
    <row r="114" spans="1:105" ht="11.45" customHeight="1" x14ac:dyDescent="0.25">
      <c r="A114" s="111" t="s">
        <v>112</v>
      </c>
      <c r="B114" s="87">
        <f>IF(B23=0,0,1000000*B23/TrRoad_act!B63)</f>
        <v>0</v>
      </c>
      <c r="C114" s="87">
        <f>IF(C23=0,0,1000000*C23/TrRoad_act!C63)</f>
        <v>0</v>
      </c>
      <c r="D114" s="87">
        <f>IF(D23=0,0,1000000*D23/TrRoad_act!D63)</f>
        <v>1865.4095249999998</v>
      </c>
      <c r="E114" s="87">
        <f>IF(E23=0,0,1000000*E23/TrRoad_act!E63)</f>
        <v>1890.369120521173</v>
      </c>
      <c r="F114" s="87">
        <f>IF(F23=0,0,1000000*F23/TrRoad_act!F63)</f>
        <v>9613.8462992497152</v>
      </c>
      <c r="G114" s="87">
        <f>IF(G23=0,0,1000000*G23/TrRoad_act!G63)</f>
        <v>6063.3911865252649</v>
      </c>
      <c r="H114" s="87">
        <f>IF(H23=0,0,1000000*H23/TrRoad_act!H63)</f>
        <v>2037.0612749905702</v>
      </c>
      <c r="I114" s="87">
        <f>IF(I23=0,0,1000000*I23/TrRoad_act!I63)</f>
        <v>3077.5857184472175</v>
      </c>
      <c r="J114" s="87">
        <f>IF(J23=0,0,1000000*J23/TrRoad_act!J63)</f>
        <v>4347.0065419072134</v>
      </c>
      <c r="K114" s="87">
        <f>IF(K23=0,0,1000000*K23/TrRoad_act!K63)</f>
        <v>6540.7350833524551</v>
      </c>
      <c r="L114" s="87">
        <f>IF(L23=0,0,1000000*L23/TrRoad_act!L63)</f>
        <v>1677.8850770188824</v>
      </c>
      <c r="M114" s="87">
        <f>IF(M23=0,0,1000000*M23/TrRoad_act!M63)</f>
        <v>2735.977189727435</v>
      </c>
      <c r="N114" s="87">
        <f>IF(N23=0,0,1000000*N23/TrRoad_act!N63)</f>
        <v>1988.2021180651443</v>
      </c>
      <c r="O114" s="87">
        <f>IF(O23=0,0,1000000*O23/TrRoad_act!O63)</f>
        <v>1851.5683787754774</v>
      </c>
      <c r="P114" s="87">
        <f>IF(P23=0,0,1000000*P23/TrRoad_act!P63)</f>
        <v>1957.9910217425131</v>
      </c>
      <c r="Q114" s="87">
        <f>IF(Q23=0,0,1000000*Q23/TrRoad_act!Q63)</f>
        <v>1851.0389058480778</v>
      </c>
      <c r="R114" s="87">
        <f>IF(R23=0,0,1000000*R23/TrRoad_act!R63)</f>
        <v>2010.6148695218956</v>
      </c>
      <c r="S114" s="87">
        <f>IF(S23=0,0,1000000*S23/TrRoad_act!S63)</f>
        <v>2128.207434751434</v>
      </c>
      <c r="T114" s="87">
        <f>IF(T23=0,0,1000000*T23/TrRoad_act!T63)</f>
        <v>1925.5882439686325</v>
      </c>
      <c r="U114" s="87">
        <f>IF(U23=0,0,1000000*U23/TrRoad_act!U63)</f>
        <v>1705.5045604053601</v>
      </c>
      <c r="V114" s="87">
        <f>IF(V23=0,0,1000000*V23/TrRoad_act!V63)</f>
        <v>1271.0420846487157</v>
      </c>
      <c r="W114" s="87">
        <f>IF(W23=0,0,1000000*W23/TrRoad_act!W63)</f>
        <v>1023.8822988479806</v>
      </c>
      <c r="X114" s="87">
        <f>IF(X23=0,0,1000000*X23/TrRoad_act!X63)</f>
        <v>1053.8844781402056</v>
      </c>
      <c r="Y114" s="87">
        <f>IF(Y23=0,0,1000000*Y23/TrRoad_act!Y63)</f>
        <v>998.31516799254189</v>
      </c>
      <c r="DA114" s="171" t="s">
        <v>817</v>
      </c>
    </row>
    <row r="115" spans="1:105" ht="11.45" customHeight="1" x14ac:dyDescent="0.25">
      <c r="A115" s="111" t="s">
        <v>113</v>
      </c>
      <c r="B115" s="87">
        <f>IF(B24=0,0,1000000*B24/TrRoad_act!B64)</f>
        <v>0</v>
      </c>
      <c r="C115" s="87">
        <f>IF(C24=0,0,1000000*C24/TrRoad_act!C64)</f>
        <v>0</v>
      </c>
      <c r="D115" s="87">
        <f>IF(D24=0,0,1000000*D24/TrRoad_act!D64)</f>
        <v>0</v>
      </c>
      <c r="E115" s="87">
        <f>IF(E24=0,0,1000000*E24/TrRoad_act!E64)</f>
        <v>0</v>
      </c>
      <c r="F115" s="87">
        <f>IF(F24=0,0,1000000*F24/TrRoad_act!F64)</f>
        <v>0</v>
      </c>
      <c r="G115" s="87">
        <f>IF(G24=0,0,1000000*G24/TrRoad_act!G64)</f>
        <v>0</v>
      </c>
      <c r="H115" s="87">
        <f>IF(H24=0,0,1000000*H24/TrRoad_act!H64)</f>
        <v>0</v>
      </c>
      <c r="I115" s="87">
        <f>IF(I24=0,0,1000000*I24/TrRoad_act!I64)</f>
        <v>0</v>
      </c>
      <c r="J115" s="87">
        <f>IF(J24=0,0,1000000*J24/TrRoad_act!J64)</f>
        <v>0</v>
      </c>
      <c r="K115" s="87">
        <f>IF(K24=0,0,1000000*K24/TrRoad_act!K64)</f>
        <v>0</v>
      </c>
      <c r="L115" s="87">
        <f>IF(L24=0,0,1000000*L24/TrRoad_act!L64)</f>
        <v>0</v>
      </c>
      <c r="M115" s="87">
        <f>IF(M24=0,0,1000000*M24/TrRoad_act!M64)</f>
        <v>0</v>
      </c>
      <c r="N115" s="87">
        <f>IF(N24=0,0,1000000*N24/TrRoad_act!N64)</f>
        <v>0</v>
      </c>
      <c r="O115" s="87">
        <f>IF(O24=0,0,1000000*O24/TrRoad_act!O64)</f>
        <v>0</v>
      </c>
      <c r="P115" s="87">
        <f>IF(P24=0,0,1000000*P24/TrRoad_act!P64)</f>
        <v>0</v>
      </c>
      <c r="Q115" s="87">
        <f>IF(Q24=0,0,1000000*Q24/TrRoad_act!Q64)</f>
        <v>0</v>
      </c>
      <c r="R115" s="87">
        <f>IF(R24=0,0,1000000*R24/TrRoad_act!R64)</f>
        <v>0</v>
      </c>
      <c r="S115" s="87">
        <f>IF(S24=0,0,1000000*S24/TrRoad_act!S64)</f>
        <v>0</v>
      </c>
      <c r="T115" s="87">
        <f>IF(T24=0,0,1000000*T24/TrRoad_act!T64)</f>
        <v>0</v>
      </c>
      <c r="U115" s="87">
        <f>IF(U24=0,0,1000000*U24/TrRoad_act!U64)</f>
        <v>0</v>
      </c>
      <c r="V115" s="87">
        <f>IF(V24=0,0,1000000*V24/TrRoad_act!V64)</f>
        <v>0</v>
      </c>
      <c r="W115" s="87">
        <f>IF(W24=0,0,1000000*W24/TrRoad_act!W64)</f>
        <v>0</v>
      </c>
      <c r="X115" s="87">
        <f>IF(X24=0,0,1000000*X24/TrRoad_act!X64)</f>
        <v>0</v>
      </c>
      <c r="Y115" s="87">
        <f>IF(Y24=0,0,1000000*Y24/TrRoad_act!Y64)</f>
        <v>0</v>
      </c>
      <c r="DA115" s="171" t="s">
        <v>818</v>
      </c>
    </row>
    <row r="116" spans="1:105" ht="11.45" customHeight="1" x14ac:dyDescent="0.25">
      <c r="A116" s="111" t="s">
        <v>114</v>
      </c>
      <c r="B116" s="87">
        <f>IF(B25=0,0,1000000*B25/TrRoad_act!B65)</f>
        <v>0</v>
      </c>
      <c r="C116" s="87">
        <f>IF(C25=0,0,1000000*C25/TrRoad_act!C65)</f>
        <v>0</v>
      </c>
      <c r="D116" s="87">
        <f>IF(D25=0,0,1000000*D25/TrRoad_act!D65)</f>
        <v>0</v>
      </c>
      <c r="E116" s="87">
        <f>IF(E25=0,0,1000000*E25/TrRoad_act!E65)</f>
        <v>0</v>
      </c>
      <c r="F116" s="87">
        <f>IF(F25=0,0,1000000*F25/TrRoad_act!F65)</f>
        <v>0</v>
      </c>
      <c r="G116" s="87">
        <f>IF(G25=0,0,1000000*G25/TrRoad_act!G65)</f>
        <v>0</v>
      </c>
      <c r="H116" s="87">
        <f>IF(H25=0,0,1000000*H25/TrRoad_act!H65)</f>
        <v>0</v>
      </c>
      <c r="I116" s="87">
        <f>IF(I25=0,0,1000000*I25/TrRoad_act!I65)</f>
        <v>0</v>
      </c>
      <c r="J116" s="87">
        <f>IF(J25=0,0,1000000*J25/TrRoad_act!J65)</f>
        <v>0</v>
      </c>
      <c r="K116" s="87">
        <f>IF(K25=0,0,1000000*K25/TrRoad_act!K65)</f>
        <v>0</v>
      </c>
      <c r="L116" s="87">
        <f>IF(L25=0,0,1000000*L25/TrRoad_act!L65)</f>
        <v>0</v>
      </c>
      <c r="M116" s="87">
        <f>IF(M25=0,0,1000000*M25/TrRoad_act!M65)</f>
        <v>0</v>
      </c>
      <c r="N116" s="87">
        <f>IF(N25=0,0,1000000*N25/TrRoad_act!N65)</f>
        <v>899.99776121504306</v>
      </c>
      <c r="O116" s="87">
        <f>IF(O25=0,0,1000000*O25/TrRoad_act!O65)</f>
        <v>861.58689638138821</v>
      </c>
      <c r="P116" s="87">
        <f>IF(P25=0,0,1000000*P25/TrRoad_act!P65)</f>
        <v>911.72927231293738</v>
      </c>
      <c r="Q116" s="87">
        <f>IF(Q25=0,0,1000000*Q25/TrRoad_act!Q65)</f>
        <v>877.23890588320103</v>
      </c>
      <c r="R116" s="87">
        <f>IF(R25=0,0,1000000*R25/TrRoad_act!R65)</f>
        <v>509.40294182125569</v>
      </c>
      <c r="S116" s="87">
        <f>IF(S25=0,0,1000000*S25/TrRoad_act!S65)</f>
        <v>613.86453814750564</v>
      </c>
      <c r="T116" s="87">
        <f>IF(T25=0,0,1000000*T25/TrRoad_act!T65)</f>
        <v>546.68381230830585</v>
      </c>
      <c r="U116" s="87">
        <f>IF(U25=0,0,1000000*U25/TrRoad_act!U65)</f>
        <v>496.13560549939314</v>
      </c>
      <c r="V116" s="87">
        <f>IF(V25=0,0,1000000*V25/TrRoad_act!V65)</f>
        <v>431.54410338816541</v>
      </c>
      <c r="W116" s="87">
        <f>IF(W25=0,0,1000000*W25/TrRoad_act!W65)</f>
        <v>377.17030131094009</v>
      </c>
      <c r="X116" s="87">
        <f>IF(X25=0,0,1000000*X25/TrRoad_act!X65)</f>
        <v>371.53767752958828</v>
      </c>
      <c r="Y116" s="87">
        <f>IF(Y25=0,0,1000000*Y25/TrRoad_act!Y65)</f>
        <v>555.43710152313258</v>
      </c>
      <c r="DA116" s="171" t="s">
        <v>819</v>
      </c>
    </row>
    <row r="117" spans="1:105" ht="11.45" customHeight="1" x14ac:dyDescent="0.25">
      <c r="A117" s="111" t="s">
        <v>115</v>
      </c>
      <c r="B117" s="87">
        <f>IF(B26=0,0,1000000*B26/TrRoad_act!B66)</f>
        <v>0</v>
      </c>
      <c r="C117" s="87">
        <f>IF(C26=0,0,1000000*C26/TrRoad_act!C66)</f>
        <v>0</v>
      </c>
      <c r="D117" s="87">
        <f>IF(D26=0,0,1000000*D26/TrRoad_act!D66)</f>
        <v>0</v>
      </c>
      <c r="E117" s="87">
        <f>IF(E26=0,0,1000000*E26/TrRoad_act!E66)</f>
        <v>0</v>
      </c>
      <c r="F117" s="87">
        <f>IF(F26=0,0,1000000*F26/TrRoad_act!F66)</f>
        <v>0</v>
      </c>
      <c r="G117" s="87">
        <f>IF(G26=0,0,1000000*G26/TrRoad_act!G66)</f>
        <v>0</v>
      </c>
      <c r="H117" s="87">
        <f>IF(H26=0,0,1000000*H26/TrRoad_act!H66)</f>
        <v>0</v>
      </c>
      <c r="I117" s="87">
        <f>IF(I26=0,0,1000000*I26/TrRoad_act!I66)</f>
        <v>0</v>
      </c>
      <c r="J117" s="87">
        <f>IF(J26=0,0,1000000*J26/TrRoad_act!J66)</f>
        <v>0</v>
      </c>
      <c r="K117" s="87">
        <f>IF(K26=0,0,1000000*K26/TrRoad_act!K66)</f>
        <v>0</v>
      </c>
      <c r="L117" s="87">
        <f>IF(L26=0,0,1000000*L26/TrRoad_act!L66)</f>
        <v>0</v>
      </c>
      <c r="M117" s="87">
        <f>IF(M26=0,0,1000000*M26/TrRoad_act!M66)</f>
        <v>0</v>
      </c>
      <c r="N117" s="87">
        <f>IF(N26=0,0,1000000*N26/TrRoad_act!N66)</f>
        <v>0</v>
      </c>
      <c r="O117" s="87">
        <f>IF(O26=0,0,1000000*O26/TrRoad_act!O66)</f>
        <v>0</v>
      </c>
      <c r="P117" s="87">
        <f>IF(P26=0,0,1000000*P26/TrRoad_act!P66)</f>
        <v>0</v>
      </c>
      <c r="Q117" s="87">
        <f>IF(Q26=0,0,1000000*Q26/TrRoad_act!Q66)</f>
        <v>0</v>
      </c>
      <c r="R117" s="87">
        <f>IF(R26=0,0,1000000*R26/TrRoad_act!R66)</f>
        <v>0</v>
      </c>
      <c r="S117" s="87">
        <f>IF(S26=0,0,1000000*S26/TrRoad_act!S66)</f>
        <v>0</v>
      </c>
      <c r="T117" s="87">
        <f>IF(T26=0,0,1000000*T26/TrRoad_act!T66)</f>
        <v>0</v>
      </c>
      <c r="U117" s="87">
        <f>IF(U26=0,0,1000000*U26/TrRoad_act!U66)</f>
        <v>0</v>
      </c>
      <c r="V117" s="87">
        <f>IF(V26=0,0,1000000*V26/TrRoad_act!V66)</f>
        <v>0</v>
      </c>
      <c r="W117" s="87">
        <f>IF(W26=0,0,1000000*W26/TrRoad_act!W66)</f>
        <v>0</v>
      </c>
      <c r="X117" s="87">
        <f>IF(X26=0,0,1000000*X26/TrRoad_act!X66)</f>
        <v>0</v>
      </c>
      <c r="Y117" s="87">
        <f>IF(Y26=0,0,1000000*Y26/TrRoad_act!Y66)</f>
        <v>0</v>
      </c>
      <c r="DA117" s="171" t="s">
        <v>820</v>
      </c>
    </row>
    <row r="118" spans="1:105" ht="11.45" customHeight="1" x14ac:dyDescent="0.25">
      <c r="A118" s="109" t="s">
        <v>21</v>
      </c>
      <c r="B118" s="116">
        <f>IF(B27=0,0,1000000*B27/TrRoad_act!B67)</f>
        <v>31652.58290326831</v>
      </c>
      <c r="C118" s="116">
        <f>IF(C27=0,0,1000000*C27/TrRoad_act!C67)</f>
        <v>37569.674584147418</v>
      </c>
      <c r="D118" s="116">
        <f>IF(D27=0,0,1000000*D27/TrRoad_act!D67)</f>
        <v>41956.121339624624</v>
      </c>
      <c r="E118" s="116">
        <f>IF(E27=0,0,1000000*E27/TrRoad_act!E67)</f>
        <v>45795.775782003075</v>
      </c>
      <c r="F118" s="116">
        <f>IF(F27=0,0,1000000*F27/TrRoad_act!F67)</f>
        <v>47170.746418253751</v>
      </c>
      <c r="G118" s="116">
        <f>IF(G27=0,0,1000000*G27/TrRoad_act!G67)</f>
        <v>48441.616354013939</v>
      </c>
      <c r="H118" s="116">
        <f>IF(H27=0,0,1000000*H27/TrRoad_act!H67)</f>
        <v>54479.259450611244</v>
      </c>
      <c r="I118" s="116">
        <f>IF(I27=0,0,1000000*I27/TrRoad_act!I67)</f>
        <v>56001.316523363079</v>
      </c>
      <c r="J118" s="116">
        <f>IF(J27=0,0,1000000*J27/TrRoad_act!J67)</f>
        <v>62795.953950624622</v>
      </c>
      <c r="K118" s="116">
        <f>IF(K27=0,0,1000000*K27/TrRoad_act!K67)</f>
        <v>64253.811905623887</v>
      </c>
      <c r="L118" s="116">
        <f>IF(L27=0,0,1000000*L27/TrRoad_act!L67)</f>
        <v>67277.231744452816</v>
      </c>
      <c r="M118" s="116">
        <f>IF(M27=0,0,1000000*M27/TrRoad_act!M67)</f>
        <v>67611.252264429248</v>
      </c>
      <c r="N118" s="116">
        <f>IF(N27=0,0,1000000*N27/TrRoad_act!N67)</f>
        <v>68631.359327544225</v>
      </c>
      <c r="O118" s="116">
        <f>IF(O27=0,0,1000000*O27/TrRoad_act!O67)</f>
        <v>68165.840015504509</v>
      </c>
      <c r="P118" s="116">
        <f>IF(P27=0,0,1000000*P27/TrRoad_act!P67)</f>
        <v>69383.461747452282</v>
      </c>
      <c r="Q118" s="116">
        <f>IF(Q27=0,0,1000000*Q27/TrRoad_act!Q67)</f>
        <v>66960.963417119929</v>
      </c>
      <c r="R118" s="116">
        <f>IF(R27=0,0,1000000*R27/TrRoad_act!R67)</f>
        <v>68125.475927461259</v>
      </c>
      <c r="S118" s="116">
        <f>IF(S27=0,0,1000000*S27/TrRoad_act!S67)</f>
        <v>69337.561614593535</v>
      </c>
      <c r="T118" s="116">
        <f>IF(T27=0,0,1000000*T27/TrRoad_act!T67)</f>
        <v>68709.759860869133</v>
      </c>
      <c r="U118" s="116">
        <f>IF(U27=0,0,1000000*U27/TrRoad_act!U67)</f>
        <v>65746.758677154139</v>
      </c>
      <c r="V118" s="116">
        <f>IF(V27=0,0,1000000*V27/TrRoad_act!V67)</f>
        <v>67467.45786924845</v>
      </c>
      <c r="W118" s="116">
        <f>IF(W27=0,0,1000000*W27/TrRoad_act!W67)</f>
        <v>69021.880431874975</v>
      </c>
      <c r="X118" s="116">
        <f>IF(X27=0,0,1000000*X27/TrRoad_act!X67)</f>
        <v>70938.264623615076</v>
      </c>
      <c r="Y118" s="116">
        <f>IF(Y27=0,0,1000000*Y27/TrRoad_act!Y67)</f>
        <v>70333.041538833451</v>
      </c>
      <c r="DA118" s="176" t="s">
        <v>821</v>
      </c>
    </row>
    <row r="119" spans="1:105" ht="11.45" customHeight="1" x14ac:dyDescent="0.25">
      <c r="A119" s="111" t="s">
        <v>110</v>
      </c>
      <c r="B119" s="101">
        <f>IF(B28=0,0,1000000*B28/TrRoad_act!B68)</f>
        <v>0</v>
      </c>
      <c r="C119" s="101">
        <f>IF(C28=0,0,1000000*C28/TrRoad_act!C68)</f>
        <v>0</v>
      </c>
      <c r="D119" s="101">
        <f>IF(D28=0,0,1000000*D28/TrRoad_act!D68)</f>
        <v>0</v>
      </c>
      <c r="E119" s="101">
        <f>IF(E28=0,0,1000000*E28/TrRoad_act!E68)</f>
        <v>0</v>
      </c>
      <c r="F119" s="101">
        <f>IF(F28=0,0,1000000*F28/TrRoad_act!F68)</f>
        <v>0</v>
      </c>
      <c r="G119" s="101">
        <f>IF(G28=0,0,1000000*G28/TrRoad_act!G68)</f>
        <v>0</v>
      </c>
      <c r="H119" s="101">
        <f>IF(H28=0,0,1000000*H28/TrRoad_act!H68)</f>
        <v>0</v>
      </c>
      <c r="I119" s="101">
        <f>IF(I28=0,0,1000000*I28/TrRoad_act!I68)</f>
        <v>0</v>
      </c>
      <c r="J119" s="101">
        <f>IF(J28=0,0,1000000*J28/TrRoad_act!J68)</f>
        <v>15656.824469119229</v>
      </c>
      <c r="K119" s="101">
        <f>IF(K28=0,0,1000000*K28/TrRoad_act!K68)</f>
        <v>15713.158984712709</v>
      </c>
      <c r="L119" s="101">
        <f>IF(L28=0,0,1000000*L28/TrRoad_act!L68)</f>
        <v>15334.666532695368</v>
      </c>
      <c r="M119" s="101">
        <f>IF(M28=0,0,1000000*M28/TrRoad_act!M68)</f>
        <v>15612.85765983891</v>
      </c>
      <c r="N119" s="101">
        <f>IF(N28=0,0,1000000*N28/TrRoad_act!N68)</f>
        <v>15365.090183462267</v>
      </c>
      <c r="O119" s="101">
        <f>IF(O28=0,0,1000000*O28/TrRoad_act!O68)</f>
        <v>15387.116565619792</v>
      </c>
      <c r="P119" s="101">
        <f>IF(P28=0,0,1000000*P28/TrRoad_act!P68)</f>
        <v>15734.048470254749</v>
      </c>
      <c r="Q119" s="101">
        <f>IF(Q28=0,0,1000000*Q28/TrRoad_act!Q68)</f>
        <v>14729.042014182518</v>
      </c>
      <c r="R119" s="101">
        <f>IF(R28=0,0,1000000*R28/TrRoad_act!R68)</f>
        <v>14955.775541924202</v>
      </c>
      <c r="S119" s="101">
        <f>IF(S28=0,0,1000000*S28/TrRoad_act!S68)</f>
        <v>15043.916036841472</v>
      </c>
      <c r="T119" s="101">
        <f>IF(T28=0,0,1000000*T28/TrRoad_act!T68)</f>
        <v>15262.527134946908</v>
      </c>
      <c r="U119" s="101">
        <f>IF(U28=0,0,1000000*U28/TrRoad_act!U68)</f>
        <v>15295.456995782632</v>
      </c>
      <c r="V119" s="101">
        <f>IF(V28=0,0,1000000*V28/TrRoad_act!V68)</f>
        <v>15898.707671084509</v>
      </c>
      <c r="W119" s="101">
        <f>IF(W28=0,0,1000000*W28/TrRoad_act!W68)</f>
        <v>16380.445841144097</v>
      </c>
      <c r="X119" s="101">
        <f>IF(X28=0,0,1000000*X28/TrRoad_act!X68)</f>
        <v>16641.060670612453</v>
      </c>
      <c r="Y119" s="101">
        <f>IF(Y28=0,0,1000000*Y28/TrRoad_act!Y68)</f>
        <v>17042.608859828742</v>
      </c>
      <c r="DA119" s="175" t="s">
        <v>822</v>
      </c>
    </row>
    <row r="120" spans="1:105" ht="11.45" customHeight="1" x14ac:dyDescent="0.25">
      <c r="A120" s="111" t="s">
        <v>111</v>
      </c>
      <c r="B120" s="101">
        <f>IF(B29=0,0,1000000*B29/TrRoad_act!B69)</f>
        <v>31652.58290326831</v>
      </c>
      <c r="C120" s="101">
        <f>IF(C29=0,0,1000000*C29/TrRoad_act!C69)</f>
        <v>37569.674584147418</v>
      </c>
      <c r="D120" s="101">
        <f>IF(D29=0,0,1000000*D29/TrRoad_act!D69)</f>
        <v>41956.121339624624</v>
      </c>
      <c r="E120" s="101">
        <f>IF(E29=0,0,1000000*E29/TrRoad_act!E69)</f>
        <v>45795.775782003075</v>
      </c>
      <c r="F120" s="101">
        <f>IF(F29=0,0,1000000*F29/TrRoad_act!F69)</f>
        <v>47170.746418253751</v>
      </c>
      <c r="G120" s="101">
        <f>IF(G29=0,0,1000000*G29/TrRoad_act!G69)</f>
        <v>48441.616354013939</v>
      </c>
      <c r="H120" s="101">
        <f>IF(H29=0,0,1000000*H29/TrRoad_act!H69)</f>
        <v>54479.259450611244</v>
      </c>
      <c r="I120" s="101">
        <f>IF(I29=0,0,1000000*I29/TrRoad_act!I69)</f>
        <v>56001.316523363079</v>
      </c>
      <c r="J120" s="101">
        <f>IF(J29=0,0,1000000*J29/TrRoad_act!J69)</f>
        <v>63015.529246665683</v>
      </c>
      <c r="K120" s="101">
        <f>IF(K29=0,0,1000000*K29/TrRoad_act!K69)</f>
        <v>64484.992813217134</v>
      </c>
      <c r="L120" s="101">
        <f>IF(L29=0,0,1000000*L29/TrRoad_act!L69)</f>
        <v>67563.052005732199</v>
      </c>
      <c r="M120" s="101">
        <f>IF(M29=0,0,1000000*M29/TrRoad_act!M69)</f>
        <v>67907.597882284521</v>
      </c>
      <c r="N120" s="101">
        <f>IF(N29=0,0,1000000*N29/TrRoad_act!N69)</f>
        <v>68922.296000248083</v>
      </c>
      <c r="O120" s="101">
        <f>IF(O29=0,0,1000000*O29/TrRoad_act!O69)</f>
        <v>68445.052606876954</v>
      </c>
      <c r="P120" s="101">
        <f>IF(P29=0,0,1000000*P29/TrRoad_act!P69)</f>
        <v>69654.280740599526</v>
      </c>
      <c r="Q120" s="101">
        <f>IF(Q29=0,0,1000000*Q29/TrRoad_act!Q69)</f>
        <v>67199.412688097596</v>
      </c>
      <c r="R120" s="101">
        <f>IF(R29=0,0,1000000*R29/TrRoad_act!R69)</f>
        <v>68349.1185943694</v>
      </c>
      <c r="S120" s="101">
        <f>IF(S29=0,0,1000000*S29/TrRoad_act!S69)</f>
        <v>69551.788459489428</v>
      </c>
      <c r="T120" s="101">
        <f>IF(T29=0,0,1000000*T29/TrRoad_act!T69)</f>
        <v>68910.33540520414</v>
      </c>
      <c r="U120" s="101">
        <f>IF(U29=0,0,1000000*U29/TrRoad_act!U69)</f>
        <v>65977.255936980553</v>
      </c>
      <c r="V120" s="101">
        <f>IF(V29=0,0,1000000*V29/TrRoad_act!V69)</f>
        <v>67919.092529947346</v>
      </c>
      <c r="W120" s="101">
        <f>IF(W29=0,0,1000000*W29/TrRoad_act!W69)</f>
        <v>69492.864396533638</v>
      </c>
      <c r="X120" s="101">
        <f>IF(X29=0,0,1000000*X29/TrRoad_act!X69)</f>
        <v>71633.389227559484</v>
      </c>
      <c r="Y120" s="101">
        <f>IF(Y29=0,0,1000000*Y29/TrRoad_act!Y69)</f>
        <v>71681.478522484176</v>
      </c>
      <c r="DA120" s="175" t="s">
        <v>823</v>
      </c>
    </row>
    <row r="121" spans="1:105" ht="11.45" customHeight="1" x14ac:dyDescent="0.25">
      <c r="A121" s="111" t="s">
        <v>112</v>
      </c>
      <c r="B121" s="101">
        <f>IF(B30=0,0,1000000*B30/TrRoad_act!B70)</f>
        <v>0</v>
      </c>
      <c r="C121" s="101">
        <f>IF(C30=0,0,1000000*C30/TrRoad_act!C70)</f>
        <v>0</v>
      </c>
      <c r="D121" s="101">
        <f>IF(D30=0,0,1000000*D30/TrRoad_act!D70)</f>
        <v>0</v>
      </c>
      <c r="E121" s="101">
        <f>IF(E30=0,0,1000000*E30/TrRoad_act!E70)</f>
        <v>0</v>
      </c>
      <c r="F121" s="101">
        <f>IF(F30=0,0,1000000*F30/TrRoad_act!F70)</f>
        <v>0</v>
      </c>
      <c r="G121" s="101">
        <f>IF(G30=0,0,1000000*G30/TrRoad_act!G70)</f>
        <v>0</v>
      </c>
      <c r="H121" s="101">
        <f>IF(H30=0,0,1000000*H30/TrRoad_act!H70)</f>
        <v>0</v>
      </c>
      <c r="I121" s="101">
        <f>IF(I30=0,0,1000000*I30/TrRoad_act!I70)</f>
        <v>0</v>
      </c>
      <c r="J121" s="101">
        <f>IF(J30=0,0,1000000*J30/TrRoad_act!J70)</f>
        <v>28270.912607806913</v>
      </c>
      <c r="K121" s="101">
        <f>IF(K30=0,0,1000000*K30/TrRoad_act!K70)</f>
        <v>29022.072423160815</v>
      </c>
      <c r="L121" s="101">
        <f>IF(L30=0,0,1000000*L30/TrRoad_act!L70)</f>
        <v>29916.144383450228</v>
      </c>
      <c r="M121" s="101">
        <f>IF(M30=0,0,1000000*M30/TrRoad_act!M70)</f>
        <v>31229.723997997004</v>
      </c>
      <c r="N121" s="101">
        <f>IF(N30=0,0,1000000*N30/TrRoad_act!N70)</f>
        <v>31644.349399542923</v>
      </c>
      <c r="O121" s="101">
        <f>IF(O30=0,0,1000000*O30/TrRoad_act!O70)</f>
        <v>32350.027486917614</v>
      </c>
      <c r="P121" s="101">
        <f>IF(P30=0,0,1000000*P30/TrRoad_act!P70)</f>
        <v>32587.30162504144</v>
      </c>
      <c r="Q121" s="101">
        <f>IF(Q30=0,0,1000000*Q30/TrRoad_act!Q70)</f>
        <v>31610.804334617897</v>
      </c>
      <c r="R121" s="101">
        <f>IF(R30=0,0,1000000*R30/TrRoad_act!R70)</f>
        <v>31875.548268765917</v>
      </c>
      <c r="S121" s="101">
        <f>IF(S30=0,0,1000000*S30/TrRoad_act!S70)</f>
        <v>31635.533885260924</v>
      </c>
      <c r="T121" s="101">
        <f>IF(T30=0,0,1000000*T30/TrRoad_act!T70)</f>
        <v>31501.86245502637</v>
      </c>
      <c r="U121" s="101">
        <f>IF(U30=0,0,1000000*U30/TrRoad_act!U70)</f>
        <v>31096.851312702114</v>
      </c>
      <c r="V121" s="101">
        <f>IF(V30=0,0,1000000*V30/TrRoad_act!V70)</f>
        <v>31726.747572281613</v>
      </c>
      <c r="W121" s="101">
        <f>IF(W30=0,0,1000000*W30/TrRoad_act!W70)</f>
        <v>32618.20619519952</v>
      </c>
      <c r="X121" s="101">
        <f>IF(X30=0,0,1000000*X30/TrRoad_act!X70)</f>
        <v>33541.817368924872</v>
      </c>
      <c r="Y121" s="101">
        <f>IF(Y30=0,0,1000000*Y30/TrRoad_act!Y70)</f>
        <v>33842.700518810787</v>
      </c>
      <c r="DA121" s="175" t="s">
        <v>824</v>
      </c>
    </row>
    <row r="122" spans="1:105" ht="11.45" customHeight="1" x14ac:dyDescent="0.25">
      <c r="A122" s="111" t="s">
        <v>113</v>
      </c>
      <c r="B122" s="101">
        <f>IF(B31=0,0,1000000*B31/TrRoad_act!B71)</f>
        <v>0</v>
      </c>
      <c r="C122" s="101">
        <f>IF(C31=0,0,1000000*C31/TrRoad_act!C71)</f>
        <v>0</v>
      </c>
      <c r="D122" s="101">
        <f>IF(D31=0,0,1000000*D31/TrRoad_act!D71)</f>
        <v>0</v>
      </c>
      <c r="E122" s="101">
        <f>IF(E31=0,0,1000000*E31/TrRoad_act!E71)</f>
        <v>0</v>
      </c>
      <c r="F122" s="101">
        <f>IF(F31=0,0,1000000*F31/TrRoad_act!F71)</f>
        <v>0</v>
      </c>
      <c r="G122" s="101">
        <f>IF(G31=0,0,1000000*G31/TrRoad_act!G71)</f>
        <v>0</v>
      </c>
      <c r="H122" s="101">
        <f>IF(H31=0,0,1000000*H31/TrRoad_act!H71)</f>
        <v>0</v>
      </c>
      <c r="I122" s="101">
        <f>IF(I31=0,0,1000000*I31/TrRoad_act!I71)</f>
        <v>0</v>
      </c>
      <c r="J122" s="101">
        <f>IF(J31=0,0,1000000*J31/TrRoad_act!J71)</f>
        <v>0</v>
      </c>
      <c r="K122" s="101">
        <f>IF(K31=0,0,1000000*K31/TrRoad_act!K71)</f>
        <v>0</v>
      </c>
      <c r="L122" s="101">
        <f>IF(L31=0,0,1000000*L31/TrRoad_act!L71)</f>
        <v>0</v>
      </c>
      <c r="M122" s="101">
        <f>IF(M31=0,0,1000000*M31/TrRoad_act!M71)</f>
        <v>0</v>
      </c>
      <c r="N122" s="101">
        <f>IF(N31=0,0,1000000*N31/TrRoad_act!N71)</f>
        <v>0</v>
      </c>
      <c r="O122" s="101">
        <f>IF(O31=0,0,1000000*O31/TrRoad_act!O71)</f>
        <v>0</v>
      </c>
      <c r="P122" s="101">
        <f>IF(P31=0,0,1000000*P31/TrRoad_act!P71)</f>
        <v>0</v>
      </c>
      <c r="Q122" s="101">
        <f>IF(Q31=0,0,1000000*Q31/TrRoad_act!Q71)</f>
        <v>0</v>
      </c>
      <c r="R122" s="101">
        <f>IF(R31=0,0,1000000*R31/TrRoad_act!R71)</f>
        <v>0</v>
      </c>
      <c r="S122" s="101">
        <f>IF(S31=0,0,1000000*S31/TrRoad_act!S71)</f>
        <v>0</v>
      </c>
      <c r="T122" s="101">
        <f>IF(T31=0,0,1000000*T31/TrRoad_act!T71)</f>
        <v>0</v>
      </c>
      <c r="U122" s="101">
        <f>IF(U31=0,0,1000000*U31/TrRoad_act!U71)</f>
        <v>0</v>
      </c>
      <c r="V122" s="101">
        <f>IF(V31=0,0,1000000*V31/TrRoad_act!V71)</f>
        <v>0</v>
      </c>
      <c r="W122" s="101">
        <f>IF(W31=0,0,1000000*W31/TrRoad_act!W71)</f>
        <v>0</v>
      </c>
      <c r="X122" s="101">
        <f>IF(X31=0,0,1000000*X31/TrRoad_act!X71)</f>
        <v>0</v>
      </c>
      <c r="Y122" s="101">
        <f>IF(Y31=0,0,1000000*Y31/TrRoad_act!Y71)</f>
        <v>0</v>
      </c>
      <c r="DA122" s="175" t="s">
        <v>825</v>
      </c>
    </row>
    <row r="123" spans="1:105" ht="11.45" customHeight="1" x14ac:dyDescent="0.25">
      <c r="A123" s="111" t="s">
        <v>115</v>
      </c>
      <c r="B123" s="101">
        <f>IF(B32=0,0,1000000*B32/TrRoad_act!B72)</f>
        <v>0</v>
      </c>
      <c r="C123" s="101">
        <f>IF(C32=0,0,1000000*C32/TrRoad_act!C72)</f>
        <v>0</v>
      </c>
      <c r="D123" s="101">
        <f>IF(D32=0,0,1000000*D32/TrRoad_act!D72)</f>
        <v>0</v>
      </c>
      <c r="E123" s="101">
        <f>IF(E32=0,0,1000000*E32/TrRoad_act!E72)</f>
        <v>0</v>
      </c>
      <c r="F123" s="101">
        <f>IF(F32=0,0,1000000*F32/TrRoad_act!F72)</f>
        <v>0</v>
      </c>
      <c r="G123" s="101">
        <f>IF(G32=0,0,1000000*G32/TrRoad_act!G72)</f>
        <v>0</v>
      </c>
      <c r="H123" s="101">
        <f>IF(H32=0,0,1000000*H32/TrRoad_act!H72)</f>
        <v>0</v>
      </c>
      <c r="I123" s="101">
        <f>IF(I32=0,0,1000000*I32/TrRoad_act!I72)</f>
        <v>0</v>
      </c>
      <c r="J123" s="101">
        <f>IF(J32=0,0,1000000*J32/TrRoad_act!J72)</f>
        <v>0</v>
      </c>
      <c r="K123" s="101">
        <f>IF(K32=0,0,1000000*K32/TrRoad_act!K72)</f>
        <v>0</v>
      </c>
      <c r="L123" s="101">
        <f>IF(L32=0,0,1000000*L32/TrRoad_act!L72)</f>
        <v>0</v>
      </c>
      <c r="M123" s="101">
        <f>IF(M32=0,0,1000000*M32/TrRoad_act!M72)</f>
        <v>0</v>
      </c>
      <c r="N123" s="101">
        <f>IF(N32=0,0,1000000*N32/TrRoad_act!N72)</f>
        <v>0</v>
      </c>
      <c r="O123" s="101">
        <f>IF(O32=0,0,1000000*O32/TrRoad_act!O72)</f>
        <v>0</v>
      </c>
      <c r="P123" s="101">
        <f>IF(P32=0,0,1000000*P32/TrRoad_act!P72)</f>
        <v>0</v>
      </c>
      <c r="Q123" s="101">
        <f>IF(Q32=0,0,1000000*Q32/TrRoad_act!Q72)</f>
        <v>0</v>
      </c>
      <c r="R123" s="101">
        <f>IF(R32=0,0,1000000*R32/TrRoad_act!R72)</f>
        <v>0</v>
      </c>
      <c r="S123" s="101">
        <f>IF(S32=0,0,1000000*S32/TrRoad_act!S72)</f>
        <v>0</v>
      </c>
      <c r="T123" s="101">
        <f>IF(T32=0,0,1000000*T32/TrRoad_act!T72)</f>
        <v>0</v>
      </c>
      <c r="U123" s="101">
        <f>IF(U32=0,0,1000000*U32/TrRoad_act!U72)</f>
        <v>0</v>
      </c>
      <c r="V123" s="101">
        <f>IF(V32=0,0,1000000*V32/TrRoad_act!V72)</f>
        <v>0</v>
      </c>
      <c r="W123" s="101">
        <f>IF(W32=0,0,1000000*W32/TrRoad_act!W72)</f>
        <v>0</v>
      </c>
      <c r="X123" s="101">
        <f>IF(X32=0,0,1000000*X32/TrRoad_act!X72)</f>
        <v>0</v>
      </c>
      <c r="Y123" s="101">
        <f>IF(Y32=0,0,1000000*Y32/TrRoad_act!Y72)</f>
        <v>0</v>
      </c>
      <c r="DA123" s="175" t="s">
        <v>826</v>
      </c>
    </row>
    <row r="124" spans="1:105" ht="11.45" customHeight="1" x14ac:dyDescent="0.25">
      <c r="A124" s="27" t="s">
        <v>34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DA124" s="173"/>
    </row>
    <row r="125" spans="1:105" ht="11.45" customHeight="1" x14ac:dyDescent="0.25">
      <c r="A125" s="136" t="s">
        <v>153</v>
      </c>
      <c r="B125" s="152">
        <f>IF(B34=0,0,1000000*B34/TrRoad_act!B74)</f>
        <v>3874.5183840787276</v>
      </c>
      <c r="C125" s="152">
        <f>IF(C34=0,0,1000000*C34/TrRoad_act!C74)</f>
        <v>3964.932461404715</v>
      </c>
      <c r="D125" s="152">
        <f>IF(D34=0,0,1000000*D34/TrRoad_act!D74)</f>
        <v>3963.9707042541463</v>
      </c>
      <c r="E125" s="152">
        <f>IF(E34=0,0,1000000*E34/TrRoad_act!E74)</f>
        <v>3958.0110428872895</v>
      </c>
      <c r="F125" s="152">
        <f>IF(F34=0,0,1000000*F34/TrRoad_act!F74)</f>
        <v>3836.0343084759756</v>
      </c>
      <c r="G125" s="152">
        <f>IF(G34=0,0,1000000*G34/TrRoad_act!G74)</f>
        <v>3928.0329462171126</v>
      </c>
      <c r="H125" s="152">
        <f>IF(H34=0,0,1000000*H34/TrRoad_act!H74)</f>
        <v>3933.8416471454334</v>
      </c>
      <c r="I125" s="152">
        <f>IF(I34=0,0,1000000*I34/TrRoad_act!I74)</f>
        <v>3786.3394975113547</v>
      </c>
      <c r="J125" s="152">
        <f>IF(J34=0,0,1000000*J34/TrRoad_act!J74)</f>
        <v>3791.9184756012214</v>
      </c>
      <c r="K125" s="152">
        <f>IF(K34=0,0,1000000*K34/TrRoad_act!K74)</f>
        <v>3746.9221609541646</v>
      </c>
      <c r="L125" s="152">
        <f>IF(L34=0,0,1000000*L34/TrRoad_act!L74)</f>
        <v>3739.517430063705</v>
      </c>
      <c r="M125" s="152">
        <f>IF(M34=0,0,1000000*M34/TrRoad_act!M74)</f>
        <v>3728.6663169330809</v>
      </c>
      <c r="N125" s="152">
        <f>IF(N34=0,0,1000000*N34/TrRoad_act!N74)</f>
        <v>3867.9330271515273</v>
      </c>
      <c r="O125" s="152">
        <f>IF(O34=0,0,1000000*O34/TrRoad_act!O74)</f>
        <v>3760.3972435196752</v>
      </c>
      <c r="P125" s="152">
        <f>IF(P34=0,0,1000000*P34/TrRoad_act!P74)</f>
        <v>3769.7740787456628</v>
      </c>
      <c r="Q125" s="152">
        <f>IF(Q34=0,0,1000000*Q34/TrRoad_act!Q74)</f>
        <v>3722.6500745984299</v>
      </c>
      <c r="R125" s="152">
        <f>IF(R34=0,0,1000000*R34/TrRoad_act!R74)</f>
        <v>3736.1030549131337</v>
      </c>
      <c r="S125" s="152">
        <f>IF(S34=0,0,1000000*S34/TrRoad_act!S74)</f>
        <v>3739.8234726930896</v>
      </c>
      <c r="T125" s="152">
        <f>IF(T34=0,0,1000000*T34/TrRoad_act!T74)</f>
        <v>3706.0274744107614</v>
      </c>
      <c r="U125" s="152">
        <f>IF(U34=0,0,1000000*U34/TrRoad_act!U74)</f>
        <v>3578.3749250071965</v>
      </c>
      <c r="V125" s="152">
        <f>IF(V34=0,0,1000000*V34/TrRoad_act!V74)</f>
        <v>3459.4659450133572</v>
      </c>
      <c r="W125" s="152">
        <f>IF(W34=0,0,1000000*W34/TrRoad_act!W74)</f>
        <v>3471.429227372239</v>
      </c>
      <c r="X125" s="152">
        <f>IF(X34=0,0,1000000*X34/TrRoad_act!X74)</f>
        <v>3483.1622099039464</v>
      </c>
      <c r="Y125" s="152">
        <f>IF(Y34=0,0,1000000*Y34/TrRoad_act!Y74)</f>
        <v>3453.5048672731145</v>
      </c>
      <c r="DA125" s="174" t="s">
        <v>827</v>
      </c>
    </row>
    <row r="126" spans="1:105" ht="11.45" customHeight="1" x14ac:dyDescent="0.25">
      <c r="A126" s="111" t="s">
        <v>110</v>
      </c>
      <c r="B126" s="87">
        <f>IF(B35=0,0,1000000*B35/TrRoad_act!B75)</f>
        <v>3774.7898220469347</v>
      </c>
      <c r="C126" s="87">
        <f>IF(C35=0,0,1000000*C35/TrRoad_act!C75)</f>
        <v>3722.1465804435493</v>
      </c>
      <c r="D126" s="87">
        <f>IF(D35=0,0,1000000*D35/TrRoad_act!D75)</f>
        <v>3633.5385733537641</v>
      </c>
      <c r="E126" s="87">
        <f>IF(E35=0,0,1000000*E35/TrRoad_act!E75)</f>
        <v>3531.4405400547548</v>
      </c>
      <c r="F126" s="87">
        <f>IF(F35=0,0,1000000*F35/TrRoad_act!F75)</f>
        <v>3429.6160104459104</v>
      </c>
      <c r="G126" s="87">
        <f>IF(G35=0,0,1000000*G35/TrRoad_act!G75)</f>
        <v>3345.0747963057233</v>
      </c>
      <c r="H126" s="87">
        <f>IF(H35=0,0,1000000*H35/TrRoad_act!H75)</f>
        <v>3210.6813710403726</v>
      </c>
      <c r="I126" s="87">
        <f>IF(I35=0,0,1000000*I35/TrRoad_act!I75)</f>
        <v>3105.2049631208374</v>
      </c>
      <c r="J126" s="87">
        <f>IF(J35=0,0,1000000*J35/TrRoad_act!J75)</f>
        <v>3028.5225144103347</v>
      </c>
      <c r="K126" s="87">
        <f>IF(K35=0,0,1000000*K35/TrRoad_act!K75)</f>
        <v>2933.8356793729172</v>
      </c>
      <c r="L126" s="87">
        <f>IF(L35=0,0,1000000*L35/TrRoad_act!L75)</f>
        <v>2763.9620205326792</v>
      </c>
      <c r="M126" s="87">
        <f>IF(M35=0,0,1000000*M35/TrRoad_act!M75)</f>
        <v>2709.2619123721188</v>
      </c>
      <c r="N126" s="87">
        <f>IF(N35=0,0,1000000*N35/TrRoad_act!N75)</f>
        <v>2633.746912246334</v>
      </c>
      <c r="O126" s="87">
        <f>IF(O35=0,0,1000000*O35/TrRoad_act!O75)</f>
        <v>2602.5667054628861</v>
      </c>
      <c r="P126" s="87">
        <f>IF(P35=0,0,1000000*P35/TrRoad_act!P75)</f>
        <v>2564.6687364807854</v>
      </c>
      <c r="Q126" s="87">
        <f>IF(Q35=0,0,1000000*Q35/TrRoad_act!Q75)</f>
        <v>2444.9107965437265</v>
      </c>
      <c r="R126" s="87">
        <f>IF(R35=0,0,1000000*R35/TrRoad_act!R75)</f>
        <v>2404.6320545384347</v>
      </c>
      <c r="S126" s="87">
        <f>IF(S35=0,0,1000000*S35/TrRoad_act!S75)</f>
        <v>2321.0944013346984</v>
      </c>
      <c r="T126" s="87">
        <f>IF(T35=0,0,1000000*T35/TrRoad_act!T75)</f>
        <v>2280.5168916526618</v>
      </c>
      <c r="U126" s="87">
        <f>IF(U35=0,0,1000000*U35/TrRoad_act!U75)</f>
        <v>2227.3404833830887</v>
      </c>
      <c r="V126" s="87">
        <f>IF(V35=0,0,1000000*V35/TrRoad_act!V75)</f>
        <v>2187.8528998173806</v>
      </c>
      <c r="W126" s="87">
        <f>IF(W35=0,0,1000000*W35/TrRoad_act!W75)</f>
        <v>2136.4661827622554</v>
      </c>
      <c r="X126" s="87">
        <f>IF(X35=0,0,1000000*X35/TrRoad_act!X75)</f>
        <v>2069.0119611930913</v>
      </c>
      <c r="Y126" s="87">
        <f>IF(Y35=0,0,1000000*Y35/TrRoad_act!Y75)</f>
        <v>2043.024207137802</v>
      </c>
      <c r="DA126" s="171" t="s">
        <v>828</v>
      </c>
    </row>
    <row r="127" spans="1:105" ht="11.45" customHeight="1" x14ac:dyDescent="0.25">
      <c r="A127" s="111" t="s">
        <v>111</v>
      </c>
      <c r="B127" s="87">
        <f>IF(B36=0,0,1000000*B36/TrRoad_act!B76)</f>
        <v>3942.864265383349</v>
      </c>
      <c r="C127" s="87">
        <f>IF(C36=0,0,1000000*C36/TrRoad_act!C76)</f>
        <v>4126.249105604169</v>
      </c>
      <c r="D127" s="87">
        <f>IF(D36=0,0,1000000*D36/TrRoad_act!D76)</f>
        <v>4177.0761652053279</v>
      </c>
      <c r="E127" s="87">
        <f>IF(E36=0,0,1000000*E36/TrRoad_act!E76)</f>
        <v>4224.4528605836476</v>
      </c>
      <c r="F127" s="87">
        <f>IF(F36=0,0,1000000*F36/TrRoad_act!F76)</f>
        <v>4081.729771618333</v>
      </c>
      <c r="G127" s="87">
        <f>IF(G36=0,0,1000000*G36/TrRoad_act!G76)</f>
        <v>4270.339244426531</v>
      </c>
      <c r="H127" s="87">
        <f>IF(H36=0,0,1000000*H36/TrRoad_act!H76)</f>
        <v>4341.2143691208366</v>
      </c>
      <c r="I127" s="87">
        <f>IF(I36=0,0,1000000*I36/TrRoad_act!I76)</f>
        <v>4157.718886267573</v>
      </c>
      <c r="J127" s="87">
        <f>IF(J36=0,0,1000000*J36/TrRoad_act!J76)</f>
        <v>4139.0834578504937</v>
      </c>
      <c r="K127" s="87">
        <f>IF(K36=0,0,1000000*K36/TrRoad_act!K76)</f>
        <v>4097.9205415324923</v>
      </c>
      <c r="L127" s="87">
        <f>IF(L36=0,0,1000000*L36/TrRoad_act!L76)</f>
        <v>4134.5910187152485</v>
      </c>
      <c r="M127" s="87">
        <f>IF(M36=0,0,1000000*M36/TrRoad_act!M76)</f>
        <v>4100.0484119177127</v>
      </c>
      <c r="N127" s="87">
        <f>IF(N36=0,0,1000000*N36/TrRoad_act!N76)</f>
        <v>4281.5065120237559</v>
      </c>
      <c r="O127" s="87">
        <f>IF(O36=0,0,1000000*O36/TrRoad_act!O76)</f>
        <v>4091.3578281222126</v>
      </c>
      <c r="P127" s="87">
        <f>IF(P36=0,0,1000000*P36/TrRoad_act!P76)</f>
        <v>4059.1069552068088</v>
      </c>
      <c r="Q127" s="87">
        <f>IF(Q36=0,0,1000000*Q36/TrRoad_act!Q76)</f>
        <v>3974.9323420900901</v>
      </c>
      <c r="R127" s="87">
        <f>IF(R36=0,0,1000000*R36/TrRoad_act!R76)</f>
        <v>4005.0079064743563</v>
      </c>
      <c r="S127" s="87">
        <f>IF(S36=0,0,1000000*S36/TrRoad_act!S76)</f>
        <v>4016.0748631967522</v>
      </c>
      <c r="T127" s="87">
        <f>IF(T36=0,0,1000000*T36/TrRoad_act!T76)</f>
        <v>3963.7585025679159</v>
      </c>
      <c r="U127" s="87">
        <f>IF(U36=0,0,1000000*U36/TrRoad_act!U76)</f>
        <v>3800.0670564591151</v>
      </c>
      <c r="V127" s="87">
        <f>IF(V36=0,0,1000000*V36/TrRoad_act!V76)</f>
        <v>3653.1248974409659</v>
      </c>
      <c r="W127" s="87">
        <f>IF(W36=0,0,1000000*W36/TrRoad_act!W76)</f>
        <v>3660.7231413335012</v>
      </c>
      <c r="X127" s="87">
        <f>IF(X36=0,0,1000000*X36/TrRoad_act!X76)</f>
        <v>3674.270708369002</v>
      </c>
      <c r="Y127" s="87">
        <f>IF(Y36=0,0,1000000*Y36/TrRoad_act!Y76)</f>
        <v>3639.9773889996472</v>
      </c>
      <c r="DA127" s="171" t="s">
        <v>829</v>
      </c>
    </row>
    <row r="128" spans="1:105" ht="11.45" customHeight="1" x14ac:dyDescent="0.25">
      <c r="A128" s="111" t="s">
        <v>112</v>
      </c>
      <c r="B128" s="87">
        <f>IF(B37=0,0,1000000*B37/TrRoad_act!B77)</f>
        <v>0</v>
      </c>
      <c r="C128" s="87">
        <f>IF(C37=0,0,1000000*C37/TrRoad_act!C77)</f>
        <v>0</v>
      </c>
      <c r="D128" s="87">
        <f>IF(D37=0,0,1000000*D37/TrRoad_act!D77)</f>
        <v>0</v>
      </c>
      <c r="E128" s="87">
        <f>IF(E37=0,0,1000000*E37/TrRoad_act!E77)</f>
        <v>0</v>
      </c>
      <c r="F128" s="87">
        <f>IF(F37=0,0,1000000*F37/TrRoad_act!F77)</f>
        <v>0</v>
      </c>
      <c r="G128" s="87">
        <f>IF(G37=0,0,1000000*G37/TrRoad_act!G77)</f>
        <v>0</v>
      </c>
      <c r="H128" s="87">
        <f>IF(H37=0,0,1000000*H37/TrRoad_act!H77)</f>
        <v>0</v>
      </c>
      <c r="I128" s="87">
        <f>IF(I37=0,0,1000000*I37/TrRoad_act!I77)</f>
        <v>0</v>
      </c>
      <c r="J128" s="87">
        <f>IF(J37=0,0,1000000*J37/TrRoad_act!J77)</f>
        <v>4324.3429776620615</v>
      </c>
      <c r="K128" s="87">
        <f>IF(K37=0,0,1000000*K37/TrRoad_act!K77)</f>
        <v>4307.5749293490444</v>
      </c>
      <c r="L128" s="87">
        <f>IF(L37=0,0,1000000*L37/TrRoad_act!L77)</f>
        <v>4286.9057121905171</v>
      </c>
      <c r="M128" s="87">
        <f>IF(M37=0,0,1000000*M37/TrRoad_act!M77)</f>
        <v>4134.437538522604</v>
      </c>
      <c r="N128" s="87">
        <f>IF(N37=0,0,1000000*N37/TrRoad_act!N77)</f>
        <v>3940.7085555168696</v>
      </c>
      <c r="O128" s="87">
        <f>IF(O37=0,0,1000000*O37/TrRoad_act!O77)</f>
        <v>3930.7492783627699</v>
      </c>
      <c r="P128" s="87">
        <f>IF(P37=0,0,1000000*P37/TrRoad_act!P77)</f>
        <v>3625.3739873307368</v>
      </c>
      <c r="Q128" s="87">
        <f>IF(Q37=0,0,1000000*Q37/TrRoad_act!Q77)</f>
        <v>3494.5654594976963</v>
      </c>
      <c r="R128" s="87">
        <f>IF(R37=0,0,1000000*R37/TrRoad_act!R77)</f>
        <v>3050.2839920871038</v>
      </c>
      <c r="S128" s="87">
        <f>IF(S37=0,0,1000000*S37/TrRoad_act!S77)</f>
        <v>3075.1596090146336</v>
      </c>
      <c r="T128" s="87">
        <f>IF(T37=0,0,1000000*T37/TrRoad_act!T77)</f>
        <v>3041.8257640200459</v>
      </c>
      <c r="U128" s="87">
        <f>IF(U37=0,0,1000000*U37/TrRoad_act!U77)</f>
        <v>3034.9139233360079</v>
      </c>
      <c r="V128" s="87">
        <f>IF(V37=0,0,1000000*V37/TrRoad_act!V77)</f>
        <v>2955.768635249307</v>
      </c>
      <c r="W128" s="87">
        <f>IF(W37=0,0,1000000*W37/TrRoad_act!W77)</f>
        <v>2715.2844440765839</v>
      </c>
      <c r="X128" s="87">
        <f>IF(X37=0,0,1000000*X37/TrRoad_act!X77)</f>
        <v>2466.3525873257649</v>
      </c>
      <c r="Y128" s="87">
        <f>IF(Y37=0,0,1000000*Y37/TrRoad_act!Y77)</f>
        <v>2334.1062317875117</v>
      </c>
      <c r="DA128" s="171" t="s">
        <v>830</v>
      </c>
    </row>
    <row r="129" spans="1:105" ht="11.45" customHeight="1" x14ac:dyDescent="0.25">
      <c r="A129" s="111" t="s">
        <v>113</v>
      </c>
      <c r="B129" s="87">
        <f>IF(B38=0,0,1000000*B38/TrRoad_act!B78)</f>
        <v>0</v>
      </c>
      <c r="C129" s="87">
        <f>IF(C38=0,0,1000000*C38/TrRoad_act!C78)</f>
        <v>0</v>
      </c>
      <c r="D129" s="87">
        <f>IF(D38=0,0,1000000*D38/TrRoad_act!D78)</f>
        <v>0</v>
      </c>
      <c r="E129" s="87">
        <f>IF(E38=0,0,1000000*E38/TrRoad_act!E78)</f>
        <v>0</v>
      </c>
      <c r="F129" s="87">
        <f>IF(F38=0,0,1000000*F38/TrRoad_act!F78)</f>
        <v>0</v>
      </c>
      <c r="G129" s="87">
        <f>IF(G38=0,0,1000000*G38/TrRoad_act!G78)</f>
        <v>0</v>
      </c>
      <c r="H129" s="87">
        <f>IF(H38=0,0,1000000*H38/TrRoad_act!H78)</f>
        <v>0</v>
      </c>
      <c r="I129" s="87">
        <f>IF(I38=0,0,1000000*I38/TrRoad_act!I78)</f>
        <v>0</v>
      </c>
      <c r="J129" s="87">
        <f>IF(J38=0,0,1000000*J38/TrRoad_act!J78)</f>
        <v>0</v>
      </c>
      <c r="K129" s="87">
        <f>IF(K38=0,0,1000000*K38/TrRoad_act!K78)</f>
        <v>0</v>
      </c>
      <c r="L129" s="87">
        <f>IF(L38=0,0,1000000*L38/TrRoad_act!L78)</f>
        <v>0</v>
      </c>
      <c r="M129" s="87">
        <f>IF(M38=0,0,1000000*M38/TrRoad_act!M78)</f>
        <v>0</v>
      </c>
      <c r="N129" s="87">
        <f>IF(N38=0,0,1000000*N38/TrRoad_act!N78)</f>
        <v>0</v>
      </c>
      <c r="O129" s="87">
        <f>IF(O38=0,0,1000000*O38/TrRoad_act!O78)</f>
        <v>0</v>
      </c>
      <c r="P129" s="87">
        <f>IF(P38=0,0,1000000*P38/TrRoad_act!P78)</f>
        <v>0</v>
      </c>
      <c r="Q129" s="87">
        <f>IF(Q38=0,0,1000000*Q38/TrRoad_act!Q78)</f>
        <v>0</v>
      </c>
      <c r="R129" s="87">
        <f>IF(R38=0,0,1000000*R38/TrRoad_act!R78)</f>
        <v>0</v>
      </c>
      <c r="S129" s="87">
        <f>IF(S38=0,0,1000000*S38/TrRoad_act!S78)</f>
        <v>0</v>
      </c>
      <c r="T129" s="87">
        <f>IF(T38=0,0,1000000*T38/TrRoad_act!T78)</f>
        <v>0</v>
      </c>
      <c r="U129" s="87">
        <f>IF(U38=0,0,1000000*U38/TrRoad_act!U78)</f>
        <v>0</v>
      </c>
      <c r="V129" s="87">
        <f>IF(V38=0,0,1000000*V38/TrRoad_act!V78)</f>
        <v>0</v>
      </c>
      <c r="W129" s="87">
        <f>IF(W38=0,0,1000000*W38/TrRoad_act!W78)</f>
        <v>0</v>
      </c>
      <c r="X129" s="87">
        <f>IF(X38=0,0,1000000*X38/TrRoad_act!X78)</f>
        <v>0</v>
      </c>
      <c r="Y129" s="87">
        <f>IF(Y38=0,0,1000000*Y38/TrRoad_act!Y78)</f>
        <v>0</v>
      </c>
      <c r="DA129" s="171" t="s">
        <v>831</v>
      </c>
    </row>
    <row r="130" spans="1:105" ht="11.45" customHeight="1" x14ac:dyDescent="0.25">
      <c r="A130" s="111" t="s">
        <v>115</v>
      </c>
      <c r="B130" s="87">
        <f>IF(B39=0,0,1000000*B39/TrRoad_act!B79)</f>
        <v>0</v>
      </c>
      <c r="C130" s="87">
        <f>IF(C39=0,0,1000000*C39/TrRoad_act!C79)</f>
        <v>0</v>
      </c>
      <c r="D130" s="87">
        <f>IF(D39=0,0,1000000*D39/TrRoad_act!D79)</f>
        <v>0</v>
      </c>
      <c r="E130" s="87">
        <f>IF(E39=0,0,1000000*E39/TrRoad_act!E79)</f>
        <v>0</v>
      </c>
      <c r="F130" s="87">
        <f>IF(F39=0,0,1000000*F39/TrRoad_act!F79)</f>
        <v>0</v>
      </c>
      <c r="G130" s="87">
        <f>IF(G39=0,0,1000000*G39/TrRoad_act!G79)</f>
        <v>0</v>
      </c>
      <c r="H130" s="87">
        <f>IF(H39=0,0,1000000*H39/TrRoad_act!H79)</f>
        <v>0</v>
      </c>
      <c r="I130" s="87">
        <f>IF(I39=0,0,1000000*I39/TrRoad_act!I79)</f>
        <v>0</v>
      </c>
      <c r="J130" s="87">
        <f>IF(J39=0,0,1000000*J39/TrRoad_act!J79)</f>
        <v>0</v>
      </c>
      <c r="K130" s="87">
        <f>IF(K39=0,0,1000000*K39/TrRoad_act!K79)</f>
        <v>0</v>
      </c>
      <c r="L130" s="87">
        <f>IF(L39=0,0,1000000*L39/TrRoad_act!L79)</f>
        <v>0</v>
      </c>
      <c r="M130" s="87">
        <f>IF(M39=0,0,1000000*M39/TrRoad_act!M79)</f>
        <v>0</v>
      </c>
      <c r="N130" s="87">
        <f>IF(N39=0,0,1000000*N39/TrRoad_act!N79)</f>
        <v>0</v>
      </c>
      <c r="O130" s="87">
        <f>IF(O39=0,0,1000000*O39/TrRoad_act!O79)</f>
        <v>0</v>
      </c>
      <c r="P130" s="87">
        <f>IF(P39=0,0,1000000*P39/TrRoad_act!P79)</f>
        <v>0</v>
      </c>
      <c r="Q130" s="87">
        <f>IF(Q39=0,0,1000000*Q39/TrRoad_act!Q79)</f>
        <v>0</v>
      </c>
      <c r="R130" s="87">
        <f>IF(R39=0,0,1000000*R39/TrRoad_act!R79)</f>
        <v>0</v>
      </c>
      <c r="S130" s="87">
        <f>IF(S39=0,0,1000000*S39/TrRoad_act!S79)</f>
        <v>0</v>
      </c>
      <c r="T130" s="87">
        <f>IF(T39=0,0,1000000*T39/TrRoad_act!T79)</f>
        <v>0</v>
      </c>
      <c r="U130" s="87">
        <f>IF(U39=0,0,1000000*U39/TrRoad_act!U79)</f>
        <v>0</v>
      </c>
      <c r="V130" s="87">
        <f>IF(V39=0,0,1000000*V39/TrRoad_act!V79)</f>
        <v>0</v>
      </c>
      <c r="W130" s="87">
        <f>IF(W39=0,0,1000000*W39/TrRoad_act!W79)</f>
        <v>0</v>
      </c>
      <c r="X130" s="87">
        <f>IF(X39=0,0,1000000*X39/TrRoad_act!X79)</f>
        <v>0</v>
      </c>
      <c r="Y130" s="87">
        <f>IF(Y39=0,0,1000000*Y39/TrRoad_act!Y79)</f>
        <v>0</v>
      </c>
      <c r="DA130" s="171" t="s">
        <v>832</v>
      </c>
    </row>
    <row r="131" spans="1:105" ht="11.45" customHeight="1" x14ac:dyDescent="0.25">
      <c r="A131" s="109" t="s">
        <v>154</v>
      </c>
      <c r="B131" s="116">
        <f>IF(B40=0,0,1000000*B40/TrRoad_act!B80)</f>
        <v>27638.18735952604</v>
      </c>
      <c r="C131" s="116">
        <f>IF(C40=0,0,1000000*C40/TrRoad_act!C80)</f>
        <v>38265.79423795428</v>
      </c>
      <c r="D131" s="116">
        <f>IF(D40=0,0,1000000*D40/TrRoad_act!D80)</f>
        <v>42324.626778653859</v>
      </c>
      <c r="E131" s="116">
        <f>IF(E40=0,0,1000000*E40/TrRoad_act!E80)</f>
        <v>40406.954692654195</v>
      </c>
      <c r="F131" s="116">
        <f>IF(F40=0,0,1000000*F40/TrRoad_act!F80)</f>
        <v>35950.842183755129</v>
      </c>
      <c r="G131" s="116">
        <f>IF(G40=0,0,1000000*G40/TrRoad_act!G80)</f>
        <v>24781.416602390011</v>
      </c>
      <c r="H131" s="116">
        <f>IF(H40=0,0,1000000*H40/TrRoad_act!H80)</f>
        <v>27162.874815026498</v>
      </c>
      <c r="I131" s="116">
        <f>IF(I40=0,0,1000000*I40/TrRoad_act!I80)</f>
        <v>22489.62715940925</v>
      </c>
      <c r="J131" s="116">
        <f>IF(J40=0,0,1000000*J40/TrRoad_act!J80)</f>
        <v>21976.412851000394</v>
      </c>
      <c r="K131" s="116">
        <f>IF(K40=0,0,1000000*K40/TrRoad_act!K80)</f>
        <v>20484.780665361817</v>
      </c>
      <c r="L131" s="116">
        <f>IF(L40=0,0,1000000*L40/TrRoad_act!L80)</f>
        <v>15899.469883734348</v>
      </c>
      <c r="M131" s="116">
        <f>IF(M40=0,0,1000000*M40/TrRoad_act!M80)</f>
        <v>17565.174770045658</v>
      </c>
      <c r="N131" s="116">
        <f>IF(N40=0,0,1000000*N40/TrRoad_act!N80)</f>
        <v>17381.739510524276</v>
      </c>
      <c r="O131" s="116">
        <f>IF(O40=0,0,1000000*O40/TrRoad_act!O80)</f>
        <v>17713.57617549026</v>
      </c>
      <c r="P131" s="116">
        <f>IF(P40=0,0,1000000*P40/TrRoad_act!P80)</f>
        <v>17250.260550952382</v>
      </c>
      <c r="Q131" s="116">
        <f>IF(Q40=0,0,1000000*Q40/TrRoad_act!Q80)</f>
        <v>17683.777375714595</v>
      </c>
      <c r="R131" s="116">
        <f>IF(R40=0,0,1000000*R40/TrRoad_act!R80)</f>
        <v>23402.497694719721</v>
      </c>
      <c r="S131" s="116">
        <f>IF(S40=0,0,1000000*S40/TrRoad_act!S80)</f>
        <v>28600.690655492679</v>
      </c>
      <c r="T131" s="116">
        <f>IF(T40=0,0,1000000*T40/TrRoad_act!T80)</f>
        <v>27817.701813622713</v>
      </c>
      <c r="U131" s="116">
        <f>IF(U40=0,0,1000000*U40/TrRoad_act!U80)</f>
        <v>29330.532506470441</v>
      </c>
      <c r="V131" s="116">
        <f>IF(V40=0,0,1000000*V40/TrRoad_act!V80)</f>
        <v>26411.877498175938</v>
      </c>
      <c r="W131" s="116">
        <f>IF(W40=0,0,1000000*W40/TrRoad_act!W80)</f>
        <v>29425.417454356244</v>
      </c>
      <c r="X131" s="116">
        <f>IF(X40=0,0,1000000*X40/TrRoad_act!X80)</f>
        <v>38206.968383951818</v>
      </c>
      <c r="Y131" s="116">
        <f>IF(Y40=0,0,1000000*Y40/TrRoad_act!Y80)</f>
        <v>39496.200281877798</v>
      </c>
      <c r="DA131" s="176" t="s">
        <v>833</v>
      </c>
    </row>
    <row r="132" spans="1:105" ht="11.45" customHeight="1" x14ac:dyDescent="0.25">
      <c r="A132" s="128" t="s">
        <v>27</v>
      </c>
      <c r="B132" s="101">
        <f>IF(B41=0,0,1000000*B41/TrRoad_act!B81)</f>
        <v>16373.656681640932</v>
      </c>
      <c r="C132" s="101">
        <f>IF(C41=0,0,1000000*C41/TrRoad_act!C81)</f>
        <v>18949.357998260846</v>
      </c>
      <c r="D132" s="101">
        <f>IF(D41=0,0,1000000*D41/TrRoad_act!D81)</f>
        <v>20224.690609047946</v>
      </c>
      <c r="E132" s="101">
        <f>IF(E41=0,0,1000000*E41/TrRoad_act!E81)</f>
        <v>20461.38306148869</v>
      </c>
      <c r="F132" s="101">
        <f>IF(F41=0,0,1000000*F41/TrRoad_act!F81)</f>
        <v>19750.148673326839</v>
      </c>
      <c r="G132" s="101">
        <f>IF(G41=0,0,1000000*G41/TrRoad_act!G81)</f>
        <v>18098.706142769242</v>
      </c>
      <c r="H132" s="101">
        <f>IF(H41=0,0,1000000*H41/TrRoad_act!H81)</f>
        <v>20027.140252757712</v>
      </c>
      <c r="I132" s="101">
        <f>IF(I41=0,0,1000000*I41/TrRoad_act!I81)</f>
        <v>18449.426573773879</v>
      </c>
      <c r="J132" s="101">
        <f>IF(J41=0,0,1000000*J41/TrRoad_act!J81)</f>
        <v>17617.708766994951</v>
      </c>
      <c r="K132" s="101">
        <f>IF(K41=0,0,1000000*K41/TrRoad_act!K81)</f>
        <v>16050.153779584611</v>
      </c>
      <c r="L132" s="101">
        <f>IF(L41=0,0,1000000*L41/TrRoad_act!L81)</f>
        <v>10594.516704671118</v>
      </c>
      <c r="M132" s="101">
        <f>IF(M41=0,0,1000000*M41/TrRoad_act!M81)</f>
        <v>11341.531574237843</v>
      </c>
      <c r="N132" s="101">
        <f>IF(N41=0,0,1000000*N41/TrRoad_act!N81)</f>
        <v>12111.341086017359</v>
      </c>
      <c r="O132" s="101">
        <f>IF(O41=0,0,1000000*O41/TrRoad_act!O81)</f>
        <v>12345.834132041377</v>
      </c>
      <c r="P132" s="101">
        <f>IF(P41=0,0,1000000*P41/TrRoad_act!P81)</f>
        <v>12374.970969389244</v>
      </c>
      <c r="Q132" s="101">
        <f>IF(Q41=0,0,1000000*Q41/TrRoad_act!Q81)</f>
        <v>13260.64800537408</v>
      </c>
      <c r="R132" s="101">
        <f>IF(R41=0,0,1000000*R41/TrRoad_act!R81)</f>
        <v>16587.097821131545</v>
      </c>
      <c r="S132" s="101">
        <f>IF(S41=0,0,1000000*S41/TrRoad_act!S81)</f>
        <v>19093.056495943929</v>
      </c>
      <c r="T132" s="101">
        <f>IF(T41=0,0,1000000*T41/TrRoad_act!T81)</f>
        <v>20117.310890484947</v>
      </c>
      <c r="U132" s="101">
        <f>IF(U41=0,0,1000000*U41/TrRoad_act!U81)</f>
        <v>21859.459576792255</v>
      </c>
      <c r="V132" s="101">
        <f>IF(V41=0,0,1000000*V41/TrRoad_act!V81)</f>
        <v>19972.207541170501</v>
      </c>
      <c r="W132" s="101">
        <f>IF(W41=0,0,1000000*W41/TrRoad_act!W81)</f>
        <v>22448.431682248924</v>
      </c>
      <c r="X132" s="101">
        <f>IF(X41=0,0,1000000*X41/TrRoad_act!X81)</f>
        <v>26782.118634090628</v>
      </c>
      <c r="Y132" s="101">
        <f>IF(Y41=0,0,1000000*Y41/TrRoad_act!Y81)</f>
        <v>27367.227616264896</v>
      </c>
      <c r="DA132" s="175" t="s">
        <v>834</v>
      </c>
    </row>
    <row r="133" spans="1:105" ht="11.45" customHeight="1" x14ac:dyDescent="0.25">
      <c r="A133" s="138" t="s">
        <v>116</v>
      </c>
      <c r="B133" s="88">
        <f>IF(B42=0,0,1000000*B42/TrRoad_act!B82)</f>
        <v>99701.171883196352</v>
      </c>
      <c r="C133" s="88">
        <f>IF(C42=0,0,1000000*C42/TrRoad_act!C82)</f>
        <v>160822.46646124221</v>
      </c>
      <c r="D133" s="88">
        <f>IF(D42=0,0,1000000*D42/TrRoad_act!D82)</f>
        <v>174663.24068913067</v>
      </c>
      <c r="E133" s="88">
        <f>IF(E42=0,0,1000000*E42/TrRoad_act!E82)</f>
        <v>183868.37597621002</v>
      </c>
      <c r="F133" s="88">
        <f>IF(F42=0,0,1000000*F42/TrRoad_act!F82)</f>
        <v>135808.1845663171</v>
      </c>
      <c r="G133" s="88">
        <f>IF(G42=0,0,1000000*G42/TrRoad_act!G82)</f>
        <v>74511.409733146909</v>
      </c>
      <c r="H133" s="88">
        <f>IF(H42=0,0,1000000*H42/TrRoad_act!H82)</f>
        <v>107626.19854903026</v>
      </c>
      <c r="I133" s="88">
        <f>IF(I42=0,0,1000000*I42/TrRoad_act!I82)</f>
        <v>67128.502019328938</v>
      </c>
      <c r="J133" s="88">
        <f>IF(J42=0,0,1000000*J42/TrRoad_act!J82)</f>
        <v>86962.779496907358</v>
      </c>
      <c r="K133" s="88">
        <f>IF(K42=0,0,1000000*K42/TrRoad_act!K82)</f>
        <v>146389.1478666717</v>
      </c>
      <c r="L133" s="88">
        <f>IF(L42=0,0,1000000*L42/TrRoad_act!L82)</f>
        <v>193321.08548680181</v>
      </c>
      <c r="M133" s="88">
        <f>IF(M42=0,0,1000000*M42/TrRoad_act!M82)</f>
        <v>207811.19960896621</v>
      </c>
      <c r="N133" s="88">
        <f>IF(N42=0,0,1000000*N42/TrRoad_act!N82)</f>
        <v>144172.12352657306</v>
      </c>
      <c r="O133" s="88">
        <f>IF(O42=0,0,1000000*O42/TrRoad_act!O82)</f>
        <v>134385.92617814807</v>
      </c>
      <c r="P133" s="88">
        <f>IF(P42=0,0,1000000*P42/TrRoad_act!P82)</f>
        <v>120569.4596282055</v>
      </c>
      <c r="Q133" s="88">
        <f>IF(Q42=0,0,1000000*Q42/TrRoad_act!Q82)</f>
        <v>100939.29866199398</v>
      </c>
      <c r="R133" s="88">
        <f>IF(R42=0,0,1000000*R42/TrRoad_act!R82)</f>
        <v>125193.47240864567</v>
      </c>
      <c r="S133" s="88">
        <f>IF(S42=0,0,1000000*S42/TrRoad_act!S82)</f>
        <v>138565.28594610401</v>
      </c>
      <c r="T133" s="88">
        <f>IF(T42=0,0,1000000*T42/TrRoad_act!T82)</f>
        <v>118968.53272160167</v>
      </c>
      <c r="U133" s="88">
        <f>IF(U42=0,0,1000000*U42/TrRoad_act!U82)</f>
        <v>118269.38903762781</v>
      </c>
      <c r="V133" s="88">
        <f>IF(V42=0,0,1000000*V42/TrRoad_act!V82)</f>
        <v>130670.65203801547</v>
      </c>
      <c r="W133" s="88">
        <f>IF(W42=0,0,1000000*W42/TrRoad_act!W82)</f>
        <v>107736.00007723246</v>
      </c>
      <c r="X133" s="88">
        <f>IF(X42=0,0,1000000*X42/TrRoad_act!X82)</f>
        <v>162188.22614295682</v>
      </c>
      <c r="Y133" s="88">
        <f>IF(Y42=0,0,1000000*Y42/TrRoad_act!Y82)</f>
        <v>165654.31880998632</v>
      </c>
      <c r="DA133" s="178" t="s">
        <v>835</v>
      </c>
    </row>
    <row r="134" spans="1:105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DA134" s="171"/>
    </row>
    <row r="135" spans="1:105" ht="11.45" customHeight="1" x14ac:dyDescent="0.25">
      <c r="A135" s="53" t="s">
        <v>41</v>
      </c>
      <c r="B135" s="76">
        <f t="shared" ref="B135:V147" si="40">IF(B17=0,0,B17/B$17)</f>
        <v>1</v>
      </c>
      <c r="C135" s="76">
        <f t="shared" si="40"/>
        <v>1</v>
      </c>
      <c r="D135" s="76">
        <f t="shared" si="40"/>
        <v>1</v>
      </c>
      <c r="E135" s="76">
        <f t="shared" si="40"/>
        <v>1</v>
      </c>
      <c r="F135" s="76">
        <f t="shared" si="40"/>
        <v>1</v>
      </c>
      <c r="G135" s="76">
        <f t="shared" si="40"/>
        <v>1</v>
      </c>
      <c r="H135" s="76">
        <f t="shared" si="40"/>
        <v>1</v>
      </c>
      <c r="I135" s="76">
        <f t="shared" si="40"/>
        <v>1</v>
      </c>
      <c r="J135" s="76">
        <f t="shared" si="40"/>
        <v>1</v>
      </c>
      <c r="K135" s="76">
        <f t="shared" si="40"/>
        <v>1</v>
      </c>
      <c r="L135" s="76">
        <f t="shared" ref="L135:L147" si="41">IF(L17=0,0,L17/L$17)</f>
        <v>1</v>
      </c>
      <c r="M135" s="76">
        <f t="shared" si="40"/>
        <v>1</v>
      </c>
      <c r="N135" s="76">
        <f t="shared" si="40"/>
        <v>1</v>
      </c>
      <c r="O135" s="76">
        <f t="shared" si="40"/>
        <v>1</v>
      </c>
      <c r="P135" s="76">
        <f t="shared" si="40"/>
        <v>1</v>
      </c>
      <c r="Q135" s="76">
        <f t="shared" si="40"/>
        <v>1</v>
      </c>
      <c r="R135" s="76">
        <f t="shared" si="40"/>
        <v>1</v>
      </c>
      <c r="S135" s="76">
        <f t="shared" si="40"/>
        <v>1</v>
      </c>
      <c r="T135" s="76">
        <f t="shared" si="40"/>
        <v>1</v>
      </c>
      <c r="U135" s="76">
        <f t="shared" si="40"/>
        <v>1</v>
      </c>
      <c r="V135" s="76">
        <f t="shared" si="40"/>
        <v>1</v>
      </c>
      <c r="W135" s="76">
        <f t="shared" ref="W135:Y146" si="42">IF(W17=0,0,W17/W$17)</f>
        <v>1</v>
      </c>
      <c r="X135" s="76">
        <f t="shared" si="42"/>
        <v>1</v>
      </c>
      <c r="Y135" s="76">
        <f t="shared" si="42"/>
        <v>1</v>
      </c>
      <c r="DA135" s="183"/>
    </row>
    <row r="136" spans="1:105" ht="11.45" customHeight="1" x14ac:dyDescent="0.25">
      <c r="A136" s="27" t="s">
        <v>33</v>
      </c>
      <c r="B136" s="46">
        <f t="shared" si="40"/>
        <v>0.65278969787769636</v>
      </c>
      <c r="C136" s="46">
        <f t="shared" si="40"/>
        <v>0.65248553443025414</v>
      </c>
      <c r="D136" s="46">
        <f t="shared" si="40"/>
        <v>0.63601723108103358</v>
      </c>
      <c r="E136" s="46">
        <f t="shared" si="40"/>
        <v>0.6276891232476387</v>
      </c>
      <c r="F136" s="46">
        <f t="shared" si="40"/>
        <v>0.66048239230754013</v>
      </c>
      <c r="G136" s="46">
        <f t="shared" si="40"/>
        <v>0.67601349751020978</v>
      </c>
      <c r="H136" s="46">
        <f t="shared" si="40"/>
        <v>0.64046495279486138</v>
      </c>
      <c r="I136" s="46">
        <f t="shared" si="40"/>
        <v>0.67965867557616411</v>
      </c>
      <c r="J136" s="46">
        <f t="shared" si="40"/>
        <v>0.69925073100540802</v>
      </c>
      <c r="K136" s="46">
        <f t="shared" si="40"/>
        <v>0.71160925866484448</v>
      </c>
      <c r="L136" s="46">
        <f t="shared" si="41"/>
        <v>0.73956290533298474</v>
      </c>
      <c r="M136" s="46">
        <f t="shared" si="40"/>
        <v>0.73810616212016278</v>
      </c>
      <c r="N136" s="46">
        <f t="shared" si="40"/>
        <v>0.7483215388775647</v>
      </c>
      <c r="O136" s="46">
        <f t="shared" si="40"/>
        <v>0.73986216366921442</v>
      </c>
      <c r="P136" s="46">
        <f t="shared" si="40"/>
        <v>0.74649260954530572</v>
      </c>
      <c r="Q136" s="46">
        <f t="shared" si="40"/>
        <v>0.74970687437776695</v>
      </c>
      <c r="R136" s="46">
        <f t="shared" si="40"/>
        <v>0.74695009688394443</v>
      </c>
      <c r="S136" s="46">
        <f t="shared" si="40"/>
        <v>0.74079907368073206</v>
      </c>
      <c r="T136" s="46">
        <f t="shared" si="40"/>
        <v>0.7450148746258628</v>
      </c>
      <c r="U136" s="46">
        <f t="shared" si="40"/>
        <v>0.73908945237557289</v>
      </c>
      <c r="V136" s="46">
        <f t="shared" si="40"/>
        <v>0.73536767722880692</v>
      </c>
      <c r="W136" s="46">
        <f t="shared" si="42"/>
        <v>0.73095748596258192</v>
      </c>
      <c r="X136" s="46">
        <f t="shared" si="42"/>
        <v>0.72332530353201996</v>
      </c>
      <c r="Y136" s="46">
        <f t="shared" si="42"/>
        <v>0.7310942701577221</v>
      </c>
      <c r="DA136" s="211"/>
    </row>
    <row r="137" spans="1:105" ht="11.45" customHeight="1" x14ac:dyDescent="0.25">
      <c r="A137" s="153" t="s">
        <v>173</v>
      </c>
      <c r="B137" s="154">
        <f t="shared" si="40"/>
        <v>3.9945748387746139E-3</v>
      </c>
      <c r="C137" s="154">
        <f t="shared" si="40"/>
        <v>3.0848242460737572E-3</v>
      </c>
      <c r="D137" s="154">
        <f t="shared" si="40"/>
        <v>2.9833579212570696E-3</v>
      </c>
      <c r="E137" s="154">
        <f t="shared" si="40"/>
        <v>2.7682427425760122E-3</v>
      </c>
      <c r="F137" s="154">
        <f t="shared" si="40"/>
        <v>2.6821308669894928E-3</v>
      </c>
      <c r="G137" s="154">
        <f t="shared" si="40"/>
        <v>2.6929309125423729E-3</v>
      </c>
      <c r="H137" s="154">
        <f t="shared" si="40"/>
        <v>2.7717579808445702E-3</v>
      </c>
      <c r="I137" s="154">
        <f t="shared" si="40"/>
        <v>2.9396748405385634E-3</v>
      </c>
      <c r="J137" s="154">
        <f t="shared" si="40"/>
        <v>3.0886609427686227E-3</v>
      </c>
      <c r="K137" s="154">
        <f t="shared" si="40"/>
        <v>3.2102667541512773E-3</v>
      </c>
      <c r="L137" s="154">
        <f t="shared" si="41"/>
        <v>3.4164977860698703E-3</v>
      </c>
      <c r="M137" s="154">
        <f t="shared" si="40"/>
        <v>3.4455180897318576E-3</v>
      </c>
      <c r="N137" s="154">
        <f t="shared" si="40"/>
        <v>3.3851655480160851E-3</v>
      </c>
      <c r="O137" s="154">
        <f t="shared" si="40"/>
        <v>3.6488031987571994E-3</v>
      </c>
      <c r="P137" s="154">
        <f t="shared" si="40"/>
        <v>3.6672384990400603E-3</v>
      </c>
      <c r="Q137" s="154">
        <f t="shared" si="40"/>
        <v>3.7381873345565825E-3</v>
      </c>
      <c r="R137" s="154">
        <f t="shared" si="40"/>
        <v>3.6672638312732053E-3</v>
      </c>
      <c r="S137" s="154">
        <f t="shared" si="40"/>
        <v>3.2122466573849266E-3</v>
      </c>
      <c r="T137" s="154">
        <f t="shared" si="40"/>
        <v>2.9552262886960697E-3</v>
      </c>
      <c r="U137" s="154">
        <f t="shared" si="40"/>
        <v>3.0343736463147651E-3</v>
      </c>
      <c r="V137" s="154">
        <f t="shared" si="40"/>
        <v>2.7940996698786087E-3</v>
      </c>
      <c r="W137" s="154">
        <f t="shared" si="42"/>
        <v>2.7181152785213459E-3</v>
      </c>
      <c r="X137" s="154">
        <f t="shared" si="42"/>
        <v>2.521827777568614E-3</v>
      </c>
      <c r="Y137" s="154">
        <f t="shared" si="42"/>
        <v>2.6101181343868834E-3</v>
      </c>
      <c r="DA137" s="212"/>
    </row>
    <row r="138" spans="1:105" ht="11.45" customHeight="1" x14ac:dyDescent="0.25">
      <c r="A138" s="155" t="s">
        <v>20</v>
      </c>
      <c r="B138" s="156">
        <f t="shared" si="40"/>
        <v>0.46227274538364199</v>
      </c>
      <c r="C138" s="156">
        <f t="shared" si="40"/>
        <v>0.4789013281523532</v>
      </c>
      <c r="D138" s="156">
        <f t="shared" si="40"/>
        <v>0.4748262523993067</v>
      </c>
      <c r="E138" s="156">
        <f t="shared" si="40"/>
        <v>0.46070754792052643</v>
      </c>
      <c r="F138" s="156">
        <f t="shared" si="40"/>
        <v>0.49034667274025806</v>
      </c>
      <c r="G138" s="156">
        <f t="shared" si="40"/>
        <v>0.50948316828392703</v>
      </c>
      <c r="H138" s="156">
        <f t="shared" si="40"/>
        <v>0.49241806553180395</v>
      </c>
      <c r="I138" s="156">
        <f t="shared" si="40"/>
        <v>0.51903198989101973</v>
      </c>
      <c r="J138" s="156">
        <f t="shared" si="40"/>
        <v>0.50692213908327899</v>
      </c>
      <c r="K138" s="156">
        <f t="shared" si="40"/>
        <v>0.52114543079460873</v>
      </c>
      <c r="L138" s="156">
        <f t="shared" si="41"/>
        <v>0.53043648780149866</v>
      </c>
      <c r="M138" s="156">
        <f t="shared" si="40"/>
        <v>0.53446684473179551</v>
      </c>
      <c r="N138" s="156">
        <f t="shared" si="40"/>
        <v>0.54495525700037761</v>
      </c>
      <c r="O138" s="156">
        <f t="shared" si="40"/>
        <v>0.52900789349859556</v>
      </c>
      <c r="P138" s="156">
        <f t="shared" si="40"/>
        <v>0.53370795240082936</v>
      </c>
      <c r="Q138" s="156">
        <f t="shared" si="40"/>
        <v>0.53130693171259835</v>
      </c>
      <c r="R138" s="156">
        <f t="shared" si="40"/>
        <v>0.53375812218272267</v>
      </c>
      <c r="S138" s="156">
        <f t="shared" si="40"/>
        <v>0.531395768014571</v>
      </c>
      <c r="T138" s="156">
        <f t="shared" si="40"/>
        <v>0.53815302958264388</v>
      </c>
      <c r="U138" s="156">
        <f t="shared" si="40"/>
        <v>0.53720264178729149</v>
      </c>
      <c r="V138" s="156">
        <f t="shared" si="40"/>
        <v>0.52199245400322347</v>
      </c>
      <c r="W138" s="156">
        <f t="shared" si="42"/>
        <v>0.52449749427235137</v>
      </c>
      <c r="X138" s="156">
        <f t="shared" si="42"/>
        <v>0.52705916362310268</v>
      </c>
      <c r="Y138" s="156">
        <f t="shared" si="42"/>
        <v>0.54162681734600127</v>
      </c>
      <c r="DA138" s="213"/>
    </row>
    <row r="139" spans="1:105" ht="11.45" customHeight="1" x14ac:dyDescent="0.25">
      <c r="A139" s="157" t="s">
        <v>110</v>
      </c>
      <c r="B139" s="103">
        <f t="shared" si="40"/>
        <v>0.39958477266381076</v>
      </c>
      <c r="C139" s="103">
        <f t="shared" si="40"/>
        <v>0.41148594507644487</v>
      </c>
      <c r="D139" s="103">
        <f t="shared" si="40"/>
        <v>0.39133068037105734</v>
      </c>
      <c r="E139" s="103">
        <f t="shared" si="40"/>
        <v>0.3689531922339101</v>
      </c>
      <c r="F139" s="103">
        <f t="shared" si="40"/>
        <v>0.36939292620425884</v>
      </c>
      <c r="G139" s="103">
        <f t="shared" si="40"/>
        <v>0.3580413312934041</v>
      </c>
      <c r="H139" s="103">
        <f t="shared" si="40"/>
        <v>0.31696727182010531</v>
      </c>
      <c r="I139" s="103">
        <f t="shared" si="40"/>
        <v>0.32076149989797115</v>
      </c>
      <c r="J139" s="103">
        <f t="shared" si="40"/>
        <v>0.28232075889749425</v>
      </c>
      <c r="K139" s="103">
        <f t="shared" si="40"/>
        <v>0.27344528378711458</v>
      </c>
      <c r="L139" s="103">
        <f t="shared" si="41"/>
        <v>0.27278164078543171</v>
      </c>
      <c r="M139" s="103">
        <f t="shared" si="40"/>
        <v>0.25144141449168278</v>
      </c>
      <c r="N139" s="103">
        <f t="shared" si="40"/>
        <v>0.2392549411310104</v>
      </c>
      <c r="O139" s="103">
        <f t="shared" si="40"/>
        <v>0.23354875875934727</v>
      </c>
      <c r="P139" s="103">
        <f t="shared" si="40"/>
        <v>0.24263906564298698</v>
      </c>
      <c r="Q139" s="103">
        <f t="shared" si="40"/>
        <v>0.22776278968259242</v>
      </c>
      <c r="R139" s="103">
        <f t="shared" si="40"/>
        <v>0.22177358838610967</v>
      </c>
      <c r="S139" s="103">
        <f t="shared" si="40"/>
        <v>0.20962035801853166</v>
      </c>
      <c r="T139" s="103">
        <f t="shared" si="40"/>
        <v>0.20133768223626647</v>
      </c>
      <c r="U139" s="103">
        <f t="shared" si="40"/>
        <v>0.19860838472540271</v>
      </c>
      <c r="V139" s="103">
        <f t="shared" si="40"/>
        <v>0.18933039933100362</v>
      </c>
      <c r="W139" s="103">
        <f t="shared" si="42"/>
        <v>0.19199601811527475</v>
      </c>
      <c r="X139" s="103">
        <f t="shared" si="42"/>
        <v>0.18160698107859791</v>
      </c>
      <c r="Y139" s="103">
        <f t="shared" si="42"/>
        <v>0.18048658227162565</v>
      </c>
      <c r="DA139" s="191"/>
    </row>
    <row r="140" spans="1:105" ht="11.45" customHeight="1" x14ac:dyDescent="0.25">
      <c r="A140" s="157" t="s">
        <v>111</v>
      </c>
      <c r="B140" s="103">
        <f t="shared" si="40"/>
        <v>6.2687972719831259E-2</v>
      </c>
      <c r="C140" s="103">
        <f t="shared" si="40"/>
        <v>6.7415383075908372E-2</v>
      </c>
      <c r="D140" s="103">
        <f t="shared" si="40"/>
        <v>8.2667243414532035E-2</v>
      </c>
      <c r="E140" s="103">
        <f t="shared" si="40"/>
        <v>8.9968404522798751E-2</v>
      </c>
      <c r="F140" s="103">
        <f t="shared" si="40"/>
        <v>0.1008386188566542</v>
      </c>
      <c r="G140" s="103">
        <f t="shared" si="40"/>
        <v>0.13888614338858865</v>
      </c>
      <c r="H140" s="103">
        <f t="shared" si="40"/>
        <v>0.1714401669736107</v>
      </c>
      <c r="I140" s="103">
        <f t="shared" si="40"/>
        <v>0.190268537507053</v>
      </c>
      <c r="J140" s="103">
        <f t="shared" si="40"/>
        <v>0.21496618464792649</v>
      </c>
      <c r="K140" s="103">
        <f t="shared" si="40"/>
        <v>0.23379934045953316</v>
      </c>
      <c r="L140" s="103">
        <f t="shared" si="41"/>
        <v>0.25396451816164434</v>
      </c>
      <c r="M140" s="103">
        <f t="shared" si="40"/>
        <v>0.26740364398646188</v>
      </c>
      <c r="N140" s="103">
        <f t="shared" si="40"/>
        <v>0.29536550245099646</v>
      </c>
      <c r="O140" s="103">
        <f t="shared" si="40"/>
        <v>0.28575773164606505</v>
      </c>
      <c r="P140" s="103">
        <f t="shared" si="40"/>
        <v>0.28073022263511554</v>
      </c>
      <c r="Q140" s="103">
        <f t="shared" si="40"/>
        <v>0.2924177618751746</v>
      </c>
      <c r="R140" s="103">
        <f t="shared" si="40"/>
        <v>0.2997049898665799</v>
      </c>
      <c r="S140" s="103">
        <f t="shared" si="40"/>
        <v>0.30784616028113287</v>
      </c>
      <c r="T140" s="103">
        <f t="shared" si="40"/>
        <v>0.32270921556962867</v>
      </c>
      <c r="U140" s="103">
        <f t="shared" si="40"/>
        <v>0.32400392224091551</v>
      </c>
      <c r="V140" s="103">
        <f t="shared" si="40"/>
        <v>0.31924780163243849</v>
      </c>
      <c r="W140" s="103">
        <f t="shared" si="42"/>
        <v>0.31966702455070101</v>
      </c>
      <c r="X140" s="103">
        <f t="shared" si="42"/>
        <v>0.33361080442072827</v>
      </c>
      <c r="Y140" s="103">
        <f t="shared" si="42"/>
        <v>0.34990964375842981</v>
      </c>
      <c r="DA140" s="191"/>
    </row>
    <row r="141" spans="1:105" ht="11.45" customHeight="1" x14ac:dyDescent="0.25">
      <c r="A141" s="157" t="s">
        <v>112</v>
      </c>
      <c r="B141" s="103">
        <f t="shared" si="40"/>
        <v>0</v>
      </c>
      <c r="C141" s="103">
        <f t="shared" si="40"/>
        <v>0</v>
      </c>
      <c r="D141" s="103">
        <f t="shared" si="40"/>
        <v>8.2832861371731202E-4</v>
      </c>
      <c r="E141" s="103">
        <f t="shared" si="40"/>
        <v>1.785951163817544E-3</v>
      </c>
      <c r="F141" s="103">
        <f t="shared" si="40"/>
        <v>2.0115127679345056E-2</v>
      </c>
      <c r="G141" s="103">
        <f t="shared" si="40"/>
        <v>1.255569360193432E-2</v>
      </c>
      <c r="H141" s="103">
        <f t="shared" si="40"/>
        <v>4.0106267380879473E-3</v>
      </c>
      <c r="I141" s="103">
        <f t="shared" si="40"/>
        <v>8.0019524859955404E-3</v>
      </c>
      <c r="J141" s="103">
        <f t="shared" si="40"/>
        <v>9.6351955378583092E-3</v>
      </c>
      <c r="K141" s="103">
        <f t="shared" si="40"/>
        <v>1.390080654796101E-2</v>
      </c>
      <c r="L141" s="103">
        <f t="shared" si="41"/>
        <v>3.690328854422571E-3</v>
      </c>
      <c r="M141" s="103">
        <f t="shared" si="40"/>
        <v>1.562178625365092E-2</v>
      </c>
      <c r="N141" s="103">
        <f t="shared" si="40"/>
        <v>1.0325392699495386E-2</v>
      </c>
      <c r="O141" s="103">
        <f t="shared" si="40"/>
        <v>9.6926042907900297E-3</v>
      </c>
      <c r="P141" s="103">
        <f t="shared" si="40"/>
        <v>1.0329174292591012E-2</v>
      </c>
      <c r="Q141" s="103">
        <f t="shared" si="40"/>
        <v>1.1116045222219307E-2</v>
      </c>
      <c r="R141" s="103">
        <f t="shared" si="40"/>
        <v>1.2274824843243869E-2</v>
      </c>
      <c r="S141" s="103">
        <f t="shared" si="40"/>
        <v>1.3919162461730996E-2</v>
      </c>
      <c r="T141" s="103">
        <f t="shared" si="40"/>
        <v>1.4090159281954309E-2</v>
      </c>
      <c r="U141" s="103">
        <f t="shared" si="40"/>
        <v>1.4568065255435331E-2</v>
      </c>
      <c r="V141" s="103">
        <f t="shared" si="40"/>
        <v>1.3368362650201738E-2</v>
      </c>
      <c r="W141" s="103">
        <f t="shared" si="42"/>
        <v>1.2735307060954687E-2</v>
      </c>
      <c r="X141" s="103">
        <f t="shared" si="42"/>
        <v>1.1687053133945656E-2</v>
      </c>
      <c r="Y141" s="103">
        <f t="shared" si="42"/>
        <v>1.096165023069662E-2</v>
      </c>
      <c r="DA141" s="191"/>
    </row>
    <row r="142" spans="1:105" ht="11.45" customHeight="1" x14ac:dyDescent="0.25">
      <c r="A142" s="157" t="s">
        <v>113</v>
      </c>
      <c r="B142" s="103">
        <f t="shared" si="40"/>
        <v>0</v>
      </c>
      <c r="C142" s="103">
        <f t="shared" si="40"/>
        <v>0</v>
      </c>
      <c r="D142" s="103">
        <f t="shared" si="40"/>
        <v>0</v>
      </c>
      <c r="E142" s="103">
        <f t="shared" si="40"/>
        <v>0</v>
      </c>
      <c r="F142" s="103">
        <f t="shared" si="40"/>
        <v>0</v>
      </c>
      <c r="G142" s="103">
        <f t="shared" si="40"/>
        <v>0</v>
      </c>
      <c r="H142" s="103">
        <f t="shared" si="40"/>
        <v>0</v>
      </c>
      <c r="I142" s="103">
        <f t="shared" si="40"/>
        <v>0</v>
      </c>
      <c r="J142" s="103">
        <f t="shared" si="40"/>
        <v>0</v>
      </c>
      <c r="K142" s="103">
        <f t="shared" si="40"/>
        <v>0</v>
      </c>
      <c r="L142" s="103">
        <f t="shared" si="41"/>
        <v>0</v>
      </c>
      <c r="M142" s="103">
        <f t="shared" si="40"/>
        <v>0</v>
      </c>
      <c r="N142" s="103">
        <f t="shared" si="40"/>
        <v>0</v>
      </c>
      <c r="O142" s="103">
        <f t="shared" si="40"/>
        <v>0</v>
      </c>
      <c r="P142" s="103">
        <f t="shared" si="40"/>
        <v>0</v>
      </c>
      <c r="Q142" s="103">
        <f t="shared" si="40"/>
        <v>0</v>
      </c>
      <c r="R142" s="103">
        <f t="shared" si="40"/>
        <v>0</v>
      </c>
      <c r="S142" s="103">
        <f t="shared" si="40"/>
        <v>0</v>
      </c>
      <c r="T142" s="103">
        <f t="shared" si="40"/>
        <v>0</v>
      </c>
      <c r="U142" s="103">
        <f t="shared" si="40"/>
        <v>0</v>
      </c>
      <c r="V142" s="103">
        <f t="shared" si="40"/>
        <v>0</v>
      </c>
      <c r="W142" s="103">
        <f t="shared" si="42"/>
        <v>0</v>
      </c>
      <c r="X142" s="103">
        <f t="shared" si="42"/>
        <v>0</v>
      </c>
      <c r="Y142" s="103">
        <f t="shared" si="42"/>
        <v>0</v>
      </c>
      <c r="DA142" s="191"/>
    </row>
    <row r="143" spans="1:105" ht="11.45" customHeight="1" x14ac:dyDescent="0.25">
      <c r="A143" s="157" t="s">
        <v>114</v>
      </c>
      <c r="B143" s="103">
        <f t="shared" si="40"/>
        <v>0</v>
      </c>
      <c r="C143" s="103">
        <f t="shared" si="40"/>
        <v>0</v>
      </c>
      <c r="D143" s="103">
        <f t="shared" si="40"/>
        <v>0</v>
      </c>
      <c r="E143" s="103">
        <f t="shared" si="40"/>
        <v>0</v>
      </c>
      <c r="F143" s="103">
        <f t="shared" si="40"/>
        <v>0</v>
      </c>
      <c r="G143" s="103">
        <f t="shared" si="40"/>
        <v>0</v>
      </c>
      <c r="H143" s="103">
        <f t="shared" si="40"/>
        <v>0</v>
      </c>
      <c r="I143" s="103">
        <f t="shared" si="40"/>
        <v>0</v>
      </c>
      <c r="J143" s="103">
        <f t="shared" si="40"/>
        <v>0</v>
      </c>
      <c r="K143" s="103">
        <f t="shared" si="40"/>
        <v>0</v>
      </c>
      <c r="L143" s="103">
        <f t="shared" si="41"/>
        <v>0</v>
      </c>
      <c r="M143" s="103">
        <f t="shared" si="40"/>
        <v>0</v>
      </c>
      <c r="N143" s="103">
        <f t="shared" si="40"/>
        <v>9.4207188753995016E-6</v>
      </c>
      <c r="O143" s="103">
        <f t="shared" si="40"/>
        <v>8.798802393227829E-6</v>
      </c>
      <c r="P143" s="103">
        <f t="shared" si="40"/>
        <v>9.4898301358022994E-6</v>
      </c>
      <c r="Q143" s="103">
        <f t="shared" si="40"/>
        <v>1.0334932611997995E-5</v>
      </c>
      <c r="R143" s="103">
        <f t="shared" si="40"/>
        <v>4.7190867892276254E-6</v>
      </c>
      <c r="S143" s="103">
        <f t="shared" si="40"/>
        <v>1.0087253175399458E-5</v>
      </c>
      <c r="T143" s="103">
        <f t="shared" si="40"/>
        <v>1.5972494794407851E-5</v>
      </c>
      <c r="U143" s="103">
        <f t="shared" si="40"/>
        <v>2.2269565537922861E-5</v>
      </c>
      <c r="V143" s="103">
        <f t="shared" si="40"/>
        <v>4.5890389579638619E-5</v>
      </c>
      <c r="W143" s="103">
        <f t="shared" si="42"/>
        <v>9.9144545420959304E-5</v>
      </c>
      <c r="X143" s="103">
        <f t="shared" si="42"/>
        <v>1.5432498983091516E-4</v>
      </c>
      <c r="Y143" s="103">
        <f t="shared" si="42"/>
        <v>2.6894108524917808E-4</v>
      </c>
      <c r="DA143" s="191"/>
    </row>
    <row r="144" spans="1:105" ht="11.45" customHeight="1" x14ac:dyDescent="0.25">
      <c r="A144" s="157" t="s">
        <v>115</v>
      </c>
      <c r="B144" s="103">
        <f t="shared" si="40"/>
        <v>0</v>
      </c>
      <c r="C144" s="103">
        <f t="shared" si="40"/>
        <v>0</v>
      </c>
      <c r="D144" s="103">
        <f t="shared" si="40"/>
        <v>0</v>
      </c>
      <c r="E144" s="103">
        <f t="shared" si="40"/>
        <v>0</v>
      </c>
      <c r="F144" s="103">
        <f t="shared" si="40"/>
        <v>0</v>
      </c>
      <c r="G144" s="103">
        <f t="shared" si="40"/>
        <v>0</v>
      </c>
      <c r="H144" s="103">
        <f t="shared" si="40"/>
        <v>0</v>
      </c>
      <c r="I144" s="103">
        <f t="shared" si="40"/>
        <v>0</v>
      </c>
      <c r="J144" s="103">
        <f t="shared" si="40"/>
        <v>0</v>
      </c>
      <c r="K144" s="103">
        <f t="shared" si="40"/>
        <v>0</v>
      </c>
      <c r="L144" s="103">
        <f t="shared" si="41"/>
        <v>0</v>
      </c>
      <c r="M144" s="103">
        <f t="shared" si="40"/>
        <v>0</v>
      </c>
      <c r="N144" s="103">
        <f t="shared" si="40"/>
        <v>0</v>
      </c>
      <c r="O144" s="103">
        <f t="shared" si="40"/>
        <v>0</v>
      </c>
      <c r="P144" s="103">
        <f t="shared" si="40"/>
        <v>0</v>
      </c>
      <c r="Q144" s="103">
        <f t="shared" si="40"/>
        <v>0</v>
      </c>
      <c r="R144" s="103">
        <f t="shared" si="40"/>
        <v>0</v>
      </c>
      <c r="S144" s="103">
        <f t="shared" si="40"/>
        <v>0</v>
      </c>
      <c r="T144" s="103">
        <f t="shared" si="40"/>
        <v>0</v>
      </c>
      <c r="U144" s="103">
        <f t="shared" si="40"/>
        <v>0</v>
      </c>
      <c r="V144" s="103">
        <f t="shared" si="40"/>
        <v>0</v>
      </c>
      <c r="W144" s="103">
        <f t="shared" si="42"/>
        <v>0</v>
      </c>
      <c r="X144" s="103">
        <f t="shared" si="42"/>
        <v>0</v>
      </c>
      <c r="Y144" s="103">
        <f t="shared" si="42"/>
        <v>0</v>
      </c>
      <c r="DA144" s="191"/>
    </row>
    <row r="145" spans="1:105" ht="11.45" customHeight="1" x14ac:dyDescent="0.25">
      <c r="A145" s="155" t="s">
        <v>21</v>
      </c>
      <c r="B145" s="156">
        <f t="shared" si="40"/>
        <v>0.18652237765527965</v>
      </c>
      <c r="C145" s="156">
        <f t="shared" si="40"/>
        <v>0.17049938203182724</v>
      </c>
      <c r="D145" s="156">
        <f t="shared" si="40"/>
        <v>0.15820762076046982</v>
      </c>
      <c r="E145" s="156">
        <f t="shared" si="40"/>
        <v>0.16421333258453621</v>
      </c>
      <c r="F145" s="156">
        <f t="shared" si="40"/>
        <v>0.16745358870029259</v>
      </c>
      <c r="G145" s="156">
        <f t="shared" si="40"/>
        <v>0.16383739831374033</v>
      </c>
      <c r="H145" s="156">
        <f t="shared" si="40"/>
        <v>0.14527512928221276</v>
      </c>
      <c r="I145" s="156">
        <f t="shared" si="40"/>
        <v>0.15768701084460582</v>
      </c>
      <c r="J145" s="156">
        <f t="shared" si="40"/>
        <v>0.1892399309793604</v>
      </c>
      <c r="K145" s="156">
        <f t="shared" si="40"/>
        <v>0.18725356111608446</v>
      </c>
      <c r="L145" s="156">
        <f t="shared" si="41"/>
        <v>0.20570991974541622</v>
      </c>
      <c r="M145" s="156">
        <f t="shared" si="40"/>
        <v>0.20019379929863546</v>
      </c>
      <c r="N145" s="156">
        <f t="shared" si="40"/>
        <v>0.19998111632917104</v>
      </c>
      <c r="O145" s="156">
        <f t="shared" si="40"/>
        <v>0.20720546697186171</v>
      </c>
      <c r="P145" s="156">
        <f t="shared" si="40"/>
        <v>0.20911741864543626</v>
      </c>
      <c r="Q145" s="156">
        <f t="shared" si="40"/>
        <v>0.21466175533061208</v>
      </c>
      <c r="R145" s="156">
        <f t="shared" si="40"/>
        <v>0.20952471086994856</v>
      </c>
      <c r="S145" s="156">
        <f t="shared" si="40"/>
        <v>0.20619105900877605</v>
      </c>
      <c r="T145" s="156">
        <f t="shared" si="40"/>
        <v>0.2039066187545229</v>
      </c>
      <c r="U145" s="156">
        <f t="shared" si="40"/>
        <v>0.19885243694196666</v>
      </c>
      <c r="V145" s="156">
        <f t="shared" si="40"/>
        <v>0.21058112355570477</v>
      </c>
      <c r="W145" s="156">
        <f t="shared" si="42"/>
        <v>0.20374187641170918</v>
      </c>
      <c r="X145" s="156">
        <f t="shared" si="42"/>
        <v>0.19374431213134874</v>
      </c>
      <c r="Y145" s="156">
        <f t="shared" si="42"/>
        <v>0.18685733467733392</v>
      </c>
      <c r="DA145" s="213"/>
    </row>
    <row r="146" spans="1:105" ht="11.45" customHeight="1" x14ac:dyDescent="0.25">
      <c r="A146" s="157" t="s">
        <v>110</v>
      </c>
      <c r="B146" s="103">
        <f t="shared" si="40"/>
        <v>0</v>
      </c>
      <c r="C146" s="103">
        <f t="shared" si="40"/>
        <v>0</v>
      </c>
      <c r="D146" s="103">
        <f t="shared" si="40"/>
        <v>0</v>
      </c>
      <c r="E146" s="103">
        <f t="shared" si="40"/>
        <v>0</v>
      </c>
      <c r="F146" s="103">
        <f t="shared" si="40"/>
        <v>0</v>
      </c>
      <c r="G146" s="103">
        <f t="shared" si="40"/>
        <v>0</v>
      </c>
      <c r="H146" s="103">
        <f t="shared" si="40"/>
        <v>0</v>
      </c>
      <c r="I146" s="103">
        <f t="shared" si="40"/>
        <v>0</v>
      </c>
      <c r="J146" s="103">
        <f t="shared" si="40"/>
        <v>1.9207769038487231E-4</v>
      </c>
      <c r="K146" s="103">
        <f t="shared" si="40"/>
        <v>1.8794779811533713E-4</v>
      </c>
      <c r="L146" s="103">
        <f t="shared" si="41"/>
        <v>1.9378038314319908E-4</v>
      </c>
      <c r="M146" s="103">
        <f t="shared" si="40"/>
        <v>1.8984731549902565E-4</v>
      </c>
      <c r="N146" s="103">
        <f t="shared" si="40"/>
        <v>1.7574570717969709E-4</v>
      </c>
      <c r="O146" s="103">
        <f t="shared" si="40"/>
        <v>1.7568921676516935E-4</v>
      </c>
      <c r="P146" s="103">
        <f t="shared" si="40"/>
        <v>1.6698066696765659E-4</v>
      </c>
      <c r="Q146" s="103">
        <f t="shared" si="40"/>
        <v>1.4859400414743708E-4</v>
      </c>
      <c r="R146" s="103">
        <f t="shared" si="40"/>
        <v>1.338370834779562E-4</v>
      </c>
      <c r="S146" s="103">
        <f t="shared" si="40"/>
        <v>1.2004670629583148E-4</v>
      </c>
      <c r="T146" s="103">
        <f t="shared" si="40"/>
        <v>1.1017000243803459E-4</v>
      </c>
      <c r="U146" s="103">
        <f t="shared" si="40"/>
        <v>1.0410133166833147E-4</v>
      </c>
      <c r="V146" s="103">
        <f t="shared" si="40"/>
        <v>1.0984308770064222E-4</v>
      </c>
      <c r="W146" s="103">
        <f t="shared" si="42"/>
        <v>1.0408725499642275E-4</v>
      </c>
      <c r="X146" s="103">
        <f t="shared" si="42"/>
        <v>1.0051346560430928E-4</v>
      </c>
      <c r="Y146" s="103">
        <f t="shared" si="42"/>
        <v>9.7034591262719875E-5</v>
      </c>
      <c r="DA146" s="191"/>
    </row>
    <row r="147" spans="1:105" ht="11.45" customHeight="1" x14ac:dyDescent="0.25">
      <c r="A147" s="157" t="s">
        <v>111</v>
      </c>
      <c r="B147" s="103">
        <f t="shared" si="40"/>
        <v>0.18652237765527965</v>
      </c>
      <c r="C147" s="103">
        <f t="shared" si="40"/>
        <v>0.17049938203182724</v>
      </c>
      <c r="D147" s="103">
        <f t="shared" si="40"/>
        <v>0.15820762076046982</v>
      </c>
      <c r="E147" s="103">
        <f t="shared" si="40"/>
        <v>0.16421333258453621</v>
      </c>
      <c r="F147" s="103">
        <f t="shared" si="40"/>
        <v>0.16745358870029259</v>
      </c>
      <c r="G147" s="103">
        <f t="shared" si="40"/>
        <v>0.16383739831374033</v>
      </c>
      <c r="H147" s="103">
        <f t="shared" si="40"/>
        <v>0.14527512928221276</v>
      </c>
      <c r="I147" s="103">
        <f t="shared" si="40"/>
        <v>0.15768701084460582</v>
      </c>
      <c r="J147" s="103">
        <f t="shared" si="40"/>
        <v>0.18898218187849619</v>
      </c>
      <c r="K147" s="103">
        <f t="shared" si="40"/>
        <v>0.18699166676141663</v>
      </c>
      <c r="L147" s="103">
        <f t="shared" si="41"/>
        <v>0.20534613190093468</v>
      </c>
      <c r="M147" s="103">
        <f t="shared" si="40"/>
        <v>0.19979825765488468</v>
      </c>
      <c r="N147" s="103">
        <f t="shared" si="40"/>
        <v>0.19960575099892788</v>
      </c>
      <c r="O147" s="103">
        <f t="shared" si="40"/>
        <v>0.20681641451912758</v>
      </c>
      <c r="P147" s="103">
        <f t="shared" si="40"/>
        <v>0.20874426466136189</v>
      </c>
      <c r="Q147" s="103">
        <f t="shared" si="40"/>
        <v>0.21432053370043469</v>
      </c>
      <c r="R147" s="103">
        <f t="shared" ref="R147:V147" si="43">IF(R29=0,0,R29/R$17)</f>
        <v>0.20922615213150603</v>
      </c>
      <c r="S147" s="103">
        <f t="shared" si="43"/>
        <v>0.2059195460897387</v>
      </c>
      <c r="T147" s="103">
        <f t="shared" si="43"/>
        <v>0.20370440956549318</v>
      </c>
      <c r="U147" s="103">
        <f t="shared" si="43"/>
        <v>0.19866262769049642</v>
      </c>
      <c r="V147" s="103">
        <f t="shared" si="43"/>
        <v>0.21038360129336586</v>
      </c>
      <c r="W147" s="103">
        <f t="shared" ref="W147:Y147" si="44">IF(W29=0,0,W29/W$17)</f>
        <v>0.20355452771872284</v>
      </c>
      <c r="X147" s="103">
        <f t="shared" si="44"/>
        <v>0.19361533483263879</v>
      </c>
      <c r="Y147" s="103">
        <f t="shared" si="44"/>
        <v>0.18673942551208039</v>
      </c>
      <c r="DA147" s="191"/>
    </row>
    <row r="148" spans="1:105" ht="11.45" customHeight="1" x14ac:dyDescent="0.25">
      <c r="A148" s="157" t="s">
        <v>112</v>
      </c>
      <c r="B148" s="103">
        <f t="shared" ref="B148:K148" si="45">IF(B30=0,0,B30/B$17)</f>
        <v>0</v>
      </c>
      <c r="C148" s="103">
        <f t="shared" si="45"/>
        <v>0</v>
      </c>
      <c r="D148" s="103">
        <f t="shared" si="45"/>
        <v>0</v>
      </c>
      <c r="E148" s="103">
        <f t="shared" si="45"/>
        <v>0</v>
      </c>
      <c r="F148" s="103">
        <f t="shared" si="45"/>
        <v>0</v>
      </c>
      <c r="G148" s="103">
        <f t="shared" si="45"/>
        <v>0</v>
      </c>
      <c r="H148" s="103">
        <f t="shared" si="45"/>
        <v>0</v>
      </c>
      <c r="I148" s="103">
        <f t="shared" si="45"/>
        <v>0</v>
      </c>
      <c r="J148" s="103">
        <f t="shared" si="45"/>
        <v>6.5671410479344825E-5</v>
      </c>
      <c r="K148" s="103">
        <f t="shared" si="45"/>
        <v>7.3946556552499534E-5</v>
      </c>
      <c r="L148" s="103">
        <f t="shared" ref="L148:L150" si="46">IF(L30=0,0,L30/L$17)</f>
        <v>1.7000746133834073E-4</v>
      </c>
      <c r="M148" s="103">
        <f t="shared" ref="M148:V148" si="47">IF(M30=0,0,M30/M$17)</f>
        <v>2.0569432825174973E-4</v>
      </c>
      <c r="N148" s="103">
        <f t="shared" si="47"/>
        <v>1.9961962306347156E-4</v>
      </c>
      <c r="O148" s="103">
        <f t="shared" si="47"/>
        <v>2.1336323596897569E-4</v>
      </c>
      <c r="P148" s="103">
        <f t="shared" si="47"/>
        <v>2.061733171067405E-4</v>
      </c>
      <c r="Q148" s="103">
        <f t="shared" si="47"/>
        <v>1.926276260299339E-4</v>
      </c>
      <c r="R148" s="103">
        <f t="shared" si="47"/>
        <v>1.6472165496456844E-4</v>
      </c>
      <c r="S148" s="103">
        <f t="shared" si="47"/>
        <v>1.5146621274149679E-4</v>
      </c>
      <c r="T148" s="103">
        <f t="shared" si="47"/>
        <v>9.2039186591700022E-5</v>
      </c>
      <c r="U148" s="103">
        <f t="shared" si="47"/>
        <v>8.5707919801896471E-5</v>
      </c>
      <c r="V148" s="103">
        <f t="shared" si="47"/>
        <v>8.7679174638237613E-5</v>
      </c>
      <c r="W148" s="103">
        <f t="shared" ref="W148:Y148" si="48">IF(W30=0,0,W30/W$17)</f>
        <v>8.3261437989906457E-5</v>
      </c>
      <c r="X148" s="103">
        <f t="shared" si="48"/>
        <v>2.8463833105625341E-5</v>
      </c>
      <c r="Y148" s="103">
        <f t="shared" si="48"/>
        <v>2.0874573990805729E-5</v>
      </c>
      <c r="DA148" s="191"/>
    </row>
    <row r="149" spans="1:105" ht="11.45" customHeight="1" x14ac:dyDescent="0.25">
      <c r="A149" s="157" t="s">
        <v>113</v>
      </c>
      <c r="B149" s="103">
        <f t="shared" ref="B149:K149" si="49">IF(B31=0,0,B31/B$17)</f>
        <v>0</v>
      </c>
      <c r="C149" s="103">
        <f t="shared" si="49"/>
        <v>0</v>
      </c>
      <c r="D149" s="103">
        <f t="shared" si="49"/>
        <v>0</v>
      </c>
      <c r="E149" s="103">
        <f t="shared" si="49"/>
        <v>0</v>
      </c>
      <c r="F149" s="103">
        <f t="shared" si="49"/>
        <v>0</v>
      </c>
      <c r="G149" s="103">
        <f t="shared" si="49"/>
        <v>0</v>
      </c>
      <c r="H149" s="103">
        <f t="shared" si="49"/>
        <v>0</v>
      </c>
      <c r="I149" s="103">
        <f t="shared" si="49"/>
        <v>0</v>
      </c>
      <c r="J149" s="103">
        <f t="shared" si="49"/>
        <v>0</v>
      </c>
      <c r="K149" s="103">
        <f t="shared" si="49"/>
        <v>0</v>
      </c>
      <c r="L149" s="103">
        <f t="shared" si="46"/>
        <v>0</v>
      </c>
      <c r="M149" s="103">
        <f t="shared" ref="M149:V149" si="50">IF(M31=0,0,M31/M$17)</f>
        <v>0</v>
      </c>
      <c r="N149" s="103">
        <f t="shared" si="50"/>
        <v>0</v>
      </c>
      <c r="O149" s="103">
        <f t="shared" si="50"/>
        <v>0</v>
      </c>
      <c r="P149" s="103">
        <f t="shared" si="50"/>
        <v>0</v>
      </c>
      <c r="Q149" s="103">
        <f t="shared" si="50"/>
        <v>0</v>
      </c>
      <c r="R149" s="103">
        <f t="shared" si="50"/>
        <v>0</v>
      </c>
      <c r="S149" s="103">
        <f t="shared" si="50"/>
        <v>0</v>
      </c>
      <c r="T149" s="103">
        <f t="shared" si="50"/>
        <v>0</v>
      </c>
      <c r="U149" s="103">
        <f t="shared" si="50"/>
        <v>0</v>
      </c>
      <c r="V149" s="103">
        <f t="shared" si="50"/>
        <v>0</v>
      </c>
      <c r="W149" s="103">
        <f t="shared" ref="W149:Y149" si="51">IF(W31=0,0,W31/W$17)</f>
        <v>0</v>
      </c>
      <c r="X149" s="103">
        <f t="shared" si="51"/>
        <v>0</v>
      </c>
      <c r="Y149" s="103">
        <f t="shared" si="51"/>
        <v>0</v>
      </c>
      <c r="DA149" s="191"/>
    </row>
    <row r="150" spans="1:105" ht="11.45" customHeight="1" x14ac:dyDescent="0.25">
      <c r="A150" s="157" t="s">
        <v>115</v>
      </c>
      <c r="B150" s="103">
        <f t="shared" ref="B150:K150" si="52">IF(B32=0,0,B32/B$17)</f>
        <v>0</v>
      </c>
      <c r="C150" s="103">
        <f t="shared" si="52"/>
        <v>0</v>
      </c>
      <c r="D150" s="103">
        <f t="shared" si="52"/>
        <v>0</v>
      </c>
      <c r="E150" s="103">
        <f t="shared" si="52"/>
        <v>0</v>
      </c>
      <c r="F150" s="103">
        <f t="shared" si="52"/>
        <v>0</v>
      </c>
      <c r="G150" s="103">
        <f t="shared" si="52"/>
        <v>0</v>
      </c>
      <c r="H150" s="103">
        <f t="shared" si="52"/>
        <v>0</v>
      </c>
      <c r="I150" s="103">
        <f t="shared" si="52"/>
        <v>0</v>
      </c>
      <c r="J150" s="103">
        <f t="shared" si="52"/>
        <v>0</v>
      </c>
      <c r="K150" s="103">
        <f t="shared" si="52"/>
        <v>0</v>
      </c>
      <c r="L150" s="103">
        <f t="shared" si="46"/>
        <v>0</v>
      </c>
      <c r="M150" s="103">
        <f t="shared" ref="M150:V150" si="53">IF(M32=0,0,M32/M$17)</f>
        <v>0</v>
      </c>
      <c r="N150" s="103">
        <f t="shared" si="53"/>
        <v>0</v>
      </c>
      <c r="O150" s="103">
        <f t="shared" si="53"/>
        <v>0</v>
      </c>
      <c r="P150" s="103">
        <f t="shared" si="53"/>
        <v>0</v>
      </c>
      <c r="Q150" s="103">
        <f t="shared" si="53"/>
        <v>0</v>
      </c>
      <c r="R150" s="103">
        <f t="shared" si="53"/>
        <v>0</v>
      </c>
      <c r="S150" s="103">
        <f t="shared" si="53"/>
        <v>0</v>
      </c>
      <c r="T150" s="103">
        <f t="shared" si="53"/>
        <v>0</v>
      </c>
      <c r="U150" s="103">
        <f t="shared" si="53"/>
        <v>0</v>
      </c>
      <c r="V150" s="103">
        <f t="shared" si="53"/>
        <v>0</v>
      </c>
      <c r="W150" s="103">
        <f t="shared" ref="W150:Y150" si="54">IF(W32=0,0,W32/W$17)</f>
        <v>0</v>
      </c>
      <c r="X150" s="103">
        <f t="shared" si="54"/>
        <v>0</v>
      </c>
      <c r="Y150" s="103">
        <f t="shared" si="54"/>
        <v>0</v>
      </c>
      <c r="DA150" s="191"/>
    </row>
    <row r="151" spans="1:105" ht="11.45" customHeight="1" x14ac:dyDescent="0.25">
      <c r="A151" s="27" t="s">
        <v>34</v>
      </c>
      <c r="B151" s="46">
        <f t="shared" ref="B151:K151" si="55">IF(B33=0,0,B33/B$17)</f>
        <v>0.34721030212230364</v>
      </c>
      <c r="C151" s="46">
        <f t="shared" si="55"/>
        <v>0.34751446556974586</v>
      </c>
      <c r="D151" s="46">
        <f t="shared" si="55"/>
        <v>0.36398276891896642</v>
      </c>
      <c r="E151" s="46">
        <f t="shared" si="55"/>
        <v>0.37231087675236135</v>
      </c>
      <c r="F151" s="46">
        <f t="shared" si="55"/>
        <v>0.33951760769245987</v>
      </c>
      <c r="G151" s="46">
        <f t="shared" si="55"/>
        <v>0.32398650248979022</v>
      </c>
      <c r="H151" s="46">
        <f t="shared" si="55"/>
        <v>0.35953504720513862</v>
      </c>
      <c r="I151" s="46">
        <f t="shared" si="55"/>
        <v>0.32034132442383584</v>
      </c>
      <c r="J151" s="46">
        <f t="shared" si="55"/>
        <v>0.30074926899459203</v>
      </c>
      <c r="K151" s="46">
        <f t="shared" si="55"/>
        <v>0.28839074133515546</v>
      </c>
      <c r="L151" s="46">
        <f t="shared" ref="L151" si="56">IF(L33=0,0,L33/L$17)</f>
        <v>0.26043709466701531</v>
      </c>
      <c r="M151" s="46">
        <f t="shared" ref="M151:V151" si="57">IF(M33=0,0,M33/M$17)</f>
        <v>0.26189383787983722</v>
      </c>
      <c r="N151" s="46">
        <f t="shared" si="57"/>
        <v>0.25167846112243525</v>
      </c>
      <c r="O151" s="46">
        <f t="shared" si="57"/>
        <v>0.26013783633078547</v>
      </c>
      <c r="P151" s="46">
        <f t="shared" si="57"/>
        <v>0.25350739045469428</v>
      </c>
      <c r="Q151" s="46">
        <f t="shared" si="57"/>
        <v>0.2502931256222331</v>
      </c>
      <c r="R151" s="46">
        <f t="shared" si="57"/>
        <v>0.25304990311605557</v>
      </c>
      <c r="S151" s="46">
        <f t="shared" si="57"/>
        <v>0.25920092631926794</v>
      </c>
      <c r="T151" s="46">
        <f t="shared" si="57"/>
        <v>0.25498512537413709</v>
      </c>
      <c r="U151" s="46">
        <f t="shared" si="57"/>
        <v>0.26091054762442717</v>
      </c>
      <c r="V151" s="46">
        <f t="shared" si="57"/>
        <v>0.26463232277119314</v>
      </c>
      <c r="W151" s="46">
        <f t="shared" ref="W151:Y151" si="58">IF(W33=0,0,W33/W$17)</f>
        <v>0.26904251403741808</v>
      </c>
      <c r="X151" s="46">
        <f t="shared" si="58"/>
        <v>0.2766746964679801</v>
      </c>
      <c r="Y151" s="46">
        <f t="shared" si="58"/>
        <v>0.26890572984227801</v>
      </c>
      <c r="DA151" s="211"/>
    </row>
    <row r="152" spans="1:105" ht="11.45" customHeight="1" x14ac:dyDescent="0.25">
      <c r="A152" s="153" t="s">
        <v>153</v>
      </c>
      <c r="B152" s="154">
        <f t="shared" ref="B152:K152" si="59">IF(B34=0,0,B34/B$17)</f>
        <v>0.15183632164655497</v>
      </c>
      <c r="C152" s="154">
        <f t="shared" si="59"/>
        <v>0.12381867686156571</v>
      </c>
      <c r="D152" s="154">
        <f t="shared" si="59"/>
        <v>0.12303453293928134</v>
      </c>
      <c r="E152" s="154">
        <f t="shared" si="59"/>
        <v>0.11759669770527033</v>
      </c>
      <c r="F152" s="154">
        <f t="shared" si="59"/>
        <v>0.11423216087129384</v>
      </c>
      <c r="G152" s="154">
        <f t="shared" si="59"/>
        <v>0.12550772030679011</v>
      </c>
      <c r="H152" s="154">
        <f t="shared" si="59"/>
        <v>0.13321224877660912</v>
      </c>
      <c r="I152" s="154">
        <f t="shared" si="59"/>
        <v>0.13473568957847862</v>
      </c>
      <c r="J152" s="154">
        <f t="shared" si="59"/>
        <v>0.1340496155253377</v>
      </c>
      <c r="K152" s="154">
        <f t="shared" si="59"/>
        <v>0.13251471303971932</v>
      </c>
      <c r="L152" s="154">
        <f t="shared" ref="L152" si="60">IF(L34=0,0,L34/L$17)</f>
        <v>0.14086374123346426</v>
      </c>
      <c r="M152" s="154">
        <f t="shared" ref="M152:V152" si="61">IF(M34=0,0,M34/M$17)</f>
        <v>0.14197244289904395</v>
      </c>
      <c r="N152" s="154">
        <f t="shared" si="61"/>
        <v>0.14588631661246651</v>
      </c>
      <c r="O152" s="154">
        <f t="shared" si="61"/>
        <v>0.15277562412802043</v>
      </c>
      <c r="P152" s="154">
        <f t="shared" si="61"/>
        <v>0.1579533178144728</v>
      </c>
      <c r="Q152" s="154">
        <f t="shared" si="61"/>
        <v>0.16271288443539209</v>
      </c>
      <c r="R152" s="154">
        <f t="shared" si="61"/>
        <v>0.15622154158000176</v>
      </c>
      <c r="S152" s="154">
        <f t="shared" si="61"/>
        <v>0.15495894343290298</v>
      </c>
      <c r="T152" s="154">
        <f t="shared" si="61"/>
        <v>0.15987726165846383</v>
      </c>
      <c r="U152" s="154">
        <f t="shared" si="61"/>
        <v>0.16044499629975398</v>
      </c>
      <c r="V152" s="154">
        <f t="shared" si="61"/>
        <v>0.16712983942730239</v>
      </c>
      <c r="W152" s="154">
        <f t="shared" ref="W152:Y152" si="62">IF(W34=0,0,W34/W$17)</f>
        <v>0.16540621587670984</v>
      </c>
      <c r="X152" s="154">
        <f t="shared" si="62"/>
        <v>0.15732477682501131</v>
      </c>
      <c r="Y152" s="154">
        <f t="shared" si="62"/>
        <v>0.15169213056651407</v>
      </c>
      <c r="DA152" s="212"/>
    </row>
    <row r="153" spans="1:105" ht="11.45" customHeight="1" x14ac:dyDescent="0.25">
      <c r="A153" s="157" t="s">
        <v>110</v>
      </c>
      <c r="B153" s="103">
        <f t="shared" ref="B153:K153" si="63">IF(B35=0,0,B35/B$17)</f>
        <v>6.0153567652261611E-2</v>
      </c>
      <c r="C153" s="103">
        <f t="shared" si="63"/>
        <v>4.6401439254005888E-2</v>
      </c>
      <c r="D153" s="103">
        <f t="shared" si="63"/>
        <v>4.4217212096802419E-2</v>
      </c>
      <c r="E153" s="103">
        <f t="shared" si="63"/>
        <v>4.0339587704102384E-2</v>
      </c>
      <c r="F153" s="103">
        <f t="shared" si="63"/>
        <v>3.8479124271245557E-2</v>
      </c>
      <c r="G153" s="103">
        <f t="shared" si="63"/>
        <v>3.9541229310936385E-2</v>
      </c>
      <c r="H153" s="103">
        <f t="shared" si="63"/>
        <v>3.917718216088581E-2</v>
      </c>
      <c r="I153" s="103">
        <f t="shared" si="63"/>
        <v>3.8989109550331531E-2</v>
      </c>
      <c r="J153" s="103">
        <f t="shared" si="63"/>
        <v>3.346816148875939E-2</v>
      </c>
      <c r="K153" s="103">
        <f t="shared" si="63"/>
        <v>3.1285761090763572E-2</v>
      </c>
      <c r="L153" s="103">
        <f t="shared" ref="L153" si="64">IF(L35=0,0,L35/L$17)</f>
        <v>3.00093390173382E-2</v>
      </c>
      <c r="M153" s="103">
        <f t="shared" ref="M153:V153" si="65">IF(M35=0,0,M35/M$17)</f>
        <v>2.7544505839750287E-2</v>
      </c>
      <c r="N153" s="103">
        <f t="shared" si="65"/>
        <v>2.4929428835925221E-2</v>
      </c>
      <c r="O153" s="103">
        <f t="shared" si="65"/>
        <v>2.3499970032035123E-2</v>
      </c>
      <c r="P153" s="103">
        <f t="shared" si="65"/>
        <v>2.0798078635004994E-2</v>
      </c>
      <c r="Q153" s="103">
        <f t="shared" si="65"/>
        <v>1.7614969540755521E-2</v>
      </c>
      <c r="R153" s="103">
        <f t="shared" si="65"/>
        <v>1.6887335140768983E-2</v>
      </c>
      <c r="S153" s="103">
        <f t="shared" si="65"/>
        <v>1.5663917410113939E-2</v>
      </c>
      <c r="T153" s="103">
        <f t="shared" si="65"/>
        <v>1.5041919200013951E-2</v>
      </c>
      <c r="U153" s="103">
        <f t="shared" si="65"/>
        <v>1.4039182212467746E-2</v>
      </c>
      <c r="V153" s="103">
        <f t="shared" si="65"/>
        <v>1.3902311618336192E-2</v>
      </c>
      <c r="W153" s="103">
        <f t="shared" ref="W153:Y153" si="66">IF(W35=0,0,W35/W$17)</f>
        <v>1.255710506616476E-2</v>
      </c>
      <c r="X153" s="103">
        <f t="shared" si="66"/>
        <v>1.1004704983395968E-2</v>
      </c>
      <c r="Y153" s="103">
        <f t="shared" si="66"/>
        <v>1.0250054717142798E-2</v>
      </c>
      <c r="DA153" s="191"/>
    </row>
    <row r="154" spans="1:105" ht="11.45" customHeight="1" x14ac:dyDescent="0.25">
      <c r="A154" s="157" t="s">
        <v>111</v>
      </c>
      <c r="B154" s="103">
        <f t="shared" ref="B154:K154" si="67">IF(B36=0,0,B36/B$17)</f>
        <v>9.1682753994293362E-2</v>
      </c>
      <c r="C154" s="103">
        <f t="shared" si="67"/>
        <v>7.7417237607559822E-2</v>
      </c>
      <c r="D154" s="103">
        <f t="shared" si="67"/>
        <v>7.8817320842478916E-2</v>
      </c>
      <c r="E154" s="103">
        <f t="shared" si="67"/>
        <v>7.7257110001167931E-2</v>
      </c>
      <c r="F154" s="103">
        <f t="shared" si="67"/>
        <v>7.5753036600048285E-2</v>
      </c>
      <c r="G154" s="103">
        <f t="shared" si="67"/>
        <v>8.5966490995853725E-2</v>
      </c>
      <c r="H154" s="103">
        <f t="shared" si="67"/>
        <v>9.4035066615723306E-2</v>
      </c>
      <c r="I154" s="103">
        <f t="shared" si="67"/>
        <v>9.574658002814708E-2</v>
      </c>
      <c r="J154" s="103">
        <f t="shared" si="67"/>
        <v>0.10058082621438284</v>
      </c>
      <c r="K154" s="103">
        <f t="shared" si="67"/>
        <v>0.10122834220167926</v>
      </c>
      <c r="L154" s="103">
        <f t="shared" ref="L154" si="68">IF(L36=0,0,L36/L$17)</f>
        <v>0.11085376112067308</v>
      </c>
      <c r="M154" s="103">
        <f t="shared" ref="M154:V154" si="69">IF(M36=0,0,M36/M$17)</f>
        <v>0.11442674007292437</v>
      </c>
      <c r="N154" s="103">
        <f t="shared" si="69"/>
        <v>0.1209541560326252</v>
      </c>
      <c r="O154" s="103">
        <f t="shared" si="69"/>
        <v>0.12927286645186034</v>
      </c>
      <c r="P154" s="103">
        <f t="shared" si="69"/>
        <v>0.13715227956480913</v>
      </c>
      <c r="Q154" s="103">
        <f t="shared" si="69"/>
        <v>0.14509554879136327</v>
      </c>
      <c r="R154" s="103">
        <f t="shared" si="69"/>
        <v>0.13933170745906806</v>
      </c>
      <c r="S154" s="103">
        <f t="shared" si="69"/>
        <v>0.13929266300716275</v>
      </c>
      <c r="T154" s="103">
        <f t="shared" si="69"/>
        <v>0.14483325132405706</v>
      </c>
      <c r="U154" s="103">
        <f t="shared" si="69"/>
        <v>0.14640376558675205</v>
      </c>
      <c r="V154" s="103">
        <f t="shared" si="69"/>
        <v>0.15322565586526196</v>
      </c>
      <c r="W154" s="103">
        <f t="shared" ref="W154:Y154" si="70">IF(W36=0,0,W36/W$17)</f>
        <v>0.15284689877263283</v>
      </c>
      <c r="X154" s="103">
        <f t="shared" si="70"/>
        <v>0.1463158859116967</v>
      </c>
      <c r="Y154" s="103">
        <f t="shared" si="70"/>
        <v>0.14143653852607502</v>
      </c>
      <c r="DA154" s="191"/>
    </row>
    <row r="155" spans="1:105" ht="11.45" customHeight="1" x14ac:dyDescent="0.25">
      <c r="A155" s="157" t="s">
        <v>112</v>
      </c>
      <c r="B155" s="103">
        <f t="shared" ref="B155:K155" si="71">IF(B37=0,0,B37/B$17)</f>
        <v>0</v>
      </c>
      <c r="C155" s="103">
        <f t="shared" si="71"/>
        <v>0</v>
      </c>
      <c r="D155" s="103">
        <f t="shared" si="71"/>
        <v>0</v>
      </c>
      <c r="E155" s="103">
        <f t="shared" si="71"/>
        <v>0</v>
      </c>
      <c r="F155" s="103">
        <f t="shared" si="71"/>
        <v>0</v>
      </c>
      <c r="G155" s="103">
        <f t="shared" si="71"/>
        <v>0</v>
      </c>
      <c r="H155" s="103">
        <f t="shared" si="71"/>
        <v>0</v>
      </c>
      <c r="I155" s="103">
        <f t="shared" si="71"/>
        <v>0</v>
      </c>
      <c r="J155" s="103">
        <f t="shared" si="71"/>
        <v>6.2782219546455288E-7</v>
      </c>
      <c r="K155" s="103">
        <f t="shared" si="71"/>
        <v>6.0974727647299604E-7</v>
      </c>
      <c r="L155" s="103">
        <f t="shared" ref="L155" si="72">IF(L37=0,0,L37/L$17)</f>
        <v>6.41095452979352E-7</v>
      </c>
      <c r="M155" s="103">
        <f t="shared" ref="M155:V155" si="73">IF(M37=0,0,M37/M$17)</f>
        <v>1.1969863692873249E-6</v>
      </c>
      <c r="N155" s="103">
        <f t="shared" si="73"/>
        <v>2.7317439160995277E-6</v>
      </c>
      <c r="O155" s="103">
        <f t="shared" si="73"/>
        <v>2.7876441249551234E-6</v>
      </c>
      <c r="P155" s="103">
        <f t="shared" si="73"/>
        <v>2.9596146586964288E-6</v>
      </c>
      <c r="Q155" s="103">
        <f t="shared" si="73"/>
        <v>2.366103273297115E-6</v>
      </c>
      <c r="R155" s="103">
        <f t="shared" si="73"/>
        <v>2.4989801647072286E-6</v>
      </c>
      <c r="S155" s="103">
        <f t="shared" si="73"/>
        <v>2.363015626259219E-6</v>
      </c>
      <c r="T155" s="103">
        <f t="shared" si="73"/>
        <v>2.0911343928149274E-6</v>
      </c>
      <c r="U155" s="103">
        <f t="shared" si="73"/>
        <v>2.0485005341927118E-6</v>
      </c>
      <c r="V155" s="103">
        <f t="shared" si="73"/>
        <v>1.8719437042488102E-6</v>
      </c>
      <c r="W155" s="103">
        <f t="shared" ref="W155:Y155" si="74">IF(W37=0,0,W37/W$17)</f>
        <v>2.2120379122586437E-6</v>
      </c>
      <c r="X155" s="103">
        <f t="shared" si="74"/>
        <v>4.1859299186517532E-6</v>
      </c>
      <c r="Y155" s="103">
        <f t="shared" si="74"/>
        <v>5.5373232962767283E-6</v>
      </c>
      <c r="DA155" s="191"/>
    </row>
    <row r="156" spans="1:105" ht="11.45" customHeight="1" x14ac:dyDescent="0.25">
      <c r="A156" s="157" t="s">
        <v>113</v>
      </c>
      <c r="B156" s="103">
        <f t="shared" ref="B156:K156" si="75">IF(B38=0,0,B38/B$17)</f>
        <v>0</v>
      </c>
      <c r="C156" s="103">
        <f t="shared" si="75"/>
        <v>0</v>
      </c>
      <c r="D156" s="103">
        <f t="shared" si="75"/>
        <v>0</v>
      </c>
      <c r="E156" s="103">
        <f t="shared" si="75"/>
        <v>0</v>
      </c>
      <c r="F156" s="103">
        <f t="shared" si="75"/>
        <v>0</v>
      </c>
      <c r="G156" s="103">
        <f t="shared" si="75"/>
        <v>0</v>
      </c>
      <c r="H156" s="103">
        <f t="shared" si="75"/>
        <v>0</v>
      </c>
      <c r="I156" s="103">
        <f t="shared" si="75"/>
        <v>0</v>
      </c>
      <c r="J156" s="103">
        <f t="shared" si="75"/>
        <v>0</v>
      </c>
      <c r="K156" s="103">
        <f t="shared" si="75"/>
        <v>0</v>
      </c>
      <c r="L156" s="103">
        <f t="shared" ref="L156" si="76">IF(L38=0,0,L38/L$17)</f>
        <v>0</v>
      </c>
      <c r="M156" s="103">
        <f t="shared" ref="M156:V156" si="77">IF(M38=0,0,M38/M$17)</f>
        <v>0</v>
      </c>
      <c r="N156" s="103">
        <f t="shared" si="77"/>
        <v>0</v>
      </c>
      <c r="O156" s="103">
        <f t="shared" si="77"/>
        <v>0</v>
      </c>
      <c r="P156" s="103">
        <f t="shared" si="77"/>
        <v>0</v>
      </c>
      <c r="Q156" s="103">
        <f t="shared" si="77"/>
        <v>0</v>
      </c>
      <c r="R156" s="103">
        <f t="shared" si="77"/>
        <v>0</v>
      </c>
      <c r="S156" s="103">
        <f t="shared" si="77"/>
        <v>0</v>
      </c>
      <c r="T156" s="103">
        <f t="shared" si="77"/>
        <v>0</v>
      </c>
      <c r="U156" s="103">
        <f t="shared" si="77"/>
        <v>0</v>
      </c>
      <c r="V156" s="103">
        <f t="shared" si="77"/>
        <v>0</v>
      </c>
      <c r="W156" s="103">
        <f t="shared" ref="W156:Y156" si="78">IF(W38=0,0,W38/W$17)</f>
        <v>0</v>
      </c>
      <c r="X156" s="103">
        <f t="shared" si="78"/>
        <v>0</v>
      </c>
      <c r="Y156" s="103">
        <f t="shared" si="78"/>
        <v>0</v>
      </c>
      <c r="DA156" s="191"/>
    </row>
    <row r="157" spans="1:105" ht="11.45" customHeight="1" x14ac:dyDescent="0.25">
      <c r="A157" s="157" t="s">
        <v>115</v>
      </c>
      <c r="B157" s="103">
        <f t="shared" ref="B157:K157" si="79">IF(B39=0,0,B39/B$17)</f>
        <v>0</v>
      </c>
      <c r="C157" s="103">
        <f t="shared" si="79"/>
        <v>0</v>
      </c>
      <c r="D157" s="103">
        <f t="shared" si="79"/>
        <v>0</v>
      </c>
      <c r="E157" s="103">
        <f t="shared" si="79"/>
        <v>0</v>
      </c>
      <c r="F157" s="103">
        <f t="shared" si="79"/>
        <v>0</v>
      </c>
      <c r="G157" s="103">
        <f t="shared" si="79"/>
        <v>0</v>
      </c>
      <c r="H157" s="103">
        <f t="shared" si="79"/>
        <v>0</v>
      </c>
      <c r="I157" s="103">
        <f t="shared" si="79"/>
        <v>0</v>
      </c>
      <c r="J157" s="103">
        <f t="shared" si="79"/>
        <v>0</v>
      </c>
      <c r="K157" s="103">
        <f t="shared" si="79"/>
        <v>0</v>
      </c>
      <c r="L157" s="103">
        <f t="shared" ref="L157" si="80">IF(L39=0,0,L39/L$17)</f>
        <v>0</v>
      </c>
      <c r="M157" s="103">
        <f t="shared" ref="M157:V157" si="81">IF(M39=0,0,M39/M$17)</f>
        <v>0</v>
      </c>
      <c r="N157" s="103">
        <f t="shared" si="81"/>
        <v>0</v>
      </c>
      <c r="O157" s="103">
        <f t="shared" si="81"/>
        <v>0</v>
      </c>
      <c r="P157" s="103">
        <f t="shared" si="81"/>
        <v>0</v>
      </c>
      <c r="Q157" s="103">
        <f t="shared" si="81"/>
        <v>0</v>
      </c>
      <c r="R157" s="103">
        <f t="shared" si="81"/>
        <v>0</v>
      </c>
      <c r="S157" s="103">
        <f t="shared" si="81"/>
        <v>0</v>
      </c>
      <c r="T157" s="103">
        <f t="shared" si="81"/>
        <v>0</v>
      </c>
      <c r="U157" s="103">
        <f t="shared" si="81"/>
        <v>0</v>
      </c>
      <c r="V157" s="103">
        <f t="shared" si="81"/>
        <v>0</v>
      </c>
      <c r="W157" s="103">
        <f t="shared" ref="W157:Y157" si="82">IF(W39=0,0,W39/W$17)</f>
        <v>0</v>
      </c>
      <c r="X157" s="103">
        <f t="shared" si="82"/>
        <v>0</v>
      </c>
      <c r="Y157" s="103">
        <f t="shared" si="82"/>
        <v>0</v>
      </c>
      <c r="DA157" s="191"/>
    </row>
    <row r="158" spans="1:105" ht="11.45" customHeight="1" x14ac:dyDescent="0.25">
      <c r="A158" s="155" t="s">
        <v>154</v>
      </c>
      <c r="B158" s="156">
        <f t="shared" ref="B158:K158" si="83">IF(B40=0,0,B40/B$17)</f>
        <v>0.19537398047574867</v>
      </c>
      <c r="C158" s="156">
        <f t="shared" si="83"/>
        <v>0.22369578870818013</v>
      </c>
      <c r="D158" s="156">
        <f t="shared" si="83"/>
        <v>0.24094823597968512</v>
      </c>
      <c r="E158" s="156">
        <f t="shared" si="83"/>
        <v>0.25471417904709098</v>
      </c>
      <c r="F158" s="156">
        <f t="shared" si="83"/>
        <v>0.22528544682116605</v>
      </c>
      <c r="G158" s="156">
        <f t="shared" si="83"/>
        <v>0.19847878218300008</v>
      </c>
      <c r="H158" s="156">
        <f t="shared" si="83"/>
        <v>0.22632279842852956</v>
      </c>
      <c r="I158" s="156">
        <f t="shared" si="83"/>
        <v>0.18560563484535719</v>
      </c>
      <c r="J158" s="156">
        <f t="shared" si="83"/>
        <v>0.16669965346925431</v>
      </c>
      <c r="K158" s="156">
        <f t="shared" si="83"/>
        <v>0.15587602829543618</v>
      </c>
      <c r="L158" s="156">
        <f t="shared" ref="L158" si="84">IF(L40=0,0,L40/L$17)</f>
        <v>0.11957335343355101</v>
      </c>
      <c r="M158" s="156">
        <f t="shared" ref="M158:V158" si="85">IF(M40=0,0,M40/M$17)</f>
        <v>0.11992139498079328</v>
      </c>
      <c r="N158" s="156">
        <f t="shared" si="85"/>
        <v>0.10579214450996877</v>
      </c>
      <c r="O158" s="156">
        <f t="shared" si="85"/>
        <v>0.10736221220276505</v>
      </c>
      <c r="P158" s="156">
        <f t="shared" si="85"/>
        <v>9.5554072640221449E-2</v>
      </c>
      <c r="Q158" s="156">
        <f t="shared" si="85"/>
        <v>8.758024118684099E-2</v>
      </c>
      <c r="R158" s="156">
        <f t="shared" si="85"/>
        <v>9.6828361536053786E-2</v>
      </c>
      <c r="S158" s="156">
        <f t="shared" si="85"/>
        <v>0.10424198288636496</v>
      </c>
      <c r="T158" s="156">
        <f t="shared" si="85"/>
        <v>9.5107863715673271E-2</v>
      </c>
      <c r="U158" s="156">
        <f t="shared" si="85"/>
        <v>0.10046555132467321</v>
      </c>
      <c r="V158" s="156">
        <f t="shared" si="85"/>
        <v>9.750248334389075E-2</v>
      </c>
      <c r="W158" s="156">
        <f t="shared" ref="W158:Y158" si="86">IF(W40=0,0,W40/W$17)</f>
        <v>0.10363629816070824</v>
      </c>
      <c r="X158" s="156">
        <f t="shared" si="86"/>
        <v>0.11934991964296875</v>
      </c>
      <c r="Y158" s="156">
        <f t="shared" si="86"/>
        <v>0.11721359927576389</v>
      </c>
      <c r="DA158" s="213"/>
    </row>
    <row r="159" spans="1:105" ht="11.45" customHeight="1" x14ac:dyDescent="0.25">
      <c r="A159" s="157" t="s">
        <v>27</v>
      </c>
      <c r="B159" s="103">
        <f t="shared" ref="B159:K159" si="87">IF(B41=0,0,B41/B$17)</f>
        <v>0.10009829067061408</v>
      </c>
      <c r="C159" s="103">
        <f t="shared" si="87"/>
        <v>9.5692621608261294E-2</v>
      </c>
      <c r="D159" s="103">
        <f t="shared" si="87"/>
        <v>9.8660512367393732E-2</v>
      </c>
      <c r="E159" s="103">
        <f t="shared" si="87"/>
        <v>0.11323911790398992</v>
      </c>
      <c r="F159" s="103">
        <f t="shared" si="87"/>
        <v>0.10648764565830961</v>
      </c>
      <c r="G159" s="103">
        <f t="shared" si="87"/>
        <v>0.12778414513834765</v>
      </c>
      <c r="H159" s="103">
        <f t="shared" si="87"/>
        <v>0.15327454737464635</v>
      </c>
      <c r="I159" s="103">
        <f t="shared" si="87"/>
        <v>0.13962484116753135</v>
      </c>
      <c r="J159" s="103">
        <f t="shared" si="87"/>
        <v>0.12523738169701015</v>
      </c>
      <c r="K159" s="103">
        <f t="shared" si="87"/>
        <v>0.11797599279741366</v>
      </c>
      <c r="L159" s="103">
        <f t="shared" ref="L159" si="88">IF(L41=0,0,L41/L$17)</f>
        <v>7.7363791409233426E-2</v>
      </c>
      <c r="M159" s="103">
        <f t="shared" ref="M159:V159" si="89">IF(M41=0,0,M41/M$17)</f>
        <v>7.4978367849143329E-2</v>
      </c>
      <c r="N159" s="103">
        <f t="shared" si="89"/>
        <v>7.0772554239703689E-2</v>
      </c>
      <c r="O159" s="103">
        <f t="shared" si="89"/>
        <v>7.1537055280604334E-2</v>
      </c>
      <c r="P159" s="103">
        <f t="shared" si="89"/>
        <v>6.5459641701810331E-2</v>
      </c>
      <c r="Q159" s="103">
        <f t="shared" si="89"/>
        <v>6.2361281618108513E-2</v>
      </c>
      <c r="R159" s="103">
        <f t="shared" si="89"/>
        <v>6.4322769344035788E-2</v>
      </c>
      <c r="S159" s="103">
        <f t="shared" si="89"/>
        <v>6.405123573881473E-2</v>
      </c>
      <c r="T159" s="103">
        <f t="shared" si="89"/>
        <v>6.3422549640449119E-2</v>
      </c>
      <c r="U159" s="103">
        <f t="shared" si="89"/>
        <v>6.9072698203994379E-2</v>
      </c>
      <c r="V159" s="103">
        <f t="shared" si="89"/>
        <v>6.9440616962629334E-2</v>
      </c>
      <c r="W159" s="103">
        <f t="shared" ref="W159:Y159" si="90">IF(W41=0,0,W41/W$17)</f>
        <v>7.2595547794709767E-2</v>
      </c>
      <c r="X159" s="103">
        <f t="shared" si="90"/>
        <v>7.6602380419408686E-2</v>
      </c>
      <c r="Y159" s="103">
        <f t="shared" si="90"/>
        <v>7.4094684267346209E-2</v>
      </c>
      <c r="DA159" s="191"/>
    </row>
    <row r="160" spans="1:105" ht="11.45" customHeight="1" x14ac:dyDescent="0.25">
      <c r="A160" s="158" t="s">
        <v>116</v>
      </c>
      <c r="B160" s="105">
        <f t="shared" ref="B160:K160" si="91">IF(B42=0,0,B42/B$17)</f>
        <v>9.5275689805134595E-2</v>
      </c>
      <c r="C160" s="105">
        <f t="shared" si="91"/>
        <v>0.12800316709991885</v>
      </c>
      <c r="D160" s="105">
        <f t="shared" si="91"/>
        <v>0.14228772361229139</v>
      </c>
      <c r="E160" s="105">
        <f t="shared" si="91"/>
        <v>0.14147506114310107</v>
      </c>
      <c r="F160" s="105">
        <f t="shared" si="91"/>
        <v>0.11879780116285647</v>
      </c>
      <c r="G160" s="105">
        <f t="shared" si="91"/>
        <v>7.0694637044652411E-2</v>
      </c>
      <c r="H160" s="105">
        <f t="shared" si="91"/>
        <v>7.3048251053883226E-2</v>
      </c>
      <c r="I160" s="105">
        <f t="shared" si="91"/>
        <v>4.5980793677825871E-2</v>
      </c>
      <c r="J160" s="105">
        <f t="shared" si="91"/>
        <v>4.1462271772244132E-2</v>
      </c>
      <c r="K160" s="105">
        <f t="shared" si="91"/>
        <v>3.7900035498022518E-2</v>
      </c>
      <c r="L160" s="105">
        <f t="shared" ref="L160" si="92">IF(L42=0,0,L42/L$17)</f>
        <v>4.2209562024317589E-2</v>
      </c>
      <c r="M160" s="105">
        <f t="shared" ref="M160:V160" si="93">IF(M42=0,0,M42/M$17)</f>
        <v>4.4943027131649958E-2</v>
      </c>
      <c r="N160" s="105">
        <f t="shared" si="93"/>
        <v>3.501959027026507E-2</v>
      </c>
      <c r="O160" s="105">
        <f t="shared" si="93"/>
        <v>3.582515692216072E-2</v>
      </c>
      <c r="P160" s="105">
        <f t="shared" si="93"/>
        <v>3.0094430938411135E-2</v>
      </c>
      <c r="Q160" s="105">
        <f t="shared" si="93"/>
        <v>2.5218959568732466E-2</v>
      </c>
      <c r="R160" s="105">
        <f t="shared" si="93"/>
        <v>3.2505592192017992E-2</v>
      </c>
      <c r="S160" s="105">
        <f t="shared" si="93"/>
        <v>4.0190747147550235E-2</v>
      </c>
      <c r="T160" s="105">
        <f t="shared" si="93"/>
        <v>3.1685314075224152E-2</v>
      </c>
      <c r="U160" s="105">
        <f t="shared" si="93"/>
        <v>3.139285312067884E-2</v>
      </c>
      <c r="V160" s="105">
        <f t="shared" si="93"/>
        <v>2.8061866381261426E-2</v>
      </c>
      <c r="W160" s="105">
        <f t="shared" ref="W160:Y160" si="94">IF(W42=0,0,W42/W$17)</f>
        <v>3.104075036599848E-2</v>
      </c>
      <c r="X160" s="105">
        <f t="shared" si="94"/>
        <v>4.2747539223560053E-2</v>
      </c>
      <c r="Y160" s="105">
        <f t="shared" si="94"/>
        <v>4.311891500841767E-2</v>
      </c>
      <c r="DA160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 B10:Y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DA248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836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109</v>
      </c>
      <c r="B3" s="54">
        <f>TrRoad_act!B57</f>
        <v>3600805</v>
      </c>
      <c r="C3" s="54">
        <f>TrRoad_act!C57</f>
        <v>3708845</v>
      </c>
      <c r="D3" s="54">
        <f>TrRoad_act!D57</f>
        <v>3454331</v>
      </c>
      <c r="E3" s="54">
        <f>TrRoad_act!E57</f>
        <v>3594309</v>
      </c>
      <c r="F3" s="54">
        <f>TrRoad_act!F57</f>
        <v>3753565</v>
      </c>
      <c r="G3" s="54">
        <f>TrRoad_act!G57</f>
        <v>3914402</v>
      </c>
      <c r="H3" s="54">
        <f>TrRoad_act!H57</f>
        <v>3816611</v>
      </c>
      <c r="I3" s="54">
        <f>TrRoad_act!I57</f>
        <v>4164158</v>
      </c>
      <c r="J3" s="54">
        <f>TrRoad_act!J57</f>
        <v>4731922</v>
      </c>
      <c r="K3" s="54">
        <f>TrRoad_act!K57</f>
        <v>4973518</v>
      </c>
      <c r="L3" s="54">
        <f>TrRoad_act!L57</f>
        <v>5050630</v>
      </c>
      <c r="M3" s="54">
        <f>TrRoad_act!M57</f>
        <v>5086680</v>
      </c>
      <c r="N3" s="54">
        <f>TrRoad_act!N57</f>
        <v>5256852</v>
      </c>
      <c r="O3" s="54">
        <f>TrRoad_act!O57</f>
        <v>5499568</v>
      </c>
      <c r="P3" s="54">
        <f>TrRoad_act!P57</f>
        <v>5757497</v>
      </c>
      <c r="Q3" s="54">
        <f>TrRoad_act!Q57</f>
        <v>6036435</v>
      </c>
      <c r="R3" s="54">
        <f>TrRoad_act!R57</f>
        <v>6369917</v>
      </c>
      <c r="S3" s="54">
        <f>TrRoad_act!S57</f>
        <v>6938451</v>
      </c>
      <c r="T3" s="54">
        <f>TrRoad_act!T57</f>
        <v>7453487</v>
      </c>
      <c r="U3" s="54">
        <f>TrRoad_act!U57</f>
        <v>7963173</v>
      </c>
      <c r="V3" s="54">
        <f>TrRoad_act!V57</f>
        <v>8394240</v>
      </c>
      <c r="W3" s="54">
        <f>TrRoad_act!W57</f>
        <v>8783402</v>
      </c>
      <c r="X3" s="54">
        <f>TrRoad_act!X57</f>
        <v>9079041</v>
      </c>
      <c r="Y3" s="54">
        <f>TrRoad_act!Y57</f>
        <v>9359534</v>
      </c>
      <c r="DA3" s="172" t="s">
        <v>500</v>
      </c>
    </row>
    <row r="4" spans="1:105" ht="11.45" customHeight="1" x14ac:dyDescent="0.25">
      <c r="A4" s="27" t="s">
        <v>33</v>
      </c>
      <c r="B4" s="28">
        <f>TrRoad_act!B58</f>
        <v>3222899</v>
      </c>
      <c r="C4" s="28">
        <f>TrRoad_act!C58</f>
        <v>3318971</v>
      </c>
      <c r="D4" s="28">
        <f>TrRoad_act!D58</f>
        <v>3057280</v>
      </c>
      <c r="E4" s="28">
        <f>TrRoad_act!E58</f>
        <v>3173002</v>
      </c>
      <c r="F4" s="28">
        <f>TrRoad_act!F58</f>
        <v>3315005</v>
      </c>
      <c r="G4" s="28">
        <f>TrRoad_act!G58</f>
        <v>3450383</v>
      </c>
      <c r="H4" s="28">
        <f>TrRoad_act!H58</f>
        <v>3305274</v>
      </c>
      <c r="I4" s="28">
        <f>TrRoad_act!I58</f>
        <v>3631681</v>
      </c>
      <c r="J4" s="28">
        <f>TrRoad_act!J58</f>
        <v>4140438</v>
      </c>
      <c r="K4" s="28">
        <f>TrRoad_act!K58</f>
        <v>4366313</v>
      </c>
      <c r="L4" s="28">
        <f>TrRoad_act!L58</f>
        <v>4446279</v>
      </c>
      <c r="M4" s="28">
        <f>TrRoad_act!M58</f>
        <v>4466291</v>
      </c>
      <c r="N4" s="28">
        <f>TrRoad_act!N58</f>
        <v>4624963</v>
      </c>
      <c r="O4" s="28">
        <f>TrRoad_act!O58</f>
        <v>4841231</v>
      </c>
      <c r="P4" s="28">
        <f>TrRoad_act!P58</f>
        <v>5060170</v>
      </c>
      <c r="Q4" s="28">
        <f>TrRoad_act!Q58</f>
        <v>5317740</v>
      </c>
      <c r="R4" s="28">
        <f>TrRoad_act!R58</f>
        <v>5640760</v>
      </c>
      <c r="S4" s="28">
        <f>TrRoad_act!S58</f>
        <v>6175803</v>
      </c>
      <c r="T4" s="28">
        <f>TrRoad_act!T58</f>
        <v>6640778</v>
      </c>
      <c r="U4" s="28">
        <f>TrRoad_act!U58</f>
        <v>7105142</v>
      </c>
      <c r="V4" s="28">
        <f>TrRoad_act!V58</f>
        <v>7491018</v>
      </c>
      <c r="W4" s="28">
        <f>TrRoad_act!W58</f>
        <v>7841234</v>
      </c>
      <c r="X4" s="28">
        <f>TrRoad_act!X58</f>
        <v>8111636</v>
      </c>
      <c r="Y4" s="28">
        <f>TrRoad_act!Y58</f>
        <v>8371236</v>
      </c>
      <c r="DA4" s="173" t="s">
        <v>501</v>
      </c>
    </row>
    <row r="5" spans="1:105" ht="11.45" customHeight="1" x14ac:dyDescent="0.25">
      <c r="A5" s="136" t="s">
        <v>173</v>
      </c>
      <c r="B5" s="137">
        <f>TrRoad_act!B59</f>
        <v>45975</v>
      </c>
      <c r="C5" s="137">
        <f>TrRoad_act!C59</f>
        <v>45747</v>
      </c>
      <c r="D5" s="137">
        <f>TrRoad_act!D59</f>
        <v>45519</v>
      </c>
      <c r="E5" s="137">
        <f>TrRoad_act!E59</f>
        <v>45909</v>
      </c>
      <c r="F5" s="137">
        <f>TrRoad_act!F59</f>
        <v>46513</v>
      </c>
      <c r="G5" s="137">
        <f>TrRoad_act!G59</f>
        <v>47110</v>
      </c>
      <c r="H5" s="137">
        <f>TrRoad_act!H59</f>
        <v>51959</v>
      </c>
      <c r="I5" s="137">
        <f>TrRoad_act!I59</f>
        <v>56479</v>
      </c>
      <c r="J5" s="137">
        <f>TrRoad_act!J59</f>
        <v>71827</v>
      </c>
      <c r="K5" s="137">
        <f>TrRoad_act!K59</f>
        <v>79990</v>
      </c>
      <c r="L5" s="137">
        <f>TrRoad_act!L59</f>
        <v>85171</v>
      </c>
      <c r="M5" s="137">
        <f>TrRoad_act!M59</f>
        <v>90082</v>
      </c>
      <c r="N5" s="137">
        <f>TrRoad_act!N59</f>
        <v>95450</v>
      </c>
      <c r="O5" s="137">
        <f>TrRoad_act!O59</f>
        <v>101622</v>
      </c>
      <c r="P5" s="137">
        <f>TrRoad_act!P59</f>
        <v>107338</v>
      </c>
      <c r="Q5" s="137">
        <f>TrRoad_act!Q59</f>
        <v>112866</v>
      </c>
      <c r="R5" s="137">
        <f>TrRoad_act!R59</f>
        <v>119534</v>
      </c>
      <c r="S5" s="137">
        <f>TrRoad_act!S59</f>
        <v>127300</v>
      </c>
      <c r="T5" s="137">
        <f>TrRoad_act!T59</f>
        <v>136440</v>
      </c>
      <c r="U5" s="137">
        <f>TrRoad_act!U59</f>
        <v>148387</v>
      </c>
      <c r="V5" s="137">
        <f>TrRoad_act!V59</f>
        <v>162078</v>
      </c>
      <c r="W5" s="137">
        <f>TrRoad_act!W59</f>
        <v>175844</v>
      </c>
      <c r="X5" s="137">
        <f>TrRoad_act!X59</f>
        <v>191737</v>
      </c>
      <c r="Y5" s="137">
        <f>TrRoad_act!Y59</f>
        <v>208672</v>
      </c>
      <c r="DA5" s="174" t="s">
        <v>502</v>
      </c>
    </row>
    <row r="6" spans="1:105" ht="11.45" customHeight="1" x14ac:dyDescent="0.25">
      <c r="A6" s="109" t="s">
        <v>20</v>
      </c>
      <c r="B6" s="110">
        <f>TrRoad_act!B60</f>
        <v>3128782</v>
      </c>
      <c r="C6" s="110">
        <f>TrRoad_act!C60</f>
        <v>3225500</v>
      </c>
      <c r="D6" s="110">
        <f>TrRoad_act!D60</f>
        <v>2971000</v>
      </c>
      <c r="E6" s="110">
        <f>TrRoad_act!E60</f>
        <v>3085146</v>
      </c>
      <c r="F6" s="110">
        <f>TrRoad_act!F60</f>
        <v>3225300</v>
      </c>
      <c r="G6" s="110">
        <f>TrRoad_act!G60</f>
        <v>3364000</v>
      </c>
      <c r="H6" s="110">
        <f>TrRoad_act!H60</f>
        <v>3221000</v>
      </c>
      <c r="I6" s="110">
        <f>TrRoad_act!I60</f>
        <v>3541000</v>
      </c>
      <c r="J6" s="110">
        <f>TrRoad_act!J60</f>
        <v>4027097</v>
      </c>
      <c r="K6" s="110">
        <f>TrRoad_act!K60</f>
        <v>4245147</v>
      </c>
      <c r="L6" s="110">
        <f>TrRoad_act!L60</f>
        <v>4320216</v>
      </c>
      <c r="M6" s="110">
        <f>TrRoad_act!M60</f>
        <v>4335300</v>
      </c>
      <c r="N6" s="110">
        <f>TrRoad_act!N60</f>
        <v>4487479</v>
      </c>
      <c r="O6" s="110">
        <f>TrRoad_act!O60</f>
        <v>4696747</v>
      </c>
      <c r="P6" s="110">
        <f>TrRoad_act!P60</f>
        <v>4908529</v>
      </c>
      <c r="Q6" s="110">
        <f>TrRoad_act!Q60</f>
        <v>5157527</v>
      </c>
      <c r="R6" s="110">
        <f>TrRoad_act!R60</f>
        <v>5472423</v>
      </c>
      <c r="S6" s="110">
        <f>TrRoad_act!S60</f>
        <v>5998194</v>
      </c>
      <c r="T6" s="110">
        <f>TrRoad_act!T60</f>
        <v>6452536</v>
      </c>
      <c r="U6" s="110">
        <f>TrRoad_act!U60</f>
        <v>6902984</v>
      </c>
      <c r="V6" s="110">
        <f>TrRoad_act!V60</f>
        <v>7274728</v>
      </c>
      <c r="W6" s="110">
        <f>TrRoad_act!W60</f>
        <v>7611039</v>
      </c>
      <c r="X6" s="110">
        <f>TrRoad_act!X60</f>
        <v>7865186</v>
      </c>
      <c r="Y6" s="110">
        <f>TrRoad_act!Y60</f>
        <v>8106570</v>
      </c>
      <c r="DA6" s="176" t="s">
        <v>503</v>
      </c>
    </row>
    <row r="7" spans="1:105" ht="11.45" customHeight="1" x14ac:dyDescent="0.25">
      <c r="A7" s="111" t="s">
        <v>110</v>
      </c>
      <c r="B7" s="84">
        <f>TrRoad_act!B61</f>
        <v>2909465</v>
      </c>
      <c r="C7" s="84">
        <f>TrRoad_act!C61</f>
        <v>2912477</v>
      </c>
      <c r="D7" s="84">
        <f>TrRoad_act!D61</f>
        <v>2607267</v>
      </c>
      <c r="E7" s="84">
        <f>TrRoad_act!E61</f>
        <v>2622924</v>
      </c>
      <c r="F7" s="84">
        <f>TrRoad_act!F61</f>
        <v>2655351</v>
      </c>
      <c r="G7" s="84">
        <f>TrRoad_act!G61</f>
        <v>2692349</v>
      </c>
      <c r="H7" s="84">
        <f>TrRoad_act!H61</f>
        <v>2469900</v>
      </c>
      <c r="I7" s="84">
        <f>TrRoad_act!I61</f>
        <v>2582882</v>
      </c>
      <c r="J7" s="84">
        <f>TrRoad_act!J61</f>
        <v>2879719</v>
      </c>
      <c r="K7" s="84">
        <f>TrRoad_act!K61</f>
        <v>2988418</v>
      </c>
      <c r="L7" s="84">
        <f>TrRoad_act!L61</f>
        <v>2971193</v>
      </c>
      <c r="M7" s="84">
        <f>TrRoad_act!M61</f>
        <v>2899372</v>
      </c>
      <c r="N7" s="84">
        <f>TrRoad_act!N61</f>
        <v>2955691</v>
      </c>
      <c r="O7" s="84">
        <f>TrRoad_act!O61</f>
        <v>3039184</v>
      </c>
      <c r="P7" s="84">
        <f>TrRoad_act!P61</f>
        <v>3113572</v>
      </c>
      <c r="Q7" s="84">
        <f>TrRoad_act!Q61</f>
        <v>3189926</v>
      </c>
      <c r="R7" s="84">
        <f>TrRoad_act!R61</f>
        <v>3288214</v>
      </c>
      <c r="S7" s="84">
        <f>TrRoad_act!S61</f>
        <v>3410788</v>
      </c>
      <c r="T7" s="84">
        <f>TrRoad_act!T61</f>
        <v>3483244</v>
      </c>
      <c r="U7" s="84">
        <f>TrRoad_act!U61</f>
        <v>3579288</v>
      </c>
      <c r="V7" s="84">
        <f>TrRoad_act!V61</f>
        <v>3645251</v>
      </c>
      <c r="W7" s="84">
        <f>TrRoad_act!W61</f>
        <v>3683297</v>
      </c>
      <c r="X7" s="84">
        <f>TrRoad_act!X61</f>
        <v>3737726</v>
      </c>
      <c r="Y7" s="84">
        <f>TrRoad_act!Y61</f>
        <v>3788016</v>
      </c>
      <c r="DA7" s="171" t="s">
        <v>504</v>
      </c>
    </row>
    <row r="8" spans="1:105" ht="11.45" customHeight="1" x14ac:dyDescent="0.25">
      <c r="A8" s="111" t="s">
        <v>111</v>
      </c>
      <c r="B8" s="84">
        <f>TrRoad_act!B62</f>
        <v>219317</v>
      </c>
      <c r="C8" s="84">
        <f>TrRoad_act!C62</f>
        <v>313023</v>
      </c>
      <c r="D8" s="84">
        <f>TrRoad_act!D62</f>
        <v>358933</v>
      </c>
      <c r="E8" s="84">
        <f>TrRoad_act!E62</f>
        <v>451170</v>
      </c>
      <c r="F8" s="84">
        <f>TrRoad_act!F62</f>
        <v>544492</v>
      </c>
      <c r="G8" s="84">
        <f>TrRoad_act!G62</f>
        <v>647606</v>
      </c>
      <c r="H8" s="84">
        <f>TrRoad_act!H62</f>
        <v>727241</v>
      </c>
      <c r="I8" s="84">
        <f>TrRoad_act!I62</f>
        <v>926536</v>
      </c>
      <c r="J8" s="84">
        <f>TrRoad_act!J62</f>
        <v>1116844</v>
      </c>
      <c r="K8" s="84">
        <f>TrRoad_act!K62</f>
        <v>1226700</v>
      </c>
      <c r="L8" s="84">
        <f>TrRoad_act!L62</f>
        <v>1319421</v>
      </c>
      <c r="M8" s="84">
        <f>TrRoad_act!M62</f>
        <v>1356592</v>
      </c>
      <c r="N8" s="84">
        <f>TrRoad_act!N62</f>
        <v>1455882</v>
      </c>
      <c r="O8" s="84">
        <f>TrRoad_act!O62</f>
        <v>1582513</v>
      </c>
      <c r="P8" s="84">
        <f>TrRoad_act!P62</f>
        <v>1715999</v>
      </c>
      <c r="Q8" s="84">
        <f>TrRoad_act!Q62</f>
        <v>1877364</v>
      </c>
      <c r="R8" s="84">
        <f>TrRoad_act!R62</f>
        <v>2085614</v>
      </c>
      <c r="S8" s="84">
        <f>TrRoad_act!S62</f>
        <v>2474591</v>
      </c>
      <c r="T8" s="84">
        <f>TrRoad_act!T62</f>
        <v>2838693</v>
      </c>
      <c r="U8" s="84">
        <f>TrRoad_act!U62</f>
        <v>3167265</v>
      </c>
      <c r="V8" s="84">
        <f>TrRoad_act!V62</f>
        <v>3439388</v>
      </c>
      <c r="W8" s="84">
        <f>TrRoad_act!W62</f>
        <v>3681999</v>
      </c>
      <c r="X8" s="84">
        <f>TrRoad_act!X62</f>
        <v>3873511</v>
      </c>
      <c r="Y8" s="84">
        <f>TrRoad_act!Y62</f>
        <v>4038377</v>
      </c>
      <c r="DA8" s="171" t="s">
        <v>505</v>
      </c>
    </row>
    <row r="9" spans="1:105" ht="11.45" customHeight="1" x14ac:dyDescent="0.25">
      <c r="A9" s="111" t="s">
        <v>112</v>
      </c>
      <c r="B9" s="84">
        <f>TrRoad_act!B63</f>
        <v>0</v>
      </c>
      <c r="C9" s="84">
        <f>TrRoad_act!C63</f>
        <v>0</v>
      </c>
      <c r="D9" s="84">
        <f>TrRoad_act!D63</f>
        <v>4800</v>
      </c>
      <c r="E9" s="84">
        <f>TrRoad_act!E63</f>
        <v>11052</v>
      </c>
      <c r="F9" s="84">
        <f>TrRoad_act!F63</f>
        <v>25457</v>
      </c>
      <c r="G9" s="84">
        <f>TrRoad_act!G63</f>
        <v>24045</v>
      </c>
      <c r="H9" s="84">
        <f>TrRoad_act!H63</f>
        <v>23859</v>
      </c>
      <c r="I9" s="84">
        <f>TrRoad_act!I63</f>
        <v>31582</v>
      </c>
      <c r="J9" s="84">
        <f>TrRoad_act!J63</f>
        <v>30534</v>
      </c>
      <c r="K9" s="84">
        <f>TrRoad_act!K63</f>
        <v>30028</v>
      </c>
      <c r="L9" s="84">
        <f>TrRoad_act!L63</f>
        <v>29414</v>
      </c>
      <c r="M9" s="84">
        <f>TrRoad_act!M63</f>
        <v>78887</v>
      </c>
      <c r="N9" s="84">
        <f>TrRoad_act!N63</f>
        <v>74917</v>
      </c>
      <c r="O9" s="84">
        <f>TrRoad_act!O63</f>
        <v>73814</v>
      </c>
      <c r="P9" s="84">
        <f>TrRoad_act!P63</f>
        <v>77545</v>
      </c>
      <c r="Q9" s="84">
        <f>TrRoad_act!Q63</f>
        <v>88694</v>
      </c>
      <c r="R9" s="84">
        <f>TrRoad_act!R63</f>
        <v>96874</v>
      </c>
      <c r="S9" s="84">
        <f>TrRoad_act!S63</f>
        <v>110648</v>
      </c>
      <c r="T9" s="84">
        <f>TrRoad_act!T63</f>
        <v>127728</v>
      </c>
      <c r="U9" s="84">
        <f>TrRoad_act!U63</f>
        <v>151859</v>
      </c>
      <c r="V9" s="84">
        <f>TrRoad_act!V63</f>
        <v>182679</v>
      </c>
      <c r="W9" s="84">
        <f>TrRoad_act!W63</f>
        <v>229020</v>
      </c>
      <c r="X9" s="84">
        <f>TrRoad_act!X63</f>
        <v>222154</v>
      </c>
      <c r="Y9" s="84">
        <f>TrRoad_act!Y63</f>
        <v>231419</v>
      </c>
      <c r="DA9" s="171" t="s">
        <v>506</v>
      </c>
    </row>
    <row r="10" spans="1:105" ht="11.45" customHeight="1" x14ac:dyDescent="0.25">
      <c r="A10" s="111" t="s">
        <v>113</v>
      </c>
      <c r="B10" s="84">
        <f>TrRoad_act!B64</f>
        <v>0</v>
      </c>
      <c r="C10" s="84">
        <f>TrRoad_act!C64</f>
        <v>0</v>
      </c>
      <c r="D10" s="84">
        <f>TrRoad_act!D64</f>
        <v>0</v>
      </c>
      <c r="E10" s="84">
        <f>TrRoad_act!E64</f>
        <v>0</v>
      </c>
      <c r="F10" s="84">
        <f>TrRoad_act!F64</f>
        <v>0</v>
      </c>
      <c r="G10" s="84">
        <f>TrRoad_act!G64</f>
        <v>0</v>
      </c>
      <c r="H10" s="84">
        <f>TrRoad_act!H64</f>
        <v>0</v>
      </c>
      <c r="I10" s="84">
        <f>TrRoad_act!I64</f>
        <v>0</v>
      </c>
      <c r="J10" s="84">
        <f>TrRoad_act!J64</f>
        <v>0</v>
      </c>
      <c r="K10" s="84">
        <f>TrRoad_act!K64</f>
        <v>0</v>
      </c>
      <c r="L10" s="84">
        <f>TrRoad_act!L64</f>
        <v>0</v>
      </c>
      <c r="M10" s="84">
        <f>TrRoad_act!M64</f>
        <v>0</v>
      </c>
      <c r="N10" s="84">
        <f>TrRoad_act!N64</f>
        <v>0</v>
      </c>
      <c r="O10" s="84">
        <f>TrRoad_act!O64</f>
        <v>0</v>
      </c>
      <c r="P10" s="84">
        <f>TrRoad_act!P64</f>
        <v>0</v>
      </c>
      <c r="Q10" s="84">
        <f>TrRoad_act!Q64</f>
        <v>0</v>
      </c>
      <c r="R10" s="84">
        <f>TrRoad_act!R64</f>
        <v>0</v>
      </c>
      <c r="S10" s="84">
        <f>TrRoad_act!S64</f>
        <v>0</v>
      </c>
      <c r="T10" s="84">
        <f>TrRoad_act!T64</f>
        <v>0</v>
      </c>
      <c r="U10" s="84">
        <f>TrRoad_act!U64</f>
        <v>0</v>
      </c>
      <c r="V10" s="84">
        <f>TrRoad_act!V64</f>
        <v>0</v>
      </c>
      <c r="W10" s="84">
        <f>TrRoad_act!W64</f>
        <v>0</v>
      </c>
      <c r="X10" s="84">
        <f>TrRoad_act!X64</f>
        <v>0</v>
      </c>
      <c r="Y10" s="84">
        <f>TrRoad_act!Y64</f>
        <v>0</v>
      </c>
      <c r="DA10" s="171" t="s">
        <v>507</v>
      </c>
    </row>
    <row r="11" spans="1:105" ht="11.45" customHeight="1" x14ac:dyDescent="0.25">
      <c r="A11" s="111" t="s">
        <v>114</v>
      </c>
      <c r="B11" s="84">
        <f>TrRoad_act!B65</f>
        <v>0</v>
      </c>
      <c r="C11" s="84">
        <f>TrRoad_act!C65</f>
        <v>0</v>
      </c>
      <c r="D11" s="84">
        <f>TrRoad_act!D65</f>
        <v>0</v>
      </c>
      <c r="E11" s="84">
        <f>TrRoad_act!E65</f>
        <v>0</v>
      </c>
      <c r="F11" s="84">
        <f>TrRoad_act!F65</f>
        <v>0</v>
      </c>
      <c r="G11" s="84">
        <f>TrRoad_act!G65</f>
        <v>0</v>
      </c>
      <c r="H11" s="84">
        <f>TrRoad_act!H65</f>
        <v>0</v>
      </c>
      <c r="I11" s="84">
        <f>TrRoad_act!I65</f>
        <v>0</v>
      </c>
      <c r="J11" s="84">
        <f>TrRoad_act!J65</f>
        <v>0</v>
      </c>
      <c r="K11" s="84">
        <f>TrRoad_act!K65</f>
        <v>0</v>
      </c>
      <c r="L11" s="84">
        <f>TrRoad_act!L65</f>
        <v>0</v>
      </c>
      <c r="M11" s="84">
        <f>TrRoad_act!M65</f>
        <v>0</v>
      </c>
      <c r="N11" s="84">
        <f>TrRoad_act!N65</f>
        <v>151</v>
      </c>
      <c r="O11" s="84">
        <f>TrRoad_act!O65</f>
        <v>144</v>
      </c>
      <c r="P11" s="84">
        <f>TrRoad_act!P65</f>
        <v>153</v>
      </c>
      <c r="Q11" s="84">
        <f>TrRoad_act!Q65</f>
        <v>174</v>
      </c>
      <c r="R11" s="84">
        <f>TrRoad_act!R65</f>
        <v>147</v>
      </c>
      <c r="S11" s="84">
        <f>TrRoad_act!S65</f>
        <v>278</v>
      </c>
      <c r="T11" s="84">
        <f>TrRoad_act!T65</f>
        <v>510</v>
      </c>
      <c r="U11" s="84">
        <f>TrRoad_act!U65</f>
        <v>798</v>
      </c>
      <c r="V11" s="84">
        <f>TrRoad_act!V65</f>
        <v>1847</v>
      </c>
      <c r="W11" s="84">
        <f>TrRoad_act!W65</f>
        <v>4840</v>
      </c>
      <c r="X11" s="84">
        <f>TrRoad_act!X65</f>
        <v>8321</v>
      </c>
      <c r="Y11" s="84">
        <f>TrRoad_act!Y65</f>
        <v>10205</v>
      </c>
      <c r="DA11" s="171" t="s">
        <v>508</v>
      </c>
    </row>
    <row r="12" spans="1:105" ht="11.45" customHeight="1" x14ac:dyDescent="0.25">
      <c r="A12" s="111" t="s">
        <v>115</v>
      </c>
      <c r="B12" s="84">
        <f>TrRoad_act!B66</f>
        <v>0</v>
      </c>
      <c r="C12" s="84">
        <f>TrRoad_act!C66</f>
        <v>0</v>
      </c>
      <c r="D12" s="84">
        <f>TrRoad_act!D66</f>
        <v>0</v>
      </c>
      <c r="E12" s="84">
        <f>TrRoad_act!E66</f>
        <v>0</v>
      </c>
      <c r="F12" s="84">
        <f>TrRoad_act!F66</f>
        <v>0</v>
      </c>
      <c r="G12" s="84">
        <f>TrRoad_act!G66</f>
        <v>0</v>
      </c>
      <c r="H12" s="84">
        <f>TrRoad_act!H66</f>
        <v>0</v>
      </c>
      <c r="I12" s="84">
        <f>TrRoad_act!I66</f>
        <v>0</v>
      </c>
      <c r="J12" s="84">
        <f>TrRoad_act!J66</f>
        <v>0</v>
      </c>
      <c r="K12" s="84">
        <f>TrRoad_act!K66</f>
        <v>1</v>
      </c>
      <c r="L12" s="84">
        <f>TrRoad_act!L66</f>
        <v>188</v>
      </c>
      <c r="M12" s="84">
        <f>TrRoad_act!M66</f>
        <v>449</v>
      </c>
      <c r="N12" s="84">
        <f>TrRoad_act!N66</f>
        <v>838</v>
      </c>
      <c r="O12" s="84">
        <f>TrRoad_act!O66</f>
        <v>1092</v>
      </c>
      <c r="P12" s="84">
        <f>TrRoad_act!P66</f>
        <v>1260</v>
      </c>
      <c r="Q12" s="84">
        <f>TrRoad_act!Q66</f>
        <v>1369</v>
      </c>
      <c r="R12" s="84">
        <f>TrRoad_act!R66</f>
        <v>1574</v>
      </c>
      <c r="S12" s="84">
        <f>TrRoad_act!S66</f>
        <v>1889</v>
      </c>
      <c r="T12" s="84">
        <f>TrRoad_act!T66</f>
        <v>2361</v>
      </c>
      <c r="U12" s="84">
        <f>TrRoad_act!U66</f>
        <v>3774</v>
      </c>
      <c r="V12" s="84">
        <f>TrRoad_act!V66</f>
        <v>5563</v>
      </c>
      <c r="W12" s="84">
        <f>TrRoad_act!W66</f>
        <v>11883</v>
      </c>
      <c r="X12" s="84">
        <f>TrRoad_act!X66</f>
        <v>23474</v>
      </c>
      <c r="Y12" s="84">
        <f>TrRoad_act!Y66</f>
        <v>38553</v>
      </c>
      <c r="DA12" s="171" t="s">
        <v>509</v>
      </c>
    </row>
    <row r="13" spans="1:105" ht="11.45" customHeight="1" x14ac:dyDescent="0.25">
      <c r="A13" s="109" t="s">
        <v>21</v>
      </c>
      <c r="B13" s="110">
        <f>TrRoad_act!B67</f>
        <v>48142</v>
      </c>
      <c r="C13" s="110">
        <f>TrRoad_act!C67</f>
        <v>47724</v>
      </c>
      <c r="D13" s="110">
        <f>TrRoad_act!D67</f>
        <v>40761</v>
      </c>
      <c r="E13" s="110">
        <f>TrRoad_act!E67</f>
        <v>41947</v>
      </c>
      <c r="F13" s="110">
        <f>TrRoad_act!F67</f>
        <v>43192</v>
      </c>
      <c r="G13" s="110">
        <f>TrRoad_act!G67</f>
        <v>39273</v>
      </c>
      <c r="H13" s="110">
        <f>TrRoad_act!H67</f>
        <v>32315</v>
      </c>
      <c r="I13" s="110">
        <f>TrRoad_act!I67</f>
        <v>34202</v>
      </c>
      <c r="J13" s="110">
        <f>TrRoad_act!J67</f>
        <v>41514</v>
      </c>
      <c r="K13" s="110">
        <f>TrRoad_act!K67</f>
        <v>41176</v>
      </c>
      <c r="L13" s="110">
        <f>TrRoad_act!L67</f>
        <v>40892</v>
      </c>
      <c r="M13" s="110">
        <f>TrRoad_act!M67</f>
        <v>40909</v>
      </c>
      <c r="N13" s="110">
        <f>TrRoad_act!N67</f>
        <v>42034</v>
      </c>
      <c r="O13" s="110">
        <f>TrRoad_act!O67</f>
        <v>42862</v>
      </c>
      <c r="P13" s="110">
        <f>TrRoad_act!P67</f>
        <v>44303</v>
      </c>
      <c r="Q13" s="110">
        <f>TrRoad_act!Q67</f>
        <v>47347</v>
      </c>
      <c r="R13" s="110">
        <f>TrRoad_act!R67</f>
        <v>48803</v>
      </c>
      <c r="S13" s="110">
        <f>TrRoad_act!S67</f>
        <v>50309</v>
      </c>
      <c r="T13" s="110">
        <f>TrRoad_act!T67</f>
        <v>51802</v>
      </c>
      <c r="U13" s="110">
        <f>TrRoad_act!U67</f>
        <v>53771</v>
      </c>
      <c r="V13" s="110">
        <f>TrRoad_act!V67</f>
        <v>54212</v>
      </c>
      <c r="W13" s="110">
        <f>TrRoad_act!W67</f>
        <v>54351</v>
      </c>
      <c r="X13" s="110">
        <f>TrRoad_act!X67</f>
        <v>54713</v>
      </c>
      <c r="Y13" s="110">
        <f>TrRoad_act!Y67</f>
        <v>55994</v>
      </c>
      <c r="DA13" s="176" t="s">
        <v>510</v>
      </c>
    </row>
    <row r="14" spans="1:105" ht="11.45" customHeight="1" x14ac:dyDescent="0.25">
      <c r="A14" s="111" t="s">
        <v>110</v>
      </c>
      <c r="B14" s="102">
        <f>TrRoad_act!B68</f>
        <v>0</v>
      </c>
      <c r="C14" s="102">
        <f>TrRoad_act!C68</f>
        <v>0</v>
      </c>
      <c r="D14" s="102">
        <f>TrRoad_act!D68</f>
        <v>0</v>
      </c>
      <c r="E14" s="102">
        <f>TrRoad_act!E68</f>
        <v>0</v>
      </c>
      <c r="F14" s="102">
        <f>TrRoad_act!F68</f>
        <v>0</v>
      </c>
      <c r="G14" s="102">
        <f>TrRoad_act!G68</f>
        <v>0</v>
      </c>
      <c r="H14" s="102">
        <f>TrRoad_act!H68</f>
        <v>0</v>
      </c>
      <c r="I14" s="102">
        <f>TrRoad_act!I68</f>
        <v>0</v>
      </c>
      <c r="J14" s="102">
        <f>TrRoad_act!J68</f>
        <v>169</v>
      </c>
      <c r="K14" s="102">
        <f>TrRoad_act!K68</f>
        <v>169</v>
      </c>
      <c r="L14" s="102">
        <f>TrRoad_act!L68</f>
        <v>169</v>
      </c>
      <c r="M14" s="102">
        <f>TrRoad_act!M68</f>
        <v>168</v>
      </c>
      <c r="N14" s="102">
        <f>TrRoad_act!N68</f>
        <v>165</v>
      </c>
      <c r="O14" s="102">
        <f>TrRoad_act!O68</f>
        <v>161</v>
      </c>
      <c r="P14" s="102">
        <f>TrRoad_act!P68</f>
        <v>156</v>
      </c>
      <c r="Q14" s="102">
        <f>TrRoad_act!Q68</f>
        <v>149</v>
      </c>
      <c r="R14" s="102">
        <f>TrRoad_act!R68</f>
        <v>142</v>
      </c>
      <c r="S14" s="102">
        <f>TrRoad_act!S68</f>
        <v>135</v>
      </c>
      <c r="T14" s="102">
        <f>TrRoad_act!T68</f>
        <v>126</v>
      </c>
      <c r="U14" s="102">
        <f>TrRoad_act!U68</f>
        <v>121</v>
      </c>
      <c r="V14" s="102">
        <f>TrRoad_act!V68</f>
        <v>120</v>
      </c>
      <c r="W14" s="102">
        <f>TrRoad_act!W68</f>
        <v>117</v>
      </c>
      <c r="X14" s="102">
        <f>TrRoad_act!X68</f>
        <v>121</v>
      </c>
      <c r="Y14" s="102">
        <f>TrRoad_act!Y68</f>
        <v>120</v>
      </c>
      <c r="DA14" s="175" t="s">
        <v>511</v>
      </c>
    </row>
    <row r="15" spans="1:105" ht="11.45" customHeight="1" x14ac:dyDescent="0.25">
      <c r="A15" s="111" t="s">
        <v>111</v>
      </c>
      <c r="B15" s="102">
        <f>TrRoad_act!B69</f>
        <v>48142</v>
      </c>
      <c r="C15" s="102">
        <f>TrRoad_act!C69</f>
        <v>47724</v>
      </c>
      <c r="D15" s="102">
        <f>TrRoad_act!D69</f>
        <v>40761</v>
      </c>
      <c r="E15" s="102">
        <f>TrRoad_act!E69</f>
        <v>41947</v>
      </c>
      <c r="F15" s="102">
        <f>TrRoad_act!F69</f>
        <v>43192</v>
      </c>
      <c r="G15" s="102">
        <f>TrRoad_act!G69</f>
        <v>39273</v>
      </c>
      <c r="H15" s="102">
        <f>TrRoad_act!H69</f>
        <v>32315</v>
      </c>
      <c r="I15" s="102">
        <f>TrRoad_act!I69</f>
        <v>34202</v>
      </c>
      <c r="J15" s="102">
        <f>TrRoad_act!J69</f>
        <v>41313</v>
      </c>
      <c r="K15" s="102">
        <f>TrRoad_act!K69</f>
        <v>40971</v>
      </c>
      <c r="L15" s="102">
        <f>TrRoad_act!L69</f>
        <v>40647</v>
      </c>
      <c r="M15" s="102">
        <f>TrRoad_act!M69</f>
        <v>40650</v>
      </c>
      <c r="N15" s="102">
        <f>TrRoad_act!N69</f>
        <v>41778</v>
      </c>
      <c r="O15" s="102">
        <f>TrRoad_act!O69</f>
        <v>42607</v>
      </c>
      <c r="P15" s="102">
        <f>TrRoad_act!P69</f>
        <v>44052</v>
      </c>
      <c r="Q15" s="102">
        <f>TrRoad_act!Q69</f>
        <v>47104</v>
      </c>
      <c r="R15" s="102">
        <f>TrRoad_act!R69</f>
        <v>48574</v>
      </c>
      <c r="S15" s="102">
        <f>TrRoad_act!S69</f>
        <v>50088</v>
      </c>
      <c r="T15" s="102">
        <f>TrRoad_act!T69</f>
        <v>51600</v>
      </c>
      <c r="U15" s="102">
        <f>TrRoad_act!U69</f>
        <v>53532</v>
      </c>
      <c r="V15" s="102">
        <f>TrRoad_act!V69</f>
        <v>53801</v>
      </c>
      <c r="W15" s="102">
        <f>TrRoad_act!W69</f>
        <v>53933</v>
      </c>
      <c r="X15" s="102">
        <f>TrRoad_act!X69</f>
        <v>54146</v>
      </c>
      <c r="Y15" s="102">
        <f>TrRoad_act!Y69</f>
        <v>54906</v>
      </c>
      <c r="DA15" s="175" t="s">
        <v>512</v>
      </c>
    </row>
    <row r="16" spans="1:105" ht="11.45" customHeight="1" x14ac:dyDescent="0.25">
      <c r="A16" s="111" t="s">
        <v>112</v>
      </c>
      <c r="B16" s="102">
        <f>TrRoad_act!B70</f>
        <v>0</v>
      </c>
      <c r="C16" s="102">
        <f>TrRoad_act!C70</f>
        <v>0</v>
      </c>
      <c r="D16" s="102">
        <f>TrRoad_act!D70</f>
        <v>0</v>
      </c>
      <c r="E16" s="102">
        <f>TrRoad_act!E70</f>
        <v>0</v>
      </c>
      <c r="F16" s="102">
        <f>TrRoad_act!F70</f>
        <v>0</v>
      </c>
      <c r="G16" s="102">
        <f>TrRoad_act!G70</f>
        <v>0</v>
      </c>
      <c r="H16" s="102">
        <f>TrRoad_act!H70</f>
        <v>0</v>
      </c>
      <c r="I16" s="102">
        <f>TrRoad_act!I70</f>
        <v>0</v>
      </c>
      <c r="J16" s="102">
        <f>TrRoad_act!J70</f>
        <v>32</v>
      </c>
      <c r="K16" s="102">
        <f>TrRoad_act!K70</f>
        <v>36</v>
      </c>
      <c r="L16" s="102">
        <f>TrRoad_act!L70</f>
        <v>76</v>
      </c>
      <c r="M16" s="102">
        <f>TrRoad_act!M70</f>
        <v>91</v>
      </c>
      <c r="N16" s="102">
        <f>TrRoad_act!N70</f>
        <v>91</v>
      </c>
      <c r="O16" s="102">
        <f>TrRoad_act!O70</f>
        <v>93</v>
      </c>
      <c r="P16" s="102">
        <f>TrRoad_act!P70</f>
        <v>93</v>
      </c>
      <c r="Q16" s="102">
        <f>TrRoad_act!Q70</f>
        <v>90</v>
      </c>
      <c r="R16" s="102">
        <f>TrRoad_act!R70</f>
        <v>82</v>
      </c>
      <c r="S16" s="102">
        <f>TrRoad_act!S70</f>
        <v>81</v>
      </c>
      <c r="T16" s="102">
        <f>TrRoad_act!T70</f>
        <v>51</v>
      </c>
      <c r="U16" s="102">
        <f>TrRoad_act!U70</f>
        <v>49</v>
      </c>
      <c r="V16" s="102">
        <f>TrRoad_act!V70</f>
        <v>48</v>
      </c>
      <c r="W16" s="102">
        <f>TrRoad_act!W70</f>
        <v>47</v>
      </c>
      <c r="X16" s="102">
        <f>TrRoad_act!X70</f>
        <v>17</v>
      </c>
      <c r="Y16" s="102">
        <f>TrRoad_act!Y70</f>
        <v>13</v>
      </c>
      <c r="DA16" s="175" t="s">
        <v>513</v>
      </c>
    </row>
    <row r="17" spans="1:105" ht="11.45" customHeight="1" x14ac:dyDescent="0.25">
      <c r="A17" s="111" t="s">
        <v>113</v>
      </c>
      <c r="B17" s="102">
        <f>TrRoad_act!B71</f>
        <v>0</v>
      </c>
      <c r="C17" s="102">
        <f>TrRoad_act!C71</f>
        <v>0</v>
      </c>
      <c r="D17" s="102">
        <f>TrRoad_act!D71</f>
        <v>0</v>
      </c>
      <c r="E17" s="102">
        <f>TrRoad_act!E71</f>
        <v>0</v>
      </c>
      <c r="F17" s="102">
        <f>TrRoad_act!F71</f>
        <v>0</v>
      </c>
      <c r="G17" s="102">
        <f>TrRoad_act!G71</f>
        <v>0</v>
      </c>
      <c r="H17" s="102">
        <f>TrRoad_act!H71</f>
        <v>0</v>
      </c>
      <c r="I17" s="102">
        <f>TrRoad_act!I71</f>
        <v>0</v>
      </c>
      <c r="J17" s="102">
        <f>TrRoad_act!J71</f>
        <v>0</v>
      </c>
      <c r="K17" s="102">
        <f>TrRoad_act!K71</f>
        <v>0</v>
      </c>
      <c r="L17" s="102">
        <f>TrRoad_act!L71</f>
        <v>0</v>
      </c>
      <c r="M17" s="102">
        <f>TrRoad_act!M71</f>
        <v>0</v>
      </c>
      <c r="N17" s="102">
        <f>TrRoad_act!N71</f>
        <v>0</v>
      </c>
      <c r="O17" s="102">
        <f>TrRoad_act!O71</f>
        <v>0</v>
      </c>
      <c r="P17" s="102">
        <f>TrRoad_act!P71</f>
        <v>0</v>
      </c>
      <c r="Q17" s="102">
        <f>TrRoad_act!Q71</f>
        <v>0</v>
      </c>
      <c r="R17" s="102">
        <f>TrRoad_act!R71</f>
        <v>0</v>
      </c>
      <c r="S17" s="102">
        <f>TrRoad_act!S71</f>
        <v>0</v>
      </c>
      <c r="T17" s="102">
        <f>TrRoad_act!T71</f>
        <v>0</v>
      </c>
      <c r="U17" s="102">
        <f>TrRoad_act!U71</f>
        <v>0</v>
      </c>
      <c r="V17" s="102">
        <f>TrRoad_act!V71</f>
        <v>0</v>
      </c>
      <c r="W17" s="102">
        <f>TrRoad_act!W71</f>
        <v>0</v>
      </c>
      <c r="X17" s="102">
        <f>TrRoad_act!X71</f>
        <v>0</v>
      </c>
      <c r="Y17" s="102">
        <f>TrRoad_act!Y71</f>
        <v>0</v>
      </c>
      <c r="DA17" s="175" t="s">
        <v>514</v>
      </c>
    </row>
    <row r="18" spans="1:105" ht="11.45" customHeight="1" x14ac:dyDescent="0.25">
      <c r="A18" s="111" t="s">
        <v>115</v>
      </c>
      <c r="B18" s="102">
        <f>TrRoad_act!B72</f>
        <v>0</v>
      </c>
      <c r="C18" s="102">
        <f>TrRoad_act!C72</f>
        <v>0</v>
      </c>
      <c r="D18" s="102">
        <f>TrRoad_act!D72</f>
        <v>0</v>
      </c>
      <c r="E18" s="102">
        <f>TrRoad_act!E72</f>
        <v>0</v>
      </c>
      <c r="F18" s="102">
        <f>TrRoad_act!F72</f>
        <v>0</v>
      </c>
      <c r="G18" s="102">
        <f>TrRoad_act!G72</f>
        <v>0</v>
      </c>
      <c r="H18" s="102">
        <f>TrRoad_act!H72</f>
        <v>0</v>
      </c>
      <c r="I18" s="102">
        <f>TrRoad_act!I72</f>
        <v>0</v>
      </c>
      <c r="J18" s="102">
        <f>TrRoad_act!J72</f>
        <v>0</v>
      </c>
      <c r="K18" s="102">
        <f>TrRoad_act!K72</f>
        <v>0</v>
      </c>
      <c r="L18" s="102">
        <f>TrRoad_act!L72</f>
        <v>0</v>
      </c>
      <c r="M18" s="102">
        <f>TrRoad_act!M72</f>
        <v>0</v>
      </c>
      <c r="N18" s="102">
        <f>TrRoad_act!N72</f>
        <v>0</v>
      </c>
      <c r="O18" s="102">
        <f>TrRoad_act!O72</f>
        <v>1</v>
      </c>
      <c r="P18" s="102">
        <f>TrRoad_act!P72</f>
        <v>2</v>
      </c>
      <c r="Q18" s="102">
        <f>TrRoad_act!Q72</f>
        <v>4</v>
      </c>
      <c r="R18" s="102">
        <f>TrRoad_act!R72</f>
        <v>5</v>
      </c>
      <c r="S18" s="102">
        <f>TrRoad_act!S72</f>
        <v>5</v>
      </c>
      <c r="T18" s="102">
        <f>TrRoad_act!T72</f>
        <v>25</v>
      </c>
      <c r="U18" s="102">
        <f>TrRoad_act!U72</f>
        <v>69</v>
      </c>
      <c r="V18" s="102">
        <f>TrRoad_act!V72</f>
        <v>243</v>
      </c>
      <c r="W18" s="102">
        <f>TrRoad_act!W72</f>
        <v>254</v>
      </c>
      <c r="X18" s="102">
        <f>TrRoad_act!X72</f>
        <v>429</v>
      </c>
      <c r="Y18" s="102">
        <f>TrRoad_act!Y72</f>
        <v>955</v>
      </c>
      <c r="DA18" s="175" t="s">
        <v>515</v>
      </c>
    </row>
    <row r="19" spans="1:105" ht="11.45" customHeight="1" x14ac:dyDescent="0.25">
      <c r="A19" s="27" t="s">
        <v>34</v>
      </c>
      <c r="B19" s="28">
        <f>TrRoad_act!B73</f>
        <v>377906</v>
      </c>
      <c r="C19" s="28">
        <f>TrRoad_act!C73</f>
        <v>389874</v>
      </c>
      <c r="D19" s="28">
        <f>TrRoad_act!D73</f>
        <v>397051</v>
      </c>
      <c r="E19" s="28">
        <f>TrRoad_act!E73</f>
        <v>421307</v>
      </c>
      <c r="F19" s="28">
        <f>TrRoad_act!F73</f>
        <v>438560</v>
      </c>
      <c r="G19" s="28">
        <f>TrRoad_act!G73</f>
        <v>464019</v>
      </c>
      <c r="H19" s="28">
        <f>TrRoad_act!H73</f>
        <v>511337</v>
      </c>
      <c r="I19" s="28">
        <f>TrRoad_act!I73</f>
        <v>532477</v>
      </c>
      <c r="J19" s="28">
        <f>TrRoad_act!J73</f>
        <v>591484</v>
      </c>
      <c r="K19" s="28">
        <f>TrRoad_act!K73</f>
        <v>607205</v>
      </c>
      <c r="L19" s="28">
        <f>TrRoad_act!L73</f>
        <v>604351</v>
      </c>
      <c r="M19" s="28">
        <f>TrRoad_act!M73</f>
        <v>620389</v>
      </c>
      <c r="N19" s="28">
        <f>TrRoad_act!N73</f>
        <v>631889</v>
      </c>
      <c r="O19" s="28">
        <f>TrRoad_act!O73</f>
        <v>658337</v>
      </c>
      <c r="P19" s="28">
        <f>TrRoad_act!P73</f>
        <v>697327</v>
      </c>
      <c r="Q19" s="28">
        <f>TrRoad_act!Q73</f>
        <v>718695</v>
      </c>
      <c r="R19" s="28">
        <f>TrRoad_act!R73</f>
        <v>729157</v>
      </c>
      <c r="S19" s="28">
        <f>TrRoad_act!S73</f>
        <v>762648</v>
      </c>
      <c r="T19" s="28">
        <f>TrRoad_act!T73</f>
        <v>812709</v>
      </c>
      <c r="U19" s="28">
        <f>TrRoad_act!U73</f>
        <v>858031</v>
      </c>
      <c r="V19" s="28">
        <f>TrRoad_act!V73</f>
        <v>903222</v>
      </c>
      <c r="W19" s="28">
        <f>TrRoad_act!W73</f>
        <v>942168</v>
      </c>
      <c r="X19" s="28">
        <f>TrRoad_act!X73</f>
        <v>967405</v>
      </c>
      <c r="Y19" s="28">
        <f>TrRoad_act!Y73</f>
        <v>988298</v>
      </c>
      <c r="DA19" s="173" t="s">
        <v>516</v>
      </c>
    </row>
    <row r="20" spans="1:105" ht="11.45" customHeight="1" x14ac:dyDescent="0.25">
      <c r="A20" s="136" t="s">
        <v>153</v>
      </c>
      <c r="B20" s="137">
        <f>TrRoad_act!B74</f>
        <v>320155</v>
      </c>
      <c r="C20" s="137">
        <f>TrRoad_act!C74</f>
        <v>328399</v>
      </c>
      <c r="D20" s="137">
        <f>TrRoad_act!D74</f>
        <v>335513</v>
      </c>
      <c r="E20" s="137">
        <f>TrRoad_act!E74</f>
        <v>347565</v>
      </c>
      <c r="F20" s="137">
        <f>TrRoad_act!F74</f>
        <v>362316</v>
      </c>
      <c r="G20" s="137">
        <f>TrRoad_act!G74</f>
        <v>371018</v>
      </c>
      <c r="H20" s="137">
        <f>TrRoad_act!H74</f>
        <v>410366</v>
      </c>
      <c r="I20" s="137">
        <f>TrRoad_act!I74</f>
        <v>432232</v>
      </c>
      <c r="J20" s="137">
        <f>TrRoad_act!J74</f>
        <v>486990</v>
      </c>
      <c r="K20" s="137">
        <f>TrRoad_act!K74</f>
        <v>499692</v>
      </c>
      <c r="L20" s="137">
        <f>TrRoad_act!L74</f>
        <v>503773</v>
      </c>
      <c r="M20" s="137">
        <f>TrRoad_act!M74</f>
        <v>526063</v>
      </c>
      <c r="N20" s="137">
        <f>TrRoad_act!N74</f>
        <v>544089</v>
      </c>
      <c r="O20" s="137">
        <f>TrRoad_act!O74</f>
        <v>572873</v>
      </c>
      <c r="P20" s="137">
        <f>TrRoad_act!P74</f>
        <v>615903</v>
      </c>
      <c r="Q20" s="137">
        <f>TrRoad_act!Q74</f>
        <v>645549</v>
      </c>
      <c r="R20" s="137">
        <f>TrRoad_act!R74</f>
        <v>663503</v>
      </c>
      <c r="S20" s="137">
        <f>TrRoad_act!S74</f>
        <v>700987</v>
      </c>
      <c r="T20" s="137">
        <f>TrRoad_act!T74</f>
        <v>753029</v>
      </c>
      <c r="U20" s="137">
        <f>TrRoad_act!U74</f>
        <v>797135</v>
      </c>
      <c r="V20" s="137">
        <f>TrRoad_act!V74</f>
        <v>839103</v>
      </c>
      <c r="W20" s="137">
        <f>TrRoad_act!W74</f>
        <v>877319</v>
      </c>
      <c r="X20" s="137">
        <f>TrRoad_act!X74</f>
        <v>904827</v>
      </c>
      <c r="Y20" s="137">
        <f>TrRoad_act!Y74</f>
        <v>925750</v>
      </c>
      <c r="DA20" s="174" t="s">
        <v>517</v>
      </c>
    </row>
    <row r="21" spans="1:105" ht="11.45" customHeight="1" x14ac:dyDescent="0.25">
      <c r="A21" s="111" t="s">
        <v>110</v>
      </c>
      <c r="B21" s="84">
        <f>TrRoad_act!B75</f>
        <v>130188</v>
      </c>
      <c r="C21" s="84">
        <f>TrRoad_act!C75</f>
        <v>131096</v>
      </c>
      <c r="D21" s="84">
        <f>TrRoad_act!D75</f>
        <v>131545</v>
      </c>
      <c r="E21" s="84">
        <f>TrRoad_act!E75</f>
        <v>133628</v>
      </c>
      <c r="F21" s="84">
        <f>TrRoad_act!F75</f>
        <v>136509</v>
      </c>
      <c r="G21" s="84">
        <f>TrRoad_act!G75</f>
        <v>137260</v>
      </c>
      <c r="H21" s="84">
        <f>TrRoad_act!H75</f>
        <v>147870</v>
      </c>
      <c r="I21" s="84">
        <f>TrRoad_act!I75</f>
        <v>152513</v>
      </c>
      <c r="J21" s="84">
        <f>TrRoad_act!J75</f>
        <v>152235</v>
      </c>
      <c r="K21" s="84">
        <f>TrRoad_act!K75</f>
        <v>150669</v>
      </c>
      <c r="L21" s="84">
        <f>TrRoad_act!L75</f>
        <v>145203</v>
      </c>
      <c r="M21" s="84">
        <f>TrRoad_act!M75</f>
        <v>140466</v>
      </c>
      <c r="N21" s="84">
        <f>TrRoad_act!N75</f>
        <v>136544</v>
      </c>
      <c r="O21" s="84">
        <f>TrRoad_act!O75</f>
        <v>127322</v>
      </c>
      <c r="P21" s="84">
        <f>TrRoad_act!P75</f>
        <v>119204</v>
      </c>
      <c r="Q21" s="84">
        <f>TrRoad_act!Q75</f>
        <v>106409</v>
      </c>
      <c r="R21" s="84">
        <f>TrRoad_act!R75</f>
        <v>111438</v>
      </c>
      <c r="S21" s="84">
        <f>TrRoad_act!S75</f>
        <v>114170</v>
      </c>
      <c r="T21" s="84">
        <f>TrRoad_act!T75</f>
        <v>115134</v>
      </c>
      <c r="U21" s="84">
        <f>TrRoad_act!U75</f>
        <v>112059</v>
      </c>
      <c r="V21" s="84">
        <f>TrRoad_act!V75</f>
        <v>110367</v>
      </c>
      <c r="W21" s="84">
        <f>TrRoad_act!W75</f>
        <v>108220</v>
      </c>
      <c r="X21" s="84">
        <f>TrRoad_act!X75</f>
        <v>106551</v>
      </c>
      <c r="Y21" s="84">
        <f>TrRoad_act!Y75</f>
        <v>105741</v>
      </c>
      <c r="DA21" s="171" t="s">
        <v>518</v>
      </c>
    </row>
    <row r="22" spans="1:105" ht="11.45" customHeight="1" x14ac:dyDescent="0.25">
      <c r="A22" s="111" t="s">
        <v>111</v>
      </c>
      <c r="B22" s="84">
        <f>TrRoad_act!B76</f>
        <v>189967</v>
      </c>
      <c r="C22" s="84">
        <f>TrRoad_act!C76</f>
        <v>197303</v>
      </c>
      <c r="D22" s="84">
        <f>TrRoad_act!D76</f>
        <v>203968</v>
      </c>
      <c r="E22" s="84">
        <f>TrRoad_act!E76</f>
        <v>213937</v>
      </c>
      <c r="F22" s="84">
        <f>TrRoad_act!F76</f>
        <v>225807</v>
      </c>
      <c r="G22" s="84">
        <f>TrRoad_act!G76</f>
        <v>233758</v>
      </c>
      <c r="H22" s="84">
        <f>TrRoad_act!H76</f>
        <v>262496</v>
      </c>
      <c r="I22" s="84">
        <f>TrRoad_act!I76</f>
        <v>279719</v>
      </c>
      <c r="J22" s="84">
        <f>TrRoad_act!J76</f>
        <v>334753</v>
      </c>
      <c r="K22" s="84">
        <f>TrRoad_act!K76</f>
        <v>349021</v>
      </c>
      <c r="L22" s="84">
        <f>TrRoad_act!L76</f>
        <v>358566</v>
      </c>
      <c r="M22" s="84">
        <f>TrRoad_act!M76</f>
        <v>385590</v>
      </c>
      <c r="N22" s="84">
        <f>TrRoad_act!N76</f>
        <v>407529</v>
      </c>
      <c r="O22" s="84">
        <f>TrRoad_act!O76</f>
        <v>445531</v>
      </c>
      <c r="P22" s="84">
        <f>TrRoad_act!P76</f>
        <v>496674</v>
      </c>
      <c r="Q22" s="84">
        <f>TrRoad_act!Q76</f>
        <v>539118</v>
      </c>
      <c r="R22" s="84">
        <f>TrRoad_act!R76</f>
        <v>552036</v>
      </c>
      <c r="S22" s="84">
        <f>TrRoad_act!S76</f>
        <v>586774</v>
      </c>
      <c r="T22" s="84">
        <f>TrRoad_act!T76</f>
        <v>637815</v>
      </c>
      <c r="U22" s="84">
        <f>TrRoad_act!U76</f>
        <v>684940</v>
      </c>
      <c r="V22" s="84">
        <f>TrRoad_act!V76</f>
        <v>728513</v>
      </c>
      <c r="W22" s="84">
        <f>TrRoad_act!W76</f>
        <v>768783</v>
      </c>
      <c r="X22" s="84">
        <f>TrRoad_act!X76</f>
        <v>797742</v>
      </c>
      <c r="Y22" s="84">
        <f>TrRoad_act!Y76</f>
        <v>818943</v>
      </c>
      <c r="DA22" s="171" t="s">
        <v>519</v>
      </c>
    </row>
    <row r="23" spans="1:105" ht="11.45" customHeight="1" x14ac:dyDescent="0.25">
      <c r="A23" s="111" t="s">
        <v>112</v>
      </c>
      <c r="B23" s="84">
        <f>TrRoad_act!B77</f>
        <v>0</v>
      </c>
      <c r="C23" s="84">
        <f>TrRoad_act!C77</f>
        <v>0</v>
      </c>
      <c r="D23" s="84">
        <f>TrRoad_act!D77</f>
        <v>0</v>
      </c>
      <c r="E23" s="84">
        <f>TrRoad_act!E77</f>
        <v>0</v>
      </c>
      <c r="F23" s="84">
        <f>TrRoad_act!F77</f>
        <v>0</v>
      </c>
      <c r="G23" s="84">
        <f>TrRoad_act!G77</f>
        <v>0</v>
      </c>
      <c r="H23" s="84">
        <f>TrRoad_act!H77</f>
        <v>0</v>
      </c>
      <c r="I23" s="84">
        <f>TrRoad_act!I77</f>
        <v>0</v>
      </c>
      <c r="J23" s="84">
        <f>TrRoad_act!J77</f>
        <v>2</v>
      </c>
      <c r="K23" s="84">
        <f>TrRoad_act!K77</f>
        <v>2</v>
      </c>
      <c r="L23" s="84">
        <f>TrRoad_act!L77</f>
        <v>2</v>
      </c>
      <c r="M23" s="84">
        <f>TrRoad_act!M77</f>
        <v>4</v>
      </c>
      <c r="N23" s="84">
        <f>TrRoad_act!N77</f>
        <v>10</v>
      </c>
      <c r="O23" s="84">
        <f>TrRoad_act!O77</f>
        <v>10</v>
      </c>
      <c r="P23" s="84">
        <f>TrRoad_act!P77</f>
        <v>12</v>
      </c>
      <c r="Q23" s="84">
        <f>TrRoad_act!Q77</f>
        <v>10</v>
      </c>
      <c r="R23" s="84">
        <f>TrRoad_act!R77</f>
        <v>13</v>
      </c>
      <c r="S23" s="84">
        <f>TrRoad_act!S77</f>
        <v>13</v>
      </c>
      <c r="T23" s="84">
        <f>TrRoad_act!T77</f>
        <v>12</v>
      </c>
      <c r="U23" s="84">
        <f>TrRoad_act!U77</f>
        <v>12</v>
      </c>
      <c r="V23" s="84">
        <f>TrRoad_act!V77</f>
        <v>11</v>
      </c>
      <c r="W23" s="84">
        <f>TrRoad_act!W77</f>
        <v>15</v>
      </c>
      <c r="X23" s="84">
        <f>TrRoad_act!X77</f>
        <v>34</v>
      </c>
      <c r="Y23" s="84">
        <f>TrRoad_act!Y77</f>
        <v>50</v>
      </c>
      <c r="DA23" s="171" t="s">
        <v>520</v>
      </c>
    </row>
    <row r="24" spans="1:105" ht="11.45" customHeight="1" x14ac:dyDescent="0.25">
      <c r="A24" s="111" t="s">
        <v>113</v>
      </c>
      <c r="B24" s="84">
        <f>TrRoad_act!B78</f>
        <v>0</v>
      </c>
      <c r="C24" s="84">
        <f>TrRoad_act!C78</f>
        <v>0</v>
      </c>
      <c r="D24" s="84">
        <f>TrRoad_act!D78</f>
        <v>0</v>
      </c>
      <c r="E24" s="84">
        <f>TrRoad_act!E78</f>
        <v>0</v>
      </c>
      <c r="F24" s="84">
        <f>TrRoad_act!F78</f>
        <v>0</v>
      </c>
      <c r="G24" s="84">
        <f>TrRoad_act!G78</f>
        <v>0</v>
      </c>
      <c r="H24" s="84">
        <f>TrRoad_act!H78</f>
        <v>0</v>
      </c>
      <c r="I24" s="84">
        <f>TrRoad_act!I78</f>
        <v>0</v>
      </c>
      <c r="J24" s="84">
        <f>TrRoad_act!J78</f>
        <v>0</v>
      </c>
      <c r="K24" s="84">
        <f>TrRoad_act!K78</f>
        <v>0</v>
      </c>
      <c r="L24" s="84">
        <f>TrRoad_act!L78</f>
        <v>0</v>
      </c>
      <c r="M24" s="84">
        <f>TrRoad_act!M78</f>
        <v>0</v>
      </c>
      <c r="N24" s="84">
        <f>TrRoad_act!N78</f>
        <v>0</v>
      </c>
      <c r="O24" s="84">
        <f>TrRoad_act!O78</f>
        <v>0</v>
      </c>
      <c r="P24" s="84">
        <f>TrRoad_act!P78</f>
        <v>0</v>
      </c>
      <c r="Q24" s="84">
        <f>TrRoad_act!Q78</f>
        <v>0</v>
      </c>
      <c r="R24" s="84">
        <f>TrRoad_act!R78</f>
        <v>0</v>
      </c>
      <c r="S24" s="84">
        <f>TrRoad_act!S78</f>
        <v>0</v>
      </c>
      <c r="T24" s="84">
        <f>TrRoad_act!T78</f>
        <v>0</v>
      </c>
      <c r="U24" s="84">
        <f>TrRoad_act!U78</f>
        <v>0</v>
      </c>
      <c r="V24" s="84">
        <f>TrRoad_act!V78</f>
        <v>0</v>
      </c>
      <c r="W24" s="84">
        <f>TrRoad_act!W78</f>
        <v>0</v>
      </c>
      <c r="X24" s="84">
        <f>TrRoad_act!X78</f>
        <v>0</v>
      </c>
      <c r="Y24" s="84">
        <f>TrRoad_act!Y78</f>
        <v>0</v>
      </c>
      <c r="DA24" s="171" t="s">
        <v>521</v>
      </c>
    </row>
    <row r="25" spans="1:105" ht="11.45" customHeight="1" x14ac:dyDescent="0.25">
      <c r="A25" s="111" t="s">
        <v>115</v>
      </c>
      <c r="B25" s="84">
        <f>TrRoad_act!B79</f>
        <v>0</v>
      </c>
      <c r="C25" s="84">
        <f>TrRoad_act!C79</f>
        <v>0</v>
      </c>
      <c r="D25" s="84">
        <f>TrRoad_act!D79</f>
        <v>0</v>
      </c>
      <c r="E25" s="84">
        <f>TrRoad_act!E79</f>
        <v>0</v>
      </c>
      <c r="F25" s="84">
        <f>TrRoad_act!F79</f>
        <v>0</v>
      </c>
      <c r="G25" s="84">
        <f>TrRoad_act!G79</f>
        <v>0</v>
      </c>
      <c r="H25" s="84">
        <f>TrRoad_act!H79</f>
        <v>0</v>
      </c>
      <c r="I25" s="84">
        <f>TrRoad_act!I79</f>
        <v>0</v>
      </c>
      <c r="J25" s="84">
        <f>TrRoad_act!J79</f>
        <v>0</v>
      </c>
      <c r="K25" s="84">
        <f>TrRoad_act!K79</f>
        <v>0</v>
      </c>
      <c r="L25" s="84">
        <f>TrRoad_act!L79</f>
        <v>2</v>
      </c>
      <c r="M25" s="84">
        <f>TrRoad_act!M79</f>
        <v>3</v>
      </c>
      <c r="N25" s="84">
        <f>TrRoad_act!N79</f>
        <v>6</v>
      </c>
      <c r="O25" s="84">
        <f>TrRoad_act!O79</f>
        <v>10</v>
      </c>
      <c r="P25" s="84">
        <f>TrRoad_act!P79</f>
        <v>13</v>
      </c>
      <c r="Q25" s="84">
        <f>TrRoad_act!Q79</f>
        <v>12</v>
      </c>
      <c r="R25" s="84">
        <f>TrRoad_act!R79</f>
        <v>16</v>
      </c>
      <c r="S25" s="84">
        <f>TrRoad_act!S79</f>
        <v>30</v>
      </c>
      <c r="T25" s="84">
        <f>TrRoad_act!T79</f>
        <v>68</v>
      </c>
      <c r="U25" s="84">
        <f>TrRoad_act!U79</f>
        <v>124</v>
      </c>
      <c r="V25" s="84">
        <f>TrRoad_act!V79</f>
        <v>212</v>
      </c>
      <c r="W25" s="84">
        <f>TrRoad_act!W79</f>
        <v>301</v>
      </c>
      <c r="X25" s="84">
        <f>TrRoad_act!X79</f>
        <v>500</v>
      </c>
      <c r="Y25" s="84">
        <f>TrRoad_act!Y79</f>
        <v>1016</v>
      </c>
      <c r="DA25" s="171" t="s">
        <v>522</v>
      </c>
    </row>
    <row r="26" spans="1:105" ht="11.45" customHeight="1" x14ac:dyDescent="0.25">
      <c r="A26" s="109" t="s">
        <v>154</v>
      </c>
      <c r="B26" s="110">
        <f>TrRoad_act!B80</f>
        <v>57751</v>
      </c>
      <c r="C26" s="110">
        <f>TrRoad_act!C80</f>
        <v>61475</v>
      </c>
      <c r="D26" s="110">
        <f>TrRoad_act!D80</f>
        <v>61538</v>
      </c>
      <c r="E26" s="110">
        <f>TrRoad_act!E80</f>
        <v>73742</v>
      </c>
      <c r="F26" s="110">
        <f>TrRoad_act!F80</f>
        <v>76244</v>
      </c>
      <c r="G26" s="110">
        <f>TrRoad_act!G80</f>
        <v>93001</v>
      </c>
      <c r="H26" s="110">
        <f>TrRoad_act!H80</f>
        <v>100971</v>
      </c>
      <c r="I26" s="110">
        <f>TrRoad_act!I80</f>
        <v>100245</v>
      </c>
      <c r="J26" s="110">
        <f>TrRoad_act!J80</f>
        <v>104494</v>
      </c>
      <c r="K26" s="110">
        <f>TrRoad_act!K80</f>
        <v>107513</v>
      </c>
      <c r="L26" s="110">
        <f>TrRoad_act!L80</f>
        <v>100578</v>
      </c>
      <c r="M26" s="110">
        <f>TrRoad_act!M80</f>
        <v>94326</v>
      </c>
      <c r="N26" s="110">
        <f>TrRoad_act!N80</f>
        <v>87800</v>
      </c>
      <c r="O26" s="110">
        <f>TrRoad_act!O80</f>
        <v>85464</v>
      </c>
      <c r="P26" s="110">
        <f>TrRoad_act!P80</f>
        <v>81424</v>
      </c>
      <c r="Q26" s="110">
        <f>TrRoad_act!Q80</f>
        <v>73146</v>
      </c>
      <c r="R26" s="110">
        <f>TrRoad_act!R80</f>
        <v>65654</v>
      </c>
      <c r="S26" s="110">
        <f>TrRoad_act!S80</f>
        <v>61661</v>
      </c>
      <c r="T26" s="110">
        <f>TrRoad_act!T80</f>
        <v>59680</v>
      </c>
      <c r="U26" s="110">
        <f>TrRoad_act!U80</f>
        <v>60896</v>
      </c>
      <c r="V26" s="110">
        <f>TrRoad_act!V80</f>
        <v>64119</v>
      </c>
      <c r="W26" s="110">
        <f>TrRoad_act!W80</f>
        <v>64849</v>
      </c>
      <c r="X26" s="110">
        <f>TrRoad_act!X80</f>
        <v>62578</v>
      </c>
      <c r="Y26" s="110">
        <f>TrRoad_act!Y80</f>
        <v>62548</v>
      </c>
      <c r="DA26" s="176" t="s">
        <v>837</v>
      </c>
    </row>
    <row r="27" spans="1:105" ht="11.45" customHeight="1" x14ac:dyDescent="0.25">
      <c r="A27" s="128" t="s">
        <v>27</v>
      </c>
      <c r="B27" s="102">
        <f>TrRoad_act!B81</f>
        <v>49944</v>
      </c>
      <c r="C27" s="102">
        <f>TrRoad_act!C81</f>
        <v>53105</v>
      </c>
      <c r="D27" s="102">
        <f>TrRoad_act!D81</f>
        <v>52732</v>
      </c>
      <c r="E27" s="102">
        <f>TrRoad_act!E81</f>
        <v>64741</v>
      </c>
      <c r="F27" s="102">
        <f>TrRoad_act!F81</f>
        <v>65601</v>
      </c>
      <c r="G27" s="102">
        <f>TrRoad_act!G81</f>
        <v>81984</v>
      </c>
      <c r="H27" s="102">
        <f>TrRoad_act!H81</f>
        <v>92746</v>
      </c>
      <c r="I27" s="102">
        <f>TrRoad_act!I81</f>
        <v>91925</v>
      </c>
      <c r="J27" s="102">
        <f>TrRoad_act!J81</f>
        <v>97926</v>
      </c>
      <c r="K27" s="102">
        <f>TrRoad_act!K81</f>
        <v>103855</v>
      </c>
      <c r="L27" s="102">
        <f>TrRoad_act!L81</f>
        <v>97658</v>
      </c>
      <c r="M27" s="102">
        <f>TrRoad_act!M81</f>
        <v>91338</v>
      </c>
      <c r="N27" s="102">
        <f>TrRoad_act!N81</f>
        <v>84296</v>
      </c>
      <c r="O27" s="102">
        <f>TrRoad_act!O81</f>
        <v>81705</v>
      </c>
      <c r="P27" s="102">
        <f>TrRoad_act!P81</f>
        <v>77755</v>
      </c>
      <c r="Q27" s="102">
        <f>TrRoad_act!Q81</f>
        <v>69456</v>
      </c>
      <c r="R27" s="102">
        <f>TrRoad_act!R81</f>
        <v>61534</v>
      </c>
      <c r="S27" s="102">
        <f>TrRoad_act!S81</f>
        <v>56754</v>
      </c>
      <c r="T27" s="102">
        <f>TrRoad_act!T81</f>
        <v>55031</v>
      </c>
      <c r="U27" s="102">
        <f>TrRoad_act!U81</f>
        <v>56177</v>
      </c>
      <c r="V27" s="102">
        <f>TrRoad_act!V81</f>
        <v>60389</v>
      </c>
      <c r="W27" s="102">
        <f>TrRoad_act!W81</f>
        <v>59544</v>
      </c>
      <c r="X27" s="102">
        <f>TrRoad_act!X81</f>
        <v>57298</v>
      </c>
      <c r="Y27" s="102">
        <f>TrRoad_act!Y81</f>
        <v>57062</v>
      </c>
      <c r="DA27" s="175" t="s">
        <v>524</v>
      </c>
    </row>
    <row r="28" spans="1:105" ht="11.45" customHeight="1" x14ac:dyDescent="0.25">
      <c r="A28" s="138" t="s">
        <v>116</v>
      </c>
      <c r="B28" s="86">
        <f>TrRoad_act!B82</f>
        <v>7807</v>
      </c>
      <c r="C28" s="86">
        <f>TrRoad_act!C82</f>
        <v>8370</v>
      </c>
      <c r="D28" s="86">
        <f>TrRoad_act!D82</f>
        <v>8806</v>
      </c>
      <c r="E28" s="86">
        <f>TrRoad_act!E82</f>
        <v>9001</v>
      </c>
      <c r="F28" s="86">
        <f>TrRoad_act!F82</f>
        <v>10643</v>
      </c>
      <c r="G28" s="86">
        <f>TrRoad_act!G82</f>
        <v>11017</v>
      </c>
      <c r="H28" s="86">
        <f>TrRoad_act!H82</f>
        <v>8225</v>
      </c>
      <c r="I28" s="86">
        <f>TrRoad_act!I82</f>
        <v>8320</v>
      </c>
      <c r="J28" s="86">
        <f>TrRoad_act!J82</f>
        <v>6568</v>
      </c>
      <c r="K28" s="86">
        <f>TrRoad_act!K82</f>
        <v>3658</v>
      </c>
      <c r="L28" s="86">
        <f>TrRoad_act!L82</f>
        <v>2920</v>
      </c>
      <c r="M28" s="86">
        <f>TrRoad_act!M82</f>
        <v>2988</v>
      </c>
      <c r="N28" s="86">
        <f>TrRoad_act!N82</f>
        <v>3504</v>
      </c>
      <c r="O28" s="86">
        <f>TrRoad_act!O82</f>
        <v>3759</v>
      </c>
      <c r="P28" s="86">
        <f>TrRoad_act!P82</f>
        <v>3669</v>
      </c>
      <c r="Q28" s="86">
        <f>TrRoad_act!Q82</f>
        <v>3690</v>
      </c>
      <c r="R28" s="86">
        <f>TrRoad_act!R82</f>
        <v>4120</v>
      </c>
      <c r="S28" s="86">
        <f>TrRoad_act!S82</f>
        <v>4907</v>
      </c>
      <c r="T28" s="86">
        <f>TrRoad_act!T82</f>
        <v>4649</v>
      </c>
      <c r="U28" s="86">
        <f>TrRoad_act!U82</f>
        <v>4719</v>
      </c>
      <c r="V28" s="86">
        <f>TrRoad_act!V82</f>
        <v>3730</v>
      </c>
      <c r="W28" s="86">
        <f>TrRoad_act!W82</f>
        <v>5305</v>
      </c>
      <c r="X28" s="86">
        <f>TrRoad_act!X82</f>
        <v>5280</v>
      </c>
      <c r="Y28" s="86">
        <f>TrRoad_act!Y82</f>
        <v>5486</v>
      </c>
      <c r="DA28" s="178" t="s">
        <v>525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DA29" s="171"/>
    </row>
    <row r="30" spans="1:105" ht="11.45" customHeight="1" x14ac:dyDescent="0.25">
      <c r="A30" s="53" t="s">
        <v>117</v>
      </c>
      <c r="B30" s="54">
        <f>TrRoad_act!B111</f>
        <v>196081</v>
      </c>
      <c r="C30" s="54">
        <f>TrRoad_act!C111</f>
        <v>252260</v>
      </c>
      <c r="D30" s="54">
        <f>TrRoad_act!D111</f>
        <v>233468</v>
      </c>
      <c r="E30" s="54">
        <f>TrRoad_act!E111</f>
        <v>287218</v>
      </c>
      <c r="F30" s="54">
        <f>TrRoad_act!F111</f>
        <v>274441</v>
      </c>
      <c r="G30" s="54">
        <f>TrRoad_act!G111</f>
        <v>323801</v>
      </c>
      <c r="H30" s="54">
        <f>TrRoad_act!H111</f>
        <v>554267</v>
      </c>
      <c r="I30" s="54">
        <f>TrRoad_act!I111</f>
        <v>716541</v>
      </c>
      <c r="J30" s="54">
        <f>TrRoad_act!J111</f>
        <v>997270</v>
      </c>
      <c r="K30" s="54">
        <f>TrRoad_act!K111</f>
        <v>554880</v>
      </c>
      <c r="L30" s="54">
        <f>TrRoad_act!L111</f>
        <v>510372</v>
      </c>
      <c r="M30" s="54">
        <f>TrRoad_act!M111</f>
        <v>330207</v>
      </c>
      <c r="N30" s="54">
        <f>TrRoad_act!N111</f>
        <v>429574</v>
      </c>
      <c r="O30" s="54">
        <f>TrRoad_act!O111</f>
        <v>502149</v>
      </c>
      <c r="P30" s="54">
        <f>TrRoad_act!P111</f>
        <v>518587</v>
      </c>
      <c r="Q30" s="54">
        <f>TrRoad_act!Q111</f>
        <v>500649</v>
      </c>
      <c r="R30" s="54">
        <f>TrRoad_act!R111</f>
        <v>523946</v>
      </c>
      <c r="S30" s="54">
        <f>TrRoad_act!S111</f>
        <v>767928</v>
      </c>
      <c r="T30" s="54">
        <f>TrRoad_act!T111</f>
        <v>820849</v>
      </c>
      <c r="U30" s="54">
        <f>TrRoad_act!U111</f>
        <v>853641</v>
      </c>
      <c r="V30" s="54">
        <f>TrRoad_act!V111</f>
        <v>814512</v>
      </c>
      <c r="W30" s="54">
        <f>TrRoad_act!W111</f>
        <v>824805</v>
      </c>
      <c r="X30" s="54">
        <f>TrRoad_act!X111</f>
        <v>801896</v>
      </c>
      <c r="Y30" s="54">
        <f>TrRoad_act!Y111</f>
        <v>825138</v>
      </c>
      <c r="DA30" s="172" t="s">
        <v>526</v>
      </c>
    </row>
    <row r="31" spans="1:105" ht="11.45" customHeight="1" x14ac:dyDescent="0.25">
      <c r="A31" s="27" t="s">
        <v>33</v>
      </c>
      <c r="B31" s="28">
        <f>TrRoad_act!B112</f>
        <v>195300</v>
      </c>
      <c r="C31" s="28">
        <f>TrRoad_act!C112</f>
        <v>222048</v>
      </c>
      <c r="D31" s="28">
        <f>TrRoad_act!D112</f>
        <v>203727</v>
      </c>
      <c r="E31" s="28">
        <f>TrRoad_act!E112</f>
        <v>242170</v>
      </c>
      <c r="F31" s="28">
        <f>TrRoad_act!F112</f>
        <v>231063</v>
      </c>
      <c r="G31" s="28">
        <f>TrRoad_act!G112</f>
        <v>271219</v>
      </c>
      <c r="H31" s="28">
        <f>TrRoad_act!H112</f>
        <v>478279</v>
      </c>
      <c r="I31" s="28">
        <f>TrRoad_act!I112</f>
        <v>665389</v>
      </c>
      <c r="J31" s="28">
        <f>TrRoad_act!J112</f>
        <v>908676</v>
      </c>
      <c r="K31" s="28">
        <f>TrRoad_act!K112</f>
        <v>508594</v>
      </c>
      <c r="L31" s="28">
        <f>TrRoad_act!L112</f>
        <v>476310</v>
      </c>
      <c r="M31" s="28">
        <f>TrRoad_act!M112</f>
        <v>276064</v>
      </c>
      <c r="N31" s="28">
        <f>TrRoad_act!N112</f>
        <v>377253</v>
      </c>
      <c r="O31" s="28">
        <f>TrRoad_act!O112</f>
        <v>433978</v>
      </c>
      <c r="P31" s="28">
        <f>TrRoad_act!P112</f>
        <v>438743</v>
      </c>
      <c r="Q31" s="28">
        <f>TrRoad_act!Q112</f>
        <v>431684</v>
      </c>
      <c r="R31" s="28">
        <f>TrRoad_act!R112</f>
        <v>468552</v>
      </c>
      <c r="S31" s="28">
        <f>TrRoad_act!S112</f>
        <v>687929</v>
      </c>
      <c r="T31" s="28">
        <f>TrRoad_act!T112</f>
        <v>725374</v>
      </c>
      <c r="U31" s="28">
        <f>TrRoad_act!U112</f>
        <v>763761</v>
      </c>
      <c r="V31" s="28">
        <f>TrRoad_act!V112</f>
        <v>730263</v>
      </c>
      <c r="W31" s="28">
        <f>TrRoad_act!W112</f>
        <v>737957</v>
      </c>
      <c r="X31" s="28">
        <f>TrRoad_act!X112</f>
        <v>721223</v>
      </c>
      <c r="Y31" s="28">
        <f>TrRoad_act!Y112</f>
        <v>747806</v>
      </c>
      <c r="DA31" s="173" t="s">
        <v>527</v>
      </c>
    </row>
    <row r="32" spans="1:105" ht="11.45" customHeight="1" x14ac:dyDescent="0.25">
      <c r="A32" s="136" t="s">
        <v>173</v>
      </c>
      <c r="B32" s="137">
        <f>TrRoad_act!B113</f>
        <v>0</v>
      </c>
      <c r="C32" s="137">
        <f>TrRoad_act!C113</f>
        <v>604</v>
      </c>
      <c r="D32" s="137">
        <f>TrRoad_act!D113</f>
        <v>601</v>
      </c>
      <c r="E32" s="137">
        <f>TrRoad_act!E113</f>
        <v>1404</v>
      </c>
      <c r="F32" s="137">
        <f>TrRoad_act!F113</f>
        <v>1694</v>
      </c>
      <c r="G32" s="137">
        <f>TrRoad_act!G113</f>
        <v>1695</v>
      </c>
      <c r="H32" s="137">
        <f>TrRoad_act!H113</f>
        <v>7277</v>
      </c>
      <c r="I32" s="137">
        <f>TrRoad_act!I113</f>
        <v>6943</v>
      </c>
      <c r="J32" s="137">
        <f>TrRoad_act!J113</f>
        <v>21215</v>
      </c>
      <c r="K32" s="137">
        <f>TrRoad_act!K113</f>
        <v>12104</v>
      </c>
      <c r="L32" s="137">
        <f>TrRoad_act!L113</f>
        <v>8359</v>
      </c>
      <c r="M32" s="137">
        <f>TrRoad_act!M113</f>
        <v>8108</v>
      </c>
      <c r="N32" s="137">
        <f>TrRoad_act!N113</f>
        <v>8802</v>
      </c>
      <c r="O32" s="137">
        <f>TrRoad_act!O113</f>
        <v>9961</v>
      </c>
      <c r="P32" s="137">
        <f>TrRoad_act!P113</f>
        <v>9484</v>
      </c>
      <c r="Q32" s="137">
        <f>TrRoad_act!Q113</f>
        <v>9351</v>
      </c>
      <c r="R32" s="137">
        <f>TrRoad_act!R113</f>
        <v>10953</v>
      </c>
      <c r="S32" s="137">
        <f>TrRoad_act!S113</f>
        <v>12522</v>
      </c>
      <c r="T32" s="137">
        <f>TrRoad_act!T113</f>
        <v>14476</v>
      </c>
      <c r="U32" s="137">
        <f>TrRoad_act!U113</f>
        <v>18332</v>
      </c>
      <c r="V32" s="137">
        <f>TrRoad_act!V113</f>
        <v>20851</v>
      </c>
      <c r="W32" s="137">
        <f>TrRoad_act!W113</f>
        <v>21218</v>
      </c>
      <c r="X32" s="137">
        <f>TrRoad_act!X113</f>
        <v>24276</v>
      </c>
      <c r="Y32" s="137">
        <f>TrRoad_act!Y113</f>
        <v>25952</v>
      </c>
      <c r="DA32" s="174" t="s">
        <v>528</v>
      </c>
    </row>
    <row r="33" spans="1:105" ht="11.45" customHeight="1" x14ac:dyDescent="0.25">
      <c r="A33" s="109" t="s">
        <v>20</v>
      </c>
      <c r="B33" s="110">
        <f>TrRoad_act!B114</f>
        <v>195000</v>
      </c>
      <c r="C33" s="110">
        <f>TrRoad_act!C114</f>
        <v>217892</v>
      </c>
      <c r="D33" s="110">
        <f>TrRoad_act!D114</f>
        <v>203126</v>
      </c>
      <c r="E33" s="110">
        <f>TrRoad_act!E114</f>
        <v>238259</v>
      </c>
      <c r="F33" s="110">
        <f>TrRoad_act!F114</f>
        <v>223935</v>
      </c>
      <c r="G33" s="110">
        <f>TrRoad_act!G114</f>
        <v>269297</v>
      </c>
      <c r="H33" s="110">
        <f>TrRoad_act!H114</f>
        <v>468773</v>
      </c>
      <c r="I33" s="110">
        <f>TrRoad_act!I114</f>
        <v>654524</v>
      </c>
      <c r="J33" s="110">
        <f>TrRoad_act!J114</f>
        <v>879714</v>
      </c>
      <c r="K33" s="110">
        <f>TrRoad_act!K114</f>
        <v>493320</v>
      </c>
      <c r="L33" s="110">
        <f>TrRoad_act!L114</f>
        <v>464928</v>
      </c>
      <c r="M33" s="110">
        <f>TrRoad_act!M114</f>
        <v>264833</v>
      </c>
      <c r="N33" s="110">
        <f>TrRoad_act!N114</f>
        <v>364407</v>
      </c>
      <c r="O33" s="110">
        <f>TrRoad_act!O114</f>
        <v>420431</v>
      </c>
      <c r="P33" s="110">
        <f>TrRoad_act!P114</f>
        <v>425182</v>
      </c>
      <c r="Q33" s="110">
        <f>TrRoad_act!Q114</f>
        <v>416733</v>
      </c>
      <c r="R33" s="110">
        <f>TrRoad_act!R114</f>
        <v>454389</v>
      </c>
      <c r="S33" s="110">
        <f>TrRoad_act!S114</f>
        <v>671934</v>
      </c>
      <c r="T33" s="110">
        <f>TrRoad_act!T114</f>
        <v>707188</v>
      </c>
      <c r="U33" s="110">
        <f>TrRoad_act!U114</f>
        <v>741059</v>
      </c>
      <c r="V33" s="110">
        <f>TrRoad_act!V114</f>
        <v>706314</v>
      </c>
      <c r="W33" s="110">
        <f>TrRoad_act!W114</f>
        <v>713736</v>
      </c>
      <c r="X33" s="110">
        <f>TrRoad_act!X114</f>
        <v>692831</v>
      </c>
      <c r="Y33" s="110">
        <f>TrRoad_act!Y114</f>
        <v>716895</v>
      </c>
      <c r="DA33" s="176" t="s">
        <v>529</v>
      </c>
    </row>
    <row r="34" spans="1:105" ht="11.45" customHeight="1" x14ac:dyDescent="0.25">
      <c r="A34" s="111" t="s">
        <v>110</v>
      </c>
      <c r="B34" s="84">
        <f>TrRoad_act!B115</f>
        <v>105000</v>
      </c>
      <c r="C34" s="84">
        <f>TrRoad_act!C115</f>
        <v>113044</v>
      </c>
      <c r="D34" s="84">
        <f>TrRoad_act!D115</f>
        <v>101954</v>
      </c>
      <c r="E34" s="84">
        <f>TrRoad_act!E115</f>
        <v>120552</v>
      </c>
      <c r="F34" s="84">
        <f>TrRoad_act!F115</f>
        <v>106245</v>
      </c>
      <c r="G34" s="84">
        <f>TrRoad_act!G115</f>
        <v>146832</v>
      </c>
      <c r="H34" s="84">
        <f>TrRoad_act!H115</f>
        <v>258585</v>
      </c>
      <c r="I34" s="84">
        <f>TrRoad_act!I115</f>
        <v>357442</v>
      </c>
      <c r="J34" s="84">
        <f>TrRoad_act!J115</f>
        <v>624226</v>
      </c>
      <c r="K34" s="84">
        <f>TrRoad_act!K115</f>
        <v>368920</v>
      </c>
      <c r="L34" s="84">
        <f>TrRoad_act!L115</f>
        <v>351688</v>
      </c>
      <c r="M34" s="84">
        <f>TrRoad_act!M115</f>
        <v>146980</v>
      </c>
      <c r="N34" s="84">
        <f>TrRoad_act!N115</f>
        <v>247783</v>
      </c>
      <c r="O34" s="84">
        <f>TrRoad_act!O115</f>
        <v>282005</v>
      </c>
      <c r="P34" s="84">
        <f>TrRoad_act!P115</f>
        <v>256792</v>
      </c>
      <c r="Q34" s="84">
        <f>TrRoad_act!Q115</f>
        <v>222093</v>
      </c>
      <c r="R34" s="84">
        <f>TrRoad_act!R115</f>
        <v>195417</v>
      </c>
      <c r="S34" s="84">
        <f>TrRoad_act!S115</f>
        <v>201554</v>
      </c>
      <c r="T34" s="84">
        <f>TrRoad_act!T115</f>
        <v>232313</v>
      </c>
      <c r="U34" s="84">
        <f>TrRoad_act!U115</f>
        <v>267278</v>
      </c>
      <c r="V34" s="84">
        <f>TrRoad_act!V115</f>
        <v>232500</v>
      </c>
      <c r="W34" s="84">
        <f>TrRoad_act!W115</f>
        <v>230620</v>
      </c>
      <c r="X34" s="84">
        <f>TrRoad_act!X115</f>
        <v>241284</v>
      </c>
      <c r="Y34" s="84">
        <f>TrRoad_act!Y115</f>
        <v>248661</v>
      </c>
      <c r="DA34" s="171" t="s">
        <v>530</v>
      </c>
    </row>
    <row r="35" spans="1:105" ht="11.45" customHeight="1" x14ac:dyDescent="0.25">
      <c r="A35" s="111" t="s">
        <v>111</v>
      </c>
      <c r="B35" s="84">
        <f>TrRoad_act!B116</f>
        <v>90000</v>
      </c>
      <c r="C35" s="84">
        <f>TrRoad_act!C116</f>
        <v>104848</v>
      </c>
      <c r="D35" s="84">
        <f>TrRoad_act!D116</f>
        <v>96372</v>
      </c>
      <c r="E35" s="84">
        <f>TrRoad_act!E116</f>
        <v>111455</v>
      </c>
      <c r="F35" s="84">
        <f>TrRoad_act!F116</f>
        <v>103285</v>
      </c>
      <c r="G35" s="84">
        <f>TrRoad_act!G116</f>
        <v>122465</v>
      </c>
      <c r="H35" s="84">
        <f>TrRoad_act!H116</f>
        <v>210188</v>
      </c>
      <c r="I35" s="84">
        <f>TrRoad_act!I116</f>
        <v>289359</v>
      </c>
      <c r="J35" s="84">
        <f>TrRoad_act!J116</f>
        <v>255488</v>
      </c>
      <c r="K35" s="84">
        <f>TrRoad_act!K116</f>
        <v>124399</v>
      </c>
      <c r="L35" s="84">
        <f>TrRoad_act!L116</f>
        <v>113037</v>
      </c>
      <c r="M35" s="84">
        <f>TrRoad_act!M116</f>
        <v>68110</v>
      </c>
      <c r="N35" s="84">
        <f>TrRoad_act!N116</f>
        <v>114490</v>
      </c>
      <c r="O35" s="84">
        <f>TrRoad_act!O116</f>
        <v>136673</v>
      </c>
      <c r="P35" s="84">
        <f>TrRoad_act!P116</f>
        <v>163005</v>
      </c>
      <c r="Q35" s="84">
        <f>TrRoad_act!Q116</f>
        <v>181809</v>
      </c>
      <c r="R35" s="84">
        <f>TrRoad_act!R116</f>
        <v>248696</v>
      </c>
      <c r="S35" s="84">
        <f>TrRoad_act!S116</f>
        <v>454195</v>
      </c>
      <c r="T35" s="84">
        <f>TrRoad_act!T116</f>
        <v>454648</v>
      </c>
      <c r="U35" s="84">
        <f>TrRoad_act!U116</f>
        <v>444912</v>
      </c>
      <c r="V35" s="84">
        <f>TrRoad_act!V116</f>
        <v>436061</v>
      </c>
      <c r="W35" s="84">
        <f>TrRoad_act!W116</f>
        <v>426271</v>
      </c>
      <c r="X35" s="84">
        <f>TrRoad_act!X116</f>
        <v>422657</v>
      </c>
      <c r="Y35" s="84">
        <f>TrRoad_act!Y116</f>
        <v>428243</v>
      </c>
      <c r="DA35" s="171" t="s">
        <v>531</v>
      </c>
    </row>
    <row r="36" spans="1:105" ht="11.45" customHeight="1" x14ac:dyDescent="0.25">
      <c r="A36" s="111" t="s">
        <v>112</v>
      </c>
      <c r="B36" s="84">
        <f>TrRoad_act!B117</f>
        <v>0</v>
      </c>
      <c r="C36" s="84">
        <f>TrRoad_act!C117</f>
        <v>0</v>
      </c>
      <c r="D36" s="84">
        <f>TrRoad_act!D117</f>
        <v>4800</v>
      </c>
      <c r="E36" s="84">
        <f>TrRoad_act!E117</f>
        <v>6252</v>
      </c>
      <c r="F36" s="84">
        <f>TrRoad_act!F117</f>
        <v>14405</v>
      </c>
      <c r="G36" s="84">
        <f>TrRoad_act!G117</f>
        <v>0</v>
      </c>
      <c r="H36" s="84">
        <f>TrRoad_act!H117</f>
        <v>0</v>
      </c>
      <c r="I36" s="84">
        <f>TrRoad_act!I117</f>
        <v>7723</v>
      </c>
      <c r="J36" s="84">
        <f>TrRoad_act!J117</f>
        <v>0</v>
      </c>
      <c r="K36" s="84">
        <f>TrRoad_act!K117</f>
        <v>0</v>
      </c>
      <c r="L36" s="84">
        <f>TrRoad_act!L117</f>
        <v>16</v>
      </c>
      <c r="M36" s="84">
        <f>TrRoad_act!M117</f>
        <v>49473</v>
      </c>
      <c r="N36" s="84">
        <f>TrRoad_act!N117</f>
        <v>1578</v>
      </c>
      <c r="O36" s="84">
        <f>TrRoad_act!O117</f>
        <v>1498</v>
      </c>
      <c r="P36" s="84">
        <f>TrRoad_act!P117</f>
        <v>5207</v>
      </c>
      <c r="Q36" s="84">
        <f>TrRoad_act!Q117</f>
        <v>12700</v>
      </c>
      <c r="R36" s="84">
        <f>TrRoad_act!R117</f>
        <v>9954</v>
      </c>
      <c r="S36" s="84">
        <f>TrRoad_act!S117</f>
        <v>15711</v>
      </c>
      <c r="T36" s="84">
        <f>TrRoad_act!T117</f>
        <v>19293</v>
      </c>
      <c r="U36" s="84">
        <f>TrRoad_act!U117</f>
        <v>26686</v>
      </c>
      <c r="V36" s="84">
        <f>TrRoad_act!V117</f>
        <v>33857</v>
      </c>
      <c r="W36" s="84">
        <f>TrRoad_act!W117</f>
        <v>47492</v>
      </c>
      <c r="X36" s="84">
        <f>TrRoad_act!X117</f>
        <v>13564</v>
      </c>
      <c r="Y36" s="84">
        <f>TrRoad_act!Y117</f>
        <v>17669</v>
      </c>
      <c r="DA36" s="171" t="s">
        <v>532</v>
      </c>
    </row>
    <row r="37" spans="1:105" ht="11.45" customHeight="1" x14ac:dyDescent="0.25">
      <c r="A37" s="111" t="s">
        <v>113</v>
      </c>
      <c r="B37" s="84">
        <f>TrRoad_act!B118</f>
        <v>0</v>
      </c>
      <c r="C37" s="84">
        <f>TrRoad_act!C118</f>
        <v>0</v>
      </c>
      <c r="D37" s="84">
        <f>TrRoad_act!D118</f>
        <v>0</v>
      </c>
      <c r="E37" s="84">
        <f>TrRoad_act!E118</f>
        <v>0</v>
      </c>
      <c r="F37" s="84">
        <f>TrRoad_act!F118</f>
        <v>0</v>
      </c>
      <c r="G37" s="84">
        <f>TrRoad_act!G118</f>
        <v>0</v>
      </c>
      <c r="H37" s="84">
        <f>TrRoad_act!H118</f>
        <v>0</v>
      </c>
      <c r="I37" s="84">
        <f>TrRoad_act!I118</f>
        <v>0</v>
      </c>
      <c r="J37" s="84">
        <f>TrRoad_act!J118</f>
        <v>0</v>
      </c>
      <c r="K37" s="84">
        <f>TrRoad_act!K118</f>
        <v>0</v>
      </c>
      <c r="L37" s="84">
        <f>TrRoad_act!L118</f>
        <v>0</v>
      </c>
      <c r="M37" s="84">
        <f>TrRoad_act!M118</f>
        <v>0</v>
      </c>
      <c r="N37" s="84">
        <f>TrRoad_act!N118</f>
        <v>0</v>
      </c>
      <c r="O37" s="84">
        <f>TrRoad_act!O118</f>
        <v>0</v>
      </c>
      <c r="P37" s="84">
        <f>TrRoad_act!P118</f>
        <v>0</v>
      </c>
      <c r="Q37" s="84">
        <f>TrRoad_act!Q118</f>
        <v>0</v>
      </c>
      <c r="R37" s="84">
        <f>TrRoad_act!R118</f>
        <v>0</v>
      </c>
      <c r="S37" s="84">
        <f>TrRoad_act!S118</f>
        <v>0</v>
      </c>
      <c r="T37" s="84">
        <f>TrRoad_act!T118</f>
        <v>0</v>
      </c>
      <c r="U37" s="84">
        <f>TrRoad_act!U118</f>
        <v>0</v>
      </c>
      <c r="V37" s="84">
        <f>TrRoad_act!V118</f>
        <v>0</v>
      </c>
      <c r="W37" s="84">
        <f>TrRoad_act!W118</f>
        <v>0</v>
      </c>
      <c r="X37" s="84">
        <f>TrRoad_act!X118</f>
        <v>0</v>
      </c>
      <c r="Y37" s="84">
        <f>TrRoad_act!Y118</f>
        <v>0</v>
      </c>
      <c r="DA37" s="171" t="s">
        <v>533</v>
      </c>
    </row>
    <row r="38" spans="1:105" ht="11.45" customHeight="1" x14ac:dyDescent="0.25">
      <c r="A38" s="111" t="s">
        <v>114</v>
      </c>
      <c r="B38" s="84">
        <f>TrRoad_act!B119</f>
        <v>0</v>
      </c>
      <c r="C38" s="84">
        <f>TrRoad_act!C119</f>
        <v>0</v>
      </c>
      <c r="D38" s="84">
        <f>TrRoad_act!D119</f>
        <v>0</v>
      </c>
      <c r="E38" s="84">
        <f>TrRoad_act!E119</f>
        <v>0</v>
      </c>
      <c r="F38" s="84">
        <f>TrRoad_act!F119</f>
        <v>0</v>
      </c>
      <c r="G38" s="84">
        <f>TrRoad_act!G119</f>
        <v>0</v>
      </c>
      <c r="H38" s="84">
        <f>TrRoad_act!H119</f>
        <v>0</v>
      </c>
      <c r="I38" s="84">
        <f>TrRoad_act!I119</f>
        <v>0</v>
      </c>
      <c r="J38" s="84">
        <f>TrRoad_act!J119</f>
        <v>0</v>
      </c>
      <c r="K38" s="84">
        <f>TrRoad_act!K119</f>
        <v>0</v>
      </c>
      <c r="L38" s="84">
        <f>TrRoad_act!L119</f>
        <v>0</v>
      </c>
      <c r="M38" s="84">
        <f>TrRoad_act!M119</f>
        <v>0</v>
      </c>
      <c r="N38" s="84">
        <f>TrRoad_act!N119</f>
        <v>151</v>
      </c>
      <c r="O38" s="84">
        <f>TrRoad_act!O119</f>
        <v>1</v>
      </c>
      <c r="P38" s="84">
        <f>TrRoad_act!P119</f>
        <v>10</v>
      </c>
      <c r="Q38" s="84">
        <f>TrRoad_act!Q119</f>
        <v>22</v>
      </c>
      <c r="R38" s="84">
        <f>TrRoad_act!R119</f>
        <v>117</v>
      </c>
      <c r="S38" s="84">
        <f>TrRoad_act!S119</f>
        <v>159</v>
      </c>
      <c r="T38" s="84">
        <f>TrRoad_act!T119</f>
        <v>330</v>
      </c>
      <c r="U38" s="84">
        <f>TrRoad_act!U119</f>
        <v>675</v>
      </c>
      <c r="V38" s="84">
        <f>TrRoad_act!V119</f>
        <v>1052</v>
      </c>
      <c r="W38" s="84">
        <f>TrRoad_act!W119</f>
        <v>3009</v>
      </c>
      <c r="X38" s="84">
        <f>TrRoad_act!X119</f>
        <v>3688</v>
      </c>
      <c r="Y38" s="84">
        <f>TrRoad_act!Y119</f>
        <v>6955</v>
      </c>
      <c r="DA38" s="171" t="s">
        <v>534</v>
      </c>
    </row>
    <row r="39" spans="1:105" ht="11.45" customHeight="1" x14ac:dyDescent="0.25">
      <c r="A39" s="111" t="s">
        <v>115</v>
      </c>
      <c r="B39" s="84">
        <f>TrRoad_act!B120</f>
        <v>0</v>
      </c>
      <c r="C39" s="84">
        <f>TrRoad_act!C120</f>
        <v>0</v>
      </c>
      <c r="D39" s="84">
        <f>TrRoad_act!D120</f>
        <v>0</v>
      </c>
      <c r="E39" s="84">
        <f>TrRoad_act!E120</f>
        <v>0</v>
      </c>
      <c r="F39" s="84">
        <f>TrRoad_act!F120</f>
        <v>0</v>
      </c>
      <c r="G39" s="84">
        <f>TrRoad_act!G120</f>
        <v>0</v>
      </c>
      <c r="H39" s="84">
        <f>TrRoad_act!H120</f>
        <v>0</v>
      </c>
      <c r="I39" s="84">
        <f>TrRoad_act!I120</f>
        <v>0</v>
      </c>
      <c r="J39" s="84">
        <f>TrRoad_act!J120</f>
        <v>0</v>
      </c>
      <c r="K39" s="84">
        <f>TrRoad_act!K120</f>
        <v>1</v>
      </c>
      <c r="L39" s="84">
        <f>TrRoad_act!L120</f>
        <v>187</v>
      </c>
      <c r="M39" s="84">
        <f>TrRoad_act!M120</f>
        <v>270</v>
      </c>
      <c r="N39" s="84">
        <f>TrRoad_act!N120</f>
        <v>405</v>
      </c>
      <c r="O39" s="84">
        <f>TrRoad_act!O120</f>
        <v>254</v>
      </c>
      <c r="P39" s="84">
        <f>TrRoad_act!P120</f>
        <v>168</v>
      </c>
      <c r="Q39" s="84">
        <f>TrRoad_act!Q120</f>
        <v>109</v>
      </c>
      <c r="R39" s="84">
        <f>TrRoad_act!R120</f>
        <v>205</v>
      </c>
      <c r="S39" s="84">
        <f>TrRoad_act!S120</f>
        <v>315</v>
      </c>
      <c r="T39" s="84">
        <f>TrRoad_act!T120</f>
        <v>604</v>
      </c>
      <c r="U39" s="84">
        <f>TrRoad_act!U120</f>
        <v>1508</v>
      </c>
      <c r="V39" s="84">
        <f>TrRoad_act!V120</f>
        <v>2844</v>
      </c>
      <c r="W39" s="84">
        <f>TrRoad_act!W120</f>
        <v>6344</v>
      </c>
      <c r="X39" s="84">
        <f>TrRoad_act!X120</f>
        <v>11638</v>
      </c>
      <c r="Y39" s="84">
        <f>TrRoad_act!Y120</f>
        <v>15367</v>
      </c>
      <c r="DA39" s="171" t="s">
        <v>535</v>
      </c>
    </row>
    <row r="40" spans="1:105" ht="11.45" customHeight="1" x14ac:dyDescent="0.25">
      <c r="A40" s="109" t="s">
        <v>21</v>
      </c>
      <c r="B40" s="110">
        <f>TrRoad_act!B121</f>
        <v>300</v>
      </c>
      <c r="C40" s="110">
        <f>TrRoad_act!C121</f>
        <v>3552</v>
      </c>
      <c r="D40" s="110">
        <f>TrRoad_act!D121</f>
        <v>0</v>
      </c>
      <c r="E40" s="110">
        <f>TrRoad_act!E121</f>
        <v>2507</v>
      </c>
      <c r="F40" s="110">
        <f>TrRoad_act!F121</f>
        <v>5434</v>
      </c>
      <c r="G40" s="110">
        <f>TrRoad_act!G121</f>
        <v>227</v>
      </c>
      <c r="H40" s="110">
        <f>TrRoad_act!H121</f>
        <v>2229</v>
      </c>
      <c r="I40" s="110">
        <f>TrRoad_act!I121</f>
        <v>3922</v>
      </c>
      <c r="J40" s="110">
        <f>TrRoad_act!J121</f>
        <v>7747</v>
      </c>
      <c r="K40" s="110">
        <f>TrRoad_act!K121</f>
        <v>3170</v>
      </c>
      <c r="L40" s="110">
        <f>TrRoad_act!L121</f>
        <v>3023</v>
      </c>
      <c r="M40" s="110">
        <f>TrRoad_act!M121</f>
        <v>3123</v>
      </c>
      <c r="N40" s="110">
        <f>TrRoad_act!N121</f>
        <v>4044</v>
      </c>
      <c r="O40" s="110">
        <f>TrRoad_act!O121</f>
        <v>3586</v>
      </c>
      <c r="P40" s="110">
        <f>TrRoad_act!P121</f>
        <v>4077</v>
      </c>
      <c r="Q40" s="110">
        <f>TrRoad_act!Q121</f>
        <v>5600</v>
      </c>
      <c r="R40" s="110">
        <f>TrRoad_act!R121</f>
        <v>3210</v>
      </c>
      <c r="S40" s="110">
        <f>TrRoad_act!S121</f>
        <v>3473</v>
      </c>
      <c r="T40" s="110">
        <f>TrRoad_act!T121</f>
        <v>3710</v>
      </c>
      <c r="U40" s="110">
        <f>TrRoad_act!U121</f>
        <v>4370</v>
      </c>
      <c r="V40" s="110">
        <f>TrRoad_act!V121</f>
        <v>3098</v>
      </c>
      <c r="W40" s="110">
        <f>TrRoad_act!W121</f>
        <v>3003</v>
      </c>
      <c r="X40" s="110">
        <f>TrRoad_act!X121</f>
        <v>4116</v>
      </c>
      <c r="Y40" s="110">
        <f>TrRoad_act!Y121</f>
        <v>4959</v>
      </c>
      <c r="DA40" s="176" t="s">
        <v>536</v>
      </c>
    </row>
    <row r="41" spans="1:105" ht="11.45" customHeight="1" x14ac:dyDescent="0.25">
      <c r="A41" s="111" t="s">
        <v>110</v>
      </c>
      <c r="B41" s="102">
        <f>TrRoad_act!B122</f>
        <v>0</v>
      </c>
      <c r="C41" s="102">
        <f>TrRoad_act!C122</f>
        <v>0</v>
      </c>
      <c r="D41" s="102">
        <f>TrRoad_act!D122</f>
        <v>0</v>
      </c>
      <c r="E41" s="102">
        <f>TrRoad_act!E122</f>
        <v>0</v>
      </c>
      <c r="F41" s="102">
        <f>TrRoad_act!F122</f>
        <v>0</v>
      </c>
      <c r="G41" s="102">
        <f>TrRoad_act!G122</f>
        <v>0</v>
      </c>
      <c r="H41" s="102">
        <f>TrRoad_act!H122</f>
        <v>0</v>
      </c>
      <c r="I41" s="102">
        <f>TrRoad_act!I122</f>
        <v>0</v>
      </c>
      <c r="J41" s="102">
        <f>TrRoad_act!J122</f>
        <v>169</v>
      </c>
      <c r="K41" s="102">
        <f>TrRoad_act!K122</f>
        <v>0</v>
      </c>
      <c r="L41" s="102">
        <f>TrRoad_act!L122</f>
        <v>2</v>
      </c>
      <c r="M41" s="102">
        <f>TrRoad_act!M122</f>
        <v>1</v>
      </c>
      <c r="N41" s="102">
        <f>TrRoad_act!N122</f>
        <v>0</v>
      </c>
      <c r="O41" s="102">
        <f>TrRoad_act!O122</f>
        <v>0</v>
      </c>
      <c r="P41" s="102">
        <f>TrRoad_act!P122</f>
        <v>0</v>
      </c>
      <c r="Q41" s="102">
        <f>TrRoad_act!Q122</f>
        <v>0</v>
      </c>
      <c r="R41" s="102">
        <f>TrRoad_act!R122</f>
        <v>0</v>
      </c>
      <c r="S41" s="102">
        <f>TrRoad_act!S122</f>
        <v>0</v>
      </c>
      <c r="T41" s="102">
        <f>TrRoad_act!T122</f>
        <v>0</v>
      </c>
      <c r="U41" s="102">
        <f>TrRoad_act!U122</f>
        <v>0</v>
      </c>
      <c r="V41" s="102">
        <f>TrRoad_act!V122</f>
        <v>0</v>
      </c>
      <c r="W41" s="102">
        <f>TrRoad_act!W122</f>
        <v>0</v>
      </c>
      <c r="X41" s="102">
        <f>TrRoad_act!X122</f>
        <v>4</v>
      </c>
      <c r="Y41" s="102">
        <f>TrRoad_act!Y122</f>
        <v>0</v>
      </c>
      <c r="DA41" s="175" t="s">
        <v>537</v>
      </c>
    </row>
    <row r="42" spans="1:105" ht="11.45" customHeight="1" x14ac:dyDescent="0.25">
      <c r="A42" s="111" t="s">
        <v>111</v>
      </c>
      <c r="B42" s="102">
        <f>TrRoad_act!B123</f>
        <v>300</v>
      </c>
      <c r="C42" s="102">
        <f>TrRoad_act!C123</f>
        <v>3552</v>
      </c>
      <c r="D42" s="102">
        <f>TrRoad_act!D123</f>
        <v>0</v>
      </c>
      <c r="E42" s="102">
        <f>TrRoad_act!E123</f>
        <v>2507</v>
      </c>
      <c r="F42" s="102">
        <f>TrRoad_act!F123</f>
        <v>5434</v>
      </c>
      <c r="G42" s="102">
        <f>TrRoad_act!G123</f>
        <v>227</v>
      </c>
      <c r="H42" s="102">
        <f>TrRoad_act!H123</f>
        <v>2229</v>
      </c>
      <c r="I42" s="102">
        <f>TrRoad_act!I123</f>
        <v>3922</v>
      </c>
      <c r="J42" s="102">
        <f>TrRoad_act!J123</f>
        <v>7546</v>
      </c>
      <c r="K42" s="102">
        <f>TrRoad_act!K123</f>
        <v>3166</v>
      </c>
      <c r="L42" s="102">
        <f>TrRoad_act!L123</f>
        <v>2981</v>
      </c>
      <c r="M42" s="102">
        <f>TrRoad_act!M123</f>
        <v>3107</v>
      </c>
      <c r="N42" s="102">
        <f>TrRoad_act!N123</f>
        <v>4044</v>
      </c>
      <c r="O42" s="102">
        <f>TrRoad_act!O123</f>
        <v>3583</v>
      </c>
      <c r="P42" s="102">
        <f>TrRoad_act!P123</f>
        <v>4075</v>
      </c>
      <c r="Q42" s="102">
        <f>TrRoad_act!Q123</f>
        <v>5598</v>
      </c>
      <c r="R42" s="102">
        <f>TrRoad_act!R123</f>
        <v>3205</v>
      </c>
      <c r="S42" s="102">
        <f>TrRoad_act!S123</f>
        <v>3471</v>
      </c>
      <c r="T42" s="102">
        <f>TrRoad_act!T123</f>
        <v>3685</v>
      </c>
      <c r="U42" s="102">
        <f>TrRoad_act!U123</f>
        <v>4315</v>
      </c>
      <c r="V42" s="102">
        <f>TrRoad_act!V123</f>
        <v>2855</v>
      </c>
      <c r="W42" s="102">
        <f>TrRoad_act!W123</f>
        <v>2907</v>
      </c>
      <c r="X42" s="102">
        <f>TrRoad_act!X123</f>
        <v>3936</v>
      </c>
      <c r="Y42" s="102">
        <f>TrRoad_act!Y123</f>
        <v>4431</v>
      </c>
      <c r="DA42" s="175" t="s">
        <v>538</v>
      </c>
    </row>
    <row r="43" spans="1:105" ht="11.45" customHeight="1" x14ac:dyDescent="0.25">
      <c r="A43" s="111" t="s">
        <v>112</v>
      </c>
      <c r="B43" s="102">
        <f>TrRoad_act!B124</f>
        <v>0</v>
      </c>
      <c r="C43" s="102">
        <f>TrRoad_act!C124</f>
        <v>0</v>
      </c>
      <c r="D43" s="102">
        <f>TrRoad_act!D124</f>
        <v>0</v>
      </c>
      <c r="E43" s="102">
        <f>TrRoad_act!E124</f>
        <v>0</v>
      </c>
      <c r="F43" s="102">
        <f>TrRoad_act!F124</f>
        <v>0</v>
      </c>
      <c r="G43" s="102">
        <f>TrRoad_act!G124</f>
        <v>0</v>
      </c>
      <c r="H43" s="102">
        <f>TrRoad_act!H124</f>
        <v>0</v>
      </c>
      <c r="I43" s="102">
        <f>TrRoad_act!I124</f>
        <v>0</v>
      </c>
      <c r="J43" s="102">
        <f>TrRoad_act!J124</f>
        <v>32</v>
      </c>
      <c r="K43" s="102">
        <f>TrRoad_act!K124</f>
        <v>4</v>
      </c>
      <c r="L43" s="102">
        <f>TrRoad_act!L124</f>
        <v>40</v>
      </c>
      <c r="M43" s="102">
        <f>TrRoad_act!M124</f>
        <v>15</v>
      </c>
      <c r="N43" s="102">
        <f>TrRoad_act!N124</f>
        <v>0</v>
      </c>
      <c r="O43" s="102">
        <f>TrRoad_act!O124</f>
        <v>2</v>
      </c>
      <c r="P43" s="102">
        <f>TrRoad_act!P124</f>
        <v>1</v>
      </c>
      <c r="Q43" s="102">
        <f>TrRoad_act!Q124</f>
        <v>0</v>
      </c>
      <c r="R43" s="102">
        <f>TrRoad_act!R124</f>
        <v>0</v>
      </c>
      <c r="S43" s="102">
        <f>TrRoad_act!S124</f>
        <v>0</v>
      </c>
      <c r="T43" s="102">
        <f>TrRoad_act!T124</f>
        <v>0</v>
      </c>
      <c r="U43" s="102">
        <f>TrRoad_act!U124</f>
        <v>0</v>
      </c>
      <c r="V43" s="102">
        <f>TrRoad_act!V124</f>
        <v>0</v>
      </c>
      <c r="W43" s="102">
        <f>TrRoad_act!W124</f>
        <v>0</v>
      </c>
      <c r="X43" s="102">
        <f>TrRoad_act!X124</f>
        <v>0</v>
      </c>
      <c r="Y43" s="102">
        <f>TrRoad_act!Y124</f>
        <v>0</v>
      </c>
      <c r="DA43" s="175" t="s">
        <v>539</v>
      </c>
    </row>
    <row r="44" spans="1:105" ht="11.45" customHeight="1" x14ac:dyDescent="0.25">
      <c r="A44" s="111" t="s">
        <v>113</v>
      </c>
      <c r="B44" s="102">
        <f>TrRoad_act!B125</f>
        <v>0</v>
      </c>
      <c r="C44" s="102">
        <f>TrRoad_act!C125</f>
        <v>0</v>
      </c>
      <c r="D44" s="102">
        <f>TrRoad_act!D125</f>
        <v>0</v>
      </c>
      <c r="E44" s="102">
        <f>TrRoad_act!E125</f>
        <v>0</v>
      </c>
      <c r="F44" s="102">
        <f>TrRoad_act!F125</f>
        <v>0</v>
      </c>
      <c r="G44" s="102">
        <f>TrRoad_act!G125</f>
        <v>0</v>
      </c>
      <c r="H44" s="102">
        <f>TrRoad_act!H125</f>
        <v>0</v>
      </c>
      <c r="I44" s="102">
        <f>TrRoad_act!I125</f>
        <v>0</v>
      </c>
      <c r="J44" s="102">
        <f>TrRoad_act!J125</f>
        <v>0</v>
      </c>
      <c r="K44" s="102">
        <f>TrRoad_act!K125</f>
        <v>0</v>
      </c>
      <c r="L44" s="102">
        <f>TrRoad_act!L125</f>
        <v>0</v>
      </c>
      <c r="M44" s="102">
        <f>TrRoad_act!M125</f>
        <v>0</v>
      </c>
      <c r="N44" s="102">
        <f>TrRoad_act!N125</f>
        <v>0</v>
      </c>
      <c r="O44" s="102">
        <f>TrRoad_act!O125</f>
        <v>0</v>
      </c>
      <c r="P44" s="102">
        <f>TrRoad_act!P125</f>
        <v>0</v>
      </c>
      <c r="Q44" s="102">
        <f>TrRoad_act!Q125</f>
        <v>0</v>
      </c>
      <c r="R44" s="102">
        <f>TrRoad_act!R125</f>
        <v>0</v>
      </c>
      <c r="S44" s="102">
        <f>TrRoad_act!S125</f>
        <v>0</v>
      </c>
      <c r="T44" s="102">
        <f>TrRoad_act!T125</f>
        <v>0</v>
      </c>
      <c r="U44" s="102">
        <f>TrRoad_act!U125</f>
        <v>0</v>
      </c>
      <c r="V44" s="102">
        <f>TrRoad_act!V125</f>
        <v>0</v>
      </c>
      <c r="W44" s="102">
        <f>TrRoad_act!W125</f>
        <v>0</v>
      </c>
      <c r="X44" s="102">
        <f>TrRoad_act!X125</f>
        <v>0</v>
      </c>
      <c r="Y44" s="102">
        <f>TrRoad_act!Y125</f>
        <v>0</v>
      </c>
      <c r="DA44" s="175" t="s">
        <v>540</v>
      </c>
    </row>
    <row r="45" spans="1:105" ht="11.45" customHeight="1" x14ac:dyDescent="0.25">
      <c r="A45" s="111" t="s">
        <v>115</v>
      </c>
      <c r="B45" s="102">
        <f>TrRoad_act!B126</f>
        <v>0</v>
      </c>
      <c r="C45" s="102">
        <f>TrRoad_act!C126</f>
        <v>0</v>
      </c>
      <c r="D45" s="102">
        <f>TrRoad_act!D126</f>
        <v>0</v>
      </c>
      <c r="E45" s="102">
        <f>TrRoad_act!E126</f>
        <v>0</v>
      </c>
      <c r="F45" s="102">
        <f>TrRoad_act!F126</f>
        <v>0</v>
      </c>
      <c r="G45" s="102">
        <f>TrRoad_act!G126</f>
        <v>0</v>
      </c>
      <c r="H45" s="102">
        <f>TrRoad_act!H126</f>
        <v>0</v>
      </c>
      <c r="I45" s="102">
        <f>TrRoad_act!I126</f>
        <v>0</v>
      </c>
      <c r="J45" s="102">
        <f>TrRoad_act!J126</f>
        <v>0</v>
      </c>
      <c r="K45" s="102">
        <f>TrRoad_act!K126</f>
        <v>0</v>
      </c>
      <c r="L45" s="102">
        <f>TrRoad_act!L126</f>
        <v>0</v>
      </c>
      <c r="M45" s="102">
        <f>TrRoad_act!M126</f>
        <v>0</v>
      </c>
      <c r="N45" s="102">
        <f>TrRoad_act!N126</f>
        <v>0</v>
      </c>
      <c r="O45" s="102">
        <f>TrRoad_act!O126</f>
        <v>1</v>
      </c>
      <c r="P45" s="102">
        <f>TrRoad_act!P126</f>
        <v>1</v>
      </c>
      <c r="Q45" s="102">
        <f>TrRoad_act!Q126</f>
        <v>2</v>
      </c>
      <c r="R45" s="102">
        <f>TrRoad_act!R126</f>
        <v>5</v>
      </c>
      <c r="S45" s="102">
        <f>TrRoad_act!S126</f>
        <v>2</v>
      </c>
      <c r="T45" s="102">
        <f>TrRoad_act!T126</f>
        <v>25</v>
      </c>
      <c r="U45" s="102">
        <f>TrRoad_act!U126</f>
        <v>55</v>
      </c>
      <c r="V45" s="102">
        <f>TrRoad_act!V126</f>
        <v>243</v>
      </c>
      <c r="W45" s="102">
        <f>TrRoad_act!W126</f>
        <v>96</v>
      </c>
      <c r="X45" s="102">
        <f>TrRoad_act!X126</f>
        <v>176</v>
      </c>
      <c r="Y45" s="102">
        <f>TrRoad_act!Y126</f>
        <v>528</v>
      </c>
      <c r="DA45" s="175" t="s">
        <v>541</v>
      </c>
    </row>
    <row r="46" spans="1:105" ht="11.45" customHeight="1" x14ac:dyDescent="0.25">
      <c r="A46" s="27" t="s">
        <v>34</v>
      </c>
      <c r="B46" s="28">
        <f>TrRoad_act!B127</f>
        <v>781</v>
      </c>
      <c r="C46" s="28">
        <f>TrRoad_act!C127</f>
        <v>30212</v>
      </c>
      <c r="D46" s="28">
        <f>TrRoad_act!D127</f>
        <v>29741</v>
      </c>
      <c r="E46" s="28">
        <f>TrRoad_act!E127</f>
        <v>45048</v>
      </c>
      <c r="F46" s="28">
        <f>TrRoad_act!F127</f>
        <v>43378</v>
      </c>
      <c r="G46" s="28">
        <f>TrRoad_act!G127</f>
        <v>52582</v>
      </c>
      <c r="H46" s="28">
        <f>TrRoad_act!H127</f>
        <v>75988</v>
      </c>
      <c r="I46" s="28">
        <f>TrRoad_act!I127</f>
        <v>51152</v>
      </c>
      <c r="J46" s="28">
        <f>TrRoad_act!J127</f>
        <v>88594</v>
      </c>
      <c r="K46" s="28">
        <f>TrRoad_act!K127</f>
        <v>46286</v>
      </c>
      <c r="L46" s="28">
        <f>TrRoad_act!L127</f>
        <v>34062</v>
      </c>
      <c r="M46" s="28">
        <f>TrRoad_act!M127</f>
        <v>54143</v>
      </c>
      <c r="N46" s="28">
        <f>TrRoad_act!N127</f>
        <v>52321</v>
      </c>
      <c r="O46" s="28">
        <f>TrRoad_act!O127</f>
        <v>68171</v>
      </c>
      <c r="P46" s="28">
        <f>TrRoad_act!P127</f>
        <v>79844</v>
      </c>
      <c r="Q46" s="28">
        <f>TrRoad_act!Q127</f>
        <v>68965</v>
      </c>
      <c r="R46" s="28">
        <f>TrRoad_act!R127</f>
        <v>55394</v>
      </c>
      <c r="S46" s="28">
        <f>TrRoad_act!S127</f>
        <v>79999</v>
      </c>
      <c r="T46" s="28">
        <f>TrRoad_act!T127</f>
        <v>95475</v>
      </c>
      <c r="U46" s="28">
        <f>TrRoad_act!U127</f>
        <v>89880</v>
      </c>
      <c r="V46" s="28">
        <f>TrRoad_act!V127</f>
        <v>84249</v>
      </c>
      <c r="W46" s="28">
        <f>TrRoad_act!W127</f>
        <v>86848</v>
      </c>
      <c r="X46" s="28">
        <f>TrRoad_act!X127</f>
        <v>80673</v>
      </c>
      <c r="Y46" s="28">
        <f>TrRoad_act!Y127</f>
        <v>77332</v>
      </c>
      <c r="DA46" s="173" t="s">
        <v>542</v>
      </c>
    </row>
    <row r="47" spans="1:105" ht="11.45" customHeight="1" x14ac:dyDescent="0.25">
      <c r="A47" s="136" t="s">
        <v>153</v>
      </c>
      <c r="B47" s="137">
        <f>TrRoad_act!B128</f>
        <v>0</v>
      </c>
      <c r="C47" s="137">
        <f>TrRoad_act!C128</f>
        <v>22274</v>
      </c>
      <c r="D47" s="137">
        <f>TrRoad_act!D128</f>
        <v>23210</v>
      </c>
      <c r="E47" s="137">
        <f>TrRoad_act!E128</f>
        <v>30146</v>
      </c>
      <c r="F47" s="137">
        <f>TrRoad_act!F128</f>
        <v>34742</v>
      </c>
      <c r="G47" s="137">
        <f>TrRoad_act!G128</f>
        <v>30477</v>
      </c>
      <c r="H47" s="137">
        <f>TrRoad_act!H128</f>
        <v>62743</v>
      </c>
      <c r="I47" s="137">
        <f>TrRoad_act!I128</f>
        <v>46763</v>
      </c>
      <c r="J47" s="137">
        <f>TrRoad_act!J128</f>
        <v>81060</v>
      </c>
      <c r="K47" s="137">
        <f>TrRoad_act!K128</f>
        <v>40357</v>
      </c>
      <c r="L47" s="137">
        <f>TrRoad_act!L128</f>
        <v>33023</v>
      </c>
      <c r="M47" s="137">
        <f>TrRoad_act!M128</f>
        <v>52337</v>
      </c>
      <c r="N47" s="137">
        <f>TrRoad_act!N128</f>
        <v>49048</v>
      </c>
      <c r="O47" s="137">
        <f>TrRoad_act!O128</f>
        <v>60724</v>
      </c>
      <c r="P47" s="137">
        <f>TrRoad_act!P128</f>
        <v>75893</v>
      </c>
      <c r="Q47" s="137">
        <f>TrRoad_act!Q128</f>
        <v>66407</v>
      </c>
      <c r="R47" s="137">
        <f>TrRoad_act!R128</f>
        <v>50228</v>
      </c>
      <c r="S47" s="137">
        <f>TrRoad_act!S128</f>
        <v>73968</v>
      </c>
      <c r="T47" s="137">
        <f>TrRoad_act!T128</f>
        <v>90050</v>
      </c>
      <c r="U47" s="137">
        <f>TrRoad_act!U128</f>
        <v>83910</v>
      </c>
      <c r="V47" s="137">
        <f>TrRoad_act!V128</f>
        <v>79982</v>
      </c>
      <c r="W47" s="137">
        <f>TrRoad_act!W128</f>
        <v>79647</v>
      </c>
      <c r="X47" s="137">
        <f>TrRoad_act!X128</f>
        <v>76180</v>
      </c>
      <c r="Y47" s="137">
        <f>TrRoad_act!Y128</f>
        <v>71760</v>
      </c>
      <c r="DA47" s="174" t="s">
        <v>543</v>
      </c>
    </row>
    <row r="48" spans="1:105" ht="11.45" customHeight="1" x14ac:dyDescent="0.25">
      <c r="A48" s="111" t="s">
        <v>110</v>
      </c>
      <c r="B48" s="84">
        <f>TrRoad_act!B129</f>
        <v>0</v>
      </c>
      <c r="C48" s="84">
        <f>TrRoad_act!C129</f>
        <v>6613</v>
      </c>
      <c r="D48" s="84">
        <f>TrRoad_act!D129</f>
        <v>6988</v>
      </c>
      <c r="E48" s="84">
        <f>TrRoad_act!E129</f>
        <v>9413</v>
      </c>
      <c r="F48" s="84">
        <f>TrRoad_act!F129</f>
        <v>10946</v>
      </c>
      <c r="G48" s="84">
        <f>TrRoad_act!G129</f>
        <v>9487</v>
      </c>
      <c r="H48" s="84">
        <f>TrRoad_act!H129</f>
        <v>19930</v>
      </c>
      <c r="I48" s="84">
        <f>TrRoad_act!I129</f>
        <v>14475</v>
      </c>
      <c r="J48" s="84">
        <f>TrRoad_act!J129</f>
        <v>9996</v>
      </c>
      <c r="K48" s="84">
        <f>TrRoad_act!K129</f>
        <v>9051</v>
      </c>
      <c r="L48" s="84">
        <f>TrRoad_act!L129</f>
        <v>5380</v>
      </c>
      <c r="M48" s="84">
        <f>TrRoad_act!M129</f>
        <v>6216</v>
      </c>
      <c r="N48" s="84">
        <f>TrRoad_act!N129</f>
        <v>7022</v>
      </c>
      <c r="O48" s="84">
        <f>TrRoad_act!O129</f>
        <v>1615</v>
      </c>
      <c r="P48" s="84">
        <f>TrRoad_act!P129</f>
        <v>2522</v>
      </c>
      <c r="Q48" s="84">
        <f>TrRoad_act!Q129</f>
        <v>419</v>
      </c>
      <c r="R48" s="84">
        <f>TrRoad_act!R129</f>
        <v>12196</v>
      </c>
      <c r="S48" s="84">
        <f>TrRoad_act!S129</f>
        <v>12393</v>
      </c>
      <c r="T48" s="84">
        <f>TrRoad_act!T129</f>
        <v>10300</v>
      </c>
      <c r="U48" s="84">
        <f>TrRoad_act!U129</f>
        <v>5978</v>
      </c>
      <c r="V48" s="84">
        <f>TrRoad_act!V129</f>
        <v>5537</v>
      </c>
      <c r="W48" s="84">
        <f>TrRoad_act!W129</f>
        <v>5306</v>
      </c>
      <c r="X48" s="84">
        <f>TrRoad_act!X129</f>
        <v>7513</v>
      </c>
      <c r="Y48" s="84">
        <f>TrRoad_act!Y129</f>
        <v>8021</v>
      </c>
      <c r="DA48" s="171" t="s">
        <v>544</v>
      </c>
    </row>
    <row r="49" spans="1:105" ht="11.45" customHeight="1" x14ac:dyDescent="0.25">
      <c r="A49" s="111" t="s">
        <v>111</v>
      </c>
      <c r="B49" s="84">
        <f>TrRoad_act!B130</f>
        <v>0</v>
      </c>
      <c r="C49" s="84">
        <f>TrRoad_act!C130</f>
        <v>15661</v>
      </c>
      <c r="D49" s="84">
        <f>TrRoad_act!D130</f>
        <v>16222</v>
      </c>
      <c r="E49" s="84">
        <f>TrRoad_act!E130</f>
        <v>20733</v>
      </c>
      <c r="F49" s="84">
        <f>TrRoad_act!F130</f>
        <v>23796</v>
      </c>
      <c r="G49" s="84">
        <f>TrRoad_act!G130</f>
        <v>20990</v>
      </c>
      <c r="H49" s="84">
        <f>TrRoad_act!H130</f>
        <v>42813</v>
      </c>
      <c r="I49" s="84">
        <f>TrRoad_act!I130</f>
        <v>32288</v>
      </c>
      <c r="J49" s="84">
        <f>TrRoad_act!J130</f>
        <v>71062</v>
      </c>
      <c r="K49" s="84">
        <f>TrRoad_act!K130</f>
        <v>31306</v>
      </c>
      <c r="L49" s="84">
        <f>TrRoad_act!L130</f>
        <v>27641</v>
      </c>
      <c r="M49" s="84">
        <f>TrRoad_act!M130</f>
        <v>46118</v>
      </c>
      <c r="N49" s="84">
        <f>TrRoad_act!N130</f>
        <v>42017</v>
      </c>
      <c r="O49" s="84">
        <f>TrRoad_act!O130</f>
        <v>59105</v>
      </c>
      <c r="P49" s="84">
        <f>TrRoad_act!P130</f>
        <v>73366</v>
      </c>
      <c r="Q49" s="84">
        <f>TrRoad_act!Q130</f>
        <v>65988</v>
      </c>
      <c r="R49" s="84">
        <f>TrRoad_act!R130</f>
        <v>38025</v>
      </c>
      <c r="S49" s="84">
        <f>TrRoad_act!S130</f>
        <v>61560</v>
      </c>
      <c r="T49" s="84">
        <f>TrRoad_act!T130</f>
        <v>79712</v>
      </c>
      <c r="U49" s="84">
        <f>TrRoad_act!U130</f>
        <v>77876</v>
      </c>
      <c r="V49" s="84">
        <f>TrRoad_act!V130</f>
        <v>74356</v>
      </c>
      <c r="W49" s="84">
        <f>TrRoad_act!W130</f>
        <v>74245</v>
      </c>
      <c r="X49" s="84">
        <f>TrRoad_act!X130</f>
        <v>68444</v>
      </c>
      <c r="Y49" s="84">
        <f>TrRoad_act!Y130</f>
        <v>63199</v>
      </c>
      <c r="DA49" s="171" t="s">
        <v>545</v>
      </c>
    </row>
    <row r="50" spans="1:105" ht="11.45" customHeight="1" x14ac:dyDescent="0.25">
      <c r="A50" s="111" t="s">
        <v>112</v>
      </c>
      <c r="B50" s="84">
        <f>TrRoad_act!B131</f>
        <v>0</v>
      </c>
      <c r="C50" s="84">
        <f>TrRoad_act!C131</f>
        <v>0</v>
      </c>
      <c r="D50" s="84">
        <f>TrRoad_act!D131</f>
        <v>0</v>
      </c>
      <c r="E50" s="84">
        <f>TrRoad_act!E131</f>
        <v>0</v>
      </c>
      <c r="F50" s="84">
        <f>TrRoad_act!F131</f>
        <v>0</v>
      </c>
      <c r="G50" s="84">
        <f>TrRoad_act!G131</f>
        <v>0</v>
      </c>
      <c r="H50" s="84">
        <f>TrRoad_act!H131</f>
        <v>0</v>
      </c>
      <c r="I50" s="84">
        <f>TrRoad_act!I131</f>
        <v>0</v>
      </c>
      <c r="J50" s="84">
        <f>TrRoad_act!J131</f>
        <v>2</v>
      </c>
      <c r="K50" s="84">
        <f>TrRoad_act!K131</f>
        <v>0</v>
      </c>
      <c r="L50" s="84">
        <f>TrRoad_act!L131</f>
        <v>0</v>
      </c>
      <c r="M50" s="84">
        <f>TrRoad_act!M131</f>
        <v>2</v>
      </c>
      <c r="N50" s="84">
        <f>TrRoad_act!N131</f>
        <v>6</v>
      </c>
      <c r="O50" s="84">
        <f>TrRoad_act!O131</f>
        <v>0</v>
      </c>
      <c r="P50" s="84">
        <f>TrRoad_act!P131</f>
        <v>2</v>
      </c>
      <c r="Q50" s="84">
        <f>TrRoad_act!Q131</f>
        <v>0</v>
      </c>
      <c r="R50" s="84">
        <f>TrRoad_act!R131</f>
        <v>3</v>
      </c>
      <c r="S50" s="84">
        <f>TrRoad_act!S131</f>
        <v>0</v>
      </c>
      <c r="T50" s="84">
        <f>TrRoad_act!T131</f>
        <v>0</v>
      </c>
      <c r="U50" s="84">
        <f>TrRoad_act!U131</f>
        <v>0</v>
      </c>
      <c r="V50" s="84">
        <f>TrRoad_act!V131</f>
        <v>0</v>
      </c>
      <c r="W50" s="84">
        <f>TrRoad_act!W131</f>
        <v>4</v>
      </c>
      <c r="X50" s="84">
        <f>TrRoad_act!X131</f>
        <v>20</v>
      </c>
      <c r="Y50" s="84">
        <f>TrRoad_act!Y131</f>
        <v>18</v>
      </c>
      <c r="DA50" s="171" t="s">
        <v>546</v>
      </c>
    </row>
    <row r="51" spans="1:105" ht="11.45" customHeight="1" x14ac:dyDescent="0.25">
      <c r="A51" s="111" t="s">
        <v>113</v>
      </c>
      <c r="B51" s="84">
        <f>TrRoad_act!B132</f>
        <v>0</v>
      </c>
      <c r="C51" s="84">
        <f>TrRoad_act!C132</f>
        <v>0</v>
      </c>
      <c r="D51" s="84">
        <f>TrRoad_act!D132</f>
        <v>0</v>
      </c>
      <c r="E51" s="84">
        <f>TrRoad_act!E132</f>
        <v>0</v>
      </c>
      <c r="F51" s="84">
        <f>TrRoad_act!F132</f>
        <v>0</v>
      </c>
      <c r="G51" s="84">
        <f>TrRoad_act!G132</f>
        <v>0</v>
      </c>
      <c r="H51" s="84">
        <f>TrRoad_act!H132</f>
        <v>0</v>
      </c>
      <c r="I51" s="84">
        <f>TrRoad_act!I132</f>
        <v>0</v>
      </c>
      <c r="J51" s="84">
        <f>TrRoad_act!J132</f>
        <v>0</v>
      </c>
      <c r="K51" s="84">
        <f>TrRoad_act!K132</f>
        <v>0</v>
      </c>
      <c r="L51" s="84">
        <f>TrRoad_act!L132</f>
        <v>0</v>
      </c>
      <c r="M51" s="84">
        <f>TrRoad_act!M132</f>
        <v>0</v>
      </c>
      <c r="N51" s="84">
        <f>TrRoad_act!N132</f>
        <v>0</v>
      </c>
      <c r="O51" s="84">
        <f>TrRoad_act!O132</f>
        <v>0</v>
      </c>
      <c r="P51" s="84">
        <f>TrRoad_act!P132</f>
        <v>0</v>
      </c>
      <c r="Q51" s="84">
        <f>TrRoad_act!Q132</f>
        <v>0</v>
      </c>
      <c r="R51" s="84">
        <f>TrRoad_act!R132</f>
        <v>0</v>
      </c>
      <c r="S51" s="84">
        <f>TrRoad_act!S132</f>
        <v>0</v>
      </c>
      <c r="T51" s="84">
        <f>TrRoad_act!T132</f>
        <v>0</v>
      </c>
      <c r="U51" s="84">
        <f>TrRoad_act!U132</f>
        <v>0</v>
      </c>
      <c r="V51" s="84">
        <f>TrRoad_act!V132</f>
        <v>0</v>
      </c>
      <c r="W51" s="84">
        <f>TrRoad_act!W132</f>
        <v>0</v>
      </c>
      <c r="X51" s="84">
        <f>TrRoad_act!X132</f>
        <v>0</v>
      </c>
      <c r="Y51" s="84">
        <f>TrRoad_act!Y132</f>
        <v>0</v>
      </c>
      <c r="DA51" s="171" t="s">
        <v>547</v>
      </c>
    </row>
    <row r="52" spans="1:105" ht="11.45" customHeight="1" x14ac:dyDescent="0.25">
      <c r="A52" s="111" t="s">
        <v>115</v>
      </c>
      <c r="B52" s="84">
        <f>TrRoad_act!B133</f>
        <v>0</v>
      </c>
      <c r="C52" s="84">
        <f>TrRoad_act!C133</f>
        <v>0</v>
      </c>
      <c r="D52" s="84">
        <f>TrRoad_act!D133</f>
        <v>0</v>
      </c>
      <c r="E52" s="84">
        <f>TrRoad_act!E133</f>
        <v>0</v>
      </c>
      <c r="F52" s="84">
        <f>TrRoad_act!F133</f>
        <v>0</v>
      </c>
      <c r="G52" s="84">
        <f>TrRoad_act!G133</f>
        <v>0</v>
      </c>
      <c r="H52" s="84">
        <f>TrRoad_act!H133</f>
        <v>0</v>
      </c>
      <c r="I52" s="84">
        <f>TrRoad_act!I133</f>
        <v>0</v>
      </c>
      <c r="J52" s="84">
        <f>TrRoad_act!J133</f>
        <v>0</v>
      </c>
      <c r="K52" s="84">
        <f>TrRoad_act!K133</f>
        <v>0</v>
      </c>
      <c r="L52" s="84">
        <f>TrRoad_act!L133</f>
        <v>2</v>
      </c>
      <c r="M52" s="84">
        <f>TrRoad_act!M133</f>
        <v>1</v>
      </c>
      <c r="N52" s="84">
        <f>TrRoad_act!N133</f>
        <v>3</v>
      </c>
      <c r="O52" s="84">
        <f>TrRoad_act!O133</f>
        <v>4</v>
      </c>
      <c r="P52" s="84">
        <f>TrRoad_act!P133</f>
        <v>3</v>
      </c>
      <c r="Q52" s="84">
        <f>TrRoad_act!Q133</f>
        <v>0</v>
      </c>
      <c r="R52" s="84">
        <f>TrRoad_act!R133</f>
        <v>4</v>
      </c>
      <c r="S52" s="84">
        <f>TrRoad_act!S133</f>
        <v>15</v>
      </c>
      <c r="T52" s="84">
        <f>TrRoad_act!T133</f>
        <v>38</v>
      </c>
      <c r="U52" s="84">
        <f>TrRoad_act!U133</f>
        <v>56</v>
      </c>
      <c r="V52" s="84">
        <f>TrRoad_act!V133</f>
        <v>89</v>
      </c>
      <c r="W52" s="84">
        <f>TrRoad_act!W133</f>
        <v>92</v>
      </c>
      <c r="X52" s="84">
        <f>TrRoad_act!X133</f>
        <v>203</v>
      </c>
      <c r="Y52" s="84">
        <f>TrRoad_act!Y133</f>
        <v>522</v>
      </c>
      <c r="DA52" s="171" t="s">
        <v>548</v>
      </c>
    </row>
    <row r="53" spans="1:105" ht="11.45" customHeight="1" x14ac:dyDescent="0.25">
      <c r="A53" s="109" t="s">
        <v>154</v>
      </c>
      <c r="B53" s="110">
        <f>TrRoad_act!B134</f>
        <v>781</v>
      </c>
      <c r="C53" s="110">
        <f>TrRoad_act!C134</f>
        <v>7938</v>
      </c>
      <c r="D53" s="110">
        <f>TrRoad_act!D134</f>
        <v>6531</v>
      </c>
      <c r="E53" s="110">
        <f>TrRoad_act!E134</f>
        <v>14902</v>
      </c>
      <c r="F53" s="110">
        <f>TrRoad_act!F134</f>
        <v>8636</v>
      </c>
      <c r="G53" s="110">
        <f>TrRoad_act!G134</f>
        <v>22105</v>
      </c>
      <c r="H53" s="110">
        <f>TrRoad_act!H134</f>
        <v>13245</v>
      </c>
      <c r="I53" s="110">
        <f>TrRoad_act!I134</f>
        <v>4389</v>
      </c>
      <c r="J53" s="110">
        <f>TrRoad_act!J134</f>
        <v>7534</v>
      </c>
      <c r="K53" s="110">
        <f>TrRoad_act!K134</f>
        <v>5929</v>
      </c>
      <c r="L53" s="110">
        <f>TrRoad_act!L134</f>
        <v>1039</v>
      </c>
      <c r="M53" s="110">
        <f>TrRoad_act!M134</f>
        <v>1806</v>
      </c>
      <c r="N53" s="110">
        <f>TrRoad_act!N134</f>
        <v>3273</v>
      </c>
      <c r="O53" s="110">
        <f>TrRoad_act!O134</f>
        <v>7447</v>
      </c>
      <c r="P53" s="110">
        <f>TrRoad_act!P134</f>
        <v>3951</v>
      </c>
      <c r="Q53" s="110">
        <f>TrRoad_act!Q134</f>
        <v>2558</v>
      </c>
      <c r="R53" s="110">
        <f>TrRoad_act!R134</f>
        <v>5166</v>
      </c>
      <c r="S53" s="110">
        <f>TrRoad_act!S134</f>
        <v>6031</v>
      </c>
      <c r="T53" s="110">
        <f>TrRoad_act!T134</f>
        <v>5425</v>
      </c>
      <c r="U53" s="110">
        <f>TrRoad_act!U134</f>
        <v>5970</v>
      </c>
      <c r="V53" s="110">
        <f>TrRoad_act!V134</f>
        <v>4267</v>
      </c>
      <c r="W53" s="110">
        <f>TrRoad_act!W134</f>
        <v>7201</v>
      </c>
      <c r="X53" s="110">
        <f>TrRoad_act!X134</f>
        <v>4493</v>
      </c>
      <c r="Y53" s="110">
        <f>TrRoad_act!Y134</f>
        <v>5572</v>
      </c>
      <c r="DA53" s="176" t="s">
        <v>549</v>
      </c>
    </row>
    <row r="54" spans="1:105" ht="11.45" customHeight="1" x14ac:dyDescent="0.25">
      <c r="A54" s="128" t="s">
        <v>27</v>
      </c>
      <c r="B54" s="102">
        <f>TrRoad_act!B135</f>
        <v>0</v>
      </c>
      <c r="C54" s="102">
        <f>TrRoad_act!C135</f>
        <v>7033</v>
      </c>
      <c r="D54" s="102">
        <f>TrRoad_act!D135</f>
        <v>5680</v>
      </c>
      <c r="E54" s="102">
        <f>TrRoad_act!E135</f>
        <v>14218</v>
      </c>
      <c r="F54" s="102">
        <f>TrRoad_act!F135</f>
        <v>6433</v>
      </c>
      <c r="G54" s="102">
        <f>TrRoad_act!G135</f>
        <v>21088</v>
      </c>
      <c r="H54" s="102">
        <f>TrRoad_act!H135</f>
        <v>13245</v>
      </c>
      <c r="I54" s="102">
        <f>TrRoad_act!I135</f>
        <v>3721</v>
      </c>
      <c r="J54" s="102">
        <f>TrRoad_act!J135</f>
        <v>7534</v>
      </c>
      <c r="K54" s="102">
        <f>TrRoad_act!K135</f>
        <v>5929</v>
      </c>
      <c r="L54" s="102">
        <f>TrRoad_act!L135</f>
        <v>1039</v>
      </c>
      <c r="M54" s="102">
        <f>TrRoad_act!M135</f>
        <v>1534</v>
      </c>
      <c r="N54" s="102">
        <f>TrRoad_act!N135</f>
        <v>2534</v>
      </c>
      <c r="O54" s="102">
        <f>TrRoad_act!O135</f>
        <v>6948</v>
      </c>
      <c r="P54" s="102">
        <f>TrRoad_act!P135</f>
        <v>3775</v>
      </c>
      <c r="Q54" s="102">
        <f>TrRoad_act!Q135</f>
        <v>2255</v>
      </c>
      <c r="R54" s="102">
        <f>TrRoad_act!R135</f>
        <v>4438</v>
      </c>
      <c r="S54" s="102">
        <f>TrRoad_act!S135</f>
        <v>4930</v>
      </c>
      <c r="T54" s="102">
        <f>TrRoad_act!T135</f>
        <v>5351</v>
      </c>
      <c r="U54" s="102">
        <f>TrRoad_act!U135</f>
        <v>5552</v>
      </c>
      <c r="V54" s="102">
        <f>TrRoad_act!V135</f>
        <v>4267</v>
      </c>
      <c r="W54" s="102">
        <f>TrRoad_act!W135</f>
        <v>5362</v>
      </c>
      <c r="X54" s="102">
        <f>TrRoad_act!X135</f>
        <v>4235</v>
      </c>
      <c r="Y54" s="102">
        <f>TrRoad_act!Y135</f>
        <v>5062</v>
      </c>
      <c r="DA54" s="175" t="s">
        <v>550</v>
      </c>
    </row>
    <row r="55" spans="1:105" ht="11.45" customHeight="1" x14ac:dyDescent="0.25">
      <c r="A55" s="138" t="s">
        <v>116</v>
      </c>
      <c r="B55" s="86">
        <f>TrRoad_act!B136</f>
        <v>781</v>
      </c>
      <c r="C55" s="86">
        <f>TrRoad_act!C136</f>
        <v>905</v>
      </c>
      <c r="D55" s="86">
        <f>TrRoad_act!D136</f>
        <v>851</v>
      </c>
      <c r="E55" s="86">
        <f>TrRoad_act!E136</f>
        <v>684</v>
      </c>
      <c r="F55" s="86">
        <f>TrRoad_act!F136</f>
        <v>2203</v>
      </c>
      <c r="G55" s="86">
        <f>TrRoad_act!G136</f>
        <v>1017</v>
      </c>
      <c r="H55" s="86">
        <f>TrRoad_act!H136</f>
        <v>0</v>
      </c>
      <c r="I55" s="86">
        <f>TrRoad_act!I136</f>
        <v>668</v>
      </c>
      <c r="J55" s="86">
        <f>TrRoad_act!J136</f>
        <v>0</v>
      </c>
      <c r="K55" s="86">
        <f>TrRoad_act!K136</f>
        <v>0</v>
      </c>
      <c r="L55" s="86">
        <f>TrRoad_act!L136</f>
        <v>0</v>
      </c>
      <c r="M55" s="86">
        <f>TrRoad_act!M136</f>
        <v>272</v>
      </c>
      <c r="N55" s="86">
        <f>TrRoad_act!N136</f>
        <v>739</v>
      </c>
      <c r="O55" s="86">
        <f>TrRoad_act!O136</f>
        <v>499</v>
      </c>
      <c r="P55" s="86">
        <f>TrRoad_act!P136</f>
        <v>176</v>
      </c>
      <c r="Q55" s="86">
        <f>TrRoad_act!Q136</f>
        <v>303</v>
      </c>
      <c r="R55" s="86">
        <f>TrRoad_act!R136</f>
        <v>728</v>
      </c>
      <c r="S55" s="86">
        <f>TrRoad_act!S136</f>
        <v>1101</v>
      </c>
      <c r="T55" s="86">
        <f>TrRoad_act!T136</f>
        <v>74</v>
      </c>
      <c r="U55" s="86">
        <f>TrRoad_act!U136</f>
        <v>418</v>
      </c>
      <c r="V55" s="86">
        <f>TrRoad_act!V136</f>
        <v>0</v>
      </c>
      <c r="W55" s="86">
        <f>TrRoad_act!W136</f>
        <v>1839</v>
      </c>
      <c r="X55" s="86">
        <f>TrRoad_act!X136</f>
        <v>258</v>
      </c>
      <c r="Y55" s="86">
        <f>TrRoad_act!Y136</f>
        <v>510</v>
      </c>
      <c r="DA55" s="178" t="s">
        <v>551</v>
      </c>
    </row>
    <row r="56" spans="1:105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DA56" s="171"/>
    </row>
    <row r="57" spans="1:105" ht="11.45" customHeight="1" x14ac:dyDescent="0.25">
      <c r="A57" s="148"/>
      <c r="B57" s="231">
        <v>2020</v>
      </c>
      <c r="C57" s="231"/>
      <c r="D57" s="231"/>
      <c r="E57" s="231"/>
      <c r="F57" s="231"/>
      <c r="G57" s="231"/>
      <c r="H57" s="231"/>
      <c r="I57" s="231"/>
      <c r="J57" s="231"/>
      <c r="K57" s="231"/>
      <c r="L57" s="231"/>
      <c r="M57" s="231"/>
      <c r="N57" s="231"/>
      <c r="O57" s="231"/>
      <c r="P57" s="231"/>
      <c r="Q57" s="231"/>
      <c r="R57" s="231"/>
      <c r="S57" s="231"/>
      <c r="T57" s="231"/>
      <c r="U57" s="231"/>
      <c r="V57" s="231"/>
      <c r="W57" s="168"/>
      <c r="X57" s="168"/>
      <c r="Y57" s="168"/>
      <c r="DA57" s="209"/>
    </row>
    <row r="58" spans="1:105" ht="11.45" customHeight="1" x14ac:dyDescent="0.25">
      <c r="A58" s="149" t="s">
        <v>118</v>
      </c>
      <c r="B58" s="147" t="s">
        <v>119</v>
      </c>
      <c r="C58" s="147">
        <v>2001</v>
      </c>
      <c r="D58" s="147">
        <v>2002</v>
      </c>
      <c r="E58" s="147">
        <v>2003</v>
      </c>
      <c r="F58" s="147">
        <v>2004</v>
      </c>
      <c r="G58" s="147">
        <v>2005</v>
      </c>
      <c r="H58" s="147">
        <v>2006</v>
      </c>
      <c r="I58" s="147">
        <v>2007</v>
      </c>
      <c r="J58" s="147">
        <v>2008</v>
      </c>
      <c r="K58" s="147">
        <v>2009</v>
      </c>
      <c r="L58" s="147">
        <v>2010</v>
      </c>
      <c r="M58" s="147">
        <v>2011</v>
      </c>
      <c r="N58" s="147">
        <v>2012</v>
      </c>
      <c r="O58" s="147">
        <v>2013</v>
      </c>
      <c r="P58" s="147">
        <v>2014</v>
      </c>
      <c r="Q58" s="147">
        <v>2015</v>
      </c>
      <c r="R58" s="147">
        <v>2016</v>
      </c>
      <c r="S58" s="147">
        <v>2017</v>
      </c>
      <c r="T58" s="147">
        <v>2018</v>
      </c>
      <c r="U58" s="147">
        <v>2019</v>
      </c>
      <c r="V58" s="147">
        <v>2020</v>
      </c>
      <c r="W58" s="147">
        <v>2021</v>
      </c>
      <c r="X58" s="147">
        <v>2021</v>
      </c>
      <c r="Y58" s="147">
        <v>2021</v>
      </c>
      <c r="DA58" s="210"/>
    </row>
    <row r="59" spans="1:105" ht="11.45" customHeight="1" x14ac:dyDescent="0.25">
      <c r="A59" s="53" t="s">
        <v>151</v>
      </c>
      <c r="B59" s="54">
        <f t="shared" ref="B59:K59" si="0">B60+B75</f>
        <v>0</v>
      </c>
      <c r="C59" s="54">
        <f t="shared" si="0"/>
        <v>0</v>
      </c>
      <c r="D59" s="54">
        <f t="shared" si="0"/>
        <v>0</v>
      </c>
      <c r="E59" s="54">
        <f t="shared" si="0"/>
        <v>0</v>
      </c>
      <c r="F59" s="54">
        <f t="shared" si="0"/>
        <v>816</v>
      </c>
      <c r="G59" s="54">
        <f t="shared" si="0"/>
        <v>1147</v>
      </c>
      <c r="H59" s="54">
        <f t="shared" si="0"/>
        <v>6107</v>
      </c>
      <c r="I59" s="54">
        <f t="shared" si="0"/>
        <v>165644</v>
      </c>
      <c r="J59" s="54">
        <f t="shared" si="0"/>
        <v>454348</v>
      </c>
      <c r="K59" s="54">
        <f t="shared" si="0"/>
        <v>317832</v>
      </c>
      <c r="L59" s="54">
        <f t="shared" ref="L59" si="1">L60+L75</f>
        <v>334664</v>
      </c>
      <c r="M59" s="54">
        <f t="shared" ref="M59:V59" si="2">M60+M75</f>
        <v>232161</v>
      </c>
      <c r="N59" s="54">
        <f t="shared" si="2"/>
        <v>336695</v>
      </c>
      <c r="O59" s="54">
        <f t="shared" si="2"/>
        <v>422007</v>
      </c>
      <c r="P59" s="54">
        <f t="shared" si="2"/>
        <v>459086</v>
      </c>
      <c r="Q59" s="54">
        <f t="shared" si="2"/>
        <v>461875</v>
      </c>
      <c r="R59" s="54">
        <f t="shared" si="2"/>
        <v>499313</v>
      </c>
      <c r="S59" s="54">
        <f t="shared" si="2"/>
        <v>748218</v>
      </c>
      <c r="T59" s="54">
        <f t="shared" si="2"/>
        <v>810960</v>
      </c>
      <c r="U59" s="54">
        <f t="shared" si="2"/>
        <v>848990</v>
      </c>
      <c r="V59" s="54">
        <f t="shared" si="2"/>
        <v>811980</v>
      </c>
      <c r="W59" s="54">
        <f t="shared" ref="W59:Y59" si="3">W60+W75</f>
        <v>821140</v>
      </c>
      <c r="X59" s="54">
        <f t="shared" si="3"/>
        <v>801413</v>
      </c>
      <c r="Y59" s="54">
        <f t="shared" si="3"/>
        <v>825138</v>
      </c>
      <c r="DA59" s="172" t="s">
        <v>838</v>
      </c>
    </row>
    <row r="60" spans="1:105" ht="11.45" customHeight="1" x14ac:dyDescent="0.25">
      <c r="A60" s="27" t="s">
        <v>33</v>
      </c>
      <c r="B60" s="28">
        <f t="shared" ref="B60:K60" si="4">B61+B62+B69</f>
        <v>0</v>
      </c>
      <c r="C60" s="28">
        <f t="shared" si="4"/>
        <v>0</v>
      </c>
      <c r="D60" s="28">
        <f t="shared" si="4"/>
        <v>0</v>
      </c>
      <c r="E60" s="28">
        <f t="shared" si="4"/>
        <v>0</v>
      </c>
      <c r="F60" s="28">
        <f t="shared" si="4"/>
        <v>816</v>
      </c>
      <c r="G60" s="28">
        <f t="shared" si="4"/>
        <v>0</v>
      </c>
      <c r="H60" s="28">
        <f t="shared" si="4"/>
        <v>0</v>
      </c>
      <c r="I60" s="28">
        <f t="shared" si="4"/>
        <v>155645</v>
      </c>
      <c r="J60" s="28">
        <f t="shared" si="4"/>
        <v>424713</v>
      </c>
      <c r="K60" s="28">
        <f t="shared" si="4"/>
        <v>296210</v>
      </c>
      <c r="L60" s="28">
        <f t="shared" ref="L60" si="5">L61+L62+L69</f>
        <v>315382</v>
      </c>
      <c r="M60" s="28">
        <f t="shared" ref="M60:V60" si="6">M61+M62+M69</f>
        <v>197039</v>
      </c>
      <c r="N60" s="28">
        <f t="shared" si="6"/>
        <v>298345</v>
      </c>
      <c r="O60" s="28">
        <f t="shared" si="6"/>
        <v>367289</v>
      </c>
      <c r="P60" s="28">
        <f t="shared" si="6"/>
        <v>390639</v>
      </c>
      <c r="Q60" s="28">
        <f t="shared" si="6"/>
        <v>399625</v>
      </c>
      <c r="R60" s="28">
        <f t="shared" si="6"/>
        <v>447195</v>
      </c>
      <c r="S60" s="28">
        <f t="shared" si="6"/>
        <v>671008</v>
      </c>
      <c r="T60" s="28">
        <f t="shared" si="6"/>
        <v>716937</v>
      </c>
      <c r="U60" s="28">
        <f t="shared" si="6"/>
        <v>759629</v>
      </c>
      <c r="V60" s="28">
        <f t="shared" si="6"/>
        <v>727816</v>
      </c>
      <c r="W60" s="28">
        <f t="shared" ref="W60:Y60" si="7">W61+W62+W69</f>
        <v>734394</v>
      </c>
      <c r="X60" s="28">
        <f t="shared" si="7"/>
        <v>720748</v>
      </c>
      <c r="Y60" s="28">
        <f t="shared" si="7"/>
        <v>747806</v>
      </c>
      <c r="DA60" s="173" t="s">
        <v>839</v>
      </c>
    </row>
    <row r="61" spans="1:105" ht="11.45" customHeight="1" x14ac:dyDescent="0.25">
      <c r="A61" s="136" t="s">
        <v>173</v>
      </c>
      <c r="B61" s="137">
        <v>0</v>
      </c>
      <c r="C61" s="137">
        <v>0</v>
      </c>
      <c r="D61" s="137">
        <v>0</v>
      </c>
      <c r="E61" s="137">
        <v>0</v>
      </c>
      <c r="F61" s="137">
        <v>0</v>
      </c>
      <c r="G61" s="137">
        <v>0</v>
      </c>
      <c r="H61" s="137">
        <v>0</v>
      </c>
      <c r="I61" s="137">
        <v>1508</v>
      </c>
      <c r="J61" s="137">
        <v>8971</v>
      </c>
      <c r="K61" s="137">
        <v>6423</v>
      </c>
      <c r="L61" s="137">
        <v>5260</v>
      </c>
      <c r="M61" s="137">
        <v>5809</v>
      </c>
      <c r="N61" s="137">
        <v>6968</v>
      </c>
      <c r="O61" s="137">
        <v>8506</v>
      </c>
      <c r="P61" s="137">
        <v>8569</v>
      </c>
      <c r="Q61" s="137">
        <v>8799</v>
      </c>
      <c r="R61" s="137">
        <v>10596</v>
      </c>
      <c r="S61" s="137">
        <v>12325</v>
      </c>
      <c r="T61" s="137">
        <v>14378</v>
      </c>
      <c r="U61" s="137">
        <v>18283</v>
      </c>
      <c r="V61" s="137">
        <v>20834</v>
      </c>
      <c r="W61" s="137">
        <v>21215</v>
      </c>
      <c r="X61" s="137">
        <v>24276</v>
      </c>
      <c r="Y61" s="137">
        <v>25952</v>
      </c>
      <c r="DA61" s="174" t="s">
        <v>840</v>
      </c>
    </row>
    <row r="62" spans="1:105" ht="11.45" customHeight="1" x14ac:dyDescent="0.25">
      <c r="A62" s="109" t="s">
        <v>20</v>
      </c>
      <c r="B62" s="110">
        <f t="shared" ref="B62:K62" si="8">SUM(B63:B68)</f>
        <v>0</v>
      </c>
      <c r="C62" s="110">
        <f t="shared" si="8"/>
        <v>0</v>
      </c>
      <c r="D62" s="110">
        <f t="shared" si="8"/>
        <v>0</v>
      </c>
      <c r="E62" s="110">
        <f t="shared" si="8"/>
        <v>0</v>
      </c>
      <c r="F62" s="110">
        <f t="shared" si="8"/>
        <v>816</v>
      </c>
      <c r="G62" s="110">
        <f t="shared" si="8"/>
        <v>0</v>
      </c>
      <c r="H62" s="110">
        <f t="shared" si="8"/>
        <v>0</v>
      </c>
      <c r="I62" s="110">
        <f t="shared" si="8"/>
        <v>153629</v>
      </c>
      <c r="J62" s="110">
        <f t="shared" si="8"/>
        <v>411991</v>
      </c>
      <c r="K62" s="110">
        <f t="shared" si="8"/>
        <v>287912</v>
      </c>
      <c r="L62" s="110">
        <f t="shared" ref="L62" si="9">SUM(L63:L68)</f>
        <v>308062</v>
      </c>
      <c r="M62" s="110">
        <f t="shared" ref="M62:V62" si="10">SUM(M63:M68)</f>
        <v>188822</v>
      </c>
      <c r="N62" s="110">
        <f t="shared" si="10"/>
        <v>287982</v>
      </c>
      <c r="O62" s="110">
        <f t="shared" si="10"/>
        <v>355582</v>
      </c>
      <c r="P62" s="110">
        <f t="shared" si="10"/>
        <v>378268</v>
      </c>
      <c r="Q62" s="110">
        <f t="shared" si="10"/>
        <v>385451</v>
      </c>
      <c r="R62" s="110">
        <f t="shared" si="10"/>
        <v>433465</v>
      </c>
      <c r="S62" s="110">
        <f t="shared" si="10"/>
        <v>655253</v>
      </c>
      <c r="T62" s="110">
        <f t="shared" si="10"/>
        <v>698895</v>
      </c>
      <c r="U62" s="110">
        <f t="shared" si="10"/>
        <v>737041</v>
      </c>
      <c r="V62" s="110">
        <f t="shared" si="10"/>
        <v>703974</v>
      </c>
      <c r="W62" s="110">
        <f t="shared" ref="W62:Y62" si="11">SUM(W63:W68)</f>
        <v>710176</v>
      </c>
      <c r="X62" s="110">
        <f t="shared" si="11"/>
        <v>692356</v>
      </c>
      <c r="Y62" s="110">
        <f t="shared" si="11"/>
        <v>716895</v>
      </c>
      <c r="DA62" s="176" t="s">
        <v>841</v>
      </c>
    </row>
    <row r="63" spans="1:105" ht="11.45" customHeight="1" x14ac:dyDescent="0.25">
      <c r="A63" s="111" t="s">
        <v>110</v>
      </c>
      <c r="B63" s="84">
        <v>0</v>
      </c>
      <c r="C63" s="84">
        <v>0</v>
      </c>
      <c r="D63" s="84">
        <v>0</v>
      </c>
      <c r="E63" s="84">
        <v>0</v>
      </c>
      <c r="F63" s="84">
        <v>0</v>
      </c>
      <c r="G63" s="84">
        <v>0</v>
      </c>
      <c r="H63" s="84">
        <v>0</v>
      </c>
      <c r="I63" s="84">
        <v>150841</v>
      </c>
      <c r="J63" s="84">
        <v>340215</v>
      </c>
      <c r="K63" s="84">
        <v>228819</v>
      </c>
      <c r="L63" s="84">
        <v>242753</v>
      </c>
      <c r="M63" s="84">
        <v>110805</v>
      </c>
      <c r="N63" s="84">
        <v>200772</v>
      </c>
      <c r="O63" s="84">
        <v>242227</v>
      </c>
      <c r="P63" s="84">
        <v>231041</v>
      </c>
      <c r="Q63" s="84">
        <v>207147</v>
      </c>
      <c r="R63" s="84">
        <v>187259</v>
      </c>
      <c r="S63" s="84">
        <v>196905</v>
      </c>
      <c r="T63" s="84">
        <v>229879</v>
      </c>
      <c r="U63" s="84">
        <v>266423</v>
      </c>
      <c r="V63" s="84">
        <v>232387</v>
      </c>
      <c r="W63" s="84">
        <v>230599</v>
      </c>
      <c r="X63" s="84">
        <v>241283</v>
      </c>
      <c r="Y63" s="84">
        <v>248661</v>
      </c>
      <c r="DA63" s="171" t="s">
        <v>842</v>
      </c>
    </row>
    <row r="64" spans="1:105" ht="11.45" customHeight="1" x14ac:dyDescent="0.25">
      <c r="A64" s="111" t="s">
        <v>111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0</v>
      </c>
      <c r="I64" s="84">
        <v>0</v>
      </c>
      <c r="J64" s="84">
        <v>71776</v>
      </c>
      <c r="K64" s="84">
        <v>59093</v>
      </c>
      <c r="L64" s="84">
        <v>65299</v>
      </c>
      <c r="M64" s="84">
        <v>45670</v>
      </c>
      <c r="N64" s="84">
        <v>86096</v>
      </c>
      <c r="O64" s="84">
        <v>112223</v>
      </c>
      <c r="P64" s="84">
        <v>143053</v>
      </c>
      <c r="Q64" s="84">
        <v>167593</v>
      </c>
      <c r="R64" s="84">
        <v>237388</v>
      </c>
      <c r="S64" s="84">
        <v>443716</v>
      </c>
      <c r="T64" s="84">
        <v>450301</v>
      </c>
      <c r="U64" s="84">
        <v>443466</v>
      </c>
      <c r="V64" s="84">
        <v>435620</v>
      </c>
      <c r="W64" s="84">
        <v>426188</v>
      </c>
      <c r="X64" s="84">
        <v>422652</v>
      </c>
      <c r="Y64" s="84">
        <v>428243</v>
      </c>
      <c r="DA64" s="171" t="s">
        <v>843</v>
      </c>
    </row>
    <row r="65" spans="1:105" ht="11.45" customHeight="1" x14ac:dyDescent="0.25">
      <c r="A65" s="111" t="s">
        <v>112</v>
      </c>
      <c r="B65" s="84">
        <v>0</v>
      </c>
      <c r="C65" s="84">
        <v>0</v>
      </c>
      <c r="D65" s="84">
        <v>0</v>
      </c>
      <c r="E65" s="84">
        <v>0</v>
      </c>
      <c r="F65" s="84">
        <v>816</v>
      </c>
      <c r="G65" s="84">
        <v>0</v>
      </c>
      <c r="H65" s="84">
        <v>0</v>
      </c>
      <c r="I65" s="84">
        <v>2788</v>
      </c>
      <c r="J65" s="84">
        <v>0</v>
      </c>
      <c r="K65" s="84">
        <v>0</v>
      </c>
      <c r="L65" s="84">
        <v>10</v>
      </c>
      <c r="M65" s="84">
        <v>32347</v>
      </c>
      <c r="N65" s="84">
        <v>1114</v>
      </c>
      <c r="O65" s="84">
        <v>1132</v>
      </c>
      <c r="P65" s="84">
        <v>4174</v>
      </c>
      <c r="Q65" s="84">
        <v>10711</v>
      </c>
      <c r="R65" s="84">
        <v>8765</v>
      </c>
      <c r="S65" s="84">
        <v>14342</v>
      </c>
      <c r="T65" s="84">
        <v>18137</v>
      </c>
      <c r="U65" s="84">
        <v>25676</v>
      </c>
      <c r="V65" s="84">
        <v>33147</v>
      </c>
      <c r="W65" s="84">
        <v>47057</v>
      </c>
      <c r="X65" s="84">
        <v>13534</v>
      </c>
      <c r="Y65" s="84">
        <v>17669</v>
      </c>
      <c r="DA65" s="171" t="s">
        <v>844</v>
      </c>
    </row>
    <row r="66" spans="1:105" ht="11.45" customHeight="1" x14ac:dyDescent="0.25">
      <c r="A66" s="111" t="s">
        <v>113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0</v>
      </c>
      <c r="M66" s="84">
        <v>0</v>
      </c>
      <c r="N66" s="84">
        <v>0</v>
      </c>
      <c r="O66" s="84">
        <v>0</v>
      </c>
      <c r="P66" s="84">
        <v>0</v>
      </c>
      <c r="Q66" s="84">
        <v>0</v>
      </c>
      <c r="R66" s="84">
        <v>0</v>
      </c>
      <c r="S66" s="84">
        <v>0</v>
      </c>
      <c r="T66" s="84">
        <v>0</v>
      </c>
      <c r="U66" s="84">
        <v>0</v>
      </c>
      <c r="V66" s="84">
        <v>0</v>
      </c>
      <c r="W66" s="84">
        <v>0</v>
      </c>
      <c r="X66" s="84">
        <v>0</v>
      </c>
      <c r="Y66" s="84">
        <v>0</v>
      </c>
      <c r="DA66" s="171" t="s">
        <v>845</v>
      </c>
    </row>
    <row r="67" spans="1:105" ht="11.45" customHeight="1" x14ac:dyDescent="0.25">
      <c r="A67" s="111" t="s">
        <v>114</v>
      </c>
      <c r="B67" s="84">
        <v>0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0</v>
      </c>
      <c r="S67" s="84">
        <v>0</v>
      </c>
      <c r="T67" s="84">
        <v>0</v>
      </c>
      <c r="U67" s="84">
        <v>0</v>
      </c>
      <c r="V67" s="84">
        <v>0</v>
      </c>
      <c r="W67" s="84">
        <v>0</v>
      </c>
      <c r="X67" s="84">
        <v>3250</v>
      </c>
      <c r="Y67" s="84">
        <v>6955</v>
      </c>
      <c r="DA67" s="171" t="s">
        <v>846</v>
      </c>
    </row>
    <row r="68" spans="1:105" ht="11.45" customHeight="1" x14ac:dyDescent="0.25">
      <c r="A68" s="111" t="s">
        <v>115</v>
      </c>
      <c r="B68" s="84">
        <v>0</v>
      </c>
      <c r="C68" s="84">
        <v>0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0</v>
      </c>
      <c r="L68" s="84">
        <v>0</v>
      </c>
      <c r="M68" s="84">
        <v>0</v>
      </c>
      <c r="N68" s="84">
        <v>0</v>
      </c>
      <c r="O68" s="84">
        <v>0</v>
      </c>
      <c r="P68" s="84">
        <v>0</v>
      </c>
      <c r="Q68" s="84">
        <v>0</v>
      </c>
      <c r="R68" s="84">
        <v>53</v>
      </c>
      <c r="S68" s="84">
        <v>290</v>
      </c>
      <c r="T68" s="84">
        <v>578</v>
      </c>
      <c r="U68" s="84">
        <v>1476</v>
      </c>
      <c r="V68" s="84">
        <v>2820</v>
      </c>
      <c r="W68" s="84">
        <v>6332</v>
      </c>
      <c r="X68" s="84">
        <v>11637</v>
      </c>
      <c r="Y68" s="84">
        <v>15367</v>
      </c>
      <c r="DA68" s="171" t="s">
        <v>847</v>
      </c>
    </row>
    <row r="69" spans="1:105" ht="11.45" customHeight="1" x14ac:dyDescent="0.25">
      <c r="A69" s="109" t="s">
        <v>21</v>
      </c>
      <c r="B69" s="110">
        <f t="shared" ref="B69:K69" si="12">SUM(B70:B74)</f>
        <v>0</v>
      </c>
      <c r="C69" s="110">
        <f t="shared" si="12"/>
        <v>0</v>
      </c>
      <c r="D69" s="110">
        <f t="shared" si="12"/>
        <v>0</v>
      </c>
      <c r="E69" s="110">
        <f t="shared" si="12"/>
        <v>0</v>
      </c>
      <c r="F69" s="110">
        <f t="shared" si="12"/>
        <v>0</v>
      </c>
      <c r="G69" s="110">
        <f t="shared" si="12"/>
        <v>0</v>
      </c>
      <c r="H69" s="110">
        <f t="shared" si="12"/>
        <v>0</v>
      </c>
      <c r="I69" s="110">
        <f t="shared" si="12"/>
        <v>508</v>
      </c>
      <c r="J69" s="110">
        <f t="shared" si="12"/>
        <v>3751</v>
      </c>
      <c r="K69" s="110">
        <f t="shared" si="12"/>
        <v>1875</v>
      </c>
      <c r="L69" s="110">
        <f t="shared" ref="L69" si="13">SUM(L70:L74)</f>
        <v>2060</v>
      </c>
      <c r="M69" s="110">
        <f t="shared" ref="M69:V69" si="14">SUM(M70:M74)</f>
        <v>2408</v>
      </c>
      <c r="N69" s="110">
        <f t="shared" si="14"/>
        <v>3395</v>
      </c>
      <c r="O69" s="110">
        <f t="shared" si="14"/>
        <v>3201</v>
      </c>
      <c r="P69" s="110">
        <f t="shared" si="14"/>
        <v>3802</v>
      </c>
      <c r="Q69" s="110">
        <f t="shared" si="14"/>
        <v>5375</v>
      </c>
      <c r="R69" s="110">
        <f t="shared" si="14"/>
        <v>3134</v>
      </c>
      <c r="S69" s="110">
        <f t="shared" si="14"/>
        <v>3430</v>
      </c>
      <c r="T69" s="110">
        <f t="shared" si="14"/>
        <v>3664</v>
      </c>
      <c r="U69" s="110">
        <f t="shared" si="14"/>
        <v>4305</v>
      </c>
      <c r="V69" s="110">
        <f t="shared" si="14"/>
        <v>3008</v>
      </c>
      <c r="W69" s="110">
        <f t="shared" ref="W69:Y69" si="15">SUM(W70:W74)</f>
        <v>3003</v>
      </c>
      <c r="X69" s="110">
        <f t="shared" si="15"/>
        <v>4116</v>
      </c>
      <c r="Y69" s="110">
        <f t="shared" si="15"/>
        <v>4959</v>
      </c>
      <c r="DA69" s="176" t="s">
        <v>848</v>
      </c>
    </row>
    <row r="70" spans="1:105" ht="11.45" customHeight="1" x14ac:dyDescent="0.25">
      <c r="A70" s="111" t="s">
        <v>110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113</v>
      </c>
      <c r="K70" s="102">
        <v>0</v>
      </c>
      <c r="L70" s="102">
        <v>2</v>
      </c>
      <c r="M70" s="102">
        <v>1</v>
      </c>
      <c r="N70" s="102">
        <v>0</v>
      </c>
      <c r="O70" s="102">
        <v>0</v>
      </c>
      <c r="P70" s="102">
        <v>0</v>
      </c>
      <c r="Q70" s="102">
        <v>0</v>
      </c>
      <c r="R70" s="102">
        <v>0</v>
      </c>
      <c r="S70" s="102">
        <v>0</v>
      </c>
      <c r="T70" s="102">
        <v>0</v>
      </c>
      <c r="U70" s="102">
        <v>0</v>
      </c>
      <c r="V70" s="102">
        <v>0</v>
      </c>
      <c r="W70" s="102">
        <v>0</v>
      </c>
      <c r="X70" s="102">
        <v>4</v>
      </c>
      <c r="Y70" s="102">
        <v>0</v>
      </c>
      <c r="DA70" s="175" t="s">
        <v>849</v>
      </c>
    </row>
    <row r="71" spans="1:105" ht="11.45" customHeight="1" x14ac:dyDescent="0.25">
      <c r="A71" s="111" t="s">
        <v>111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508</v>
      </c>
      <c r="J71" s="102">
        <v>3638</v>
      </c>
      <c r="K71" s="102">
        <v>1875</v>
      </c>
      <c r="L71" s="102">
        <v>2056</v>
      </c>
      <c r="M71" s="102">
        <v>2399</v>
      </c>
      <c r="N71" s="102">
        <v>3395</v>
      </c>
      <c r="O71" s="102">
        <v>3199</v>
      </c>
      <c r="P71" s="102">
        <v>3801</v>
      </c>
      <c r="Q71" s="102">
        <v>5375</v>
      </c>
      <c r="R71" s="102">
        <v>3134</v>
      </c>
      <c r="S71" s="102">
        <v>3430</v>
      </c>
      <c r="T71" s="102">
        <v>3664</v>
      </c>
      <c r="U71" s="102">
        <v>4305</v>
      </c>
      <c r="V71" s="102">
        <v>2853</v>
      </c>
      <c r="W71" s="102">
        <v>2907</v>
      </c>
      <c r="X71" s="102">
        <v>3936</v>
      </c>
      <c r="Y71" s="102">
        <v>4431</v>
      </c>
      <c r="DA71" s="175" t="s">
        <v>850</v>
      </c>
    </row>
    <row r="72" spans="1:105" ht="11.45" customHeight="1" x14ac:dyDescent="0.25">
      <c r="A72" s="111" t="s">
        <v>112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2</v>
      </c>
      <c r="M72" s="102">
        <v>8</v>
      </c>
      <c r="N72" s="102">
        <v>0</v>
      </c>
      <c r="O72" s="102">
        <v>2</v>
      </c>
      <c r="P72" s="102">
        <v>1</v>
      </c>
      <c r="Q72" s="102">
        <v>0</v>
      </c>
      <c r="R72" s="102">
        <v>0</v>
      </c>
      <c r="S72" s="102">
        <v>0</v>
      </c>
      <c r="T72" s="102">
        <v>0</v>
      </c>
      <c r="U72" s="102">
        <v>0</v>
      </c>
      <c r="V72" s="102">
        <v>0</v>
      </c>
      <c r="W72" s="102">
        <v>0</v>
      </c>
      <c r="X72" s="102">
        <v>0</v>
      </c>
      <c r="Y72" s="102">
        <v>0</v>
      </c>
      <c r="DA72" s="175" t="s">
        <v>851</v>
      </c>
    </row>
    <row r="73" spans="1:105" ht="11.45" customHeight="1" x14ac:dyDescent="0.25">
      <c r="A73" s="111" t="s">
        <v>113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X73" s="102">
        <v>0</v>
      </c>
      <c r="Y73" s="102">
        <v>0</v>
      </c>
      <c r="DA73" s="175" t="s">
        <v>852</v>
      </c>
    </row>
    <row r="74" spans="1:105" ht="11.45" customHeight="1" x14ac:dyDescent="0.25">
      <c r="A74" s="111" t="s">
        <v>115</v>
      </c>
      <c r="B74" s="102">
        <v>0</v>
      </c>
      <c r="C74" s="102">
        <v>0</v>
      </c>
      <c r="D74" s="102">
        <v>0</v>
      </c>
      <c r="E74" s="102">
        <v>0</v>
      </c>
      <c r="F74" s="102">
        <v>0</v>
      </c>
      <c r="G74" s="102">
        <v>0</v>
      </c>
      <c r="H74" s="102">
        <v>0</v>
      </c>
      <c r="I74" s="102">
        <v>0</v>
      </c>
      <c r="J74" s="102">
        <v>0</v>
      </c>
      <c r="K74" s="102">
        <v>0</v>
      </c>
      <c r="L74" s="102">
        <v>0</v>
      </c>
      <c r="M74" s="102">
        <v>0</v>
      </c>
      <c r="N74" s="102">
        <v>0</v>
      </c>
      <c r="O74" s="102">
        <v>0</v>
      </c>
      <c r="P74" s="102">
        <v>0</v>
      </c>
      <c r="Q74" s="102">
        <v>0</v>
      </c>
      <c r="R74" s="102">
        <v>0</v>
      </c>
      <c r="S74" s="102">
        <v>0</v>
      </c>
      <c r="T74" s="102">
        <v>0</v>
      </c>
      <c r="U74" s="102">
        <v>0</v>
      </c>
      <c r="V74" s="102">
        <v>155</v>
      </c>
      <c r="W74" s="102">
        <v>96</v>
      </c>
      <c r="X74" s="102">
        <v>176</v>
      </c>
      <c r="Y74" s="102">
        <v>528</v>
      </c>
      <c r="DA74" s="175" t="s">
        <v>853</v>
      </c>
    </row>
    <row r="75" spans="1:105" ht="11.45" customHeight="1" x14ac:dyDescent="0.25">
      <c r="A75" s="27" t="s">
        <v>34</v>
      </c>
      <c r="B75" s="28">
        <f t="shared" ref="B75:K75" si="16">B76+B82</f>
        <v>0</v>
      </c>
      <c r="C75" s="28">
        <f t="shared" si="16"/>
        <v>0</v>
      </c>
      <c r="D75" s="28">
        <f t="shared" si="16"/>
        <v>0</v>
      </c>
      <c r="E75" s="28">
        <f t="shared" si="16"/>
        <v>0</v>
      </c>
      <c r="F75" s="28">
        <f t="shared" si="16"/>
        <v>0</v>
      </c>
      <c r="G75" s="28">
        <f t="shared" si="16"/>
        <v>1147</v>
      </c>
      <c r="H75" s="28">
        <f t="shared" si="16"/>
        <v>6107</v>
      </c>
      <c r="I75" s="28">
        <f t="shared" si="16"/>
        <v>9999</v>
      </c>
      <c r="J75" s="28">
        <f t="shared" si="16"/>
        <v>29635</v>
      </c>
      <c r="K75" s="28">
        <f t="shared" si="16"/>
        <v>21622</v>
      </c>
      <c r="L75" s="28">
        <f t="shared" ref="L75" si="17">L76+L82</f>
        <v>19282</v>
      </c>
      <c r="M75" s="28">
        <f t="shared" ref="M75:V75" si="18">M76+M82</f>
        <v>35122</v>
      </c>
      <c r="N75" s="28">
        <f t="shared" si="18"/>
        <v>38350</v>
      </c>
      <c r="O75" s="28">
        <f t="shared" si="18"/>
        <v>54718</v>
      </c>
      <c r="P75" s="28">
        <f t="shared" si="18"/>
        <v>68447</v>
      </c>
      <c r="Q75" s="28">
        <f t="shared" si="18"/>
        <v>62250</v>
      </c>
      <c r="R75" s="28">
        <f t="shared" si="18"/>
        <v>52118</v>
      </c>
      <c r="S75" s="28">
        <f t="shared" si="18"/>
        <v>77210</v>
      </c>
      <c r="T75" s="28">
        <f t="shared" si="18"/>
        <v>94023</v>
      </c>
      <c r="U75" s="28">
        <f t="shared" si="18"/>
        <v>89361</v>
      </c>
      <c r="V75" s="28">
        <f t="shared" si="18"/>
        <v>84164</v>
      </c>
      <c r="W75" s="28">
        <f t="shared" ref="W75:Y75" si="19">W76+W82</f>
        <v>86746</v>
      </c>
      <c r="X75" s="28">
        <f t="shared" si="19"/>
        <v>80665</v>
      </c>
      <c r="Y75" s="28">
        <f t="shared" si="19"/>
        <v>77332</v>
      </c>
      <c r="DA75" s="173" t="s">
        <v>854</v>
      </c>
    </row>
    <row r="76" spans="1:105" ht="11.45" customHeight="1" x14ac:dyDescent="0.25">
      <c r="A76" s="136" t="s">
        <v>153</v>
      </c>
      <c r="B76" s="137">
        <f t="shared" ref="B76:K76" si="20">SUM(B77:B81)</f>
        <v>0</v>
      </c>
      <c r="C76" s="137">
        <f t="shared" si="20"/>
        <v>0</v>
      </c>
      <c r="D76" s="137">
        <f t="shared" si="20"/>
        <v>0</v>
      </c>
      <c r="E76" s="137">
        <f t="shared" si="20"/>
        <v>0</v>
      </c>
      <c r="F76" s="137">
        <f t="shared" si="20"/>
        <v>0</v>
      </c>
      <c r="G76" s="137">
        <f t="shared" si="20"/>
        <v>1147</v>
      </c>
      <c r="H76" s="137">
        <f t="shared" si="20"/>
        <v>6107</v>
      </c>
      <c r="I76" s="137">
        <f t="shared" si="20"/>
        <v>9999</v>
      </c>
      <c r="J76" s="137">
        <f t="shared" si="20"/>
        <v>29635</v>
      </c>
      <c r="K76" s="137">
        <f t="shared" si="20"/>
        <v>19155</v>
      </c>
      <c r="L76" s="137">
        <f t="shared" ref="L76" si="21">SUM(L77:L81)</f>
        <v>18592</v>
      </c>
      <c r="M76" s="137">
        <f t="shared" ref="M76:V76" si="22">SUM(M77:M81)</f>
        <v>33925</v>
      </c>
      <c r="N76" s="137">
        <f t="shared" si="22"/>
        <v>35772</v>
      </c>
      <c r="O76" s="137">
        <f t="shared" si="22"/>
        <v>48264</v>
      </c>
      <c r="P76" s="137">
        <f t="shared" si="22"/>
        <v>64847</v>
      </c>
      <c r="Q76" s="137">
        <f t="shared" si="22"/>
        <v>59890</v>
      </c>
      <c r="R76" s="137">
        <f t="shared" si="22"/>
        <v>47271</v>
      </c>
      <c r="S76" s="137">
        <f t="shared" si="22"/>
        <v>71519</v>
      </c>
      <c r="T76" s="137">
        <f t="shared" si="22"/>
        <v>88659</v>
      </c>
      <c r="U76" s="137">
        <f t="shared" si="22"/>
        <v>83483</v>
      </c>
      <c r="V76" s="137">
        <f t="shared" si="22"/>
        <v>79902</v>
      </c>
      <c r="W76" s="137">
        <f t="shared" ref="W76:Y76" si="23">SUM(W77:W81)</f>
        <v>79644</v>
      </c>
      <c r="X76" s="137">
        <f t="shared" si="23"/>
        <v>76179</v>
      </c>
      <c r="Y76" s="137">
        <f t="shared" si="23"/>
        <v>71760</v>
      </c>
      <c r="DA76" s="174" t="s">
        <v>855</v>
      </c>
    </row>
    <row r="77" spans="1:105" ht="11.45" customHeight="1" x14ac:dyDescent="0.25">
      <c r="A77" s="111" t="s">
        <v>110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1147</v>
      </c>
      <c r="H77" s="84">
        <v>6107</v>
      </c>
      <c r="I77" s="84">
        <v>5607</v>
      </c>
      <c r="J77" s="84">
        <v>4697</v>
      </c>
      <c r="K77" s="84">
        <v>4993</v>
      </c>
      <c r="L77" s="84">
        <v>3390</v>
      </c>
      <c r="M77" s="84">
        <v>4371</v>
      </c>
      <c r="N77" s="84">
        <v>5404</v>
      </c>
      <c r="O77" s="84">
        <v>1336</v>
      </c>
      <c r="P77" s="84">
        <v>2211</v>
      </c>
      <c r="Q77" s="84">
        <v>384</v>
      </c>
      <c r="R77" s="84">
        <v>11564</v>
      </c>
      <c r="S77" s="84">
        <v>12038</v>
      </c>
      <c r="T77" s="84">
        <v>10165</v>
      </c>
      <c r="U77" s="84">
        <v>5954</v>
      </c>
      <c r="V77" s="84">
        <v>5533</v>
      </c>
      <c r="W77" s="84">
        <v>5306</v>
      </c>
      <c r="X77" s="84">
        <v>7513</v>
      </c>
      <c r="Y77" s="84">
        <v>8021</v>
      </c>
      <c r="DA77" s="171" t="s">
        <v>856</v>
      </c>
    </row>
    <row r="78" spans="1:105" ht="11.45" customHeight="1" x14ac:dyDescent="0.25">
      <c r="A78" s="111" t="s">
        <v>111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4392</v>
      </c>
      <c r="J78" s="84">
        <v>24938</v>
      </c>
      <c r="K78" s="84">
        <v>14162</v>
      </c>
      <c r="L78" s="84">
        <v>15202</v>
      </c>
      <c r="M78" s="84">
        <v>29554</v>
      </c>
      <c r="N78" s="84">
        <v>30365</v>
      </c>
      <c r="O78" s="84">
        <v>46925</v>
      </c>
      <c r="P78" s="84">
        <v>62632</v>
      </c>
      <c r="Q78" s="84">
        <v>59506</v>
      </c>
      <c r="R78" s="84">
        <v>35700</v>
      </c>
      <c r="S78" s="84">
        <v>59467</v>
      </c>
      <c r="T78" s="84">
        <v>78458</v>
      </c>
      <c r="U78" s="84">
        <v>77475</v>
      </c>
      <c r="V78" s="84">
        <v>74282</v>
      </c>
      <c r="W78" s="84">
        <v>74243</v>
      </c>
      <c r="X78" s="84">
        <v>68443</v>
      </c>
      <c r="Y78" s="84">
        <v>63199</v>
      </c>
      <c r="DA78" s="171" t="s">
        <v>857</v>
      </c>
    </row>
    <row r="79" spans="1:105" ht="11.45" customHeight="1" x14ac:dyDescent="0.25">
      <c r="A79" s="111" t="s">
        <v>112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3</v>
      </c>
      <c r="O79" s="84">
        <v>0</v>
      </c>
      <c r="P79" s="84">
        <v>2</v>
      </c>
      <c r="Q79" s="84">
        <v>0</v>
      </c>
      <c r="R79" s="84">
        <v>3</v>
      </c>
      <c r="S79" s="84">
        <v>0</v>
      </c>
      <c r="T79" s="84">
        <v>0</v>
      </c>
      <c r="U79" s="84">
        <v>0</v>
      </c>
      <c r="V79" s="84">
        <v>0</v>
      </c>
      <c r="W79" s="84">
        <v>4</v>
      </c>
      <c r="X79" s="84">
        <v>20</v>
      </c>
      <c r="Y79" s="84">
        <v>18</v>
      </c>
      <c r="DA79" s="171" t="s">
        <v>858</v>
      </c>
    </row>
    <row r="80" spans="1:105" ht="11.45" customHeight="1" x14ac:dyDescent="0.25">
      <c r="A80" s="111" t="s">
        <v>113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X80" s="84">
        <v>0</v>
      </c>
      <c r="Y80" s="84">
        <v>0</v>
      </c>
      <c r="DA80" s="171" t="s">
        <v>859</v>
      </c>
    </row>
    <row r="81" spans="1:105" ht="11.45" customHeight="1" x14ac:dyDescent="0.25">
      <c r="A81" s="111" t="s">
        <v>115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3</v>
      </c>
      <c r="P81" s="84">
        <v>2</v>
      </c>
      <c r="Q81" s="84">
        <v>0</v>
      </c>
      <c r="R81" s="84">
        <v>4</v>
      </c>
      <c r="S81" s="84">
        <v>14</v>
      </c>
      <c r="T81" s="84">
        <v>36</v>
      </c>
      <c r="U81" s="84">
        <v>54</v>
      </c>
      <c r="V81" s="84">
        <v>87</v>
      </c>
      <c r="W81" s="84">
        <v>91</v>
      </c>
      <c r="X81" s="84">
        <v>203</v>
      </c>
      <c r="Y81" s="84">
        <v>522</v>
      </c>
      <c r="DA81" s="171" t="s">
        <v>860</v>
      </c>
    </row>
    <row r="82" spans="1:105" ht="11.45" customHeight="1" x14ac:dyDescent="0.25">
      <c r="A82" s="109" t="s">
        <v>154</v>
      </c>
      <c r="B82" s="110">
        <f t="shared" ref="B82:K82" si="24">SUM(B83:B84)</f>
        <v>0</v>
      </c>
      <c r="C82" s="110">
        <f t="shared" si="24"/>
        <v>0</v>
      </c>
      <c r="D82" s="110">
        <f t="shared" si="24"/>
        <v>0</v>
      </c>
      <c r="E82" s="110">
        <f t="shared" si="24"/>
        <v>0</v>
      </c>
      <c r="F82" s="110">
        <f t="shared" si="24"/>
        <v>0</v>
      </c>
      <c r="G82" s="110">
        <f t="shared" si="24"/>
        <v>0</v>
      </c>
      <c r="H82" s="110">
        <f t="shared" si="24"/>
        <v>0</v>
      </c>
      <c r="I82" s="110">
        <f t="shared" si="24"/>
        <v>0</v>
      </c>
      <c r="J82" s="110">
        <f t="shared" si="24"/>
        <v>0</v>
      </c>
      <c r="K82" s="110">
        <f t="shared" si="24"/>
        <v>2467</v>
      </c>
      <c r="L82" s="110">
        <f t="shared" ref="L82" si="25">SUM(L83:L84)</f>
        <v>690</v>
      </c>
      <c r="M82" s="110">
        <f t="shared" ref="M82:V82" si="26">SUM(M83:M84)</f>
        <v>1197</v>
      </c>
      <c r="N82" s="110">
        <f t="shared" si="26"/>
        <v>2578</v>
      </c>
      <c r="O82" s="110">
        <f t="shared" si="26"/>
        <v>6454</v>
      </c>
      <c r="P82" s="110">
        <f t="shared" si="26"/>
        <v>3600</v>
      </c>
      <c r="Q82" s="110">
        <f t="shared" si="26"/>
        <v>2360</v>
      </c>
      <c r="R82" s="110">
        <f t="shared" si="26"/>
        <v>4847</v>
      </c>
      <c r="S82" s="110">
        <f t="shared" si="26"/>
        <v>5691</v>
      </c>
      <c r="T82" s="110">
        <f t="shared" si="26"/>
        <v>5364</v>
      </c>
      <c r="U82" s="110">
        <f t="shared" si="26"/>
        <v>5878</v>
      </c>
      <c r="V82" s="110">
        <f t="shared" si="26"/>
        <v>4262</v>
      </c>
      <c r="W82" s="110">
        <f t="shared" ref="W82:Y82" si="27">SUM(W83:W84)</f>
        <v>7102</v>
      </c>
      <c r="X82" s="110">
        <f t="shared" si="27"/>
        <v>4486</v>
      </c>
      <c r="Y82" s="110">
        <f t="shared" si="27"/>
        <v>5572</v>
      </c>
      <c r="DA82" s="176" t="s">
        <v>861</v>
      </c>
    </row>
    <row r="83" spans="1:105" ht="11.45" customHeight="1" x14ac:dyDescent="0.25">
      <c r="A83" s="128" t="s">
        <v>27</v>
      </c>
      <c r="B83" s="102">
        <v>0</v>
      </c>
      <c r="C83" s="102">
        <v>0</v>
      </c>
      <c r="D83" s="102">
        <v>0</v>
      </c>
      <c r="E83" s="102">
        <v>0</v>
      </c>
      <c r="F83" s="102">
        <v>0</v>
      </c>
      <c r="G83" s="102">
        <v>0</v>
      </c>
      <c r="H83" s="102">
        <v>0</v>
      </c>
      <c r="I83" s="102">
        <v>0</v>
      </c>
      <c r="J83" s="102">
        <v>0</v>
      </c>
      <c r="K83" s="102">
        <v>2467</v>
      </c>
      <c r="L83" s="102">
        <v>690</v>
      </c>
      <c r="M83" s="102">
        <v>1158</v>
      </c>
      <c r="N83" s="102">
        <v>2095</v>
      </c>
      <c r="O83" s="102">
        <v>6119</v>
      </c>
      <c r="P83" s="102">
        <v>3477</v>
      </c>
      <c r="Q83" s="102">
        <v>2142</v>
      </c>
      <c r="R83" s="102">
        <v>4305</v>
      </c>
      <c r="S83" s="102">
        <v>4848</v>
      </c>
      <c r="T83" s="102">
        <v>5307</v>
      </c>
      <c r="U83" s="102">
        <v>5534</v>
      </c>
      <c r="V83" s="102">
        <v>4262</v>
      </c>
      <c r="W83" s="102">
        <v>5361</v>
      </c>
      <c r="X83" s="102">
        <v>4235</v>
      </c>
      <c r="Y83" s="102">
        <v>5062</v>
      </c>
      <c r="DA83" s="175" t="s">
        <v>862</v>
      </c>
    </row>
    <row r="84" spans="1:105" ht="11.45" customHeight="1" x14ac:dyDescent="0.25">
      <c r="A84" s="138" t="s">
        <v>116</v>
      </c>
      <c r="B84" s="86">
        <v>0</v>
      </c>
      <c r="C84" s="86">
        <v>0</v>
      </c>
      <c r="D84" s="86">
        <v>0</v>
      </c>
      <c r="E84" s="86">
        <v>0</v>
      </c>
      <c r="F84" s="86">
        <v>0</v>
      </c>
      <c r="G84" s="86">
        <v>0</v>
      </c>
      <c r="H84" s="86">
        <v>0</v>
      </c>
      <c r="I84" s="86">
        <v>0</v>
      </c>
      <c r="J84" s="86">
        <v>0</v>
      </c>
      <c r="K84" s="86">
        <v>0</v>
      </c>
      <c r="L84" s="86">
        <v>0</v>
      </c>
      <c r="M84" s="86">
        <v>39</v>
      </c>
      <c r="N84" s="86">
        <v>483</v>
      </c>
      <c r="O84" s="86">
        <v>335</v>
      </c>
      <c r="P84" s="86">
        <v>123</v>
      </c>
      <c r="Q84" s="86">
        <v>218</v>
      </c>
      <c r="R84" s="86">
        <v>542</v>
      </c>
      <c r="S84" s="86">
        <v>843</v>
      </c>
      <c r="T84" s="86">
        <v>57</v>
      </c>
      <c r="U84" s="86">
        <v>344</v>
      </c>
      <c r="V84" s="86">
        <v>0</v>
      </c>
      <c r="W84" s="86">
        <v>1741</v>
      </c>
      <c r="X84" s="86">
        <v>251</v>
      </c>
      <c r="Y84" s="86">
        <v>510</v>
      </c>
      <c r="DA84" s="178" t="s">
        <v>863</v>
      </c>
    </row>
    <row r="85" spans="1:105" x14ac:dyDescent="0.2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DA85" s="171"/>
    </row>
    <row r="86" spans="1:105" ht="11.45" customHeight="1" x14ac:dyDescent="0.25">
      <c r="A86" s="68" t="s">
        <v>36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DA86" s="179"/>
    </row>
    <row r="87" spans="1:105" x14ac:dyDescent="0.25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DA87" s="171"/>
    </row>
    <row r="88" spans="1:105" ht="11.45" customHeight="1" x14ac:dyDescent="0.25">
      <c r="A88" s="53" t="s">
        <v>120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DA88" s="172"/>
    </row>
    <row r="89" spans="1:105" ht="11.45" customHeight="1" x14ac:dyDescent="0.25">
      <c r="A89" s="27" t="s">
        <v>33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DA89" s="173"/>
    </row>
    <row r="90" spans="1:105" ht="11.45" customHeight="1" x14ac:dyDescent="0.25">
      <c r="A90" s="136" t="s">
        <v>173</v>
      </c>
      <c r="B90" s="141">
        <v>4.3350919238511629</v>
      </c>
      <c r="C90" s="141">
        <v>4.3286043715817115</v>
      </c>
      <c r="D90" s="141">
        <v>4.3217773209396437</v>
      </c>
      <c r="E90" s="141">
        <v>4.3047007264823804</v>
      </c>
      <c r="F90" s="141">
        <v>4.2844430243586533</v>
      </c>
      <c r="G90" s="141">
        <v>4.2628785150293389</v>
      </c>
      <c r="H90" s="141">
        <v>4.172705491479082</v>
      </c>
      <c r="I90" s="141">
        <v>4.0941941051235515</v>
      </c>
      <c r="J90" s="141">
        <v>3.8746694907893424</v>
      </c>
      <c r="K90" s="141">
        <v>3.7552584897487047</v>
      </c>
      <c r="L90" s="141">
        <v>3.6723736206640245</v>
      </c>
      <c r="M90" s="141">
        <v>3.5883256906625647</v>
      </c>
      <c r="N90" s="141">
        <v>3.5056261062871852</v>
      </c>
      <c r="O90" s="141">
        <v>3.4106396497874916</v>
      </c>
      <c r="P90" s="141">
        <v>3.3273213819899969</v>
      </c>
      <c r="Q90" s="141">
        <v>3.2507436849303284</v>
      </c>
      <c r="R90" s="141">
        <v>3.1693075357108356</v>
      </c>
      <c r="S90" s="141">
        <v>3.0867610777739696</v>
      </c>
      <c r="T90" s="141">
        <v>3.0042308329134269</v>
      </c>
      <c r="U90" s="141">
        <v>2.8974099289930431</v>
      </c>
      <c r="V90" s="141">
        <v>2.806669895707834</v>
      </c>
      <c r="W90" s="141">
        <v>2.7381455494006479</v>
      </c>
      <c r="X90" s="141">
        <v>2.6720573390496987</v>
      </c>
      <c r="Y90" s="141">
        <v>2.6129127935147562</v>
      </c>
      <c r="DA90" s="174" t="s">
        <v>864</v>
      </c>
    </row>
    <row r="91" spans="1:105" ht="11.45" customHeight="1" x14ac:dyDescent="0.25">
      <c r="A91" s="109" t="s">
        <v>20</v>
      </c>
      <c r="B91" s="130">
        <v>7.9215476170704147</v>
      </c>
      <c r="C91" s="130">
        <v>7.8324379871499499</v>
      </c>
      <c r="D91" s="130">
        <v>7.7766087533753545</v>
      </c>
      <c r="E91" s="130">
        <v>7.7280032653125383</v>
      </c>
      <c r="F91" s="130">
        <v>7.6898683346432692</v>
      </c>
      <c r="G91" s="130">
        <v>7.6458307598818216</v>
      </c>
      <c r="H91" s="130">
        <v>7.5721924224681416</v>
      </c>
      <c r="I91" s="130">
        <v>7.500900345095034</v>
      </c>
      <c r="J91" s="130">
        <v>7.405022011427838</v>
      </c>
      <c r="K91" s="130">
        <v>7.341274764109456</v>
      </c>
      <c r="L91" s="130">
        <v>7.2566222469239925</v>
      </c>
      <c r="M91" s="130">
        <v>7.2109004411225603</v>
      </c>
      <c r="N91" s="130">
        <v>7.1494878738405756</v>
      </c>
      <c r="O91" s="130">
        <v>7.073356992350563</v>
      </c>
      <c r="P91" s="130">
        <v>6.9811840296542176</v>
      </c>
      <c r="Q91" s="130">
        <v>6.884363792643164</v>
      </c>
      <c r="R91" s="130">
        <v>6.774059325633182</v>
      </c>
      <c r="S91" s="130">
        <v>6.6385411738363542</v>
      </c>
      <c r="T91" s="130">
        <v>6.4803791115777276</v>
      </c>
      <c r="U91" s="130">
        <v>6.3243940457601822</v>
      </c>
      <c r="V91" s="130">
        <v>6.180111937069638</v>
      </c>
      <c r="W91" s="130">
        <v>6.0144145621364853</v>
      </c>
      <c r="X91" s="130">
        <v>5.8536337852471227</v>
      </c>
      <c r="Y91" s="130">
        <v>5.706223618349898</v>
      </c>
      <c r="DA91" s="176" t="s">
        <v>865</v>
      </c>
    </row>
    <row r="92" spans="1:105" ht="11.45" customHeight="1" x14ac:dyDescent="0.25">
      <c r="A92" s="111" t="s">
        <v>110</v>
      </c>
      <c r="B92" s="96">
        <v>7.9346446086100997</v>
      </c>
      <c r="C92" s="96">
        <v>7.8964134200325233</v>
      </c>
      <c r="D92" s="96">
        <v>7.8735454062956327</v>
      </c>
      <c r="E92" s="96">
        <v>7.8505338142222518</v>
      </c>
      <c r="F92" s="96">
        <v>7.8312975488500189</v>
      </c>
      <c r="G92" s="96">
        <v>7.804535540810341</v>
      </c>
      <c r="H92" s="96">
        <v>7.7450554531765983</v>
      </c>
      <c r="I92" s="96">
        <v>7.6785203284247174</v>
      </c>
      <c r="J92" s="96">
        <v>7.5614131129477196</v>
      </c>
      <c r="K92" s="96">
        <v>7.4931360481504869</v>
      </c>
      <c r="L92" s="96">
        <v>7.40279779353384</v>
      </c>
      <c r="M92" s="96">
        <v>7.3372130750413076</v>
      </c>
      <c r="N92" s="96">
        <v>7.2708582428499664</v>
      </c>
      <c r="O92" s="96">
        <v>7.181618740572449</v>
      </c>
      <c r="P92" s="96">
        <v>7.0729540436984166</v>
      </c>
      <c r="Q92" s="96">
        <v>6.9655491920858736</v>
      </c>
      <c r="R92" s="96">
        <v>6.8640738452827099</v>
      </c>
      <c r="S92" s="96">
        <v>6.7608181244235883</v>
      </c>
      <c r="T92" s="96">
        <v>6.6140840687215006</v>
      </c>
      <c r="U92" s="96">
        <v>6.4556201353578517</v>
      </c>
      <c r="V92" s="96">
        <v>6.3296609630124241</v>
      </c>
      <c r="W92" s="96">
        <v>6.1837755203370879</v>
      </c>
      <c r="X92" s="96">
        <v>6.0358527717796528</v>
      </c>
      <c r="Y92" s="96">
        <v>5.8907895964713317</v>
      </c>
      <c r="DA92" s="171" t="s">
        <v>866</v>
      </c>
    </row>
    <row r="93" spans="1:105" ht="11.45" customHeight="1" x14ac:dyDescent="0.25">
      <c r="A93" s="111" t="s">
        <v>111</v>
      </c>
      <c r="B93" s="96">
        <v>7.7478025882308215</v>
      </c>
      <c r="C93" s="96">
        <v>7.0749374905872884</v>
      </c>
      <c r="D93" s="96">
        <v>6.9374347143681874</v>
      </c>
      <c r="E93" s="96">
        <v>6.8860474084849743</v>
      </c>
      <c r="F93" s="96">
        <v>6.8675921940325688</v>
      </c>
      <c r="G93" s="96">
        <v>6.8534434900723156</v>
      </c>
      <c r="H93" s="96">
        <v>6.8657384266936603</v>
      </c>
      <c r="I93" s="96">
        <v>6.8818239691524115</v>
      </c>
      <c r="J93" s="96">
        <v>6.871198559248044</v>
      </c>
      <c r="K93" s="96">
        <v>6.8549394052817387</v>
      </c>
      <c r="L93" s="96">
        <v>6.8383213045826432</v>
      </c>
      <c r="M93" s="96">
        <v>6.811004909938875</v>
      </c>
      <c r="N93" s="96">
        <v>6.7849119004988943</v>
      </c>
      <c r="O93" s="96">
        <v>6.7364337531374527</v>
      </c>
      <c r="P93" s="96">
        <v>6.6566724927542715</v>
      </c>
      <c r="Q93" s="96">
        <v>6.557535556580798</v>
      </c>
      <c r="R93" s="96">
        <v>6.4122226696490294</v>
      </c>
      <c r="S93" s="96">
        <v>6.2341117077511239</v>
      </c>
      <c r="T93" s="96">
        <v>6.068597051186992</v>
      </c>
      <c r="U93" s="96">
        <v>5.9209441797515803</v>
      </c>
      <c r="V93" s="96">
        <v>5.7677272563279089</v>
      </c>
      <c r="W93" s="96">
        <v>5.6156261430455903</v>
      </c>
      <c r="X93" s="96">
        <v>5.4807765862836959</v>
      </c>
      <c r="Y93" s="96">
        <v>5.3705105178206507</v>
      </c>
      <c r="DA93" s="171" t="s">
        <v>867</v>
      </c>
    </row>
    <row r="94" spans="1:105" ht="11.45" customHeight="1" x14ac:dyDescent="0.25">
      <c r="A94" s="111" t="s">
        <v>112</v>
      </c>
      <c r="B94" s="96">
        <v>0</v>
      </c>
      <c r="C94" s="96">
        <v>0</v>
      </c>
      <c r="D94" s="96">
        <v>7.5694858300086221</v>
      </c>
      <c r="E94" s="96">
        <v>7.6535402872984282</v>
      </c>
      <c r="F94" s="96">
        <v>7.7840903890431257</v>
      </c>
      <c r="G94" s="96">
        <v>7.7937415009624766</v>
      </c>
      <c r="H94" s="96">
        <v>7.7947815193561603</v>
      </c>
      <c r="I94" s="96">
        <v>7.991813846920623</v>
      </c>
      <c r="J94" s="96">
        <v>8.0009360388285113</v>
      </c>
      <c r="K94" s="96">
        <v>8.0014475430209213</v>
      </c>
      <c r="L94" s="96">
        <v>8.0067080294166839</v>
      </c>
      <c r="M94" s="96">
        <v>8.384939041596958</v>
      </c>
      <c r="N94" s="96">
        <v>8.4144515841044196</v>
      </c>
      <c r="O94" s="96">
        <v>8.4261191607830579</v>
      </c>
      <c r="P94" s="96">
        <v>8.4007584333872263</v>
      </c>
      <c r="Q94" s="96">
        <v>8.2229921993098518</v>
      </c>
      <c r="R94" s="96">
        <v>7.9148645135590989</v>
      </c>
      <c r="S94" s="96">
        <v>7.5356956529801167</v>
      </c>
      <c r="T94" s="96">
        <v>7.1250943697627127</v>
      </c>
      <c r="U94" s="96">
        <v>6.736791876194407</v>
      </c>
      <c r="V94" s="96">
        <v>6.3380110906856881</v>
      </c>
      <c r="W94" s="96">
        <v>5.8706686932384722</v>
      </c>
      <c r="X94" s="96">
        <v>5.613675386847885</v>
      </c>
      <c r="Y94" s="96">
        <v>5.461217925964676</v>
      </c>
      <c r="DA94" s="171" t="s">
        <v>868</v>
      </c>
    </row>
    <row r="95" spans="1:105" ht="11.45" customHeight="1" x14ac:dyDescent="0.25">
      <c r="A95" s="111" t="s">
        <v>113</v>
      </c>
      <c r="B95" s="96">
        <v>0</v>
      </c>
      <c r="C95" s="96">
        <v>0</v>
      </c>
      <c r="D95" s="96">
        <v>0</v>
      </c>
      <c r="E95" s="96">
        <v>0</v>
      </c>
      <c r="F95" s="96">
        <v>0</v>
      </c>
      <c r="G95" s="96">
        <v>0</v>
      </c>
      <c r="H95" s="96">
        <v>0</v>
      </c>
      <c r="I95" s="96">
        <v>0</v>
      </c>
      <c r="J95" s="96">
        <v>0</v>
      </c>
      <c r="K95" s="96">
        <v>0</v>
      </c>
      <c r="L95" s="96">
        <v>0</v>
      </c>
      <c r="M95" s="96">
        <v>0</v>
      </c>
      <c r="N95" s="96">
        <v>0</v>
      </c>
      <c r="O95" s="96">
        <v>0</v>
      </c>
      <c r="P95" s="96">
        <v>0</v>
      </c>
      <c r="Q95" s="96">
        <v>0</v>
      </c>
      <c r="R95" s="96">
        <v>0</v>
      </c>
      <c r="S95" s="96">
        <v>0</v>
      </c>
      <c r="T95" s="96">
        <v>0</v>
      </c>
      <c r="U95" s="96">
        <v>0</v>
      </c>
      <c r="V95" s="96">
        <v>0</v>
      </c>
      <c r="W95" s="96">
        <v>0</v>
      </c>
      <c r="X95" s="96">
        <v>0</v>
      </c>
      <c r="Y95" s="96">
        <v>0</v>
      </c>
      <c r="DA95" s="171" t="s">
        <v>869</v>
      </c>
    </row>
    <row r="96" spans="1:105" ht="11.45" customHeight="1" x14ac:dyDescent="0.25">
      <c r="A96" s="111" t="s">
        <v>114</v>
      </c>
      <c r="B96" s="96">
        <v>0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96">
        <v>0</v>
      </c>
      <c r="N96" s="96">
        <v>5.3974537246214611</v>
      </c>
      <c r="O96" s="96">
        <v>5.3797293593021127</v>
      </c>
      <c r="P96" s="96">
        <v>5.1936680924120813</v>
      </c>
      <c r="Q96" s="96">
        <v>4.8683796642553379</v>
      </c>
      <c r="R96" s="96">
        <v>3.2989624057525546</v>
      </c>
      <c r="S96" s="96">
        <v>3.6121680317280105</v>
      </c>
      <c r="T96" s="96">
        <v>3.4015132855830577</v>
      </c>
      <c r="U96" s="96">
        <v>3.1844790641553691</v>
      </c>
      <c r="V96" s="96">
        <v>3.1469496775285486</v>
      </c>
      <c r="W96" s="96">
        <v>2.9824443454559026</v>
      </c>
      <c r="X96" s="96">
        <v>2.9077852629686514</v>
      </c>
      <c r="Y96" s="96">
        <v>3.5475423185139459</v>
      </c>
      <c r="DA96" s="171" t="s">
        <v>870</v>
      </c>
    </row>
    <row r="97" spans="1:105" ht="11.45" customHeight="1" x14ac:dyDescent="0.25">
      <c r="A97" s="111" t="s">
        <v>115</v>
      </c>
      <c r="B97" s="96">
        <v>0</v>
      </c>
      <c r="C97" s="96">
        <v>0</v>
      </c>
      <c r="D97" s="96">
        <v>0</v>
      </c>
      <c r="E97" s="96">
        <v>0</v>
      </c>
      <c r="F97" s="96">
        <v>0</v>
      </c>
      <c r="G97" s="96">
        <v>0</v>
      </c>
      <c r="H97" s="96">
        <v>0</v>
      </c>
      <c r="I97" s="96">
        <v>0</v>
      </c>
      <c r="J97" s="96">
        <v>0</v>
      </c>
      <c r="K97" s="96">
        <v>1.3221397492084079</v>
      </c>
      <c r="L97" s="96">
        <v>1.3089861515917216</v>
      </c>
      <c r="M97" s="96">
        <v>1.3089183517163239</v>
      </c>
      <c r="N97" s="96">
        <v>1.2587031409483957</v>
      </c>
      <c r="O97" s="96">
        <v>1.258415393443223</v>
      </c>
      <c r="P97" s="96">
        <v>1.2673148637474549</v>
      </c>
      <c r="Q97" s="96">
        <v>1.2916338452881795</v>
      </c>
      <c r="R97" s="96">
        <v>1.2812091747998025</v>
      </c>
      <c r="S97" s="96">
        <v>1.2625131596783195</v>
      </c>
      <c r="T97" s="96">
        <v>1.2451345935652647</v>
      </c>
      <c r="U97" s="96">
        <v>1.3881511527565529</v>
      </c>
      <c r="V97" s="96">
        <v>1.4275246471009844</v>
      </c>
      <c r="W97" s="96">
        <v>1.3616283851214501</v>
      </c>
      <c r="X97" s="96">
        <v>1.319303224925666</v>
      </c>
      <c r="Y97" s="96">
        <v>1.3183701345631382</v>
      </c>
      <c r="DA97" s="171" t="s">
        <v>871</v>
      </c>
    </row>
    <row r="98" spans="1:105" ht="11.45" customHeight="1" x14ac:dyDescent="0.25">
      <c r="A98" s="109" t="s">
        <v>21</v>
      </c>
      <c r="B98" s="130">
        <v>56.241593419046829</v>
      </c>
      <c r="C98" s="130">
        <v>55.532615499905994</v>
      </c>
      <c r="D98" s="130">
        <v>55.411504309037824</v>
      </c>
      <c r="E98" s="130">
        <v>54.896446971106961</v>
      </c>
      <c r="F98" s="130">
        <v>53.799736967059822</v>
      </c>
      <c r="G98" s="130">
        <v>53.503410095789469</v>
      </c>
      <c r="H98" s="130">
        <v>52.266203209619981</v>
      </c>
      <c r="I98" s="130">
        <v>51.385483753734825</v>
      </c>
      <c r="J98" s="130">
        <v>50.297177987048386</v>
      </c>
      <c r="K98" s="130">
        <v>49.418107770395984</v>
      </c>
      <c r="L98" s="130">
        <v>48.53972835003551</v>
      </c>
      <c r="M98" s="130">
        <v>47.651807207528549</v>
      </c>
      <c r="N98" s="130">
        <v>46.752268199281986</v>
      </c>
      <c r="O98" s="130">
        <v>45.914569212697351</v>
      </c>
      <c r="P98" s="130">
        <v>45.637063740334753</v>
      </c>
      <c r="Q98" s="130">
        <v>45.108140575876611</v>
      </c>
      <c r="R98" s="130">
        <v>44.913853667412802</v>
      </c>
      <c r="S98" s="130">
        <v>44.626187756205248</v>
      </c>
      <c r="T98" s="130">
        <v>44.257840085923036</v>
      </c>
      <c r="U98" s="130">
        <v>43.749909009962863</v>
      </c>
      <c r="V98" s="130">
        <v>43.243345493433324</v>
      </c>
      <c r="W98" s="130">
        <v>42.718727886685855</v>
      </c>
      <c r="X98" s="130">
        <v>41.857718893597522</v>
      </c>
      <c r="Y98" s="130">
        <v>40.713887127192756</v>
      </c>
      <c r="DA98" s="176" t="s">
        <v>872</v>
      </c>
    </row>
    <row r="99" spans="1:105" ht="11.45" customHeight="1" x14ac:dyDescent="0.25">
      <c r="A99" s="111" t="s">
        <v>110</v>
      </c>
      <c r="B99" s="97">
        <v>0</v>
      </c>
      <c r="C99" s="97">
        <v>0</v>
      </c>
      <c r="D99" s="97">
        <v>0</v>
      </c>
      <c r="E99" s="97">
        <v>0</v>
      </c>
      <c r="F99" s="97">
        <v>0</v>
      </c>
      <c r="G99" s="97">
        <v>0</v>
      </c>
      <c r="H99" s="97">
        <v>0</v>
      </c>
      <c r="I99" s="97">
        <v>0</v>
      </c>
      <c r="J99" s="97">
        <v>14.225378349307455</v>
      </c>
      <c r="K99" s="97">
        <v>14.225378349307455</v>
      </c>
      <c r="L99" s="97">
        <v>14.209191724696083</v>
      </c>
      <c r="M99" s="97">
        <v>14.196540168693556</v>
      </c>
      <c r="N99" s="97">
        <v>14.196016692628232</v>
      </c>
      <c r="O99" s="97">
        <v>14.195288428784213</v>
      </c>
      <c r="P99" s="97">
        <v>14.194325670470535</v>
      </c>
      <c r="Q99" s="97">
        <v>14.19286945208459</v>
      </c>
      <c r="R99" s="97">
        <v>14.191269934671986</v>
      </c>
      <c r="S99" s="97">
        <v>14.189504871656791</v>
      </c>
      <c r="T99" s="97">
        <v>14.186947946052154</v>
      </c>
      <c r="U99" s="97">
        <v>14.185363439842515</v>
      </c>
      <c r="V99" s="97">
        <v>14.185030729022586</v>
      </c>
      <c r="W99" s="97">
        <v>14.183998550750253</v>
      </c>
      <c r="X99" s="97">
        <v>13.909469555427169</v>
      </c>
      <c r="Y99" s="97">
        <v>13.906900428980936</v>
      </c>
      <c r="DA99" s="175" t="s">
        <v>873</v>
      </c>
    </row>
    <row r="100" spans="1:105" ht="11.45" customHeight="1" x14ac:dyDescent="0.25">
      <c r="A100" s="111" t="s">
        <v>111</v>
      </c>
      <c r="B100" s="97">
        <v>56.241593419046829</v>
      </c>
      <c r="C100" s="97">
        <v>55.044984843467368</v>
      </c>
      <c r="D100" s="97">
        <v>54.854878706877194</v>
      </c>
      <c r="E100" s="97">
        <v>54.033889513337748</v>
      </c>
      <c r="F100" s="97">
        <v>52.485693962174928</v>
      </c>
      <c r="G100" s="97">
        <v>52.126426401736708</v>
      </c>
      <c r="H100" s="97">
        <v>50.751822062896402</v>
      </c>
      <c r="I100" s="97">
        <v>49.855625351932872</v>
      </c>
      <c r="J100" s="97">
        <v>48.924559544916363</v>
      </c>
      <c r="K100" s="97">
        <v>48.213242449510588</v>
      </c>
      <c r="L100" s="97">
        <v>47.566008109233564</v>
      </c>
      <c r="M100" s="97">
        <v>46.939179767378626</v>
      </c>
      <c r="N100" s="97">
        <v>46.327049916987768</v>
      </c>
      <c r="O100" s="97">
        <v>45.78555166326538</v>
      </c>
      <c r="P100" s="97">
        <v>45.469738288397195</v>
      </c>
      <c r="Q100" s="97">
        <v>45.017190182864447</v>
      </c>
      <c r="R100" s="97">
        <v>44.790711910390591</v>
      </c>
      <c r="S100" s="97">
        <v>44.469933185248465</v>
      </c>
      <c r="T100" s="97">
        <v>44.061235728250686</v>
      </c>
      <c r="U100" s="97">
        <v>43.509354078118541</v>
      </c>
      <c r="V100" s="97">
        <v>43.034492684668905</v>
      </c>
      <c r="W100" s="97">
        <v>42.458531552306169</v>
      </c>
      <c r="X100" s="97">
        <v>41.57697253361782</v>
      </c>
      <c r="Y100" s="97">
        <v>40.519442632415213</v>
      </c>
      <c r="DA100" s="175" t="s">
        <v>874</v>
      </c>
    </row>
    <row r="101" spans="1:105" ht="11.45" customHeight="1" x14ac:dyDescent="0.25">
      <c r="A101" s="111" t="s">
        <v>112</v>
      </c>
      <c r="B101" s="97">
        <v>0</v>
      </c>
      <c r="C101" s="97">
        <v>0</v>
      </c>
      <c r="D101" s="97">
        <v>0</v>
      </c>
      <c r="E101" s="97">
        <v>0</v>
      </c>
      <c r="F101" s="97">
        <v>0</v>
      </c>
      <c r="G101" s="97">
        <v>0</v>
      </c>
      <c r="H101" s="97">
        <v>0</v>
      </c>
      <c r="I101" s="97">
        <v>0</v>
      </c>
      <c r="J101" s="97">
        <v>38.34606291309845</v>
      </c>
      <c r="K101" s="97">
        <v>38.286344873014627</v>
      </c>
      <c r="L101" s="97">
        <v>37.843829824756462</v>
      </c>
      <c r="M101" s="97">
        <v>37.697546093535287</v>
      </c>
      <c r="N101" s="97">
        <v>37.697546093535287</v>
      </c>
      <c r="O101" s="97">
        <v>37.66533065994269</v>
      </c>
      <c r="P101" s="97">
        <v>37.642463802413154</v>
      </c>
      <c r="Q101" s="97">
        <v>37.629650612750666</v>
      </c>
      <c r="R101" s="97">
        <v>37.58433229377038</v>
      </c>
      <c r="S101" s="97">
        <v>37.575513416623977</v>
      </c>
      <c r="T101" s="97">
        <v>37.377187034687616</v>
      </c>
      <c r="U101" s="97">
        <v>37.357075726970336</v>
      </c>
      <c r="V101" s="97">
        <v>37.364597031353817</v>
      </c>
      <c r="W101" s="97">
        <v>37.345408232519347</v>
      </c>
      <c r="X101" s="97">
        <v>37.019074295853919</v>
      </c>
      <c r="Y101" s="97">
        <v>36.920776130422269</v>
      </c>
      <c r="DA101" s="175" t="s">
        <v>875</v>
      </c>
    </row>
    <row r="102" spans="1:105" ht="11.45" customHeight="1" x14ac:dyDescent="0.25">
      <c r="A102" s="111" t="s">
        <v>113</v>
      </c>
      <c r="B102" s="97">
        <v>0</v>
      </c>
      <c r="C102" s="97">
        <v>0</v>
      </c>
      <c r="D102" s="97">
        <v>0</v>
      </c>
      <c r="E102" s="97">
        <v>0</v>
      </c>
      <c r="F102" s="97">
        <v>0</v>
      </c>
      <c r="G102" s="97">
        <v>0</v>
      </c>
      <c r="H102" s="97">
        <v>0</v>
      </c>
      <c r="I102" s="97">
        <v>0</v>
      </c>
      <c r="J102" s="97">
        <v>0</v>
      </c>
      <c r="K102" s="97">
        <v>0</v>
      </c>
      <c r="L102" s="97">
        <v>0</v>
      </c>
      <c r="M102" s="97">
        <v>0</v>
      </c>
      <c r="N102" s="97">
        <v>0</v>
      </c>
      <c r="O102" s="97">
        <v>0</v>
      </c>
      <c r="P102" s="97">
        <v>0</v>
      </c>
      <c r="Q102" s="97">
        <v>0</v>
      </c>
      <c r="R102" s="97">
        <v>0</v>
      </c>
      <c r="S102" s="97">
        <v>0</v>
      </c>
      <c r="T102" s="97">
        <v>0</v>
      </c>
      <c r="U102" s="97">
        <v>0</v>
      </c>
      <c r="V102" s="97">
        <v>0</v>
      </c>
      <c r="W102" s="97">
        <v>0</v>
      </c>
      <c r="X102" s="97">
        <v>0</v>
      </c>
      <c r="Y102" s="97">
        <v>0</v>
      </c>
      <c r="DA102" s="175" t="s">
        <v>876</v>
      </c>
    </row>
    <row r="103" spans="1:105" ht="11.45" customHeight="1" x14ac:dyDescent="0.25">
      <c r="A103" s="111" t="s">
        <v>115</v>
      </c>
      <c r="B103" s="97">
        <v>0</v>
      </c>
      <c r="C103" s="97">
        <v>0</v>
      </c>
      <c r="D103" s="97">
        <v>0</v>
      </c>
      <c r="E103" s="97">
        <v>0</v>
      </c>
      <c r="F103" s="97">
        <v>0</v>
      </c>
      <c r="G103" s="97">
        <v>0</v>
      </c>
      <c r="H103" s="97">
        <v>0</v>
      </c>
      <c r="I103" s="97">
        <v>0</v>
      </c>
      <c r="J103" s="97">
        <v>0</v>
      </c>
      <c r="K103" s="97">
        <v>0</v>
      </c>
      <c r="L103" s="97">
        <v>0</v>
      </c>
      <c r="M103" s="97">
        <v>0</v>
      </c>
      <c r="N103" s="97">
        <v>0</v>
      </c>
      <c r="O103" s="97">
        <v>23.66794140565489</v>
      </c>
      <c r="P103" s="97">
        <v>23.547425581529644</v>
      </c>
      <c r="Q103" s="97">
        <v>23.367369353138084</v>
      </c>
      <c r="R103" s="97">
        <v>22.873131696011935</v>
      </c>
      <c r="S103" s="97">
        <v>22.709384810665657</v>
      </c>
      <c r="T103" s="97">
        <v>22.007595607318581</v>
      </c>
      <c r="U103" s="97">
        <v>21.591418030564927</v>
      </c>
      <c r="V103" s="97">
        <v>20.928126276804495</v>
      </c>
      <c r="W103" s="97">
        <v>20.698192379139496</v>
      </c>
      <c r="X103" s="97">
        <v>20.279506375363976</v>
      </c>
      <c r="Y103" s="97">
        <v>19.591786930083014</v>
      </c>
      <c r="DA103" s="175" t="s">
        <v>877</v>
      </c>
    </row>
    <row r="104" spans="1:105" ht="11.45" customHeight="1" x14ac:dyDescent="0.25">
      <c r="A104" s="27" t="s">
        <v>34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DA104" s="173"/>
    </row>
    <row r="105" spans="1:105" ht="11.45" customHeight="1" x14ac:dyDescent="0.25">
      <c r="A105" s="136" t="s">
        <v>153</v>
      </c>
      <c r="B105" s="141">
        <v>10.132914584115765</v>
      </c>
      <c r="C105" s="141">
        <v>10.027632657167286</v>
      </c>
      <c r="D105" s="141">
        <v>9.9252581205748012</v>
      </c>
      <c r="E105" s="141">
        <v>9.8051472498923822</v>
      </c>
      <c r="F105" s="141">
        <v>9.6833149882617491</v>
      </c>
      <c r="G105" s="141">
        <v>9.5853072067070517</v>
      </c>
      <c r="H105" s="141">
        <v>9.4451172408868231</v>
      </c>
      <c r="I105" s="141">
        <v>9.345708715104756</v>
      </c>
      <c r="J105" s="141">
        <v>9.2372576811395781</v>
      </c>
      <c r="K105" s="141">
        <v>9.1512852836056151</v>
      </c>
      <c r="L105" s="141">
        <v>9.0823308803881861</v>
      </c>
      <c r="M105" s="141">
        <v>9.0171108694952498</v>
      </c>
      <c r="N105" s="141">
        <v>8.9363636175045862</v>
      </c>
      <c r="O105" s="141">
        <v>8.8608726337730701</v>
      </c>
      <c r="P105" s="141">
        <v>8.7119730121793193</v>
      </c>
      <c r="Q105" s="141">
        <v>8.572411388930135</v>
      </c>
      <c r="R105" s="141">
        <v>8.4477354940249949</v>
      </c>
      <c r="S105" s="141">
        <v>8.2745459683381917</v>
      </c>
      <c r="T105" s="141">
        <v>8.0711539260769456</v>
      </c>
      <c r="U105" s="141">
        <v>7.9102204745687619</v>
      </c>
      <c r="V105" s="141">
        <v>7.7902110810777865</v>
      </c>
      <c r="W105" s="141">
        <v>7.6506716251438096</v>
      </c>
      <c r="X105" s="141">
        <v>7.4923961938449741</v>
      </c>
      <c r="Y105" s="141">
        <v>7.3256180503329373</v>
      </c>
      <c r="DA105" s="174" t="s">
        <v>878</v>
      </c>
    </row>
    <row r="106" spans="1:105" ht="11.45" customHeight="1" x14ac:dyDescent="0.25">
      <c r="A106" s="111" t="s">
        <v>110</v>
      </c>
      <c r="B106" s="96">
        <v>11.187976404536817</v>
      </c>
      <c r="C106" s="96">
        <v>10.964675003584951</v>
      </c>
      <c r="D106" s="96">
        <v>10.740725183034607</v>
      </c>
      <c r="E106" s="96">
        <v>10.467313184413245</v>
      </c>
      <c r="F106" s="96">
        <v>10.190242679529391</v>
      </c>
      <c r="G106" s="96">
        <v>9.9722498239674966</v>
      </c>
      <c r="H106" s="96">
        <v>9.6577072926048455</v>
      </c>
      <c r="I106" s="96">
        <v>9.4460339417242221</v>
      </c>
      <c r="J106" s="96">
        <v>9.2837069656876725</v>
      </c>
      <c r="K106" s="96">
        <v>9.1193207096690028</v>
      </c>
      <c r="L106" s="96">
        <v>8.9823202863665088</v>
      </c>
      <c r="M106" s="96">
        <v>8.8247535303613702</v>
      </c>
      <c r="N106" s="96">
        <v>8.6505854310646129</v>
      </c>
      <c r="O106" s="96">
        <v>8.6377001654371384</v>
      </c>
      <c r="P106" s="96">
        <v>8.4769549440932117</v>
      </c>
      <c r="Q106" s="96">
        <v>8.3051839545421711</v>
      </c>
      <c r="R106" s="96">
        <v>8.0452934737966881</v>
      </c>
      <c r="S106" s="96">
        <v>7.7318148862418292</v>
      </c>
      <c r="T106" s="96">
        <v>7.5152028529385531</v>
      </c>
      <c r="U106" s="96">
        <v>7.3991929540881847</v>
      </c>
      <c r="V106" s="96">
        <v>7.3015166100015101</v>
      </c>
      <c r="W106" s="96">
        <v>7.1297593373369033</v>
      </c>
      <c r="X106" s="96">
        <v>6.8952993106938685</v>
      </c>
      <c r="Y106" s="96">
        <v>6.6897060226130503</v>
      </c>
      <c r="DA106" s="171" t="s">
        <v>879</v>
      </c>
    </row>
    <row r="107" spans="1:105" ht="11.45" customHeight="1" x14ac:dyDescent="0.25">
      <c r="A107" s="111" t="s">
        <v>111</v>
      </c>
      <c r="B107" s="96">
        <v>9.4098606417101074</v>
      </c>
      <c r="C107" s="96">
        <v>9.3521111781631436</v>
      </c>
      <c r="D107" s="96">
        <v>9.3003691081374438</v>
      </c>
      <c r="E107" s="96">
        <v>9.2462471741739005</v>
      </c>
      <c r="F107" s="96">
        <v>9.1966036736789452</v>
      </c>
      <c r="G107" s="96">
        <v>9.1615079032869531</v>
      </c>
      <c r="H107" s="96">
        <v>9.1210000145360333</v>
      </c>
      <c r="I107" s="96">
        <v>9.0936420614350251</v>
      </c>
      <c r="J107" s="96">
        <v>9.0527109083035882</v>
      </c>
      <c r="K107" s="96">
        <v>9.0229248887034554</v>
      </c>
      <c r="L107" s="96">
        <v>9.0082637245231822</v>
      </c>
      <c r="M107" s="96">
        <v>9.0018577088076075</v>
      </c>
      <c r="N107" s="96">
        <v>8.9563831296572776</v>
      </c>
      <c r="O107" s="96">
        <v>8.8453254192589448</v>
      </c>
      <c r="P107" s="96">
        <v>8.6951948301880488</v>
      </c>
      <c r="Q107" s="96">
        <v>8.5529710315104932</v>
      </c>
      <c r="R107" s="96">
        <v>8.4364277643437884</v>
      </c>
      <c r="S107" s="96">
        <v>8.273912668752887</v>
      </c>
      <c r="T107" s="96">
        <v>8.0456073481419974</v>
      </c>
      <c r="U107" s="96">
        <v>7.8601188619337279</v>
      </c>
      <c r="V107" s="96">
        <v>7.7210113982028989</v>
      </c>
      <c r="W107" s="96">
        <v>7.5825060185331203</v>
      </c>
      <c r="X107" s="96">
        <v>7.4331102247323342</v>
      </c>
      <c r="Y107" s="96">
        <v>7.2743198849710176</v>
      </c>
      <c r="DA107" s="171" t="s">
        <v>880</v>
      </c>
    </row>
    <row r="108" spans="1:105" ht="11.45" customHeight="1" x14ac:dyDescent="0.25">
      <c r="A108" s="111" t="s">
        <v>112</v>
      </c>
      <c r="B108" s="96">
        <v>0</v>
      </c>
      <c r="C108" s="96">
        <v>0</v>
      </c>
      <c r="D108" s="96">
        <v>0</v>
      </c>
      <c r="E108" s="96">
        <v>0</v>
      </c>
      <c r="F108" s="96">
        <v>0</v>
      </c>
      <c r="G108" s="96">
        <v>0</v>
      </c>
      <c r="H108" s="96">
        <v>0</v>
      </c>
      <c r="I108" s="96">
        <v>0</v>
      </c>
      <c r="J108" s="96">
        <v>15.740377078198769</v>
      </c>
      <c r="K108" s="96">
        <v>15.740377078198769</v>
      </c>
      <c r="L108" s="96">
        <v>15.740377078198769</v>
      </c>
      <c r="M108" s="96">
        <v>15.020914460170163</v>
      </c>
      <c r="N108" s="96">
        <v>13.944050343855062</v>
      </c>
      <c r="O108" s="96">
        <v>13.944050343855064</v>
      </c>
      <c r="P108" s="96">
        <v>12.746869302651074</v>
      </c>
      <c r="Q108" s="96">
        <v>12.234203413283842</v>
      </c>
      <c r="R108" s="96">
        <v>10.454192980788768</v>
      </c>
      <c r="S108" s="96">
        <v>10.45419298078877</v>
      </c>
      <c r="T108" s="96">
        <v>10.228481505952745</v>
      </c>
      <c r="U108" s="96">
        <v>10.228481505952745</v>
      </c>
      <c r="V108" s="96">
        <v>9.963705909154184</v>
      </c>
      <c r="W108" s="96">
        <v>8.9052856591324279</v>
      </c>
      <c r="X108" s="96">
        <v>7.6597927050011423</v>
      </c>
      <c r="Y108" s="96">
        <v>7.1421084344123829</v>
      </c>
      <c r="DA108" s="171" t="s">
        <v>881</v>
      </c>
    </row>
    <row r="109" spans="1:105" ht="11.45" customHeight="1" x14ac:dyDescent="0.25">
      <c r="A109" s="111" t="s">
        <v>113</v>
      </c>
      <c r="B109" s="96">
        <v>0</v>
      </c>
      <c r="C109" s="96">
        <v>0</v>
      </c>
      <c r="D109" s="96">
        <v>0</v>
      </c>
      <c r="E109" s="96">
        <v>0</v>
      </c>
      <c r="F109" s="96">
        <v>0</v>
      </c>
      <c r="G109" s="96">
        <v>0</v>
      </c>
      <c r="H109" s="96">
        <v>0</v>
      </c>
      <c r="I109" s="96">
        <v>0</v>
      </c>
      <c r="J109" s="96">
        <v>0</v>
      </c>
      <c r="K109" s="96">
        <v>0</v>
      </c>
      <c r="L109" s="96">
        <v>0</v>
      </c>
      <c r="M109" s="96">
        <v>0</v>
      </c>
      <c r="N109" s="96">
        <v>0</v>
      </c>
      <c r="O109" s="96">
        <v>0</v>
      </c>
      <c r="P109" s="96">
        <v>0</v>
      </c>
      <c r="Q109" s="96">
        <v>0</v>
      </c>
      <c r="R109" s="96">
        <v>0</v>
      </c>
      <c r="S109" s="96">
        <v>0</v>
      </c>
      <c r="T109" s="96">
        <v>0</v>
      </c>
      <c r="U109" s="96">
        <v>0</v>
      </c>
      <c r="V109" s="96">
        <v>0</v>
      </c>
      <c r="W109" s="96">
        <v>0</v>
      </c>
      <c r="X109" s="96">
        <v>0</v>
      </c>
      <c r="Y109" s="96">
        <v>0</v>
      </c>
      <c r="DA109" s="171" t="s">
        <v>882</v>
      </c>
    </row>
    <row r="110" spans="1:105" ht="11.45" customHeight="1" x14ac:dyDescent="0.25">
      <c r="A110" s="111" t="s">
        <v>115</v>
      </c>
      <c r="B110" s="96">
        <v>0</v>
      </c>
      <c r="C110" s="96">
        <v>0</v>
      </c>
      <c r="D110" s="96">
        <v>0</v>
      </c>
      <c r="E110" s="96">
        <v>0</v>
      </c>
      <c r="F110" s="96">
        <v>0</v>
      </c>
      <c r="G110" s="96">
        <v>0</v>
      </c>
      <c r="H110" s="96">
        <v>0</v>
      </c>
      <c r="I110" s="96">
        <v>0</v>
      </c>
      <c r="J110" s="96">
        <v>0</v>
      </c>
      <c r="K110" s="96">
        <v>0</v>
      </c>
      <c r="L110" s="96">
        <v>1.360325196948438</v>
      </c>
      <c r="M110" s="96">
        <v>1.3556789177155866</v>
      </c>
      <c r="N110" s="96">
        <v>1.3441241087513485</v>
      </c>
      <c r="O110" s="96">
        <v>1.3393949133989924</v>
      </c>
      <c r="P110" s="96">
        <v>1.3377720059135538</v>
      </c>
      <c r="Q110" s="96">
        <v>1.3360645471113182</v>
      </c>
      <c r="R110" s="96">
        <v>1.3382207667730579</v>
      </c>
      <c r="S110" s="96">
        <v>1.3347217656482639</v>
      </c>
      <c r="T110" s="96">
        <v>1.3356655060638916</v>
      </c>
      <c r="U110" s="96">
        <v>1.3980937485578493</v>
      </c>
      <c r="V110" s="96">
        <v>1.4944640973498113</v>
      </c>
      <c r="W110" s="96">
        <v>1.6945796531037778</v>
      </c>
      <c r="X110" s="96">
        <v>1.9477503967780405</v>
      </c>
      <c r="Y110" s="96">
        <v>2.0892951609290851</v>
      </c>
      <c r="DA110" s="171" t="s">
        <v>883</v>
      </c>
    </row>
    <row r="111" spans="1:105" ht="11.45" customHeight="1" x14ac:dyDescent="0.25">
      <c r="A111" s="109" t="s">
        <v>154</v>
      </c>
      <c r="B111" s="130">
        <v>35.319520489458412</v>
      </c>
      <c r="C111" s="130">
        <v>35.073783335098078</v>
      </c>
      <c r="D111" s="130">
        <v>34.856973943317229</v>
      </c>
      <c r="E111" s="130">
        <v>34.437226593730379</v>
      </c>
      <c r="F111" s="130">
        <v>34.165134272586194</v>
      </c>
      <c r="G111" s="130">
        <v>33.626005678928593</v>
      </c>
      <c r="H111" s="130">
        <v>33.272494302039377</v>
      </c>
      <c r="I111" s="130">
        <v>33.089743530569365</v>
      </c>
      <c r="J111" s="130">
        <v>32.875068819331652</v>
      </c>
      <c r="K111" s="130">
        <v>32.661573929123584</v>
      </c>
      <c r="L111" s="130">
        <v>32.534430184900359</v>
      </c>
      <c r="M111" s="130">
        <v>32.352287386270135</v>
      </c>
      <c r="N111" s="130">
        <v>31.944376762682023</v>
      </c>
      <c r="O111" s="130">
        <v>31.302992249784111</v>
      </c>
      <c r="P111" s="130">
        <v>30.941075403116148</v>
      </c>
      <c r="Q111" s="130">
        <v>30.529664485979158</v>
      </c>
      <c r="R111" s="130">
        <v>29.713829786440314</v>
      </c>
      <c r="S111" s="130">
        <v>28.772575274852084</v>
      </c>
      <c r="T111" s="130">
        <v>27.831716327030836</v>
      </c>
      <c r="U111" s="130">
        <v>26.93105779236258</v>
      </c>
      <c r="V111" s="130">
        <v>26.489942671412646</v>
      </c>
      <c r="W111" s="130">
        <v>25.493971864428882</v>
      </c>
      <c r="X111" s="130">
        <v>24.603790720813542</v>
      </c>
      <c r="Y111" s="130">
        <v>23.806184092754986</v>
      </c>
      <c r="DA111" s="176" t="s">
        <v>884</v>
      </c>
    </row>
    <row r="112" spans="1:105" ht="11.45" customHeight="1" x14ac:dyDescent="0.25">
      <c r="A112" s="128" t="s">
        <v>27</v>
      </c>
      <c r="B112" s="97">
        <v>35.097123602221401</v>
      </c>
      <c r="C112" s="97">
        <v>34.868950488927204</v>
      </c>
      <c r="D112" s="97">
        <v>34.657279581003166</v>
      </c>
      <c r="E112" s="97">
        <v>34.248454920772971</v>
      </c>
      <c r="F112" s="97">
        <v>34.007621911900358</v>
      </c>
      <c r="G112" s="97">
        <v>33.463457698197246</v>
      </c>
      <c r="H112" s="97">
        <v>33.166624163700412</v>
      </c>
      <c r="I112" s="97">
        <v>32.992610624981936</v>
      </c>
      <c r="J112" s="97">
        <v>32.814017420688856</v>
      </c>
      <c r="K112" s="97">
        <v>32.655976535107399</v>
      </c>
      <c r="L112" s="97">
        <v>32.528151268641118</v>
      </c>
      <c r="M112" s="97">
        <v>32.348042599730363</v>
      </c>
      <c r="N112" s="97">
        <v>31.948403975745762</v>
      </c>
      <c r="O112" s="97">
        <v>31.297213543569818</v>
      </c>
      <c r="P112" s="97">
        <v>30.927831439854536</v>
      </c>
      <c r="Q112" s="97">
        <v>30.511254930156081</v>
      </c>
      <c r="R112" s="97">
        <v>29.68642041237899</v>
      </c>
      <c r="S112" s="97">
        <v>28.733772944092621</v>
      </c>
      <c r="T112" s="97">
        <v>27.729184202682177</v>
      </c>
      <c r="U112" s="97">
        <v>26.793708241026902</v>
      </c>
      <c r="V112" s="97">
        <v>26.393896196207542</v>
      </c>
      <c r="W112" s="97">
        <v>25.380772301659491</v>
      </c>
      <c r="X112" s="97">
        <v>24.427332377172512</v>
      </c>
      <c r="Y112" s="97">
        <v>23.575852163350088</v>
      </c>
      <c r="DA112" s="175" t="s">
        <v>885</v>
      </c>
    </row>
    <row r="113" spans="1:105" ht="11.45" customHeight="1" x14ac:dyDescent="0.25">
      <c r="A113" s="138" t="s">
        <v>116</v>
      </c>
      <c r="B113" s="98">
        <v>36.742268041163946</v>
      </c>
      <c r="C113" s="98">
        <v>36.373382892553764</v>
      </c>
      <c r="D113" s="98">
        <v>36.052781700930808</v>
      </c>
      <c r="E113" s="98">
        <v>35.794994272758878</v>
      </c>
      <c r="F113" s="98">
        <v>35.136004175184283</v>
      </c>
      <c r="G113" s="98">
        <v>34.83562115067943</v>
      </c>
      <c r="H113" s="98">
        <v>34.466297566523977</v>
      </c>
      <c r="I113" s="98">
        <v>34.162933716401646</v>
      </c>
      <c r="J113" s="98">
        <v>33.785318402689498</v>
      </c>
      <c r="K113" s="98">
        <v>32.820490647426247</v>
      </c>
      <c r="L113" s="98">
        <v>32.744425528751258</v>
      </c>
      <c r="M113" s="98">
        <v>32.482043180436733</v>
      </c>
      <c r="N113" s="98">
        <v>31.847493785392889</v>
      </c>
      <c r="O113" s="98">
        <v>31.428597248783529</v>
      </c>
      <c r="P113" s="98">
        <v>31.221747074799641</v>
      </c>
      <c r="Q113" s="98">
        <v>30.876183214772503</v>
      </c>
      <c r="R113" s="98">
        <v>30.12320076301539</v>
      </c>
      <c r="S113" s="98">
        <v>29.22136016988421</v>
      </c>
      <c r="T113" s="98">
        <v>29.045406439965024</v>
      </c>
      <c r="U113" s="98">
        <v>28.566125761293378</v>
      </c>
      <c r="V113" s="98">
        <v>28.044942829900798</v>
      </c>
      <c r="W113" s="98">
        <v>26.764538266981308</v>
      </c>
      <c r="X113" s="98">
        <v>26.518697950727166</v>
      </c>
      <c r="Y113" s="98">
        <v>26.20195524764058</v>
      </c>
      <c r="DA113" s="178" t="s">
        <v>886</v>
      </c>
    </row>
    <row r="114" spans="1:105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DA114" s="171"/>
    </row>
    <row r="115" spans="1:105" ht="11.45" customHeight="1" x14ac:dyDescent="0.25">
      <c r="A115" s="53" t="s">
        <v>121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DA115" s="172"/>
    </row>
    <row r="116" spans="1:105" ht="11.45" customHeight="1" x14ac:dyDescent="0.25">
      <c r="A116" s="27" t="s">
        <v>33</v>
      </c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DA116" s="173"/>
    </row>
    <row r="117" spans="1:105" ht="11.45" customHeight="1" x14ac:dyDescent="0.25">
      <c r="A117" s="136" t="s">
        <v>173</v>
      </c>
      <c r="B117" s="150">
        <f>IF(TrRoad_act!B59=0,0,TrRoad_ene!B62/TrRoad_tech!B90)</f>
        <v>1.1275000000068984</v>
      </c>
      <c r="C117" s="150">
        <f>IF(TrRoad_act!C59=0,0,TrRoad_ene!C62/TrRoad_tech!C90)</f>
        <v>1.1275480687216355</v>
      </c>
      <c r="D117" s="150">
        <f>IF(TrRoad_act!D59=0,0,TrRoad_ene!D62/TrRoad_tech!D90)</f>
        <v>1.1276600459095187</v>
      </c>
      <c r="E117" s="150">
        <f>IF(TrRoad_act!E59=0,0,TrRoad_ene!E62/TrRoad_tech!E90)</f>
        <v>1.1280987958078474</v>
      </c>
      <c r="F117" s="150">
        <f>IF(TrRoad_act!F59=0,0,TrRoad_ene!F62/TrRoad_tech!F90)</f>
        <v>1.1288813696870073</v>
      </c>
      <c r="G117" s="150">
        <f>IF(TrRoad_act!G59=0,0,TrRoad_ene!G62/TrRoad_tech!G90)</f>
        <v>1.0748227944172815</v>
      </c>
      <c r="H117" s="150">
        <f>IF(TrRoad_act!H59=0,0,TrRoad_ene!H62/TrRoad_tech!H90)</f>
        <v>1.0798910550924159</v>
      </c>
      <c r="I117" s="150">
        <f>IF(TrRoad_act!I59=0,0,TrRoad_ene!I62/TrRoad_tech!I90)</f>
        <v>1.0853043912587825</v>
      </c>
      <c r="J117" s="150">
        <f>IF(TrRoad_act!J59=0,0,TrRoad_ene!J62/TrRoad_tech!J90)</f>
        <v>1.1006928833869791</v>
      </c>
      <c r="K117" s="150">
        <f>IF(TrRoad_act!K59=0,0,TrRoad_ene!K62/TrRoad_tech!K90)</f>
        <v>1.1091992223785199</v>
      </c>
      <c r="L117" s="150">
        <f>IF(TrRoad_act!L59=0,0,TrRoad_ene!L62/TrRoad_tech!L90)</f>
        <v>1.1157217926171148</v>
      </c>
      <c r="M117" s="150">
        <f>IF(TrRoad_act!M59=0,0,TrRoad_ene!M62/TrRoad_tech!M90)</f>
        <v>1.1225945059642188</v>
      </c>
      <c r="N117" s="150">
        <f>IF(TrRoad_act!N59=0,0,TrRoad_ene!N62/TrRoad_tech!N90)</f>
        <v>1.1307231720546331</v>
      </c>
      <c r="O117" s="150">
        <f>IF(TrRoad_act!O59=0,0,TrRoad_ene!O62/TrRoad_tech!O90)</f>
        <v>1.140247796069253</v>
      </c>
      <c r="P117" s="150">
        <f>IF(TrRoad_act!P59=0,0,TrRoad_ene!P62/TrRoad_tech!P90)</f>
        <v>1.1499649643378322</v>
      </c>
      <c r="Q117" s="150">
        <f>IF(TrRoad_act!Q59=0,0,TrRoad_ene!Q62/TrRoad_tech!Q90)</f>
        <v>1.1601270010905345</v>
      </c>
      <c r="R117" s="150">
        <f>IF(TrRoad_act!R59=0,0,TrRoad_ene!R62/TrRoad_tech!R90)</f>
        <v>1.1715406215199748</v>
      </c>
      <c r="S117" s="150">
        <f>IF(TrRoad_act!S59=0,0,TrRoad_ene!S62/TrRoad_tech!S90)</f>
        <v>1.1844831484923393</v>
      </c>
      <c r="T117" s="150">
        <f>IF(TrRoad_act!T59=0,0,TrRoad_ene!T62/TrRoad_tech!T90)</f>
        <v>1.1994529979914748</v>
      </c>
      <c r="U117" s="150">
        <f>IF(TrRoad_act!U59=0,0,TrRoad_ene!U62/TrRoad_tech!U90)</f>
        <v>1.221023611869767</v>
      </c>
      <c r="V117" s="150">
        <f>IF(TrRoad_act!V59=0,0,TrRoad_ene!V62/TrRoad_tech!V90)</f>
        <v>1.244188055581757</v>
      </c>
      <c r="W117" s="150">
        <f>IF(TrRoad_act!W59=0,0,TrRoad_ene!W62/TrRoad_tech!W90)</f>
        <v>1.2644688794882526</v>
      </c>
      <c r="X117" s="150">
        <f>IF(TrRoad_act!X59=0,0,TrRoad_ene!X62/TrRoad_tech!X90)</f>
        <v>1.2852988930464864</v>
      </c>
      <c r="Y117" s="150">
        <f>IF(TrRoad_act!Y59=0,0,TrRoad_ene!Y62/TrRoad_tech!Y90)</f>
        <v>1.3048623843643377</v>
      </c>
      <c r="DA117" s="174"/>
    </row>
    <row r="118" spans="1:105" ht="11.45" customHeight="1" x14ac:dyDescent="0.25">
      <c r="A118" s="109" t="s">
        <v>20</v>
      </c>
      <c r="B118" s="151">
        <f>IF(TrRoad_act!B60=0,0,TrRoad_ene!B63/TrRoad_tech!B91)</f>
        <v>0.8233822084878355</v>
      </c>
      <c r="C118" s="151">
        <f>IF(TrRoad_act!C60=0,0,TrRoad_ene!C63/TrRoad_tech!C91)</f>
        <v>0.86429021260695627</v>
      </c>
      <c r="D118" s="151">
        <f>IF(TrRoad_act!D60=0,0,TrRoad_ene!D63/TrRoad_tech!D91)</f>
        <v>0.85825066973057118</v>
      </c>
      <c r="E118" s="151">
        <f>IF(TrRoad_act!E60=0,0,TrRoad_ene!E63/TrRoad_tech!E91)</f>
        <v>0.84048957396162116</v>
      </c>
      <c r="F118" s="151">
        <f>IF(TrRoad_act!F60=0,0,TrRoad_ene!F63/TrRoad_tech!F91)</f>
        <v>0.88377027592163404</v>
      </c>
      <c r="G118" s="151">
        <f>IF(TrRoad_act!G60=0,0,TrRoad_ene!G63/TrRoad_tech!G91)</f>
        <v>0.8804861690760255</v>
      </c>
      <c r="H118" s="151">
        <f>IF(TrRoad_act!H60=0,0,TrRoad_ene!H63/TrRoad_tech!H91)</f>
        <v>0.87231014623088043</v>
      </c>
      <c r="I118" s="151">
        <f>IF(TrRoad_act!I60=0,0,TrRoad_ene!I63/TrRoad_tech!I91)</f>
        <v>0.85730095257601224</v>
      </c>
      <c r="J118" s="151">
        <f>IF(TrRoad_act!J60=0,0,TrRoad_ene!J63/TrRoad_tech!J91)</f>
        <v>0.95501731444403637</v>
      </c>
      <c r="K118" s="151">
        <f>IF(TrRoad_act!K60=0,0,TrRoad_ene!K63/TrRoad_tech!K91)</f>
        <v>0.96678444996999757</v>
      </c>
      <c r="L118" s="151">
        <f>IF(TrRoad_act!L60=0,0,TrRoad_ene!L63/TrRoad_tech!L91)</f>
        <v>0.91771036808171125</v>
      </c>
      <c r="M118" s="151">
        <f>IF(TrRoad_act!M60=0,0,TrRoad_ene!M63/TrRoad_tech!M91)</f>
        <v>0.9294849976552032</v>
      </c>
      <c r="N118" s="151">
        <f>IF(TrRoad_act!N60=0,0,TrRoad_ene!N63/TrRoad_tech!N91)</f>
        <v>0.94991870237758036</v>
      </c>
      <c r="O118" s="151">
        <f>IF(TrRoad_act!O60=0,0,TrRoad_ene!O63/TrRoad_tech!O91)</f>
        <v>0.87295110563225398</v>
      </c>
      <c r="P118" s="151">
        <f>IF(TrRoad_act!P60=0,0,TrRoad_ene!P63/TrRoad_tech!P91)</f>
        <v>0.88071006696998932</v>
      </c>
      <c r="Q118" s="151">
        <f>IF(TrRoad_act!Q60=0,0,TrRoad_ene!Q63/TrRoad_tech!Q91)</f>
        <v>0.85955551551461162</v>
      </c>
      <c r="R118" s="151">
        <f>IF(TrRoad_act!R60=0,0,TrRoad_ene!R63/TrRoad_tech!R91)</f>
        <v>0.9073098516246153</v>
      </c>
      <c r="S118" s="151">
        <f>IF(TrRoad_act!S60=0,0,TrRoad_ene!S63/TrRoad_tech!S91)</f>
        <v>0.96674084774142777</v>
      </c>
      <c r="T118" s="151">
        <f>IF(TrRoad_act!T60=0,0,TrRoad_ene!T63/TrRoad_tech!T91)</f>
        <v>0.9684830923278499</v>
      </c>
      <c r="U118" s="151">
        <f>IF(TrRoad_act!U60=0,0,TrRoad_ene!U63/TrRoad_tech!U91)</f>
        <v>0.95255384264714837</v>
      </c>
      <c r="V118" s="151">
        <f>IF(TrRoad_act!V60=0,0,TrRoad_ene!V63/TrRoad_tech!V91)</f>
        <v>1.0235946515985535</v>
      </c>
      <c r="W118" s="151">
        <f>IF(TrRoad_act!W60=0,0,TrRoad_ene!W63/TrRoad_tech!W91)</f>
        <v>1.0175747695043464</v>
      </c>
      <c r="X118" s="151">
        <f>IF(TrRoad_act!X60=0,0,TrRoad_ene!X63/TrRoad_tech!X91)</f>
        <v>1.0296032214781734</v>
      </c>
      <c r="Y118" s="151">
        <f>IF(TrRoad_act!Y60=0,0,TrRoad_ene!Y63/TrRoad_tech!Y91)</f>
        <v>1.0325701723230063</v>
      </c>
      <c r="DA118" s="176"/>
    </row>
    <row r="119" spans="1:105" ht="11.45" customHeight="1" x14ac:dyDescent="0.25">
      <c r="A119" s="111" t="s">
        <v>110</v>
      </c>
      <c r="B119" s="91">
        <f>IF(TrRoad_act!B61=0,0,TrRoad_ene!B64/TrRoad_tech!B92)</f>
        <v>0.82301351475622686</v>
      </c>
      <c r="C119" s="91">
        <f>IF(TrRoad_act!C61=0,0,TrRoad_ene!C64/TrRoad_tech!C92)</f>
        <v>0.8598148281456911</v>
      </c>
      <c r="D119" s="91">
        <f>IF(TrRoad_act!D61=0,0,TrRoad_ene!D64/TrRoad_tech!D92)</f>
        <v>0.85123020394572113</v>
      </c>
      <c r="E119" s="91">
        <f>IF(TrRoad_act!E61=0,0,TrRoad_ene!E64/TrRoad_tech!E92)</f>
        <v>0.8454344385583612</v>
      </c>
      <c r="F119" s="91">
        <f>IF(TrRoad_act!F61=0,0,TrRoad_ene!F64/TrRoad_tech!F92)</f>
        <v>0.85928807768194737</v>
      </c>
      <c r="G119" s="91">
        <f>IF(TrRoad_act!G61=0,0,TrRoad_ene!G64/TrRoad_tech!G92)</f>
        <v>0.88132793726378345</v>
      </c>
      <c r="H119" s="91">
        <f>IF(TrRoad_act!H61=0,0,TrRoad_ene!H64/TrRoad_tech!H92)</f>
        <v>0.86818917228096282</v>
      </c>
      <c r="I119" s="91">
        <f>IF(TrRoad_act!I61=0,0,TrRoad_ene!I64/TrRoad_tech!I92)</f>
        <v>0.89344489217232237</v>
      </c>
      <c r="J119" s="91">
        <f>IF(TrRoad_act!J61=0,0,TrRoad_ene!J64/TrRoad_tech!J92)</f>
        <v>1.0378546701939095</v>
      </c>
      <c r="K119" s="91">
        <f>IF(TrRoad_act!K61=0,0,TrRoad_ene!K64/TrRoad_tech!K92)</f>
        <v>1.0385742918813281</v>
      </c>
      <c r="L119" s="91">
        <f>IF(TrRoad_act!L61=0,0,TrRoad_ene!L64/TrRoad_tech!L92)</f>
        <v>0.98650423179304692</v>
      </c>
      <c r="M119" s="91">
        <f>IF(TrRoad_act!M61=0,0,TrRoad_ene!M64/TrRoad_tech!M92)</f>
        <v>1.0425124345787866</v>
      </c>
      <c r="N119" s="91">
        <f>IF(TrRoad_act!N61=0,0,TrRoad_ene!N64/TrRoad_tech!N92)</f>
        <v>1.0601962492257906</v>
      </c>
      <c r="O119" s="91">
        <f>IF(TrRoad_act!O61=0,0,TrRoad_ene!O64/TrRoad_tech!O92)</f>
        <v>0.93521982613274157</v>
      </c>
      <c r="P119" s="91">
        <f>IF(TrRoad_act!P61=0,0,TrRoad_ene!P64/TrRoad_tech!P92)</f>
        <v>0.92539657052976354</v>
      </c>
      <c r="Q119" s="91">
        <f>IF(TrRoad_act!Q61=0,0,TrRoad_ene!Q64/TrRoad_tech!Q92)</f>
        <v>0.90034062142813864</v>
      </c>
      <c r="R119" s="91">
        <f>IF(TrRoad_act!R61=0,0,TrRoad_ene!R64/TrRoad_tech!R92)</f>
        <v>0.9961732806460748</v>
      </c>
      <c r="S119" s="91">
        <f>IF(TrRoad_act!S61=0,0,TrRoad_ene!S64/TrRoad_tech!S92)</f>
        <v>1.044028552843121</v>
      </c>
      <c r="T119" s="91">
        <f>IF(TrRoad_act!T61=0,0,TrRoad_ene!T64/TrRoad_tech!T92)</f>
        <v>1.0467123830032097</v>
      </c>
      <c r="U119" s="91">
        <f>IF(TrRoad_act!U61=0,0,TrRoad_ene!U64/TrRoad_tech!U92)</f>
        <v>1.0503376678462819</v>
      </c>
      <c r="V119" s="91">
        <f>IF(TrRoad_act!V61=0,0,TrRoad_ene!V64/TrRoad_tech!V92)</f>
        <v>1.050977258834789</v>
      </c>
      <c r="W119" s="91">
        <f>IF(TrRoad_act!W61=0,0,TrRoad_ene!W64/TrRoad_tech!W92)</f>
        <v>1.0525401159231791</v>
      </c>
      <c r="X119" s="91">
        <f>IF(TrRoad_act!X61=0,0,TrRoad_ene!X64/TrRoad_tech!X92)</f>
        <v>1.059711567253371</v>
      </c>
      <c r="Y119" s="91">
        <f>IF(TrRoad_act!Y61=0,0,TrRoad_ene!Y64/TrRoad_tech!Y92)</f>
        <v>1.0627697564700693</v>
      </c>
      <c r="DA119" s="171"/>
    </row>
    <row r="120" spans="1:105" ht="11.45" customHeight="1" x14ac:dyDescent="0.25">
      <c r="A120" s="111" t="s">
        <v>111</v>
      </c>
      <c r="B120" s="91">
        <f>IF(TrRoad_act!B62=0,0,TrRoad_ene!B65/TrRoad_tech!B93)</f>
        <v>0.83499834534979511</v>
      </c>
      <c r="C120" s="91">
        <f>IF(TrRoad_act!C62=0,0,TrRoad_ene!C65/TrRoad_tech!C93)</f>
        <v>0.93882099631112792</v>
      </c>
      <c r="D120" s="91">
        <f>IF(TrRoad_act!D62=0,0,TrRoad_ene!D65/TrRoad_tech!D93)</f>
        <v>0.94063544980582015</v>
      </c>
      <c r="E120" s="91">
        <f>IF(TrRoad_act!E62=0,0,TrRoad_ene!E65/TrRoad_tech!E93)</f>
        <v>0.86088402763547545</v>
      </c>
      <c r="F120" s="91">
        <f>IF(TrRoad_act!F62=0,0,TrRoad_ene!F65/TrRoad_tech!F93)</f>
        <v>0.86111292579821264</v>
      </c>
      <c r="G120" s="91">
        <f>IF(TrRoad_act!G62=0,0,TrRoad_ene!G65/TrRoad_tech!G93)</f>
        <v>0.86913318103711545</v>
      </c>
      <c r="H120" s="91">
        <f>IF(TrRoad_act!H62=0,0,TrRoad_ene!H65/TrRoad_tech!H93)</f>
        <v>0.92855979358931306</v>
      </c>
      <c r="I120" s="91">
        <f>IF(TrRoad_act!I62=0,0,TrRoad_ene!I65/TrRoad_tech!I93)</f>
        <v>0.82860301997260655</v>
      </c>
      <c r="J120" s="91">
        <f>IF(TrRoad_act!J62=0,0,TrRoad_ene!J65/TrRoad_tech!J93)</f>
        <v>0.88613068926540228</v>
      </c>
      <c r="K120" s="91">
        <f>IF(TrRoad_act!K62=0,0,TrRoad_ene!K65/TrRoad_tech!K93)</f>
        <v>0.89839521385352727</v>
      </c>
      <c r="L120" s="91">
        <f>IF(TrRoad_act!L62=0,0,TrRoad_ene!L65/TrRoad_tech!L93)</f>
        <v>0.88237376195502981</v>
      </c>
      <c r="M120" s="91">
        <f>IF(TrRoad_act!M62=0,0,TrRoad_ene!M65/TrRoad_tech!M93)</f>
        <v>0.85885078763831146</v>
      </c>
      <c r="N120" s="91">
        <f>IF(TrRoad_act!N62=0,0,TrRoad_ene!N65/TrRoad_tech!N93)</f>
        <v>0.9018236333904921</v>
      </c>
      <c r="O120" s="91">
        <f>IF(TrRoad_act!O62=0,0,TrRoad_ene!O65/TrRoad_tech!O93)</f>
        <v>0.84928262179175984</v>
      </c>
      <c r="P120" s="91">
        <f>IF(TrRoad_act!P62=0,0,TrRoad_ene!P65/TrRoad_tech!P93)</f>
        <v>0.86693953417175773</v>
      </c>
      <c r="Q120" s="91">
        <f>IF(TrRoad_act!Q62=0,0,TrRoad_ene!Q65/TrRoad_tech!Q93)</f>
        <v>0.85605927822173566</v>
      </c>
      <c r="R120" s="91">
        <f>IF(TrRoad_act!R62=0,0,TrRoad_ene!R65/TrRoad_tech!R93)</f>
        <v>0.87759791575071189</v>
      </c>
      <c r="S120" s="91">
        <f>IF(TrRoad_act!S62=0,0,TrRoad_ene!S65/TrRoad_tech!S93)</f>
        <v>0.95671461335797947</v>
      </c>
      <c r="T120" s="91">
        <f>IF(TrRoad_act!T62=0,0,TrRoad_ene!T65/TrRoad_tech!T93)</f>
        <v>0.96590245189253565</v>
      </c>
      <c r="U120" s="91">
        <f>IF(TrRoad_act!U62=0,0,TrRoad_ene!U65/TrRoad_tech!U93)</f>
        <v>0.94231856872654873</v>
      </c>
      <c r="V120" s="91">
        <f>IF(TrRoad_act!V62=0,0,TrRoad_ene!V65/TrRoad_tech!V93)</f>
        <v>1.0715532668569052</v>
      </c>
      <c r="W120" s="91">
        <f>IF(TrRoad_act!W62=0,0,TrRoad_ene!W65/TrRoad_tech!W93)</f>
        <v>1.0721528850138826</v>
      </c>
      <c r="X120" s="91">
        <f>IF(TrRoad_act!X62=0,0,TrRoad_ene!X65/TrRoad_tech!X93)</f>
        <v>1.0888605401040343</v>
      </c>
      <c r="Y120" s="91">
        <f>IF(TrRoad_act!Y62=0,0,TrRoad_ene!Y65/TrRoad_tech!Y93)</f>
        <v>1.093269905090221</v>
      </c>
      <c r="DA120" s="171"/>
    </row>
    <row r="121" spans="1:105" ht="11.45" customHeight="1" x14ac:dyDescent="0.25">
      <c r="A121" s="111" t="s">
        <v>112</v>
      </c>
      <c r="B121" s="91">
        <f>IF(TrRoad_act!B63=0,0,TrRoad_ene!B66/TrRoad_tech!B94)</f>
        <v>0</v>
      </c>
      <c r="C121" s="91">
        <f>IF(TrRoad_act!C63=0,0,TrRoad_ene!C66/TrRoad_tech!C94)</f>
        <v>0</v>
      </c>
      <c r="D121" s="91">
        <f>IF(TrRoad_act!D63=0,0,TrRoad_ene!D66/TrRoad_tech!D94)</f>
        <v>1.0306963566539493</v>
      </c>
      <c r="E121" s="91">
        <f>IF(TrRoad_act!E63=0,0,TrRoad_ene!E66/TrRoad_tech!E94)</f>
        <v>0.92871341743650282</v>
      </c>
      <c r="F121" s="91">
        <f>IF(TrRoad_act!F63=0,0,TrRoad_ene!F66/TrRoad_tech!F94)</f>
        <v>4.425277953453481</v>
      </c>
      <c r="G121" s="91">
        <f>IF(TrRoad_act!G63=0,0,TrRoad_ene!G66/TrRoad_tech!G94)</f>
        <v>2.6483035330790563</v>
      </c>
      <c r="H121" s="91">
        <f>IF(TrRoad_act!H63=0,0,TrRoad_ene!H66/TrRoad_tech!H94)</f>
        <v>0.88404552283291105</v>
      </c>
      <c r="I121" s="91">
        <f>IF(TrRoad_act!I63=0,0,TrRoad_ene!I66/TrRoad_tech!I94)</f>
        <v>1.2227528642408678</v>
      </c>
      <c r="J121" s="91">
        <f>IF(TrRoad_act!J63=0,0,TrRoad_ene!J66/TrRoad_tech!J94)</f>
        <v>1.9259963172319077</v>
      </c>
      <c r="K121" s="91">
        <f>IF(TrRoad_act!K63=0,0,TrRoad_ene!K66/TrRoad_tech!K94)</f>
        <v>3.152403096918591</v>
      </c>
      <c r="L121" s="91">
        <f>IF(TrRoad_act!L63=0,0,TrRoad_ene!L66/TrRoad_tech!L94)</f>
        <v>0.91870316984590827</v>
      </c>
      <c r="M121" s="91">
        <f>IF(TrRoad_act!M63=0,0,TrRoad_ene!M66/TrRoad_tech!M94)</f>
        <v>1.2315212237039301</v>
      </c>
      <c r="N121" s="91">
        <f>IF(TrRoad_act!N63=0,0,TrRoad_ene!N66/TrRoad_tech!N94)</f>
        <v>0.96941364133955332</v>
      </c>
      <c r="O121" s="91">
        <f>IF(TrRoad_act!O63=0,0,TrRoad_ene!O66/TrRoad_tech!O94)</f>
        <v>0.96865086436059178</v>
      </c>
      <c r="P121" s="91">
        <f>IF(TrRoad_act!P63=0,0,TrRoad_ene!P66/TrRoad_tech!P94)</f>
        <v>0.96862461085624452</v>
      </c>
      <c r="Q121" s="91">
        <f>IF(TrRoad_act!Q63=0,0,TrRoad_ene!Q66/TrRoad_tech!Q94)</f>
        <v>0.86600168467474226</v>
      </c>
      <c r="R121" s="91">
        <f>IF(TrRoad_act!R63=0,0,TrRoad_ene!R66/TrRoad_tech!R94)</f>
        <v>1.0372003547036099</v>
      </c>
      <c r="S121" s="91">
        <f>IF(TrRoad_act!S63=0,0,TrRoad_ene!S66/TrRoad_tech!S94)</f>
        <v>1.0467751596077195</v>
      </c>
      <c r="T121" s="91">
        <f>IF(TrRoad_act!T63=0,0,TrRoad_ene!T66/TrRoad_tech!T94)</f>
        <v>1.0503169801142118</v>
      </c>
      <c r="U121" s="91">
        <f>IF(TrRoad_act!U63=0,0,TrRoad_ene!U66/TrRoad_tech!U94)</f>
        <v>1.0549085343548621</v>
      </c>
      <c r="V121" s="91">
        <f>IF(TrRoad_act!V63=0,0,TrRoad_ene!V66/TrRoad_tech!V94)</f>
        <v>0.89042085848030794</v>
      </c>
      <c r="W121" s="91">
        <f>IF(TrRoad_act!W63=0,0,TrRoad_ene!W66/TrRoad_tech!W94)</f>
        <v>0.72870359614748281</v>
      </c>
      <c r="X121" s="91">
        <f>IF(TrRoad_act!X63=0,0,TrRoad_ene!X66/TrRoad_tech!X94)</f>
        <v>0.72395752807135216</v>
      </c>
      <c r="Y121" s="91">
        <f>IF(TrRoad_act!Y63=0,0,TrRoad_ene!Y66/TrRoad_tech!Y94)</f>
        <v>0.65991371144450461</v>
      </c>
      <c r="DA121" s="171"/>
    </row>
    <row r="122" spans="1:105" ht="11.45" customHeight="1" x14ac:dyDescent="0.25">
      <c r="A122" s="111" t="s">
        <v>113</v>
      </c>
      <c r="B122" s="91">
        <f>IF(TrRoad_act!B64=0,0,TrRoad_ene!B67/TrRoad_tech!B95)</f>
        <v>0</v>
      </c>
      <c r="C122" s="91">
        <f>IF(TrRoad_act!C64=0,0,TrRoad_ene!C67/TrRoad_tech!C95)</f>
        <v>0</v>
      </c>
      <c r="D122" s="91">
        <f>IF(TrRoad_act!D64=0,0,TrRoad_ene!D67/TrRoad_tech!D95)</f>
        <v>0</v>
      </c>
      <c r="E122" s="91">
        <f>IF(TrRoad_act!E64=0,0,TrRoad_ene!E67/TrRoad_tech!E95)</f>
        <v>0</v>
      </c>
      <c r="F122" s="91">
        <f>IF(TrRoad_act!F64=0,0,TrRoad_ene!F67/TrRoad_tech!F95)</f>
        <v>0</v>
      </c>
      <c r="G122" s="91">
        <f>IF(TrRoad_act!G64=0,0,TrRoad_ene!G67/TrRoad_tech!G95)</f>
        <v>0</v>
      </c>
      <c r="H122" s="91">
        <f>IF(TrRoad_act!H64=0,0,TrRoad_ene!H67/TrRoad_tech!H95)</f>
        <v>0</v>
      </c>
      <c r="I122" s="91">
        <f>IF(TrRoad_act!I64=0,0,TrRoad_ene!I67/TrRoad_tech!I95)</f>
        <v>0</v>
      </c>
      <c r="J122" s="91">
        <f>IF(TrRoad_act!J64=0,0,TrRoad_ene!J67/TrRoad_tech!J95)</f>
        <v>0</v>
      </c>
      <c r="K122" s="91">
        <f>IF(TrRoad_act!K64=0,0,TrRoad_ene!K67/TrRoad_tech!K95)</f>
        <v>0</v>
      </c>
      <c r="L122" s="91">
        <f>IF(TrRoad_act!L64=0,0,TrRoad_ene!L67/TrRoad_tech!L95)</f>
        <v>0</v>
      </c>
      <c r="M122" s="91">
        <f>IF(TrRoad_act!M64=0,0,TrRoad_ene!M67/TrRoad_tech!M95)</f>
        <v>0</v>
      </c>
      <c r="N122" s="91">
        <f>IF(TrRoad_act!N64=0,0,TrRoad_ene!N67/TrRoad_tech!N95)</f>
        <v>0</v>
      </c>
      <c r="O122" s="91">
        <f>IF(TrRoad_act!O64=0,0,TrRoad_ene!O67/TrRoad_tech!O95)</f>
        <v>0</v>
      </c>
      <c r="P122" s="91">
        <f>IF(TrRoad_act!P64=0,0,TrRoad_ene!P67/TrRoad_tech!P95)</f>
        <v>0</v>
      </c>
      <c r="Q122" s="91">
        <f>IF(TrRoad_act!Q64=0,0,TrRoad_ene!Q67/TrRoad_tech!Q95)</f>
        <v>0</v>
      </c>
      <c r="R122" s="91">
        <f>IF(TrRoad_act!R64=0,0,TrRoad_ene!R67/TrRoad_tech!R95)</f>
        <v>0</v>
      </c>
      <c r="S122" s="91">
        <f>IF(TrRoad_act!S64=0,0,TrRoad_ene!S67/TrRoad_tech!S95)</f>
        <v>0</v>
      </c>
      <c r="T122" s="91">
        <f>IF(TrRoad_act!T64=0,0,TrRoad_ene!T67/TrRoad_tech!T95)</f>
        <v>0</v>
      </c>
      <c r="U122" s="91">
        <f>IF(TrRoad_act!U64=0,0,TrRoad_ene!U67/TrRoad_tech!U95)</f>
        <v>0</v>
      </c>
      <c r="V122" s="91">
        <f>IF(TrRoad_act!V64=0,0,TrRoad_ene!V67/TrRoad_tech!V95)</f>
        <v>0</v>
      </c>
      <c r="W122" s="91">
        <f>IF(TrRoad_act!W64=0,0,TrRoad_ene!W67/TrRoad_tech!W95)</f>
        <v>0</v>
      </c>
      <c r="X122" s="91">
        <f>IF(TrRoad_act!X64=0,0,TrRoad_ene!X67/TrRoad_tech!X95)</f>
        <v>0</v>
      </c>
      <c r="Y122" s="91">
        <f>IF(TrRoad_act!Y64=0,0,TrRoad_ene!Y67/TrRoad_tech!Y95)</f>
        <v>0</v>
      </c>
      <c r="DA122" s="171"/>
    </row>
    <row r="123" spans="1:105" ht="11.45" customHeight="1" x14ac:dyDescent="0.25">
      <c r="A123" s="111" t="s">
        <v>114</v>
      </c>
      <c r="B123" s="91">
        <f>IF(TrRoad_act!B65=0,0,TrRoad_ene!B68/TrRoad_tech!B96)</f>
        <v>0</v>
      </c>
      <c r="C123" s="91">
        <f>IF(TrRoad_act!C65=0,0,TrRoad_ene!C68/TrRoad_tech!C96)</f>
        <v>0</v>
      </c>
      <c r="D123" s="91">
        <f>IF(TrRoad_act!D65=0,0,TrRoad_ene!D68/TrRoad_tech!D96)</f>
        <v>0</v>
      </c>
      <c r="E123" s="91">
        <f>IF(TrRoad_act!E65=0,0,TrRoad_ene!E68/TrRoad_tech!E96)</f>
        <v>0</v>
      </c>
      <c r="F123" s="91">
        <f>IF(TrRoad_act!F65=0,0,TrRoad_ene!F68/TrRoad_tech!F96)</f>
        <v>0</v>
      </c>
      <c r="G123" s="91">
        <f>IF(TrRoad_act!G65=0,0,TrRoad_ene!G68/TrRoad_tech!G96)</f>
        <v>0</v>
      </c>
      <c r="H123" s="91">
        <f>IF(TrRoad_act!H65=0,0,TrRoad_ene!H68/TrRoad_tech!H96)</f>
        <v>0</v>
      </c>
      <c r="I123" s="91">
        <f>IF(TrRoad_act!I65=0,0,TrRoad_ene!I68/TrRoad_tech!I96)</f>
        <v>0</v>
      </c>
      <c r="J123" s="91">
        <f>IF(TrRoad_act!J65=0,0,TrRoad_ene!J68/TrRoad_tech!J96)</f>
        <v>0</v>
      </c>
      <c r="K123" s="91">
        <f>IF(TrRoad_act!K65=0,0,TrRoad_ene!K68/TrRoad_tech!K96)</f>
        <v>0</v>
      </c>
      <c r="L123" s="91">
        <f>IF(TrRoad_act!L65=0,0,TrRoad_ene!L68/TrRoad_tech!L96)</f>
        <v>0</v>
      </c>
      <c r="M123" s="91">
        <f>IF(TrRoad_act!M65=0,0,TrRoad_ene!M68/TrRoad_tech!M96)</f>
        <v>0</v>
      </c>
      <c r="N123" s="91">
        <f>IF(TrRoad_act!N65=0,0,TrRoad_ene!N68/TrRoad_tech!N96)</f>
        <v>1.0868580120722813</v>
      </c>
      <c r="O123" s="91">
        <f>IF(TrRoad_act!O65=0,0,TrRoad_ene!O68/TrRoad_tech!O96)</f>
        <v>0.97826035801882316</v>
      </c>
      <c r="P123" s="91">
        <f>IF(TrRoad_act!P65=0,0,TrRoad_ene!P68/TrRoad_tech!P96)</f>
        <v>0.97039246161988757</v>
      </c>
      <c r="Q123" s="91">
        <f>IF(TrRoad_act!Q65=0,0,TrRoad_ene!Q68/TrRoad_tech!Q96)</f>
        <v>0.95281618353761754</v>
      </c>
      <c r="R123" s="91">
        <f>IF(TrRoad_act!R65=0,0,TrRoad_ene!R68/TrRoad_tech!R96)</f>
        <v>1.0558541640736172</v>
      </c>
      <c r="S123" s="91">
        <f>IF(TrRoad_act!S65=0,0,TrRoad_ene!S68/TrRoad_tech!S96)</f>
        <v>1.0902074592304534</v>
      </c>
      <c r="T123" s="91">
        <f>IF(TrRoad_act!T65=0,0,TrRoad_ene!T68/TrRoad_tech!T96)</f>
        <v>1.0930263641013411</v>
      </c>
      <c r="U123" s="91">
        <f>IF(TrRoad_act!U65=0,0,TrRoad_ene!U68/TrRoad_tech!U96)</f>
        <v>1.0958587786082563</v>
      </c>
      <c r="V123" s="91">
        <f>IF(TrRoad_act!V65=0,0,TrRoad_ene!V68/TrRoad_tech!V96)</f>
        <v>1.0956050216658495</v>
      </c>
      <c r="W123" s="91">
        <f>IF(TrRoad_act!W65=0,0,TrRoad_ene!W68/TrRoad_tech!W96)</f>
        <v>1.0959564898452565</v>
      </c>
      <c r="X123" s="91">
        <f>IF(TrRoad_act!X65=0,0,TrRoad_ene!X68/TrRoad_tech!X96)</f>
        <v>1.0986114345772202</v>
      </c>
      <c r="Y123" s="91">
        <f>IF(TrRoad_act!Y65=0,0,TrRoad_ene!Y68/TrRoad_tech!Y96)</f>
        <v>1.0994191018954367</v>
      </c>
      <c r="DA123" s="171"/>
    </row>
    <row r="124" spans="1:105" ht="11.45" customHeight="1" x14ac:dyDescent="0.25">
      <c r="A124" s="111" t="s">
        <v>115</v>
      </c>
      <c r="B124" s="91">
        <f>IF(TrRoad_act!B66=0,0,TrRoad_ene!B69/TrRoad_tech!B97)</f>
        <v>0</v>
      </c>
      <c r="C124" s="91">
        <f>IF(TrRoad_act!C66=0,0,TrRoad_ene!C69/TrRoad_tech!C97)</f>
        <v>0</v>
      </c>
      <c r="D124" s="91">
        <f>IF(TrRoad_act!D66=0,0,TrRoad_ene!D69/TrRoad_tech!D97)</f>
        <v>0</v>
      </c>
      <c r="E124" s="91">
        <f>IF(TrRoad_act!E66=0,0,TrRoad_ene!E69/TrRoad_tech!E97)</f>
        <v>0</v>
      </c>
      <c r="F124" s="91">
        <f>IF(TrRoad_act!F66=0,0,TrRoad_ene!F69/TrRoad_tech!F97)</f>
        <v>0</v>
      </c>
      <c r="G124" s="91">
        <f>IF(TrRoad_act!G66=0,0,TrRoad_ene!G69/TrRoad_tech!G97)</f>
        <v>0</v>
      </c>
      <c r="H124" s="91">
        <f>IF(TrRoad_act!H66=0,0,TrRoad_ene!H69/TrRoad_tech!H97)</f>
        <v>0</v>
      </c>
      <c r="I124" s="91">
        <f>IF(TrRoad_act!I66=0,0,TrRoad_ene!I69/TrRoad_tech!I97)</f>
        <v>0</v>
      </c>
      <c r="J124" s="91">
        <f>IF(TrRoad_act!J66=0,0,TrRoad_ene!J69/TrRoad_tech!J97)</f>
        <v>0</v>
      </c>
      <c r="K124" s="91">
        <f>IF(TrRoad_act!K66=0,0,TrRoad_ene!K69/TrRoad_tech!K97)</f>
        <v>1.0511111111157001</v>
      </c>
      <c r="L124" s="91">
        <f>IF(TrRoad_act!L66=0,0,TrRoad_ene!L69/TrRoad_tech!L97)</f>
        <v>1.0555325352420659</v>
      </c>
      <c r="M124" s="91">
        <f>IF(TrRoad_act!M66=0,0,TrRoad_ene!M69/TrRoad_tech!M97)</f>
        <v>1.058493171638194</v>
      </c>
      <c r="N124" s="91">
        <f>IF(TrRoad_act!N66=0,0,TrRoad_ene!N69/TrRoad_tech!N97)</f>
        <v>1.06190339452566</v>
      </c>
      <c r="O124" s="91">
        <f>IF(TrRoad_act!O66=0,0,TrRoad_ene!O69/TrRoad_tech!O97)</f>
        <v>1.0641481005323004</v>
      </c>
      <c r="P124" s="91">
        <f>IF(TrRoad_act!P66=0,0,TrRoad_ene!P69/TrRoad_tech!P97)</f>
        <v>1.0660738829154219</v>
      </c>
      <c r="Q124" s="91">
        <f>IF(TrRoad_act!Q66=0,0,TrRoad_ene!Q69/TrRoad_tech!Q97)</f>
        <v>1.0678895414045688</v>
      </c>
      <c r="R124" s="91">
        <f>IF(TrRoad_act!R66=0,0,TrRoad_ene!R69/TrRoad_tech!R97)</f>
        <v>1.0707507457546981</v>
      </c>
      <c r="S124" s="91">
        <f>IF(TrRoad_act!S66=0,0,TrRoad_ene!S69/TrRoad_tech!S97)</f>
        <v>1.0744945107510788</v>
      </c>
      <c r="T124" s="91">
        <f>IF(TrRoad_act!T66=0,0,TrRoad_ene!T69/TrRoad_tech!T97)</f>
        <v>1.0806666760759545</v>
      </c>
      <c r="U124" s="91">
        <f>IF(TrRoad_act!U66=0,0,TrRoad_ene!U69/TrRoad_tech!U97)</f>
        <v>1.0887929245856955</v>
      </c>
      <c r="V124" s="91">
        <f>IF(TrRoad_act!V66=0,0,TrRoad_ene!V69/TrRoad_tech!V97)</f>
        <v>1.0963731332684883</v>
      </c>
      <c r="W124" s="91">
        <f>IF(TrRoad_act!W66=0,0,TrRoad_ene!W69/TrRoad_tech!W97)</f>
        <v>1.0977965517610648</v>
      </c>
      <c r="X124" s="91">
        <f>IF(TrRoad_act!X66=0,0,TrRoad_ene!X69/TrRoad_tech!X97)</f>
        <v>1.098815791524111</v>
      </c>
      <c r="Y124" s="91">
        <f>IF(TrRoad_act!Y66=0,0,TrRoad_ene!Y69/TrRoad_tech!Y97)</f>
        <v>1.099565816353778</v>
      </c>
      <c r="DA124" s="171"/>
    </row>
    <row r="125" spans="1:105" ht="11.45" customHeight="1" x14ac:dyDescent="0.25">
      <c r="A125" s="109" t="s">
        <v>21</v>
      </c>
      <c r="B125" s="151">
        <f>IF(TrRoad_act!B67=0,0,TrRoad_ene!B70/TrRoad_tech!B98)</f>
        <v>1.0633830720840716</v>
      </c>
      <c r="C125" s="151">
        <f>IF(TrRoad_act!C67=0,0,TrRoad_ene!C70/TrRoad_tech!C98)</f>
        <v>1.1509927782493472</v>
      </c>
      <c r="D125" s="151">
        <f>IF(TrRoad_act!D67=0,0,TrRoad_ene!D70/TrRoad_tech!D98)</f>
        <v>1.1685459536294762</v>
      </c>
      <c r="E125" s="151">
        <f>IF(TrRoad_act!E67=0,0,TrRoad_ene!E70/TrRoad_tech!E98)</f>
        <v>1.157047778709468</v>
      </c>
      <c r="F125" s="151">
        <f>IF(TrRoad_act!F67=0,0,TrRoad_ene!F70/TrRoad_tech!F98)</f>
        <v>1.0928740011243063</v>
      </c>
      <c r="G125" s="151">
        <f>IF(TrRoad_act!G67=0,0,TrRoad_ene!G70/TrRoad_tech!G98)</f>
        <v>1.0203230617229879</v>
      </c>
      <c r="H125" s="151">
        <f>IF(TrRoad_act!H67=0,0,TrRoad_ene!H70/TrRoad_tech!H98)</f>
        <v>1.067720837195848</v>
      </c>
      <c r="I125" s="151">
        <f>IF(TrRoad_act!I67=0,0,TrRoad_ene!I70/TrRoad_tech!I98)</f>
        <v>1.0183552443564126</v>
      </c>
      <c r="J125" s="151">
        <f>IF(TrRoad_act!J67=0,0,TrRoad_ene!J70/TrRoad_tech!J98)</f>
        <v>1.0599010777078222</v>
      </c>
      <c r="K125" s="151">
        <f>IF(TrRoad_act!K67=0,0,TrRoad_ene!K70/TrRoad_tech!K98)</f>
        <v>1.0942846888714073</v>
      </c>
      <c r="L125" s="151">
        <f>IF(TrRoad_act!L67=0,0,TrRoad_ene!L70/TrRoad_tech!L98)</f>
        <v>1.1062981791532707</v>
      </c>
      <c r="M125" s="151">
        <f>IF(TrRoad_act!M67=0,0,TrRoad_ene!M70/TrRoad_tech!M98)</f>
        <v>1.1155786980791338</v>
      </c>
      <c r="N125" s="151">
        <f>IF(TrRoad_act!N67=0,0,TrRoad_ene!N70/TrRoad_tech!N98)</f>
        <v>1.1304636029930561</v>
      </c>
      <c r="O125" s="151">
        <f>IF(TrRoad_act!O67=0,0,TrRoad_ene!O70/TrRoad_tech!O98)</f>
        <v>1.1278821841200688</v>
      </c>
      <c r="P125" s="151">
        <f>IF(TrRoad_act!P67=0,0,TrRoad_ene!P70/TrRoad_tech!P98)</f>
        <v>1.1391023347871496</v>
      </c>
      <c r="Q125" s="151">
        <f>IF(TrRoad_act!Q67=0,0,TrRoad_ene!Q70/TrRoad_tech!Q98)</f>
        <v>1.1474027067120383</v>
      </c>
      <c r="R125" s="151">
        <f>IF(TrRoad_act!R67=0,0,TrRoad_ene!R70/TrRoad_tech!R98)</f>
        <v>1.170566667388256</v>
      </c>
      <c r="S125" s="151">
        <f>IF(TrRoad_act!S67=0,0,TrRoad_ene!S70/TrRoad_tech!S98)</f>
        <v>1.2117174991810795</v>
      </c>
      <c r="T125" s="151">
        <f>IF(TrRoad_act!T67=0,0,TrRoad_ene!T70/TrRoad_tech!T98)</f>
        <v>1.2145313288377007</v>
      </c>
      <c r="U125" s="151">
        <f>IF(TrRoad_act!U67=0,0,TrRoad_ene!U70/TrRoad_tech!U98)</f>
        <v>1.2168202329315634</v>
      </c>
      <c r="V125" s="151">
        <f>IF(TrRoad_act!V67=0,0,TrRoad_ene!V70/TrRoad_tech!V98)</f>
        <v>1.2638527497452554</v>
      </c>
      <c r="W125" s="151">
        <f>IF(TrRoad_act!W67=0,0,TrRoad_ene!W70/TrRoad_tech!W98)</f>
        <v>1.26638022690772</v>
      </c>
      <c r="X125" s="151">
        <f>IF(TrRoad_act!X67=0,0,TrRoad_ene!X70/TrRoad_tech!X98)</f>
        <v>1.3012356934779148</v>
      </c>
      <c r="Y125" s="151">
        <f>IF(TrRoad_act!Y67=0,0,TrRoad_ene!Y70/TrRoad_tech!Y98)</f>
        <v>1.3095381930535532</v>
      </c>
      <c r="DA125" s="176"/>
    </row>
    <row r="126" spans="1:105" ht="11.45" customHeight="1" x14ac:dyDescent="0.25">
      <c r="A126" s="111" t="s">
        <v>110</v>
      </c>
      <c r="B126" s="93">
        <f>IF(TrRoad_act!B68=0,0,TrRoad_ene!B71/TrRoad_tech!B99)</f>
        <v>0</v>
      </c>
      <c r="C126" s="93">
        <f>IF(TrRoad_act!C68=0,0,TrRoad_ene!C71/TrRoad_tech!C99)</f>
        <v>0</v>
      </c>
      <c r="D126" s="93">
        <f>IF(TrRoad_act!D68=0,0,TrRoad_ene!D71/TrRoad_tech!D99)</f>
        <v>0</v>
      </c>
      <c r="E126" s="93">
        <f>IF(TrRoad_act!E68=0,0,TrRoad_ene!E71/TrRoad_tech!E99)</f>
        <v>0</v>
      </c>
      <c r="F126" s="93">
        <f>IF(TrRoad_act!F68=0,0,TrRoad_ene!F71/TrRoad_tech!F99)</f>
        <v>0</v>
      </c>
      <c r="G126" s="93">
        <f>IF(TrRoad_act!G68=0,0,TrRoad_ene!G71/TrRoad_tech!G99)</f>
        <v>0</v>
      </c>
      <c r="H126" s="93">
        <f>IF(TrRoad_act!H68=0,0,TrRoad_ene!H71/TrRoad_tech!H99)</f>
        <v>0</v>
      </c>
      <c r="I126" s="93">
        <f>IF(TrRoad_act!I68=0,0,TrRoad_ene!I71/TrRoad_tech!I99)</f>
        <v>0</v>
      </c>
      <c r="J126" s="93">
        <f>IF(TrRoad_act!J68=0,0,TrRoad_ene!J71/TrRoad_tech!J99)</f>
        <v>1.1693333333396372</v>
      </c>
      <c r="K126" s="93">
        <f>IF(TrRoad_act!K68=0,0,TrRoad_ene!K71/TrRoad_tech!K99)</f>
        <v>1.1693333333396372</v>
      </c>
      <c r="L126" s="93">
        <f>IF(TrRoad_act!L68=0,0,TrRoad_ene!L71/TrRoad_tech!L99)</f>
        <v>1.1696891140760171</v>
      </c>
      <c r="M126" s="93">
        <f>IF(TrRoad_act!M68=0,0,TrRoad_ene!M71/TrRoad_tech!M99)</f>
        <v>1.1699679945163888</v>
      </c>
      <c r="N126" s="93">
        <f>IF(TrRoad_act!N68=0,0,TrRoad_ene!N71/TrRoad_tech!N99)</f>
        <v>1.1699795388330043</v>
      </c>
      <c r="O126" s="93">
        <f>IF(TrRoad_act!O68=0,0,TrRoad_ene!O71/TrRoad_tech!O99)</f>
        <v>1.1699956007894299</v>
      </c>
      <c r="P126" s="93">
        <f>IF(TrRoad_act!P68=0,0,TrRoad_ene!P71/TrRoad_tech!P99)</f>
        <v>1.1700168370823845</v>
      </c>
      <c r="Q126" s="93">
        <f>IF(TrRoad_act!Q68=0,0,TrRoad_ene!Q71/TrRoad_tech!Q99)</f>
        <v>1.1700489634743267</v>
      </c>
      <c r="R126" s="93">
        <f>IF(TrRoad_act!R68=0,0,TrRoad_ene!R71/TrRoad_tech!R99)</f>
        <v>1.1700842588590428</v>
      </c>
      <c r="S126" s="93">
        <f>IF(TrRoad_act!S68=0,0,TrRoad_ene!S71/TrRoad_tech!S99)</f>
        <v>1.1701232164532303</v>
      </c>
      <c r="T126" s="93">
        <f>IF(TrRoad_act!T68=0,0,TrRoad_ene!T71/TrRoad_tech!T99)</f>
        <v>1.1701796688379065</v>
      </c>
      <c r="U126" s="93">
        <f>IF(TrRoad_act!U68=0,0,TrRoad_ene!U71/TrRoad_tech!U99)</f>
        <v>1.1702146621395029</v>
      </c>
      <c r="V126" s="93">
        <f>IF(TrRoad_act!V68=0,0,TrRoad_ene!V71/TrRoad_tech!V99)</f>
        <v>1.1702220109422967</v>
      </c>
      <c r="W126" s="93">
        <f>IF(TrRoad_act!W68=0,0,TrRoad_ene!W71/TrRoad_tech!W99)</f>
        <v>1.1702448115367732</v>
      </c>
      <c r="X126" s="93">
        <f>IF(TrRoad_act!X68=0,0,TrRoad_ene!X71/TrRoad_tech!X99)</f>
        <v>1.1769779510615266</v>
      </c>
      <c r="Y126" s="93">
        <f>IF(TrRoad_act!Y68=0,0,TrRoad_ene!Y71/TrRoad_tech!Y99)</f>
        <v>1.1770415446040068</v>
      </c>
      <c r="DA126" s="175"/>
    </row>
    <row r="127" spans="1:105" ht="11.45" customHeight="1" x14ac:dyDescent="0.25">
      <c r="A127" s="111" t="s">
        <v>111</v>
      </c>
      <c r="B127" s="93">
        <f>IF(TrRoad_act!B69=0,0,TrRoad_ene!B72/TrRoad_tech!B100)</f>
        <v>1.0633830720840716</v>
      </c>
      <c r="C127" s="93">
        <f>IF(TrRoad_act!C69=0,0,TrRoad_ene!C72/TrRoad_tech!C100)</f>
        <v>1.1611891542790602</v>
      </c>
      <c r="D127" s="93">
        <f>IF(TrRoad_act!D69=0,0,TrRoad_ene!D72/TrRoad_tech!D100)</f>
        <v>1.1804034695045378</v>
      </c>
      <c r="E127" s="93">
        <f>IF(TrRoad_act!E69=0,0,TrRoad_ene!E72/TrRoad_tech!E100)</f>
        <v>1.1755180424552381</v>
      </c>
      <c r="F127" s="93">
        <f>IF(TrRoad_act!F69=0,0,TrRoad_ene!F72/TrRoad_tech!F100)</f>
        <v>1.1202354272194421</v>
      </c>
      <c r="G127" s="93">
        <f>IF(TrRoad_act!G69=0,0,TrRoad_ene!G72/TrRoad_tech!G100)</f>
        <v>1.0472761508879826</v>
      </c>
      <c r="H127" s="93">
        <f>IF(TrRoad_act!H69=0,0,TrRoad_ene!H72/TrRoad_tech!H100)</f>
        <v>1.0995805072547762</v>
      </c>
      <c r="I127" s="93">
        <f>IF(TrRoad_act!I69=0,0,TrRoad_ene!I72/TrRoad_tech!I100)</f>
        <v>1.0496042622074613</v>
      </c>
      <c r="J127" s="93">
        <f>IF(TrRoad_act!J69=0,0,TrRoad_ene!J72/TrRoad_tech!J100)</f>
        <v>1.0922447995231368</v>
      </c>
      <c r="K127" s="93">
        <f>IF(TrRoad_act!K69=0,0,TrRoad_ene!K72/TrRoad_tech!K100)</f>
        <v>1.1243234405106655</v>
      </c>
      <c r="L127" s="93">
        <f>IF(TrRoad_act!L69=0,0,TrRoad_ene!L72/TrRoad_tech!L100)</f>
        <v>1.1317285622941835</v>
      </c>
      <c r="M127" s="93">
        <f>IF(TrRoad_act!M69=0,0,TrRoad_ene!M72/TrRoad_tech!M100)</f>
        <v>1.1352644287337805</v>
      </c>
      <c r="N127" s="93">
        <f>IF(TrRoad_act!N69=0,0,TrRoad_ene!N72/TrRoad_tech!N100)</f>
        <v>1.1434310774997332</v>
      </c>
      <c r="O127" s="93">
        <f>IF(TrRoad_act!O69=0,0,TrRoad_ene!O72/TrRoad_tech!O100)</f>
        <v>1.1334518686846597</v>
      </c>
      <c r="P127" s="93">
        <f>IF(TrRoad_act!P69=0,0,TrRoad_ene!P72/TrRoad_tech!P100)</f>
        <v>1.1455935042403229</v>
      </c>
      <c r="Q127" s="93">
        <f>IF(TrRoad_act!Q69=0,0,TrRoad_ene!Q72/TrRoad_tech!Q100)</f>
        <v>1.1517645066564695</v>
      </c>
      <c r="R127" s="93">
        <f>IF(TrRoad_act!R69=0,0,TrRoad_ene!R72/TrRoad_tech!R100)</f>
        <v>1.1757842376907377</v>
      </c>
      <c r="S127" s="93">
        <f>IF(TrRoad_act!S69=0,0,TrRoad_ene!S72/TrRoad_tech!S100)</f>
        <v>1.2179807603786075</v>
      </c>
      <c r="T127" s="93">
        <f>IF(TrRoad_act!T69=0,0,TrRoad_ene!T72/TrRoad_tech!T100)</f>
        <v>1.221979242073977</v>
      </c>
      <c r="U127" s="93">
        <f>IF(TrRoad_act!U69=0,0,TrRoad_ene!U72/TrRoad_tech!U100)</f>
        <v>1.2259777310465871</v>
      </c>
      <c r="V127" s="93">
        <f>IF(TrRoad_act!V69=0,0,TrRoad_ene!V72/TrRoad_tech!V100)</f>
        <v>1.2747258462309385</v>
      </c>
      <c r="W127" s="93">
        <f>IF(TrRoad_act!W69=0,0,TrRoad_ene!W72/TrRoad_tech!W100)</f>
        <v>1.2789548092577447</v>
      </c>
      <c r="X127" s="93">
        <f>IF(TrRoad_act!X69=0,0,TrRoad_ene!X72/TrRoad_tech!X100)</f>
        <v>1.3171960480949718</v>
      </c>
      <c r="Y127" s="93">
        <f>IF(TrRoad_act!Y69=0,0,TrRoad_ene!Y72/TrRoad_tech!Y100)</f>
        <v>1.3295134273470344</v>
      </c>
      <c r="DA127" s="175"/>
    </row>
    <row r="128" spans="1:105" ht="11.45" customHeight="1" x14ac:dyDescent="0.25">
      <c r="A128" s="111" t="s">
        <v>112</v>
      </c>
      <c r="B128" s="93">
        <f>IF(TrRoad_act!B70=0,0,TrRoad_ene!B73/TrRoad_tech!B101)</f>
        <v>0</v>
      </c>
      <c r="C128" s="93">
        <f>IF(TrRoad_act!C70=0,0,TrRoad_ene!C73/TrRoad_tech!C101)</f>
        <v>0</v>
      </c>
      <c r="D128" s="93">
        <f>IF(TrRoad_act!D70=0,0,TrRoad_ene!D73/TrRoad_tech!D101)</f>
        <v>0</v>
      </c>
      <c r="E128" s="93">
        <f>IF(TrRoad_act!E70=0,0,TrRoad_ene!E73/TrRoad_tech!E101)</f>
        <v>0</v>
      </c>
      <c r="F128" s="93">
        <f>IF(TrRoad_act!F70=0,0,TrRoad_ene!F73/TrRoad_tech!F101)</f>
        <v>0</v>
      </c>
      <c r="G128" s="93">
        <f>IF(TrRoad_act!G70=0,0,TrRoad_ene!G73/TrRoad_tech!G101)</f>
        <v>0</v>
      </c>
      <c r="H128" s="93">
        <f>IF(TrRoad_act!H70=0,0,TrRoad_ene!H73/TrRoad_tech!H101)</f>
        <v>0</v>
      </c>
      <c r="I128" s="93">
        <f>IF(TrRoad_act!I70=0,0,TrRoad_ene!I73/TrRoad_tech!I101)</f>
        <v>0</v>
      </c>
      <c r="J128" s="93">
        <f>IF(TrRoad_act!J70=0,0,TrRoad_ene!J73/TrRoad_tech!J101)</f>
        <v>1.1693333333396367</v>
      </c>
      <c r="K128" s="93">
        <f>IF(TrRoad_act!K70=0,0,TrRoad_ene!K73/TrRoad_tech!K101)</f>
        <v>1.1709967597949631</v>
      </c>
      <c r="L128" s="93">
        <f>IF(TrRoad_act!L70=0,0,TrRoad_ene!L73/TrRoad_tech!L101)</f>
        <v>1.1866075942532421</v>
      </c>
      <c r="M128" s="93">
        <f>IF(TrRoad_act!M70=0,0,TrRoad_ene!M73/TrRoad_tech!M101)</f>
        <v>1.1918727721390658</v>
      </c>
      <c r="N128" s="93">
        <f>IF(TrRoad_act!N70=0,0,TrRoad_ene!N73/TrRoad_tech!N101)</f>
        <v>1.1918727721390661</v>
      </c>
      <c r="O128" s="93">
        <f>IF(TrRoad_act!O70=0,0,TrRoad_ene!O73/TrRoad_tech!O101)</f>
        <v>1.1933865097334897</v>
      </c>
      <c r="P128" s="93">
        <f>IF(TrRoad_act!P70=0,0,TrRoad_ene!P73/TrRoad_tech!P101)</f>
        <v>1.1946616346327477</v>
      </c>
      <c r="Q128" s="93">
        <f>IF(TrRoad_act!Q70=0,0,TrRoad_ene!Q73/TrRoad_tech!Q101)</f>
        <v>1.1951421150465273</v>
      </c>
      <c r="R128" s="93">
        <f>IF(TrRoad_act!R70=0,0,TrRoad_ene!R73/TrRoad_tech!R101)</f>
        <v>1.1968309831144017</v>
      </c>
      <c r="S128" s="93">
        <f>IF(TrRoad_act!S70=0,0,TrRoad_ene!S73/TrRoad_tech!S101)</f>
        <v>1.1971558633659021</v>
      </c>
      <c r="T128" s="93">
        <f>IF(TrRoad_act!T70=0,0,TrRoad_ene!T73/TrRoad_tech!T101)</f>
        <v>1.204812965454426</v>
      </c>
      <c r="U128" s="93">
        <f>IF(TrRoad_act!U70=0,0,TrRoad_ene!U73/TrRoad_tech!U101)</f>
        <v>1.2055942597107361</v>
      </c>
      <c r="V128" s="93">
        <f>IF(TrRoad_act!V70=0,0,TrRoad_ene!V73/TrRoad_tech!V101)</f>
        <v>1.2053452998021776</v>
      </c>
      <c r="W128" s="93">
        <f>IF(TrRoad_act!W70=0,0,TrRoad_ene!W73/TrRoad_tech!W101)</f>
        <v>1.2060682410248107</v>
      </c>
      <c r="X128" s="93">
        <f>IF(TrRoad_act!X70=0,0,TrRoad_ene!X73/TrRoad_tech!X101)</f>
        <v>1.2210271995720421</v>
      </c>
      <c r="Y128" s="93">
        <f>IF(TrRoad_act!Y70=0,0,TrRoad_ene!Y73/TrRoad_tech!Y101)</f>
        <v>1.2259839003965267</v>
      </c>
      <c r="DA128" s="175"/>
    </row>
    <row r="129" spans="1:105" ht="11.45" customHeight="1" x14ac:dyDescent="0.25">
      <c r="A129" s="111" t="s">
        <v>113</v>
      </c>
      <c r="B129" s="93">
        <f>IF(TrRoad_act!B71=0,0,TrRoad_ene!B74/TrRoad_tech!B102)</f>
        <v>0</v>
      </c>
      <c r="C129" s="93">
        <f>IF(TrRoad_act!C71=0,0,TrRoad_ene!C74/TrRoad_tech!C102)</f>
        <v>0</v>
      </c>
      <c r="D129" s="93">
        <f>IF(TrRoad_act!D71=0,0,TrRoad_ene!D74/TrRoad_tech!D102)</f>
        <v>0</v>
      </c>
      <c r="E129" s="93">
        <f>IF(TrRoad_act!E71=0,0,TrRoad_ene!E74/TrRoad_tech!E102)</f>
        <v>0</v>
      </c>
      <c r="F129" s="93">
        <f>IF(TrRoad_act!F71=0,0,TrRoad_ene!F74/TrRoad_tech!F102)</f>
        <v>0</v>
      </c>
      <c r="G129" s="93">
        <f>IF(TrRoad_act!G71=0,0,TrRoad_ene!G74/TrRoad_tech!G102)</f>
        <v>0</v>
      </c>
      <c r="H129" s="93">
        <f>IF(TrRoad_act!H71=0,0,TrRoad_ene!H74/TrRoad_tech!H102)</f>
        <v>0</v>
      </c>
      <c r="I129" s="93">
        <f>IF(TrRoad_act!I71=0,0,TrRoad_ene!I74/TrRoad_tech!I102)</f>
        <v>0</v>
      </c>
      <c r="J129" s="93">
        <f>IF(TrRoad_act!J71=0,0,TrRoad_ene!J74/TrRoad_tech!J102)</f>
        <v>0</v>
      </c>
      <c r="K129" s="93">
        <f>IF(TrRoad_act!K71=0,0,TrRoad_ene!K74/TrRoad_tech!K102)</f>
        <v>0</v>
      </c>
      <c r="L129" s="93">
        <f>IF(TrRoad_act!L71=0,0,TrRoad_ene!L74/TrRoad_tech!L102)</f>
        <v>0</v>
      </c>
      <c r="M129" s="93">
        <f>IF(TrRoad_act!M71=0,0,TrRoad_ene!M74/TrRoad_tech!M102)</f>
        <v>0</v>
      </c>
      <c r="N129" s="93">
        <f>IF(TrRoad_act!N71=0,0,TrRoad_ene!N74/TrRoad_tech!N102)</f>
        <v>0</v>
      </c>
      <c r="O129" s="93">
        <f>IF(TrRoad_act!O71=0,0,TrRoad_ene!O74/TrRoad_tech!O102)</f>
        <v>0</v>
      </c>
      <c r="P129" s="93">
        <f>IF(TrRoad_act!P71=0,0,TrRoad_ene!P74/TrRoad_tech!P102)</f>
        <v>0</v>
      </c>
      <c r="Q129" s="93">
        <f>IF(TrRoad_act!Q71=0,0,TrRoad_ene!Q74/TrRoad_tech!Q102)</f>
        <v>0</v>
      </c>
      <c r="R129" s="93">
        <f>IF(TrRoad_act!R71=0,0,TrRoad_ene!R74/TrRoad_tech!R102)</f>
        <v>0</v>
      </c>
      <c r="S129" s="93">
        <f>IF(TrRoad_act!S71=0,0,TrRoad_ene!S74/TrRoad_tech!S102)</f>
        <v>0</v>
      </c>
      <c r="T129" s="93">
        <f>IF(TrRoad_act!T71=0,0,TrRoad_ene!T74/TrRoad_tech!T102)</f>
        <v>0</v>
      </c>
      <c r="U129" s="93">
        <f>IF(TrRoad_act!U71=0,0,TrRoad_ene!U74/TrRoad_tech!U102)</f>
        <v>0</v>
      </c>
      <c r="V129" s="93">
        <f>IF(TrRoad_act!V71=0,0,TrRoad_ene!V74/TrRoad_tech!V102)</f>
        <v>0</v>
      </c>
      <c r="W129" s="93">
        <f>IF(TrRoad_act!W71=0,0,TrRoad_ene!W74/TrRoad_tech!W102)</f>
        <v>0</v>
      </c>
      <c r="X129" s="93">
        <f>IF(TrRoad_act!X71=0,0,TrRoad_ene!X74/TrRoad_tech!X102)</f>
        <v>0</v>
      </c>
      <c r="Y129" s="93">
        <f>IF(TrRoad_act!Y71=0,0,TrRoad_ene!Y74/TrRoad_tech!Y102)</f>
        <v>0</v>
      </c>
      <c r="DA129" s="175"/>
    </row>
    <row r="130" spans="1:105" ht="11.45" customHeight="1" x14ac:dyDescent="0.25">
      <c r="A130" s="111" t="s">
        <v>115</v>
      </c>
      <c r="B130" s="93">
        <f>IF(TrRoad_act!B72=0,0,TrRoad_ene!B75/TrRoad_tech!B103)</f>
        <v>0</v>
      </c>
      <c r="C130" s="93">
        <f>IF(TrRoad_act!C72=0,0,TrRoad_ene!C75/TrRoad_tech!C103)</f>
        <v>0</v>
      </c>
      <c r="D130" s="93">
        <f>IF(TrRoad_act!D72=0,0,TrRoad_ene!D75/TrRoad_tech!D103)</f>
        <v>0</v>
      </c>
      <c r="E130" s="93">
        <f>IF(TrRoad_act!E72=0,0,TrRoad_ene!E75/TrRoad_tech!E103)</f>
        <v>0</v>
      </c>
      <c r="F130" s="93">
        <f>IF(TrRoad_act!F72=0,0,TrRoad_ene!F75/TrRoad_tech!F103)</f>
        <v>0</v>
      </c>
      <c r="G130" s="93">
        <f>IF(TrRoad_act!G72=0,0,TrRoad_ene!G75/TrRoad_tech!G103)</f>
        <v>0</v>
      </c>
      <c r="H130" s="93">
        <f>IF(TrRoad_act!H72=0,0,TrRoad_ene!H75/TrRoad_tech!H103)</f>
        <v>0</v>
      </c>
      <c r="I130" s="93">
        <f>IF(TrRoad_act!I72=0,0,TrRoad_ene!I75/TrRoad_tech!I103)</f>
        <v>0</v>
      </c>
      <c r="J130" s="93">
        <f>IF(TrRoad_act!J72=0,0,TrRoad_ene!J75/TrRoad_tech!J103)</f>
        <v>0</v>
      </c>
      <c r="K130" s="93">
        <f>IF(TrRoad_act!K72=0,0,TrRoad_ene!K75/TrRoad_tech!K103)</f>
        <v>0</v>
      </c>
      <c r="L130" s="93">
        <f>IF(TrRoad_act!L72=0,0,TrRoad_ene!L75/TrRoad_tech!L103)</f>
        <v>0</v>
      </c>
      <c r="M130" s="93">
        <f>IF(TrRoad_act!M72=0,0,TrRoad_ene!M75/TrRoad_tech!M103)</f>
        <v>0</v>
      </c>
      <c r="N130" s="93">
        <f>IF(TrRoad_act!N72=0,0,TrRoad_ene!N75/TrRoad_tech!N103)</f>
        <v>0</v>
      </c>
      <c r="O130" s="93">
        <f>IF(TrRoad_act!O72=0,0,TrRoad_ene!O75/TrRoad_tech!O103)</f>
        <v>1.2560000000062246</v>
      </c>
      <c r="P130" s="93">
        <f>IF(TrRoad_act!P72=0,0,TrRoad_ene!P75/TrRoad_tech!P103)</f>
        <v>1.2668092249753948</v>
      </c>
      <c r="Q130" s="93">
        <f>IF(TrRoad_act!Q72=0,0,TrRoad_ene!Q75/TrRoad_tech!Q103)</f>
        <v>1.283736538969686</v>
      </c>
      <c r="R130" s="93">
        <f>IF(TrRoad_act!R72=0,0,TrRoad_ene!R75/TrRoad_tech!R103)</f>
        <v>1.3172635731932028</v>
      </c>
      <c r="S130" s="93">
        <f>IF(TrRoad_act!S72=0,0,TrRoad_ene!S75/TrRoad_tech!S103)</f>
        <v>1.3225629659444573</v>
      </c>
      <c r="T130" s="93">
        <f>IF(TrRoad_act!T72=0,0,TrRoad_ene!T75/TrRoad_tech!T103)</f>
        <v>1.3402704049142133</v>
      </c>
      <c r="U130" s="93">
        <f>IF(TrRoad_act!U72=0,0,TrRoad_ene!U75/TrRoad_tech!U103)</f>
        <v>1.3462483735722037</v>
      </c>
      <c r="V130" s="93">
        <f>IF(TrRoad_act!V72=0,0,TrRoad_ene!V75/TrRoad_tech!V103)</f>
        <v>1.3533878856593005</v>
      </c>
      <c r="W130" s="93">
        <f>IF(TrRoad_act!W72=0,0,TrRoad_ene!W75/TrRoad_tech!W103)</f>
        <v>1.3549996854689605</v>
      </c>
      <c r="X130" s="93">
        <f>IF(TrRoad_act!X72=0,0,TrRoad_ene!X75/TrRoad_tech!X103)</f>
        <v>1.3574075506472485</v>
      </c>
      <c r="Y130" s="93">
        <f>IF(TrRoad_act!Y72=0,0,TrRoad_ene!Y75/TrRoad_tech!Y103)</f>
        <v>1.3606447939952966</v>
      </c>
      <c r="DA130" s="175"/>
    </row>
    <row r="131" spans="1:105" ht="11.45" customHeight="1" x14ac:dyDescent="0.25">
      <c r="A131" s="27" t="s">
        <v>34</v>
      </c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DA131" s="173"/>
    </row>
    <row r="132" spans="1:105" ht="11.45" customHeight="1" x14ac:dyDescent="0.25">
      <c r="A132" s="136" t="s">
        <v>153</v>
      </c>
      <c r="B132" s="150">
        <f>IF(TrRoad_act!B74=0,0,TrRoad_ene!B77/TrRoad_tech!B105)</f>
        <v>1.0287030819152247</v>
      </c>
      <c r="C132" s="150">
        <f>IF(TrRoad_act!C74=0,0,TrRoad_ene!C77/TrRoad_tech!C105)</f>
        <v>1.0535734087541495</v>
      </c>
      <c r="D132" s="150">
        <f>IF(TrRoad_act!D74=0,0,TrRoad_ene!D77/TrRoad_tech!D105)</f>
        <v>1.0580056002249876</v>
      </c>
      <c r="E132" s="150">
        <f>IF(TrRoad_act!E74=0,0,TrRoad_ene!E77/TrRoad_tech!E105)</f>
        <v>1.0620264261177295</v>
      </c>
      <c r="F132" s="150">
        <f>IF(TrRoad_act!F74=0,0,TrRoad_ene!F77/TrRoad_tech!F105)</f>
        <v>1.035318708339428</v>
      </c>
      <c r="G132" s="150">
        <f>IF(TrRoad_act!G74=0,0,TrRoad_ene!G77/TrRoad_tech!G105)</f>
        <v>1.063686468754298</v>
      </c>
      <c r="H132" s="150">
        <f>IF(TrRoad_act!H74=0,0,TrRoad_ene!H77/TrRoad_tech!H105)</f>
        <v>1.0799295422296773</v>
      </c>
      <c r="I132" s="150">
        <f>IF(TrRoad_act!I74=0,0,TrRoad_ene!I77/TrRoad_tech!I105)</f>
        <v>1.0656482014860207</v>
      </c>
      <c r="J132" s="150">
        <f>IF(TrRoad_act!J74=0,0,TrRoad_ene!J77/TrRoad_tech!J105)</f>
        <v>1.0818989209655971</v>
      </c>
      <c r="K132" s="150">
        <f>IF(TrRoad_act!K74=0,0,TrRoad_ene!K77/TrRoad_tech!K105)</f>
        <v>1.095010312143236</v>
      </c>
      <c r="L132" s="150">
        <f>IF(TrRoad_act!L74=0,0,TrRoad_ene!L77/TrRoad_tech!L105)</f>
        <v>1.0879490994266474</v>
      </c>
      <c r="M132" s="150">
        <f>IF(TrRoad_act!M74=0,0,TrRoad_ene!M77/TrRoad_tech!M105)</f>
        <v>1.0986864354887562</v>
      </c>
      <c r="N132" s="150">
        <f>IF(TrRoad_act!N74=0,0,TrRoad_ene!N77/TrRoad_tech!N105)</f>
        <v>1.1304382820941299</v>
      </c>
      <c r="O132" s="150">
        <f>IF(TrRoad_act!O74=0,0,TrRoad_ene!O77/TrRoad_tech!O105)</f>
        <v>1.1069339907489331</v>
      </c>
      <c r="P132" s="150">
        <f>IF(TrRoad_act!P74=0,0,TrRoad_ene!P77/TrRoad_tech!P105)</f>
        <v>1.1102629086115055</v>
      </c>
      <c r="Q132" s="150">
        <f>IF(TrRoad_act!Q74=0,0,TrRoad_ene!Q77/TrRoad_tech!Q105)</f>
        <v>1.1119405296136542</v>
      </c>
      <c r="R132" s="150">
        <f>IF(TrRoad_act!R74=0,0,TrRoad_ene!R77/TrRoad_tech!R105)</f>
        <v>1.1321222680932086</v>
      </c>
      <c r="S132" s="150">
        <f>IF(TrRoad_act!S74=0,0,TrRoad_ene!S77/TrRoad_tech!S105)</f>
        <v>1.1508874948590333</v>
      </c>
      <c r="T132" s="150">
        <f>IF(TrRoad_act!T74=0,0,TrRoad_ene!T77/TrRoad_tech!T105)</f>
        <v>1.1535043457444611</v>
      </c>
      <c r="U132" s="150">
        <f>IF(TrRoad_act!U74=0,0,TrRoad_ene!U77/TrRoad_tech!U105)</f>
        <v>1.1582156764113807</v>
      </c>
      <c r="V132" s="150">
        <f>IF(TrRoad_act!V74=0,0,TrRoad_ene!V77/TrRoad_tech!V105)</f>
        <v>1.1548059220702025</v>
      </c>
      <c r="W132" s="150">
        <f>IF(TrRoad_act!W74=0,0,TrRoad_ene!W77/TrRoad_tech!W105)</f>
        <v>1.171501904499626</v>
      </c>
      <c r="X132" s="150">
        <f>IF(TrRoad_act!X74=0,0,TrRoad_ene!X77/TrRoad_tech!X105)</f>
        <v>1.2026642869078008</v>
      </c>
      <c r="Y132" s="150">
        <f>IF(TrRoad_act!Y74=0,0,TrRoad_ene!Y77/TrRoad_tech!Y105)</f>
        <v>1.2104401215832403</v>
      </c>
      <c r="DA132" s="174"/>
    </row>
    <row r="133" spans="1:105" ht="11.45" customHeight="1" x14ac:dyDescent="0.25">
      <c r="A133" s="111" t="s">
        <v>110</v>
      </c>
      <c r="B133" s="91">
        <f>IF(TrRoad_act!B75=0,0,TrRoad_ene!B78/TrRoad_tech!B106)</f>
        <v>1.1000000000067303</v>
      </c>
      <c r="C133" s="91">
        <f>IF(TrRoad_act!C75=0,0,TrRoad_ene!C78/TrRoad_tech!C106)</f>
        <v>1.1000140392028224</v>
      </c>
      <c r="D133" s="91">
        <f>IF(TrRoad_act!D75=0,0,TrRoad_ene!D78/TrRoad_tech!D106)</f>
        <v>1.1000492292803989</v>
      </c>
      <c r="E133" s="91">
        <f>IF(TrRoad_act!E75=0,0,TrRoad_ene!E78/TrRoad_tech!E106)</f>
        <v>1.1001293678696997</v>
      </c>
      <c r="F133" s="91">
        <f>IF(TrRoad_act!F75=0,0,TrRoad_ene!F78/TrRoad_tech!F106)</f>
        <v>1.1002665620815293</v>
      </c>
      <c r="G133" s="91">
        <f>IF(TrRoad_act!G75=0,0,TrRoad_ene!G78/TrRoad_tech!G106)</f>
        <v>1.1004309915600916</v>
      </c>
      <c r="H133" s="91">
        <f>IF(TrRoad_act!H75=0,0,TrRoad_ene!H78/TrRoad_tech!H106)</f>
        <v>1.1014049464585072</v>
      </c>
      <c r="I133" s="91">
        <f>IF(TrRoad_act!I75=0,0,TrRoad_ene!I78/TrRoad_tech!I106)</f>
        <v>1.1026784892774832</v>
      </c>
      <c r="J133" s="91">
        <f>IF(TrRoad_act!J75=0,0,TrRoad_ene!J78/TrRoad_tech!J106)</f>
        <v>1.1040900461621401</v>
      </c>
      <c r="K133" s="91">
        <f>IF(TrRoad_act!K75=0,0,TrRoad_ene!K78/TrRoad_tech!K106)</f>
        <v>1.105973738544864</v>
      </c>
      <c r="L133" s="91">
        <f>IF(TrRoad_act!L75=0,0,TrRoad_ene!L78/TrRoad_tech!L106)</f>
        <v>1.1075403725554227</v>
      </c>
      <c r="M133" s="91">
        <f>IF(TrRoad_act!M75=0,0,TrRoad_ene!M78/TrRoad_tech!M106)</f>
        <v>1.1099559247183002</v>
      </c>
      <c r="N133" s="91">
        <f>IF(TrRoad_act!N75=0,0,TrRoad_ene!N78/TrRoad_tech!N106)</f>
        <v>1.1136695149671216</v>
      </c>
      <c r="O133" s="91">
        <f>IF(TrRoad_act!O75=0,0,TrRoad_ene!O78/TrRoad_tech!O106)</f>
        <v>1.1152817887108923</v>
      </c>
      <c r="P133" s="91">
        <f>IF(TrRoad_act!P75=0,0,TrRoad_ene!P78/TrRoad_tech!P106)</f>
        <v>1.1183844948961743</v>
      </c>
      <c r="Q133" s="91">
        <f>IF(TrRoad_act!Q75=0,0,TrRoad_ene!Q78/TrRoad_tech!Q106)</f>
        <v>1.1210699107291562</v>
      </c>
      <c r="R133" s="91">
        <f>IF(TrRoad_act!R75=0,0,TrRoad_ene!R78/TrRoad_tech!R106)</f>
        <v>1.1331985054479008</v>
      </c>
      <c r="S133" s="91">
        <f>IF(TrRoad_act!S75=0,0,TrRoad_ene!S78/TrRoad_tech!S106)</f>
        <v>1.1479108305581875</v>
      </c>
      <c r="T133" s="91">
        <f>IF(TrRoad_act!T75=0,0,TrRoad_ene!T78/TrRoad_tech!T106)</f>
        <v>1.1617687983890284</v>
      </c>
      <c r="U133" s="91">
        <f>IF(TrRoad_act!U75=0,0,TrRoad_ene!U78/TrRoad_tech!U106)</f>
        <v>1.1727374428857864</v>
      </c>
      <c r="V133" s="91">
        <f>IF(TrRoad_act!V75=0,0,TrRoad_ene!V78/TrRoad_tech!V106)</f>
        <v>1.182477918376218</v>
      </c>
      <c r="W133" s="91">
        <f>IF(TrRoad_act!W75=0,0,TrRoad_ene!W78/TrRoad_tech!W106)</f>
        <v>1.1935018361935166</v>
      </c>
      <c r="X133" s="91">
        <f>IF(TrRoad_act!X75=0,0,TrRoad_ene!X78/TrRoad_tech!X106)</f>
        <v>1.2095757763805246</v>
      </c>
      <c r="Y133" s="91">
        <f>IF(TrRoad_act!Y75=0,0,TrRoad_ene!Y78/TrRoad_tech!Y106)</f>
        <v>1.227569540437035</v>
      </c>
      <c r="DA133" s="171"/>
    </row>
    <row r="134" spans="1:105" ht="11.45" customHeight="1" x14ac:dyDescent="0.25">
      <c r="A134" s="111" t="s">
        <v>111</v>
      </c>
      <c r="B134" s="91">
        <f>IF(TrRoad_act!B76=0,0,TrRoad_ene!B79/TrRoad_tech!B107)</f>
        <v>1.0003705027465393</v>
      </c>
      <c r="C134" s="91">
        <f>IF(TrRoad_act!C76=0,0,TrRoad_ene!C79/TrRoad_tech!C107)</f>
        <v>1.0464676193437106</v>
      </c>
      <c r="D134" s="91">
        <f>IF(TrRoad_act!D76=0,0,TrRoad_ene!D79/TrRoad_tech!D107)</f>
        <v>1.0584681917741359</v>
      </c>
      <c r="E134" s="91">
        <f>IF(TrRoad_act!E76=0,0,TrRoad_ene!E79/TrRoad_tech!E107)</f>
        <v>1.0691044945340826</v>
      </c>
      <c r="F134" s="91">
        <f>IF(TrRoad_act!F76=0,0,TrRoad_ene!F79/TrRoad_tech!F107)</f>
        <v>1.0308571709619947</v>
      </c>
      <c r="G134" s="91">
        <f>IF(TrRoad_act!G76=0,0,TrRoad_ene!G79/TrRoad_tech!G107)</f>
        <v>1.0753882787822011</v>
      </c>
      <c r="H134" s="91">
        <f>IF(TrRoad_act!H76=0,0,TrRoad_ene!H79/TrRoad_tech!H107)</f>
        <v>1.098208223174596</v>
      </c>
      <c r="I134" s="91">
        <f>IF(TrRoad_act!I76=0,0,TrRoad_ene!I79/TrRoad_tech!I107)</f>
        <v>1.0749983684775439</v>
      </c>
      <c r="J134" s="91">
        <f>IF(TrRoad_act!J76=0,0,TrRoad_ene!J79/TrRoad_tech!J107)</f>
        <v>1.0945533703625803</v>
      </c>
      <c r="K134" s="91">
        <f>IF(TrRoad_act!K76=0,0,TrRoad_ene!K79/TrRoad_tech!K107)</f>
        <v>1.1083378464493907</v>
      </c>
      <c r="L134" s="91">
        <f>IF(TrRoad_act!L76=0,0,TrRoad_ene!L79/TrRoad_tech!L107)</f>
        <v>1.0947338372931676</v>
      </c>
      <c r="M134" s="91">
        <f>IF(TrRoad_act!M76=0,0,TrRoad_ene!M79/TrRoad_tech!M107)</f>
        <v>1.1037554802123208</v>
      </c>
      <c r="N134" s="91">
        <f>IF(TrRoad_act!N76=0,0,TrRoad_ene!N79/TrRoad_tech!N107)</f>
        <v>1.1401940780915316</v>
      </c>
      <c r="O134" s="91">
        <f>IF(TrRoad_act!O76=0,0,TrRoad_ene!O79/TrRoad_tech!O107)</f>
        <v>1.1128080268720499</v>
      </c>
      <c r="P134" s="91">
        <f>IF(TrRoad_act!P76=0,0,TrRoad_ene!P79/TrRoad_tech!P107)</f>
        <v>1.1160575635987762</v>
      </c>
      <c r="Q134" s="91">
        <f>IF(TrRoad_act!Q76=0,0,TrRoad_ene!Q79/TrRoad_tech!Q107)</f>
        <v>1.1179518880925983</v>
      </c>
      <c r="R134" s="91">
        <f>IF(TrRoad_act!R76=0,0,TrRoad_ene!R79/TrRoad_tech!R107)</f>
        <v>1.1410065197616817</v>
      </c>
      <c r="S134" s="91">
        <f>IF(TrRoad_act!S76=0,0,TrRoad_ene!S79/TrRoad_tech!S107)</f>
        <v>1.161370270695387</v>
      </c>
      <c r="T134" s="91">
        <f>IF(TrRoad_act!T76=0,0,TrRoad_ene!T79/TrRoad_tech!T107)</f>
        <v>1.1659854779800929</v>
      </c>
      <c r="U134" s="91">
        <f>IF(TrRoad_act!U76=0,0,TrRoad_ene!U79/TrRoad_tech!U107)</f>
        <v>1.1724310295313438</v>
      </c>
      <c r="V134" s="91">
        <f>IF(TrRoad_act!V76=0,0,TrRoad_ene!V79/TrRoad_tech!V107)</f>
        <v>1.1700194800989658</v>
      </c>
      <c r="W134" s="91">
        <f>IF(TrRoad_act!W76=0,0,TrRoad_ene!W79/TrRoad_tech!W107)</f>
        <v>1.1878713575474336</v>
      </c>
      <c r="X134" s="91">
        <f>IF(TrRoad_act!X76=0,0,TrRoad_ene!X79/TrRoad_tech!X107)</f>
        <v>1.2206842013766674</v>
      </c>
      <c r="Y134" s="91">
        <f>IF(TrRoad_act!Y76=0,0,TrRoad_ene!Y79/TrRoad_tech!Y107)</f>
        <v>1.2275258914129774</v>
      </c>
      <c r="DA134" s="171"/>
    </row>
    <row r="135" spans="1:105" ht="11.45" customHeight="1" x14ac:dyDescent="0.25">
      <c r="A135" s="111" t="s">
        <v>112</v>
      </c>
      <c r="B135" s="91">
        <f>IF(TrRoad_act!B77=0,0,TrRoad_ene!B80/TrRoad_tech!B108)</f>
        <v>0</v>
      </c>
      <c r="C135" s="91">
        <f>IF(TrRoad_act!C77=0,0,TrRoad_ene!C80/TrRoad_tech!C108)</f>
        <v>0</v>
      </c>
      <c r="D135" s="91">
        <f>IF(TrRoad_act!D77=0,0,TrRoad_ene!D80/TrRoad_tech!D108)</f>
        <v>0</v>
      </c>
      <c r="E135" s="91">
        <f>IF(TrRoad_act!E77=0,0,TrRoad_ene!E80/TrRoad_tech!E108)</f>
        <v>0</v>
      </c>
      <c r="F135" s="91">
        <f>IF(TrRoad_act!F77=0,0,TrRoad_ene!F80/TrRoad_tech!F108)</f>
        <v>0</v>
      </c>
      <c r="G135" s="91">
        <f>IF(TrRoad_act!G77=0,0,TrRoad_ene!G80/TrRoad_tech!G108)</f>
        <v>0</v>
      </c>
      <c r="H135" s="91">
        <f>IF(TrRoad_act!H77=0,0,TrRoad_ene!H80/TrRoad_tech!H108)</f>
        <v>0</v>
      </c>
      <c r="I135" s="91">
        <f>IF(TrRoad_act!I77=0,0,TrRoad_ene!I80/TrRoad_tech!I108)</f>
        <v>0</v>
      </c>
      <c r="J135" s="91">
        <f>IF(TrRoad_act!J77=0,0,TrRoad_ene!J80/TrRoad_tech!J108)</f>
        <v>1.1371531168323872</v>
      </c>
      <c r="K135" s="91">
        <f>IF(TrRoad_act!K77=0,0,TrRoad_ene!K80/TrRoad_tech!K108)</f>
        <v>1.137153116832387</v>
      </c>
      <c r="L135" s="91">
        <f>IF(TrRoad_act!L77=0,0,TrRoad_ene!L80/TrRoad_tech!L108)</f>
        <v>1.1371531168323872</v>
      </c>
      <c r="M135" s="91">
        <f>IF(TrRoad_act!M77=0,0,TrRoad_ene!M80/TrRoad_tech!M108)</f>
        <v>1.140610310286003</v>
      </c>
      <c r="N135" s="91">
        <f>IF(TrRoad_act!N77=0,0,TrRoad_ene!N80/TrRoad_tech!N108)</f>
        <v>1.1629168154030056</v>
      </c>
      <c r="O135" s="91">
        <f>IF(TrRoad_act!O77=0,0,TrRoad_ene!O80/TrRoad_tech!O108)</f>
        <v>1.1629168154030054</v>
      </c>
      <c r="P135" s="91">
        <f>IF(TrRoad_act!P77=0,0,TrRoad_ene!P80/TrRoad_tech!P108)</f>
        <v>1.1749910595951929</v>
      </c>
      <c r="Q135" s="91">
        <f>IF(TrRoad_act!Q77=0,0,TrRoad_ene!Q80/TrRoad_tech!Q108)</f>
        <v>1.1833282742401336</v>
      </c>
      <c r="R135" s="91">
        <f>IF(TrRoad_act!R77=0,0,TrRoad_ene!R80/TrRoad_tech!R108)</f>
        <v>1.2007087859559955</v>
      </c>
      <c r="S135" s="91">
        <f>IF(TrRoad_act!S77=0,0,TrRoad_ene!S80/TrRoad_tech!S108)</f>
        <v>1.2007087859559948</v>
      </c>
      <c r="T135" s="91">
        <f>IF(TrRoad_act!T77=0,0,TrRoad_ene!T80/TrRoad_tech!T108)</f>
        <v>1.2030301266471064</v>
      </c>
      <c r="U135" s="91">
        <f>IF(TrRoad_act!U77=0,0,TrRoad_ene!U80/TrRoad_tech!U108)</f>
        <v>1.2030301266471062</v>
      </c>
      <c r="V135" s="91">
        <f>IF(TrRoad_act!V77=0,0,TrRoad_ene!V80/TrRoad_tech!V108)</f>
        <v>1.2058872751497989</v>
      </c>
      <c r="W135" s="91">
        <f>IF(TrRoad_act!W77=0,0,TrRoad_ene!W80/TrRoad_tech!W108)</f>
        <v>1.2430681793022396</v>
      </c>
      <c r="X135" s="91">
        <f>IF(TrRoad_act!X77=0,0,TrRoad_ene!X80/TrRoad_tech!X108)</f>
        <v>1.317490412898118</v>
      </c>
      <c r="Y135" s="91">
        <f>IF(TrRoad_act!Y77=0,0,TrRoad_ene!Y80/TrRoad_tech!Y108)</f>
        <v>1.3426661255319658</v>
      </c>
      <c r="DA135" s="171"/>
    </row>
    <row r="136" spans="1:105" ht="11.45" customHeight="1" x14ac:dyDescent="0.25">
      <c r="A136" s="111" t="s">
        <v>113</v>
      </c>
      <c r="B136" s="91">
        <f>IF(TrRoad_act!B78=0,0,TrRoad_ene!B81/TrRoad_tech!B109)</f>
        <v>0</v>
      </c>
      <c r="C136" s="91">
        <f>IF(TrRoad_act!C78=0,0,TrRoad_ene!C81/TrRoad_tech!C109)</f>
        <v>0</v>
      </c>
      <c r="D136" s="91">
        <f>IF(TrRoad_act!D78=0,0,TrRoad_ene!D81/TrRoad_tech!D109)</f>
        <v>0</v>
      </c>
      <c r="E136" s="91">
        <f>IF(TrRoad_act!E78=0,0,TrRoad_ene!E81/TrRoad_tech!E109)</f>
        <v>0</v>
      </c>
      <c r="F136" s="91">
        <f>IF(TrRoad_act!F78=0,0,TrRoad_ene!F81/TrRoad_tech!F109)</f>
        <v>0</v>
      </c>
      <c r="G136" s="91">
        <f>IF(TrRoad_act!G78=0,0,TrRoad_ene!G81/TrRoad_tech!G109)</f>
        <v>0</v>
      </c>
      <c r="H136" s="91">
        <f>IF(TrRoad_act!H78=0,0,TrRoad_ene!H81/TrRoad_tech!H109)</f>
        <v>0</v>
      </c>
      <c r="I136" s="91">
        <f>IF(TrRoad_act!I78=0,0,TrRoad_ene!I81/TrRoad_tech!I109)</f>
        <v>0</v>
      </c>
      <c r="J136" s="91">
        <f>IF(TrRoad_act!J78=0,0,TrRoad_ene!J81/TrRoad_tech!J109)</f>
        <v>0</v>
      </c>
      <c r="K136" s="91">
        <f>IF(TrRoad_act!K78=0,0,TrRoad_ene!K81/TrRoad_tech!K109)</f>
        <v>0</v>
      </c>
      <c r="L136" s="91">
        <f>IF(TrRoad_act!L78=0,0,TrRoad_ene!L81/TrRoad_tech!L109)</f>
        <v>0</v>
      </c>
      <c r="M136" s="91">
        <f>IF(TrRoad_act!M78=0,0,TrRoad_ene!M81/TrRoad_tech!M109)</f>
        <v>0</v>
      </c>
      <c r="N136" s="91">
        <f>IF(TrRoad_act!N78=0,0,TrRoad_ene!N81/TrRoad_tech!N109)</f>
        <v>0</v>
      </c>
      <c r="O136" s="91">
        <f>IF(TrRoad_act!O78=0,0,TrRoad_ene!O81/TrRoad_tech!O109)</f>
        <v>0</v>
      </c>
      <c r="P136" s="91">
        <f>IF(TrRoad_act!P78=0,0,TrRoad_ene!P81/TrRoad_tech!P109)</f>
        <v>0</v>
      </c>
      <c r="Q136" s="91">
        <f>IF(TrRoad_act!Q78=0,0,TrRoad_ene!Q81/TrRoad_tech!Q109)</f>
        <v>0</v>
      </c>
      <c r="R136" s="91">
        <f>IF(TrRoad_act!R78=0,0,TrRoad_ene!R81/TrRoad_tech!R109)</f>
        <v>0</v>
      </c>
      <c r="S136" s="91">
        <f>IF(TrRoad_act!S78=0,0,TrRoad_ene!S81/TrRoad_tech!S109)</f>
        <v>0</v>
      </c>
      <c r="T136" s="91">
        <f>IF(TrRoad_act!T78=0,0,TrRoad_ene!T81/TrRoad_tech!T109)</f>
        <v>0</v>
      </c>
      <c r="U136" s="91">
        <f>IF(TrRoad_act!U78=0,0,TrRoad_ene!U81/TrRoad_tech!U109)</f>
        <v>0</v>
      </c>
      <c r="V136" s="91">
        <f>IF(TrRoad_act!V78=0,0,TrRoad_ene!V81/TrRoad_tech!V109)</f>
        <v>0</v>
      </c>
      <c r="W136" s="91">
        <f>IF(TrRoad_act!W78=0,0,TrRoad_ene!W81/TrRoad_tech!W109)</f>
        <v>0</v>
      </c>
      <c r="X136" s="91">
        <f>IF(TrRoad_act!X78=0,0,TrRoad_ene!X81/TrRoad_tech!X109)</f>
        <v>0</v>
      </c>
      <c r="Y136" s="91">
        <f>IF(TrRoad_act!Y78=0,0,TrRoad_ene!Y81/TrRoad_tech!Y109)</f>
        <v>0</v>
      </c>
      <c r="DA136" s="171"/>
    </row>
    <row r="137" spans="1:105" ht="11.45" customHeight="1" x14ac:dyDescent="0.25">
      <c r="A137" s="111" t="s">
        <v>115</v>
      </c>
      <c r="B137" s="91">
        <f>IF(TrRoad_act!B79=0,0,TrRoad_ene!B82/TrRoad_tech!B110)</f>
        <v>0</v>
      </c>
      <c r="C137" s="91">
        <f>IF(TrRoad_act!C79=0,0,TrRoad_ene!C82/TrRoad_tech!C110)</f>
        <v>0</v>
      </c>
      <c r="D137" s="91">
        <f>IF(TrRoad_act!D79=0,0,TrRoad_ene!D82/TrRoad_tech!D110)</f>
        <v>0</v>
      </c>
      <c r="E137" s="91">
        <f>IF(TrRoad_act!E79=0,0,TrRoad_ene!E82/TrRoad_tech!E110)</f>
        <v>0</v>
      </c>
      <c r="F137" s="91">
        <f>IF(TrRoad_act!F79=0,0,TrRoad_ene!F82/TrRoad_tech!F110)</f>
        <v>0</v>
      </c>
      <c r="G137" s="91">
        <f>IF(TrRoad_act!G79=0,0,TrRoad_ene!G82/TrRoad_tech!G110)</f>
        <v>0</v>
      </c>
      <c r="H137" s="91">
        <f>IF(TrRoad_act!H79=0,0,TrRoad_ene!H82/TrRoad_tech!H110)</f>
        <v>0</v>
      </c>
      <c r="I137" s="91">
        <f>IF(TrRoad_act!I79=0,0,TrRoad_ene!I82/TrRoad_tech!I110)</f>
        <v>0</v>
      </c>
      <c r="J137" s="91">
        <f>IF(TrRoad_act!J79=0,0,TrRoad_ene!J82/TrRoad_tech!J110)</f>
        <v>0</v>
      </c>
      <c r="K137" s="91">
        <f>IF(TrRoad_act!K79=0,0,TrRoad_ene!K82/TrRoad_tech!K110)</f>
        <v>0</v>
      </c>
      <c r="L137" s="91">
        <f>IF(TrRoad_act!L79=0,0,TrRoad_ene!L82/TrRoad_tech!L110)</f>
        <v>1.2000000000070943</v>
      </c>
      <c r="M137" s="91">
        <f>IF(TrRoad_act!M79=0,0,TrRoad_ene!M82/TrRoad_tech!M110)</f>
        <v>1.2058811972870149</v>
      </c>
      <c r="N137" s="91">
        <f>IF(TrRoad_act!N79=0,0,TrRoad_ene!N82/TrRoad_tech!N110)</f>
        <v>1.2212754080222952</v>
      </c>
      <c r="O137" s="91">
        <f>IF(TrRoad_act!O79=0,0,TrRoad_ene!O82/TrRoad_tech!O110)</f>
        <v>1.2356546603832161</v>
      </c>
      <c r="P137" s="91">
        <f>IF(TrRoad_act!P79=0,0,TrRoad_ene!P82/TrRoad_tech!P110)</f>
        <v>1.2458112761011284</v>
      </c>
      <c r="Q137" s="91">
        <f>IF(TrRoad_act!Q79=0,0,TrRoad_ene!Q82/TrRoad_tech!Q110)</f>
        <v>1.2493425379878236</v>
      </c>
      <c r="R137" s="91">
        <f>IF(TrRoad_act!R79=0,0,TrRoad_ene!R82/TrRoad_tech!R110)</f>
        <v>1.2680395788941889</v>
      </c>
      <c r="S137" s="91">
        <f>IF(TrRoad_act!S79=0,0,TrRoad_ene!S82/TrRoad_tech!S110)</f>
        <v>1.3029267919828402</v>
      </c>
      <c r="T137" s="91">
        <f>IF(TrRoad_act!T79=0,0,TrRoad_ene!T82/TrRoad_tech!T110)</f>
        <v>1.3246787860451612</v>
      </c>
      <c r="U137" s="91">
        <f>IF(TrRoad_act!U79=0,0,TrRoad_ene!U82/TrRoad_tech!U110)</f>
        <v>1.3360889533179456</v>
      </c>
      <c r="V137" s="91">
        <f>IF(TrRoad_act!V79=0,0,TrRoad_ene!V82/TrRoad_tech!V110)</f>
        <v>1.3446797944565845</v>
      </c>
      <c r="W137" s="91">
        <f>IF(TrRoad_act!W79=0,0,TrRoad_ene!W82/TrRoad_tech!W110)</f>
        <v>1.3503247887508447</v>
      </c>
      <c r="X137" s="91">
        <f>IF(TrRoad_act!X79=0,0,TrRoad_ene!X82/TrRoad_tech!X110)</f>
        <v>1.3557070777941875</v>
      </c>
      <c r="Y137" s="91">
        <f>IF(TrRoad_act!Y79=0,0,TrRoad_ene!Y82/TrRoad_tech!Y110)</f>
        <v>1.3600636608523189</v>
      </c>
      <c r="DA137" s="171"/>
    </row>
    <row r="138" spans="1:105" ht="11.45" customHeight="1" x14ac:dyDescent="0.25">
      <c r="A138" s="109" t="s">
        <v>154</v>
      </c>
      <c r="B138" s="151">
        <f>IF(TrRoad_act!B80=0,0,TrRoad_ene!B83/TrRoad_tech!B111)</f>
        <v>1.0729633980669229</v>
      </c>
      <c r="C138" s="151">
        <f>IF(TrRoad_act!C80=0,0,TrRoad_ene!C83/TrRoad_tech!C111)</f>
        <v>1.4815801318412651</v>
      </c>
      <c r="D138" s="151">
        <f>IF(TrRoad_act!D80=0,0,TrRoad_ene!D83/TrRoad_tech!D111)</f>
        <v>1.5848343100802411</v>
      </c>
      <c r="E138" s="151">
        <f>IF(TrRoad_act!E80=0,0,TrRoad_ene!E83/TrRoad_tech!E111)</f>
        <v>1.6187430427852065</v>
      </c>
      <c r="F138" s="151">
        <f>IF(TrRoad_act!F80=0,0,TrRoad_ene!F83/TrRoad_tech!F111)</f>
        <v>1.3373661458963571</v>
      </c>
      <c r="G138" s="151">
        <f>IF(TrRoad_act!G80=0,0,TrRoad_ene!G83/TrRoad_tech!G111)</f>
        <v>0.96075060731709538</v>
      </c>
      <c r="H138" s="151">
        <f>IF(TrRoad_act!H80=0,0,TrRoad_ene!H83/TrRoad_tech!H111)</f>
        <v>1.1576348018432141</v>
      </c>
      <c r="I138" s="151">
        <f>IF(TrRoad_act!I80=0,0,TrRoad_ene!I83/TrRoad_tech!I111)</f>
        <v>0.97124313891083036</v>
      </c>
      <c r="J138" s="151">
        <f>IF(TrRoad_act!J80=0,0,TrRoad_ene!J83/TrRoad_tech!J111)</f>
        <v>1.0887714721818966</v>
      </c>
      <c r="K138" s="151">
        <f>IF(TrRoad_act!K80=0,0,TrRoad_ene!K83/TrRoad_tech!K111)</f>
        <v>1.3013610894240293</v>
      </c>
      <c r="L138" s="151">
        <f>IF(TrRoad_act!L80=0,0,TrRoad_ene!L83/TrRoad_tech!L111)</f>
        <v>1.5247370135558183</v>
      </c>
      <c r="M138" s="151">
        <f>IF(TrRoad_act!M80=0,0,TrRoad_ene!M83/TrRoad_tech!M111)</f>
        <v>1.6160028871431469</v>
      </c>
      <c r="N138" s="151">
        <f>IF(TrRoad_act!N80=0,0,TrRoad_ene!N83/TrRoad_tech!N111)</f>
        <v>1.3689456480218443</v>
      </c>
      <c r="O138" s="151">
        <f>IF(TrRoad_act!O80=0,0,TrRoad_ene!O83/TrRoad_tech!O111)</f>
        <v>1.3552787807341171</v>
      </c>
      <c r="P138" s="151">
        <f>IF(TrRoad_act!P80=0,0,TrRoad_ene!P83/TrRoad_tech!P111)</f>
        <v>1.296436630960393</v>
      </c>
      <c r="Q138" s="151">
        <f>IF(TrRoad_act!Q80=0,0,TrRoad_ene!Q83/TrRoad_tech!Q111)</f>
        <v>1.2164746113959692</v>
      </c>
      <c r="R138" s="151">
        <f>IF(TrRoad_act!R80=0,0,TrRoad_ene!R83/TrRoad_tech!R111)</f>
        <v>1.368384800272427</v>
      </c>
      <c r="S138" s="151">
        <f>IF(TrRoad_act!S80=0,0,TrRoad_ene!S83/TrRoad_tech!S111)</f>
        <v>1.4943094761689386</v>
      </c>
      <c r="T138" s="151">
        <f>IF(TrRoad_act!T80=0,0,TrRoad_ene!T83/TrRoad_tech!T111)</f>
        <v>1.3971005629186934</v>
      </c>
      <c r="U138" s="151">
        <f>IF(TrRoad_act!U80=0,0,TrRoad_ene!U83/TrRoad_tech!U111)</f>
        <v>1.4224235620371219</v>
      </c>
      <c r="V138" s="151">
        <f>IF(TrRoad_act!V80=0,0,TrRoad_ene!V83/TrRoad_tech!V111)</f>
        <v>1.480083436099364</v>
      </c>
      <c r="W138" s="151">
        <f>IF(TrRoad_act!W80=0,0,TrRoad_ene!W83/TrRoad_tech!W111)</f>
        <v>1.4213211505976975</v>
      </c>
      <c r="X138" s="151">
        <f>IF(TrRoad_act!X80=0,0,TrRoad_ene!X83/TrRoad_tech!X111)</f>
        <v>1.7464810700987166</v>
      </c>
      <c r="Y138" s="151">
        <f>IF(TrRoad_act!Y80=0,0,TrRoad_ene!Y83/TrRoad_tech!Y111)</f>
        <v>1.8037798926827362</v>
      </c>
      <c r="DA138" s="176"/>
    </row>
    <row r="139" spans="1:105" ht="11.45" customHeight="1" x14ac:dyDescent="0.25">
      <c r="A139" s="128" t="s">
        <v>27</v>
      </c>
      <c r="B139" s="93">
        <f>IF(TrRoad_act!B81=0,0,TrRoad_ene!B84/TrRoad_tech!B112)</f>
        <v>1.082230263350453</v>
      </c>
      <c r="C139" s="93">
        <f>IF(TrRoad_act!C81=0,0,TrRoad_ene!C84/TrRoad_tech!C112)</f>
        <v>1.2441642847655672</v>
      </c>
      <c r="D139" s="93">
        <f>IF(TrRoad_act!D81=0,0,TrRoad_ene!D84/TrRoad_tech!D112)</f>
        <v>1.2861501659107577</v>
      </c>
      <c r="E139" s="93">
        <f>IF(TrRoad_act!E81=0,0,TrRoad_ene!E84/TrRoad_tech!E112)</f>
        <v>1.3016281222835593</v>
      </c>
      <c r="F139" s="93">
        <f>IF(TrRoad_act!F81=0,0,TrRoad_ene!F84/TrRoad_tech!F112)</f>
        <v>1.1933549940071249</v>
      </c>
      <c r="G139" s="93">
        <f>IF(TrRoad_act!G81=0,0,TrRoad_ene!G84/TrRoad_tech!G112)</f>
        <v>1.0487546619008157</v>
      </c>
      <c r="H139" s="93">
        <f>IF(TrRoad_act!H81=0,0,TrRoad_ene!H84/TrRoad_tech!H112)</f>
        <v>1.131005060326173</v>
      </c>
      <c r="I139" s="93">
        <f>IF(TrRoad_act!I81=0,0,TrRoad_ene!I84/TrRoad_tech!I112)</f>
        <v>1.0585177033377191</v>
      </c>
      <c r="J139" s="93">
        <f>IF(TrRoad_act!J81=0,0,TrRoad_ene!J84/TrRoad_tech!J112)</f>
        <v>1.1083259655724931</v>
      </c>
      <c r="K139" s="93">
        <f>IF(TrRoad_act!K81=0,0,TrRoad_ene!K84/TrRoad_tech!K112)</f>
        <v>1.1969267066602174</v>
      </c>
      <c r="L139" s="93">
        <f>IF(TrRoad_act!L81=0,0,TrRoad_ene!L84/TrRoad_tech!L112)</f>
        <v>1.287170564964873</v>
      </c>
      <c r="M139" s="93">
        <f>IF(TrRoad_act!M81=0,0,TrRoad_ene!M84/TrRoad_tech!M112)</f>
        <v>1.3250156965249116</v>
      </c>
      <c r="N139" s="93">
        <f>IF(TrRoad_act!N81=0,0,TrRoad_ene!N84/TrRoad_tech!N112)</f>
        <v>1.2291914339646424</v>
      </c>
      <c r="O139" s="93">
        <f>IF(TrRoad_act!O81=0,0,TrRoad_ene!O84/TrRoad_tech!O112)</f>
        <v>1.2303717430031189</v>
      </c>
      <c r="P139" s="93">
        <f>IF(TrRoad_act!P81=0,0,TrRoad_ene!P84/TrRoad_tech!P112)</f>
        <v>1.2114990473312761</v>
      </c>
      <c r="Q139" s="93">
        <f>IF(TrRoad_act!Q81=0,0,TrRoad_ene!Q84/TrRoad_tech!Q112)</f>
        <v>1.1849946041280923</v>
      </c>
      <c r="R139" s="93">
        <f>IF(TrRoad_act!R81=0,0,TrRoad_ene!R84/TrRoad_tech!R112)</f>
        <v>1.2547244074748114</v>
      </c>
      <c r="S139" s="93">
        <f>IF(TrRoad_act!S81=0,0,TrRoad_ene!S84/TrRoad_tech!S112)</f>
        <v>1.3143666432577805</v>
      </c>
      <c r="T139" s="93">
        <f>IF(TrRoad_act!T81=0,0,TrRoad_ene!T84/TrRoad_tech!T112)</f>
        <v>1.2880187818986222</v>
      </c>
      <c r="U139" s="93">
        <f>IF(TrRoad_act!U81=0,0,TrRoad_ene!U84/TrRoad_tech!U112)</f>
        <v>1.3090610164763612</v>
      </c>
      <c r="V139" s="93">
        <f>IF(TrRoad_act!V81=0,0,TrRoad_ene!V84/TrRoad_tech!V112)</f>
        <v>1.3374634737222084</v>
      </c>
      <c r="W139" s="93">
        <f>IF(TrRoad_act!W81=0,0,TrRoad_ene!W84/TrRoad_tech!W112)</f>
        <v>1.3258918099246688</v>
      </c>
      <c r="X139" s="93">
        <f>IF(TrRoad_act!X81=0,0,TrRoad_ene!X84/TrRoad_tech!X112)</f>
        <v>1.4691045180534161</v>
      </c>
      <c r="Y139" s="93">
        <f>IF(TrRoad_act!Y81=0,0,TrRoad_ene!Y84/TrRoad_tech!Y112)</f>
        <v>1.5052634389425037</v>
      </c>
      <c r="DA139" s="175"/>
    </row>
    <row r="140" spans="1:105" ht="11.45" customHeight="1" x14ac:dyDescent="0.25">
      <c r="A140" s="138" t="s">
        <v>116</v>
      </c>
      <c r="B140" s="94">
        <f>IF(TrRoad_act!B82=0,0,TrRoad_ene!B85/TrRoad_tech!B113)</f>
        <v>1.028950534728782</v>
      </c>
      <c r="C140" s="94">
        <f>IF(TrRoad_act!C82=0,0,TrRoad_ene!C85/TrRoad_tech!C113)</f>
        <v>1.6765869830552211</v>
      </c>
      <c r="D140" s="94">
        <f>IF(TrRoad_act!D82=0,0,TrRoad_ene!D85/TrRoad_tech!D113)</f>
        <v>1.8371401901899369</v>
      </c>
      <c r="E140" s="94">
        <f>IF(TrRoad_act!E82=0,0,TrRoad_ene!E85/TrRoad_tech!E113)</f>
        <v>1.9478741782376527</v>
      </c>
      <c r="F140" s="94">
        <f>IF(TrRoad_act!F82=0,0,TrRoad_ene!F85/TrRoad_tech!F113)</f>
        <v>1.4657907171004405</v>
      </c>
      <c r="G140" s="94">
        <f>IF(TrRoad_act!G82=0,0,TrRoad_ene!G85/TrRoad_tech!G113)</f>
        <v>0.81091537093879784</v>
      </c>
      <c r="H140" s="94">
        <f>IF(TrRoad_act!H82=0,0,TrRoad_ene!H85/TrRoad_tech!H113)</f>
        <v>1.1841582273414617</v>
      </c>
      <c r="I140" s="94">
        <f>IF(TrRoad_act!I82=0,0,TrRoad_ene!I85/TrRoad_tech!I113)</f>
        <v>0.75733404907400959</v>
      </c>
      <c r="J140" s="94">
        <f>IF(TrRoad_act!J82=0,0,TrRoad_ene!J85/TrRoad_tech!J113)</f>
        <v>1.011134557159074</v>
      </c>
      <c r="K140" s="94">
        <f>IF(TrRoad_act!K82=0,0,TrRoad_ene!K85/TrRoad_tech!K113)</f>
        <v>1.7793689652155475</v>
      </c>
      <c r="L140" s="94">
        <f>IF(TrRoad_act!L82=0,0,TrRoad_ene!L85/TrRoad_tech!L113)</f>
        <v>2.2908752550456493</v>
      </c>
      <c r="M140" s="94">
        <f>IF(TrRoad_act!M82=0,0,TrRoad_ene!M85/TrRoad_tech!M113)</f>
        <v>2.541294011581186</v>
      </c>
      <c r="N140" s="94">
        <f>IF(TrRoad_act!N82=0,0,TrRoad_ene!N85/TrRoad_tech!N113)</f>
        <v>1.7820781417717815</v>
      </c>
      <c r="O140" s="94">
        <f>IF(TrRoad_act!O82=0,0,TrRoad_ene!O85/TrRoad_tech!O113)</f>
        <v>1.6939442877256305</v>
      </c>
      <c r="P140" s="94">
        <f>IF(TrRoad_act!P82=0,0,TrRoad_ene!P85/TrRoad_tech!P113)</f>
        <v>1.5177486942685974</v>
      </c>
      <c r="Q140" s="94">
        <f>IF(TrRoad_act!Q82=0,0,TrRoad_ene!Q85/TrRoad_tech!Q113)</f>
        <v>1.2895064184448959</v>
      </c>
      <c r="R140" s="94">
        <f>IF(TrRoad_act!R82=0,0,TrRoad_ene!R85/TrRoad_tech!R113)</f>
        <v>1.6485886444241056</v>
      </c>
      <c r="S140" s="94">
        <f>IF(TrRoad_act!S82=0,0,TrRoad_ene!S85/TrRoad_tech!S113)</f>
        <v>1.8878810677685429</v>
      </c>
      <c r="T140" s="94">
        <f>IF(TrRoad_act!T82=0,0,TrRoad_ene!T85/TrRoad_tech!T113)</f>
        <v>1.6277159641777261</v>
      </c>
      <c r="U140" s="94">
        <f>IF(TrRoad_act!U82=0,0,TrRoad_ene!U85/TrRoad_tech!U113)</f>
        <v>1.6821363287634532</v>
      </c>
      <c r="V140" s="94">
        <f>IF(TrRoad_act!V82=0,0,TrRoad_ene!V85/TrRoad_tech!V113)</f>
        <v>1.9252154103759975</v>
      </c>
      <c r="W140" s="94">
        <f>IF(TrRoad_act!W82=0,0,TrRoad_ene!W85/TrRoad_tech!W113)</f>
        <v>1.6500437424130618</v>
      </c>
      <c r="X140" s="94">
        <f>IF(TrRoad_act!X82=0,0,TrRoad_ene!X85/TrRoad_tech!X113)</f>
        <v>2.5072422724122441</v>
      </c>
      <c r="Y140" s="94">
        <f>IF(TrRoad_act!Y82=0,0,TrRoad_ene!Y85/TrRoad_tech!Y113)</f>
        <v>2.564305008011909</v>
      </c>
      <c r="DA140" s="178"/>
    </row>
    <row r="141" spans="1:105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DA141" s="171"/>
    </row>
    <row r="142" spans="1:105" ht="11.45" customHeight="1" x14ac:dyDescent="0.25">
      <c r="A142" s="53" t="s">
        <v>122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DA142" s="172"/>
    </row>
    <row r="143" spans="1:105" ht="11.45" customHeight="1" x14ac:dyDescent="0.25">
      <c r="A143" s="27" t="s">
        <v>33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DA143" s="173"/>
    </row>
    <row r="144" spans="1:105" ht="11.45" customHeight="1" x14ac:dyDescent="0.25">
      <c r="A144" s="136" t="s">
        <v>173</v>
      </c>
      <c r="B144" s="141">
        <v>0</v>
      </c>
      <c r="C144" s="141">
        <v>3.8437242853237188</v>
      </c>
      <c r="D144" s="141">
        <v>3.820480682155881</v>
      </c>
      <c r="E144" s="141">
        <v>3.7726607004092041</v>
      </c>
      <c r="F144" s="141">
        <v>3.7674362207980847</v>
      </c>
      <c r="G144" s="141">
        <v>3.7166841331472078</v>
      </c>
      <c r="H144" s="141">
        <v>3.6417288440325737</v>
      </c>
      <c r="I144" s="141">
        <v>3.5883112055596977</v>
      </c>
      <c r="J144" s="141">
        <v>3.4140908038337896</v>
      </c>
      <c r="K144" s="141">
        <v>3.226169470882803</v>
      </c>
      <c r="L144" s="141">
        <v>3.1088319236983724</v>
      </c>
      <c r="M144" s="141">
        <v>2.959614442097509</v>
      </c>
      <c r="N144" s="141">
        <v>2.9219281282341076</v>
      </c>
      <c r="O144" s="141">
        <v>2.767496147863663</v>
      </c>
      <c r="P144" s="141">
        <v>2.7149810364121909</v>
      </c>
      <c r="Q144" s="141">
        <v>2.6547160786120219</v>
      </c>
      <c r="R144" s="141">
        <v>2.5954162002661705</v>
      </c>
      <c r="S144" s="141">
        <v>2.5479762975894893</v>
      </c>
      <c r="T144" s="141">
        <v>2.5100243754481442</v>
      </c>
      <c r="U144" s="141">
        <v>2.4796628377350682</v>
      </c>
      <c r="V144" s="141">
        <v>2.4553736075646073</v>
      </c>
      <c r="W144" s="141">
        <v>2.4359422234282389</v>
      </c>
      <c r="X144" s="141">
        <v>2.420397116119144</v>
      </c>
      <c r="Y144" s="141">
        <v>2.4079610302718679</v>
      </c>
      <c r="DA144" s="174" t="s">
        <v>887</v>
      </c>
    </row>
    <row r="145" spans="1:105" ht="11.45" customHeight="1" x14ac:dyDescent="0.25">
      <c r="A145" s="109" t="s">
        <v>20</v>
      </c>
      <c r="B145" s="130">
        <v>7.2277775801201445</v>
      </c>
      <c r="C145" s="130">
        <v>7.2474754590540957</v>
      </c>
      <c r="D145" s="130">
        <v>7.2499668043363377</v>
      </c>
      <c r="E145" s="130">
        <v>7.2169342581463036</v>
      </c>
      <c r="F145" s="130">
        <v>7.2335570834309744</v>
      </c>
      <c r="G145" s="130">
        <v>7.1223709336759535</v>
      </c>
      <c r="H145" s="130">
        <v>7.0635118511325947</v>
      </c>
      <c r="I145" s="130">
        <v>6.9949579441770613</v>
      </c>
      <c r="J145" s="130">
        <v>6.6719447362274042</v>
      </c>
      <c r="K145" s="130">
        <v>6.3360740198644976</v>
      </c>
      <c r="L145" s="130">
        <v>6.1009285570748339</v>
      </c>
      <c r="M145" s="130">
        <v>5.8109457472266834</v>
      </c>
      <c r="N145" s="130">
        <v>5.7376659415539129</v>
      </c>
      <c r="O145" s="130">
        <v>5.4552460230850803</v>
      </c>
      <c r="P145" s="130">
        <v>5.3209270695630915</v>
      </c>
      <c r="Q145" s="130">
        <v>5.1827038650331412</v>
      </c>
      <c r="R145" s="130">
        <v>5.0322702378017086</v>
      </c>
      <c r="S145" s="130">
        <v>4.9752285289102067</v>
      </c>
      <c r="T145" s="130">
        <v>5.02835606916587</v>
      </c>
      <c r="U145" s="130">
        <v>5.212075683945244</v>
      </c>
      <c r="V145" s="130">
        <v>4.7828701950937038</v>
      </c>
      <c r="W145" s="130">
        <v>4.7010415804370638</v>
      </c>
      <c r="X145" s="130">
        <v>4.6643421627412325</v>
      </c>
      <c r="Y145" s="130">
        <v>4.6737163287250691</v>
      </c>
      <c r="DA145" s="176" t="s">
        <v>888</v>
      </c>
    </row>
    <row r="146" spans="1:105" ht="11.45" customHeight="1" x14ac:dyDescent="0.25">
      <c r="A146" s="111" t="s">
        <v>110</v>
      </c>
      <c r="B146" s="96">
        <v>7.5568043891524752</v>
      </c>
      <c r="C146" s="96">
        <v>7.5595426533314054</v>
      </c>
      <c r="D146" s="96">
        <v>7.5138289141240211</v>
      </c>
      <c r="E146" s="96">
        <v>7.4197802350666251</v>
      </c>
      <c r="F146" s="96">
        <v>7.4095051285475346</v>
      </c>
      <c r="G146" s="96">
        <v>7.3096898080763637</v>
      </c>
      <c r="H146" s="96">
        <v>7.162273483935115</v>
      </c>
      <c r="I146" s="96">
        <v>7.0572157621786946</v>
      </c>
      <c r="J146" s="96">
        <v>6.7145724141747127</v>
      </c>
      <c r="K146" s="96">
        <v>6.3449831235645417</v>
      </c>
      <c r="L146" s="96">
        <v>6.1142126189878088</v>
      </c>
      <c r="M146" s="96">
        <v>5.8179095207657161</v>
      </c>
      <c r="N146" s="96">
        <v>5.7423211117582875</v>
      </c>
      <c r="O146" s="96">
        <v>5.4415335028952523</v>
      </c>
      <c r="P146" s="96">
        <v>5.3406215755222615</v>
      </c>
      <c r="Q146" s="96">
        <v>5.223223474357118</v>
      </c>
      <c r="R146" s="96">
        <v>5.2000711008446299</v>
      </c>
      <c r="S146" s="96">
        <v>5.0550216262540415</v>
      </c>
      <c r="T146" s="96">
        <v>5.0328018481978987</v>
      </c>
      <c r="U146" s="96">
        <v>5.1498871268211088</v>
      </c>
      <c r="V146" s="96">
        <v>4.9375247542716734</v>
      </c>
      <c r="W146" s="96">
        <v>4.656665043892521</v>
      </c>
      <c r="X146" s="96">
        <v>4.6747183974786459</v>
      </c>
      <c r="Y146" s="96">
        <v>4.6206125328111467</v>
      </c>
      <c r="DA146" s="171" t="s">
        <v>889</v>
      </c>
    </row>
    <row r="147" spans="1:105" ht="11.45" customHeight="1" x14ac:dyDescent="0.25">
      <c r="A147" s="111" t="s">
        <v>111</v>
      </c>
      <c r="B147" s="96">
        <v>6.8730306455076491</v>
      </c>
      <c r="C147" s="96">
        <v>6.9110138774322802</v>
      </c>
      <c r="D147" s="96">
        <v>6.9071989968182148</v>
      </c>
      <c r="E147" s="96">
        <v>6.9229353793512249</v>
      </c>
      <c r="F147" s="96">
        <v>6.8772760270016606</v>
      </c>
      <c r="G147" s="96">
        <v>6.8977810103022472</v>
      </c>
      <c r="H147" s="96">
        <v>6.942009782421537</v>
      </c>
      <c r="I147" s="96">
        <v>6.8781105321359863</v>
      </c>
      <c r="J147" s="96">
        <v>6.5677938371858176</v>
      </c>
      <c r="K147" s="96">
        <v>6.3096933206406343</v>
      </c>
      <c r="L147" s="96">
        <v>6.0673291866285002</v>
      </c>
      <c r="M147" s="96">
        <v>5.761817411697554</v>
      </c>
      <c r="N147" s="96">
        <v>5.7436717776953685</v>
      </c>
      <c r="O147" s="96">
        <v>5.4925195764347663</v>
      </c>
      <c r="P147" s="96">
        <v>5.2939130377211505</v>
      </c>
      <c r="Q147" s="96">
        <v>5.1371033336643803</v>
      </c>
      <c r="R147" s="96">
        <v>4.9248205980061108</v>
      </c>
      <c r="S147" s="96">
        <v>4.9466646388374178</v>
      </c>
      <c r="T147" s="96">
        <v>5.0483922810103774</v>
      </c>
      <c r="U147" s="96">
        <v>5.3023375619086242</v>
      </c>
      <c r="V147" s="96">
        <v>4.7467876401269544</v>
      </c>
      <c r="W147" s="96">
        <v>4.8381015446673343</v>
      </c>
      <c r="X147" s="96">
        <v>4.7810352357644916</v>
      </c>
      <c r="Y147" s="96">
        <v>4.8566840142028624</v>
      </c>
      <c r="DA147" s="171" t="s">
        <v>890</v>
      </c>
    </row>
    <row r="148" spans="1:105" ht="11.45" customHeight="1" x14ac:dyDescent="0.25">
      <c r="A148" s="111" t="s">
        <v>112</v>
      </c>
      <c r="B148" s="96">
        <v>0</v>
      </c>
      <c r="C148" s="96">
        <v>0</v>
      </c>
      <c r="D148" s="96">
        <v>8.5273463053453114</v>
      </c>
      <c r="E148" s="96">
        <v>8.5467738017174533</v>
      </c>
      <c r="F148" s="96">
        <v>8.4904046266376731</v>
      </c>
      <c r="G148" s="96">
        <v>0</v>
      </c>
      <c r="H148" s="96">
        <v>0</v>
      </c>
      <c r="I148" s="96">
        <v>8.4914348726574094</v>
      </c>
      <c r="J148" s="96">
        <v>0</v>
      </c>
      <c r="K148" s="96">
        <v>0</v>
      </c>
      <c r="L148" s="96">
        <v>7.4904772754835989</v>
      </c>
      <c r="M148" s="96">
        <v>5.882462390545462</v>
      </c>
      <c r="N148" s="96">
        <v>5.7661469698026258</v>
      </c>
      <c r="O148" s="96">
        <v>5.3494055367745705</v>
      </c>
      <c r="P148" s="96">
        <v>5.3293942685001996</v>
      </c>
      <c r="Q148" s="96">
        <v>5.1621821243744757</v>
      </c>
      <c r="R148" s="96">
        <v>4.5200771577141676</v>
      </c>
      <c r="S148" s="96">
        <v>4.8656151469841147</v>
      </c>
      <c r="T148" s="96">
        <v>4.6530354348145782</v>
      </c>
      <c r="U148" s="96">
        <v>4.5871088120968633</v>
      </c>
      <c r="V148" s="96">
        <v>4.5189557328343604</v>
      </c>
      <c r="W148" s="96">
        <v>4.254505774017268</v>
      </c>
      <c r="X148" s="96">
        <v>4.2469184301602629</v>
      </c>
      <c r="Y148" s="96">
        <v>4.2214481327826743</v>
      </c>
      <c r="DA148" s="171" t="s">
        <v>891</v>
      </c>
    </row>
    <row r="149" spans="1:105" ht="11.45" customHeight="1" x14ac:dyDescent="0.25">
      <c r="A149" s="111" t="s">
        <v>113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0</v>
      </c>
      <c r="L149" s="96">
        <v>0</v>
      </c>
      <c r="M149" s="96">
        <v>0</v>
      </c>
      <c r="N149" s="96">
        <v>0</v>
      </c>
      <c r="O149" s="96">
        <v>0</v>
      </c>
      <c r="P149" s="96">
        <v>0</v>
      </c>
      <c r="Q149" s="96">
        <v>0</v>
      </c>
      <c r="R149" s="96">
        <v>0</v>
      </c>
      <c r="S149" s="96">
        <v>0</v>
      </c>
      <c r="T149" s="96">
        <v>0</v>
      </c>
      <c r="U149" s="96">
        <v>0</v>
      </c>
      <c r="V149" s="96">
        <v>0</v>
      </c>
      <c r="W149" s="96">
        <v>0</v>
      </c>
      <c r="X149" s="96">
        <v>0</v>
      </c>
      <c r="Y149" s="96">
        <v>0</v>
      </c>
      <c r="DA149" s="171" t="s">
        <v>892</v>
      </c>
    </row>
    <row r="150" spans="1:105" ht="11.45" customHeight="1" x14ac:dyDescent="0.25">
      <c r="A150" s="111" t="s">
        <v>114</v>
      </c>
      <c r="B150" s="96">
        <v>0</v>
      </c>
      <c r="C150" s="96">
        <v>0</v>
      </c>
      <c r="D150" s="96">
        <v>0</v>
      </c>
      <c r="E150" s="96">
        <v>0</v>
      </c>
      <c r="F150" s="96">
        <v>0</v>
      </c>
      <c r="G150" s="96">
        <v>0</v>
      </c>
      <c r="H150" s="96">
        <v>0</v>
      </c>
      <c r="I150" s="96">
        <v>0</v>
      </c>
      <c r="J150" s="96">
        <v>0</v>
      </c>
      <c r="K150" s="96">
        <v>0</v>
      </c>
      <c r="L150" s="96">
        <v>0</v>
      </c>
      <c r="M150" s="96">
        <v>0</v>
      </c>
      <c r="N150" s="96">
        <v>5.3974537246214611</v>
      </c>
      <c r="O150" s="96">
        <v>2.9366775317412839</v>
      </c>
      <c r="P150" s="96">
        <v>2.72269308568724</v>
      </c>
      <c r="Q150" s="96">
        <v>2.8534251147941379</v>
      </c>
      <c r="R150" s="96">
        <v>3.4163216703274095</v>
      </c>
      <c r="S150" s="96">
        <v>3.7664365699316034</v>
      </c>
      <c r="T150" s="96">
        <v>3.2352575970732405</v>
      </c>
      <c r="U150" s="96">
        <v>3.1755602433582579</v>
      </c>
      <c r="V150" s="96">
        <v>3.119896357493392</v>
      </c>
      <c r="W150" s="96">
        <v>2.8880035370134474</v>
      </c>
      <c r="X150" s="96">
        <v>2.8295288283614064</v>
      </c>
      <c r="Y150" s="96">
        <v>3.870945866882364</v>
      </c>
      <c r="DA150" s="171" t="s">
        <v>893</v>
      </c>
    </row>
    <row r="151" spans="1:105" ht="11.45" customHeight="1" x14ac:dyDescent="0.25">
      <c r="A151" s="111" t="s">
        <v>115</v>
      </c>
      <c r="B151" s="96">
        <v>0</v>
      </c>
      <c r="C151" s="96">
        <v>0</v>
      </c>
      <c r="D151" s="96">
        <v>0</v>
      </c>
      <c r="E151" s="96">
        <v>0</v>
      </c>
      <c r="F151" s="96">
        <v>0</v>
      </c>
      <c r="G151" s="96">
        <v>0</v>
      </c>
      <c r="H151" s="96">
        <v>0</v>
      </c>
      <c r="I151" s="96">
        <v>0</v>
      </c>
      <c r="J151" s="96">
        <v>0</v>
      </c>
      <c r="K151" s="96">
        <v>1.3221397492084079</v>
      </c>
      <c r="L151" s="96">
        <v>1.3089183517163236</v>
      </c>
      <c r="M151" s="96">
        <v>1.3089183517163236</v>
      </c>
      <c r="N151" s="96">
        <v>1.2076628887008996</v>
      </c>
      <c r="O151" s="96">
        <v>1.2575236457437662</v>
      </c>
      <c r="P151" s="96">
        <v>1.3204765999262993</v>
      </c>
      <c r="Q151" s="96">
        <v>1.5435814146046303</v>
      </c>
      <c r="R151" s="96">
        <v>1.2205154423555109</v>
      </c>
      <c r="S151" s="96">
        <v>1.1825043209394026</v>
      </c>
      <c r="T151" s="96">
        <v>1.2047593595315005</v>
      </c>
      <c r="U151" s="96">
        <v>1.5751754101542363</v>
      </c>
      <c r="V151" s="96">
        <v>1.4290763900121739</v>
      </c>
      <c r="W151" s="96">
        <v>1.3075577905018538</v>
      </c>
      <c r="X151" s="96">
        <v>1.2792213085349311</v>
      </c>
      <c r="Y151" s="96">
        <v>1.3174729357341013</v>
      </c>
      <c r="DA151" s="171" t="s">
        <v>894</v>
      </c>
    </row>
    <row r="152" spans="1:105" ht="11.45" customHeight="1" x14ac:dyDescent="0.25">
      <c r="A152" s="109" t="s">
        <v>21</v>
      </c>
      <c r="B152" s="130">
        <v>47.517670563138573</v>
      </c>
      <c r="C152" s="130">
        <v>47.45271803720432</v>
      </c>
      <c r="D152" s="130">
        <v>0</v>
      </c>
      <c r="E152" s="130">
        <v>47.230984787751844</v>
      </c>
      <c r="F152" s="130">
        <v>47.214616109905933</v>
      </c>
      <c r="G152" s="130">
        <v>47.053983151087301</v>
      </c>
      <c r="H152" s="130">
        <v>46.813102392629524</v>
      </c>
      <c r="I152" s="130">
        <v>46.639526771889976</v>
      </c>
      <c r="J152" s="130">
        <v>45.325894965631925</v>
      </c>
      <c r="K152" s="130">
        <v>45.381478262822952</v>
      </c>
      <c r="L152" s="130">
        <v>44.846380582743009</v>
      </c>
      <c r="M152" s="130">
        <v>44.361180476508167</v>
      </c>
      <c r="N152" s="130">
        <v>44.264272050676674</v>
      </c>
      <c r="O152" s="130">
        <v>43.645627088916491</v>
      </c>
      <c r="P152" s="130">
        <v>43.438535539854804</v>
      </c>
      <c r="Q152" s="130">
        <v>43.19285605325539</v>
      </c>
      <c r="R152" s="130">
        <v>42.605899964186726</v>
      </c>
      <c r="S152" s="130">
        <v>41.787766018637264</v>
      </c>
      <c r="T152" s="130">
        <v>40.604332986964344</v>
      </c>
      <c r="U152" s="130">
        <v>39.247619367526973</v>
      </c>
      <c r="V152" s="130">
        <v>36.724752185165215</v>
      </c>
      <c r="W152" s="130">
        <v>36.034525922077449</v>
      </c>
      <c r="X152" s="130">
        <v>34.2812212299241</v>
      </c>
      <c r="Y152" s="130">
        <v>31.79785334209053</v>
      </c>
      <c r="DA152" s="176" t="s">
        <v>895</v>
      </c>
    </row>
    <row r="153" spans="1:105" ht="11.45" customHeight="1" x14ac:dyDescent="0.25">
      <c r="A153" s="111" t="s">
        <v>110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14.225378349307457</v>
      </c>
      <c r="K153" s="97">
        <v>0</v>
      </c>
      <c r="L153" s="97">
        <v>12.953466348743218</v>
      </c>
      <c r="M153" s="97">
        <v>12.331726842072955</v>
      </c>
      <c r="N153" s="97">
        <v>0</v>
      </c>
      <c r="O153" s="97">
        <v>0</v>
      </c>
      <c r="P153" s="97">
        <v>0</v>
      </c>
      <c r="Q153" s="97">
        <v>0</v>
      </c>
      <c r="R153" s="97">
        <v>0</v>
      </c>
      <c r="S153" s="97">
        <v>0</v>
      </c>
      <c r="T153" s="97">
        <v>0</v>
      </c>
      <c r="U153" s="97">
        <v>0</v>
      </c>
      <c r="V153" s="97">
        <v>0</v>
      </c>
      <c r="W153" s="97">
        <v>0</v>
      </c>
      <c r="X153" s="97">
        <v>9.1002345723379801</v>
      </c>
      <c r="Y153" s="97">
        <v>0</v>
      </c>
      <c r="DA153" s="175" t="s">
        <v>896</v>
      </c>
    </row>
    <row r="154" spans="1:105" ht="11.45" customHeight="1" x14ac:dyDescent="0.25">
      <c r="A154" s="111" t="s">
        <v>111</v>
      </c>
      <c r="B154" s="97">
        <v>47.517670563138573</v>
      </c>
      <c r="C154" s="97">
        <v>47.45271803720432</v>
      </c>
      <c r="D154" s="97">
        <v>0</v>
      </c>
      <c r="E154" s="97">
        <v>47.230984787751844</v>
      </c>
      <c r="F154" s="97">
        <v>47.214616109905933</v>
      </c>
      <c r="G154" s="97">
        <v>47.053983151087301</v>
      </c>
      <c r="H154" s="97">
        <v>46.813102392629524</v>
      </c>
      <c r="I154" s="97">
        <v>46.639526771889976</v>
      </c>
      <c r="J154" s="97">
        <v>46.052020321295842</v>
      </c>
      <c r="K154" s="97">
        <v>45.391024219546303</v>
      </c>
      <c r="L154" s="97">
        <v>44.966726164636057</v>
      </c>
      <c r="M154" s="97">
        <v>44.406999487511762</v>
      </c>
      <c r="N154" s="97">
        <v>44.264272050676674</v>
      </c>
      <c r="O154" s="97">
        <v>43.655258731480998</v>
      </c>
      <c r="P154" s="97">
        <v>43.445171809234452</v>
      </c>
      <c r="Q154" s="97">
        <v>43.199999999908329</v>
      </c>
      <c r="R154" s="97">
        <v>42.636684314059075</v>
      </c>
      <c r="S154" s="97">
        <v>41.798895451858144</v>
      </c>
      <c r="T154" s="97">
        <v>40.730498098088134</v>
      </c>
      <c r="U154" s="97">
        <v>39.473970965552567</v>
      </c>
      <c r="V154" s="97">
        <v>38.069263602234095</v>
      </c>
      <c r="W154" s="97">
        <v>36.553034897916845</v>
      </c>
      <c r="X154" s="97">
        <v>34.958209581791202</v>
      </c>
      <c r="Y154" s="97">
        <v>33.313788213991835</v>
      </c>
      <c r="DA154" s="175" t="s">
        <v>897</v>
      </c>
    </row>
    <row r="155" spans="1:105" ht="11.45" customHeight="1" x14ac:dyDescent="0.25">
      <c r="A155" s="111" t="s">
        <v>112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38.34606291309845</v>
      </c>
      <c r="K155" s="97">
        <v>37.825853516288582</v>
      </c>
      <c r="L155" s="97">
        <v>37.472271803863379</v>
      </c>
      <c r="M155" s="97">
        <v>37.005832906259805</v>
      </c>
      <c r="N155" s="97">
        <v>0</v>
      </c>
      <c r="O155" s="97">
        <v>36.379382276234168</v>
      </c>
      <c r="P155" s="97">
        <v>36.403011366042769</v>
      </c>
      <c r="Q155" s="97">
        <v>0</v>
      </c>
      <c r="R155" s="97">
        <v>0</v>
      </c>
      <c r="S155" s="97">
        <v>0</v>
      </c>
      <c r="T155" s="97">
        <v>0</v>
      </c>
      <c r="U155" s="97">
        <v>0</v>
      </c>
      <c r="V155" s="97">
        <v>0</v>
      </c>
      <c r="W155" s="97">
        <v>0</v>
      </c>
      <c r="X155" s="97">
        <v>0</v>
      </c>
      <c r="Y155" s="97">
        <v>0</v>
      </c>
      <c r="DA155" s="175" t="s">
        <v>898</v>
      </c>
    </row>
    <row r="156" spans="1:105" ht="11.45" customHeight="1" x14ac:dyDescent="0.25">
      <c r="A156" s="111" t="s">
        <v>113</v>
      </c>
      <c r="B156" s="97">
        <v>0</v>
      </c>
      <c r="C156" s="97">
        <v>0</v>
      </c>
      <c r="D156" s="97">
        <v>0</v>
      </c>
      <c r="E156" s="97">
        <v>0</v>
      </c>
      <c r="F156" s="97">
        <v>0</v>
      </c>
      <c r="G156" s="97">
        <v>0</v>
      </c>
      <c r="H156" s="97">
        <v>0</v>
      </c>
      <c r="I156" s="97">
        <v>0</v>
      </c>
      <c r="J156" s="97">
        <v>0</v>
      </c>
      <c r="K156" s="97">
        <v>0</v>
      </c>
      <c r="L156" s="97">
        <v>0</v>
      </c>
      <c r="M156" s="97">
        <v>0</v>
      </c>
      <c r="N156" s="97">
        <v>0</v>
      </c>
      <c r="O156" s="97">
        <v>0</v>
      </c>
      <c r="P156" s="97">
        <v>0</v>
      </c>
      <c r="Q156" s="97">
        <v>0</v>
      </c>
      <c r="R156" s="97">
        <v>0</v>
      </c>
      <c r="S156" s="97">
        <v>0</v>
      </c>
      <c r="T156" s="97">
        <v>0</v>
      </c>
      <c r="U156" s="97">
        <v>0</v>
      </c>
      <c r="V156" s="97">
        <v>0</v>
      </c>
      <c r="W156" s="97">
        <v>0</v>
      </c>
      <c r="X156" s="97">
        <v>0</v>
      </c>
      <c r="Y156" s="97">
        <v>0</v>
      </c>
      <c r="DA156" s="175" t="s">
        <v>899</v>
      </c>
    </row>
    <row r="157" spans="1:105" ht="11.45" customHeight="1" x14ac:dyDescent="0.25">
      <c r="A157" s="111" t="s">
        <v>115</v>
      </c>
      <c r="B157" s="97">
        <v>0</v>
      </c>
      <c r="C157" s="97">
        <v>0</v>
      </c>
      <c r="D157" s="97">
        <v>0</v>
      </c>
      <c r="E157" s="97">
        <v>0</v>
      </c>
      <c r="F157" s="97">
        <v>0</v>
      </c>
      <c r="G157" s="97">
        <v>0</v>
      </c>
      <c r="H157" s="97">
        <v>0</v>
      </c>
      <c r="I157" s="97">
        <v>0</v>
      </c>
      <c r="J157" s="97">
        <v>0</v>
      </c>
      <c r="K157" s="97">
        <v>0</v>
      </c>
      <c r="L157" s="97">
        <v>0</v>
      </c>
      <c r="M157" s="97">
        <v>0</v>
      </c>
      <c r="N157" s="97">
        <v>0</v>
      </c>
      <c r="O157" s="97">
        <v>23.66794140565489</v>
      </c>
      <c r="P157" s="97">
        <v>23.43126199159834</v>
      </c>
      <c r="Q157" s="97">
        <v>23.196949371682358</v>
      </c>
      <c r="R157" s="97">
        <v>22.873131696011932</v>
      </c>
      <c r="S157" s="97">
        <v>22.472634663787126</v>
      </c>
      <c r="T157" s="97">
        <v>22.007595607318581</v>
      </c>
      <c r="U157" s="97">
        <v>21.489307631518717</v>
      </c>
      <c r="V157" s="97">
        <v>20.928126276804495</v>
      </c>
      <c r="W157" s="97">
        <v>20.333425997440695</v>
      </c>
      <c r="X157" s="97">
        <v>19.713595057659486</v>
      </c>
      <c r="Y157" s="97">
        <v>19.076058990964206</v>
      </c>
      <c r="DA157" s="175" t="s">
        <v>900</v>
      </c>
    </row>
    <row r="158" spans="1:105" ht="11.45" customHeight="1" x14ac:dyDescent="0.25">
      <c r="A158" s="27" t="s">
        <v>34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DA158" s="173"/>
    </row>
    <row r="159" spans="1:105" ht="11.45" customHeight="1" x14ac:dyDescent="0.25">
      <c r="A159" s="136" t="s">
        <v>153</v>
      </c>
      <c r="B159" s="141">
        <v>0</v>
      </c>
      <c r="C159" s="141">
        <v>8.5806664062860492</v>
      </c>
      <c r="D159" s="141">
        <v>8.6181429481106466</v>
      </c>
      <c r="E159" s="141">
        <v>8.6566727653974684</v>
      </c>
      <c r="F159" s="141">
        <v>8.7048328404127151</v>
      </c>
      <c r="G159" s="141">
        <v>8.769191090564961</v>
      </c>
      <c r="H159" s="141">
        <v>8.8366173455731083</v>
      </c>
      <c r="I159" s="141">
        <v>8.8139850232806261</v>
      </c>
      <c r="J159" s="141">
        <v>8.8799905556545546</v>
      </c>
      <c r="K159" s="141">
        <v>8.7335641087045683</v>
      </c>
      <c r="L159" s="141">
        <v>8.8582211372880533</v>
      </c>
      <c r="M159" s="141">
        <v>8.9231255035976833</v>
      </c>
      <c r="N159" s="141">
        <v>8.5186723173264252</v>
      </c>
      <c r="O159" s="141">
        <v>8.2941277442075449</v>
      </c>
      <c r="P159" s="141">
        <v>8.0202358930906978</v>
      </c>
      <c r="Q159" s="141">
        <v>7.7723410870243663</v>
      </c>
      <c r="R159" s="141">
        <v>7.1539172915385745</v>
      </c>
      <c r="S159" s="141">
        <v>7.144333190567794</v>
      </c>
      <c r="T159" s="141">
        <v>6.8361596413652865</v>
      </c>
      <c r="U159" s="141">
        <v>6.8644223416292744</v>
      </c>
      <c r="V159" s="141">
        <v>6.8491700016099735</v>
      </c>
      <c r="W159" s="141">
        <v>6.7542936882449434</v>
      </c>
      <c r="X159" s="141">
        <v>6.4490109285261656</v>
      </c>
      <c r="Y159" s="141">
        <v>6.1672711699828273</v>
      </c>
      <c r="DA159" s="174" t="s">
        <v>901</v>
      </c>
    </row>
    <row r="160" spans="1:105" ht="11.45" customHeight="1" x14ac:dyDescent="0.25">
      <c r="A160" s="111" t="s">
        <v>110</v>
      </c>
      <c r="B160" s="96">
        <v>0</v>
      </c>
      <c r="C160" s="96">
        <v>8.5077325356785263</v>
      </c>
      <c r="D160" s="96">
        <v>8.4562849436458531</v>
      </c>
      <c r="E160" s="96">
        <v>8.3504397829731243</v>
      </c>
      <c r="F160" s="96">
        <v>8.3388758746722029</v>
      </c>
      <c r="G160" s="96">
        <v>8.226540765463243</v>
      </c>
      <c r="H160" s="96">
        <v>8.0606340810642987</v>
      </c>
      <c r="I160" s="96">
        <v>7.9423990186405842</v>
      </c>
      <c r="J160" s="96">
        <v>7.5567780765241137</v>
      </c>
      <c r="K160" s="96">
        <v>7.1408313748837973</v>
      </c>
      <c r="L160" s="96">
        <v>6.8811154343702272</v>
      </c>
      <c r="M160" s="96">
        <v>6.550836171636699</v>
      </c>
      <c r="N160" s="96">
        <v>6.467420958992669</v>
      </c>
      <c r="O160" s="96">
        <v>6.4009574372204119</v>
      </c>
      <c r="P160" s="96">
        <v>6.5024384843863654</v>
      </c>
      <c r="Q160" s="96">
        <v>6.4929210165709677</v>
      </c>
      <c r="R160" s="96">
        <v>5.416345795668021</v>
      </c>
      <c r="S160" s="96">
        <v>5.3351247990747828</v>
      </c>
      <c r="T160" s="96">
        <v>5.3730808487628874</v>
      </c>
      <c r="U160" s="96">
        <v>5.7660777064617701</v>
      </c>
      <c r="V160" s="96">
        <v>5.5543187259764997</v>
      </c>
      <c r="W160" s="96">
        <v>5.3557441161944652</v>
      </c>
      <c r="X160" s="96">
        <v>5.5871899294693126</v>
      </c>
      <c r="Y160" s="96">
        <v>7.2646241465303856</v>
      </c>
      <c r="DA160" s="171" t="s">
        <v>902</v>
      </c>
    </row>
    <row r="161" spans="1:105" ht="11.45" customHeight="1" x14ac:dyDescent="0.25">
      <c r="A161" s="111" t="s">
        <v>111</v>
      </c>
      <c r="B161" s="96">
        <v>0</v>
      </c>
      <c r="C161" s="96">
        <v>8.9989436453705824</v>
      </c>
      <c r="D161" s="96">
        <v>8.993976227236482</v>
      </c>
      <c r="E161" s="96">
        <v>9.0144668270396409</v>
      </c>
      <c r="F161" s="96">
        <v>8.9550130412471418</v>
      </c>
      <c r="G161" s="96">
        <v>8.9817129137179279</v>
      </c>
      <c r="H161" s="96">
        <v>9.0393039177101375</v>
      </c>
      <c r="I161" s="96">
        <v>8.9560996639639754</v>
      </c>
      <c r="J161" s="96">
        <v>8.5520312451183571</v>
      </c>
      <c r="K161" s="96">
        <v>8.2159543619832132</v>
      </c>
      <c r="L161" s="96">
        <v>7.900368078651228</v>
      </c>
      <c r="M161" s="96">
        <v>7.5025562243618822</v>
      </c>
      <c r="N161" s="96">
        <v>7.4784106765815226</v>
      </c>
      <c r="O161" s="96">
        <v>7.0054121197361852</v>
      </c>
      <c r="P161" s="96">
        <v>6.9777937353433748</v>
      </c>
      <c r="Q161" s="96">
        <v>6.927640255445751</v>
      </c>
      <c r="R161" s="96">
        <v>6.9536824146486964</v>
      </c>
      <c r="S161" s="96">
        <v>6.46182749766683</v>
      </c>
      <c r="T161" s="96">
        <v>6.2240753655352226</v>
      </c>
      <c r="U161" s="96">
        <v>6.4403850923524031</v>
      </c>
      <c r="V161" s="96">
        <v>6.6448015305063484</v>
      </c>
      <c r="W161" s="96">
        <v>6.4547967427363089</v>
      </c>
      <c r="X161" s="96">
        <v>7.2333568948007239</v>
      </c>
      <c r="Y161" s="96">
        <v>6.5065319485676882</v>
      </c>
      <c r="DA161" s="171" t="s">
        <v>903</v>
      </c>
    </row>
    <row r="162" spans="1:105" ht="11.45" customHeight="1" x14ac:dyDescent="0.25">
      <c r="A162" s="111" t="s">
        <v>112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15.607407901200304</v>
      </c>
      <c r="K162" s="96">
        <v>0</v>
      </c>
      <c r="L162" s="96">
        <v>0</v>
      </c>
      <c r="M162" s="96">
        <v>11.322921486499814</v>
      </c>
      <c r="N162" s="96">
        <v>11.099030488257799</v>
      </c>
      <c r="O162" s="96">
        <v>0</v>
      </c>
      <c r="P162" s="96">
        <v>7.3778439098302817</v>
      </c>
      <c r="Q162" s="96">
        <v>0</v>
      </c>
      <c r="R162" s="96">
        <v>5.2913982560298809</v>
      </c>
      <c r="S162" s="96">
        <v>0</v>
      </c>
      <c r="T162" s="96">
        <v>0</v>
      </c>
      <c r="U162" s="96">
        <v>0</v>
      </c>
      <c r="V162" s="96">
        <v>0</v>
      </c>
      <c r="W162" s="96">
        <v>6.7092607253920207</v>
      </c>
      <c r="X162" s="96">
        <v>7.1456097617558649</v>
      </c>
      <c r="Y162" s="96">
        <v>6.7638549051039005</v>
      </c>
      <c r="DA162" s="171" t="s">
        <v>904</v>
      </c>
    </row>
    <row r="163" spans="1:105" ht="11.45" customHeight="1" x14ac:dyDescent="0.25">
      <c r="A163" s="111" t="s">
        <v>113</v>
      </c>
      <c r="B163" s="96">
        <v>0</v>
      </c>
      <c r="C163" s="96">
        <v>0</v>
      </c>
      <c r="D163" s="96">
        <v>0</v>
      </c>
      <c r="E163" s="96">
        <v>0</v>
      </c>
      <c r="F163" s="96">
        <v>0</v>
      </c>
      <c r="G163" s="96">
        <v>0</v>
      </c>
      <c r="H163" s="96">
        <v>0</v>
      </c>
      <c r="I163" s="96">
        <v>0</v>
      </c>
      <c r="J163" s="96">
        <v>0</v>
      </c>
      <c r="K163" s="96">
        <v>0</v>
      </c>
      <c r="L163" s="96">
        <v>0</v>
      </c>
      <c r="M163" s="96">
        <v>0</v>
      </c>
      <c r="N163" s="96">
        <v>0</v>
      </c>
      <c r="O163" s="96">
        <v>0</v>
      </c>
      <c r="P163" s="96">
        <v>0</v>
      </c>
      <c r="Q163" s="96">
        <v>0</v>
      </c>
      <c r="R163" s="96">
        <v>0</v>
      </c>
      <c r="S163" s="96">
        <v>0</v>
      </c>
      <c r="T163" s="96">
        <v>0</v>
      </c>
      <c r="U163" s="96">
        <v>0</v>
      </c>
      <c r="V163" s="96">
        <v>0</v>
      </c>
      <c r="W163" s="96">
        <v>0</v>
      </c>
      <c r="X163" s="96">
        <v>0</v>
      </c>
      <c r="Y163" s="96">
        <v>0</v>
      </c>
      <c r="DA163" s="171" t="s">
        <v>905</v>
      </c>
    </row>
    <row r="164" spans="1:105" ht="11.45" customHeight="1" x14ac:dyDescent="0.25">
      <c r="A164" s="111" t="s">
        <v>115</v>
      </c>
      <c r="B164" s="96">
        <v>0</v>
      </c>
      <c r="C164" s="96">
        <v>0</v>
      </c>
      <c r="D164" s="96">
        <v>0</v>
      </c>
      <c r="E164" s="96">
        <v>0</v>
      </c>
      <c r="F164" s="96">
        <v>0</v>
      </c>
      <c r="G164" s="96">
        <v>0</v>
      </c>
      <c r="H164" s="96">
        <v>0</v>
      </c>
      <c r="I164" s="96">
        <v>0</v>
      </c>
      <c r="J164" s="96">
        <v>0</v>
      </c>
      <c r="K164" s="96">
        <v>0</v>
      </c>
      <c r="L164" s="96">
        <v>1.360325196948438</v>
      </c>
      <c r="M164" s="96">
        <v>1.3467219449789536</v>
      </c>
      <c r="N164" s="96">
        <v>1.3332547255291642</v>
      </c>
      <c r="O164" s="96">
        <v>1.3327601031814273</v>
      </c>
      <c r="P164" s="96">
        <v>1.3327601031814273</v>
      </c>
      <c r="Q164" s="96">
        <v>0</v>
      </c>
      <c r="R164" s="96">
        <v>1.3439309030862476</v>
      </c>
      <c r="S164" s="96">
        <v>1.3327601031814273</v>
      </c>
      <c r="T164" s="96">
        <v>1.3363427916308401</v>
      </c>
      <c r="U164" s="96">
        <v>1.4682295962237</v>
      </c>
      <c r="V164" s="96">
        <v>1.617383447250681</v>
      </c>
      <c r="W164" s="96">
        <v>2.1108577267686019</v>
      </c>
      <c r="X164" s="96">
        <v>2.282318386230302</v>
      </c>
      <c r="Y164" s="96">
        <v>2.208325065590758</v>
      </c>
      <c r="DA164" s="171" t="s">
        <v>906</v>
      </c>
    </row>
    <row r="165" spans="1:105" ht="11.45" customHeight="1" x14ac:dyDescent="0.25">
      <c r="A165" s="109" t="s">
        <v>154</v>
      </c>
      <c r="B165" s="130">
        <v>33.546147315091126</v>
      </c>
      <c r="C165" s="130">
        <v>33.377400238379437</v>
      </c>
      <c r="D165" s="130">
        <v>33.159465890755449</v>
      </c>
      <c r="E165" s="130">
        <v>32.872323513719977</v>
      </c>
      <c r="F165" s="130">
        <v>32.597825909953613</v>
      </c>
      <c r="G165" s="130">
        <v>32.152353810114882</v>
      </c>
      <c r="H165" s="130">
        <v>31.688791088899176</v>
      </c>
      <c r="I165" s="130">
        <v>31.294940348705818</v>
      </c>
      <c r="J165" s="130">
        <v>30.643352965867241</v>
      </c>
      <c r="K165" s="130">
        <v>30.045703004756643</v>
      </c>
      <c r="L165" s="130">
        <v>29.399969387674155</v>
      </c>
      <c r="M165" s="130">
        <v>28.921759358653901</v>
      </c>
      <c r="N165" s="130">
        <v>28.341079115804686</v>
      </c>
      <c r="O165" s="130">
        <v>27.315500115269813</v>
      </c>
      <c r="P165" s="130">
        <v>26.462254641832168</v>
      </c>
      <c r="Q165" s="130">
        <v>25.78763558172081</v>
      </c>
      <c r="R165" s="130">
        <v>24.656398761210475</v>
      </c>
      <c r="S165" s="130">
        <v>23.959438002840571</v>
      </c>
      <c r="T165" s="130">
        <v>22.507933963740314</v>
      </c>
      <c r="U165" s="130">
        <v>21.612381306195285</v>
      </c>
      <c r="V165" s="130">
        <v>21.151297322110242</v>
      </c>
      <c r="W165" s="130">
        <v>21.726272991034179</v>
      </c>
      <c r="X165" s="130">
        <v>20.807555461901831</v>
      </c>
      <c r="Y165" s="130">
        <v>20.735766880897039</v>
      </c>
      <c r="DA165" s="176" t="s">
        <v>907</v>
      </c>
    </row>
    <row r="166" spans="1:105" ht="11.45" customHeight="1" x14ac:dyDescent="0.25">
      <c r="A166" s="128" t="s">
        <v>27</v>
      </c>
      <c r="B166" s="97">
        <v>0</v>
      </c>
      <c r="C166" s="97">
        <v>33.374226804057258</v>
      </c>
      <c r="D166" s="97">
        <v>33.146996534370786</v>
      </c>
      <c r="E166" s="97">
        <v>32.864052552933678</v>
      </c>
      <c r="F166" s="97">
        <v>32.526113825731919</v>
      </c>
      <c r="G166" s="97">
        <v>32.134033000352971</v>
      </c>
      <c r="H166" s="97">
        <v>31.688791088899176</v>
      </c>
      <c r="I166" s="97">
        <v>31.191491425388975</v>
      </c>
      <c r="J166" s="97">
        <v>30.643352965867241</v>
      </c>
      <c r="K166" s="97">
        <v>30.045703004756639</v>
      </c>
      <c r="L166" s="97">
        <v>29.399969387674155</v>
      </c>
      <c r="M166" s="97">
        <v>28.707672302185937</v>
      </c>
      <c r="N166" s="97">
        <v>27.970415731130668</v>
      </c>
      <c r="O166" s="97">
        <v>27.18987865413046</v>
      </c>
      <c r="P166" s="97">
        <v>26.36780608089612</v>
      </c>
      <c r="Q166" s="97">
        <v>25.505999999945875</v>
      </c>
      <c r="R166" s="97">
        <v>24.255023104457898</v>
      </c>
      <c r="S166" s="97">
        <v>23.379339277616314</v>
      </c>
      <c r="T166" s="97">
        <v>22.459871259432649</v>
      </c>
      <c r="U166" s="97">
        <v>21.336077014985946</v>
      </c>
      <c r="V166" s="97">
        <v>21.151297322110242</v>
      </c>
      <c r="W166" s="97">
        <v>20.68976826481148</v>
      </c>
      <c r="X166" s="97">
        <v>20.575780590091902</v>
      </c>
      <c r="Y166" s="97">
        <v>20.370022784190983</v>
      </c>
      <c r="DA166" s="175" t="s">
        <v>908</v>
      </c>
    </row>
    <row r="167" spans="1:105" ht="11.45" customHeight="1" x14ac:dyDescent="0.25">
      <c r="A167" s="138" t="s">
        <v>116</v>
      </c>
      <c r="B167" s="98">
        <v>33.546147315091126</v>
      </c>
      <c r="C167" s="98">
        <v>33.402061855603584</v>
      </c>
      <c r="D167" s="98">
        <v>33.242692617271175</v>
      </c>
      <c r="E167" s="98">
        <v>33.04424825123408</v>
      </c>
      <c r="F167" s="98">
        <v>32.807233008364037</v>
      </c>
      <c r="G167" s="98">
        <v>32.532244897882101</v>
      </c>
      <c r="H167" s="98">
        <v>0</v>
      </c>
      <c r="I167" s="98">
        <v>31.871188018858444</v>
      </c>
      <c r="J167" s="98">
        <v>0</v>
      </c>
      <c r="K167" s="98">
        <v>0</v>
      </c>
      <c r="L167" s="98">
        <v>0</v>
      </c>
      <c r="M167" s="98">
        <v>30.129147390351896</v>
      </c>
      <c r="N167" s="98">
        <v>29.612068313049569</v>
      </c>
      <c r="O167" s="98">
        <v>29.064634207446638</v>
      </c>
      <c r="P167" s="98">
        <v>28.488068946000222</v>
      </c>
      <c r="Q167" s="98">
        <v>27.883636363577196</v>
      </c>
      <c r="R167" s="98">
        <v>27.103246514875242</v>
      </c>
      <c r="S167" s="98">
        <v>26.556973620783872</v>
      </c>
      <c r="T167" s="98">
        <v>25.983387081987935</v>
      </c>
      <c r="U167" s="98">
        <v>25.282336867904011</v>
      </c>
      <c r="V167" s="98">
        <v>0</v>
      </c>
      <c r="W167" s="98">
        <v>24.748425433669372</v>
      </c>
      <c r="X167" s="98">
        <v>24.612077098006637</v>
      </c>
      <c r="Y167" s="98">
        <v>24.36595632702657</v>
      </c>
      <c r="DA167" s="178" t="s">
        <v>909</v>
      </c>
    </row>
    <row r="168" spans="1:105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DA168" s="171"/>
    </row>
    <row r="169" spans="1:105" ht="11.45" customHeight="1" x14ac:dyDescent="0.25">
      <c r="A169" s="53" t="s">
        <v>123</v>
      </c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DA169" s="172"/>
    </row>
    <row r="170" spans="1:105" ht="11.45" customHeight="1" x14ac:dyDescent="0.25">
      <c r="A170" s="27" t="s">
        <v>33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DA170" s="173"/>
    </row>
    <row r="171" spans="1:105" ht="11.45" customHeight="1" x14ac:dyDescent="0.25">
      <c r="A171" s="136" t="s">
        <v>173</v>
      </c>
      <c r="B171" s="152">
        <v>125.78062866678574</v>
      </c>
      <c r="C171" s="152">
        <v>125.59239542576249</v>
      </c>
      <c r="D171" s="152">
        <v>125.394311801059</v>
      </c>
      <c r="E171" s="152">
        <v>124.89884254134049</v>
      </c>
      <c r="F171" s="152">
        <v>124.31107495688676</v>
      </c>
      <c r="G171" s="152">
        <v>123.68539098340312</v>
      </c>
      <c r="H171" s="152">
        <v>121.06906362745163</v>
      </c>
      <c r="I171" s="152">
        <v>118.79109312376583</v>
      </c>
      <c r="J171" s="152">
        <v>112.42169093257516</v>
      </c>
      <c r="K171" s="152">
        <v>108.95703757701754</v>
      </c>
      <c r="L171" s="152">
        <v>106.55217255372324</v>
      </c>
      <c r="M171" s="152">
        <v>104.11356187154557</v>
      </c>
      <c r="N171" s="152">
        <v>101.7140727958961</v>
      </c>
      <c r="O171" s="152">
        <v>98.958085974110745</v>
      </c>
      <c r="P171" s="152">
        <v>96.540646093461945</v>
      </c>
      <c r="Q171" s="152">
        <v>94.31878066425945</v>
      </c>
      <c r="R171" s="152">
        <v>91.955949558262887</v>
      </c>
      <c r="S171" s="152">
        <v>89.560903373338718</v>
      </c>
      <c r="T171" s="152">
        <v>87.166327603106623</v>
      </c>
      <c r="U171" s="152">
        <v>84.066969922606944</v>
      </c>
      <c r="V171" s="152">
        <v>81.434191049092448</v>
      </c>
      <c r="W171" s="152">
        <v>79.445989758578278</v>
      </c>
      <c r="X171" s="152">
        <v>77.528471793233621</v>
      </c>
      <c r="Y171" s="152">
        <v>75.812420957340947</v>
      </c>
      <c r="DA171" s="174" t="s">
        <v>910</v>
      </c>
    </row>
    <row r="172" spans="1:105" ht="11.45" customHeight="1" x14ac:dyDescent="0.25">
      <c r="A172" s="109" t="s">
        <v>20</v>
      </c>
      <c r="B172" s="116">
        <v>237.12436818037031</v>
      </c>
      <c r="C172" s="116">
        <v>234.47707211973506</v>
      </c>
      <c r="D172" s="116">
        <v>232.13776328670588</v>
      </c>
      <c r="E172" s="116">
        <v>230.57007478018326</v>
      </c>
      <c r="F172" s="116">
        <v>228.387466258057</v>
      </c>
      <c r="G172" s="116">
        <v>228.6074087595554</v>
      </c>
      <c r="H172" s="116">
        <v>226.40942624014787</v>
      </c>
      <c r="I172" s="116">
        <v>223.9090375945224</v>
      </c>
      <c r="J172" s="116">
        <v>219.10766294251945</v>
      </c>
      <c r="K172" s="116">
        <v>216.70835681234857</v>
      </c>
      <c r="L172" s="116">
        <v>214.05457486124914</v>
      </c>
      <c r="M172" s="116">
        <v>209.32847815276409</v>
      </c>
      <c r="N172" s="116">
        <v>211.81527084511632</v>
      </c>
      <c r="O172" s="116">
        <v>209.78985311318741</v>
      </c>
      <c r="P172" s="116">
        <v>207.66409290225471</v>
      </c>
      <c r="Q172" s="116">
        <v>205.1691738969833</v>
      </c>
      <c r="R172" s="116">
        <v>203.45872272611123</v>
      </c>
      <c r="S172" s="116">
        <v>201.15386481989898</v>
      </c>
      <c r="T172" s="116">
        <v>195.94597258946607</v>
      </c>
      <c r="U172" s="116">
        <v>190.59231371712056</v>
      </c>
      <c r="V172" s="116">
        <v>185.89729838041586</v>
      </c>
      <c r="W172" s="116">
        <v>180.3204294039509</v>
      </c>
      <c r="X172" s="116">
        <v>175.83764601849521</v>
      </c>
      <c r="Y172" s="116">
        <v>170.81015577291666</v>
      </c>
      <c r="DA172" s="176" t="s">
        <v>911</v>
      </c>
    </row>
    <row r="173" spans="1:105" ht="11.45" customHeight="1" x14ac:dyDescent="0.25">
      <c r="A173" s="111" t="s">
        <v>110</v>
      </c>
      <c r="B173" s="87">
        <v>230.21993642798836</v>
      </c>
      <c r="C173" s="87">
        <v>229.11067668945574</v>
      </c>
      <c r="D173" s="87">
        <v>228.44717215605439</v>
      </c>
      <c r="E173" s="87">
        <v>227.77950176556305</v>
      </c>
      <c r="F173" s="87">
        <v>227.22137068225007</v>
      </c>
      <c r="G173" s="87">
        <v>226.44488375769461</v>
      </c>
      <c r="H173" s="87">
        <v>224.71909732752329</v>
      </c>
      <c r="I173" s="87">
        <v>222.78861235356683</v>
      </c>
      <c r="J173" s="87">
        <v>219.39080223953633</v>
      </c>
      <c r="K173" s="87">
        <v>217.40977570432744</v>
      </c>
      <c r="L173" s="87">
        <v>214.78865424763467</v>
      </c>
      <c r="M173" s="87">
        <v>212.88574485889984</v>
      </c>
      <c r="N173" s="87">
        <v>210.9604909877682</v>
      </c>
      <c r="O173" s="87">
        <v>208.37124930718912</v>
      </c>
      <c r="P173" s="87">
        <v>205.21839485178475</v>
      </c>
      <c r="Q173" s="87">
        <v>202.10209420695617</v>
      </c>
      <c r="R173" s="87">
        <v>199.15783532172745</v>
      </c>
      <c r="S173" s="87">
        <v>196.16191973072321</v>
      </c>
      <c r="T173" s="87">
        <v>191.90450094993764</v>
      </c>
      <c r="U173" s="87">
        <v>187.30674535222363</v>
      </c>
      <c r="V173" s="87">
        <v>183.65209992318714</v>
      </c>
      <c r="W173" s="87">
        <v>179.4193032454329</v>
      </c>
      <c r="X173" s="87">
        <v>175.12739510726726</v>
      </c>
      <c r="Y173" s="87">
        <v>170.91845612576776</v>
      </c>
      <c r="DA173" s="171" t="s">
        <v>912</v>
      </c>
    </row>
    <row r="174" spans="1:105" ht="11.45" customHeight="1" x14ac:dyDescent="0.25">
      <c r="A174" s="111" t="s">
        <v>111</v>
      </c>
      <c r="B174" s="87">
        <v>240.36928408415957</v>
      </c>
      <c r="C174" s="87">
        <v>219.49419079622828</v>
      </c>
      <c r="D174" s="87">
        <v>215.22827881628498</v>
      </c>
      <c r="E174" s="87">
        <v>213.63402937775066</v>
      </c>
      <c r="F174" s="87">
        <v>213.06147133499891</v>
      </c>
      <c r="G174" s="87">
        <v>212.62251928337966</v>
      </c>
      <c r="H174" s="87">
        <v>213.00395970856837</v>
      </c>
      <c r="I174" s="87">
        <v>213.50300060189062</v>
      </c>
      <c r="J174" s="87">
        <v>213.17335588744047</v>
      </c>
      <c r="K174" s="87">
        <v>212.66892883806884</v>
      </c>
      <c r="L174" s="87">
        <v>212.15336575777718</v>
      </c>
      <c r="M174" s="87">
        <v>211.30589679486675</v>
      </c>
      <c r="N174" s="87">
        <v>210.49638236451497</v>
      </c>
      <c r="O174" s="87">
        <v>208.99238720688194</v>
      </c>
      <c r="P174" s="87">
        <v>206.51785886963714</v>
      </c>
      <c r="Q174" s="87">
        <v>203.44221592404733</v>
      </c>
      <c r="R174" s="87">
        <v>198.93400160105341</v>
      </c>
      <c r="S174" s="87">
        <v>193.40825363427192</v>
      </c>
      <c r="T174" s="87">
        <v>188.2732958122709</v>
      </c>
      <c r="U174" s="87">
        <v>183.69248537011885</v>
      </c>
      <c r="V174" s="87">
        <v>178.93905473304125</v>
      </c>
      <c r="W174" s="87">
        <v>174.22024119956129</v>
      </c>
      <c r="X174" s="87">
        <v>170.0366431988636</v>
      </c>
      <c r="Y174" s="87">
        <v>166.61572796084522</v>
      </c>
      <c r="DA174" s="171" t="s">
        <v>913</v>
      </c>
    </row>
    <row r="175" spans="1:105" ht="11.45" customHeight="1" x14ac:dyDescent="0.25">
      <c r="A175" s="111" t="s">
        <v>112</v>
      </c>
      <c r="B175" s="87">
        <v>0</v>
      </c>
      <c r="C175" s="87">
        <v>0</v>
      </c>
      <c r="D175" s="87">
        <v>199.97603585313547</v>
      </c>
      <c r="E175" s="87">
        <v>202.19664601637331</v>
      </c>
      <c r="F175" s="87">
        <v>205.64561103373677</v>
      </c>
      <c r="G175" s="87">
        <v>205.90058094140943</v>
      </c>
      <c r="H175" s="87">
        <v>205.92805688366678</v>
      </c>
      <c r="I175" s="87">
        <v>211.13339641215268</v>
      </c>
      <c r="J175" s="87">
        <v>211.37439293648711</v>
      </c>
      <c r="K175" s="87">
        <v>211.38790621638717</v>
      </c>
      <c r="L175" s="87">
        <v>211.52688147041479</v>
      </c>
      <c r="M175" s="87">
        <v>221.51925613774992</v>
      </c>
      <c r="N175" s="87">
        <v>222.29893938059212</v>
      </c>
      <c r="O175" s="87">
        <v>222.6071816819327</v>
      </c>
      <c r="P175" s="87">
        <v>221.93718403019463</v>
      </c>
      <c r="Q175" s="87">
        <v>217.24082979984479</v>
      </c>
      <c r="R175" s="87">
        <v>209.1004944432799</v>
      </c>
      <c r="S175" s="87">
        <v>199.08334303295106</v>
      </c>
      <c r="T175" s="87">
        <v>188.23578762720518</v>
      </c>
      <c r="U175" s="87">
        <v>177.97733743395224</v>
      </c>
      <c r="V175" s="87">
        <v>167.44206430558674</v>
      </c>
      <c r="W175" s="87">
        <v>155.09548197140879</v>
      </c>
      <c r="X175" s="87">
        <v>148.30605085192136</v>
      </c>
      <c r="Y175" s="87">
        <v>144.27832171042641</v>
      </c>
      <c r="DA175" s="171" t="s">
        <v>914</v>
      </c>
    </row>
    <row r="176" spans="1:105" ht="11.45" customHeight="1" x14ac:dyDescent="0.25">
      <c r="A176" s="111" t="s">
        <v>113</v>
      </c>
      <c r="B176" s="87">
        <v>0</v>
      </c>
      <c r="C176" s="87">
        <v>0</v>
      </c>
      <c r="D176" s="87">
        <v>0</v>
      </c>
      <c r="E176" s="87">
        <v>0</v>
      </c>
      <c r="F176" s="87">
        <v>0</v>
      </c>
      <c r="G176" s="87">
        <v>0</v>
      </c>
      <c r="H176" s="87">
        <v>0</v>
      </c>
      <c r="I176" s="87">
        <v>0</v>
      </c>
      <c r="J176" s="87">
        <v>0</v>
      </c>
      <c r="K176" s="87">
        <v>0</v>
      </c>
      <c r="L176" s="87">
        <v>0</v>
      </c>
      <c r="M176" s="87">
        <v>0</v>
      </c>
      <c r="N176" s="87">
        <v>0</v>
      </c>
      <c r="O176" s="87">
        <v>0</v>
      </c>
      <c r="P176" s="87">
        <v>0</v>
      </c>
      <c r="Q176" s="87">
        <v>0</v>
      </c>
      <c r="R176" s="87">
        <v>0</v>
      </c>
      <c r="S176" s="87">
        <v>0</v>
      </c>
      <c r="T176" s="87">
        <v>0</v>
      </c>
      <c r="U176" s="87">
        <v>0</v>
      </c>
      <c r="V176" s="87">
        <v>0</v>
      </c>
      <c r="W176" s="87">
        <v>0</v>
      </c>
      <c r="X176" s="87">
        <v>0</v>
      </c>
      <c r="Y176" s="87">
        <v>0</v>
      </c>
      <c r="DA176" s="171" t="s">
        <v>915</v>
      </c>
    </row>
    <row r="177" spans="1:105" ht="11.45" customHeight="1" x14ac:dyDescent="0.25">
      <c r="A177" s="111" t="s">
        <v>114</v>
      </c>
      <c r="B177" s="87">
        <v>0</v>
      </c>
      <c r="C177" s="87">
        <v>0</v>
      </c>
      <c r="D177" s="87">
        <v>0</v>
      </c>
      <c r="E177" s="87">
        <v>0</v>
      </c>
      <c r="F177" s="87">
        <v>0</v>
      </c>
      <c r="G177" s="87">
        <v>0</v>
      </c>
      <c r="H177" s="87">
        <v>0</v>
      </c>
      <c r="I177" s="87">
        <v>0</v>
      </c>
      <c r="J177" s="87">
        <v>0</v>
      </c>
      <c r="K177" s="87">
        <v>0</v>
      </c>
      <c r="L177" s="87">
        <v>0</v>
      </c>
      <c r="M177" s="87">
        <v>0</v>
      </c>
      <c r="N177" s="87">
        <v>130.77658995605887</v>
      </c>
      <c r="O177" s="87">
        <v>130.17532268320798</v>
      </c>
      <c r="P177" s="87">
        <v>123.66266111148379</v>
      </c>
      <c r="Q177" s="87">
        <v>112.39325251368371</v>
      </c>
      <c r="R177" s="87">
        <v>62.315041792284433</v>
      </c>
      <c r="S177" s="87">
        <v>70.287015448845381</v>
      </c>
      <c r="T177" s="87">
        <v>62.548369296825946</v>
      </c>
      <c r="U177" s="87">
        <v>58.704010137072679</v>
      </c>
      <c r="V177" s="87">
        <v>52.099636370319303</v>
      </c>
      <c r="W177" s="87">
        <v>43.584062515449631</v>
      </c>
      <c r="X177" s="87">
        <v>39.999113544053742</v>
      </c>
      <c r="Y177" s="87">
        <v>56.120077594827002</v>
      </c>
      <c r="DA177" s="171" t="s">
        <v>916</v>
      </c>
    </row>
    <row r="178" spans="1:105" ht="11.45" customHeight="1" x14ac:dyDescent="0.25">
      <c r="A178" s="111" t="s">
        <v>115</v>
      </c>
      <c r="B178" s="87">
        <v>0</v>
      </c>
      <c r="C178" s="87">
        <v>0</v>
      </c>
      <c r="D178" s="87">
        <v>0</v>
      </c>
      <c r="E178" s="87">
        <v>0</v>
      </c>
      <c r="F178" s="87">
        <v>0</v>
      </c>
      <c r="G178" s="87">
        <v>0</v>
      </c>
      <c r="H178" s="87">
        <v>0</v>
      </c>
      <c r="I178" s="87">
        <v>0</v>
      </c>
      <c r="J178" s="87">
        <v>0</v>
      </c>
      <c r="K178" s="87">
        <v>0</v>
      </c>
      <c r="L178" s="87">
        <v>0</v>
      </c>
      <c r="M178" s="87">
        <v>0</v>
      </c>
      <c r="N178" s="87">
        <v>0</v>
      </c>
      <c r="O178" s="87">
        <v>0</v>
      </c>
      <c r="P178" s="87">
        <v>0</v>
      </c>
      <c r="Q178" s="87">
        <v>0</v>
      </c>
      <c r="R178" s="87">
        <v>0</v>
      </c>
      <c r="S178" s="87">
        <v>0</v>
      </c>
      <c r="T178" s="87">
        <v>0</v>
      </c>
      <c r="U178" s="87">
        <v>0</v>
      </c>
      <c r="V178" s="87">
        <v>0</v>
      </c>
      <c r="W178" s="87">
        <v>0</v>
      </c>
      <c r="X178" s="87">
        <v>0</v>
      </c>
      <c r="Y178" s="87">
        <v>0</v>
      </c>
      <c r="DA178" s="171" t="s">
        <v>917</v>
      </c>
    </row>
    <row r="179" spans="1:105" ht="11.45" customHeight="1" x14ac:dyDescent="0.25">
      <c r="A179" s="109" t="s">
        <v>21</v>
      </c>
      <c r="B179" s="116">
        <v>1744.8497676520717</v>
      </c>
      <c r="C179" s="116">
        <v>1722.8543034007978</v>
      </c>
      <c r="D179" s="116">
        <v>1719.0969270464</v>
      </c>
      <c r="E179" s="116">
        <v>1703.117691363653</v>
      </c>
      <c r="F179" s="116">
        <v>1669.0931540166137</v>
      </c>
      <c r="G179" s="116">
        <v>1659.8998534528707</v>
      </c>
      <c r="H179" s="116">
        <v>1621.5165144214536</v>
      </c>
      <c r="I179" s="116">
        <v>1594.1929084468152</v>
      </c>
      <c r="J179" s="116">
        <v>1558.9275694586804</v>
      </c>
      <c r="K179" s="116">
        <v>1532.9172949045631</v>
      </c>
      <c r="L179" s="116">
        <v>1503.4154251065399</v>
      </c>
      <c r="M179" s="116">
        <v>1477.4707939622697</v>
      </c>
      <c r="N179" s="116">
        <v>1450.451158040946</v>
      </c>
      <c r="O179" s="116">
        <v>1424.1485185011952</v>
      </c>
      <c r="P179" s="116">
        <v>1415.6223163007878</v>
      </c>
      <c r="Q179" s="116">
        <v>1399.1750126923955</v>
      </c>
      <c r="R179" s="116">
        <v>1392.2506369604239</v>
      </c>
      <c r="S179" s="116">
        <v>1384.0624727490799</v>
      </c>
      <c r="T179" s="116">
        <v>1368.0487127653591</v>
      </c>
      <c r="U179" s="116">
        <v>1347.9520359901744</v>
      </c>
      <c r="V179" s="116">
        <v>1281.6221667290965</v>
      </c>
      <c r="W179" s="116">
        <v>1301.4067734643543</v>
      </c>
      <c r="X179" s="116">
        <v>1266.6482812281183</v>
      </c>
      <c r="Y179" s="116">
        <v>1182.4338447397799</v>
      </c>
      <c r="DA179" s="176" t="s">
        <v>918</v>
      </c>
    </row>
    <row r="180" spans="1:105" ht="11.45" customHeight="1" x14ac:dyDescent="0.25">
      <c r="A180" s="111" t="s">
        <v>110</v>
      </c>
      <c r="B180" s="101">
        <v>0</v>
      </c>
      <c r="C180" s="101">
        <v>0</v>
      </c>
      <c r="D180" s="101">
        <v>0</v>
      </c>
      <c r="E180" s="101">
        <v>0</v>
      </c>
      <c r="F180" s="101">
        <v>0</v>
      </c>
      <c r="G180" s="101">
        <v>0</v>
      </c>
      <c r="H180" s="101">
        <v>0</v>
      </c>
      <c r="I180" s="101">
        <v>0</v>
      </c>
      <c r="J180" s="101">
        <v>412.74258152506161</v>
      </c>
      <c r="K180" s="101">
        <v>412.74258152506155</v>
      </c>
      <c r="L180" s="101">
        <v>412.2729343167959</v>
      </c>
      <c r="M180" s="101">
        <v>411.90585544152322</v>
      </c>
      <c r="N180" s="101">
        <v>411.89066703266246</v>
      </c>
      <c r="O180" s="101">
        <v>411.86953680388194</v>
      </c>
      <c r="P180" s="101">
        <v>411.8416028296835</v>
      </c>
      <c r="Q180" s="101">
        <v>411.79935134637515</v>
      </c>
      <c r="R180" s="101">
        <v>411.75294211001881</v>
      </c>
      <c r="S180" s="101">
        <v>411.70172964680296</v>
      </c>
      <c r="T180" s="101">
        <v>411.6275416674809</v>
      </c>
      <c r="U180" s="101">
        <v>411.58156797403325</v>
      </c>
      <c r="V180" s="101">
        <v>411.57191452796332</v>
      </c>
      <c r="W180" s="101">
        <v>411.54196636670844</v>
      </c>
      <c r="X180" s="101">
        <v>403.57663824321094</v>
      </c>
      <c r="Y180" s="101">
        <v>403.50209626227769</v>
      </c>
      <c r="DA180" s="175" t="s">
        <v>919</v>
      </c>
    </row>
    <row r="181" spans="1:105" ht="11.45" customHeight="1" x14ac:dyDescent="0.25">
      <c r="A181" s="111" t="s">
        <v>111</v>
      </c>
      <c r="B181" s="101">
        <v>1744.8497676520717</v>
      </c>
      <c r="C181" s="101">
        <v>1707.7259582408826</v>
      </c>
      <c r="D181" s="101">
        <v>1701.8280697193552</v>
      </c>
      <c r="E181" s="101">
        <v>1676.357546633019</v>
      </c>
      <c r="F181" s="101">
        <v>1628.3260367929797</v>
      </c>
      <c r="G181" s="101">
        <v>1617.1800524556434</v>
      </c>
      <c r="H181" s="101">
        <v>1574.5340690218457</v>
      </c>
      <c r="I181" s="101">
        <v>1546.7302937759318</v>
      </c>
      <c r="J181" s="101">
        <v>1517.8447331386797</v>
      </c>
      <c r="K181" s="101">
        <v>1495.7766978431971</v>
      </c>
      <c r="L181" s="101">
        <v>1475.6967779903866</v>
      </c>
      <c r="M181" s="101">
        <v>1456.2499376689509</v>
      </c>
      <c r="N181" s="101">
        <v>1437.2591061100129</v>
      </c>
      <c r="O181" s="101">
        <v>1420.459562484858</v>
      </c>
      <c r="P181" s="101">
        <v>1410.661708970033</v>
      </c>
      <c r="Q181" s="101">
        <v>1396.6217714649413</v>
      </c>
      <c r="R181" s="101">
        <v>1389.595466961797</v>
      </c>
      <c r="S181" s="101">
        <v>1379.6435674865872</v>
      </c>
      <c r="T181" s="101">
        <v>1366.9640607455663</v>
      </c>
      <c r="U181" s="101">
        <v>1349.8423806781163</v>
      </c>
      <c r="V181" s="101">
        <v>1335.1101915337927</v>
      </c>
      <c r="W181" s="101">
        <v>1317.2414650826786</v>
      </c>
      <c r="X181" s="101">
        <v>1289.8918123537956</v>
      </c>
      <c r="Y181" s="101">
        <v>1257.0828058832647</v>
      </c>
      <c r="DA181" s="175" t="s">
        <v>920</v>
      </c>
    </row>
    <row r="182" spans="1:105" ht="11.45" customHeight="1" x14ac:dyDescent="0.25">
      <c r="A182" s="111" t="s">
        <v>112</v>
      </c>
      <c r="B182" s="101">
        <v>0</v>
      </c>
      <c r="C182" s="101">
        <v>0</v>
      </c>
      <c r="D182" s="101">
        <v>0</v>
      </c>
      <c r="E182" s="101">
        <v>0</v>
      </c>
      <c r="F182" s="101">
        <v>0</v>
      </c>
      <c r="G182" s="101">
        <v>0</v>
      </c>
      <c r="H182" s="101">
        <v>0</v>
      </c>
      <c r="I182" s="101">
        <v>0</v>
      </c>
      <c r="J182" s="101">
        <v>1013.0534390507775</v>
      </c>
      <c r="K182" s="101">
        <v>1011.4757655874706</v>
      </c>
      <c r="L182" s="101">
        <v>999.78508974193221</v>
      </c>
      <c r="M182" s="101">
        <v>995.92046256164963</v>
      </c>
      <c r="N182" s="101">
        <v>995.92046256164952</v>
      </c>
      <c r="O182" s="101">
        <v>995.06937242847334</v>
      </c>
      <c r="P182" s="101">
        <v>994.46525959652286</v>
      </c>
      <c r="Q182" s="101">
        <v>994.12675168028102</v>
      </c>
      <c r="R182" s="101">
        <v>992.92950024409004</v>
      </c>
      <c r="S182" s="101">
        <v>992.69651690387138</v>
      </c>
      <c r="T182" s="101">
        <v>987.4569901307982</v>
      </c>
      <c r="U182" s="101">
        <v>986.92567536471711</v>
      </c>
      <c r="V182" s="101">
        <v>987.12437850900346</v>
      </c>
      <c r="W182" s="101">
        <v>986.617435235725</v>
      </c>
      <c r="X182" s="101">
        <v>977.99611425247042</v>
      </c>
      <c r="Y182" s="101">
        <v>975.39920372299594</v>
      </c>
      <c r="DA182" s="175" t="s">
        <v>921</v>
      </c>
    </row>
    <row r="183" spans="1:105" ht="11.45" customHeight="1" x14ac:dyDescent="0.25">
      <c r="A183" s="111" t="s">
        <v>113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75" t="s">
        <v>922</v>
      </c>
    </row>
    <row r="184" spans="1:105" ht="11.45" customHeight="1" x14ac:dyDescent="0.25">
      <c r="A184" s="111" t="s">
        <v>115</v>
      </c>
      <c r="B184" s="101">
        <v>0</v>
      </c>
      <c r="C184" s="101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0</v>
      </c>
      <c r="K184" s="101">
        <v>0</v>
      </c>
      <c r="L184" s="101">
        <v>0</v>
      </c>
      <c r="M184" s="101">
        <v>0</v>
      </c>
      <c r="N184" s="101">
        <v>0</v>
      </c>
      <c r="O184" s="101">
        <v>0</v>
      </c>
      <c r="P184" s="101">
        <v>0</v>
      </c>
      <c r="Q184" s="101">
        <v>0</v>
      </c>
      <c r="R184" s="101">
        <v>0</v>
      </c>
      <c r="S184" s="101">
        <v>0</v>
      </c>
      <c r="T184" s="101">
        <v>0</v>
      </c>
      <c r="U184" s="101">
        <v>0</v>
      </c>
      <c r="V184" s="101">
        <v>0</v>
      </c>
      <c r="W184" s="101">
        <v>0</v>
      </c>
      <c r="X184" s="101">
        <v>0</v>
      </c>
      <c r="Y184" s="101">
        <v>0</v>
      </c>
      <c r="DA184" s="175" t="s">
        <v>923</v>
      </c>
    </row>
    <row r="185" spans="1:105" ht="11.45" customHeight="1" x14ac:dyDescent="0.25">
      <c r="A185" s="27" t="s">
        <v>34</v>
      </c>
      <c r="B185" s="29">
        <v>0</v>
      </c>
      <c r="C185" s="29">
        <v>0</v>
      </c>
      <c r="D185" s="29">
        <v>0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X185" s="29">
        <v>0</v>
      </c>
      <c r="Y185" s="29">
        <v>0</v>
      </c>
      <c r="DA185" s="173"/>
    </row>
    <row r="186" spans="1:105" ht="11.45" customHeight="1" x14ac:dyDescent="0.25">
      <c r="A186" s="136" t="s">
        <v>153</v>
      </c>
      <c r="B186" s="152">
        <v>317.05924884769911</v>
      </c>
      <c r="C186" s="152">
        <v>315.04450862789338</v>
      </c>
      <c r="D186" s="152">
        <v>309.67468517211643</v>
      </c>
      <c r="E186" s="152">
        <v>303.5485063837076</v>
      </c>
      <c r="F186" s="152">
        <v>296.47811143039121</v>
      </c>
      <c r="G186" s="152">
        <v>290.98635378264362</v>
      </c>
      <c r="H186" s="152">
        <v>283.93976996088332</v>
      </c>
      <c r="I186" s="152">
        <v>279.05714644712259</v>
      </c>
      <c r="J186" s="152">
        <v>270.08925731322978</v>
      </c>
      <c r="K186" s="152">
        <v>255.87390762635241</v>
      </c>
      <c r="L186" s="152">
        <v>243.6963526797004</v>
      </c>
      <c r="M186" s="152">
        <v>230.0866022516567</v>
      </c>
      <c r="N186" s="152">
        <v>236.71807545224723</v>
      </c>
      <c r="O186" s="152">
        <v>231.27444646161732</v>
      </c>
      <c r="P186" s="152">
        <v>234.13763299934178</v>
      </c>
      <c r="Q186" s="152">
        <v>236.8636703926224</v>
      </c>
      <c r="R186" s="152">
        <v>237.92653250544623</v>
      </c>
      <c r="S186" s="152">
        <v>223.27648462571634</v>
      </c>
      <c r="T186" s="152">
        <v>222.86123035497491</v>
      </c>
      <c r="U186" s="152">
        <v>227.42607570657367</v>
      </c>
      <c r="V186" s="152">
        <v>230.66977745046577</v>
      </c>
      <c r="W186" s="152">
        <v>223.18261297043563</v>
      </c>
      <c r="X186" s="152">
        <v>252.87242638364154</v>
      </c>
      <c r="Y186" s="152">
        <v>239.20671104923898</v>
      </c>
      <c r="DA186" s="174" t="s">
        <v>924</v>
      </c>
    </row>
    <row r="187" spans="1:105" ht="11.45" customHeight="1" x14ac:dyDescent="0.25">
      <c r="A187" s="111" t="s">
        <v>110</v>
      </c>
      <c r="B187" s="87">
        <v>324.61380990086718</v>
      </c>
      <c r="C187" s="87">
        <v>318.13482604371569</v>
      </c>
      <c r="D187" s="87">
        <v>311.63702860056202</v>
      </c>
      <c r="E187" s="87">
        <v>303.7041096046745</v>
      </c>
      <c r="F187" s="87">
        <v>295.66504079102987</v>
      </c>
      <c r="G187" s="87">
        <v>289.34008185150077</v>
      </c>
      <c r="H187" s="87">
        <v>280.21378002625835</v>
      </c>
      <c r="I187" s="87">
        <v>274.07217850697208</v>
      </c>
      <c r="J187" s="87">
        <v>269.36233856491219</v>
      </c>
      <c r="K187" s="87">
        <v>264.59274959438835</v>
      </c>
      <c r="L187" s="87">
        <v>260.61774752446797</v>
      </c>
      <c r="M187" s="87">
        <v>256.04602310075472</v>
      </c>
      <c r="N187" s="87">
        <v>250.99261860367457</v>
      </c>
      <c r="O187" s="87">
        <v>250.61875875487979</v>
      </c>
      <c r="P187" s="87">
        <v>245.95481267231116</v>
      </c>
      <c r="Q187" s="87">
        <v>240.97095917347872</v>
      </c>
      <c r="R187" s="87">
        <v>233.43036058251738</v>
      </c>
      <c r="S187" s="87">
        <v>224.33492858042081</v>
      </c>
      <c r="T187" s="87">
        <v>218.05003354145413</v>
      </c>
      <c r="U187" s="87">
        <v>214.68406154702257</v>
      </c>
      <c r="V187" s="87">
        <v>211.85002891728749</v>
      </c>
      <c r="W187" s="87">
        <v>206.86657340738569</v>
      </c>
      <c r="X187" s="87">
        <v>200.06382733731073</v>
      </c>
      <c r="Y187" s="87">
        <v>194.0986359460509</v>
      </c>
      <c r="DA187" s="171" t="s">
        <v>925</v>
      </c>
    </row>
    <row r="188" spans="1:105" ht="11.45" customHeight="1" x14ac:dyDescent="0.25">
      <c r="A188" s="111" t="s">
        <v>111</v>
      </c>
      <c r="B188" s="87">
        <v>291.93328560221505</v>
      </c>
      <c r="C188" s="87">
        <v>290.14165538823482</v>
      </c>
      <c r="D188" s="87">
        <v>288.53639968024839</v>
      </c>
      <c r="E188" s="87">
        <v>286.85731062603986</v>
      </c>
      <c r="F188" s="87">
        <v>285.31716133370628</v>
      </c>
      <c r="G188" s="87">
        <v>284.22834355506023</v>
      </c>
      <c r="H188" s="87">
        <v>282.97161919896865</v>
      </c>
      <c r="I188" s="87">
        <v>282.12286091866781</v>
      </c>
      <c r="J188" s="87">
        <v>280.85300512886124</v>
      </c>
      <c r="K188" s="87">
        <v>279.92891805701504</v>
      </c>
      <c r="L188" s="87">
        <v>279.47406734318741</v>
      </c>
      <c r="M188" s="87">
        <v>279.27532590729646</v>
      </c>
      <c r="N188" s="87">
        <v>277.86451401451575</v>
      </c>
      <c r="O188" s="87">
        <v>274.41903872826833</v>
      </c>
      <c r="P188" s="87">
        <v>269.76135910838207</v>
      </c>
      <c r="Q188" s="87">
        <v>265.34898124013546</v>
      </c>
      <c r="R188" s="87">
        <v>261.73332100942139</v>
      </c>
      <c r="S188" s="87">
        <v>256.69142213097132</v>
      </c>
      <c r="T188" s="87">
        <v>249.60843494293883</v>
      </c>
      <c r="U188" s="87">
        <v>243.85380527497801</v>
      </c>
      <c r="V188" s="87">
        <v>239.5381091679896</v>
      </c>
      <c r="W188" s="87">
        <v>235.24109223010302</v>
      </c>
      <c r="X188" s="87">
        <v>230.60620903681823</v>
      </c>
      <c r="Y188" s="87">
        <v>225.67986768347924</v>
      </c>
      <c r="DA188" s="171" t="s">
        <v>926</v>
      </c>
    </row>
    <row r="189" spans="1:105" ht="11.45" customHeight="1" x14ac:dyDescent="0.25">
      <c r="A189" s="111" t="s">
        <v>112</v>
      </c>
      <c r="B189" s="87">
        <v>0</v>
      </c>
      <c r="C189" s="87">
        <v>0</v>
      </c>
      <c r="D189" s="87">
        <v>0</v>
      </c>
      <c r="E189" s="87">
        <v>0</v>
      </c>
      <c r="F189" s="87">
        <v>0</v>
      </c>
      <c r="G189" s="87">
        <v>0</v>
      </c>
      <c r="H189" s="87">
        <v>0</v>
      </c>
      <c r="I189" s="87">
        <v>0</v>
      </c>
      <c r="J189" s="87">
        <v>415.84042583882655</v>
      </c>
      <c r="K189" s="87">
        <v>415.84042583882655</v>
      </c>
      <c r="L189" s="87">
        <v>415.84042583882655</v>
      </c>
      <c r="M189" s="87">
        <v>396.83315301621326</v>
      </c>
      <c r="N189" s="87">
        <v>368.3837943716066</v>
      </c>
      <c r="O189" s="87">
        <v>368.38379437160654</v>
      </c>
      <c r="P189" s="87">
        <v>336.75581802090238</v>
      </c>
      <c r="Q189" s="87">
        <v>323.21184758814917</v>
      </c>
      <c r="R189" s="87">
        <v>276.18627173510816</v>
      </c>
      <c r="S189" s="87">
        <v>276.18627173510816</v>
      </c>
      <c r="T189" s="87">
        <v>270.22326618916583</v>
      </c>
      <c r="U189" s="87">
        <v>270.22326618916583</v>
      </c>
      <c r="V189" s="87">
        <v>263.22823701181892</v>
      </c>
      <c r="W189" s="87">
        <v>235.26614148520716</v>
      </c>
      <c r="X189" s="87">
        <v>202.36182681395536</v>
      </c>
      <c r="Y189" s="87">
        <v>188.68527723307793</v>
      </c>
      <c r="DA189" s="171" t="s">
        <v>927</v>
      </c>
    </row>
    <row r="190" spans="1:105" ht="11.45" customHeight="1" x14ac:dyDescent="0.25">
      <c r="A190" s="111" t="s">
        <v>113</v>
      </c>
      <c r="B190" s="87">
        <v>0</v>
      </c>
      <c r="C190" s="87">
        <v>0</v>
      </c>
      <c r="D190" s="87">
        <v>0</v>
      </c>
      <c r="E190" s="87">
        <v>0</v>
      </c>
      <c r="F190" s="87">
        <v>0</v>
      </c>
      <c r="G190" s="87">
        <v>0</v>
      </c>
      <c r="H190" s="87">
        <v>0</v>
      </c>
      <c r="I190" s="87">
        <v>0</v>
      </c>
      <c r="J190" s="87">
        <v>0</v>
      </c>
      <c r="K190" s="87">
        <v>0</v>
      </c>
      <c r="L190" s="87">
        <v>0</v>
      </c>
      <c r="M190" s="87">
        <v>0</v>
      </c>
      <c r="N190" s="87">
        <v>0</v>
      </c>
      <c r="O190" s="87">
        <v>0</v>
      </c>
      <c r="P190" s="87">
        <v>0</v>
      </c>
      <c r="Q190" s="87">
        <v>0</v>
      </c>
      <c r="R190" s="87">
        <v>0</v>
      </c>
      <c r="S190" s="87">
        <v>0</v>
      </c>
      <c r="T190" s="87">
        <v>0</v>
      </c>
      <c r="U190" s="87">
        <v>0</v>
      </c>
      <c r="V190" s="87">
        <v>0</v>
      </c>
      <c r="W190" s="87">
        <v>0</v>
      </c>
      <c r="X190" s="87">
        <v>0</v>
      </c>
      <c r="Y190" s="87">
        <v>0</v>
      </c>
      <c r="DA190" s="171" t="s">
        <v>928</v>
      </c>
    </row>
    <row r="191" spans="1:105" ht="11.45" customHeight="1" x14ac:dyDescent="0.25">
      <c r="A191" s="111" t="s">
        <v>115</v>
      </c>
      <c r="B191" s="87">
        <v>0</v>
      </c>
      <c r="C191" s="87">
        <v>0</v>
      </c>
      <c r="D191" s="87">
        <v>0</v>
      </c>
      <c r="E191" s="87">
        <v>0</v>
      </c>
      <c r="F191" s="87">
        <v>0</v>
      </c>
      <c r="G191" s="87">
        <v>0</v>
      </c>
      <c r="H191" s="87">
        <v>0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7">
        <v>0</v>
      </c>
      <c r="P191" s="87">
        <v>0</v>
      </c>
      <c r="Q191" s="87">
        <v>0</v>
      </c>
      <c r="R191" s="87">
        <v>0</v>
      </c>
      <c r="S191" s="87">
        <v>0</v>
      </c>
      <c r="T191" s="87">
        <v>0</v>
      </c>
      <c r="U191" s="87">
        <v>0</v>
      </c>
      <c r="V191" s="87">
        <v>0</v>
      </c>
      <c r="W191" s="87">
        <v>0</v>
      </c>
      <c r="X191" s="87">
        <v>0</v>
      </c>
      <c r="Y191" s="87">
        <v>0</v>
      </c>
      <c r="DA191" s="171" t="s">
        <v>929</v>
      </c>
    </row>
    <row r="192" spans="1:105" ht="11.45" customHeight="1" x14ac:dyDescent="0.25">
      <c r="A192" s="109" t="s">
        <v>154</v>
      </c>
      <c r="B192" s="116">
        <v>1095.7594437348098</v>
      </c>
      <c r="C192" s="116">
        <v>1088.1356480593499</v>
      </c>
      <c r="D192" s="116">
        <v>1081.4093127285748</v>
      </c>
      <c r="E192" s="116">
        <v>1068.3869920424911</v>
      </c>
      <c r="F192" s="116">
        <v>1059.9455487179573</v>
      </c>
      <c r="G192" s="116">
        <v>1043.2195218721483</v>
      </c>
      <c r="H192" s="116">
        <v>1032.2521184553984</v>
      </c>
      <c r="I192" s="116">
        <v>1026.5824241641676</v>
      </c>
      <c r="J192" s="116">
        <v>1019.9223155638832</v>
      </c>
      <c r="K192" s="116">
        <v>1013.2988099530288</v>
      </c>
      <c r="L192" s="116">
        <v>1009.3542785292235</v>
      </c>
      <c r="M192" s="116">
        <v>1003.7034461016733</v>
      </c>
      <c r="N192" s="116">
        <v>991.04835022827865</v>
      </c>
      <c r="O192" s="116">
        <v>971.14991651984519</v>
      </c>
      <c r="P192" s="116">
        <v>959.9217402284512</v>
      </c>
      <c r="Q192" s="116">
        <v>947.15805058994079</v>
      </c>
      <c r="R192" s="116">
        <v>921.84744149452399</v>
      </c>
      <c r="S192" s="116">
        <v>892.64578457116261</v>
      </c>
      <c r="T192" s="116">
        <v>863.45639969247429</v>
      </c>
      <c r="U192" s="116">
        <v>835.51419998912149</v>
      </c>
      <c r="V192" s="116">
        <v>821.8289615471283</v>
      </c>
      <c r="W192" s="116">
        <v>790.92977598875223</v>
      </c>
      <c r="X192" s="116">
        <v>763.31262883517491</v>
      </c>
      <c r="Y192" s="116">
        <v>738.56753085624007</v>
      </c>
      <c r="DA192" s="176" t="s">
        <v>930</v>
      </c>
    </row>
    <row r="193" spans="1:105" ht="11.45" customHeight="1" x14ac:dyDescent="0.25">
      <c r="A193" s="128" t="s">
        <v>27</v>
      </c>
      <c r="B193" s="101">
        <v>1018.3263350876193</v>
      </c>
      <c r="C193" s="101">
        <v>1011.7060008157902</v>
      </c>
      <c r="D193" s="101">
        <v>1005.5644701777265</v>
      </c>
      <c r="E193" s="101">
        <v>993.70261726168565</v>
      </c>
      <c r="F193" s="101">
        <v>986.71496214575893</v>
      </c>
      <c r="G193" s="101">
        <v>970.92629650732874</v>
      </c>
      <c r="H193" s="101">
        <v>962.31381279666562</v>
      </c>
      <c r="I193" s="101">
        <v>957.26489280119347</v>
      </c>
      <c r="J193" s="101">
        <v>952.08309598899507</v>
      </c>
      <c r="K193" s="101">
        <v>947.49761492131063</v>
      </c>
      <c r="L193" s="101">
        <v>943.78882565961806</v>
      </c>
      <c r="M193" s="101">
        <v>938.56305836289914</v>
      </c>
      <c r="N193" s="101">
        <v>926.96773391597094</v>
      </c>
      <c r="O193" s="101">
        <v>908.07375349303163</v>
      </c>
      <c r="P193" s="101">
        <v>897.35630757961405</v>
      </c>
      <c r="Q193" s="101">
        <v>885.269538441132</v>
      </c>
      <c r="R193" s="101">
        <v>861.33735752906</v>
      </c>
      <c r="S193" s="101">
        <v>833.69674469692598</v>
      </c>
      <c r="T193" s="101">
        <v>804.5490805491429</v>
      </c>
      <c r="U193" s="101">
        <v>777.40669080827297</v>
      </c>
      <c r="V193" s="101">
        <v>765.8063346383725</v>
      </c>
      <c r="W193" s="101">
        <v>736.41102708503456</v>
      </c>
      <c r="X193" s="101">
        <v>708.7474215134489</v>
      </c>
      <c r="Y193" s="101">
        <v>684.04212841397305</v>
      </c>
      <c r="DA193" s="175" t="s">
        <v>931</v>
      </c>
    </row>
    <row r="194" spans="1:105" ht="11.45" customHeight="1" x14ac:dyDescent="0.25">
      <c r="A194" s="138" t="s">
        <v>116</v>
      </c>
      <c r="B194" s="88">
        <v>1066.0594178947845</v>
      </c>
      <c r="C194" s="88">
        <v>1055.3563908971907</v>
      </c>
      <c r="D194" s="88">
        <v>1046.0542999284178</v>
      </c>
      <c r="E194" s="88">
        <v>1038.574720406825</v>
      </c>
      <c r="F194" s="88">
        <v>1019.4544364049847</v>
      </c>
      <c r="G194" s="88">
        <v>1010.738965931296</v>
      </c>
      <c r="H194" s="88">
        <v>1000.0232179350515</v>
      </c>
      <c r="I194" s="88">
        <v>991.22126022494479</v>
      </c>
      <c r="J194" s="88">
        <v>980.2649316424762</v>
      </c>
      <c r="K194" s="88">
        <v>952.27091358152461</v>
      </c>
      <c r="L194" s="88">
        <v>950.06392037016622</v>
      </c>
      <c r="M194" s="88">
        <v>942.45102142781786</v>
      </c>
      <c r="N194" s="88">
        <v>924.03987277613294</v>
      </c>
      <c r="O194" s="88">
        <v>911.88578916116364</v>
      </c>
      <c r="P194" s="88">
        <v>905.88412982370403</v>
      </c>
      <c r="Q194" s="88">
        <v>895.85775891341393</v>
      </c>
      <c r="R194" s="88">
        <v>874.01033149532839</v>
      </c>
      <c r="S194" s="88">
        <v>847.84385596174957</v>
      </c>
      <c r="T194" s="88">
        <v>842.73864224211991</v>
      </c>
      <c r="U194" s="88">
        <v>828.83254148806509</v>
      </c>
      <c r="V194" s="88">
        <v>813.71066681678462</v>
      </c>
      <c r="W194" s="88">
        <v>776.56033789624757</v>
      </c>
      <c r="X194" s="88">
        <v>769.42739814012418</v>
      </c>
      <c r="Y194" s="88">
        <v>760.23725937959352</v>
      </c>
      <c r="DA194" s="178" t="s">
        <v>932</v>
      </c>
    </row>
    <row r="195" spans="1:105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DA195" s="171"/>
    </row>
    <row r="196" spans="1:105" ht="11.45" customHeight="1" x14ac:dyDescent="0.25">
      <c r="A196" s="53" t="s">
        <v>124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DA196" s="172"/>
    </row>
    <row r="197" spans="1:105" ht="11.45" customHeight="1" x14ac:dyDescent="0.25">
      <c r="A197" s="27" t="s">
        <v>33</v>
      </c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DA197" s="173"/>
    </row>
    <row r="198" spans="1:105" ht="11.45" customHeight="1" x14ac:dyDescent="0.25">
      <c r="A198" s="136" t="s">
        <v>173</v>
      </c>
      <c r="B198" s="150">
        <f>IF(TrRoad_act!B59=0,0,TrRoad_emi!B56/TrRoad_tech!B171)</f>
        <v>1.1275677866147502</v>
      </c>
      <c r="C198" s="150">
        <f>IF(TrRoad_act!C59=0,0,TrRoad_emi!C56/TrRoad_tech!C171)</f>
        <v>1.127574558505867</v>
      </c>
      <c r="D198" s="150">
        <f>IF(TrRoad_act!D59=0,0,TrRoad_emi!D56/TrRoad_tech!D171)</f>
        <v>1.1277684178979672</v>
      </c>
      <c r="E198" s="150">
        <f>IF(TrRoad_act!E59=0,0,TrRoad_emi!E56/TrRoad_tech!E171)</f>
        <v>1.1282587250804361</v>
      </c>
      <c r="F198" s="150">
        <f>IF(TrRoad_act!F59=0,0,TrRoad_emi!F56/TrRoad_tech!F171)</f>
        <v>1.1289843244049498</v>
      </c>
      <c r="G198" s="150">
        <f>IF(TrRoad_act!G59=0,0,TrRoad_emi!G56/TrRoad_tech!G171)</f>
        <v>1.0748744869072309</v>
      </c>
      <c r="H198" s="150">
        <f>IF(TrRoad_act!H59=0,0,TrRoad_emi!H56/TrRoad_tech!H171)</f>
        <v>1.0800020632437746</v>
      </c>
      <c r="I198" s="150">
        <f>IF(TrRoad_act!I59=0,0,TrRoad_emi!I56/TrRoad_tech!I171)</f>
        <v>1.0854854820535</v>
      </c>
      <c r="J198" s="150">
        <f>IF(TrRoad_act!J59=0,0,TrRoad_emi!J56/TrRoad_tech!J171)</f>
        <v>1.1008489006770226</v>
      </c>
      <c r="K198" s="150">
        <f>IF(TrRoad_act!K59=0,0,TrRoad_emi!K56/TrRoad_tech!K171)</f>
        <v>1.1073970687530315</v>
      </c>
      <c r="L198" s="150">
        <f>IF(TrRoad_act!L59=0,0,TrRoad_emi!L56/TrRoad_tech!L171)</f>
        <v>1.0797308200624789</v>
      </c>
      <c r="M198" s="150">
        <f>IF(TrRoad_act!M59=0,0,TrRoad_emi!M56/TrRoad_tech!M171)</f>
        <v>1.0841507079450923</v>
      </c>
      <c r="N198" s="150">
        <f>IF(TrRoad_act!N59=0,0,TrRoad_emi!N56/TrRoad_tech!N171)</f>
        <v>1.0824802750780422</v>
      </c>
      <c r="O198" s="150">
        <f>IF(TrRoad_act!O59=0,0,TrRoad_emi!O56/TrRoad_tech!O171)</f>
        <v>1.0922705233452012</v>
      </c>
      <c r="P198" s="150">
        <f>IF(TrRoad_act!P59=0,0,TrRoad_emi!P56/TrRoad_tech!P171)</f>
        <v>1.1156837763906182</v>
      </c>
      <c r="Q198" s="150">
        <f>IF(TrRoad_act!Q59=0,0,TrRoad_emi!Q56/TrRoad_tech!Q171)</f>
        <v>1.1065389246420489</v>
      </c>
      <c r="R198" s="150">
        <f>IF(TrRoad_act!R59=0,0,TrRoad_emi!R56/TrRoad_tech!R171)</f>
        <v>1.103867605044077</v>
      </c>
      <c r="S198" s="150">
        <f>IF(TrRoad_act!S59=0,0,TrRoad_emi!S56/TrRoad_tech!S171)</f>
        <v>1.1087366328543549</v>
      </c>
      <c r="T198" s="150">
        <f>IF(TrRoad_act!T59=0,0,TrRoad_emi!T56/TrRoad_tech!T171)</f>
        <v>1.1225611772111201</v>
      </c>
      <c r="U198" s="150">
        <f>IF(TrRoad_act!U59=0,0,TrRoad_emi!U56/TrRoad_tech!U171)</f>
        <v>1.1369259965704315</v>
      </c>
      <c r="V198" s="150">
        <f>IF(TrRoad_act!V59=0,0,TrRoad_emi!V56/TrRoad_tech!V171)</f>
        <v>1.1582048795065663</v>
      </c>
      <c r="W198" s="150">
        <f>IF(TrRoad_act!W59=0,0,TrRoad_emi!W56/TrRoad_tech!W171)</f>
        <v>1.1580904741311722</v>
      </c>
      <c r="X198" s="150">
        <f>IF(TrRoad_act!X59=0,0,TrRoad_emi!X56/TrRoad_tech!X171)</f>
        <v>1.1614125281376664</v>
      </c>
      <c r="Y198" s="150">
        <f>IF(TrRoad_act!Y59=0,0,TrRoad_emi!Y56/TrRoad_tech!Y171)</f>
        <v>1.1755302922037696</v>
      </c>
      <c r="DA198" s="174"/>
    </row>
    <row r="199" spans="1:105" ht="11.45" customHeight="1" x14ac:dyDescent="0.25">
      <c r="A199" s="109" t="s">
        <v>20</v>
      </c>
      <c r="B199" s="151">
        <f>IF(TrRoad_act!B60=0,0,TrRoad_emi!B57/TrRoad_tech!B172)</f>
        <v>0.80520614876902119</v>
      </c>
      <c r="C199" s="151">
        <f>IF(TrRoad_act!C60=0,0,TrRoad_emi!C57/TrRoad_tech!C172)</f>
        <v>0.84539343456525673</v>
      </c>
      <c r="D199" s="151">
        <f>IF(TrRoad_act!D60=0,0,TrRoad_emi!D57/TrRoad_tech!D172)</f>
        <v>0.84364403110700159</v>
      </c>
      <c r="E199" s="151">
        <f>IF(TrRoad_act!E60=0,0,TrRoad_emi!E57/TrRoad_tech!E172)</f>
        <v>0.82760551879177691</v>
      </c>
      <c r="F199" s="151">
        <f>IF(TrRoad_act!F60=0,0,TrRoad_emi!F57/TrRoad_tech!F172)</f>
        <v>0.87153594964737247</v>
      </c>
      <c r="G199" s="151">
        <f>IF(TrRoad_act!G60=0,0,TrRoad_emi!G57/TrRoad_tech!G172)</f>
        <v>0.86771585716811306</v>
      </c>
      <c r="H199" s="151">
        <f>IF(TrRoad_act!H60=0,0,TrRoad_emi!H57/TrRoad_tech!H172)</f>
        <v>0.86536468584237503</v>
      </c>
      <c r="I199" s="151">
        <f>IF(TrRoad_act!I60=0,0,TrRoad_emi!I57/TrRoad_tech!I172)</f>
        <v>0.84743871750206301</v>
      </c>
      <c r="J199" s="151">
        <f>IF(TrRoad_act!J60=0,0,TrRoad_emi!J57/TrRoad_tech!J172)</f>
        <v>0.9472982135886151</v>
      </c>
      <c r="K199" s="151">
        <f>IF(TrRoad_act!K60=0,0,TrRoad_emi!K57/TrRoad_tech!K172)</f>
        <v>0.95387411873591688</v>
      </c>
      <c r="L199" s="151">
        <f>IF(TrRoad_act!L60=0,0,TrRoad_emi!L57/TrRoad_tech!L172)</f>
        <v>0.90519477984749042</v>
      </c>
      <c r="M199" s="151">
        <f>IF(TrRoad_act!M60=0,0,TrRoad_emi!M57/TrRoad_tech!M172)</f>
        <v>0.92037575773360847</v>
      </c>
      <c r="N199" s="151">
        <f>IF(TrRoad_act!N60=0,0,TrRoad_emi!N57/TrRoad_tech!N172)</f>
        <v>0.92498071200110321</v>
      </c>
      <c r="O199" s="151">
        <f>IF(TrRoad_act!O60=0,0,TrRoad_emi!O57/TrRoad_tech!O172)</f>
        <v>0.84653557903778631</v>
      </c>
      <c r="P199" s="151">
        <f>IF(TrRoad_act!P60=0,0,TrRoad_emi!P57/TrRoad_tech!P172)</f>
        <v>0.85917326773348435</v>
      </c>
      <c r="Q199" s="151">
        <f>IF(TrRoad_act!Q60=0,0,TrRoad_emi!Q57/TrRoad_tech!Q172)</f>
        <v>0.83030075048566288</v>
      </c>
      <c r="R199" s="151">
        <f>IF(TrRoad_act!R60=0,0,TrRoad_emi!R57/TrRoad_tech!R172)</f>
        <v>0.8629507312104574</v>
      </c>
      <c r="S199" s="151">
        <f>IF(TrRoad_act!S60=0,0,TrRoad_emi!S57/TrRoad_tech!S172)</f>
        <v>0.9083066911950729</v>
      </c>
      <c r="T199" s="151">
        <f>IF(TrRoad_act!T60=0,0,TrRoad_emi!T57/TrRoad_tech!T172)</f>
        <v>0.91437327502453547</v>
      </c>
      <c r="U199" s="151">
        <f>IF(TrRoad_act!U60=0,0,TrRoad_emi!U57/TrRoad_tech!U172)</f>
        <v>0.88918508244053407</v>
      </c>
      <c r="V199" s="151">
        <f>IF(TrRoad_act!V60=0,0,TrRoad_emi!V57/TrRoad_tech!V172)</f>
        <v>0.94802233835372651</v>
      </c>
      <c r="W199" s="151">
        <f>IF(TrRoad_act!W60=0,0,TrRoad_emi!W57/TrRoad_tech!W172)</f>
        <v>0.94368920935318945</v>
      </c>
      <c r="X199" s="151">
        <f>IF(TrRoad_act!X60=0,0,TrRoad_emi!X57/TrRoad_tech!X172)</f>
        <v>0.94954659662947904</v>
      </c>
      <c r="Y199" s="151">
        <f>IF(TrRoad_act!Y60=0,0,TrRoad_emi!Y57/TrRoad_tech!Y172)</f>
        <v>0.9615189411813424</v>
      </c>
      <c r="DA199" s="176"/>
    </row>
    <row r="200" spans="1:105" ht="11.45" customHeight="1" x14ac:dyDescent="0.25">
      <c r="A200" s="111" t="s">
        <v>110</v>
      </c>
      <c r="B200" s="91">
        <f>IF(TrRoad_act!B61=0,0,TrRoad_emi!B58/TrRoad_tech!B173)</f>
        <v>0.82306299528339422</v>
      </c>
      <c r="C200" s="91">
        <f>IF(TrRoad_act!C61=0,0,TrRoad_emi!C58/TrRoad_tech!C173)</f>
        <v>0.85983502800227229</v>
      </c>
      <c r="D200" s="91">
        <f>IF(TrRoad_act!D61=0,0,TrRoad_emi!D58/TrRoad_tech!D173)</f>
        <v>0.85131201008061386</v>
      </c>
      <c r="E200" s="91">
        <f>IF(TrRoad_act!E61=0,0,TrRoad_emi!E58/TrRoad_tech!E173)</f>
        <v>0.84555429482917954</v>
      </c>
      <c r="F200" s="91">
        <f>IF(TrRoad_act!F61=0,0,TrRoad_emi!F58/TrRoad_tech!F173)</f>
        <v>0.85936644531564621</v>
      </c>
      <c r="G200" s="91">
        <f>IF(TrRoad_act!G61=0,0,TrRoad_emi!G58/TrRoad_tech!G173)</f>
        <v>0.88137032381882841</v>
      </c>
      <c r="H200" s="91">
        <f>IF(TrRoad_act!H61=0,0,TrRoad_emi!H58/TrRoad_tech!H173)</f>
        <v>0.86827841839017894</v>
      </c>
      <c r="I200" s="91">
        <f>IF(TrRoad_act!I61=0,0,TrRoad_emi!I58/TrRoad_tech!I173)</f>
        <v>0.89359396983833339</v>
      </c>
      <c r="J200" s="91">
        <f>IF(TrRoad_act!J61=0,0,TrRoad_emi!J58/TrRoad_tech!J173)</f>
        <v>1.0380017805055564</v>
      </c>
      <c r="K200" s="91">
        <f>IF(TrRoad_act!K61=0,0,TrRoad_emi!K58/TrRoad_tech!K173)</f>
        <v>1.0368868849775983</v>
      </c>
      <c r="L200" s="91">
        <f>IF(TrRoad_act!L61=0,0,TrRoad_emi!L58/TrRoad_tech!L173)</f>
        <v>0.95468156151230266</v>
      </c>
      <c r="M200" s="91">
        <f>IF(TrRoad_act!M61=0,0,TrRoad_emi!M58/TrRoad_tech!M173)</f>
        <v>1.0068110862696298</v>
      </c>
      <c r="N200" s="91">
        <f>IF(TrRoad_act!N61=0,0,TrRoad_emi!N58/TrRoad_tech!N173)</f>
        <v>1.0149624203891274</v>
      </c>
      <c r="O200" s="91">
        <f>IF(TrRoad_act!O61=0,0,TrRoad_emi!O58/TrRoad_tech!O173)</f>
        <v>0.89586934739470958</v>
      </c>
      <c r="P200" s="91">
        <f>IF(TrRoad_act!P61=0,0,TrRoad_emi!P58/TrRoad_tech!P173)</f>
        <v>0.89780990941934857</v>
      </c>
      <c r="Q200" s="91">
        <f>IF(TrRoad_act!Q61=0,0,TrRoad_emi!Q58/TrRoad_tech!Q173)</f>
        <v>0.85875248322825648</v>
      </c>
      <c r="R200" s="91">
        <f>IF(TrRoad_act!R61=0,0,TrRoad_emi!R58/TrRoad_tech!R173)</f>
        <v>0.93863020480586434</v>
      </c>
      <c r="S200" s="91">
        <f>IF(TrRoad_act!S61=0,0,TrRoad_emi!S58/TrRoad_tech!S173)</f>
        <v>0.97726396847136998</v>
      </c>
      <c r="T200" s="91">
        <f>IF(TrRoad_act!T61=0,0,TrRoad_emi!T58/TrRoad_tech!T173)</f>
        <v>0.97961211221541444</v>
      </c>
      <c r="U200" s="91">
        <f>IF(TrRoad_act!U61=0,0,TrRoad_emi!U58/TrRoad_tech!U173)</f>
        <v>0.97799599298736917</v>
      </c>
      <c r="V200" s="91">
        <f>IF(TrRoad_act!V61=0,0,TrRoad_emi!V58/TrRoad_tech!V173)</f>
        <v>0.97834646778032919</v>
      </c>
      <c r="W200" s="91">
        <f>IF(TrRoad_act!W61=0,0,TrRoad_emi!W58/TrRoad_tech!W173)</f>
        <v>0.96399104925767209</v>
      </c>
      <c r="X200" s="91">
        <f>IF(TrRoad_act!X61=0,0,TrRoad_emi!X58/TrRoad_tech!X173)</f>
        <v>0.95756893363787565</v>
      </c>
      <c r="Y200" s="91">
        <f>IF(TrRoad_act!Y61=0,0,TrRoad_emi!Y58/TrRoad_tech!Y173)</f>
        <v>0.95743279700502226</v>
      </c>
      <c r="DA200" s="171"/>
    </row>
    <row r="201" spans="1:105" ht="11.45" customHeight="1" x14ac:dyDescent="0.25">
      <c r="A201" s="111" t="s">
        <v>111</v>
      </c>
      <c r="B201" s="91">
        <f>IF(TrRoad_act!B62=0,0,TrRoad_emi!B59/TrRoad_tech!B174)</f>
        <v>0.83502375519700234</v>
      </c>
      <c r="C201" s="91">
        <f>IF(TrRoad_act!C62=0,0,TrRoad_emi!C59/TrRoad_tech!C174)</f>
        <v>0.93882099631112781</v>
      </c>
      <c r="D201" s="91">
        <f>IF(TrRoad_act!D62=0,0,TrRoad_emi!D59/TrRoad_tech!D174)</f>
        <v>0.94063544980581992</v>
      </c>
      <c r="E201" s="91">
        <f>IF(TrRoad_act!E62=0,0,TrRoad_emi!E59/TrRoad_tech!E174)</f>
        <v>0.86088402763547534</v>
      </c>
      <c r="F201" s="91">
        <f>IF(TrRoad_act!F62=0,0,TrRoad_emi!F59/TrRoad_tech!F174)</f>
        <v>0.86111292579821264</v>
      </c>
      <c r="G201" s="91">
        <f>IF(TrRoad_act!G62=0,0,TrRoad_emi!G59/TrRoad_tech!G174)</f>
        <v>0.86930316308714006</v>
      </c>
      <c r="H201" s="91">
        <f>IF(TrRoad_act!H62=0,0,TrRoad_emi!H59/TrRoad_tech!H174)</f>
        <v>0.92859186427019724</v>
      </c>
      <c r="I201" s="91">
        <f>IF(TrRoad_act!I62=0,0,TrRoad_emi!I59/TrRoad_tech!I174)</f>
        <v>0.8152252304991725</v>
      </c>
      <c r="J201" s="91">
        <f>IF(TrRoad_act!J62=0,0,TrRoad_emi!J59/TrRoad_tech!J174)</f>
        <v>0.85538711971937031</v>
      </c>
      <c r="K201" s="91">
        <f>IF(TrRoad_act!K62=0,0,TrRoad_emi!K59/TrRoad_tech!K174)</f>
        <v>0.85403385762680606</v>
      </c>
      <c r="L201" s="91">
        <f>IF(TrRoad_act!L62=0,0,TrRoad_emi!L59/TrRoad_tech!L174)</f>
        <v>0.86235889740442928</v>
      </c>
      <c r="M201" s="91">
        <f>IF(TrRoad_act!M62=0,0,TrRoad_emi!M59/TrRoad_tech!M174)</f>
        <v>0.81993855938012539</v>
      </c>
      <c r="N201" s="91">
        <f>IF(TrRoad_act!N62=0,0,TrRoad_emi!N59/TrRoad_tech!N174)</f>
        <v>0.86862524276556352</v>
      </c>
      <c r="O201" s="91">
        <f>IF(TrRoad_act!O62=0,0,TrRoad_emi!O59/TrRoad_tech!O174)</f>
        <v>0.81303694283061667</v>
      </c>
      <c r="P201" s="91">
        <f>IF(TrRoad_act!P62=0,0,TrRoad_emi!P59/TrRoad_tech!P174)</f>
        <v>0.83637504175392208</v>
      </c>
      <c r="Q201" s="91">
        <f>IF(TrRoad_act!Q62=0,0,TrRoad_emi!Q59/TrRoad_tech!Q174)</f>
        <v>0.82308297144687803</v>
      </c>
      <c r="R201" s="91">
        <f>IF(TrRoad_act!R62=0,0,TrRoad_emi!R59/TrRoad_tech!R174)</f>
        <v>0.8388852567402123</v>
      </c>
      <c r="S201" s="91">
        <f>IF(TrRoad_act!S62=0,0,TrRoad_emi!S59/TrRoad_tech!S174)</f>
        <v>0.91122474186545399</v>
      </c>
      <c r="T201" s="91">
        <f>IF(TrRoad_act!T62=0,0,TrRoad_emi!T59/TrRoad_tech!T174)</f>
        <v>0.92173102707625099</v>
      </c>
      <c r="U201" s="91">
        <f>IF(TrRoad_act!U62=0,0,TrRoad_emi!U59/TrRoad_tech!U174)</f>
        <v>0.87958188159194539</v>
      </c>
      <c r="V201" s="91">
        <f>IF(TrRoad_act!V62=0,0,TrRoad_emi!V59/TrRoad_tech!V174)</f>
        <v>0.98340082662642292</v>
      </c>
      <c r="W201" s="91">
        <f>IF(TrRoad_act!W62=0,0,TrRoad_emi!W59/TrRoad_tech!W174)</f>
        <v>0.99181642294487815</v>
      </c>
      <c r="X201" s="91">
        <f>IF(TrRoad_act!X62=0,0,TrRoad_emi!X59/TrRoad_tech!X174)</f>
        <v>1.0072591562406594</v>
      </c>
      <c r="Y201" s="91">
        <f>IF(TrRoad_act!Y62=0,0,TrRoad_emi!Y59/TrRoad_tech!Y174)</f>
        <v>1.0222079868518126</v>
      </c>
      <c r="DA201" s="171"/>
    </row>
    <row r="202" spans="1:105" ht="11.45" customHeight="1" x14ac:dyDescent="0.25">
      <c r="A202" s="111" t="s">
        <v>112</v>
      </c>
      <c r="B202" s="91">
        <f>IF(TrRoad_act!B63=0,0,TrRoad_emi!B60/TrRoad_tech!B175)</f>
        <v>0</v>
      </c>
      <c r="C202" s="91">
        <f>IF(TrRoad_act!C63=0,0,TrRoad_emi!C60/TrRoad_tech!C175)</f>
        <v>0</v>
      </c>
      <c r="D202" s="91">
        <f>IF(TrRoad_act!D63=0,0,TrRoad_emi!D60/TrRoad_tech!D175)</f>
        <v>1.0306963566539495</v>
      </c>
      <c r="E202" s="91">
        <f>IF(TrRoad_act!E63=0,0,TrRoad_emi!E60/TrRoad_tech!E175)</f>
        <v>0.92871341743650282</v>
      </c>
      <c r="F202" s="91">
        <f>IF(TrRoad_act!F63=0,0,TrRoad_emi!F60/TrRoad_tech!F175)</f>
        <v>4.425277953453481</v>
      </c>
      <c r="G202" s="91">
        <f>IF(TrRoad_act!G63=0,0,TrRoad_emi!G60/TrRoad_tech!G175)</f>
        <v>2.6483035330790559</v>
      </c>
      <c r="H202" s="91">
        <f>IF(TrRoad_act!H63=0,0,TrRoad_emi!H60/TrRoad_tech!H175)</f>
        <v>0.88404552283291116</v>
      </c>
      <c r="I202" s="91">
        <f>IF(TrRoad_act!I63=0,0,TrRoad_emi!I60/TrRoad_tech!I175)</f>
        <v>1.2227528642408676</v>
      </c>
      <c r="J202" s="91">
        <f>IF(TrRoad_act!J63=0,0,TrRoad_emi!J60/TrRoad_tech!J175)</f>
        <v>1.9259963172319079</v>
      </c>
      <c r="K202" s="91">
        <f>IF(TrRoad_act!K63=0,0,TrRoad_emi!K60/TrRoad_tech!K175)</f>
        <v>3.1524030969185914</v>
      </c>
      <c r="L202" s="91">
        <f>IF(TrRoad_act!L63=0,0,TrRoad_emi!L60/TrRoad_tech!L175)</f>
        <v>0.9187031698459085</v>
      </c>
      <c r="M202" s="91">
        <f>IF(TrRoad_act!M63=0,0,TrRoad_emi!M60/TrRoad_tech!M175)</f>
        <v>1.2315212237039301</v>
      </c>
      <c r="N202" s="91">
        <f>IF(TrRoad_act!N63=0,0,TrRoad_emi!N60/TrRoad_tech!N175)</f>
        <v>0.96941364133955343</v>
      </c>
      <c r="O202" s="91">
        <f>IF(TrRoad_act!O63=0,0,TrRoad_emi!O60/TrRoad_tech!O175)</f>
        <v>0.968650864360592</v>
      </c>
      <c r="P202" s="91">
        <f>IF(TrRoad_act!P63=0,0,TrRoad_emi!P60/TrRoad_tech!P175)</f>
        <v>0.96862461085624441</v>
      </c>
      <c r="Q202" s="91">
        <f>IF(TrRoad_act!Q63=0,0,TrRoad_emi!Q60/TrRoad_tech!Q175)</f>
        <v>0.86600168467474237</v>
      </c>
      <c r="R202" s="91">
        <f>IF(TrRoad_act!R63=0,0,TrRoad_emi!R60/TrRoad_tech!R175)</f>
        <v>1.0372003547036097</v>
      </c>
      <c r="S202" s="91">
        <f>IF(TrRoad_act!S63=0,0,TrRoad_emi!S60/TrRoad_tech!S175)</f>
        <v>1.0467751596077195</v>
      </c>
      <c r="T202" s="91">
        <f>IF(TrRoad_act!T63=0,0,TrRoad_emi!T60/TrRoad_tech!T175)</f>
        <v>1.0503169801142118</v>
      </c>
      <c r="U202" s="91">
        <f>IF(TrRoad_act!U63=0,0,TrRoad_emi!U60/TrRoad_tech!U175)</f>
        <v>1.0549085343548619</v>
      </c>
      <c r="V202" s="91">
        <f>IF(TrRoad_act!V63=0,0,TrRoad_emi!V60/TrRoad_tech!V175)</f>
        <v>0.89042085848030805</v>
      </c>
      <c r="W202" s="91">
        <f>IF(TrRoad_act!W63=0,0,TrRoad_emi!W60/TrRoad_tech!W175)</f>
        <v>0.7287035961474827</v>
      </c>
      <c r="X202" s="91">
        <f>IF(TrRoad_act!X63=0,0,TrRoad_emi!X60/TrRoad_tech!X175)</f>
        <v>0.72395752807135216</v>
      </c>
      <c r="Y202" s="91">
        <f>IF(TrRoad_act!Y63=0,0,TrRoad_emi!Y60/TrRoad_tech!Y175)</f>
        <v>0.6599137114445045</v>
      </c>
      <c r="DA202" s="171"/>
    </row>
    <row r="203" spans="1:105" ht="11.45" customHeight="1" x14ac:dyDescent="0.25">
      <c r="A203" s="111" t="s">
        <v>113</v>
      </c>
      <c r="B203" s="91">
        <f>IF(TrRoad_act!B64=0,0,TrRoad_emi!B61/TrRoad_tech!B176)</f>
        <v>0</v>
      </c>
      <c r="C203" s="91">
        <f>IF(TrRoad_act!C64=0,0,TrRoad_emi!C61/TrRoad_tech!C176)</f>
        <v>0</v>
      </c>
      <c r="D203" s="91">
        <f>IF(TrRoad_act!D64=0,0,TrRoad_emi!D61/TrRoad_tech!D176)</f>
        <v>0</v>
      </c>
      <c r="E203" s="91">
        <f>IF(TrRoad_act!E64=0,0,TrRoad_emi!E61/TrRoad_tech!E176)</f>
        <v>0</v>
      </c>
      <c r="F203" s="91">
        <f>IF(TrRoad_act!F64=0,0,TrRoad_emi!F61/TrRoad_tech!F176)</f>
        <v>0</v>
      </c>
      <c r="G203" s="91">
        <f>IF(TrRoad_act!G64=0,0,TrRoad_emi!G61/TrRoad_tech!G176)</f>
        <v>0</v>
      </c>
      <c r="H203" s="91">
        <f>IF(TrRoad_act!H64=0,0,TrRoad_emi!H61/TrRoad_tech!H176)</f>
        <v>0</v>
      </c>
      <c r="I203" s="91">
        <f>IF(TrRoad_act!I64=0,0,TrRoad_emi!I61/TrRoad_tech!I176)</f>
        <v>0</v>
      </c>
      <c r="J203" s="91">
        <f>IF(TrRoad_act!J64=0,0,TrRoad_emi!J61/TrRoad_tech!J176)</f>
        <v>0</v>
      </c>
      <c r="K203" s="91">
        <f>IF(TrRoad_act!K64=0,0,TrRoad_emi!K61/TrRoad_tech!K176)</f>
        <v>0</v>
      </c>
      <c r="L203" s="91">
        <f>IF(TrRoad_act!L64=0,0,TrRoad_emi!L61/TrRoad_tech!L176)</f>
        <v>0</v>
      </c>
      <c r="M203" s="91">
        <f>IF(TrRoad_act!M64=0,0,TrRoad_emi!M61/TrRoad_tech!M176)</f>
        <v>0</v>
      </c>
      <c r="N203" s="91">
        <f>IF(TrRoad_act!N64=0,0,TrRoad_emi!N61/TrRoad_tech!N176)</f>
        <v>0</v>
      </c>
      <c r="O203" s="91">
        <f>IF(TrRoad_act!O64=0,0,TrRoad_emi!O61/TrRoad_tech!O176)</f>
        <v>0</v>
      </c>
      <c r="P203" s="91">
        <f>IF(TrRoad_act!P64=0,0,TrRoad_emi!P61/TrRoad_tech!P176)</f>
        <v>0</v>
      </c>
      <c r="Q203" s="91">
        <f>IF(TrRoad_act!Q64=0,0,TrRoad_emi!Q61/TrRoad_tech!Q176)</f>
        <v>0</v>
      </c>
      <c r="R203" s="91">
        <f>IF(TrRoad_act!R64=0,0,TrRoad_emi!R61/TrRoad_tech!R176)</f>
        <v>0</v>
      </c>
      <c r="S203" s="91">
        <f>IF(TrRoad_act!S64=0,0,TrRoad_emi!S61/TrRoad_tech!S176)</f>
        <v>0</v>
      </c>
      <c r="T203" s="91">
        <f>IF(TrRoad_act!T64=0,0,TrRoad_emi!T61/TrRoad_tech!T176)</f>
        <v>0</v>
      </c>
      <c r="U203" s="91">
        <f>IF(TrRoad_act!U64=0,0,TrRoad_emi!U61/TrRoad_tech!U176)</f>
        <v>0</v>
      </c>
      <c r="V203" s="91">
        <f>IF(TrRoad_act!V64=0,0,TrRoad_emi!V61/TrRoad_tech!V176)</f>
        <v>0</v>
      </c>
      <c r="W203" s="91">
        <f>IF(TrRoad_act!W64=0,0,TrRoad_emi!W61/TrRoad_tech!W176)</f>
        <v>0</v>
      </c>
      <c r="X203" s="91">
        <f>IF(TrRoad_act!X64=0,0,TrRoad_emi!X61/TrRoad_tech!X176)</f>
        <v>0</v>
      </c>
      <c r="Y203" s="91">
        <f>IF(TrRoad_act!Y64=0,0,TrRoad_emi!Y61/TrRoad_tech!Y176)</f>
        <v>0</v>
      </c>
      <c r="DA203" s="171"/>
    </row>
    <row r="204" spans="1:105" ht="11.45" customHeight="1" x14ac:dyDescent="0.25">
      <c r="A204" s="111" t="s">
        <v>114</v>
      </c>
      <c r="B204" s="91">
        <f>IF(TrRoad_act!B65=0,0,TrRoad_emi!B62/TrRoad_tech!B177)</f>
        <v>0</v>
      </c>
      <c r="C204" s="91">
        <f>IF(TrRoad_act!C65=0,0,TrRoad_emi!C62/TrRoad_tech!C177)</f>
        <v>0</v>
      </c>
      <c r="D204" s="91">
        <f>IF(TrRoad_act!D65=0,0,TrRoad_emi!D62/TrRoad_tech!D177)</f>
        <v>0</v>
      </c>
      <c r="E204" s="91">
        <f>IF(TrRoad_act!E65=0,0,TrRoad_emi!E62/TrRoad_tech!E177)</f>
        <v>0</v>
      </c>
      <c r="F204" s="91">
        <f>IF(TrRoad_act!F65=0,0,TrRoad_emi!F62/TrRoad_tech!F177)</f>
        <v>0</v>
      </c>
      <c r="G204" s="91">
        <f>IF(TrRoad_act!G65=0,0,TrRoad_emi!G62/TrRoad_tech!G177)</f>
        <v>0</v>
      </c>
      <c r="H204" s="91">
        <f>IF(TrRoad_act!H65=0,0,TrRoad_emi!H62/TrRoad_tech!H177)</f>
        <v>0</v>
      </c>
      <c r="I204" s="91">
        <f>IF(TrRoad_act!I65=0,0,TrRoad_emi!I62/TrRoad_tech!I177)</f>
        <v>0</v>
      </c>
      <c r="J204" s="91">
        <f>IF(TrRoad_act!J65=0,0,TrRoad_emi!J62/TrRoad_tech!J177)</f>
        <v>0</v>
      </c>
      <c r="K204" s="91">
        <f>IF(TrRoad_act!K65=0,0,TrRoad_emi!K62/TrRoad_tech!K177)</f>
        <v>0</v>
      </c>
      <c r="L204" s="91">
        <f>IF(TrRoad_act!L65=0,0,TrRoad_emi!L62/TrRoad_tech!L177)</f>
        <v>0</v>
      </c>
      <c r="M204" s="91">
        <f>IF(TrRoad_act!M65=0,0,TrRoad_emi!M62/TrRoad_tech!M177)</f>
        <v>0</v>
      </c>
      <c r="N204" s="91">
        <f>IF(TrRoad_act!N65=0,0,TrRoad_emi!N62/TrRoad_tech!N177)</f>
        <v>1.044514311564944</v>
      </c>
      <c r="O204" s="91">
        <f>IF(TrRoad_act!O65=0,0,TrRoad_emi!O62/TrRoad_tech!O177)</f>
        <v>0.92044745303952569</v>
      </c>
      <c r="P204" s="91">
        <f>IF(TrRoad_act!P65=0,0,TrRoad_emi!P62/TrRoad_tech!P177)</f>
        <v>0.92119073770551785</v>
      </c>
      <c r="Q204" s="91">
        <f>IF(TrRoad_act!Q65=0,0,TrRoad_emi!Q62/TrRoad_tech!Q177)</f>
        <v>0.88073828115124575</v>
      </c>
      <c r="R204" s="91">
        <f>IF(TrRoad_act!R65=0,0,TrRoad_emi!R62/TrRoad_tech!R177)</f>
        <v>0.97899837194620509</v>
      </c>
      <c r="S204" s="91">
        <f>IF(TrRoad_act!S65=0,0,TrRoad_emi!S62/TrRoad_tech!S177)</f>
        <v>1.02038721248798</v>
      </c>
      <c r="T204" s="91">
        <f>IF(TrRoad_act!T65=0,0,TrRoad_emi!T62/TrRoad_tech!T177)</f>
        <v>1.0227965656158204</v>
      </c>
      <c r="U204" s="91">
        <f>IF(TrRoad_act!U65=0,0,TrRoad_emi!U62/TrRoad_tech!U177)</f>
        <v>1.0202364836581777</v>
      </c>
      <c r="V204" s="91">
        <f>IF(TrRoad_act!V65=0,0,TrRoad_emi!V62/TrRoad_tech!V177)</f>
        <v>1.0188059207772839</v>
      </c>
      <c r="W204" s="91">
        <f>IF(TrRoad_act!W65=0,0,TrRoad_emi!W62/TrRoad_tech!W177)</f>
        <v>1.0016380313574385</v>
      </c>
      <c r="X204" s="91">
        <f>IF(TrRoad_act!X65=0,0,TrRoad_emi!X62/TrRoad_tech!X177)</f>
        <v>0.99227590942169486</v>
      </c>
      <c r="Y204" s="91">
        <f>IF(TrRoad_act!Y65=0,0,TrRoad_emi!Y62/TrRoad_tech!Y177)</f>
        <v>0.98977889424493315</v>
      </c>
      <c r="DA204" s="171"/>
    </row>
    <row r="205" spans="1:105" ht="11.45" customHeight="1" x14ac:dyDescent="0.25">
      <c r="A205" s="111" t="s">
        <v>115</v>
      </c>
      <c r="B205" s="91">
        <f>0</f>
        <v>0</v>
      </c>
      <c r="C205" s="91">
        <f>0</f>
        <v>0</v>
      </c>
      <c r="D205" s="91">
        <f>0</f>
        <v>0</v>
      </c>
      <c r="E205" s="91">
        <f>0</f>
        <v>0</v>
      </c>
      <c r="F205" s="91">
        <f>0</f>
        <v>0</v>
      </c>
      <c r="G205" s="91">
        <f>0</f>
        <v>0</v>
      </c>
      <c r="H205" s="91">
        <f>0</f>
        <v>0</v>
      </c>
      <c r="I205" s="91">
        <f>0</f>
        <v>0</v>
      </c>
      <c r="J205" s="91">
        <f>0</f>
        <v>0</v>
      </c>
      <c r="K205" s="91">
        <f>0</f>
        <v>0</v>
      </c>
      <c r="L205" s="91">
        <f>0</f>
        <v>0</v>
      </c>
      <c r="M205" s="91">
        <f>0</f>
        <v>0</v>
      </c>
      <c r="N205" s="91">
        <f>0</f>
        <v>0</v>
      </c>
      <c r="O205" s="91">
        <f>0</f>
        <v>0</v>
      </c>
      <c r="P205" s="91">
        <f>0</f>
        <v>0</v>
      </c>
      <c r="Q205" s="91">
        <f>0</f>
        <v>0</v>
      </c>
      <c r="R205" s="91">
        <f>0</f>
        <v>0</v>
      </c>
      <c r="S205" s="91">
        <f>0</f>
        <v>0</v>
      </c>
      <c r="T205" s="91">
        <f>0</f>
        <v>0</v>
      </c>
      <c r="U205" s="91">
        <f>0</f>
        <v>0</v>
      </c>
      <c r="V205" s="91">
        <f>0</f>
        <v>0</v>
      </c>
      <c r="W205" s="91">
        <f>0</f>
        <v>0</v>
      </c>
      <c r="X205" s="91">
        <f>0</f>
        <v>0</v>
      </c>
      <c r="Y205" s="91">
        <f>0</f>
        <v>0</v>
      </c>
      <c r="DA205" s="171"/>
    </row>
    <row r="206" spans="1:105" ht="11.45" customHeight="1" x14ac:dyDescent="0.25">
      <c r="A206" s="109" t="s">
        <v>21</v>
      </c>
      <c r="B206" s="151">
        <f>IF(TrRoad_act!B67=0,0,TrRoad_emi!B64/TrRoad_tech!B179)</f>
        <v>1.0634154319103333</v>
      </c>
      <c r="C206" s="151">
        <f>IF(TrRoad_act!C67=0,0,TrRoad_emi!C64/TrRoad_tech!C179)</f>
        <v>1.1509927782493472</v>
      </c>
      <c r="D206" s="151">
        <f>IF(TrRoad_act!D67=0,0,TrRoad_emi!D64/TrRoad_tech!D179)</f>
        <v>1.168545953629476</v>
      </c>
      <c r="E206" s="151">
        <f>IF(TrRoad_act!E67=0,0,TrRoad_emi!E64/TrRoad_tech!E179)</f>
        <v>1.157047778709468</v>
      </c>
      <c r="F206" s="151">
        <f>IF(TrRoad_act!F67=0,0,TrRoad_emi!F64/TrRoad_tech!F179)</f>
        <v>1.0928740011243063</v>
      </c>
      <c r="G206" s="151">
        <f>IF(TrRoad_act!G67=0,0,TrRoad_emi!G64/TrRoad_tech!G179)</f>
        <v>1.0205226129649645</v>
      </c>
      <c r="H206" s="151">
        <f>IF(TrRoad_act!H67=0,0,TrRoad_emi!H64/TrRoad_tech!H179)</f>
        <v>1.0677577142332553</v>
      </c>
      <c r="I206" s="151">
        <f>IF(TrRoad_act!I67=0,0,TrRoad_emi!I64/TrRoad_tech!I179)</f>
        <v>1.0019139066593594</v>
      </c>
      <c r="J206" s="151">
        <f>IF(TrRoad_act!J67=0,0,TrRoad_emi!J64/TrRoad_tech!J179)</f>
        <v>1.0240333979332841</v>
      </c>
      <c r="K206" s="151">
        <f>IF(TrRoad_act!K67=0,0,TrRoad_emi!K64/TrRoad_tech!K179)</f>
        <v>1.0403463378152675</v>
      </c>
      <c r="L206" s="151">
        <f>IF(TrRoad_act!L67=0,0,TrRoad_emi!L64/TrRoad_tech!L179)</f>
        <v>1.0827813303985483</v>
      </c>
      <c r="M206" s="151">
        <f>IF(TrRoad_act!M67=0,0,TrRoad_emi!M64/TrRoad_tech!M179)</f>
        <v>1.0654846003413518</v>
      </c>
      <c r="N206" s="151">
        <f>IF(TrRoad_act!N67=0,0,TrRoad_emi!N64/TrRoad_tech!N179)</f>
        <v>1.0886334238296935</v>
      </c>
      <c r="O206" s="151">
        <f>IF(TrRoad_act!O67=0,0,TrRoad_emi!O64/TrRoad_tech!O179)</f>
        <v>1.079767718926069</v>
      </c>
      <c r="P206" s="151">
        <f>IF(TrRoad_act!P67=0,0,TrRoad_emi!P64/TrRoad_tech!P179)</f>
        <v>1.0988913614881939</v>
      </c>
      <c r="Q206" s="151">
        <f>IF(TrRoad_act!Q67=0,0,TrRoad_emi!Q64/TrRoad_tech!Q179)</f>
        <v>1.1031680621749711</v>
      </c>
      <c r="R206" s="151">
        <f>IF(TrRoad_act!R67=0,0,TrRoad_emi!R64/TrRoad_tech!R179)</f>
        <v>1.1196262413142228</v>
      </c>
      <c r="S206" s="151">
        <f>IF(TrRoad_act!S67=0,0,TrRoad_emi!S64/TrRoad_tech!S179)</f>
        <v>1.1542301373701522</v>
      </c>
      <c r="T206" s="151">
        <f>IF(TrRoad_act!T67=0,0,TrRoad_emi!T64/TrRoad_tech!T179)</f>
        <v>1.1627758683104086</v>
      </c>
      <c r="U206" s="151">
        <f>IF(TrRoad_act!U67=0,0,TrRoad_emi!U64/TrRoad_tech!U179)</f>
        <v>1.1426978846680382</v>
      </c>
      <c r="V206" s="151">
        <f>IF(TrRoad_act!V67=0,0,TrRoad_emi!V64/TrRoad_tech!V179)</f>
        <v>1.2110062883895487</v>
      </c>
      <c r="W206" s="151">
        <f>IF(TrRoad_act!W67=0,0,TrRoad_emi!W64/TrRoad_tech!W179)</f>
        <v>1.1898144315639287</v>
      </c>
      <c r="X206" s="151">
        <f>IF(TrRoad_act!X67=0,0,TrRoad_emi!X64/TrRoad_tech!X179)</f>
        <v>1.2288745806832626</v>
      </c>
      <c r="Y206" s="151">
        <f>IF(TrRoad_act!Y67=0,0,TrRoad_emi!Y64/TrRoad_tech!Y179)</f>
        <v>1.2962520983372767</v>
      </c>
      <c r="DA206" s="176"/>
    </row>
    <row r="207" spans="1:105" ht="11.45" customHeight="1" x14ac:dyDescent="0.25">
      <c r="A207" s="111" t="s">
        <v>110</v>
      </c>
      <c r="B207" s="93">
        <f>IF(TrRoad_act!B68=0,0,TrRoad_emi!B65/TrRoad_tech!B180)</f>
        <v>0</v>
      </c>
      <c r="C207" s="93">
        <f>IF(TrRoad_act!C68=0,0,TrRoad_emi!C65/TrRoad_tech!C180)</f>
        <v>0</v>
      </c>
      <c r="D207" s="93">
        <f>IF(TrRoad_act!D68=0,0,TrRoad_emi!D65/TrRoad_tech!D180)</f>
        <v>0</v>
      </c>
      <c r="E207" s="93">
        <f>IF(TrRoad_act!E68=0,0,TrRoad_emi!E65/TrRoad_tech!E180)</f>
        <v>0</v>
      </c>
      <c r="F207" s="93">
        <f>IF(TrRoad_act!F68=0,0,TrRoad_emi!F65/TrRoad_tech!F180)</f>
        <v>0</v>
      </c>
      <c r="G207" s="93">
        <f>IF(TrRoad_act!G68=0,0,TrRoad_emi!G65/TrRoad_tech!G180)</f>
        <v>0</v>
      </c>
      <c r="H207" s="93">
        <f>IF(TrRoad_act!H68=0,0,TrRoad_emi!H65/TrRoad_tech!H180)</f>
        <v>0</v>
      </c>
      <c r="I207" s="93">
        <f>IF(TrRoad_act!I68=0,0,TrRoad_emi!I65/TrRoad_tech!I180)</f>
        <v>0</v>
      </c>
      <c r="J207" s="93">
        <f>IF(TrRoad_act!J68=0,0,TrRoad_emi!J65/TrRoad_tech!J180)</f>
        <v>1.169499080043898</v>
      </c>
      <c r="K207" s="93">
        <f>IF(TrRoad_act!K68=0,0,TrRoad_emi!K65/TrRoad_tech!K180)</f>
        <v>1.1674334777829736</v>
      </c>
      <c r="L207" s="93">
        <f>IF(TrRoad_act!L68=0,0,TrRoad_emi!L65/TrRoad_tech!L180)</f>
        <v>1.1319572627482615</v>
      </c>
      <c r="M207" s="93">
        <f>IF(TrRoad_act!M68=0,0,TrRoad_emi!M65/TrRoad_tech!M180)</f>
        <v>1.1299018682071409</v>
      </c>
      <c r="N207" s="93">
        <f>IF(TrRoad_act!N68=0,0,TrRoad_emi!N65/TrRoad_tech!N180)</f>
        <v>1.1200617483856068</v>
      </c>
      <c r="O207" s="93">
        <f>IF(TrRoad_act!O68=0,0,TrRoad_emi!O65/TrRoad_tech!O180)</f>
        <v>1.1207666540477463</v>
      </c>
      <c r="P207" s="93">
        <f>IF(TrRoad_act!P68=0,0,TrRoad_emi!P65/TrRoad_tech!P180)</f>
        <v>1.1351378900385307</v>
      </c>
      <c r="Q207" s="93">
        <f>IF(TrRoad_act!Q68=0,0,TrRoad_emi!Q65/TrRoad_tech!Q180)</f>
        <v>1.116002576101053</v>
      </c>
      <c r="R207" s="93">
        <f>IF(TrRoad_act!R68=0,0,TrRoad_emi!R65/TrRoad_tech!R180)</f>
        <v>1.1024953678949174</v>
      </c>
      <c r="S207" s="93">
        <f>IF(TrRoad_act!S68=0,0,TrRoad_emi!S65/TrRoad_tech!S180)</f>
        <v>1.0952950041428577</v>
      </c>
      <c r="T207" s="93">
        <f>IF(TrRoad_act!T68=0,0,TrRoad_emi!T65/TrRoad_tech!T180)</f>
        <v>1.0951644364546711</v>
      </c>
      <c r="U207" s="93">
        <f>IF(TrRoad_act!U68=0,0,TrRoad_emi!U65/TrRoad_tech!U180)</f>
        <v>1.0896164971920206</v>
      </c>
      <c r="V207" s="93">
        <f>IF(TrRoad_act!V68=0,0,TrRoad_emi!V65/TrRoad_tech!V180)</f>
        <v>1.0893504700506205</v>
      </c>
      <c r="W207" s="93">
        <f>IF(TrRoad_act!W68=0,0,TrRoad_emi!W65/TrRoad_tech!W180)</f>
        <v>1.0717933755638596</v>
      </c>
      <c r="X207" s="93">
        <f>IF(TrRoad_act!X68=0,0,TrRoad_emi!X65/TrRoad_tech!X180)</f>
        <v>1.0635323387423301</v>
      </c>
      <c r="Y207" s="93">
        <f>IF(TrRoad_act!Y68=0,0,TrRoad_emi!Y65/TrRoad_tech!Y180)</f>
        <v>1.0603784793278161</v>
      </c>
      <c r="DA207" s="175"/>
    </row>
    <row r="208" spans="1:105" ht="11.45" customHeight="1" x14ac:dyDescent="0.25">
      <c r="A208" s="111" t="s">
        <v>111</v>
      </c>
      <c r="B208" s="93">
        <f>IF(TrRoad_act!B69=0,0,TrRoad_emi!B66/TrRoad_tech!B181)</f>
        <v>1.0634154319103333</v>
      </c>
      <c r="C208" s="93">
        <f>IF(TrRoad_act!C69=0,0,TrRoad_emi!C66/TrRoad_tech!C181)</f>
        <v>1.16118915427906</v>
      </c>
      <c r="D208" s="93">
        <f>IF(TrRoad_act!D69=0,0,TrRoad_emi!D66/TrRoad_tech!D181)</f>
        <v>1.1804034695045376</v>
      </c>
      <c r="E208" s="93">
        <f>IF(TrRoad_act!E69=0,0,TrRoad_emi!E66/TrRoad_tech!E181)</f>
        <v>1.1755180424552381</v>
      </c>
      <c r="F208" s="93">
        <f>IF(TrRoad_act!F69=0,0,TrRoad_emi!F66/TrRoad_tech!F181)</f>
        <v>1.1202354272194421</v>
      </c>
      <c r="G208" s="93">
        <f>IF(TrRoad_act!G69=0,0,TrRoad_emi!G66/TrRoad_tech!G181)</f>
        <v>1.0474809735215602</v>
      </c>
      <c r="H208" s="93">
        <f>IF(TrRoad_act!H69=0,0,TrRoad_emi!H66/TrRoad_tech!H181)</f>
        <v>1.0996184846643067</v>
      </c>
      <c r="I208" s="93">
        <f>IF(TrRoad_act!I69=0,0,TrRoad_emi!I66/TrRoad_tech!I181)</f>
        <v>1.0326584093541915</v>
      </c>
      <c r="J208" s="93">
        <f>IF(TrRoad_act!J69=0,0,TrRoad_emi!J66/TrRoad_tech!J181)</f>
        <v>1.0543502718172197</v>
      </c>
      <c r="K208" s="93">
        <f>IF(TrRoad_act!K69=0,0,TrRoad_emi!K66/TrRoad_tech!K181)</f>
        <v>1.0688061003808031</v>
      </c>
      <c r="L208" s="93">
        <f>IF(TrRoad_act!L69=0,0,TrRoad_emi!L66/TrRoad_tech!L181)</f>
        <v>1.106057588315791</v>
      </c>
      <c r="M208" s="93">
        <f>IF(TrRoad_act!M69=0,0,TrRoad_emi!M66/TrRoad_tech!M181)</f>
        <v>1.083828638931732</v>
      </c>
      <c r="N208" s="93">
        <f>IF(TrRoad_act!N69=0,0,TrRoad_emi!N66/TrRoad_tech!N181)</f>
        <v>1.1013385106629066</v>
      </c>
      <c r="O208" s="93">
        <f>IF(TrRoad_act!O69=0,0,TrRoad_emi!O66/TrRoad_tech!O181)</f>
        <v>1.0850784162012235</v>
      </c>
      <c r="P208" s="93">
        <f>IF(TrRoad_act!P69=0,0,TrRoad_emi!P66/TrRoad_tech!P181)</f>
        <v>1.1052048928157359</v>
      </c>
      <c r="Q208" s="93">
        <f>IF(TrRoad_act!Q69=0,0,TrRoad_emi!Q66/TrRoad_tech!Q181)</f>
        <v>1.107397322432039</v>
      </c>
      <c r="R208" s="93">
        <f>IF(TrRoad_act!R69=0,0,TrRoad_emi!R66/TrRoad_tech!R181)</f>
        <v>1.123917963344923</v>
      </c>
      <c r="S208" s="93">
        <f>IF(TrRoad_act!S69=0,0,TrRoad_emi!S66/TrRoad_tech!S181)</f>
        <v>1.1600682047466597</v>
      </c>
      <c r="T208" s="93">
        <f>IF(TrRoad_act!T69=0,0,TrRoad_emi!T66/TrRoad_tech!T181)</f>
        <v>1.1660972385522219</v>
      </c>
      <c r="U208" s="93">
        <f>IF(TrRoad_act!U69=0,0,TrRoad_emi!U66/TrRoad_tech!U181)</f>
        <v>1.1443558847843385</v>
      </c>
      <c r="V208" s="93">
        <f>IF(TrRoad_act!V69=0,0,TrRoad_emi!V66/TrRoad_tech!V181)</f>
        <v>1.1698592031570674</v>
      </c>
      <c r="W208" s="93">
        <f>IF(TrRoad_act!W69=0,0,TrRoad_emi!W66/TrRoad_tech!W181)</f>
        <v>1.1831226700562765</v>
      </c>
      <c r="X208" s="93">
        <f>IF(TrRoad_act!X69=0,0,TrRoad_emi!X66/TrRoad_tech!X181)</f>
        <v>1.2184827451648752</v>
      </c>
      <c r="Y208" s="93">
        <f>IF(TrRoad_act!Y69=0,0,TrRoad_emi!Y66/TrRoad_tech!Y181)</f>
        <v>1.2430958153455367</v>
      </c>
      <c r="DA208" s="175"/>
    </row>
    <row r="209" spans="1:105" ht="11.45" customHeight="1" x14ac:dyDescent="0.25">
      <c r="A209" s="111" t="s">
        <v>112</v>
      </c>
      <c r="B209" s="93">
        <f>IF(TrRoad_act!B70=0,0,TrRoad_emi!B67/TrRoad_tech!B182)</f>
        <v>0</v>
      </c>
      <c r="C209" s="93">
        <f>IF(TrRoad_act!C70=0,0,TrRoad_emi!C67/TrRoad_tech!C182)</f>
        <v>0</v>
      </c>
      <c r="D209" s="93">
        <f>IF(TrRoad_act!D70=0,0,TrRoad_emi!D67/TrRoad_tech!D182)</f>
        <v>0</v>
      </c>
      <c r="E209" s="93">
        <f>IF(TrRoad_act!E70=0,0,TrRoad_emi!E67/TrRoad_tech!E182)</f>
        <v>0</v>
      </c>
      <c r="F209" s="93">
        <f>IF(TrRoad_act!F70=0,0,TrRoad_emi!F67/TrRoad_tech!F182)</f>
        <v>0</v>
      </c>
      <c r="G209" s="93">
        <f>IF(TrRoad_act!G70=0,0,TrRoad_emi!G67/TrRoad_tech!G182)</f>
        <v>0</v>
      </c>
      <c r="H209" s="93">
        <f>IF(TrRoad_act!H70=0,0,TrRoad_emi!H67/TrRoad_tech!H182)</f>
        <v>0</v>
      </c>
      <c r="I209" s="93">
        <f>IF(TrRoad_act!I70=0,0,TrRoad_emi!I67/TrRoad_tech!I182)</f>
        <v>0</v>
      </c>
      <c r="J209" s="93">
        <f>IF(TrRoad_act!J70=0,0,TrRoad_emi!J67/TrRoad_tech!J182)</f>
        <v>1.1693333333396365</v>
      </c>
      <c r="K209" s="93">
        <f>IF(TrRoad_act!K70=0,0,TrRoad_emi!K67/TrRoad_tech!K182)</f>
        <v>1.1709967597949631</v>
      </c>
      <c r="L209" s="93">
        <f>IF(TrRoad_act!L70=0,0,TrRoad_emi!L67/TrRoad_tech!L182)</f>
        <v>1.1866075942532421</v>
      </c>
      <c r="M209" s="93">
        <f>IF(TrRoad_act!M70=0,0,TrRoad_emi!M67/TrRoad_tech!M182)</f>
        <v>1.1918727721390658</v>
      </c>
      <c r="N209" s="93">
        <f>IF(TrRoad_act!N70=0,0,TrRoad_emi!N67/TrRoad_tech!N182)</f>
        <v>1.1918727721390663</v>
      </c>
      <c r="O209" s="93">
        <f>IF(TrRoad_act!O70=0,0,TrRoad_emi!O67/TrRoad_tech!O182)</f>
        <v>1.1933865097334899</v>
      </c>
      <c r="P209" s="93">
        <f>IF(TrRoad_act!P70=0,0,TrRoad_emi!P67/TrRoad_tech!P182)</f>
        <v>1.1946616346327477</v>
      </c>
      <c r="Q209" s="93">
        <f>IF(TrRoad_act!Q70=0,0,TrRoad_emi!Q67/TrRoad_tech!Q182)</f>
        <v>1.1951421150465273</v>
      </c>
      <c r="R209" s="93">
        <f>IF(TrRoad_act!R70=0,0,TrRoad_emi!R67/TrRoad_tech!R182)</f>
        <v>1.1968309831144017</v>
      </c>
      <c r="S209" s="93">
        <f>IF(TrRoad_act!S70=0,0,TrRoad_emi!S67/TrRoad_tech!S182)</f>
        <v>1.1971558633659019</v>
      </c>
      <c r="T209" s="93">
        <f>IF(TrRoad_act!T70=0,0,TrRoad_emi!T67/TrRoad_tech!T182)</f>
        <v>1.204812965454426</v>
      </c>
      <c r="U209" s="93">
        <f>IF(TrRoad_act!U70=0,0,TrRoad_emi!U67/TrRoad_tech!U182)</f>
        <v>1.2055942597107363</v>
      </c>
      <c r="V209" s="93">
        <f>IF(TrRoad_act!V70=0,0,TrRoad_emi!V67/TrRoad_tech!V182)</f>
        <v>1.2053452998021776</v>
      </c>
      <c r="W209" s="93">
        <f>IF(TrRoad_act!W70=0,0,TrRoad_emi!W67/TrRoad_tech!W182)</f>
        <v>1.2060682410248107</v>
      </c>
      <c r="X209" s="93">
        <f>IF(TrRoad_act!X70=0,0,TrRoad_emi!X67/TrRoad_tech!X182)</f>
        <v>1.2210271995720419</v>
      </c>
      <c r="Y209" s="93">
        <f>IF(TrRoad_act!Y70=0,0,TrRoad_emi!Y67/TrRoad_tech!Y182)</f>
        <v>1.2259839003965267</v>
      </c>
      <c r="DA209" s="175"/>
    </row>
    <row r="210" spans="1:105" ht="11.45" customHeight="1" x14ac:dyDescent="0.25">
      <c r="A210" s="111" t="s">
        <v>113</v>
      </c>
      <c r="B210" s="93">
        <f>IF(TrRoad_act!B71=0,0,TrRoad_emi!B68/TrRoad_tech!B183)</f>
        <v>0</v>
      </c>
      <c r="C210" s="93">
        <f>IF(TrRoad_act!C71=0,0,TrRoad_emi!C68/TrRoad_tech!C183)</f>
        <v>0</v>
      </c>
      <c r="D210" s="93">
        <f>IF(TrRoad_act!D71=0,0,TrRoad_emi!D68/TrRoad_tech!D183)</f>
        <v>0</v>
      </c>
      <c r="E210" s="93">
        <f>IF(TrRoad_act!E71=0,0,TrRoad_emi!E68/TrRoad_tech!E183)</f>
        <v>0</v>
      </c>
      <c r="F210" s="93">
        <f>IF(TrRoad_act!F71=0,0,TrRoad_emi!F68/TrRoad_tech!F183)</f>
        <v>0</v>
      </c>
      <c r="G210" s="93">
        <f>IF(TrRoad_act!G71=0,0,TrRoad_emi!G68/TrRoad_tech!G183)</f>
        <v>0</v>
      </c>
      <c r="H210" s="93">
        <f>IF(TrRoad_act!H71=0,0,TrRoad_emi!H68/TrRoad_tech!H183)</f>
        <v>0</v>
      </c>
      <c r="I210" s="93">
        <f>IF(TrRoad_act!I71=0,0,TrRoad_emi!I68/TrRoad_tech!I183)</f>
        <v>0</v>
      </c>
      <c r="J210" s="93">
        <f>IF(TrRoad_act!J71=0,0,TrRoad_emi!J68/TrRoad_tech!J183)</f>
        <v>0</v>
      </c>
      <c r="K210" s="93">
        <f>IF(TrRoad_act!K71=0,0,TrRoad_emi!K68/TrRoad_tech!K183)</f>
        <v>0</v>
      </c>
      <c r="L210" s="93">
        <f>IF(TrRoad_act!L71=0,0,TrRoad_emi!L68/TrRoad_tech!L183)</f>
        <v>0</v>
      </c>
      <c r="M210" s="93">
        <f>IF(TrRoad_act!M71=0,0,TrRoad_emi!M68/TrRoad_tech!M183)</f>
        <v>0</v>
      </c>
      <c r="N210" s="93">
        <f>IF(TrRoad_act!N71=0,0,TrRoad_emi!N68/TrRoad_tech!N183)</f>
        <v>0</v>
      </c>
      <c r="O210" s="93">
        <f>IF(TrRoad_act!O71=0,0,TrRoad_emi!O68/TrRoad_tech!O183)</f>
        <v>0</v>
      </c>
      <c r="P210" s="93">
        <f>IF(TrRoad_act!P71=0,0,TrRoad_emi!P68/TrRoad_tech!P183)</f>
        <v>0</v>
      </c>
      <c r="Q210" s="93">
        <f>IF(TrRoad_act!Q71=0,0,TrRoad_emi!Q68/TrRoad_tech!Q183)</f>
        <v>0</v>
      </c>
      <c r="R210" s="93">
        <f>IF(TrRoad_act!R71=0,0,TrRoad_emi!R68/TrRoad_tech!R183)</f>
        <v>0</v>
      </c>
      <c r="S210" s="93">
        <f>IF(TrRoad_act!S71=0,0,TrRoad_emi!S68/TrRoad_tech!S183)</f>
        <v>0</v>
      </c>
      <c r="T210" s="93">
        <f>IF(TrRoad_act!T71=0,0,TrRoad_emi!T68/TrRoad_tech!T183)</f>
        <v>0</v>
      </c>
      <c r="U210" s="93">
        <f>IF(TrRoad_act!U71=0,0,TrRoad_emi!U68/TrRoad_tech!U183)</f>
        <v>0</v>
      </c>
      <c r="V210" s="93">
        <f>IF(TrRoad_act!V71=0,0,TrRoad_emi!V68/TrRoad_tech!V183)</f>
        <v>0</v>
      </c>
      <c r="W210" s="93">
        <f>IF(TrRoad_act!W71=0,0,TrRoad_emi!W68/TrRoad_tech!W183)</f>
        <v>0</v>
      </c>
      <c r="X210" s="93">
        <f>IF(TrRoad_act!X71=0,0,TrRoad_emi!X68/TrRoad_tech!X183)</f>
        <v>0</v>
      </c>
      <c r="Y210" s="93">
        <f>IF(TrRoad_act!Y71=0,0,TrRoad_emi!Y68/TrRoad_tech!Y183)</f>
        <v>0</v>
      </c>
      <c r="DA210" s="175"/>
    </row>
    <row r="211" spans="1:105" ht="11.45" customHeight="1" x14ac:dyDescent="0.25">
      <c r="A211" s="111" t="s">
        <v>115</v>
      </c>
      <c r="B211" s="93">
        <f>0</f>
        <v>0</v>
      </c>
      <c r="C211" s="93">
        <f>0</f>
        <v>0</v>
      </c>
      <c r="D211" s="93">
        <f>0</f>
        <v>0</v>
      </c>
      <c r="E211" s="93">
        <f>0</f>
        <v>0</v>
      </c>
      <c r="F211" s="93">
        <f>0</f>
        <v>0</v>
      </c>
      <c r="G211" s="93">
        <f>0</f>
        <v>0</v>
      </c>
      <c r="H211" s="93">
        <f>0</f>
        <v>0</v>
      </c>
      <c r="I211" s="93">
        <f>0</f>
        <v>0</v>
      </c>
      <c r="J211" s="93">
        <f>0</f>
        <v>0</v>
      </c>
      <c r="K211" s="93">
        <f>0</f>
        <v>0</v>
      </c>
      <c r="L211" s="93">
        <f>0</f>
        <v>0</v>
      </c>
      <c r="M211" s="93">
        <f>0</f>
        <v>0</v>
      </c>
      <c r="N211" s="93">
        <f>0</f>
        <v>0</v>
      </c>
      <c r="O211" s="93">
        <f>0</f>
        <v>0</v>
      </c>
      <c r="P211" s="93">
        <f>0</f>
        <v>0</v>
      </c>
      <c r="Q211" s="93">
        <f>0</f>
        <v>0</v>
      </c>
      <c r="R211" s="93">
        <f>0</f>
        <v>0</v>
      </c>
      <c r="S211" s="93">
        <f>0</f>
        <v>0</v>
      </c>
      <c r="T211" s="93">
        <f>0</f>
        <v>0</v>
      </c>
      <c r="U211" s="93">
        <f>0</f>
        <v>0</v>
      </c>
      <c r="V211" s="93">
        <f>0</f>
        <v>0</v>
      </c>
      <c r="W211" s="93">
        <f>0</f>
        <v>0</v>
      </c>
      <c r="X211" s="93">
        <f>0</f>
        <v>0</v>
      </c>
      <c r="Y211" s="93">
        <f>0</f>
        <v>0</v>
      </c>
      <c r="DA211" s="175"/>
    </row>
    <row r="212" spans="1:105" ht="11.45" customHeight="1" x14ac:dyDescent="0.25">
      <c r="A212" s="27" t="s">
        <v>34</v>
      </c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DA212" s="173"/>
    </row>
    <row r="213" spans="1:105" ht="11.45" customHeight="1" x14ac:dyDescent="0.25">
      <c r="A213" s="136" t="s">
        <v>153</v>
      </c>
      <c r="B213" s="150">
        <f>IF(TrRoad_act!B74=0,0,TrRoad_emi!B71/TrRoad_tech!B186)</f>
        <v>0.9927644690098798</v>
      </c>
      <c r="C213" s="150">
        <f>IF(TrRoad_act!C74=0,0,TrRoad_emi!C71/TrRoad_tech!C186)</f>
        <v>1.0140668427921502</v>
      </c>
      <c r="D213" s="150">
        <f>IF(TrRoad_act!D74=0,0,TrRoad_emi!D71/TrRoad_tech!D186)</f>
        <v>1.0265065751312861</v>
      </c>
      <c r="E213" s="150">
        <f>IF(TrRoad_act!E74=0,0,TrRoad_emi!E71/TrRoad_tech!E186)</f>
        <v>1.039646546136191</v>
      </c>
      <c r="F213" s="150">
        <f>IF(TrRoad_act!F74=0,0,TrRoad_emi!F71/TrRoad_tech!F186)</f>
        <v>1.0251878665634169</v>
      </c>
      <c r="G213" s="150">
        <f>IF(TrRoad_act!G74=0,0,TrRoad_emi!G71/TrRoad_tech!G186)</f>
        <v>1.0639866617399525</v>
      </c>
      <c r="H213" s="150">
        <f>IF(TrRoad_act!H74=0,0,TrRoad_emi!H71/TrRoad_tech!H186)</f>
        <v>1.0923034499921627</v>
      </c>
      <c r="I213" s="150">
        <f>IF(TrRoad_act!I74=0,0,TrRoad_emi!I71/TrRoad_tech!I186)</f>
        <v>1.0732471430145243</v>
      </c>
      <c r="J213" s="150">
        <f>IF(TrRoad_act!J74=0,0,TrRoad_emi!J71/TrRoad_tech!J186)</f>
        <v>1.0993331535733426</v>
      </c>
      <c r="K213" s="150">
        <f>IF(TrRoad_act!K74=0,0,TrRoad_emi!K71/TrRoad_tech!K186)</f>
        <v>1.1500804984040693</v>
      </c>
      <c r="L213" s="150">
        <f>IF(TrRoad_act!L74=0,0,TrRoad_emi!L71/TrRoad_tech!L186)</f>
        <v>1.2088353552283522</v>
      </c>
      <c r="M213" s="150">
        <f>IF(TrRoad_act!M74=0,0,TrRoad_emi!M71/TrRoad_tech!M186)</f>
        <v>1.2613492350406184</v>
      </c>
      <c r="N213" s="150">
        <f>IF(TrRoad_act!N74=0,0,TrRoad_emi!N71/TrRoad_tech!N186)</f>
        <v>1.2589154407784062</v>
      </c>
      <c r="O213" s="150">
        <f>IF(TrRoad_act!O74=0,0,TrRoad_emi!O71/TrRoad_tech!O186)</f>
        <v>1.2464330735833247</v>
      </c>
      <c r="P213" s="150">
        <f>IF(TrRoad_act!P74=0,0,TrRoad_emi!P71/TrRoad_tech!P186)</f>
        <v>1.2262497571236719</v>
      </c>
      <c r="Q213" s="150">
        <f>IF(TrRoad_act!Q74=0,0,TrRoad_emi!Q71/TrRoad_tech!Q186)</f>
        <v>1.1903619986929075</v>
      </c>
      <c r="R213" s="150">
        <f>IF(TrRoad_act!R74=0,0,TrRoad_emi!R71/TrRoad_tech!R186)</f>
        <v>1.1812317293810886</v>
      </c>
      <c r="S213" s="150">
        <f>IF(TrRoad_act!S74=0,0,TrRoad_emi!S71/TrRoad_tech!S186)</f>
        <v>1.2491895356342493</v>
      </c>
      <c r="T213" s="150">
        <f>IF(TrRoad_act!T74=0,0,TrRoad_emi!T71/TrRoad_tech!T186)</f>
        <v>1.2263474966521752</v>
      </c>
      <c r="U213" s="150">
        <f>IF(TrRoad_act!U74=0,0,TrRoad_emi!U71/TrRoad_tech!U186)</f>
        <v>1.1592655532228162</v>
      </c>
      <c r="V213" s="150">
        <f>IF(TrRoad_act!V74=0,0,TrRoad_emi!V71/TrRoad_tech!V186)</f>
        <v>1.105390784976878</v>
      </c>
      <c r="W213" s="150">
        <f>IF(TrRoad_act!W74=0,0,TrRoad_emi!W71/TrRoad_tech!W186)</f>
        <v>1.1455154977273576</v>
      </c>
      <c r="X213" s="150">
        <f>IF(TrRoad_act!X74=0,0,TrRoad_emi!X71/TrRoad_tech!X186)</f>
        <v>1.0158239044139195</v>
      </c>
      <c r="Y213" s="150">
        <f>IF(TrRoad_act!Y74=0,0,TrRoad_emi!Y71/TrRoad_tech!Y186)</f>
        <v>1.0671152112736109</v>
      </c>
      <c r="DA213" s="174"/>
    </row>
    <row r="214" spans="1:105" ht="11.45" customHeight="1" x14ac:dyDescent="0.25">
      <c r="A214" s="111" t="s">
        <v>110</v>
      </c>
      <c r="B214" s="91">
        <f>IF(TrRoad_act!B75=0,0,TrRoad_emi!B72/TrRoad_tech!B187)</f>
        <v>1.1000661332826833</v>
      </c>
      <c r="C214" s="91">
        <f>IF(TrRoad_act!C75=0,0,TrRoad_emi!C72/TrRoad_tech!C187)</f>
        <v>1.1000398821228348</v>
      </c>
      <c r="D214" s="91">
        <f>IF(TrRoad_act!D75=0,0,TrRoad_emi!D72/TrRoad_tech!D187)</f>
        <v>1.1001549477749051</v>
      </c>
      <c r="E214" s="91">
        <f>IF(TrRoad_act!E75=0,0,TrRoad_emi!E72/TrRoad_tech!E187)</f>
        <v>1.1002853319485653</v>
      </c>
      <c r="F214" s="91">
        <f>IF(TrRoad_act!F75=0,0,TrRoad_emi!F72/TrRoad_tech!F187)</f>
        <v>1.1003669071103359</v>
      </c>
      <c r="G214" s="91">
        <f>IF(TrRoad_act!G75=0,0,TrRoad_emi!G72/TrRoad_tech!G187)</f>
        <v>1.1004839156497801</v>
      </c>
      <c r="H214" s="91">
        <f>IF(TrRoad_act!H75=0,0,TrRoad_emi!H72/TrRoad_tech!H187)</f>
        <v>1.1015181661452769</v>
      </c>
      <c r="I214" s="91">
        <f>IF(TrRoad_act!I75=0,0,TrRoad_emi!I72/TrRoad_tech!I187)</f>
        <v>1.102862479064634</v>
      </c>
      <c r="J214" s="91">
        <f>IF(TrRoad_act!J75=0,0,TrRoad_emi!J72/TrRoad_tech!J187)</f>
        <v>1.104246544981716</v>
      </c>
      <c r="K214" s="91">
        <f>IF(TrRoad_act!K75=0,0,TrRoad_emi!K72/TrRoad_tech!K187)</f>
        <v>1.1041768254724407</v>
      </c>
      <c r="L214" s="91">
        <f>IF(TrRoad_act!L75=0,0,TrRoad_emi!L72/TrRoad_tech!L187)</f>
        <v>1.0718133163882295</v>
      </c>
      <c r="M214" s="91">
        <f>IF(TrRoad_act!M75=0,0,TrRoad_emi!M72/TrRoad_tech!M187)</f>
        <v>1.0719449410966122</v>
      </c>
      <c r="N214" s="91">
        <f>IF(TrRoad_act!N75=0,0,TrRoad_emi!N72/TrRoad_tech!N187)</f>
        <v>1.066154221211443</v>
      </c>
      <c r="O214" s="91">
        <f>IF(TrRoad_act!O75=0,0,TrRoad_emi!O72/TrRoad_tech!O187)</f>
        <v>1.0683549902328704</v>
      </c>
      <c r="P214" s="91">
        <f>IF(TrRoad_act!P75=0,0,TrRoad_emi!P72/TrRoad_tech!P187)</f>
        <v>1.0850447408551784</v>
      </c>
      <c r="Q214" s="91">
        <f>IF(TrRoad_act!Q75=0,0,TrRoad_emi!Q72/TrRoad_tech!Q187)</f>
        <v>1.0692859422293466</v>
      </c>
      <c r="R214" s="91">
        <f>IF(TrRoad_act!R75=0,0,TrRoad_emi!R72/TrRoad_tech!R187)</f>
        <v>1.0677402876780859</v>
      </c>
      <c r="S214" s="91">
        <f>IF(TrRoad_act!S75=0,0,TrRoad_emi!S72/TrRoad_tech!S187)</f>
        <v>1.074503078165457</v>
      </c>
      <c r="T214" s="91">
        <f>IF(TrRoad_act!T75=0,0,TrRoad_emi!T72/TrRoad_tech!T187)</f>
        <v>1.0872927510711896</v>
      </c>
      <c r="U214" s="91">
        <f>IF(TrRoad_act!U75=0,0,TrRoad_emi!U72/TrRoad_tech!U187)</f>
        <v>1.0919655222118603</v>
      </c>
      <c r="V214" s="91">
        <f>IF(TrRoad_act!V75=0,0,TrRoad_emi!V72/TrRoad_tech!V187)</f>
        <v>1.1007593979285775</v>
      </c>
      <c r="W214" s="91">
        <f>IF(TrRoad_act!W75=0,0,TrRoad_emi!W72/TrRoad_tech!W187)</f>
        <v>1.0930938117774491</v>
      </c>
      <c r="X214" s="91">
        <f>IF(TrRoad_act!X75=0,0,TrRoad_emi!X72/TrRoad_tech!X187)</f>
        <v>1.0929881508653694</v>
      </c>
      <c r="Y214" s="91">
        <f>IF(TrRoad_act!Y75=0,0,TrRoad_emi!Y72/TrRoad_tech!Y187)</f>
        <v>1.105898367415483</v>
      </c>
      <c r="DA214" s="171"/>
    </row>
    <row r="215" spans="1:105" ht="11.45" customHeight="1" x14ac:dyDescent="0.25">
      <c r="A215" s="111" t="s">
        <v>111</v>
      </c>
      <c r="B215" s="91">
        <f>IF(TrRoad_act!B76=0,0,TrRoad_emi!B73/TrRoad_tech!B188)</f>
        <v>1.0004009450363553</v>
      </c>
      <c r="C215" s="91">
        <f>IF(TrRoad_act!C76=0,0,TrRoad_emi!C73/TrRoad_tech!C188)</f>
        <v>1.0464676193437108</v>
      </c>
      <c r="D215" s="91">
        <f>IF(TrRoad_act!D76=0,0,TrRoad_emi!D73/TrRoad_tech!D188)</f>
        <v>1.0584681917741359</v>
      </c>
      <c r="E215" s="91">
        <f>IF(TrRoad_act!E76=0,0,TrRoad_emi!E73/TrRoad_tech!E188)</f>
        <v>1.0691044945340824</v>
      </c>
      <c r="F215" s="91">
        <f>IF(TrRoad_act!F76=0,0,TrRoad_emi!F73/TrRoad_tech!F188)</f>
        <v>1.0308571709619947</v>
      </c>
      <c r="G215" s="91">
        <f>IF(TrRoad_act!G76=0,0,TrRoad_emi!G73/TrRoad_tech!G188)</f>
        <v>1.0755985994881507</v>
      </c>
      <c r="H215" s="91">
        <f>IF(TrRoad_act!H76=0,0,TrRoad_emi!H73/TrRoad_tech!H188)</f>
        <v>1.0982461531880565</v>
      </c>
      <c r="I215" s="91">
        <f>IF(TrRoad_act!I76=0,0,TrRoad_emi!I73/TrRoad_tech!I188)</f>
        <v>1.0576425279711295</v>
      </c>
      <c r="J215" s="91">
        <f>IF(TrRoad_act!J76=0,0,TrRoad_emi!J73/TrRoad_tech!J188)</f>
        <v>1.0565787487054956</v>
      </c>
      <c r="K215" s="91">
        <f>IF(TrRoad_act!K76=0,0,TrRoad_emi!K73/TrRoad_tech!K188)</f>
        <v>1.0536098500534585</v>
      </c>
      <c r="L215" s="91">
        <f>IF(TrRoad_act!L76=0,0,TrRoad_emi!L73/TrRoad_tech!L188)</f>
        <v>1.0699020138447517</v>
      </c>
      <c r="M215" s="91">
        <f>IF(TrRoad_act!M76=0,0,TrRoad_emi!M73/TrRoad_tech!M188)</f>
        <v>1.0537472764527953</v>
      </c>
      <c r="N215" s="91">
        <f>IF(TrRoad_act!N76=0,0,TrRoad_emi!N73/TrRoad_tech!N188)</f>
        <v>1.0982206733245681</v>
      </c>
      <c r="O215" s="91">
        <f>IF(TrRoad_act!O76=0,0,TrRoad_emi!O73/TrRoad_tech!O188)</f>
        <v>1.065315612153505</v>
      </c>
      <c r="P215" s="91">
        <f>IF(TrRoad_act!P76=0,0,TrRoad_emi!P73/TrRoad_tech!P188)</f>
        <v>1.0767102601295993</v>
      </c>
      <c r="Q215" s="91">
        <f>IF(TrRoad_act!Q76=0,0,TrRoad_emi!Q73/TrRoad_tech!Q188)</f>
        <v>1.0748872016168514</v>
      </c>
      <c r="R215" s="91">
        <f>IF(TrRoad_act!R76=0,0,TrRoad_emi!R73/TrRoad_tech!R188)</f>
        <v>1.0906743624769808</v>
      </c>
      <c r="S215" s="91">
        <f>IF(TrRoad_act!S76=0,0,TrRoad_emi!S73/TrRoad_tech!S188)</f>
        <v>1.1061494309261035</v>
      </c>
      <c r="T215" s="91">
        <f>IF(TrRoad_act!T76=0,0,TrRoad_emi!T73/TrRoad_tech!T188)</f>
        <v>1.1126641101995631</v>
      </c>
      <c r="U215" s="91">
        <f>IF(TrRoad_act!U76=0,0,TrRoad_emi!U73/TrRoad_tech!U188)</f>
        <v>1.0943741588214624</v>
      </c>
      <c r="V215" s="91">
        <f>IF(TrRoad_act!V76=0,0,TrRoad_emi!V73/TrRoad_tech!V188)</f>
        <v>1.0737666147696894</v>
      </c>
      <c r="W215" s="91">
        <f>IF(TrRoad_act!W76=0,0,TrRoad_emi!W73/TrRoad_tech!W188)</f>
        <v>1.0988641053240429</v>
      </c>
      <c r="X215" s="91">
        <f>IF(TrRoad_act!X76=0,0,TrRoad_emi!X73/TrRoad_tech!X188)</f>
        <v>1.1292036890210835</v>
      </c>
      <c r="Y215" s="91">
        <f>IF(TrRoad_act!Y76=0,0,TrRoad_emi!Y73/TrRoad_tech!Y188)</f>
        <v>1.1477374108877407</v>
      </c>
      <c r="DA215" s="171"/>
    </row>
    <row r="216" spans="1:105" ht="11.45" customHeight="1" x14ac:dyDescent="0.25">
      <c r="A216" s="111" t="s">
        <v>112</v>
      </c>
      <c r="B216" s="91">
        <f>IF(TrRoad_act!B77=0,0,TrRoad_emi!B74/TrRoad_tech!B189)</f>
        <v>0</v>
      </c>
      <c r="C216" s="91">
        <f>IF(TrRoad_act!C77=0,0,TrRoad_emi!C74/TrRoad_tech!C189)</f>
        <v>0</v>
      </c>
      <c r="D216" s="91">
        <f>IF(TrRoad_act!D77=0,0,TrRoad_emi!D74/TrRoad_tech!D189)</f>
        <v>0</v>
      </c>
      <c r="E216" s="91">
        <f>IF(TrRoad_act!E77=0,0,TrRoad_emi!E74/TrRoad_tech!E189)</f>
        <v>0</v>
      </c>
      <c r="F216" s="91">
        <f>IF(TrRoad_act!F77=0,0,TrRoad_emi!F74/TrRoad_tech!F189)</f>
        <v>0</v>
      </c>
      <c r="G216" s="91">
        <f>IF(TrRoad_act!G77=0,0,TrRoad_emi!G74/TrRoad_tech!G189)</f>
        <v>0</v>
      </c>
      <c r="H216" s="91">
        <f>IF(TrRoad_act!H77=0,0,TrRoad_emi!H74/TrRoad_tech!H189)</f>
        <v>0</v>
      </c>
      <c r="I216" s="91">
        <f>IF(TrRoad_act!I77=0,0,TrRoad_emi!I74/TrRoad_tech!I189)</f>
        <v>0</v>
      </c>
      <c r="J216" s="91">
        <f>IF(TrRoad_act!J77=0,0,TrRoad_emi!J74/TrRoad_tech!J189)</f>
        <v>1.137153116832387</v>
      </c>
      <c r="K216" s="91">
        <f>IF(TrRoad_act!K77=0,0,TrRoad_emi!K74/TrRoad_tech!K189)</f>
        <v>1.1371531168323867</v>
      </c>
      <c r="L216" s="91">
        <f>IF(TrRoad_act!L77=0,0,TrRoad_emi!L74/TrRoad_tech!L189)</f>
        <v>1.137153116832387</v>
      </c>
      <c r="M216" s="91">
        <f>IF(TrRoad_act!M77=0,0,TrRoad_emi!M74/TrRoad_tech!M189)</f>
        <v>1.140610310286003</v>
      </c>
      <c r="N216" s="91">
        <f>IF(TrRoad_act!N77=0,0,TrRoad_emi!N74/TrRoad_tech!N189)</f>
        <v>1.1629168154030054</v>
      </c>
      <c r="O216" s="91">
        <f>IF(TrRoad_act!O77=0,0,TrRoad_emi!O74/TrRoad_tech!O189)</f>
        <v>1.1629168154030058</v>
      </c>
      <c r="P216" s="91">
        <f>IF(TrRoad_act!P77=0,0,TrRoad_emi!P74/TrRoad_tech!P189)</f>
        <v>1.1749910595951929</v>
      </c>
      <c r="Q216" s="91">
        <f>IF(TrRoad_act!Q77=0,0,TrRoad_emi!Q74/TrRoad_tech!Q189)</f>
        <v>1.1833282742401339</v>
      </c>
      <c r="R216" s="91">
        <f>IF(TrRoad_act!R77=0,0,TrRoad_emi!R74/TrRoad_tech!R189)</f>
        <v>1.2007087859559953</v>
      </c>
      <c r="S216" s="91">
        <f>IF(TrRoad_act!S77=0,0,TrRoad_emi!S74/TrRoad_tech!S189)</f>
        <v>1.2007087859559951</v>
      </c>
      <c r="T216" s="91">
        <f>IF(TrRoad_act!T77=0,0,TrRoad_emi!T74/TrRoad_tech!T189)</f>
        <v>1.2030301266471066</v>
      </c>
      <c r="U216" s="91">
        <f>IF(TrRoad_act!U77=0,0,TrRoad_emi!U74/TrRoad_tech!U189)</f>
        <v>1.2030301266471064</v>
      </c>
      <c r="V216" s="91">
        <f>IF(TrRoad_act!V77=0,0,TrRoad_emi!V74/TrRoad_tech!V189)</f>
        <v>1.2058872751497989</v>
      </c>
      <c r="W216" s="91">
        <f>IF(TrRoad_act!W77=0,0,TrRoad_emi!W74/TrRoad_tech!W189)</f>
        <v>1.24306817930224</v>
      </c>
      <c r="X216" s="91">
        <f>IF(TrRoad_act!X77=0,0,TrRoad_emi!X74/TrRoad_tech!X189)</f>
        <v>1.3174904128981177</v>
      </c>
      <c r="Y216" s="91">
        <f>IF(TrRoad_act!Y77=0,0,TrRoad_emi!Y74/TrRoad_tech!Y189)</f>
        <v>1.3426661255319656</v>
      </c>
      <c r="DA216" s="171"/>
    </row>
    <row r="217" spans="1:105" ht="11.45" customHeight="1" x14ac:dyDescent="0.25">
      <c r="A217" s="111" t="s">
        <v>113</v>
      </c>
      <c r="B217" s="91">
        <f>IF(TrRoad_act!B78=0,0,TrRoad_emi!B75/TrRoad_tech!B190)</f>
        <v>0</v>
      </c>
      <c r="C217" s="91">
        <f>IF(TrRoad_act!C78=0,0,TrRoad_emi!C75/TrRoad_tech!C190)</f>
        <v>0</v>
      </c>
      <c r="D217" s="91">
        <f>IF(TrRoad_act!D78=0,0,TrRoad_emi!D75/TrRoad_tech!D190)</f>
        <v>0</v>
      </c>
      <c r="E217" s="91">
        <f>IF(TrRoad_act!E78=0,0,TrRoad_emi!E75/TrRoad_tech!E190)</f>
        <v>0</v>
      </c>
      <c r="F217" s="91">
        <f>IF(TrRoad_act!F78=0,0,TrRoad_emi!F75/TrRoad_tech!F190)</f>
        <v>0</v>
      </c>
      <c r="G217" s="91">
        <f>IF(TrRoad_act!G78=0,0,TrRoad_emi!G75/TrRoad_tech!G190)</f>
        <v>0</v>
      </c>
      <c r="H217" s="91">
        <f>IF(TrRoad_act!H78=0,0,TrRoad_emi!H75/TrRoad_tech!H190)</f>
        <v>0</v>
      </c>
      <c r="I217" s="91">
        <f>IF(TrRoad_act!I78=0,0,TrRoad_emi!I75/TrRoad_tech!I190)</f>
        <v>0</v>
      </c>
      <c r="J217" s="91">
        <f>IF(TrRoad_act!J78=0,0,TrRoad_emi!J75/TrRoad_tech!J190)</f>
        <v>0</v>
      </c>
      <c r="K217" s="91">
        <f>IF(TrRoad_act!K78=0,0,TrRoad_emi!K75/TrRoad_tech!K190)</f>
        <v>0</v>
      </c>
      <c r="L217" s="91">
        <f>IF(TrRoad_act!L78=0,0,TrRoad_emi!L75/TrRoad_tech!L190)</f>
        <v>0</v>
      </c>
      <c r="M217" s="91">
        <f>IF(TrRoad_act!M78=0,0,TrRoad_emi!M75/TrRoad_tech!M190)</f>
        <v>0</v>
      </c>
      <c r="N217" s="91">
        <f>IF(TrRoad_act!N78=0,0,TrRoad_emi!N75/TrRoad_tech!N190)</f>
        <v>0</v>
      </c>
      <c r="O217" s="91">
        <f>IF(TrRoad_act!O78=0,0,TrRoad_emi!O75/TrRoad_tech!O190)</f>
        <v>0</v>
      </c>
      <c r="P217" s="91">
        <f>IF(TrRoad_act!P78=0,0,TrRoad_emi!P75/TrRoad_tech!P190)</f>
        <v>0</v>
      </c>
      <c r="Q217" s="91">
        <f>IF(TrRoad_act!Q78=0,0,TrRoad_emi!Q75/TrRoad_tech!Q190)</f>
        <v>0</v>
      </c>
      <c r="R217" s="91">
        <f>IF(TrRoad_act!R78=0,0,TrRoad_emi!R75/TrRoad_tech!R190)</f>
        <v>0</v>
      </c>
      <c r="S217" s="91">
        <f>IF(TrRoad_act!S78=0,0,TrRoad_emi!S75/TrRoad_tech!S190)</f>
        <v>0</v>
      </c>
      <c r="T217" s="91">
        <f>IF(TrRoad_act!T78=0,0,TrRoad_emi!T75/TrRoad_tech!T190)</f>
        <v>0</v>
      </c>
      <c r="U217" s="91">
        <f>IF(TrRoad_act!U78=0,0,TrRoad_emi!U75/TrRoad_tech!U190)</f>
        <v>0</v>
      </c>
      <c r="V217" s="91">
        <f>IF(TrRoad_act!V78=0,0,TrRoad_emi!V75/TrRoad_tech!V190)</f>
        <v>0</v>
      </c>
      <c r="W217" s="91">
        <f>IF(TrRoad_act!W78=0,0,TrRoad_emi!W75/TrRoad_tech!W190)</f>
        <v>0</v>
      </c>
      <c r="X217" s="91">
        <f>IF(TrRoad_act!X78=0,0,TrRoad_emi!X75/TrRoad_tech!X190)</f>
        <v>0</v>
      </c>
      <c r="Y217" s="91">
        <f>IF(TrRoad_act!Y78=0,0,TrRoad_emi!Y75/TrRoad_tech!Y190)</f>
        <v>0</v>
      </c>
      <c r="DA217" s="171"/>
    </row>
    <row r="218" spans="1:105" ht="11.45" customHeight="1" x14ac:dyDescent="0.25">
      <c r="A218" s="111" t="s">
        <v>115</v>
      </c>
      <c r="B218" s="91">
        <f>0</f>
        <v>0</v>
      </c>
      <c r="C218" s="91">
        <f>0</f>
        <v>0</v>
      </c>
      <c r="D218" s="91">
        <f>0</f>
        <v>0</v>
      </c>
      <c r="E218" s="91">
        <f>0</f>
        <v>0</v>
      </c>
      <c r="F218" s="91">
        <f>0</f>
        <v>0</v>
      </c>
      <c r="G218" s="91">
        <f>0</f>
        <v>0</v>
      </c>
      <c r="H218" s="91">
        <f>0</f>
        <v>0</v>
      </c>
      <c r="I218" s="91">
        <f>0</f>
        <v>0</v>
      </c>
      <c r="J218" s="91">
        <f>0</f>
        <v>0</v>
      </c>
      <c r="K218" s="91">
        <f>0</f>
        <v>0</v>
      </c>
      <c r="L218" s="91">
        <f>0</f>
        <v>0</v>
      </c>
      <c r="M218" s="91">
        <f>0</f>
        <v>0</v>
      </c>
      <c r="N218" s="91">
        <f>0</f>
        <v>0</v>
      </c>
      <c r="O218" s="91">
        <f>0</f>
        <v>0</v>
      </c>
      <c r="P218" s="91">
        <f>0</f>
        <v>0</v>
      </c>
      <c r="Q218" s="91">
        <f>0</f>
        <v>0</v>
      </c>
      <c r="R218" s="91">
        <f>0</f>
        <v>0</v>
      </c>
      <c r="S218" s="91">
        <f>0</f>
        <v>0</v>
      </c>
      <c r="T218" s="91">
        <f>0</f>
        <v>0</v>
      </c>
      <c r="U218" s="91">
        <f>0</f>
        <v>0</v>
      </c>
      <c r="V218" s="91">
        <f>0</f>
        <v>0</v>
      </c>
      <c r="W218" s="91">
        <f>0</f>
        <v>0</v>
      </c>
      <c r="X218" s="91">
        <f>0</f>
        <v>0</v>
      </c>
      <c r="Y218" s="91">
        <f>0</f>
        <v>0</v>
      </c>
      <c r="DA218" s="171"/>
    </row>
    <row r="219" spans="1:105" ht="11.45" customHeight="1" x14ac:dyDescent="0.25">
      <c r="A219" s="109" t="s">
        <v>154</v>
      </c>
      <c r="B219" s="151">
        <f>IF(TrRoad_act!B80=0,0,TrRoad_emi!B77/TrRoad_tech!B192)</f>
        <v>1.0729960494322286</v>
      </c>
      <c r="C219" s="151">
        <f>IF(TrRoad_act!C80=0,0,TrRoad_emi!C77/TrRoad_tech!C192)</f>
        <v>1.4815801318412649</v>
      </c>
      <c r="D219" s="151">
        <f>IF(TrRoad_act!D80=0,0,TrRoad_emi!D77/TrRoad_tech!D192)</f>
        <v>1.5848343100802413</v>
      </c>
      <c r="E219" s="151">
        <f>IF(TrRoad_act!E80=0,0,TrRoad_emi!E77/TrRoad_tech!E192)</f>
        <v>1.6187430427852063</v>
      </c>
      <c r="F219" s="151">
        <f>IF(TrRoad_act!F80=0,0,TrRoad_emi!F77/TrRoad_tech!F192)</f>
        <v>1.3373661458963571</v>
      </c>
      <c r="G219" s="151">
        <f>IF(TrRoad_act!G80=0,0,TrRoad_emi!G77/TrRoad_tech!G192)</f>
        <v>0.96093850758526744</v>
      </c>
      <c r="H219" s="151">
        <f>IF(TrRoad_act!H80=0,0,TrRoad_emi!H77/TrRoad_tech!H192)</f>
        <v>1.1576747843371433</v>
      </c>
      <c r="I219" s="151">
        <f>IF(TrRoad_act!I80=0,0,TrRoad_emi!I77/TrRoad_tech!I192)</f>
        <v>0.95556242579890394</v>
      </c>
      <c r="J219" s="151">
        <f>IF(TrRoad_act!J80=0,0,TrRoad_emi!J77/TrRoad_tech!J192)</f>
        <v>1.0509974486882419</v>
      </c>
      <c r="K219" s="151">
        <f>IF(TrRoad_act!K80=0,0,TrRoad_emi!K77/TrRoad_tech!K192)</f>
        <v>1.2371019059629897</v>
      </c>
      <c r="L219" s="151">
        <f>IF(TrRoad_act!L80=0,0,TrRoad_emi!L77/TrRoad_tech!L192)</f>
        <v>1.4901514375590987</v>
      </c>
      <c r="M219" s="151">
        <f>IF(TrRoad_act!M80=0,0,TrRoad_emi!M77/TrRoad_tech!M192)</f>
        <v>1.542786125727212</v>
      </c>
      <c r="N219" s="151">
        <f>IF(TrRoad_act!N80=0,0,TrRoad_emi!N77/TrRoad_tech!N192)</f>
        <v>1.3185513240269586</v>
      </c>
      <c r="O219" s="151">
        <f>IF(TrRoad_act!O80=0,0,TrRoad_emi!O77/TrRoad_tech!O192)</f>
        <v>1.2974382005445664</v>
      </c>
      <c r="P219" s="151">
        <f>IF(TrRoad_act!P80=0,0,TrRoad_emi!P77/TrRoad_tech!P192)</f>
        <v>1.2507299512955308</v>
      </c>
      <c r="Q219" s="151">
        <f>IF(TrRoad_act!Q80=0,0,TrRoad_emi!Q77/TrRoad_tech!Q192)</f>
        <v>1.1696147256500327</v>
      </c>
      <c r="R219" s="151">
        <f>IF(TrRoad_act!R80=0,0,TrRoad_emi!R77/TrRoad_tech!R192)</f>
        <v>1.3080225167968766</v>
      </c>
      <c r="S219" s="151">
        <f>IF(TrRoad_act!S80=0,0,TrRoad_emi!S77/TrRoad_tech!S192)</f>
        <v>1.4232580412980957</v>
      </c>
      <c r="T219" s="151">
        <f>IF(TrRoad_act!T80=0,0,TrRoad_emi!T77/TrRoad_tech!T192)</f>
        <v>1.3332101334505453</v>
      </c>
      <c r="U219" s="151">
        <f>IF(TrRoad_act!U80=0,0,TrRoad_emi!U77/TrRoad_tech!U192)</f>
        <v>1.3277229534043031</v>
      </c>
      <c r="V219" s="151">
        <f>IF(TrRoad_act!V80=0,0,TrRoad_emi!V77/TrRoad_tech!V192)</f>
        <v>1.358322838028881</v>
      </c>
      <c r="W219" s="151">
        <f>IF(TrRoad_act!W80=0,0,TrRoad_emi!W77/TrRoad_tech!W192)</f>
        <v>1.3148214952790556</v>
      </c>
      <c r="X219" s="151">
        <f>IF(TrRoad_act!X80=0,0,TrRoad_emi!X77/TrRoad_tech!X192)</f>
        <v>1.6155962901271448</v>
      </c>
      <c r="Y219" s="151">
        <f>IF(TrRoad_act!Y80=0,0,TrRoad_emi!Y77/TrRoad_tech!Y192)</f>
        <v>1.6865352318198479</v>
      </c>
      <c r="DA219" s="176"/>
    </row>
    <row r="220" spans="1:105" ht="11.45" customHeight="1" x14ac:dyDescent="0.25">
      <c r="A220" s="128" t="s">
        <v>27</v>
      </c>
      <c r="B220" s="93">
        <f>IF(TrRoad_act!B81=0,0,TrRoad_emi!B78/TrRoad_tech!B193)</f>
        <v>1.1572251497351569</v>
      </c>
      <c r="C220" s="93">
        <f>IF(TrRoad_act!C81=0,0,TrRoad_emi!C78/TrRoad_tech!C193)</f>
        <v>1.3303401659614507</v>
      </c>
      <c r="D220" s="93">
        <f>IF(TrRoad_act!D81=0,0,TrRoad_emi!D78/TrRoad_tech!D193)</f>
        <v>1.375234160086394</v>
      </c>
      <c r="E220" s="93">
        <f>IF(TrRoad_act!E81=0,0,TrRoad_emi!E78/TrRoad_tech!E193)</f>
        <v>1.3917841827014676</v>
      </c>
      <c r="F220" s="93">
        <f>IF(TrRoad_act!F81=0,0,TrRoad_emi!F78/TrRoad_tech!F193)</f>
        <v>1.2760116169686571</v>
      </c>
      <c r="G220" s="93">
        <f>IF(TrRoad_act!G81=0,0,TrRoad_emi!G78/TrRoad_tech!G193)</f>
        <v>1.121614996116977</v>
      </c>
      <c r="H220" s="93">
        <f>IF(TrRoad_act!H81=0,0,TrRoad_emi!H78/TrRoad_tech!H193)</f>
        <v>1.2093848415614292</v>
      </c>
      <c r="I220" s="93">
        <f>IF(TrRoad_act!I81=0,0,TrRoad_emi!I78/TrRoad_tech!I193)</f>
        <v>1.113561480225606</v>
      </c>
      <c r="J220" s="93">
        <f>IF(TrRoad_act!J81=0,0,TrRoad_emi!J78/TrRoad_tech!J193)</f>
        <v>1.1439773084005984</v>
      </c>
      <c r="K220" s="93">
        <f>IF(TrRoad_act!K81=0,0,TrRoad_emi!K78/TrRoad_tech!K193)</f>
        <v>1.2166346735694205</v>
      </c>
      <c r="L220" s="93">
        <f>IF(TrRoad_act!L81=0,0,TrRoad_emi!L78/TrRoad_tech!L193)</f>
        <v>1.345106081203425</v>
      </c>
      <c r="M220" s="93">
        <f>IF(TrRoad_act!M81=0,0,TrRoad_emi!M78/TrRoad_tech!M193)</f>
        <v>1.3526006403856699</v>
      </c>
      <c r="N220" s="93">
        <f>IF(TrRoad_act!N81=0,0,TrRoad_emi!N78/TrRoad_tech!N193)</f>
        <v>1.2659464409896084</v>
      </c>
      <c r="O220" s="93">
        <f>IF(TrRoad_act!O81=0,0,TrRoad_emi!O78/TrRoad_tech!O193)</f>
        <v>1.2594454559870625</v>
      </c>
      <c r="P220" s="93">
        <f>IF(TrRoad_act!P81=0,0,TrRoad_emi!P78/TrRoad_tech!P193)</f>
        <v>1.2497418314492021</v>
      </c>
      <c r="Q220" s="93">
        <f>IF(TrRoad_act!Q81=0,0,TrRoad_emi!Q78/TrRoad_tech!Q193)</f>
        <v>1.2182631960437071</v>
      </c>
      <c r="R220" s="93">
        <f>IF(TrRoad_act!R81=0,0,TrRoad_emi!R78/TrRoad_tech!R193)</f>
        <v>1.282449575711097</v>
      </c>
      <c r="S220" s="93">
        <f>IF(TrRoad_act!S81=0,0,TrRoad_emi!S78/TrRoad_tech!S193)</f>
        <v>1.338580819895425</v>
      </c>
      <c r="T220" s="93">
        <f>IF(TrRoad_act!T81=0,0,TrRoad_emi!T78/TrRoad_tech!T193)</f>
        <v>1.3142503691215748</v>
      </c>
      <c r="U220" s="93">
        <f>IF(TrRoad_act!U81=0,0,TrRoad_emi!U78/TrRoad_tech!U193)</f>
        <v>1.3065420415640701</v>
      </c>
      <c r="V220" s="93">
        <f>IF(TrRoad_act!V81=0,0,TrRoad_emi!V78/TrRoad_tech!V193)</f>
        <v>1.3124528428949862</v>
      </c>
      <c r="W220" s="93">
        <f>IF(TrRoad_act!W81=0,0,TrRoad_emi!W78/TrRoad_tech!W193)</f>
        <v>1.3114980163218111</v>
      </c>
      <c r="X220" s="93">
        <f>IF(TrRoad_act!X81=0,0,TrRoad_emi!X78/TrRoad_tech!X193)</f>
        <v>1.4531372383740309</v>
      </c>
      <c r="Y220" s="93">
        <f>IF(TrRoad_act!Y81=0,0,TrRoad_emi!Y78/TrRoad_tech!Y193)</f>
        <v>1.5049059638897826</v>
      </c>
      <c r="DA220" s="175"/>
    </row>
    <row r="221" spans="1:105" ht="11.45" customHeight="1" x14ac:dyDescent="0.25">
      <c r="A221" s="138" t="s">
        <v>116</v>
      </c>
      <c r="B221" s="94">
        <f>IF(TrRoad_act!B82=0,0,TrRoad_emi!B79/TrRoad_tech!B194)</f>
        <v>1.1002533166419106</v>
      </c>
      <c r="C221" s="94">
        <f>IF(TrRoad_act!C82=0,0,TrRoad_emi!C79/TrRoad_tech!C194)</f>
        <v>1.7927142199767949</v>
      </c>
      <c r="D221" s="94">
        <f>IF(TrRoad_act!D82=0,0,TrRoad_emi!D79/TrRoad_tech!D194)</f>
        <v>1.9643879955710579</v>
      </c>
      <c r="E221" s="94">
        <f>IF(TrRoad_act!E82=0,0,TrRoad_emi!E79/TrRoad_tech!E194)</f>
        <v>2.0827918702367976</v>
      </c>
      <c r="F221" s="94">
        <f>IF(TrRoad_act!F82=0,0,TrRoad_emi!F79/TrRoad_tech!F194)</f>
        <v>1.5673173468563149</v>
      </c>
      <c r="G221" s="94">
        <f>IF(TrRoad_act!G82=0,0,TrRoad_emi!G79/TrRoad_tech!G194)</f>
        <v>0.8672522503768707</v>
      </c>
      <c r="H221" s="94">
        <f>IF(TrRoad_act!H82=0,0,TrRoad_emi!H79/TrRoad_tech!H194)</f>
        <v>1.266221576182877</v>
      </c>
      <c r="I221" s="94">
        <f>IF(TrRoad_act!I82=0,0,TrRoad_emi!I79/TrRoad_tech!I194)</f>
        <v>0.79671603229014654</v>
      </c>
      <c r="J221" s="94">
        <f>IF(TrRoad_act!J82=0,0,TrRoad_emi!J79/TrRoad_tech!J194)</f>
        <v>1.043659559606348</v>
      </c>
      <c r="K221" s="94">
        <f>IF(TrRoad_act!K82=0,0,TrRoad_emi!K79/TrRoad_tech!K194)</f>
        <v>1.80866712064194</v>
      </c>
      <c r="L221" s="94">
        <f>IF(TrRoad_act!L82=0,0,TrRoad_emi!L79/TrRoad_tech!L194)</f>
        <v>2.3939874952970537</v>
      </c>
      <c r="M221" s="94">
        <f>IF(TrRoad_act!M82=0,0,TrRoad_emi!M79/TrRoad_tech!M194)</f>
        <v>2.5942001415440252</v>
      </c>
      <c r="N221" s="94">
        <f>IF(TrRoad_act!N82=0,0,TrRoad_emi!N79/TrRoad_tech!N194)</f>
        <v>1.8353654433343987</v>
      </c>
      <c r="O221" s="94">
        <f>IF(TrRoad_act!O82=0,0,TrRoad_emi!O79/TrRoad_tech!O194)</f>
        <v>1.7339722307535788</v>
      </c>
      <c r="P221" s="94">
        <f>IF(TrRoad_act!P82=0,0,TrRoad_emi!P79/TrRoad_tech!P194)</f>
        <v>1.565658707725097</v>
      </c>
      <c r="Q221" s="94">
        <f>IF(TrRoad_act!Q82=0,0,TrRoad_emi!Q79/TrRoad_tech!Q194)</f>
        <v>1.3257091679412742</v>
      </c>
      <c r="R221" s="94">
        <f>IF(TrRoad_act!R82=0,0,TrRoad_emi!R79/TrRoad_tech!R194)</f>
        <v>1.6850168809729391</v>
      </c>
      <c r="S221" s="94">
        <f>IF(TrRoad_act!S82=0,0,TrRoad_emi!S79/TrRoad_tech!S194)</f>
        <v>1.9226609260982601</v>
      </c>
      <c r="T221" s="94">
        <f>IF(TrRoad_act!T82=0,0,TrRoad_emi!T79/TrRoad_tech!T194)</f>
        <v>1.6608657706002548</v>
      </c>
      <c r="U221" s="94">
        <f>IF(TrRoad_act!U82=0,0,TrRoad_emi!U79/TrRoad_tech!U194)</f>
        <v>1.6788994596199405</v>
      </c>
      <c r="V221" s="94">
        <f>IF(TrRoad_act!V82=0,0,TrRoad_emi!V79/TrRoad_tech!V194)</f>
        <v>1.8892137902661137</v>
      </c>
      <c r="W221" s="94">
        <f>IF(TrRoad_act!W82=0,0,TrRoad_emi!W79/TrRoad_tech!W194)</f>
        <v>1.6321309769172636</v>
      </c>
      <c r="X221" s="94">
        <f>IF(TrRoad_act!X82=0,0,TrRoad_emi!X79/TrRoad_tech!X194)</f>
        <v>2.4799917683836883</v>
      </c>
      <c r="Y221" s="94">
        <f>IF(TrRoad_act!Y82=0,0,TrRoad_emi!Y79/TrRoad_tech!Y194)</f>
        <v>2.5636960281853765</v>
      </c>
      <c r="DA221" s="178"/>
    </row>
    <row r="222" spans="1:105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DA222" s="171"/>
    </row>
    <row r="223" spans="1:105" ht="11.45" customHeight="1" x14ac:dyDescent="0.25">
      <c r="A223" s="53" t="s">
        <v>125</v>
      </c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DA223" s="172"/>
    </row>
    <row r="224" spans="1:105" ht="11.45" customHeight="1" x14ac:dyDescent="0.25">
      <c r="A224" s="27" t="s">
        <v>33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DA224" s="173"/>
    </row>
    <row r="225" spans="1:105" ht="11.45" customHeight="1" x14ac:dyDescent="0.25">
      <c r="A225" s="136" t="s">
        <v>173</v>
      </c>
      <c r="B225" s="152">
        <v>0</v>
      </c>
      <c r="C225" s="152">
        <v>111.5238305259079</v>
      </c>
      <c r="D225" s="152">
        <v>110.84942844394818</v>
      </c>
      <c r="E225" s="152">
        <v>109.46195443587968</v>
      </c>
      <c r="F225" s="152">
        <v>109.31036864681535</v>
      </c>
      <c r="G225" s="152">
        <v>107.83782098161886</v>
      </c>
      <c r="H225" s="152">
        <v>105.66302894667537</v>
      </c>
      <c r="I225" s="152">
        <v>104.1131415931808</v>
      </c>
      <c r="J225" s="152">
        <v>99.058219566014785</v>
      </c>
      <c r="K225" s="152">
        <v>93.605771540996386</v>
      </c>
      <c r="L225" s="152">
        <v>90.201278462112597</v>
      </c>
      <c r="M225" s="152">
        <v>85.871804260984788</v>
      </c>
      <c r="N225" s="152">
        <v>84.778353802923604</v>
      </c>
      <c r="O225" s="152">
        <v>80.297583402097786</v>
      </c>
      <c r="P225" s="152">
        <v>78.773882440526393</v>
      </c>
      <c r="Q225" s="152">
        <v>77.025323376074397</v>
      </c>
      <c r="R225" s="152">
        <v>75.304765632611605</v>
      </c>
      <c r="S225" s="152">
        <v>73.928319437841381</v>
      </c>
      <c r="T225" s="152">
        <v>72.827162482025201</v>
      </c>
      <c r="U225" s="152">
        <v>71.946236917372246</v>
      </c>
      <c r="V225" s="152">
        <v>71.241496465649888</v>
      </c>
      <c r="W225" s="152">
        <v>70.677704104271996</v>
      </c>
      <c r="X225" s="152">
        <v>70.22667021516969</v>
      </c>
      <c r="Y225" s="152">
        <v>69.86584310388784</v>
      </c>
      <c r="DA225" s="174" t="s">
        <v>933</v>
      </c>
    </row>
    <row r="226" spans="1:105" ht="11.45" customHeight="1" x14ac:dyDescent="0.25">
      <c r="A226" s="109" t="s">
        <v>20</v>
      </c>
      <c r="B226" s="116">
        <v>216.35698917480866</v>
      </c>
      <c r="C226" s="116">
        <v>216.96524488117893</v>
      </c>
      <c r="D226" s="116">
        <v>216.41709532204766</v>
      </c>
      <c r="E226" s="116">
        <v>215.32199385233611</v>
      </c>
      <c r="F226" s="116">
        <v>214.8351184213688</v>
      </c>
      <c r="G226" s="116">
        <v>212.95616061964753</v>
      </c>
      <c r="H226" s="116">
        <v>211.19981852417644</v>
      </c>
      <c r="I226" s="116">
        <v>208.80617382405725</v>
      </c>
      <c r="J226" s="116">
        <v>197.4165932498764</v>
      </c>
      <c r="K226" s="116">
        <v>187.03566255264806</v>
      </c>
      <c r="L226" s="116">
        <v>179.96412436889335</v>
      </c>
      <c r="M226" s="116">
        <v>168.68856252103171</v>
      </c>
      <c r="N226" s="116">
        <v>169.98773714629584</v>
      </c>
      <c r="O226" s="116">
        <v>161.79803495242535</v>
      </c>
      <c r="P226" s="116">
        <v>158.2776630162264</v>
      </c>
      <c r="Q226" s="116">
        <v>154.45596754748192</v>
      </c>
      <c r="R226" s="116">
        <v>151.14412581558813</v>
      </c>
      <c r="S226" s="116">
        <v>150.75397150458028</v>
      </c>
      <c r="T226" s="116">
        <v>152.04143207278671</v>
      </c>
      <c r="U226" s="116">
        <v>157.07142165466774</v>
      </c>
      <c r="V226" s="116">
        <v>143.86837274564294</v>
      </c>
      <c r="W226" s="116">
        <v>140.94369912025405</v>
      </c>
      <c r="X226" s="116">
        <v>140.11244574067769</v>
      </c>
      <c r="Y226" s="116">
        <v>139.90307207392752</v>
      </c>
      <c r="DA226" s="176" t="s">
        <v>934</v>
      </c>
    </row>
    <row r="227" spans="1:105" ht="11.45" customHeight="1" x14ac:dyDescent="0.25">
      <c r="A227" s="111" t="s">
        <v>110</v>
      </c>
      <c r="B227" s="87">
        <v>219.25708231236985</v>
      </c>
      <c r="C227" s="87">
        <v>219.33653174410776</v>
      </c>
      <c r="D227" s="87">
        <v>218.01016936074535</v>
      </c>
      <c r="E227" s="87">
        <v>215.28139170506623</v>
      </c>
      <c r="F227" s="87">
        <v>214.98326438036554</v>
      </c>
      <c r="G227" s="87">
        <v>212.08717036898705</v>
      </c>
      <c r="H227" s="87">
        <v>207.80995589419902</v>
      </c>
      <c r="I227" s="87">
        <v>204.76175610491202</v>
      </c>
      <c r="J227" s="87">
        <v>194.82012246081015</v>
      </c>
      <c r="K227" s="87">
        <v>184.09666511825836</v>
      </c>
      <c r="L227" s="87">
        <v>177.40096877472465</v>
      </c>
      <c r="M227" s="87">
        <v>168.80387542008538</v>
      </c>
      <c r="N227" s="87">
        <v>166.61071371281753</v>
      </c>
      <c r="O227" s="87">
        <v>157.8835044165584</v>
      </c>
      <c r="P227" s="87">
        <v>154.95559287790846</v>
      </c>
      <c r="Q227" s="87">
        <v>151.54934285409797</v>
      </c>
      <c r="R227" s="87">
        <v>150.87758775716293</v>
      </c>
      <c r="S227" s="87">
        <v>146.66904629546693</v>
      </c>
      <c r="T227" s="87">
        <v>146.0243500117823</v>
      </c>
      <c r="U227" s="87">
        <v>149.4215236384421</v>
      </c>
      <c r="V227" s="87">
        <v>143.25993048340959</v>
      </c>
      <c r="W227" s="87">
        <v>135.1109196759806</v>
      </c>
      <c r="X227" s="87">
        <v>135.63472913688571</v>
      </c>
      <c r="Y227" s="87">
        <v>134.06487322794979</v>
      </c>
      <c r="DA227" s="171" t="s">
        <v>935</v>
      </c>
    </row>
    <row r="228" spans="1:105" ht="11.45" customHeight="1" x14ac:dyDescent="0.25">
      <c r="A228" s="111" t="s">
        <v>111</v>
      </c>
      <c r="B228" s="87">
        <v>213.23019487599066</v>
      </c>
      <c r="C228" s="87">
        <v>214.40859380406803</v>
      </c>
      <c r="D228" s="87">
        <v>214.29024023069974</v>
      </c>
      <c r="E228" s="87">
        <v>214.77844872084373</v>
      </c>
      <c r="F228" s="87">
        <v>213.36190438959261</v>
      </c>
      <c r="G228" s="87">
        <v>213.99805484644688</v>
      </c>
      <c r="H228" s="87">
        <v>215.37021658768489</v>
      </c>
      <c r="I228" s="87">
        <v>213.3877942337669</v>
      </c>
      <c r="J228" s="87">
        <v>203.76047075009421</v>
      </c>
      <c r="K228" s="87">
        <v>195.75311180189931</v>
      </c>
      <c r="L228" s="87">
        <v>188.23396134384967</v>
      </c>
      <c r="M228" s="87">
        <v>178.75570660217832</v>
      </c>
      <c r="N228" s="87">
        <v>178.19275304151532</v>
      </c>
      <c r="O228" s="87">
        <v>170.40095993299258</v>
      </c>
      <c r="P228" s="87">
        <v>164.23935333791206</v>
      </c>
      <c r="Q228" s="87">
        <v>159.37445959903047</v>
      </c>
      <c r="R228" s="87">
        <v>152.78856009881403</v>
      </c>
      <c r="S228" s="87">
        <v>153.46625372824414</v>
      </c>
      <c r="T228" s="87">
        <v>156.62227122381481</v>
      </c>
      <c r="U228" s="87">
        <v>164.50071736011481</v>
      </c>
      <c r="V228" s="87">
        <v>147.26523214337499</v>
      </c>
      <c r="W228" s="87">
        <v>150.09817188484979</v>
      </c>
      <c r="X228" s="87">
        <v>148.32773598898191</v>
      </c>
      <c r="Y228" s="87">
        <v>150.67467791322429</v>
      </c>
      <c r="DA228" s="171" t="s">
        <v>936</v>
      </c>
    </row>
    <row r="229" spans="1:105" ht="11.45" customHeight="1" x14ac:dyDescent="0.25">
      <c r="A229" s="111" t="s">
        <v>112</v>
      </c>
      <c r="B229" s="87">
        <v>0</v>
      </c>
      <c r="C229" s="87">
        <v>0</v>
      </c>
      <c r="D229" s="87">
        <v>225.28147205579666</v>
      </c>
      <c r="E229" s="87">
        <v>225.79472140962332</v>
      </c>
      <c r="F229" s="87">
        <v>224.30552063298975</v>
      </c>
      <c r="G229" s="87">
        <v>0</v>
      </c>
      <c r="H229" s="87">
        <v>0</v>
      </c>
      <c r="I229" s="87">
        <v>224.33273840175335</v>
      </c>
      <c r="J229" s="87">
        <v>0</v>
      </c>
      <c r="K229" s="87">
        <v>0</v>
      </c>
      <c r="L229" s="87">
        <v>197.88873192163678</v>
      </c>
      <c r="M229" s="87">
        <v>155.40705621680254</v>
      </c>
      <c r="N229" s="87">
        <v>152.33415308030041</v>
      </c>
      <c r="O229" s="87">
        <v>141.32438284963067</v>
      </c>
      <c r="P229" s="87">
        <v>140.79571099638039</v>
      </c>
      <c r="Q229" s="87">
        <v>136.37818218666897</v>
      </c>
      <c r="R229" s="87">
        <v>119.41459856712055</v>
      </c>
      <c r="S229" s="87">
        <v>128.54326580855042</v>
      </c>
      <c r="T229" s="87">
        <v>122.9271844660194</v>
      </c>
      <c r="U229" s="87">
        <v>121.18548827101392</v>
      </c>
      <c r="V229" s="87">
        <v>119.384971970677</v>
      </c>
      <c r="W229" s="87">
        <v>112.3985457280762</v>
      </c>
      <c r="X229" s="87">
        <v>112.1980979062224</v>
      </c>
      <c r="Y229" s="87">
        <v>111.5252055571307</v>
      </c>
      <c r="DA229" s="171" t="s">
        <v>937</v>
      </c>
    </row>
    <row r="230" spans="1:105" ht="11.45" customHeight="1" x14ac:dyDescent="0.25">
      <c r="A230" s="111" t="s">
        <v>113</v>
      </c>
      <c r="B230" s="87">
        <v>0</v>
      </c>
      <c r="C230" s="87">
        <v>0</v>
      </c>
      <c r="D230" s="87">
        <v>0</v>
      </c>
      <c r="E230" s="87">
        <v>0</v>
      </c>
      <c r="F230" s="87">
        <v>0</v>
      </c>
      <c r="G230" s="87">
        <v>0</v>
      </c>
      <c r="H230" s="87">
        <v>0</v>
      </c>
      <c r="I230" s="87">
        <v>0</v>
      </c>
      <c r="J230" s="87">
        <v>0</v>
      </c>
      <c r="K230" s="87">
        <v>0</v>
      </c>
      <c r="L230" s="87">
        <v>0</v>
      </c>
      <c r="M230" s="87">
        <v>0</v>
      </c>
      <c r="N230" s="87">
        <v>0</v>
      </c>
      <c r="O230" s="87">
        <v>0</v>
      </c>
      <c r="P230" s="87">
        <v>0</v>
      </c>
      <c r="Q230" s="87">
        <v>0</v>
      </c>
      <c r="R230" s="87">
        <v>0</v>
      </c>
      <c r="S230" s="87">
        <v>0</v>
      </c>
      <c r="T230" s="87">
        <v>0</v>
      </c>
      <c r="U230" s="87">
        <v>0</v>
      </c>
      <c r="V230" s="87">
        <v>0</v>
      </c>
      <c r="W230" s="87">
        <v>0</v>
      </c>
      <c r="X230" s="87">
        <v>0</v>
      </c>
      <c r="Y230" s="87">
        <v>0</v>
      </c>
      <c r="DA230" s="171" t="s">
        <v>938</v>
      </c>
    </row>
    <row r="231" spans="1:105" ht="11.45" customHeight="1" x14ac:dyDescent="0.25">
      <c r="A231" s="111" t="s">
        <v>114</v>
      </c>
      <c r="B231" s="87">
        <v>0</v>
      </c>
      <c r="C231" s="87">
        <v>0</v>
      </c>
      <c r="D231" s="87">
        <v>0</v>
      </c>
      <c r="E231" s="87">
        <v>0</v>
      </c>
      <c r="F231" s="87">
        <v>0</v>
      </c>
      <c r="G231" s="87">
        <v>0</v>
      </c>
      <c r="H231" s="87">
        <v>0</v>
      </c>
      <c r="I231" s="87">
        <v>0</v>
      </c>
      <c r="J231" s="87">
        <v>0</v>
      </c>
      <c r="K231" s="87">
        <v>0</v>
      </c>
      <c r="L231" s="87">
        <v>0</v>
      </c>
      <c r="M231" s="87">
        <v>0</v>
      </c>
      <c r="N231" s="87">
        <v>130.77658995605887</v>
      </c>
      <c r="O231" s="87">
        <v>57.647660952331215</v>
      </c>
      <c r="P231" s="87">
        <v>49.765225679257355</v>
      </c>
      <c r="Q231" s="87">
        <v>51.658293580660427</v>
      </c>
      <c r="R231" s="87">
        <v>65.179162444271924</v>
      </c>
      <c r="S231" s="87">
        <v>74.4513880762876</v>
      </c>
      <c r="T231" s="87">
        <v>57.226979196463859</v>
      </c>
      <c r="U231" s="87">
        <v>58.971204188481678</v>
      </c>
      <c r="V231" s="87">
        <v>47.215399610136451</v>
      </c>
      <c r="W231" s="87">
        <v>38.810959911732247</v>
      </c>
      <c r="X231" s="87">
        <v>36.373373101952282</v>
      </c>
      <c r="Y231" s="87">
        <v>66.598484848484844</v>
      </c>
      <c r="DA231" s="171" t="s">
        <v>939</v>
      </c>
    </row>
    <row r="232" spans="1:105" ht="11.45" customHeight="1" x14ac:dyDescent="0.25">
      <c r="A232" s="111" t="s">
        <v>115</v>
      </c>
      <c r="B232" s="87">
        <v>0</v>
      </c>
      <c r="C232" s="87">
        <v>0</v>
      </c>
      <c r="D232" s="87">
        <v>0</v>
      </c>
      <c r="E232" s="87">
        <v>0</v>
      </c>
      <c r="F232" s="87">
        <v>0</v>
      </c>
      <c r="G232" s="87">
        <v>0</v>
      </c>
      <c r="H232" s="87">
        <v>0</v>
      </c>
      <c r="I232" s="87">
        <v>0</v>
      </c>
      <c r="J232" s="87">
        <v>0</v>
      </c>
      <c r="K232" s="87">
        <v>0</v>
      </c>
      <c r="L232" s="87">
        <v>0</v>
      </c>
      <c r="M232" s="87">
        <v>0</v>
      </c>
      <c r="N232" s="87">
        <v>0</v>
      </c>
      <c r="O232" s="87">
        <v>0</v>
      </c>
      <c r="P232" s="87">
        <v>0</v>
      </c>
      <c r="Q232" s="87">
        <v>0</v>
      </c>
      <c r="R232" s="87">
        <v>0</v>
      </c>
      <c r="S232" s="87">
        <v>0</v>
      </c>
      <c r="T232" s="87">
        <v>0</v>
      </c>
      <c r="U232" s="87">
        <v>0</v>
      </c>
      <c r="V232" s="87">
        <v>0</v>
      </c>
      <c r="W232" s="87">
        <v>0</v>
      </c>
      <c r="X232" s="87">
        <v>0</v>
      </c>
      <c r="Y232" s="87">
        <v>0</v>
      </c>
      <c r="DA232" s="171" t="s">
        <v>940</v>
      </c>
    </row>
    <row r="233" spans="1:105" ht="11.45" customHeight="1" x14ac:dyDescent="0.25">
      <c r="A233" s="109" t="s">
        <v>21</v>
      </c>
      <c r="B233" s="116">
        <v>1474.1971448728771</v>
      </c>
      <c r="C233" s="116">
        <v>1472.182045497218</v>
      </c>
      <c r="D233" s="116">
        <v>0</v>
      </c>
      <c r="E233" s="116">
        <v>1465.3029514803534</v>
      </c>
      <c r="F233" s="116">
        <v>1464.7951265415502</v>
      </c>
      <c r="G233" s="116">
        <v>1459.8116194281649</v>
      </c>
      <c r="H233" s="116">
        <v>1452.338489492188</v>
      </c>
      <c r="I233" s="116">
        <v>1446.9534468021479</v>
      </c>
      <c r="J233" s="116">
        <v>1404.8459595587458</v>
      </c>
      <c r="K233" s="116">
        <v>1407.7036947798813</v>
      </c>
      <c r="L233" s="116">
        <v>1389.0217893698809</v>
      </c>
      <c r="M233" s="116">
        <v>1375.4430813984945</v>
      </c>
      <c r="N233" s="116">
        <v>1373.2630977833387</v>
      </c>
      <c r="O233" s="116">
        <v>1353.7719339103967</v>
      </c>
      <c r="P233" s="116">
        <v>1347.4258696291904</v>
      </c>
      <c r="Q233" s="116">
        <v>1339.7662626965857</v>
      </c>
      <c r="R233" s="116">
        <v>1320.7081227690167</v>
      </c>
      <c r="S233" s="116">
        <v>1296.0300145372125</v>
      </c>
      <c r="T233" s="116">
        <v>1255.1155991270527</v>
      </c>
      <c r="U233" s="116">
        <v>1209.2347077151164</v>
      </c>
      <c r="V233" s="116">
        <v>1088.4277321995801</v>
      </c>
      <c r="W233" s="116">
        <v>1097.7755760415421</v>
      </c>
      <c r="X233" s="116">
        <v>1037.3773606646785</v>
      </c>
      <c r="Y233" s="116">
        <v>923.48976319304904</v>
      </c>
      <c r="DA233" s="176" t="s">
        <v>941</v>
      </c>
    </row>
    <row r="234" spans="1:105" ht="11.45" customHeight="1" x14ac:dyDescent="0.25">
      <c r="A234" s="111" t="s">
        <v>110</v>
      </c>
      <c r="B234" s="101">
        <v>0</v>
      </c>
      <c r="C234" s="101">
        <v>0</v>
      </c>
      <c r="D234" s="101">
        <v>0</v>
      </c>
      <c r="E234" s="101">
        <v>0</v>
      </c>
      <c r="F234" s="101">
        <v>0</v>
      </c>
      <c r="G234" s="101">
        <v>0</v>
      </c>
      <c r="H234" s="101">
        <v>0</v>
      </c>
      <c r="I234" s="101">
        <v>0</v>
      </c>
      <c r="J234" s="101">
        <v>412.74258152506167</v>
      </c>
      <c r="K234" s="101">
        <v>0</v>
      </c>
      <c r="L234" s="101">
        <v>375.83866025880246</v>
      </c>
      <c r="M234" s="101">
        <v>357.79918442076996</v>
      </c>
      <c r="N234" s="101">
        <v>0</v>
      </c>
      <c r="O234" s="101">
        <v>0</v>
      </c>
      <c r="P234" s="101">
        <v>0</v>
      </c>
      <c r="Q234" s="101">
        <v>0</v>
      </c>
      <c r="R234" s="101">
        <v>0</v>
      </c>
      <c r="S234" s="101">
        <v>0</v>
      </c>
      <c r="T234" s="101">
        <v>0</v>
      </c>
      <c r="U234" s="101">
        <v>0</v>
      </c>
      <c r="V234" s="101">
        <v>0</v>
      </c>
      <c r="W234" s="101">
        <v>0</v>
      </c>
      <c r="X234" s="101">
        <v>264.03897440473008</v>
      </c>
      <c r="Y234" s="101">
        <v>0</v>
      </c>
      <c r="DA234" s="175" t="s">
        <v>942</v>
      </c>
    </row>
    <row r="235" spans="1:105" ht="11.45" customHeight="1" x14ac:dyDescent="0.25">
      <c r="A235" s="111" t="s">
        <v>111</v>
      </c>
      <c r="B235" s="101">
        <v>1474.1971448728771</v>
      </c>
      <c r="C235" s="101">
        <v>1472.182045497218</v>
      </c>
      <c r="D235" s="101">
        <v>0</v>
      </c>
      <c r="E235" s="101">
        <v>1465.3029514803534</v>
      </c>
      <c r="F235" s="101">
        <v>1464.7951265415502</v>
      </c>
      <c r="G235" s="101">
        <v>1459.8116194281649</v>
      </c>
      <c r="H235" s="101">
        <v>1452.338489492188</v>
      </c>
      <c r="I235" s="101">
        <v>1446.9534468021479</v>
      </c>
      <c r="J235" s="101">
        <v>1428.7265362277026</v>
      </c>
      <c r="K235" s="101">
        <v>1408.2196688997578</v>
      </c>
      <c r="L235" s="101">
        <v>1395.0561662761879</v>
      </c>
      <c r="M235" s="101">
        <v>1377.6911006164687</v>
      </c>
      <c r="N235" s="101">
        <v>1373.2630977833387</v>
      </c>
      <c r="O235" s="101">
        <v>1354.3689540741082</v>
      </c>
      <c r="P235" s="101">
        <v>1347.85117790199</v>
      </c>
      <c r="Q235" s="101">
        <v>1340.2449215971562</v>
      </c>
      <c r="R235" s="101">
        <v>1322.7685098560198</v>
      </c>
      <c r="S235" s="101">
        <v>1296.776790690792</v>
      </c>
      <c r="T235" s="101">
        <v>1263.6306303287288</v>
      </c>
      <c r="U235" s="101">
        <v>1224.6478963418444</v>
      </c>
      <c r="V235" s="101">
        <v>1181.0679910172678</v>
      </c>
      <c r="W235" s="101">
        <v>1134.0282266435331</v>
      </c>
      <c r="X235" s="101">
        <v>1084.5500662088916</v>
      </c>
      <c r="Y235" s="101">
        <v>1033.533228543067</v>
      </c>
      <c r="DA235" s="175" t="s">
        <v>943</v>
      </c>
    </row>
    <row r="236" spans="1:105" ht="11.45" customHeight="1" x14ac:dyDescent="0.25">
      <c r="A236" s="111" t="s">
        <v>112</v>
      </c>
      <c r="B236" s="101">
        <v>0</v>
      </c>
      <c r="C236" s="101">
        <v>0</v>
      </c>
      <c r="D236" s="101">
        <v>0</v>
      </c>
      <c r="E236" s="101">
        <v>0</v>
      </c>
      <c r="F236" s="101">
        <v>0</v>
      </c>
      <c r="G236" s="101">
        <v>0</v>
      </c>
      <c r="H236" s="101">
        <v>0</v>
      </c>
      <c r="I236" s="101">
        <v>0</v>
      </c>
      <c r="J236" s="101">
        <v>1013.0534390507775</v>
      </c>
      <c r="K236" s="101">
        <v>999.31017889760142</v>
      </c>
      <c r="L236" s="101">
        <v>989.96900688289998</v>
      </c>
      <c r="M236" s="101">
        <v>977.64629384726936</v>
      </c>
      <c r="N236" s="101">
        <v>0</v>
      </c>
      <c r="O236" s="101">
        <v>961.09627757620592</v>
      </c>
      <c r="P236" s="101">
        <v>961.72052760016516</v>
      </c>
      <c r="Q236" s="101">
        <v>0</v>
      </c>
      <c r="R236" s="101">
        <v>0</v>
      </c>
      <c r="S236" s="101">
        <v>0</v>
      </c>
      <c r="T236" s="101">
        <v>0</v>
      </c>
      <c r="U236" s="101">
        <v>0</v>
      </c>
      <c r="V236" s="101">
        <v>0</v>
      </c>
      <c r="W236" s="101">
        <v>0</v>
      </c>
      <c r="X236" s="101">
        <v>0</v>
      </c>
      <c r="Y236" s="101">
        <v>0</v>
      </c>
      <c r="DA236" s="175" t="s">
        <v>944</v>
      </c>
    </row>
    <row r="237" spans="1:105" ht="11.45" customHeight="1" x14ac:dyDescent="0.25">
      <c r="A237" s="111" t="s">
        <v>113</v>
      </c>
      <c r="B237" s="101">
        <v>0</v>
      </c>
      <c r="C237" s="101">
        <v>0</v>
      </c>
      <c r="D237" s="101">
        <v>0</v>
      </c>
      <c r="E237" s="101">
        <v>0</v>
      </c>
      <c r="F237" s="101">
        <v>0</v>
      </c>
      <c r="G237" s="101">
        <v>0</v>
      </c>
      <c r="H237" s="101">
        <v>0</v>
      </c>
      <c r="I237" s="101">
        <v>0</v>
      </c>
      <c r="J237" s="101">
        <v>0</v>
      </c>
      <c r="K237" s="101">
        <v>0</v>
      </c>
      <c r="L237" s="101">
        <v>0</v>
      </c>
      <c r="M237" s="101">
        <v>0</v>
      </c>
      <c r="N237" s="101">
        <v>0</v>
      </c>
      <c r="O237" s="101">
        <v>0</v>
      </c>
      <c r="P237" s="101">
        <v>0</v>
      </c>
      <c r="Q237" s="101">
        <v>0</v>
      </c>
      <c r="R237" s="101">
        <v>0</v>
      </c>
      <c r="S237" s="101">
        <v>0</v>
      </c>
      <c r="T237" s="101">
        <v>0</v>
      </c>
      <c r="U237" s="101">
        <v>0</v>
      </c>
      <c r="V237" s="101">
        <v>0</v>
      </c>
      <c r="W237" s="101">
        <v>0</v>
      </c>
      <c r="X237" s="101">
        <v>0</v>
      </c>
      <c r="Y237" s="101">
        <v>0</v>
      </c>
      <c r="DA237" s="175" t="s">
        <v>945</v>
      </c>
    </row>
    <row r="238" spans="1:105" ht="11.45" customHeight="1" x14ac:dyDescent="0.25">
      <c r="A238" s="111" t="s">
        <v>115</v>
      </c>
      <c r="B238" s="101">
        <v>0</v>
      </c>
      <c r="C238" s="101">
        <v>0</v>
      </c>
      <c r="D238" s="101">
        <v>0</v>
      </c>
      <c r="E238" s="101">
        <v>0</v>
      </c>
      <c r="F238" s="101">
        <v>0</v>
      </c>
      <c r="G238" s="101">
        <v>0</v>
      </c>
      <c r="H238" s="101">
        <v>0</v>
      </c>
      <c r="I238" s="101">
        <v>0</v>
      </c>
      <c r="J238" s="101">
        <v>0</v>
      </c>
      <c r="K238" s="101">
        <v>0</v>
      </c>
      <c r="L238" s="101">
        <v>0</v>
      </c>
      <c r="M238" s="101">
        <v>0</v>
      </c>
      <c r="N238" s="101">
        <v>0</v>
      </c>
      <c r="O238" s="101">
        <v>0</v>
      </c>
      <c r="P238" s="101">
        <v>0</v>
      </c>
      <c r="Q238" s="101">
        <v>0</v>
      </c>
      <c r="R238" s="101">
        <v>0</v>
      </c>
      <c r="S238" s="101">
        <v>0</v>
      </c>
      <c r="T238" s="101">
        <v>0</v>
      </c>
      <c r="U238" s="101">
        <v>0</v>
      </c>
      <c r="V238" s="101">
        <v>0</v>
      </c>
      <c r="W238" s="101">
        <v>0</v>
      </c>
      <c r="X238" s="101">
        <v>0</v>
      </c>
      <c r="Y238" s="101">
        <v>0</v>
      </c>
      <c r="DA238" s="175" t="s">
        <v>946</v>
      </c>
    </row>
    <row r="239" spans="1:105" ht="11.45" customHeight="1" x14ac:dyDescent="0.25">
      <c r="A239" s="27" t="s">
        <v>34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DA239" s="173"/>
    </row>
    <row r="240" spans="1:105" ht="11.45" customHeight="1" x14ac:dyDescent="0.25">
      <c r="A240" s="136" t="s">
        <v>153</v>
      </c>
      <c r="B240" s="152">
        <v>0</v>
      </c>
      <c r="C240" s="152">
        <v>269.58425025033927</v>
      </c>
      <c r="D240" s="152">
        <v>268.89181840944411</v>
      </c>
      <c r="E240" s="152">
        <v>267.99394452926367</v>
      </c>
      <c r="F240" s="152">
        <v>266.51951361401365</v>
      </c>
      <c r="G240" s="152">
        <v>266.21107555960759</v>
      </c>
      <c r="H240" s="152">
        <v>265.64700387973141</v>
      </c>
      <c r="I240" s="152">
        <v>263.18020220864514</v>
      </c>
      <c r="J240" s="152">
        <v>259.64308206127146</v>
      </c>
      <c r="K240" s="152">
        <v>244.19424231074009</v>
      </c>
      <c r="L240" s="152">
        <v>237.68305854708754</v>
      </c>
      <c r="M240" s="152">
        <v>227.68840910379311</v>
      </c>
      <c r="N240" s="152">
        <v>225.65372255174034</v>
      </c>
      <c r="O240" s="152">
        <v>216.48204214247244</v>
      </c>
      <c r="P240" s="152">
        <v>215.54693127256056</v>
      </c>
      <c r="Q240" s="152">
        <v>214.75698655728385</v>
      </c>
      <c r="R240" s="152">
        <v>201.48674591083147</v>
      </c>
      <c r="S240" s="152">
        <v>192.77935078112418</v>
      </c>
      <c r="T240" s="152">
        <v>188.76048735180169</v>
      </c>
      <c r="U240" s="152">
        <v>197.35842258358591</v>
      </c>
      <c r="V240" s="152">
        <v>202.80535450821159</v>
      </c>
      <c r="W240" s="152">
        <v>197.03380147150048</v>
      </c>
      <c r="X240" s="152">
        <v>217.65760900507647</v>
      </c>
      <c r="Y240" s="152">
        <v>201.38268779292096</v>
      </c>
      <c r="DA240" s="174" t="s">
        <v>947</v>
      </c>
    </row>
    <row r="241" spans="1:105" ht="11.45" customHeight="1" x14ac:dyDescent="0.25">
      <c r="A241" s="111" t="s">
        <v>110</v>
      </c>
      <c r="B241" s="87">
        <v>0</v>
      </c>
      <c r="C241" s="87">
        <v>246.8478098420255</v>
      </c>
      <c r="D241" s="87">
        <v>245.35508244825127</v>
      </c>
      <c r="E241" s="87">
        <v>242.28403549362852</v>
      </c>
      <c r="F241" s="87">
        <v>241.94851419869767</v>
      </c>
      <c r="G241" s="87">
        <v>238.68916447651168</v>
      </c>
      <c r="H241" s="87">
        <v>233.87546100025804</v>
      </c>
      <c r="I241" s="87">
        <v>230.44492694392369</v>
      </c>
      <c r="J241" s="87">
        <v>219.25631886398276</v>
      </c>
      <c r="K241" s="87">
        <v>207.18782330651894</v>
      </c>
      <c r="L241" s="87">
        <v>199.65228891730538</v>
      </c>
      <c r="M241" s="87">
        <v>190.06939332202114</v>
      </c>
      <c r="N241" s="87">
        <v>187.64914063279582</v>
      </c>
      <c r="O241" s="87">
        <v>185.72073318521012</v>
      </c>
      <c r="P241" s="87">
        <v>188.66515746375183</v>
      </c>
      <c r="Q241" s="87">
        <v>188.38901266540273</v>
      </c>
      <c r="R241" s="87">
        <v>157.1526950807089</v>
      </c>
      <c r="S241" s="87">
        <v>154.79610652575045</v>
      </c>
      <c r="T241" s="87">
        <v>155.89738324037117</v>
      </c>
      <c r="U241" s="87">
        <v>167.3</v>
      </c>
      <c r="V241" s="87">
        <v>161.1559139784946</v>
      </c>
      <c r="W241" s="87">
        <v>155.3943661971831</v>
      </c>
      <c r="X241" s="87">
        <v>162.10965630114569</v>
      </c>
      <c r="Y241" s="87">
        <v>210.77961165048541</v>
      </c>
      <c r="DA241" s="171" t="s">
        <v>948</v>
      </c>
    </row>
    <row r="242" spans="1:105" ht="11.45" customHeight="1" x14ac:dyDescent="0.25">
      <c r="A242" s="111" t="s">
        <v>111</v>
      </c>
      <c r="B242" s="87">
        <v>0</v>
      </c>
      <c r="C242" s="87">
        <v>279.18491945538227</v>
      </c>
      <c r="D242" s="87">
        <v>279.03080934131538</v>
      </c>
      <c r="E242" s="87">
        <v>279.66651356184133</v>
      </c>
      <c r="F242" s="87">
        <v>277.8220081341031</v>
      </c>
      <c r="G242" s="87">
        <v>278.65034999721274</v>
      </c>
      <c r="H242" s="87">
        <v>280.43706413217586</v>
      </c>
      <c r="I242" s="87">
        <v>277.85571972155526</v>
      </c>
      <c r="J242" s="87">
        <v>265.31982513042595</v>
      </c>
      <c r="K242" s="87">
        <v>254.89331272558724</v>
      </c>
      <c r="L242" s="87">
        <v>245.1025045412745</v>
      </c>
      <c r="M242" s="87">
        <v>232.76071478517321</v>
      </c>
      <c r="N242" s="87">
        <v>232.01161877147237</v>
      </c>
      <c r="O242" s="87">
        <v>217.33722262017395</v>
      </c>
      <c r="P242" s="87">
        <v>216.48038467051509</v>
      </c>
      <c r="Q242" s="87">
        <v>214.92441368131699</v>
      </c>
      <c r="R242" s="87">
        <v>215.73235052435513</v>
      </c>
      <c r="S242" s="87">
        <v>200.47295111118532</v>
      </c>
      <c r="T242" s="87">
        <v>193.09688426653349</v>
      </c>
      <c r="U242" s="87">
        <v>199.80771789753831</v>
      </c>
      <c r="V242" s="87">
        <v>206.14957190511669</v>
      </c>
      <c r="W242" s="87">
        <v>200.25482764843889</v>
      </c>
      <c r="X242" s="87">
        <v>224.40902417539391</v>
      </c>
      <c r="Y242" s="87">
        <v>201.85987040037031</v>
      </c>
      <c r="DA242" s="171" t="s">
        <v>949</v>
      </c>
    </row>
    <row r="243" spans="1:105" ht="11.45" customHeight="1" x14ac:dyDescent="0.25">
      <c r="A243" s="111" t="s">
        <v>112</v>
      </c>
      <c r="B243" s="87">
        <v>0</v>
      </c>
      <c r="C243" s="87">
        <v>0</v>
      </c>
      <c r="D243" s="87">
        <v>0</v>
      </c>
      <c r="E243" s="87">
        <v>0</v>
      </c>
      <c r="F243" s="87">
        <v>0</v>
      </c>
      <c r="G243" s="87">
        <v>0</v>
      </c>
      <c r="H243" s="87">
        <v>0</v>
      </c>
      <c r="I243" s="87">
        <v>0</v>
      </c>
      <c r="J243" s="87">
        <v>412.32755197870375</v>
      </c>
      <c r="K243" s="87">
        <v>0</v>
      </c>
      <c r="L243" s="87">
        <v>0</v>
      </c>
      <c r="M243" s="87">
        <v>299.13695645876459</v>
      </c>
      <c r="N243" s="87">
        <v>293.22204555238028</v>
      </c>
      <c r="O243" s="87">
        <v>0</v>
      </c>
      <c r="P243" s="87">
        <v>194.91310392338457</v>
      </c>
      <c r="Q243" s="87">
        <v>0</v>
      </c>
      <c r="R243" s="87">
        <v>139.79190543776269</v>
      </c>
      <c r="S243" s="87">
        <v>0</v>
      </c>
      <c r="T243" s="87">
        <v>0</v>
      </c>
      <c r="U243" s="87">
        <v>0</v>
      </c>
      <c r="V243" s="87">
        <v>0</v>
      </c>
      <c r="W243" s="87">
        <v>177.25</v>
      </c>
      <c r="X243" s="87">
        <v>188.7777777777778</v>
      </c>
      <c r="Y243" s="87">
        <v>178.69230769230771</v>
      </c>
      <c r="DA243" s="171" t="s">
        <v>950</v>
      </c>
    </row>
    <row r="244" spans="1:105" ht="11.45" customHeight="1" x14ac:dyDescent="0.25">
      <c r="A244" s="111" t="s">
        <v>113</v>
      </c>
      <c r="B244" s="87">
        <v>0</v>
      </c>
      <c r="C244" s="87">
        <v>0</v>
      </c>
      <c r="D244" s="87">
        <v>0</v>
      </c>
      <c r="E244" s="87">
        <v>0</v>
      </c>
      <c r="F244" s="87">
        <v>0</v>
      </c>
      <c r="G244" s="87">
        <v>0</v>
      </c>
      <c r="H244" s="87">
        <v>0</v>
      </c>
      <c r="I244" s="87">
        <v>0</v>
      </c>
      <c r="J244" s="87">
        <v>0</v>
      </c>
      <c r="K244" s="87">
        <v>0</v>
      </c>
      <c r="L244" s="87">
        <v>0</v>
      </c>
      <c r="M244" s="87">
        <v>0</v>
      </c>
      <c r="N244" s="87">
        <v>0</v>
      </c>
      <c r="O244" s="87">
        <v>0</v>
      </c>
      <c r="P244" s="87">
        <v>0</v>
      </c>
      <c r="Q244" s="87">
        <v>0</v>
      </c>
      <c r="R244" s="87">
        <v>0</v>
      </c>
      <c r="S244" s="87">
        <v>0</v>
      </c>
      <c r="T244" s="87">
        <v>0</v>
      </c>
      <c r="U244" s="87">
        <v>0</v>
      </c>
      <c r="V244" s="87">
        <v>0</v>
      </c>
      <c r="W244" s="87">
        <v>0</v>
      </c>
      <c r="X244" s="87">
        <v>0</v>
      </c>
      <c r="Y244" s="87">
        <v>0</v>
      </c>
      <c r="DA244" s="171" t="s">
        <v>951</v>
      </c>
    </row>
    <row r="245" spans="1:105" ht="11.45" customHeight="1" x14ac:dyDescent="0.25">
      <c r="A245" s="111" t="s">
        <v>115</v>
      </c>
      <c r="B245" s="87">
        <v>0</v>
      </c>
      <c r="C245" s="87">
        <v>0</v>
      </c>
      <c r="D245" s="87">
        <v>0</v>
      </c>
      <c r="E245" s="87">
        <v>0</v>
      </c>
      <c r="F245" s="87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7">
        <v>0</v>
      </c>
      <c r="P245" s="87">
        <v>0</v>
      </c>
      <c r="Q245" s="87">
        <v>0</v>
      </c>
      <c r="R245" s="87">
        <v>0</v>
      </c>
      <c r="S245" s="87">
        <v>0</v>
      </c>
      <c r="T245" s="87">
        <v>0</v>
      </c>
      <c r="U245" s="87">
        <v>0</v>
      </c>
      <c r="V245" s="87">
        <v>0</v>
      </c>
      <c r="W245" s="87">
        <v>0</v>
      </c>
      <c r="X245" s="87">
        <v>0</v>
      </c>
      <c r="Y245" s="87">
        <v>0</v>
      </c>
      <c r="DA245" s="171" t="s">
        <v>952</v>
      </c>
    </row>
    <row r="246" spans="1:105" ht="11.45" customHeight="1" x14ac:dyDescent="0.25">
      <c r="A246" s="109" t="s">
        <v>154</v>
      </c>
      <c r="B246" s="116">
        <v>1040.7419809790824</v>
      </c>
      <c r="C246" s="116">
        <v>1035.5067399467287</v>
      </c>
      <c r="D246" s="116">
        <v>1028.7455037743844</v>
      </c>
      <c r="E246" s="116">
        <v>1019.8371446864692</v>
      </c>
      <c r="F246" s="116">
        <v>1011.321079421672</v>
      </c>
      <c r="G246" s="116">
        <v>997.50066924752048</v>
      </c>
      <c r="H246" s="116">
        <v>983.11901223473285</v>
      </c>
      <c r="I246" s="116">
        <v>970.90011282703483</v>
      </c>
      <c r="J246" s="116">
        <v>950.68514336342287</v>
      </c>
      <c r="K246" s="116">
        <v>932.14353861173504</v>
      </c>
      <c r="L246" s="116">
        <v>912.11017747744791</v>
      </c>
      <c r="M246" s="116">
        <v>897.27409963363812</v>
      </c>
      <c r="N246" s="116">
        <v>879.25896661159845</v>
      </c>
      <c r="O246" s="116">
        <v>847.44121089015232</v>
      </c>
      <c r="P246" s="116">
        <v>820.96996291207392</v>
      </c>
      <c r="Q246" s="116">
        <v>800.0404543627958</v>
      </c>
      <c r="R246" s="116">
        <v>764.94475057076079</v>
      </c>
      <c r="S246" s="116">
        <v>743.32210897447032</v>
      </c>
      <c r="T246" s="116">
        <v>698.2903747826648</v>
      </c>
      <c r="U246" s="116">
        <v>670.50658077108801</v>
      </c>
      <c r="V246" s="116">
        <v>656.20182456504483</v>
      </c>
      <c r="W246" s="116">
        <v>674.03997781316673</v>
      </c>
      <c r="X246" s="116">
        <v>645.53751247046932</v>
      </c>
      <c r="Y246" s="116">
        <v>643.31033003712332</v>
      </c>
      <c r="DA246" s="176" t="s">
        <v>953</v>
      </c>
    </row>
    <row r="247" spans="1:105" ht="11.45" customHeight="1" x14ac:dyDescent="0.25">
      <c r="A247" s="128" t="s">
        <v>27</v>
      </c>
      <c r="B247" s="101">
        <v>0</v>
      </c>
      <c r="C247" s="101">
        <v>968.33730458776267</v>
      </c>
      <c r="D247" s="101">
        <v>961.74432647441813</v>
      </c>
      <c r="E247" s="101">
        <v>953.53484153435568</v>
      </c>
      <c r="F247" s="101">
        <v>943.72971022343063</v>
      </c>
      <c r="G247" s="101">
        <v>932.35367170553332</v>
      </c>
      <c r="H247" s="101">
        <v>919.43518957985134</v>
      </c>
      <c r="I247" s="101">
        <v>905.00627655774269</v>
      </c>
      <c r="J247" s="101">
        <v>889.10230006862639</v>
      </c>
      <c r="K247" s="101">
        <v>871.76177092838373</v>
      </c>
      <c r="L247" s="101">
        <v>853.02611739793701</v>
      </c>
      <c r="M247" s="101">
        <v>832.93944699590929</v>
      </c>
      <c r="N247" s="101">
        <v>811.54829852086834</v>
      </c>
      <c r="O247" s="101">
        <v>788.90138676735603</v>
      </c>
      <c r="P247" s="101">
        <v>765.04934236150643</v>
      </c>
      <c r="Q247" s="101">
        <v>740.04444914242958</v>
      </c>
      <c r="R247" s="101">
        <v>703.74794998484811</v>
      </c>
      <c r="S247" s="101">
        <v>678.34040057454115</v>
      </c>
      <c r="T247" s="101">
        <v>651.66247369371888</v>
      </c>
      <c r="U247" s="101">
        <v>619.05611861715818</v>
      </c>
      <c r="V247" s="101">
        <v>613.69482378350335</v>
      </c>
      <c r="W247" s="101">
        <v>600.3037778738111</v>
      </c>
      <c r="X247" s="101">
        <v>596.99647974995571</v>
      </c>
      <c r="Y247" s="101">
        <v>591.02651495245607</v>
      </c>
      <c r="DA247" s="175" t="s">
        <v>954</v>
      </c>
    </row>
    <row r="248" spans="1:105" ht="11.45" customHeight="1" x14ac:dyDescent="0.25">
      <c r="A248" s="138" t="s">
        <v>116</v>
      </c>
      <c r="B248" s="88">
        <v>973.32549638124704</v>
      </c>
      <c r="C248" s="88">
        <v>969.14492535889485</v>
      </c>
      <c r="D248" s="88">
        <v>964.5209027684374</v>
      </c>
      <c r="E248" s="88">
        <v>958.76313394738929</v>
      </c>
      <c r="F248" s="88">
        <v>951.8862494947706</v>
      </c>
      <c r="G248" s="88">
        <v>943.90760036347785</v>
      </c>
      <c r="H248" s="88">
        <v>0</v>
      </c>
      <c r="I248" s="88">
        <v>924.72734968168083</v>
      </c>
      <c r="J248" s="88">
        <v>0</v>
      </c>
      <c r="K248" s="88">
        <v>0</v>
      </c>
      <c r="L248" s="88">
        <v>0</v>
      </c>
      <c r="M248" s="88">
        <v>874.1828700569024</v>
      </c>
      <c r="N248" s="88">
        <v>859.18006675861636</v>
      </c>
      <c r="O248" s="88">
        <v>843.29652676318142</v>
      </c>
      <c r="P248" s="88">
        <v>826.56776014737818</v>
      </c>
      <c r="Q248" s="88">
        <v>809.03043647828326</v>
      </c>
      <c r="R248" s="88">
        <v>786.38779648376408</v>
      </c>
      <c r="S248" s="88">
        <v>770.5379484876006</v>
      </c>
      <c r="T248" s="88">
        <v>753.89560809162901</v>
      </c>
      <c r="U248" s="88">
        <v>733.55496982988586</v>
      </c>
      <c r="V248" s="88">
        <v>0</v>
      </c>
      <c r="W248" s="88">
        <v>718.06378370741038</v>
      </c>
      <c r="X248" s="88">
        <v>714.10770164996393</v>
      </c>
      <c r="Y248" s="88">
        <v>706.96662463346422</v>
      </c>
      <c r="DA248" s="178" t="s">
        <v>955</v>
      </c>
    </row>
  </sheetData>
  <mergeCells count="1">
    <mergeCell ref="B57:V57"/>
  </mergeCells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DA124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1030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DA3" s="172"/>
    </row>
    <row r="4" spans="1:105" ht="11.45" customHeight="1" x14ac:dyDescent="0.25">
      <c r="A4" s="27" t="s">
        <v>18</v>
      </c>
      <c r="B4" s="28">
        <f t="shared" ref="B4" si="0">SUM(B5,B6,B9)</f>
        <v>17632</v>
      </c>
      <c r="C4" s="28">
        <f t="shared" ref="C4:V4" si="1">SUM(C5,C6,C9)</f>
        <v>16965</v>
      </c>
      <c r="D4" s="28">
        <f t="shared" si="1"/>
        <v>14502</v>
      </c>
      <c r="E4" s="28">
        <f t="shared" si="1"/>
        <v>14274.215</v>
      </c>
      <c r="F4" s="28">
        <f t="shared" si="1"/>
        <v>14830.045</v>
      </c>
      <c r="G4" s="28">
        <f t="shared" si="1"/>
        <v>14581.908000000001</v>
      </c>
      <c r="H4" s="28">
        <f t="shared" si="1"/>
        <v>14892</v>
      </c>
      <c r="I4" s="28">
        <f t="shared" si="1"/>
        <v>14376</v>
      </c>
      <c r="J4" s="28">
        <f t="shared" si="1"/>
        <v>13958</v>
      </c>
      <c r="K4" s="28">
        <f t="shared" si="1"/>
        <v>13175</v>
      </c>
      <c r="L4" s="28">
        <f t="shared" si="1"/>
        <v>12575.710097776035</v>
      </c>
      <c r="M4" s="28">
        <f t="shared" si="1"/>
        <v>12134.903365925345</v>
      </c>
      <c r="N4" s="28">
        <f t="shared" si="1"/>
        <v>12119.372713565321</v>
      </c>
      <c r="O4" s="28">
        <f t="shared" si="1"/>
        <v>12162.718100556631</v>
      </c>
      <c r="P4" s="28">
        <f t="shared" si="1"/>
        <v>12976</v>
      </c>
      <c r="Q4" s="28">
        <f t="shared" si="1"/>
        <v>10056.7016</v>
      </c>
      <c r="R4" s="28">
        <f t="shared" si="1"/>
        <v>10056.3649</v>
      </c>
      <c r="S4" s="28">
        <f t="shared" si="1"/>
        <v>10786.612999999999</v>
      </c>
      <c r="T4" s="28">
        <f t="shared" si="1"/>
        <v>10578.557000000001</v>
      </c>
      <c r="U4" s="28">
        <f t="shared" si="1"/>
        <v>10835.231</v>
      </c>
      <c r="V4" s="28">
        <f t="shared" si="1"/>
        <v>7156.1090000000004</v>
      </c>
      <c r="W4" s="28">
        <f t="shared" ref="W4:Y4" si="2">SUM(W5,W6,W9)</f>
        <v>7473.6129999999994</v>
      </c>
      <c r="X4" s="28">
        <f t="shared" si="2"/>
        <v>9853.2480000000014</v>
      </c>
      <c r="Y4" s="28">
        <f t="shared" si="2"/>
        <v>10667.045</v>
      </c>
      <c r="DA4" s="173" t="s">
        <v>376</v>
      </c>
    </row>
    <row r="5" spans="1:105" ht="11.45" customHeight="1" x14ac:dyDescent="0.25">
      <c r="A5" s="107" t="s">
        <v>23</v>
      </c>
      <c r="B5" s="108">
        <v>6000</v>
      </c>
      <c r="C5" s="108">
        <v>6000</v>
      </c>
      <c r="D5" s="108">
        <v>6000</v>
      </c>
      <c r="E5" s="108">
        <v>5777.2150000000001</v>
      </c>
      <c r="F5" s="108">
        <v>6192.0450000000001</v>
      </c>
      <c r="G5" s="108">
        <v>6596.9080000000013</v>
      </c>
      <c r="H5" s="108">
        <v>6800</v>
      </c>
      <c r="I5" s="108">
        <v>6900</v>
      </c>
      <c r="J5" s="108">
        <v>7000</v>
      </c>
      <c r="K5" s="108">
        <v>7047</v>
      </c>
      <c r="L5" s="108">
        <v>7138.7100977760347</v>
      </c>
      <c r="M5" s="108">
        <v>7061.9033659253455</v>
      </c>
      <c r="N5" s="108">
        <v>7548.3727135653216</v>
      </c>
      <c r="O5" s="108">
        <v>7751.7181005566317</v>
      </c>
      <c r="P5" s="108">
        <v>8000</v>
      </c>
      <c r="Q5" s="108">
        <v>4907.7016000000003</v>
      </c>
      <c r="R5" s="108">
        <v>5068.3648999999996</v>
      </c>
      <c r="S5" s="108">
        <v>5123.6129999999994</v>
      </c>
      <c r="T5" s="108">
        <v>5001.5569999999998</v>
      </c>
      <c r="U5" s="108">
        <v>4929.2309999999998</v>
      </c>
      <c r="V5" s="108">
        <v>3436.1089999999999</v>
      </c>
      <c r="W5" s="108">
        <v>3202.6129999999998</v>
      </c>
      <c r="X5" s="108">
        <v>4058.248000000001</v>
      </c>
      <c r="Y5" s="108">
        <v>4516.0450000000001</v>
      </c>
      <c r="DA5" s="203" t="s">
        <v>377</v>
      </c>
    </row>
    <row r="6" spans="1:105" ht="11.45" customHeight="1" x14ac:dyDescent="0.25">
      <c r="A6" s="109" t="s">
        <v>24</v>
      </c>
      <c r="B6" s="110">
        <f t="shared" ref="B6" si="3">SUM(B7:B8)</f>
        <v>11632</v>
      </c>
      <c r="C6" s="110">
        <f t="shared" ref="C6:V6" si="4">SUM(C7:C8)</f>
        <v>10965</v>
      </c>
      <c r="D6" s="110">
        <f t="shared" si="4"/>
        <v>8502</v>
      </c>
      <c r="E6" s="110">
        <f t="shared" si="4"/>
        <v>8497</v>
      </c>
      <c r="F6" s="110">
        <f t="shared" si="4"/>
        <v>8638</v>
      </c>
      <c r="G6" s="110">
        <f t="shared" si="4"/>
        <v>7985</v>
      </c>
      <c r="H6" s="110">
        <f t="shared" si="4"/>
        <v>8092.0000000000009</v>
      </c>
      <c r="I6" s="110">
        <f t="shared" si="4"/>
        <v>7476</v>
      </c>
      <c r="J6" s="110">
        <f t="shared" si="4"/>
        <v>6958</v>
      </c>
      <c r="K6" s="110">
        <f t="shared" si="4"/>
        <v>6128</v>
      </c>
      <c r="L6" s="110">
        <f t="shared" si="4"/>
        <v>5437</v>
      </c>
      <c r="M6" s="110">
        <f t="shared" si="4"/>
        <v>5073</v>
      </c>
      <c r="N6" s="110">
        <f t="shared" si="4"/>
        <v>4571</v>
      </c>
      <c r="O6" s="110">
        <f t="shared" si="4"/>
        <v>4411</v>
      </c>
      <c r="P6" s="110">
        <f t="shared" si="4"/>
        <v>4976</v>
      </c>
      <c r="Q6" s="110">
        <f t="shared" si="4"/>
        <v>5149</v>
      </c>
      <c r="R6" s="110">
        <f t="shared" si="4"/>
        <v>4988</v>
      </c>
      <c r="S6" s="110">
        <f t="shared" si="4"/>
        <v>5663</v>
      </c>
      <c r="T6" s="110">
        <f t="shared" si="4"/>
        <v>5577</v>
      </c>
      <c r="U6" s="110">
        <f t="shared" si="4"/>
        <v>5906</v>
      </c>
      <c r="V6" s="110">
        <f t="shared" si="4"/>
        <v>3720</v>
      </c>
      <c r="W6" s="110">
        <f t="shared" ref="W6:Y6" si="5">SUM(W7:W8)</f>
        <v>4271</v>
      </c>
      <c r="X6" s="110">
        <f t="shared" si="5"/>
        <v>5795</v>
      </c>
      <c r="Y6" s="110">
        <f t="shared" si="5"/>
        <v>6151</v>
      </c>
      <c r="DA6" s="176" t="s">
        <v>378</v>
      </c>
    </row>
    <row r="7" spans="1:105" ht="11.45" customHeight="1" x14ac:dyDescent="0.25">
      <c r="A7" s="111" t="s">
        <v>90</v>
      </c>
      <c r="B7" s="84">
        <v>6415.8417031208419</v>
      </c>
      <c r="C7" s="84">
        <v>4196.6344785075653</v>
      </c>
      <c r="D7" s="84">
        <v>3996.2464996140593</v>
      </c>
      <c r="E7" s="84">
        <v>4042.501539359635</v>
      </c>
      <c r="F7" s="84">
        <v>4626.4589879693804</v>
      </c>
      <c r="G7" s="84">
        <v>2457.3583033359023</v>
      </c>
      <c r="H7" s="84">
        <v>2617.3902072524115</v>
      </c>
      <c r="I7" s="84">
        <v>4547.6416759801632</v>
      </c>
      <c r="J7" s="84">
        <v>4011.9867562041691</v>
      </c>
      <c r="K7" s="84">
        <v>2818.0722520532795</v>
      </c>
      <c r="L7" s="84">
        <v>3147.8421663876343</v>
      </c>
      <c r="M7" s="84">
        <v>3244.6181955190991</v>
      </c>
      <c r="N7" s="84">
        <v>2738.1628562024034</v>
      </c>
      <c r="O7" s="84">
        <v>2780.8436974380916</v>
      </c>
      <c r="P7" s="84">
        <v>2795.5568184762524</v>
      </c>
      <c r="Q7" s="84">
        <v>2117.3996293184164</v>
      </c>
      <c r="R7" s="84">
        <v>2077.0611931500189</v>
      </c>
      <c r="S7" s="84">
        <v>1942.2555554943294</v>
      </c>
      <c r="T7" s="84">
        <v>1945.8195967403399</v>
      </c>
      <c r="U7" s="84">
        <v>2307.2244556351206</v>
      </c>
      <c r="V7" s="84">
        <v>1308.2044355649748</v>
      </c>
      <c r="W7" s="84">
        <v>1386.1248172267515</v>
      </c>
      <c r="X7" s="84">
        <v>1725.2065196255794</v>
      </c>
      <c r="Y7" s="84">
        <v>2274.2224656766016</v>
      </c>
      <c r="DA7" s="171" t="s">
        <v>1031</v>
      </c>
    </row>
    <row r="8" spans="1:105" ht="11.45" customHeight="1" x14ac:dyDescent="0.25">
      <c r="A8" s="111" t="s">
        <v>93</v>
      </c>
      <c r="B8" s="84">
        <v>5216.1582968791581</v>
      </c>
      <c r="C8" s="84">
        <v>6768.3655214924347</v>
      </c>
      <c r="D8" s="84">
        <v>4505.7535003859412</v>
      </c>
      <c r="E8" s="84">
        <v>4454.498460640365</v>
      </c>
      <c r="F8" s="84">
        <v>4011.5410120306196</v>
      </c>
      <c r="G8" s="84">
        <v>5527.6416966640973</v>
      </c>
      <c r="H8" s="84">
        <v>5474.6097927475894</v>
      </c>
      <c r="I8" s="84">
        <v>2928.3583240198368</v>
      </c>
      <c r="J8" s="84">
        <v>2946.0132437958309</v>
      </c>
      <c r="K8" s="84">
        <v>3309.9277479467205</v>
      </c>
      <c r="L8" s="84">
        <v>2289.1578336123657</v>
      </c>
      <c r="M8" s="84">
        <v>1828.3818044809009</v>
      </c>
      <c r="N8" s="84">
        <v>1832.8371437975966</v>
      </c>
      <c r="O8" s="84">
        <v>1630.1563025619084</v>
      </c>
      <c r="P8" s="84">
        <v>2180.4431815237476</v>
      </c>
      <c r="Q8" s="84">
        <v>3031.6003706815836</v>
      </c>
      <c r="R8" s="84">
        <v>2910.9388068499811</v>
      </c>
      <c r="S8" s="84">
        <v>3720.7444445056708</v>
      </c>
      <c r="T8" s="84">
        <v>3631.1804032596601</v>
      </c>
      <c r="U8" s="84">
        <v>3598.7755443648794</v>
      </c>
      <c r="V8" s="84">
        <v>2411.795564435025</v>
      </c>
      <c r="W8" s="84">
        <v>2884.8751827732485</v>
      </c>
      <c r="X8" s="84">
        <v>4069.7934803744206</v>
      </c>
      <c r="Y8" s="84">
        <v>3876.7775343233984</v>
      </c>
      <c r="DA8" s="171" t="s">
        <v>1032</v>
      </c>
    </row>
    <row r="9" spans="1:105" ht="11.45" customHeight="1" x14ac:dyDescent="0.25">
      <c r="A9" s="112" t="s">
        <v>25</v>
      </c>
      <c r="B9" s="113">
        <v>0</v>
      </c>
      <c r="C9" s="113">
        <v>0</v>
      </c>
      <c r="D9" s="113">
        <v>0</v>
      </c>
      <c r="E9" s="113">
        <v>0</v>
      </c>
      <c r="F9" s="113">
        <v>0</v>
      </c>
      <c r="G9" s="113">
        <v>0</v>
      </c>
      <c r="H9" s="113">
        <v>0</v>
      </c>
      <c r="I9" s="113">
        <v>0</v>
      </c>
      <c r="J9" s="113">
        <v>0</v>
      </c>
      <c r="K9" s="113">
        <v>0</v>
      </c>
      <c r="L9" s="113">
        <v>0</v>
      </c>
      <c r="M9" s="113">
        <v>0</v>
      </c>
      <c r="N9" s="113">
        <v>0</v>
      </c>
      <c r="O9" s="113">
        <v>0</v>
      </c>
      <c r="P9" s="113">
        <v>0</v>
      </c>
      <c r="Q9" s="113">
        <v>0</v>
      </c>
      <c r="R9" s="113">
        <v>0</v>
      </c>
      <c r="S9" s="113">
        <v>0</v>
      </c>
      <c r="T9" s="113">
        <v>0</v>
      </c>
      <c r="U9" s="113">
        <v>0</v>
      </c>
      <c r="V9" s="113">
        <v>0</v>
      </c>
      <c r="W9" s="113">
        <v>0</v>
      </c>
      <c r="X9" s="113">
        <v>0</v>
      </c>
      <c r="Y9" s="113">
        <v>0</v>
      </c>
      <c r="DA9" s="204" t="s">
        <v>379</v>
      </c>
    </row>
    <row r="10" spans="1:105" ht="11.45" customHeight="1" x14ac:dyDescent="0.25">
      <c r="A10" s="27" t="s">
        <v>28</v>
      </c>
      <c r="B10" s="28">
        <f t="shared" ref="B10" si="6">SUM(B11:B12)</f>
        <v>16354</v>
      </c>
      <c r="C10" s="28">
        <f t="shared" ref="C10:V10" si="7">SUM(C11:C12)</f>
        <v>16102</v>
      </c>
      <c r="D10" s="28">
        <f t="shared" si="7"/>
        <v>15218</v>
      </c>
      <c r="E10" s="28">
        <f t="shared" si="7"/>
        <v>15039</v>
      </c>
      <c r="F10" s="28">
        <f t="shared" si="7"/>
        <v>17022</v>
      </c>
      <c r="G10" s="28">
        <f t="shared" si="7"/>
        <v>16582</v>
      </c>
      <c r="H10" s="28">
        <f t="shared" si="7"/>
        <v>15791</v>
      </c>
      <c r="I10" s="28">
        <f t="shared" si="7"/>
        <v>15757</v>
      </c>
      <c r="J10" s="28">
        <f t="shared" si="7"/>
        <v>15236</v>
      </c>
      <c r="K10" s="28">
        <f t="shared" si="7"/>
        <v>11088</v>
      </c>
      <c r="L10" s="28">
        <f t="shared" si="7"/>
        <v>12375</v>
      </c>
      <c r="M10" s="28">
        <f t="shared" si="7"/>
        <v>14719</v>
      </c>
      <c r="N10" s="28">
        <f t="shared" si="7"/>
        <v>13472</v>
      </c>
      <c r="O10" s="28">
        <f t="shared" si="7"/>
        <v>12941</v>
      </c>
      <c r="P10" s="28">
        <f t="shared" si="7"/>
        <v>12264</v>
      </c>
      <c r="Q10" s="28">
        <f t="shared" si="7"/>
        <v>13673</v>
      </c>
      <c r="R10" s="28">
        <f t="shared" si="7"/>
        <v>13535</v>
      </c>
      <c r="S10" s="28">
        <f t="shared" si="7"/>
        <v>13782</v>
      </c>
      <c r="T10" s="28">
        <f t="shared" si="7"/>
        <v>13076</v>
      </c>
      <c r="U10" s="28">
        <f t="shared" si="7"/>
        <v>13312</v>
      </c>
      <c r="V10" s="28">
        <f t="shared" si="7"/>
        <v>12291</v>
      </c>
      <c r="W10" s="28">
        <f t="shared" ref="W10:Y10" si="8">SUM(W11:W12)</f>
        <v>13625</v>
      </c>
      <c r="X10" s="28">
        <f t="shared" si="8"/>
        <v>13324</v>
      </c>
      <c r="Y10" s="28">
        <f t="shared" si="8"/>
        <v>12878</v>
      </c>
      <c r="DA10" s="173" t="s">
        <v>384</v>
      </c>
    </row>
    <row r="11" spans="1:105" ht="11.45" customHeight="1" x14ac:dyDescent="0.25">
      <c r="A11" s="83" t="s">
        <v>90</v>
      </c>
      <c r="B11" s="84">
        <v>7636.8980512635553</v>
      </c>
      <c r="C11" s="84">
        <v>5533.0334578383681</v>
      </c>
      <c r="D11" s="84">
        <v>6078.7568531267452</v>
      </c>
      <c r="E11" s="84">
        <v>4717.9999730604568</v>
      </c>
      <c r="F11" s="84">
        <v>6089.4050464515421</v>
      </c>
      <c r="G11" s="84">
        <v>3415.7245286681155</v>
      </c>
      <c r="H11" s="84">
        <v>3440.9206053039275</v>
      </c>
      <c r="I11" s="84">
        <v>5733.31655850682</v>
      </c>
      <c r="J11" s="84">
        <v>5109.693869813229</v>
      </c>
      <c r="K11" s="84">
        <v>3100.1367422581957</v>
      </c>
      <c r="L11" s="84">
        <v>3895.7894680797372</v>
      </c>
      <c r="M11" s="84">
        <v>4824.9031768479017</v>
      </c>
      <c r="N11" s="84">
        <v>4190.5406842959064</v>
      </c>
      <c r="O11" s="84">
        <v>3966.3720798748004</v>
      </c>
      <c r="P11" s="84">
        <v>3287.1023656037414</v>
      </c>
      <c r="Q11" s="84">
        <v>3678.1620953035203</v>
      </c>
      <c r="R11" s="84">
        <v>3649.3025640265291</v>
      </c>
      <c r="S11" s="84">
        <v>3397.0467180878591</v>
      </c>
      <c r="T11" s="84">
        <v>3277.500854953721</v>
      </c>
      <c r="U11" s="84">
        <v>3819.1573187847025</v>
      </c>
      <c r="V11" s="84">
        <v>3021.543777031326</v>
      </c>
      <c r="W11" s="84">
        <v>3442.5962931928275</v>
      </c>
      <c r="X11" s="84">
        <v>3201.2588366467967</v>
      </c>
      <c r="Y11" s="84">
        <v>3691.6843376706775</v>
      </c>
      <c r="DA11" s="171" t="s">
        <v>1033</v>
      </c>
    </row>
    <row r="12" spans="1:105" ht="11.45" customHeight="1" x14ac:dyDescent="0.25">
      <c r="A12" s="85" t="s">
        <v>93</v>
      </c>
      <c r="B12" s="86">
        <v>8717.1019487364447</v>
      </c>
      <c r="C12" s="86">
        <v>10568.966542161632</v>
      </c>
      <c r="D12" s="86">
        <v>9139.2431468732539</v>
      </c>
      <c r="E12" s="86">
        <v>10321.000026939542</v>
      </c>
      <c r="F12" s="86">
        <v>10932.594953548458</v>
      </c>
      <c r="G12" s="86">
        <v>13166.275471331885</v>
      </c>
      <c r="H12" s="86">
        <v>12350.079394696073</v>
      </c>
      <c r="I12" s="86">
        <v>10023.68344149318</v>
      </c>
      <c r="J12" s="86">
        <v>10126.306130186771</v>
      </c>
      <c r="K12" s="86">
        <v>7987.8632577418048</v>
      </c>
      <c r="L12" s="86">
        <v>8479.2105319202637</v>
      </c>
      <c r="M12" s="86">
        <v>9894.0968231520983</v>
      </c>
      <c r="N12" s="86">
        <v>9281.4593157040945</v>
      </c>
      <c r="O12" s="86">
        <v>8974.6279201252</v>
      </c>
      <c r="P12" s="86">
        <v>8976.8976343962586</v>
      </c>
      <c r="Q12" s="86">
        <v>9994.8379046964801</v>
      </c>
      <c r="R12" s="86">
        <v>9885.6974359734704</v>
      </c>
      <c r="S12" s="86">
        <v>10384.953281912141</v>
      </c>
      <c r="T12" s="86">
        <v>9798.4991450462785</v>
      </c>
      <c r="U12" s="86">
        <v>9492.8426812152975</v>
      </c>
      <c r="V12" s="86">
        <v>9269.4562229686744</v>
      </c>
      <c r="W12" s="86">
        <v>10182.403706807172</v>
      </c>
      <c r="X12" s="86">
        <v>10122.741163353203</v>
      </c>
      <c r="Y12" s="86">
        <v>9186.3156623293216</v>
      </c>
      <c r="DA12" s="178" t="s">
        <v>1034</v>
      </c>
    </row>
    <row r="13" spans="1:105" x14ac:dyDescent="0.2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14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DA13" s="171"/>
    </row>
    <row r="14" spans="1:105" ht="11.45" customHeight="1" x14ac:dyDescent="0.25">
      <c r="A14" s="53" t="s">
        <v>64</v>
      </c>
      <c r="B14" s="62">
        <f t="shared" ref="B14" si="9">B15+B21</f>
        <v>155.09210903751654</v>
      </c>
      <c r="C14" s="62">
        <f t="shared" ref="C14:V14" si="10">C15+C21</f>
        <v>126.37705549198067</v>
      </c>
      <c r="D14" s="62">
        <f t="shared" si="10"/>
        <v>166.42491946937514</v>
      </c>
      <c r="E14" s="62">
        <f t="shared" si="10"/>
        <v>156.87661674564117</v>
      </c>
      <c r="F14" s="62">
        <f t="shared" si="10"/>
        <v>157.69970923379307</v>
      </c>
      <c r="G14" s="62">
        <f t="shared" si="10"/>
        <v>130.75331032968356</v>
      </c>
      <c r="H14" s="62">
        <f t="shared" si="10"/>
        <v>126.14615500547605</v>
      </c>
      <c r="I14" s="62">
        <f t="shared" si="10"/>
        <v>165.94717486506968</v>
      </c>
      <c r="J14" s="62">
        <f t="shared" si="10"/>
        <v>162.28424200019569</v>
      </c>
      <c r="K14" s="62">
        <f t="shared" si="10"/>
        <v>156.00996931753474</v>
      </c>
      <c r="L14" s="62">
        <f t="shared" si="10"/>
        <v>166.99053774970199</v>
      </c>
      <c r="M14" s="62">
        <f t="shared" si="10"/>
        <v>193.91404451979602</v>
      </c>
      <c r="N14" s="62">
        <f t="shared" si="10"/>
        <v>205.10816465771401</v>
      </c>
      <c r="O14" s="62">
        <f t="shared" si="10"/>
        <v>196.42456510584935</v>
      </c>
      <c r="P14" s="62">
        <f t="shared" si="10"/>
        <v>177.02672128445093</v>
      </c>
      <c r="Q14" s="62">
        <f t="shared" si="10"/>
        <v>150.46601331971505</v>
      </c>
      <c r="R14" s="62">
        <f t="shared" si="10"/>
        <v>150.44732157459094</v>
      </c>
      <c r="S14" s="62">
        <f t="shared" si="10"/>
        <v>156.1617936108629</v>
      </c>
      <c r="T14" s="62">
        <f t="shared" si="10"/>
        <v>145.22423774491347</v>
      </c>
      <c r="U14" s="62">
        <f t="shared" si="10"/>
        <v>156.84712999106409</v>
      </c>
      <c r="V14" s="62">
        <f t="shared" si="10"/>
        <v>152.01736729129723</v>
      </c>
      <c r="W14" s="62">
        <f t="shared" ref="W14:Y14" si="11">W15+W21</f>
        <v>160.85571373393446</v>
      </c>
      <c r="X14" s="62">
        <f t="shared" si="11"/>
        <v>149.25218542708924</v>
      </c>
      <c r="Y14" s="62">
        <f t="shared" si="11"/>
        <v>115.29942129567605</v>
      </c>
      <c r="DA14" s="172" t="s">
        <v>1035</v>
      </c>
    </row>
    <row r="15" spans="1:105" ht="11.45" customHeight="1" x14ac:dyDescent="0.25">
      <c r="A15" s="27" t="s">
        <v>33</v>
      </c>
      <c r="B15" s="29">
        <f t="shared" ref="B15" si="12">SUM(B16,B17,B20)</f>
        <v>133.53067042134916</v>
      </c>
      <c r="C15" s="29">
        <f t="shared" ref="C15:V15" si="13">SUM(C16,C17,C20)</f>
        <v>107.45188008764208</v>
      </c>
      <c r="D15" s="29">
        <f t="shared" si="13"/>
        <v>135.94645095877087</v>
      </c>
      <c r="E15" s="29">
        <f t="shared" si="13"/>
        <v>128.63800142517627</v>
      </c>
      <c r="F15" s="29">
        <f t="shared" si="13"/>
        <v>126.71605339227128</v>
      </c>
      <c r="G15" s="29">
        <f t="shared" si="13"/>
        <v>108.38024731014704</v>
      </c>
      <c r="H15" s="29">
        <f t="shared" si="13"/>
        <v>106.40008121577378</v>
      </c>
      <c r="I15" s="29">
        <f t="shared" si="13"/>
        <v>138.16699263851419</v>
      </c>
      <c r="J15" s="29">
        <f t="shared" si="13"/>
        <v>137.85457113863475</v>
      </c>
      <c r="K15" s="29">
        <f t="shared" si="13"/>
        <v>137.75544885831562</v>
      </c>
      <c r="L15" s="29">
        <f t="shared" si="13"/>
        <v>145.67904797920926</v>
      </c>
      <c r="M15" s="29">
        <f t="shared" si="13"/>
        <v>163.76801578487004</v>
      </c>
      <c r="N15" s="29">
        <f t="shared" si="13"/>
        <v>176.7861706671128</v>
      </c>
      <c r="O15" s="29">
        <f t="shared" si="13"/>
        <v>169.54676821248566</v>
      </c>
      <c r="P15" s="29">
        <f t="shared" si="13"/>
        <v>155.38163124419171</v>
      </c>
      <c r="Q15" s="29">
        <f t="shared" si="13"/>
        <v>123.76319927319224</v>
      </c>
      <c r="R15" s="29">
        <f t="shared" si="13"/>
        <v>124.59915153063919</v>
      </c>
      <c r="S15" s="29">
        <f t="shared" si="13"/>
        <v>129.87744697120007</v>
      </c>
      <c r="T15" s="29">
        <f t="shared" si="13"/>
        <v>119.69012647764688</v>
      </c>
      <c r="U15" s="29">
        <f t="shared" si="13"/>
        <v>129.85898025825315</v>
      </c>
      <c r="V15" s="29">
        <f t="shared" si="13"/>
        <v>125.99039313015621</v>
      </c>
      <c r="W15" s="29">
        <f t="shared" ref="W15:Y15" si="14">SUM(W16,W17,W20)</f>
        <v>126.43503346157569</v>
      </c>
      <c r="X15" s="29">
        <f t="shared" si="14"/>
        <v>120.0882761684019</v>
      </c>
      <c r="Y15" s="29">
        <f t="shared" si="14"/>
        <v>100.14153097231969</v>
      </c>
      <c r="DA15" s="173" t="s">
        <v>1036</v>
      </c>
    </row>
    <row r="16" spans="1:105" ht="11.45" customHeight="1" x14ac:dyDescent="0.25">
      <c r="A16" s="107" t="s">
        <v>23</v>
      </c>
      <c r="B16" s="115">
        <v>70.049972325617262</v>
      </c>
      <c r="C16" s="115">
        <v>70.049972325617262</v>
      </c>
      <c r="D16" s="115">
        <v>70.049972325617262</v>
      </c>
      <c r="E16" s="115">
        <v>67.448958478190164</v>
      </c>
      <c r="F16" s="115">
        <v>72.292096814829463</v>
      </c>
      <c r="G16" s="115">
        <v>77.799049369922926</v>
      </c>
      <c r="H16" s="115">
        <v>80.879834397755843</v>
      </c>
      <c r="I16" s="115">
        <v>83.901395516933093</v>
      </c>
      <c r="J16" s="115">
        <v>86.828488077364142</v>
      </c>
      <c r="K16" s="115">
        <v>90.868183729242361</v>
      </c>
      <c r="L16" s="115">
        <v>93.284954532905459</v>
      </c>
      <c r="M16" s="115">
        <v>95.230478249958438</v>
      </c>
      <c r="N16" s="115">
        <v>103.80486976882329</v>
      </c>
      <c r="O16" s="115">
        <v>105.24167519160127</v>
      </c>
      <c r="P16" s="115">
        <v>103.9247045434069</v>
      </c>
      <c r="Q16" s="115">
        <v>63.523936628723042</v>
      </c>
      <c r="R16" s="115">
        <v>66.775307037219193</v>
      </c>
      <c r="S16" s="115">
        <v>65.763034316527865</v>
      </c>
      <c r="T16" s="115">
        <v>63.883415660031694</v>
      </c>
      <c r="U16" s="115">
        <v>62.164023547339696</v>
      </c>
      <c r="V16" s="115">
        <v>62.040721784184719</v>
      </c>
      <c r="W16" s="115">
        <v>60.674763335178042</v>
      </c>
      <c r="X16" s="115">
        <v>71.907930864933505</v>
      </c>
      <c r="Y16" s="115">
        <v>55.703949056585728</v>
      </c>
      <c r="DA16" s="203" t="s">
        <v>1037</v>
      </c>
    </row>
    <row r="17" spans="1:105" ht="11.45" customHeight="1" x14ac:dyDescent="0.25">
      <c r="A17" s="109" t="s">
        <v>24</v>
      </c>
      <c r="B17" s="116">
        <f t="shared" ref="B17" si="15">SUM(B18:B19)</f>
        <v>63.480698095731896</v>
      </c>
      <c r="C17" s="116">
        <f t="shared" ref="C17:V17" si="16">SUM(C18:C19)</f>
        <v>37.401907762024827</v>
      </c>
      <c r="D17" s="116">
        <f t="shared" si="16"/>
        <v>65.896478633153592</v>
      </c>
      <c r="E17" s="116">
        <f t="shared" si="16"/>
        <v>61.189042946986106</v>
      </c>
      <c r="F17" s="116">
        <f t="shared" si="16"/>
        <v>54.423956577441814</v>
      </c>
      <c r="G17" s="116">
        <f t="shared" si="16"/>
        <v>30.581197940224122</v>
      </c>
      <c r="H17" s="116">
        <f t="shared" si="16"/>
        <v>25.520246818017938</v>
      </c>
      <c r="I17" s="116">
        <f t="shared" si="16"/>
        <v>54.265597121581095</v>
      </c>
      <c r="J17" s="116">
        <f t="shared" si="16"/>
        <v>51.026083061270604</v>
      </c>
      <c r="K17" s="116">
        <f t="shared" si="16"/>
        <v>46.887265129073256</v>
      </c>
      <c r="L17" s="116">
        <f t="shared" si="16"/>
        <v>52.394093446303792</v>
      </c>
      <c r="M17" s="116">
        <f t="shared" si="16"/>
        <v>68.537537534911607</v>
      </c>
      <c r="N17" s="116">
        <f t="shared" si="16"/>
        <v>72.981300898289504</v>
      </c>
      <c r="O17" s="116">
        <f t="shared" si="16"/>
        <v>64.305093020884385</v>
      </c>
      <c r="P17" s="116">
        <f t="shared" si="16"/>
        <v>51.456926700784813</v>
      </c>
      <c r="Q17" s="116">
        <f t="shared" si="16"/>
        <v>60.239262644469207</v>
      </c>
      <c r="R17" s="116">
        <f t="shared" si="16"/>
        <v>57.823844493419998</v>
      </c>
      <c r="S17" s="116">
        <f t="shared" si="16"/>
        <v>64.114412654672194</v>
      </c>
      <c r="T17" s="116">
        <f t="shared" si="16"/>
        <v>55.806710817615198</v>
      </c>
      <c r="U17" s="116">
        <f t="shared" si="16"/>
        <v>67.694956710913459</v>
      </c>
      <c r="V17" s="116">
        <f t="shared" si="16"/>
        <v>63.949671345971481</v>
      </c>
      <c r="W17" s="116">
        <f t="shared" ref="W17:Y17" si="17">SUM(W18:W19)</f>
        <v>65.760270126397643</v>
      </c>
      <c r="X17" s="116">
        <f t="shared" si="17"/>
        <v>48.180345303468407</v>
      </c>
      <c r="Y17" s="116">
        <f t="shared" si="17"/>
        <v>44.437581915733965</v>
      </c>
      <c r="DA17" s="176" t="s">
        <v>1038</v>
      </c>
    </row>
    <row r="18" spans="1:105" ht="11.45" customHeight="1" x14ac:dyDescent="0.25">
      <c r="A18" s="111" t="s">
        <v>92</v>
      </c>
      <c r="B18" s="87">
        <v>54.951928543280204</v>
      </c>
      <c r="C18" s="87">
        <v>26.350483326953213</v>
      </c>
      <c r="D18" s="87">
        <v>35.410172924584117</v>
      </c>
      <c r="E18" s="87">
        <v>36.407657284791114</v>
      </c>
      <c r="F18" s="87">
        <v>41.615943821552428</v>
      </c>
      <c r="G18" s="87">
        <v>15.695571516836987</v>
      </c>
      <c r="H18" s="87">
        <v>14.974076745870786</v>
      </c>
      <c r="I18" s="87">
        <v>43.555186163277632</v>
      </c>
      <c r="J18" s="87">
        <v>41.854917780843657</v>
      </c>
      <c r="K18" s="87">
        <v>35.058443111140079</v>
      </c>
      <c r="L18" s="87">
        <v>40.006186758958556</v>
      </c>
      <c r="M18" s="87">
        <v>51.972163539535231</v>
      </c>
      <c r="N18" s="87">
        <v>49.564828705340048</v>
      </c>
      <c r="O18" s="87">
        <v>44.367179251206942</v>
      </c>
      <c r="P18" s="87">
        <v>31.235388497933688</v>
      </c>
      <c r="Q18" s="87">
        <v>28.258198351163177</v>
      </c>
      <c r="R18" s="87">
        <v>27.445148784309868</v>
      </c>
      <c r="S18" s="87">
        <v>31.373303886727772</v>
      </c>
      <c r="T18" s="87">
        <v>23.999020561419282</v>
      </c>
      <c r="U18" s="87">
        <v>34.595288407842858</v>
      </c>
      <c r="V18" s="87">
        <v>31.985813989694631</v>
      </c>
      <c r="W18" s="87">
        <v>31.279357214874711</v>
      </c>
      <c r="X18" s="87">
        <v>20.186617094295027</v>
      </c>
      <c r="Y18" s="87">
        <v>25.493634109315913</v>
      </c>
      <c r="DA18" s="171" t="s">
        <v>1039</v>
      </c>
    </row>
    <row r="19" spans="1:105" ht="11.45" customHeight="1" x14ac:dyDescent="0.25">
      <c r="A19" s="111" t="s">
        <v>93</v>
      </c>
      <c r="B19" s="87">
        <v>8.528769552451692</v>
      </c>
      <c r="C19" s="87">
        <v>11.051424435071613</v>
      </c>
      <c r="D19" s="87">
        <v>30.486305708569471</v>
      </c>
      <c r="E19" s="87">
        <v>24.781385662194996</v>
      </c>
      <c r="F19" s="87">
        <v>12.808012755889386</v>
      </c>
      <c r="G19" s="87">
        <v>14.885626423387135</v>
      </c>
      <c r="H19" s="87">
        <v>10.546170072147152</v>
      </c>
      <c r="I19" s="87">
        <v>10.710410958303463</v>
      </c>
      <c r="J19" s="87">
        <v>9.1711652804269477</v>
      </c>
      <c r="K19" s="87">
        <v>11.828822017933177</v>
      </c>
      <c r="L19" s="87">
        <v>12.387906687345236</v>
      </c>
      <c r="M19" s="87">
        <v>16.565373995376376</v>
      </c>
      <c r="N19" s="87">
        <v>23.416472192949456</v>
      </c>
      <c r="O19" s="87">
        <v>19.937913769677444</v>
      </c>
      <c r="P19" s="87">
        <v>20.221538202851125</v>
      </c>
      <c r="Q19" s="87">
        <v>31.98106429330603</v>
      </c>
      <c r="R19" s="87">
        <v>30.378695709110129</v>
      </c>
      <c r="S19" s="87">
        <v>32.741108767944425</v>
      </c>
      <c r="T19" s="87">
        <v>31.807690256195915</v>
      </c>
      <c r="U19" s="87">
        <v>33.099668303070601</v>
      </c>
      <c r="V19" s="87">
        <v>31.963857356276851</v>
      </c>
      <c r="W19" s="87">
        <v>34.480912911522935</v>
      </c>
      <c r="X19" s="87">
        <v>27.99372820917338</v>
      </c>
      <c r="Y19" s="87">
        <v>18.943947806418052</v>
      </c>
      <c r="DA19" s="171" t="s">
        <v>1040</v>
      </c>
    </row>
    <row r="20" spans="1:105" ht="11.45" customHeight="1" x14ac:dyDescent="0.25">
      <c r="A20" s="112" t="s">
        <v>25</v>
      </c>
      <c r="B20" s="117">
        <v>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0</v>
      </c>
      <c r="K20" s="117">
        <v>0</v>
      </c>
      <c r="L20" s="117">
        <v>0</v>
      </c>
      <c r="M20" s="117">
        <v>0</v>
      </c>
      <c r="N20" s="117">
        <v>0</v>
      </c>
      <c r="O20" s="117">
        <v>0</v>
      </c>
      <c r="P20" s="117">
        <v>0</v>
      </c>
      <c r="Q20" s="117">
        <v>0</v>
      </c>
      <c r="R20" s="117">
        <v>0</v>
      </c>
      <c r="S20" s="117">
        <v>0</v>
      </c>
      <c r="T20" s="117">
        <v>0</v>
      </c>
      <c r="U20" s="117">
        <v>0</v>
      </c>
      <c r="V20" s="117">
        <v>0</v>
      </c>
      <c r="W20" s="117">
        <v>0</v>
      </c>
      <c r="X20" s="117">
        <v>0</v>
      </c>
      <c r="Y20" s="117">
        <v>0</v>
      </c>
      <c r="DA20" s="204" t="s">
        <v>1041</v>
      </c>
    </row>
    <row r="21" spans="1:105" ht="11.45" customHeight="1" x14ac:dyDescent="0.25">
      <c r="A21" s="27" t="s">
        <v>34</v>
      </c>
      <c r="B21" s="29">
        <f t="shared" ref="B21" si="18">SUM(B22:B23)</f>
        <v>21.561438616167393</v>
      </c>
      <c r="C21" s="29">
        <f t="shared" ref="C21:V21" si="19">SUM(C22:C23)</f>
        <v>18.925175404338592</v>
      </c>
      <c r="D21" s="29">
        <f t="shared" si="19"/>
        <v>30.478468510604266</v>
      </c>
      <c r="E21" s="29">
        <f t="shared" si="19"/>
        <v>28.238615320464895</v>
      </c>
      <c r="F21" s="29">
        <f t="shared" si="19"/>
        <v>30.983655841521792</v>
      </c>
      <c r="G21" s="29">
        <f t="shared" si="19"/>
        <v>22.373063019536509</v>
      </c>
      <c r="H21" s="29">
        <f t="shared" si="19"/>
        <v>19.746073789702265</v>
      </c>
      <c r="I21" s="29">
        <f t="shared" si="19"/>
        <v>27.780182226555507</v>
      </c>
      <c r="J21" s="29">
        <f t="shared" si="19"/>
        <v>24.429670861560929</v>
      </c>
      <c r="K21" s="29">
        <f t="shared" si="19"/>
        <v>18.254520459219123</v>
      </c>
      <c r="L21" s="29">
        <f t="shared" si="19"/>
        <v>21.311489770492731</v>
      </c>
      <c r="M21" s="29">
        <f t="shared" si="19"/>
        <v>30.146028734925984</v>
      </c>
      <c r="N21" s="29">
        <f t="shared" si="19"/>
        <v>28.321993990601221</v>
      </c>
      <c r="O21" s="29">
        <f t="shared" si="19"/>
        <v>26.877796893363701</v>
      </c>
      <c r="P21" s="29">
        <f t="shared" si="19"/>
        <v>21.645090040259227</v>
      </c>
      <c r="Q21" s="29">
        <f t="shared" si="19"/>
        <v>26.702814046522811</v>
      </c>
      <c r="R21" s="29">
        <f t="shared" si="19"/>
        <v>25.848170043951743</v>
      </c>
      <c r="S21" s="29">
        <f t="shared" si="19"/>
        <v>26.284346639662814</v>
      </c>
      <c r="T21" s="29">
        <f t="shared" si="19"/>
        <v>25.534111267266571</v>
      </c>
      <c r="U21" s="29">
        <f t="shared" si="19"/>
        <v>26.988149732810925</v>
      </c>
      <c r="V21" s="29">
        <f t="shared" si="19"/>
        <v>26.026974161141034</v>
      </c>
      <c r="W21" s="29">
        <f t="shared" ref="W21:Y21" si="20">SUM(W22:W23)</f>
        <v>34.420680272358787</v>
      </c>
      <c r="X21" s="29">
        <f t="shared" si="20"/>
        <v>29.163909258687347</v>
      </c>
      <c r="Y21" s="29">
        <f t="shared" si="20"/>
        <v>15.157890323356371</v>
      </c>
      <c r="DA21" s="173" t="s">
        <v>1042</v>
      </c>
    </row>
    <row r="22" spans="1:105" ht="11.45" customHeight="1" x14ac:dyDescent="0.25">
      <c r="A22" s="83" t="s">
        <v>92</v>
      </c>
      <c r="B22" s="87">
        <v>12.419230795935484</v>
      </c>
      <c r="C22" s="87">
        <v>7.8825026765222512</v>
      </c>
      <c r="D22" s="87">
        <v>10.953062348328416</v>
      </c>
      <c r="E22" s="87">
        <v>6.8221630731526242</v>
      </c>
      <c r="F22" s="87">
        <v>8.4582752923775573</v>
      </c>
      <c r="G22" s="87">
        <v>4.4403789228468948</v>
      </c>
      <c r="H22" s="87">
        <v>4.705177582887738</v>
      </c>
      <c r="I22" s="87">
        <v>9.3626308587366047</v>
      </c>
      <c r="J22" s="87">
        <v>8.4084910294135575</v>
      </c>
      <c r="K22" s="87">
        <v>5.097850158647887</v>
      </c>
      <c r="L22" s="87">
        <v>6.1634670314281879</v>
      </c>
      <c r="M22" s="87">
        <v>9.2336950275439573</v>
      </c>
      <c r="N22" s="87">
        <v>8.220144961409444</v>
      </c>
      <c r="O22" s="87">
        <v>7.6836760674754521</v>
      </c>
      <c r="P22" s="87">
        <v>4.9141413278877115</v>
      </c>
      <c r="Q22" s="87">
        <v>7.0408646832269879</v>
      </c>
      <c r="R22" s="87">
        <v>7.024118729539528</v>
      </c>
      <c r="S22" s="87">
        <v>6.2612582224557602</v>
      </c>
      <c r="T22" s="87">
        <v>5.9120806002657273</v>
      </c>
      <c r="U22" s="87">
        <v>7.4168258124590194</v>
      </c>
      <c r="V22" s="87">
        <v>5.3968191961160583</v>
      </c>
      <c r="W22" s="87">
        <v>9.511242819747233</v>
      </c>
      <c r="X22" s="87">
        <v>9.6366861767032894</v>
      </c>
      <c r="Y22" s="87">
        <v>6.6666932515839896</v>
      </c>
      <c r="DA22" s="171" t="s">
        <v>1043</v>
      </c>
    </row>
    <row r="23" spans="1:105" ht="11.45" customHeight="1" x14ac:dyDescent="0.25">
      <c r="A23" s="85" t="s">
        <v>93</v>
      </c>
      <c r="B23" s="88">
        <v>9.1422078202319099</v>
      </c>
      <c r="C23" s="88">
        <v>11.042672727816342</v>
      </c>
      <c r="D23" s="88">
        <v>19.52540616227585</v>
      </c>
      <c r="E23" s="88">
        <v>21.416452247312272</v>
      </c>
      <c r="F23" s="88">
        <v>22.525380549144234</v>
      </c>
      <c r="G23" s="88">
        <v>17.932684096689613</v>
      </c>
      <c r="H23" s="88">
        <v>15.040896206814526</v>
      </c>
      <c r="I23" s="88">
        <v>18.417551367818902</v>
      </c>
      <c r="J23" s="88">
        <v>16.021179832147372</v>
      </c>
      <c r="K23" s="88">
        <v>13.156670300571234</v>
      </c>
      <c r="L23" s="88">
        <v>15.148022739064544</v>
      </c>
      <c r="M23" s="88">
        <v>20.912333707382025</v>
      </c>
      <c r="N23" s="88">
        <v>20.101849029191776</v>
      </c>
      <c r="O23" s="88">
        <v>19.194120825888248</v>
      </c>
      <c r="P23" s="88">
        <v>16.730948712371514</v>
      </c>
      <c r="Q23" s="88">
        <v>19.661949363295822</v>
      </c>
      <c r="R23" s="88">
        <v>18.824051314412216</v>
      </c>
      <c r="S23" s="88">
        <v>20.023088417207056</v>
      </c>
      <c r="T23" s="88">
        <v>19.622030667000843</v>
      </c>
      <c r="U23" s="88">
        <v>19.571323920351904</v>
      </c>
      <c r="V23" s="88">
        <v>20.630154965024975</v>
      </c>
      <c r="W23" s="88">
        <v>24.909437452611556</v>
      </c>
      <c r="X23" s="88">
        <v>19.527223081984058</v>
      </c>
      <c r="Y23" s="88">
        <v>8.4911970717723815</v>
      </c>
      <c r="DA23" s="178" t="s">
        <v>1044</v>
      </c>
    </row>
    <row r="24" spans="1:105" x14ac:dyDescent="0.25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14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DA24" s="171"/>
    </row>
    <row r="25" spans="1:105" ht="11.45" customHeight="1" x14ac:dyDescent="0.25">
      <c r="A25" s="53" t="s">
        <v>97</v>
      </c>
      <c r="B25" s="62">
        <f t="shared" ref="B25" si="21">B26+B32</f>
        <v>1167.82978</v>
      </c>
      <c r="C25" s="62">
        <f t="shared" ref="C25:V25" si="22">C26+C32</f>
        <v>1151.3055690000001</v>
      </c>
      <c r="D25" s="62">
        <f t="shared" si="22"/>
        <v>1285.529266</v>
      </c>
      <c r="E25" s="62">
        <f t="shared" si="22"/>
        <v>1222.8088359999999</v>
      </c>
      <c r="F25" s="62">
        <f t="shared" si="22"/>
        <v>1281.483839</v>
      </c>
      <c r="G25" s="62">
        <f t="shared" si="22"/>
        <v>1278.44586</v>
      </c>
      <c r="H25" s="62">
        <f t="shared" si="22"/>
        <v>1253.3518119999999</v>
      </c>
      <c r="I25" s="62">
        <f t="shared" si="22"/>
        <v>1373.6474230000001</v>
      </c>
      <c r="J25" s="62">
        <f t="shared" si="22"/>
        <v>1373.8945839999999</v>
      </c>
      <c r="K25" s="62">
        <f t="shared" si="22"/>
        <v>1357.5179059999998</v>
      </c>
      <c r="L25" s="62">
        <f t="shared" si="22"/>
        <v>1388.52584</v>
      </c>
      <c r="M25" s="62">
        <f t="shared" si="22"/>
        <v>1515.0122820000001</v>
      </c>
      <c r="N25" s="62">
        <f t="shared" si="22"/>
        <v>1571.8326130000003</v>
      </c>
      <c r="O25" s="62">
        <f t="shared" si="22"/>
        <v>1537.3366529999998</v>
      </c>
      <c r="P25" s="62">
        <f t="shared" si="22"/>
        <v>1472.263009</v>
      </c>
      <c r="Q25" s="62">
        <f t="shared" si="22"/>
        <v>1450.3213740000001</v>
      </c>
      <c r="R25" s="62">
        <f t="shared" si="22"/>
        <v>1340.0458960000001</v>
      </c>
      <c r="S25" s="62">
        <f t="shared" si="22"/>
        <v>1312.5758169999999</v>
      </c>
      <c r="T25" s="62">
        <f t="shared" si="22"/>
        <v>1202.8223820000001</v>
      </c>
      <c r="U25" s="62">
        <f t="shared" si="22"/>
        <v>1212.6015399999999</v>
      </c>
      <c r="V25" s="62">
        <f t="shared" si="22"/>
        <v>1126.2492219999999</v>
      </c>
      <c r="W25" s="62">
        <f t="shared" ref="W25:Y25" si="23">W26+W32</f>
        <v>1162.093963</v>
      </c>
      <c r="X25" s="62">
        <f t="shared" si="23"/>
        <v>1217.9493150000001</v>
      </c>
      <c r="Y25" s="62">
        <f t="shared" si="23"/>
        <v>1135.864088</v>
      </c>
      <c r="DA25" s="172" t="s">
        <v>1045</v>
      </c>
    </row>
    <row r="26" spans="1:105" ht="11.45" customHeight="1" x14ac:dyDescent="0.25">
      <c r="A26" s="27" t="s">
        <v>33</v>
      </c>
      <c r="B26" s="29">
        <f t="shared" ref="B26" si="24">SUM(B27,B28,B31)</f>
        <v>1060.022586</v>
      </c>
      <c r="C26" s="29">
        <f t="shared" ref="C26:V26" si="25">SUM(C27,C28,C31)</f>
        <v>1040.2056660000001</v>
      </c>
      <c r="D26" s="29">
        <f t="shared" si="25"/>
        <v>1133.136923</v>
      </c>
      <c r="E26" s="29">
        <f t="shared" si="25"/>
        <v>1067.170877</v>
      </c>
      <c r="F26" s="29">
        <f t="shared" si="25"/>
        <v>1126.5108540000001</v>
      </c>
      <c r="G26" s="29">
        <f t="shared" si="25"/>
        <v>1134.253594</v>
      </c>
      <c r="H26" s="29">
        <f t="shared" si="25"/>
        <v>1119.940265</v>
      </c>
      <c r="I26" s="29">
        <f t="shared" si="25"/>
        <v>1227.9206770000001</v>
      </c>
      <c r="J26" s="29">
        <f t="shared" si="25"/>
        <v>1237.5096409999999</v>
      </c>
      <c r="K26" s="29">
        <f t="shared" si="25"/>
        <v>1231.9136819999999</v>
      </c>
      <c r="L26" s="29">
        <f t="shared" si="25"/>
        <v>1272.508225</v>
      </c>
      <c r="M26" s="29">
        <f t="shared" si="25"/>
        <v>1364.2821370000001</v>
      </c>
      <c r="N26" s="29">
        <f t="shared" si="25"/>
        <v>1430.2226420000002</v>
      </c>
      <c r="O26" s="29">
        <f t="shared" si="25"/>
        <v>1402.9476669999999</v>
      </c>
      <c r="P26" s="29">
        <f t="shared" si="25"/>
        <v>1348.6547419999999</v>
      </c>
      <c r="Q26" s="29">
        <f t="shared" si="25"/>
        <v>1316.807303</v>
      </c>
      <c r="R26" s="29">
        <f t="shared" si="25"/>
        <v>1210.8050450000001</v>
      </c>
      <c r="S26" s="29">
        <f t="shared" si="25"/>
        <v>1181.154082</v>
      </c>
      <c r="T26" s="29">
        <f t="shared" si="25"/>
        <v>1075.151824</v>
      </c>
      <c r="U26" s="29">
        <f t="shared" si="25"/>
        <v>1077.6607899999999</v>
      </c>
      <c r="V26" s="29">
        <f t="shared" si="25"/>
        <v>992.22393199999999</v>
      </c>
      <c r="W26" s="29">
        <f t="shared" ref="W26:Y26" si="26">SUM(W27,W28,W31)</f>
        <v>989.99055999999996</v>
      </c>
      <c r="X26" s="29">
        <f t="shared" si="26"/>
        <v>1049.7898</v>
      </c>
      <c r="Y26" s="29">
        <f t="shared" si="26"/>
        <v>978.48529199999996</v>
      </c>
      <c r="DA26" s="173" t="s">
        <v>1046</v>
      </c>
    </row>
    <row r="27" spans="1:105" ht="11.45" customHeight="1" x14ac:dyDescent="0.25">
      <c r="A27" s="107" t="s">
        <v>23</v>
      </c>
      <c r="B27" s="115">
        <v>636.81793100000004</v>
      </c>
      <c r="C27" s="115">
        <v>636.81793100000004</v>
      </c>
      <c r="D27" s="115">
        <v>636.81793100000004</v>
      </c>
      <c r="E27" s="115">
        <v>613.17235000000005</v>
      </c>
      <c r="F27" s="115">
        <v>657.20088099999998</v>
      </c>
      <c r="G27" s="115">
        <v>707.26408600000002</v>
      </c>
      <c r="H27" s="115">
        <v>735.27122199999997</v>
      </c>
      <c r="I27" s="115">
        <v>762.73996</v>
      </c>
      <c r="J27" s="115">
        <v>789.34989199999995</v>
      </c>
      <c r="K27" s="115">
        <v>826.07439799999997</v>
      </c>
      <c r="L27" s="115">
        <v>848.04504199999997</v>
      </c>
      <c r="M27" s="115">
        <v>865.73162100000002</v>
      </c>
      <c r="N27" s="115">
        <v>943.68063500000005</v>
      </c>
      <c r="O27" s="115">
        <v>956.74250199999994</v>
      </c>
      <c r="P27" s="115">
        <v>944.77004199999999</v>
      </c>
      <c r="Q27" s="115">
        <v>881.08824900000002</v>
      </c>
      <c r="R27" s="115">
        <v>817.40645600000005</v>
      </c>
      <c r="S27" s="115">
        <v>753.72466299999996</v>
      </c>
      <c r="T27" s="115">
        <v>690.04286999999999</v>
      </c>
      <c r="U27" s="115">
        <v>626.36107700000002</v>
      </c>
      <c r="V27" s="115">
        <v>564.00656200000003</v>
      </c>
      <c r="W27" s="115">
        <v>551.58875799999998</v>
      </c>
      <c r="X27" s="115">
        <v>653.70846300000005</v>
      </c>
      <c r="Y27" s="115">
        <v>590.02666999999997</v>
      </c>
      <c r="DA27" s="203" t="s">
        <v>1047</v>
      </c>
    </row>
    <row r="28" spans="1:105" ht="11.45" customHeight="1" x14ac:dyDescent="0.25">
      <c r="A28" s="109" t="s">
        <v>24</v>
      </c>
      <c r="B28" s="116">
        <f t="shared" ref="B28" si="27">SUM(B29:B30)</f>
        <v>423.204655</v>
      </c>
      <c r="C28" s="116">
        <f t="shared" ref="C28:V28" si="28">SUM(C29:C30)</f>
        <v>403.38773500000002</v>
      </c>
      <c r="D28" s="116">
        <f t="shared" si="28"/>
        <v>496.31899199999998</v>
      </c>
      <c r="E28" s="116">
        <f t="shared" si="28"/>
        <v>453.99852700000002</v>
      </c>
      <c r="F28" s="116">
        <f t="shared" si="28"/>
        <v>469.30997300000001</v>
      </c>
      <c r="G28" s="116">
        <f t="shared" si="28"/>
        <v>426.989508</v>
      </c>
      <c r="H28" s="116">
        <f t="shared" si="28"/>
        <v>384.66904299999999</v>
      </c>
      <c r="I28" s="116">
        <f t="shared" si="28"/>
        <v>465.18071699999996</v>
      </c>
      <c r="J28" s="116">
        <f t="shared" si="28"/>
        <v>448.15974899999998</v>
      </c>
      <c r="K28" s="116">
        <f t="shared" si="28"/>
        <v>405.83928400000002</v>
      </c>
      <c r="L28" s="116">
        <f t="shared" si="28"/>
        <v>424.46318300000001</v>
      </c>
      <c r="M28" s="116">
        <f t="shared" si="28"/>
        <v>498.55051600000002</v>
      </c>
      <c r="N28" s="116">
        <f t="shared" si="28"/>
        <v>486.54200700000001</v>
      </c>
      <c r="O28" s="116">
        <f t="shared" si="28"/>
        <v>446.20516500000002</v>
      </c>
      <c r="P28" s="116">
        <f t="shared" si="28"/>
        <v>403.88469999999995</v>
      </c>
      <c r="Q28" s="116">
        <f t="shared" si="28"/>
        <v>435.71905400000003</v>
      </c>
      <c r="R28" s="116">
        <f t="shared" si="28"/>
        <v>393.39858900000002</v>
      </c>
      <c r="S28" s="116">
        <f t="shared" si="28"/>
        <v>427.429419</v>
      </c>
      <c r="T28" s="116">
        <f t="shared" si="28"/>
        <v>385.10895399999998</v>
      </c>
      <c r="U28" s="116">
        <f t="shared" si="28"/>
        <v>451.299713</v>
      </c>
      <c r="V28" s="116">
        <f t="shared" si="28"/>
        <v>428.21736999999996</v>
      </c>
      <c r="W28" s="116">
        <f t="shared" ref="W28:Y28" si="29">SUM(W29:W30)</f>
        <v>438.40180199999998</v>
      </c>
      <c r="X28" s="116">
        <f t="shared" si="29"/>
        <v>396.08133699999996</v>
      </c>
      <c r="Y28" s="116">
        <f t="shared" si="29"/>
        <v>388.45862199999999</v>
      </c>
      <c r="DA28" s="176" t="s">
        <v>1048</v>
      </c>
    </row>
    <row r="29" spans="1:105" ht="11.45" customHeight="1" x14ac:dyDescent="0.25">
      <c r="A29" s="111" t="s">
        <v>92</v>
      </c>
      <c r="B29" s="87">
        <v>366.34619099999998</v>
      </c>
      <c r="C29" s="87">
        <v>329.71157199999999</v>
      </c>
      <c r="D29" s="87">
        <v>293.076953</v>
      </c>
      <c r="E29" s="87">
        <v>256.44233400000002</v>
      </c>
      <c r="F29" s="87">
        <v>277.43962599999998</v>
      </c>
      <c r="G29" s="87">
        <v>240.80500699999999</v>
      </c>
      <c r="H29" s="87">
        <v>204.170388</v>
      </c>
      <c r="I29" s="87">
        <v>290.367908</v>
      </c>
      <c r="J29" s="87">
        <v>279.03278599999999</v>
      </c>
      <c r="K29" s="87">
        <v>242.398167</v>
      </c>
      <c r="L29" s="87">
        <v>266.70791200000002</v>
      </c>
      <c r="M29" s="87">
        <v>346.48109099999999</v>
      </c>
      <c r="N29" s="87">
        <v>330.43219199999999</v>
      </c>
      <c r="O29" s="87">
        <v>295.78119600000002</v>
      </c>
      <c r="P29" s="87">
        <v>259.14657699999998</v>
      </c>
      <c r="Q29" s="87">
        <v>222.51195799999999</v>
      </c>
      <c r="R29" s="87">
        <v>185.87733900000001</v>
      </c>
      <c r="S29" s="87">
        <v>209.15536</v>
      </c>
      <c r="T29" s="87">
        <v>172.52074099999999</v>
      </c>
      <c r="U29" s="87">
        <v>230.635257</v>
      </c>
      <c r="V29" s="87">
        <v>213.23875999999998</v>
      </c>
      <c r="W29" s="87">
        <v>208.52904899999999</v>
      </c>
      <c r="X29" s="87">
        <v>171.89443</v>
      </c>
      <c r="Y29" s="87">
        <v>169.957561</v>
      </c>
      <c r="DA29" s="171" t="s">
        <v>1049</v>
      </c>
    </row>
    <row r="30" spans="1:105" ht="11.45" customHeight="1" x14ac:dyDescent="0.25">
      <c r="A30" s="111" t="s">
        <v>93</v>
      </c>
      <c r="B30" s="87">
        <v>56.858463999999998</v>
      </c>
      <c r="C30" s="87">
        <v>73.676163000000003</v>
      </c>
      <c r="D30" s="87">
        <v>203.24203900000001</v>
      </c>
      <c r="E30" s="87">
        <v>197.55619300000001</v>
      </c>
      <c r="F30" s="87">
        <v>191.87034700000001</v>
      </c>
      <c r="G30" s="87">
        <v>186.18450100000001</v>
      </c>
      <c r="H30" s="87">
        <v>180.49865499999999</v>
      </c>
      <c r="I30" s="87">
        <v>174.81280899999999</v>
      </c>
      <c r="J30" s="87">
        <v>169.12696299999999</v>
      </c>
      <c r="K30" s="87">
        <v>163.44111699999999</v>
      </c>
      <c r="L30" s="87">
        <v>157.75527099999999</v>
      </c>
      <c r="M30" s="87">
        <v>152.069425</v>
      </c>
      <c r="N30" s="87">
        <v>156.109815</v>
      </c>
      <c r="O30" s="87">
        <v>150.423969</v>
      </c>
      <c r="P30" s="87">
        <v>144.738123</v>
      </c>
      <c r="Q30" s="87">
        <v>213.20709600000001</v>
      </c>
      <c r="R30" s="87">
        <v>207.52125000000001</v>
      </c>
      <c r="S30" s="87">
        <v>218.27405899999999</v>
      </c>
      <c r="T30" s="87">
        <v>212.588213</v>
      </c>
      <c r="U30" s="87">
        <v>220.664456</v>
      </c>
      <c r="V30" s="87">
        <v>214.97861</v>
      </c>
      <c r="W30" s="87">
        <v>229.87275299999999</v>
      </c>
      <c r="X30" s="87">
        <v>224.18690699999999</v>
      </c>
      <c r="Y30" s="87">
        <v>218.50106099999999</v>
      </c>
      <c r="DA30" s="171" t="s">
        <v>1050</v>
      </c>
    </row>
    <row r="31" spans="1:105" ht="11.45" customHeight="1" x14ac:dyDescent="0.25">
      <c r="A31" s="112" t="s">
        <v>25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  <c r="O31" s="117">
        <v>0</v>
      </c>
      <c r="P31" s="117">
        <v>0</v>
      </c>
      <c r="Q31" s="117">
        <v>0</v>
      </c>
      <c r="R31" s="117">
        <v>0</v>
      </c>
      <c r="S31" s="117">
        <v>0</v>
      </c>
      <c r="T31" s="117">
        <v>0</v>
      </c>
      <c r="U31" s="117">
        <v>0</v>
      </c>
      <c r="V31" s="117">
        <v>0</v>
      </c>
      <c r="W31" s="117">
        <v>0</v>
      </c>
      <c r="X31" s="117">
        <v>0</v>
      </c>
      <c r="Y31" s="117">
        <v>0</v>
      </c>
      <c r="DA31" s="204" t="s">
        <v>1051</v>
      </c>
    </row>
    <row r="32" spans="1:105" ht="11.45" customHeight="1" x14ac:dyDescent="0.25">
      <c r="A32" s="27" t="s">
        <v>34</v>
      </c>
      <c r="B32" s="29">
        <f t="shared" ref="B32" si="30">SUM(B33:B34)</f>
        <v>107.807194</v>
      </c>
      <c r="C32" s="29">
        <f t="shared" ref="C32:V32" si="31">SUM(C33:C34)</f>
        <v>111.099903</v>
      </c>
      <c r="D32" s="29">
        <f t="shared" si="31"/>
        <v>152.39234299999998</v>
      </c>
      <c r="E32" s="29">
        <f t="shared" si="31"/>
        <v>155.637959</v>
      </c>
      <c r="F32" s="29">
        <f t="shared" si="31"/>
        <v>154.97298499999999</v>
      </c>
      <c r="G32" s="29">
        <f t="shared" si="31"/>
        <v>144.19226599999999</v>
      </c>
      <c r="H32" s="29">
        <f t="shared" si="31"/>
        <v>133.41154700000001</v>
      </c>
      <c r="I32" s="29">
        <f t="shared" si="31"/>
        <v>145.72674599999999</v>
      </c>
      <c r="J32" s="29">
        <f t="shared" si="31"/>
        <v>136.38494299999999</v>
      </c>
      <c r="K32" s="29">
        <f t="shared" si="31"/>
        <v>125.60422399999999</v>
      </c>
      <c r="L32" s="29">
        <f t="shared" si="31"/>
        <v>116.01761499999999</v>
      </c>
      <c r="M32" s="29">
        <f t="shared" si="31"/>
        <v>150.73014499999999</v>
      </c>
      <c r="N32" s="29">
        <f t="shared" si="31"/>
        <v>141.609971</v>
      </c>
      <c r="O32" s="29">
        <f t="shared" si="31"/>
        <v>134.38898599999999</v>
      </c>
      <c r="P32" s="29">
        <f t="shared" si="31"/>
        <v>123.608267</v>
      </c>
      <c r="Q32" s="29">
        <f t="shared" si="31"/>
        <v>133.514071</v>
      </c>
      <c r="R32" s="29">
        <f t="shared" si="31"/>
        <v>129.24085099999999</v>
      </c>
      <c r="S32" s="29">
        <f t="shared" si="31"/>
        <v>131.42173500000001</v>
      </c>
      <c r="T32" s="29">
        <f t="shared" si="31"/>
        <v>127.670558</v>
      </c>
      <c r="U32" s="29">
        <f t="shared" si="31"/>
        <v>134.94074999999998</v>
      </c>
      <c r="V32" s="29">
        <f t="shared" si="31"/>
        <v>134.02528999999998</v>
      </c>
      <c r="W32" s="29">
        <f t="shared" ref="W32:Y32" si="32">SUM(W33:W34)</f>
        <v>172.10340299999999</v>
      </c>
      <c r="X32" s="29">
        <f t="shared" si="32"/>
        <v>168.159515</v>
      </c>
      <c r="Y32" s="29">
        <f t="shared" si="32"/>
        <v>157.37879599999999</v>
      </c>
      <c r="DA32" s="173" t="s">
        <v>1052</v>
      </c>
    </row>
    <row r="33" spans="1:105" ht="11.45" customHeight="1" x14ac:dyDescent="0.25">
      <c r="A33" s="83" t="s">
        <v>92</v>
      </c>
      <c r="B33" s="87">
        <v>62.096153999999999</v>
      </c>
      <c r="C33" s="87">
        <v>55.886538999999999</v>
      </c>
      <c r="D33" s="87">
        <v>54.765311999999994</v>
      </c>
      <c r="E33" s="87">
        <v>48.555696999999995</v>
      </c>
      <c r="F33" s="87">
        <v>42.346081999999996</v>
      </c>
      <c r="G33" s="87">
        <v>36.136466999999996</v>
      </c>
      <c r="H33" s="87">
        <v>29.926852</v>
      </c>
      <c r="I33" s="87">
        <v>46.813154999999995</v>
      </c>
      <c r="J33" s="87">
        <v>42.042455999999994</v>
      </c>
      <c r="K33" s="87">
        <v>35.832840999999995</v>
      </c>
      <c r="L33" s="87">
        <v>30.817336000000001</v>
      </c>
      <c r="M33" s="87">
        <v>46.168475999999998</v>
      </c>
      <c r="N33" s="87">
        <v>41.100724999999997</v>
      </c>
      <c r="O33" s="87">
        <v>38.418380999999997</v>
      </c>
      <c r="P33" s="87">
        <v>32.208765999999997</v>
      </c>
      <c r="Q33" s="87">
        <v>35.204324</v>
      </c>
      <c r="R33" s="87">
        <v>35.120593999999997</v>
      </c>
      <c r="S33" s="87">
        <v>31.306292000000003</v>
      </c>
      <c r="T33" s="87">
        <v>29.560404000000002</v>
      </c>
      <c r="U33" s="87">
        <v>37.084129999999995</v>
      </c>
      <c r="V33" s="87">
        <v>30.874515000000002</v>
      </c>
      <c r="W33" s="87">
        <v>47.556214999999995</v>
      </c>
      <c r="X33" s="87">
        <v>48.183430999999999</v>
      </c>
      <c r="Y33" s="87">
        <v>41.973815999999999</v>
      </c>
      <c r="DA33" s="171" t="s">
        <v>1053</v>
      </c>
    </row>
    <row r="34" spans="1:105" ht="11.45" customHeight="1" x14ac:dyDescent="0.25">
      <c r="A34" s="85" t="s">
        <v>93</v>
      </c>
      <c r="B34" s="88">
        <v>45.711039999999997</v>
      </c>
      <c r="C34" s="88">
        <v>55.213363999999999</v>
      </c>
      <c r="D34" s="88">
        <v>97.627031000000002</v>
      </c>
      <c r="E34" s="88">
        <v>107.082262</v>
      </c>
      <c r="F34" s="88">
        <v>112.626903</v>
      </c>
      <c r="G34" s="88">
        <v>108.05579899999999</v>
      </c>
      <c r="H34" s="88">
        <v>103.484695</v>
      </c>
      <c r="I34" s="88">
        <v>98.913590999999997</v>
      </c>
      <c r="J34" s="88">
        <v>94.342487000000006</v>
      </c>
      <c r="K34" s="88">
        <v>89.771383</v>
      </c>
      <c r="L34" s="88">
        <v>85.200278999999995</v>
      </c>
      <c r="M34" s="88">
        <v>104.56166899999999</v>
      </c>
      <c r="N34" s="88">
        <v>100.509246</v>
      </c>
      <c r="O34" s="88">
        <v>95.970604999999992</v>
      </c>
      <c r="P34" s="88">
        <v>91.399501000000001</v>
      </c>
      <c r="Q34" s="88">
        <v>98.309747000000002</v>
      </c>
      <c r="R34" s="88">
        <v>94.120256999999995</v>
      </c>
      <c r="S34" s="88">
        <v>100.115443</v>
      </c>
      <c r="T34" s="88">
        <v>98.110153999999994</v>
      </c>
      <c r="U34" s="88">
        <v>97.856619999999992</v>
      </c>
      <c r="V34" s="88">
        <v>103.150775</v>
      </c>
      <c r="W34" s="88">
        <v>124.54718799999999</v>
      </c>
      <c r="X34" s="88">
        <v>119.976084</v>
      </c>
      <c r="Y34" s="88">
        <v>115.40497999999999</v>
      </c>
      <c r="DA34" s="178" t="s">
        <v>1054</v>
      </c>
    </row>
    <row r="35" spans="1:105" x14ac:dyDescent="0.2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14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DA35" s="171"/>
    </row>
    <row r="36" spans="1:105" ht="11.45" customHeight="1" x14ac:dyDescent="0.25">
      <c r="A36" s="53" t="s">
        <v>98</v>
      </c>
      <c r="B36" s="54"/>
      <c r="C36" s="54">
        <f t="shared" ref="C36" si="33">C37+C43</f>
        <v>51.492767999999998</v>
      </c>
      <c r="D36" s="54">
        <f t="shared" ref="D36:V36" si="34">D37+D43</f>
        <v>198.26652299999998</v>
      </c>
      <c r="E36" s="54">
        <f t="shared" si="34"/>
        <v>11.295676999999998</v>
      </c>
      <c r="F36" s="54">
        <f t="shared" si="34"/>
        <v>104.62856099999988</v>
      </c>
      <c r="G36" s="54">
        <f t="shared" si="34"/>
        <v>71.290470000000028</v>
      </c>
      <c r="H36" s="54">
        <f t="shared" si="34"/>
        <v>49.234400999999934</v>
      </c>
      <c r="I36" s="54">
        <f t="shared" si="34"/>
        <v>165.005674</v>
      </c>
      <c r="J36" s="54">
        <f t="shared" si="34"/>
        <v>47.837196999999946</v>
      </c>
      <c r="K36" s="54">
        <f t="shared" si="34"/>
        <v>57.951771000000008</v>
      </c>
      <c r="L36" s="54">
        <f t="shared" si="34"/>
        <v>78.498040000000003</v>
      </c>
      <c r="M36" s="54">
        <f t="shared" si="34"/>
        <v>168.465847</v>
      </c>
      <c r="N36" s="54">
        <f t="shared" si="34"/>
        <v>105.32170300000001</v>
      </c>
      <c r="O36" s="54">
        <f t="shared" si="34"/>
        <v>34.289131999999881</v>
      </c>
      <c r="P36" s="54">
        <f t="shared" si="34"/>
        <v>9.254805000000033</v>
      </c>
      <c r="Q36" s="54">
        <f t="shared" si="34"/>
        <v>84.555718999999996</v>
      </c>
      <c r="R36" s="54">
        <f t="shared" si="34"/>
        <v>2.1517319999999955</v>
      </c>
      <c r="S36" s="54">
        <f t="shared" si="34"/>
        <v>54.961881999999974</v>
      </c>
      <c r="T36" s="54">
        <f t="shared" si="34"/>
        <v>0.48957400000000106</v>
      </c>
      <c r="U36" s="54">
        <f t="shared" si="34"/>
        <v>90.632278999999997</v>
      </c>
      <c r="V36" s="54">
        <f t="shared" si="34"/>
        <v>7.1346010000000035</v>
      </c>
      <c r="W36" s="54">
        <f t="shared" ref="W36:Y36" si="35">W37+W43</f>
        <v>74.243333999999905</v>
      </c>
      <c r="X36" s="54">
        <f t="shared" si="35"/>
        <v>126.20964800000006</v>
      </c>
      <c r="Y36" s="54">
        <f t="shared" si="35"/>
        <v>9.0535169999999994</v>
      </c>
      <c r="DA36" s="172" t="s">
        <v>1055</v>
      </c>
    </row>
    <row r="37" spans="1:105" ht="11.45" customHeight="1" x14ac:dyDescent="0.25">
      <c r="A37" s="27" t="s">
        <v>33</v>
      </c>
      <c r="B37" s="28"/>
      <c r="C37" s="28">
        <f t="shared" ref="C37" si="36">SUM(C38,C39,C42)</f>
        <v>40.149997999999997</v>
      </c>
      <c r="D37" s="28">
        <f t="shared" ref="D37:V37" si="37">SUM(D38,D39,D42)</f>
        <v>152.89817499999998</v>
      </c>
      <c r="E37" s="28">
        <f t="shared" si="37"/>
        <v>0</v>
      </c>
      <c r="F37" s="28">
        <f t="shared" si="37"/>
        <v>97.243473999999878</v>
      </c>
      <c r="G37" s="28">
        <f t="shared" si="37"/>
        <v>71.290470000000028</v>
      </c>
      <c r="H37" s="28">
        <f t="shared" si="37"/>
        <v>49.234400999999934</v>
      </c>
      <c r="I37" s="28">
        <f t="shared" si="37"/>
        <v>145.88390900000002</v>
      </c>
      <c r="J37" s="28">
        <f t="shared" si="37"/>
        <v>47.837196999999946</v>
      </c>
      <c r="K37" s="28">
        <f t="shared" si="37"/>
        <v>57.951771000000008</v>
      </c>
      <c r="L37" s="28">
        <f t="shared" si="37"/>
        <v>78.498040000000003</v>
      </c>
      <c r="M37" s="28">
        <f t="shared" si="37"/>
        <v>129.67740900000001</v>
      </c>
      <c r="N37" s="28">
        <f t="shared" si="37"/>
        <v>105.32170300000001</v>
      </c>
      <c r="O37" s="28">
        <f t="shared" si="37"/>
        <v>34.289131999999881</v>
      </c>
      <c r="P37" s="28">
        <f t="shared" si="37"/>
        <v>9.254805000000033</v>
      </c>
      <c r="Q37" s="28">
        <f t="shared" si="37"/>
        <v>70.574006999999995</v>
      </c>
      <c r="R37" s="28">
        <f t="shared" si="37"/>
        <v>0</v>
      </c>
      <c r="S37" s="28">
        <f t="shared" si="37"/>
        <v>47.12624999999997</v>
      </c>
      <c r="T37" s="28">
        <f t="shared" si="37"/>
        <v>0</v>
      </c>
      <c r="U37" s="28">
        <f t="shared" si="37"/>
        <v>79.286179000000004</v>
      </c>
      <c r="V37" s="28">
        <f t="shared" si="37"/>
        <v>0</v>
      </c>
      <c r="W37" s="28">
        <f t="shared" ref="W37:Y37" si="38">SUM(W38,W39,W42)</f>
        <v>32.089312999999919</v>
      </c>
      <c r="X37" s="28">
        <f t="shared" si="38"/>
        <v>123.34697000000006</v>
      </c>
      <c r="Y37" s="28">
        <f t="shared" si="38"/>
        <v>9.0535169999999994</v>
      </c>
      <c r="DA37" s="173" t="s">
        <v>1056</v>
      </c>
    </row>
    <row r="38" spans="1:105" ht="11.45" customHeight="1" x14ac:dyDescent="0.25">
      <c r="A38" s="107" t="s">
        <v>23</v>
      </c>
      <c r="B38" s="108"/>
      <c r="C38" s="108">
        <v>21.227264999999989</v>
      </c>
      <c r="D38" s="108">
        <v>21.227264999999989</v>
      </c>
      <c r="E38" s="108">
        <v>0</v>
      </c>
      <c r="F38" s="108">
        <v>65.255795999999918</v>
      </c>
      <c r="G38" s="108">
        <v>71.290470000000028</v>
      </c>
      <c r="H38" s="108">
        <v>49.234400999999934</v>
      </c>
      <c r="I38" s="108">
        <v>48.696003000000019</v>
      </c>
      <c r="J38" s="108">
        <v>47.837196999999946</v>
      </c>
      <c r="K38" s="108">
        <v>57.951771000000008</v>
      </c>
      <c r="L38" s="108">
        <v>43.197908999999981</v>
      </c>
      <c r="M38" s="108">
        <v>38.91384400000004</v>
      </c>
      <c r="N38" s="108">
        <v>99.176279000000022</v>
      </c>
      <c r="O38" s="108">
        <v>34.289131999999881</v>
      </c>
      <c r="P38" s="108">
        <v>9.254805000000033</v>
      </c>
      <c r="Q38" s="108">
        <v>0</v>
      </c>
      <c r="R38" s="108">
        <v>0</v>
      </c>
      <c r="S38" s="108">
        <v>0</v>
      </c>
      <c r="T38" s="108">
        <v>0</v>
      </c>
      <c r="U38" s="108">
        <v>0</v>
      </c>
      <c r="V38" s="108">
        <v>0</v>
      </c>
      <c r="W38" s="108">
        <v>8.809460999999942</v>
      </c>
      <c r="X38" s="108">
        <v>123.34697000000006</v>
      </c>
      <c r="Y38" s="108">
        <v>0</v>
      </c>
      <c r="DA38" s="203" t="s">
        <v>1057</v>
      </c>
    </row>
    <row r="39" spans="1:105" ht="11.45" customHeight="1" x14ac:dyDescent="0.25">
      <c r="A39" s="109" t="s">
        <v>24</v>
      </c>
      <c r="B39" s="110"/>
      <c r="C39" s="110">
        <f t="shared" ref="C39" si="39">SUM(C40:C41)</f>
        <v>18.922733000000008</v>
      </c>
      <c r="D39" s="110">
        <f t="shared" ref="D39:V39" si="40">SUM(D40:D41)</f>
        <v>131.67090999999999</v>
      </c>
      <c r="E39" s="110">
        <f t="shared" si="40"/>
        <v>0</v>
      </c>
      <c r="F39" s="110">
        <f t="shared" si="40"/>
        <v>31.98767799999996</v>
      </c>
      <c r="G39" s="110">
        <f t="shared" si="40"/>
        <v>0</v>
      </c>
      <c r="H39" s="110">
        <f t="shared" si="40"/>
        <v>0</v>
      </c>
      <c r="I39" s="110">
        <f t="shared" si="40"/>
        <v>97.187905999999998</v>
      </c>
      <c r="J39" s="110">
        <f t="shared" si="40"/>
        <v>0</v>
      </c>
      <c r="K39" s="110">
        <f t="shared" si="40"/>
        <v>0</v>
      </c>
      <c r="L39" s="110">
        <f t="shared" si="40"/>
        <v>35.300131000000022</v>
      </c>
      <c r="M39" s="110">
        <f t="shared" si="40"/>
        <v>90.763564999999971</v>
      </c>
      <c r="N39" s="110">
        <f t="shared" si="40"/>
        <v>6.1454239999999913</v>
      </c>
      <c r="O39" s="110">
        <f t="shared" si="40"/>
        <v>0</v>
      </c>
      <c r="P39" s="110">
        <f t="shared" si="40"/>
        <v>0</v>
      </c>
      <c r="Q39" s="110">
        <f t="shared" si="40"/>
        <v>70.574006999999995</v>
      </c>
      <c r="R39" s="110">
        <f t="shared" si="40"/>
        <v>0</v>
      </c>
      <c r="S39" s="110">
        <f t="shared" si="40"/>
        <v>47.12624999999997</v>
      </c>
      <c r="T39" s="110">
        <f t="shared" si="40"/>
        <v>0</v>
      </c>
      <c r="U39" s="110">
        <f t="shared" si="40"/>
        <v>79.286179000000004</v>
      </c>
      <c r="V39" s="110">
        <f t="shared" si="40"/>
        <v>0</v>
      </c>
      <c r="W39" s="110">
        <f t="shared" ref="W39:Y39" si="41">SUM(W40:W41)</f>
        <v>23.279851999999977</v>
      </c>
      <c r="X39" s="110">
        <f t="shared" si="41"/>
        <v>0</v>
      </c>
      <c r="Y39" s="110">
        <f t="shared" si="41"/>
        <v>9.0535169999999994</v>
      </c>
      <c r="DA39" s="176" t="s">
        <v>1058</v>
      </c>
    </row>
    <row r="40" spans="1:105" ht="11.45" customHeight="1" x14ac:dyDescent="0.25">
      <c r="A40" s="111" t="s">
        <v>92</v>
      </c>
      <c r="B40" s="84"/>
      <c r="C40" s="84">
        <v>0</v>
      </c>
      <c r="D40" s="84">
        <v>0</v>
      </c>
      <c r="E40" s="84">
        <v>0</v>
      </c>
      <c r="F40" s="84">
        <v>31.98767799999996</v>
      </c>
      <c r="G40" s="84">
        <v>0</v>
      </c>
      <c r="H40" s="84">
        <v>0</v>
      </c>
      <c r="I40" s="84">
        <v>97.187905999999998</v>
      </c>
      <c r="J40" s="84">
        <v>0</v>
      </c>
      <c r="K40" s="84">
        <v>0</v>
      </c>
      <c r="L40" s="84">
        <v>35.300131000000022</v>
      </c>
      <c r="M40" s="84">
        <v>90.763564999999971</v>
      </c>
      <c r="N40" s="84">
        <v>0</v>
      </c>
      <c r="O40" s="84">
        <v>0</v>
      </c>
      <c r="P40" s="84">
        <v>0</v>
      </c>
      <c r="Q40" s="84">
        <v>0</v>
      </c>
      <c r="R40" s="84">
        <v>0</v>
      </c>
      <c r="S40" s="84">
        <v>34.268406999999996</v>
      </c>
      <c r="T40" s="84">
        <v>0</v>
      </c>
      <c r="U40" s="84">
        <v>69.10490200000001</v>
      </c>
      <c r="V40" s="84">
        <v>0</v>
      </c>
      <c r="W40" s="84">
        <v>6.2806750000000022</v>
      </c>
      <c r="X40" s="84">
        <v>0</v>
      </c>
      <c r="Y40" s="84">
        <v>9.0535169999999994</v>
      </c>
      <c r="DA40" s="171" t="s">
        <v>1059</v>
      </c>
    </row>
    <row r="41" spans="1:105" ht="11.45" customHeight="1" x14ac:dyDescent="0.25">
      <c r="A41" s="111" t="s">
        <v>93</v>
      </c>
      <c r="B41" s="84"/>
      <c r="C41" s="84">
        <v>18.922733000000008</v>
      </c>
      <c r="D41" s="84">
        <v>131.67090999999999</v>
      </c>
      <c r="E41" s="84">
        <v>0</v>
      </c>
      <c r="F41" s="84">
        <v>0</v>
      </c>
      <c r="G41" s="84">
        <v>0</v>
      </c>
      <c r="H41" s="84">
        <v>0</v>
      </c>
      <c r="I41" s="84">
        <v>0</v>
      </c>
      <c r="J41" s="84">
        <v>0</v>
      </c>
      <c r="K41" s="84">
        <v>0</v>
      </c>
      <c r="L41" s="84">
        <v>0</v>
      </c>
      <c r="M41" s="84">
        <v>0</v>
      </c>
      <c r="N41" s="84">
        <v>6.1454239999999913</v>
      </c>
      <c r="O41" s="84">
        <v>0</v>
      </c>
      <c r="P41" s="84">
        <v>0</v>
      </c>
      <c r="Q41" s="84">
        <v>70.574006999999995</v>
      </c>
      <c r="R41" s="84">
        <v>0</v>
      </c>
      <c r="S41" s="84">
        <v>12.857842999999974</v>
      </c>
      <c r="T41" s="84">
        <v>0</v>
      </c>
      <c r="U41" s="84">
        <v>10.181276999999994</v>
      </c>
      <c r="V41" s="84">
        <v>0</v>
      </c>
      <c r="W41" s="84">
        <v>16.999176999999975</v>
      </c>
      <c r="X41" s="84">
        <v>0</v>
      </c>
      <c r="Y41" s="84">
        <v>0</v>
      </c>
      <c r="DA41" s="171" t="s">
        <v>1060</v>
      </c>
    </row>
    <row r="42" spans="1:105" ht="11.45" customHeight="1" x14ac:dyDescent="0.25">
      <c r="A42" s="112" t="s">
        <v>25</v>
      </c>
      <c r="B42" s="113"/>
      <c r="C42" s="113">
        <v>0</v>
      </c>
      <c r="D42" s="113">
        <v>0</v>
      </c>
      <c r="E42" s="113">
        <v>0</v>
      </c>
      <c r="F42" s="113">
        <v>0</v>
      </c>
      <c r="G42" s="113">
        <v>0</v>
      </c>
      <c r="H42" s="113">
        <v>0</v>
      </c>
      <c r="I42" s="113">
        <v>0</v>
      </c>
      <c r="J42" s="113">
        <v>0</v>
      </c>
      <c r="K42" s="113">
        <v>0</v>
      </c>
      <c r="L42" s="113">
        <v>0</v>
      </c>
      <c r="M42" s="113">
        <v>0</v>
      </c>
      <c r="N42" s="113">
        <v>0</v>
      </c>
      <c r="O42" s="113">
        <v>0</v>
      </c>
      <c r="P42" s="113">
        <v>0</v>
      </c>
      <c r="Q42" s="113">
        <v>0</v>
      </c>
      <c r="R42" s="113">
        <v>0</v>
      </c>
      <c r="S42" s="113">
        <v>0</v>
      </c>
      <c r="T42" s="113">
        <v>0</v>
      </c>
      <c r="U42" s="113">
        <v>0</v>
      </c>
      <c r="V42" s="113">
        <v>0</v>
      </c>
      <c r="W42" s="113">
        <v>0</v>
      </c>
      <c r="X42" s="113">
        <v>0</v>
      </c>
      <c r="Y42" s="113">
        <v>0</v>
      </c>
      <c r="DA42" s="204" t="s">
        <v>1061</v>
      </c>
    </row>
    <row r="43" spans="1:105" ht="11.45" customHeight="1" x14ac:dyDescent="0.25">
      <c r="A43" s="27" t="s">
        <v>34</v>
      </c>
      <c r="B43" s="28"/>
      <c r="C43" s="28">
        <f t="shared" ref="C43" si="42">SUM(C44:C45)</f>
        <v>11.342770000000002</v>
      </c>
      <c r="D43" s="28">
        <f t="shared" ref="D43:V43" si="43">SUM(D44:D45)</f>
        <v>45.368347999999997</v>
      </c>
      <c r="E43" s="28">
        <f t="shared" si="43"/>
        <v>11.295676999999998</v>
      </c>
      <c r="F43" s="28">
        <f t="shared" si="43"/>
        <v>7.3850869999999986</v>
      </c>
      <c r="G43" s="28">
        <f t="shared" si="43"/>
        <v>0</v>
      </c>
      <c r="H43" s="28">
        <f t="shared" si="43"/>
        <v>0</v>
      </c>
      <c r="I43" s="28">
        <f t="shared" si="43"/>
        <v>19.121764999999993</v>
      </c>
      <c r="J43" s="28">
        <f t="shared" si="43"/>
        <v>0</v>
      </c>
      <c r="K43" s="28">
        <f t="shared" si="43"/>
        <v>0</v>
      </c>
      <c r="L43" s="28">
        <f t="shared" si="43"/>
        <v>0</v>
      </c>
      <c r="M43" s="28">
        <f t="shared" si="43"/>
        <v>38.788437999999999</v>
      </c>
      <c r="N43" s="28">
        <f t="shared" si="43"/>
        <v>0</v>
      </c>
      <c r="O43" s="28">
        <f t="shared" si="43"/>
        <v>0</v>
      </c>
      <c r="P43" s="28">
        <f t="shared" si="43"/>
        <v>0</v>
      </c>
      <c r="Q43" s="28">
        <f t="shared" si="43"/>
        <v>13.981712000000002</v>
      </c>
      <c r="R43" s="28">
        <f t="shared" si="43"/>
        <v>2.1517319999999955</v>
      </c>
      <c r="S43" s="28">
        <f t="shared" si="43"/>
        <v>7.8356320000000039</v>
      </c>
      <c r="T43" s="28">
        <f t="shared" si="43"/>
        <v>0.48957400000000106</v>
      </c>
      <c r="U43" s="28">
        <f t="shared" si="43"/>
        <v>11.346099999999989</v>
      </c>
      <c r="V43" s="28">
        <f t="shared" si="43"/>
        <v>7.1346010000000035</v>
      </c>
      <c r="W43" s="28">
        <f t="shared" ref="W43:Y43" si="44">SUM(W44:W45)</f>
        <v>42.154020999999986</v>
      </c>
      <c r="X43" s="28">
        <f t="shared" si="44"/>
        <v>2.8626780000000025</v>
      </c>
      <c r="Y43" s="28">
        <f t="shared" si="44"/>
        <v>0</v>
      </c>
      <c r="DA43" s="173" t="s">
        <v>1062</v>
      </c>
    </row>
    <row r="44" spans="1:105" ht="11.45" customHeight="1" x14ac:dyDescent="0.25">
      <c r="A44" s="83" t="s">
        <v>92</v>
      </c>
      <c r="B44" s="84"/>
      <c r="C44" s="84">
        <v>0</v>
      </c>
      <c r="D44" s="84">
        <v>1.1142349999999936</v>
      </c>
      <c r="E44" s="84">
        <v>0</v>
      </c>
      <c r="F44" s="84">
        <v>0</v>
      </c>
      <c r="G44" s="84">
        <v>0</v>
      </c>
      <c r="H44" s="84">
        <v>0</v>
      </c>
      <c r="I44" s="84">
        <v>19.121764999999993</v>
      </c>
      <c r="J44" s="84">
        <v>0</v>
      </c>
      <c r="K44" s="84">
        <v>0</v>
      </c>
      <c r="L44" s="84">
        <v>0</v>
      </c>
      <c r="M44" s="84">
        <v>17.586601999999996</v>
      </c>
      <c r="N44" s="84">
        <v>0</v>
      </c>
      <c r="O44" s="84">
        <v>0</v>
      </c>
      <c r="P44" s="84">
        <v>0</v>
      </c>
      <c r="Q44" s="84">
        <v>5.2310200000000009</v>
      </c>
      <c r="R44" s="84">
        <v>2.1517319999999955</v>
      </c>
      <c r="S44" s="84">
        <v>0</v>
      </c>
      <c r="T44" s="84">
        <v>0.48957400000000106</v>
      </c>
      <c r="U44" s="84">
        <v>9.7591879999999911</v>
      </c>
      <c r="V44" s="84">
        <v>0</v>
      </c>
      <c r="W44" s="84">
        <v>18.91716199999999</v>
      </c>
      <c r="X44" s="84">
        <v>2.8626780000000025</v>
      </c>
      <c r="Y44" s="84">
        <v>0</v>
      </c>
      <c r="DA44" s="171" t="s">
        <v>1063</v>
      </c>
    </row>
    <row r="45" spans="1:105" ht="11.45" customHeight="1" x14ac:dyDescent="0.25">
      <c r="A45" s="85" t="s">
        <v>93</v>
      </c>
      <c r="B45" s="86"/>
      <c r="C45" s="86">
        <v>11.342770000000002</v>
      </c>
      <c r="D45" s="86">
        <v>44.254113000000004</v>
      </c>
      <c r="E45" s="86">
        <v>11.295676999999998</v>
      </c>
      <c r="F45" s="86">
        <v>7.3850869999999986</v>
      </c>
      <c r="G45" s="86">
        <v>0</v>
      </c>
      <c r="H45" s="86">
        <v>0</v>
      </c>
      <c r="I45" s="86">
        <v>0</v>
      </c>
      <c r="J45" s="86">
        <v>0</v>
      </c>
      <c r="K45" s="86">
        <v>0</v>
      </c>
      <c r="L45" s="86">
        <v>0</v>
      </c>
      <c r="M45" s="86">
        <v>21.201836</v>
      </c>
      <c r="N45" s="86">
        <v>0</v>
      </c>
      <c r="O45" s="86">
        <v>0</v>
      </c>
      <c r="P45" s="86">
        <v>0</v>
      </c>
      <c r="Q45" s="86">
        <v>8.7506920000000008</v>
      </c>
      <c r="R45" s="86">
        <v>0</v>
      </c>
      <c r="S45" s="86">
        <v>7.8356320000000039</v>
      </c>
      <c r="T45" s="86">
        <v>0</v>
      </c>
      <c r="U45" s="86">
        <v>1.5869119999999981</v>
      </c>
      <c r="V45" s="86">
        <v>7.1346010000000035</v>
      </c>
      <c r="W45" s="86">
        <v>23.236858999999995</v>
      </c>
      <c r="X45" s="86">
        <v>0</v>
      </c>
      <c r="Y45" s="86">
        <v>0</v>
      </c>
      <c r="DA45" s="178" t="s">
        <v>1064</v>
      </c>
    </row>
    <row r="46" spans="1:105" x14ac:dyDescent="0.25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DA46" s="171"/>
    </row>
    <row r="47" spans="1:105" ht="11.45" customHeight="1" x14ac:dyDescent="0.25">
      <c r="A47" s="68" t="s">
        <v>36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DA47" s="179"/>
    </row>
    <row r="48" spans="1:105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DA48" s="208"/>
    </row>
    <row r="49" spans="1:105" ht="11.45" customHeight="1" x14ac:dyDescent="0.25">
      <c r="A49" s="53" t="s">
        <v>99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DA49" s="172"/>
    </row>
    <row r="50" spans="1:105" ht="11.45" customHeight="1" x14ac:dyDescent="0.25">
      <c r="A50" s="27" t="s">
        <v>100</v>
      </c>
      <c r="B50" s="29">
        <f t="shared" ref="B50:J50" si="45">IF(B4=0,0,B4/B15)</f>
        <v>132.04457031753927</v>
      </c>
      <c r="C50" s="29">
        <f t="shared" si="45"/>
        <v>157.88462692474681</v>
      </c>
      <c r="D50" s="29">
        <f t="shared" si="45"/>
        <v>106.67435521651161</v>
      </c>
      <c r="E50" s="29">
        <f t="shared" si="45"/>
        <v>110.96421618694657</v>
      </c>
      <c r="F50" s="29">
        <f t="shared" si="45"/>
        <v>117.03367176446896</v>
      </c>
      <c r="G50" s="29">
        <f t="shared" si="45"/>
        <v>134.54396314737676</v>
      </c>
      <c r="H50" s="29">
        <f t="shared" si="45"/>
        <v>139.96229918095463</v>
      </c>
      <c r="I50" s="29">
        <f t="shared" si="45"/>
        <v>104.04800542783671</v>
      </c>
      <c r="J50" s="29">
        <f t="shared" si="45"/>
        <v>101.25162977702789</v>
      </c>
      <c r="K50" s="29">
        <f t="shared" ref="K50:V50" si="46">IF(K4=0,0,K4/K15)</f>
        <v>95.640499952570039</v>
      </c>
      <c r="L50" s="29">
        <f t="shared" si="46"/>
        <v>86.324768538923948</v>
      </c>
      <c r="M50" s="29">
        <f t="shared" si="46"/>
        <v>74.098127816765341</v>
      </c>
      <c r="N50" s="29">
        <f t="shared" si="46"/>
        <v>68.553850495387564</v>
      </c>
      <c r="O50" s="29">
        <f t="shared" si="46"/>
        <v>71.736655489142791</v>
      </c>
      <c r="P50" s="29">
        <f t="shared" si="46"/>
        <v>83.5105146991759</v>
      </c>
      <c r="Q50" s="29">
        <f t="shared" si="46"/>
        <v>81.257608554551439</v>
      </c>
      <c r="R50" s="29">
        <f t="shared" si="46"/>
        <v>80.709738200160373</v>
      </c>
      <c r="S50" s="29">
        <f t="shared" si="46"/>
        <v>83.052240797371837</v>
      </c>
      <c r="T50" s="29">
        <f t="shared" si="46"/>
        <v>88.382870929421514</v>
      </c>
      <c r="U50" s="29">
        <f t="shared" si="46"/>
        <v>83.438442058082998</v>
      </c>
      <c r="V50" s="29">
        <f t="shared" si="46"/>
        <v>56.79884650099693</v>
      </c>
      <c r="W50" s="29">
        <f t="shared" ref="W50:Y50" si="47">IF(W4=0,0,W4/W15)</f>
        <v>59.110301910674721</v>
      </c>
      <c r="X50" s="29">
        <f t="shared" si="47"/>
        <v>82.050041139591499</v>
      </c>
      <c r="Y50" s="29">
        <f t="shared" si="47"/>
        <v>106.51969164470331</v>
      </c>
      <c r="DA50" s="173" t="s">
        <v>1065</v>
      </c>
    </row>
    <row r="51" spans="1:105" ht="11.45" customHeight="1" x14ac:dyDescent="0.25">
      <c r="A51" s="107" t="s">
        <v>23</v>
      </c>
      <c r="B51" s="115">
        <f t="shared" ref="B51:J51" si="48">IF(B5=0,0,B5/B16)</f>
        <v>85.653138763707986</v>
      </c>
      <c r="C51" s="115">
        <f t="shared" si="48"/>
        <v>85.653138763707986</v>
      </c>
      <c r="D51" s="115">
        <f t="shared" si="48"/>
        <v>85.653138763707986</v>
      </c>
      <c r="E51" s="115">
        <f t="shared" si="48"/>
        <v>85.653138763707986</v>
      </c>
      <c r="F51" s="115">
        <f t="shared" si="48"/>
        <v>85.653138763707986</v>
      </c>
      <c r="G51" s="115">
        <f t="shared" si="48"/>
        <v>84.794198045180266</v>
      </c>
      <c r="H51" s="115">
        <f t="shared" si="48"/>
        <v>84.075345240675688</v>
      </c>
      <c r="I51" s="115">
        <f t="shared" si="48"/>
        <v>82.239394916946679</v>
      </c>
      <c r="J51" s="115">
        <f t="shared" si="48"/>
        <v>80.618701937583012</v>
      </c>
      <c r="K51" s="115">
        <f t="shared" ref="K51:V51" si="49">IF(K5=0,0,K5/K16)</f>
        <v>77.551896723255396</v>
      </c>
      <c r="L51" s="115">
        <f t="shared" si="49"/>
        <v>76.525846354547099</v>
      </c>
      <c r="M51" s="115">
        <f t="shared" si="49"/>
        <v>74.155916211923753</v>
      </c>
      <c r="N51" s="115">
        <f t="shared" si="49"/>
        <v>72.716942185619857</v>
      </c>
      <c r="O51" s="115">
        <f t="shared" si="49"/>
        <v>73.656354162397932</v>
      </c>
      <c r="P51" s="115">
        <f t="shared" si="49"/>
        <v>76.978809178702917</v>
      </c>
      <c r="Q51" s="115">
        <f t="shared" si="49"/>
        <v>77.257516779602881</v>
      </c>
      <c r="R51" s="115">
        <f t="shared" si="49"/>
        <v>75.90178353167282</v>
      </c>
      <c r="S51" s="115">
        <f t="shared" si="49"/>
        <v>77.91022803691267</v>
      </c>
      <c r="T51" s="115">
        <f t="shared" si="49"/>
        <v>78.291947109039697</v>
      </c>
      <c r="U51" s="115">
        <f t="shared" si="49"/>
        <v>79.29395040277997</v>
      </c>
      <c r="V51" s="115">
        <f t="shared" si="49"/>
        <v>55.384736044059451</v>
      </c>
      <c r="W51" s="115">
        <f t="shared" ref="W51:Y51" si="50">IF(W5=0,0,W5/W16)</f>
        <v>52.783279636513839</v>
      </c>
      <c r="X51" s="115">
        <f t="shared" si="50"/>
        <v>56.436723337551058</v>
      </c>
      <c r="Y51" s="115">
        <f t="shared" si="50"/>
        <v>81.07225926500233</v>
      </c>
      <c r="DA51" s="203" t="s">
        <v>1066</v>
      </c>
    </row>
    <row r="52" spans="1:105" ht="11.45" customHeight="1" x14ac:dyDescent="0.25">
      <c r="A52" s="109" t="s">
        <v>24</v>
      </c>
      <c r="B52" s="116">
        <f t="shared" ref="B52:J52" si="51">IF(B6=0,0,B6/B17)</f>
        <v>183.23680030201297</v>
      </c>
      <c r="C52" s="116">
        <f t="shared" si="51"/>
        <v>293.16686383396365</v>
      </c>
      <c r="D52" s="116">
        <f t="shared" si="51"/>
        <v>129.02055126998098</v>
      </c>
      <c r="E52" s="116">
        <f t="shared" si="51"/>
        <v>138.86473118008661</v>
      </c>
      <c r="F52" s="116">
        <f t="shared" si="51"/>
        <v>158.71686924688538</v>
      </c>
      <c r="G52" s="116">
        <f t="shared" si="51"/>
        <v>261.10814938015079</v>
      </c>
      <c r="H52" s="116">
        <f t="shared" si="51"/>
        <v>317.08157282737739</v>
      </c>
      <c r="I52" s="116">
        <f t="shared" si="51"/>
        <v>137.76684301934716</v>
      </c>
      <c r="J52" s="116">
        <f t="shared" si="51"/>
        <v>136.36163276818721</v>
      </c>
      <c r="K52" s="116">
        <f t="shared" ref="K52:V52" si="52">IF(K6=0,0,K6/K17)</f>
        <v>130.69646913998037</v>
      </c>
      <c r="L52" s="116">
        <f t="shared" si="52"/>
        <v>103.77123912969545</v>
      </c>
      <c r="M52" s="116">
        <f t="shared" si="52"/>
        <v>74.017832890712171</v>
      </c>
      <c r="N52" s="116">
        <f t="shared" si="52"/>
        <v>62.632481796541015</v>
      </c>
      <c r="O52" s="116">
        <f t="shared" si="52"/>
        <v>68.594877835997195</v>
      </c>
      <c r="P52" s="116">
        <f t="shared" si="52"/>
        <v>96.702238533109025</v>
      </c>
      <c r="Q52" s="116">
        <f t="shared" si="52"/>
        <v>85.475813845685394</v>
      </c>
      <c r="R52" s="116">
        <f t="shared" si="52"/>
        <v>86.261991808026607</v>
      </c>
      <c r="S52" s="116">
        <f t="shared" si="52"/>
        <v>88.326473963063307</v>
      </c>
      <c r="T52" s="116">
        <f t="shared" si="52"/>
        <v>99.934217915592313</v>
      </c>
      <c r="U52" s="116">
        <f t="shared" si="52"/>
        <v>87.244313121007764</v>
      </c>
      <c r="V52" s="116">
        <f t="shared" si="52"/>
        <v>58.170744613753861</v>
      </c>
      <c r="W52" s="116">
        <f t="shared" ref="W52:Y52" si="53">IF(W6=0,0,W6/W17)</f>
        <v>64.948030045964259</v>
      </c>
      <c r="X52" s="116">
        <f t="shared" si="53"/>
        <v>120.27726168211645</v>
      </c>
      <c r="Y52" s="116">
        <f t="shared" si="53"/>
        <v>138.4188728284993</v>
      </c>
      <c r="DA52" s="176" t="s">
        <v>1067</v>
      </c>
    </row>
    <row r="53" spans="1:105" ht="11.45" customHeight="1" x14ac:dyDescent="0.25">
      <c r="A53" s="111" t="s">
        <v>92</v>
      </c>
      <c r="B53" s="87">
        <f t="shared" ref="B53:J53" si="54">IF(B7=0,0,B7/B18)</f>
        <v>116.75371316709509</v>
      </c>
      <c r="C53" s="87">
        <f t="shared" si="54"/>
        <v>159.26214431956694</v>
      </c>
      <c r="D53" s="87">
        <f t="shared" si="54"/>
        <v>112.85588771693337</v>
      </c>
      <c r="E53" s="87">
        <f t="shared" si="54"/>
        <v>111.0343768547927</v>
      </c>
      <c r="F53" s="87">
        <f t="shared" si="54"/>
        <v>111.17034874440093</v>
      </c>
      <c r="G53" s="87">
        <f t="shared" si="54"/>
        <v>156.56379894799241</v>
      </c>
      <c r="H53" s="87">
        <f t="shared" si="54"/>
        <v>174.79476375558022</v>
      </c>
      <c r="I53" s="87">
        <f t="shared" si="54"/>
        <v>104.41102602413817</v>
      </c>
      <c r="J53" s="87">
        <f t="shared" si="54"/>
        <v>95.854608464680652</v>
      </c>
      <c r="K53" s="87">
        <f t="shared" ref="K53:V53" si="55">IF(K7=0,0,K7/K18)</f>
        <v>80.382127726539466</v>
      </c>
      <c r="L53" s="87">
        <f t="shared" si="55"/>
        <v>78.683884204053527</v>
      </c>
      <c r="M53" s="87">
        <f t="shared" si="55"/>
        <v>62.429923531101757</v>
      </c>
      <c r="N53" s="87">
        <f t="shared" si="55"/>
        <v>55.244069791517255</v>
      </c>
      <c r="O53" s="87">
        <f t="shared" si="55"/>
        <v>62.677946724829098</v>
      </c>
      <c r="P53" s="87">
        <f t="shared" si="55"/>
        <v>89.499665376698829</v>
      </c>
      <c r="Q53" s="87">
        <f t="shared" si="55"/>
        <v>74.930453916615633</v>
      </c>
      <c r="R53" s="87">
        <f t="shared" si="55"/>
        <v>75.680449374625184</v>
      </c>
      <c r="S53" s="87">
        <f t="shared" si="55"/>
        <v>61.907906241139791</v>
      </c>
      <c r="T53" s="87">
        <f t="shared" si="55"/>
        <v>81.079125365158887</v>
      </c>
      <c r="U53" s="87">
        <f t="shared" si="55"/>
        <v>66.691869379301536</v>
      </c>
      <c r="V53" s="87">
        <f t="shared" si="55"/>
        <v>40.899519892989417</v>
      </c>
      <c r="W53" s="87">
        <f t="shared" ref="W53:Y53" si="56">IF(W7=0,0,W7/W18)</f>
        <v>44.314363869587069</v>
      </c>
      <c r="X53" s="87">
        <f t="shared" si="56"/>
        <v>85.462884225071221</v>
      </c>
      <c r="Y53" s="87">
        <f t="shared" si="56"/>
        <v>89.207464731187642</v>
      </c>
      <c r="DA53" s="171" t="s">
        <v>1068</v>
      </c>
    </row>
    <row r="54" spans="1:105" ht="11.45" customHeight="1" x14ac:dyDescent="0.25">
      <c r="A54" s="111" t="s">
        <v>93</v>
      </c>
      <c r="B54" s="87">
        <f t="shared" ref="B54:J54" si="57">IF(B8=0,0,B8/B19)</f>
        <v>611.5956428181031</v>
      </c>
      <c r="C54" s="87">
        <f t="shared" si="57"/>
        <v>612.44281777949607</v>
      </c>
      <c r="D54" s="87">
        <f t="shared" si="57"/>
        <v>147.79598234886845</v>
      </c>
      <c r="E54" s="87">
        <f t="shared" si="57"/>
        <v>179.75179117751605</v>
      </c>
      <c r="F54" s="87">
        <f t="shared" si="57"/>
        <v>313.20557595369593</v>
      </c>
      <c r="G54" s="87">
        <f t="shared" si="57"/>
        <v>371.34088545843781</v>
      </c>
      <c r="H54" s="87">
        <f t="shared" si="57"/>
        <v>519.1088096716976</v>
      </c>
      <c r="I54" s="87">
        <f t="shared" si="57"/>
        <v>273.41232147115397</v>
      </c>
      <c r="J54" s="87">
        <f t="shared" si="57"/>
        <v>321.2256189606785</v>
      </c>
      <c r="K54" s="87">
        <f t="shared" ref="K54:V54" si="58">IF(K8=0,0,K8/K19)</f>
        <v>279.81888162056026</v>
      </c>
      <c r="L54" s="87">
        <f t="shared" si="58"/>
        <v>184.78972205617563</v>
      </c>
      <c r="M54" s="87">
        <f t="shared" si="58"/>
        <v>110.37371115141906</v>
      </c>
      <c r="N54" s="87">
        <f t="shared" si="58"/>
        <v>78.271275395166128</v>
      </c>
      <c r="O54" s="87">
        <f t="shared" si="58"/>
        <v>81.761628693626406</v>
      </c>
      <c r="P54" s="87">
        <f t="shared" si="58"/>
        <v>107.82776066047821</v>
      </c>
      <c r="Q54" s="87">
        <f t="shared" si="58"/>
        <v>94.793604830597502</v>
      </c>
      <c r="R54" s="87">
        <f t="shared" si="58"/>
        <v>95.821717782868234</v>
      </c>
      <c r="S54" s="87">
        <f t="shared" si="58"/>
        <v>113.64136965784465</v>
      </c>
      <c r="T54" s="87">
        <f t="shared" si="58"/>
        <v>114.16045534938934</v>
      </c>
      <c r="U54" s="87">
        <f t="shared" si="58"/>
        <v>108.7254262312661</v>
      </c>
      <c r="V54" s="87">
        <f t="shared" si="58"/>
        <v>75.453833295292583</v>
      </c>
      <c r="W54" s="87">
        <f t="shared" ref="W54:Y54" si="59">IF(W8=0,0,W8/W19)</f>
        <v>83.665858562844846</v>
      </c>
      <c r="X54" s="87">
        <f t="shared" si="59"/>
        <v>145.38233171245741</v>
      </c>
      <c r="Y54" s="87">
        <f t="shared" si="59"/>
        <v>204.64464819787872</v>
      </c>
      <c r="DA54" s="171" t="s">
        <v>1069</v>
      </c>
    </row>
    <row r="55" spans="1:105" ht="11.45" customHeight="1" x14ac:dyDescent="0.25">
      <c r="A55" s="112" t="s">
        <v>25</v>
      </c>
      <c r="B55" s="117">
        <f t="shared" ref="B55:J55" si="60">IF(B9=0,0,B9/B20)</f>
        <v>0</v>
      </c>
      <c r="C55" s="117">
        <f t="shared" si="60"/>
        <v>0</v>
      </c>
      <c r="D55" s="117">
        <f t="shared" si="60"/>
        <v>0</v>
      </c>
      <c r="E55" s="117">
        <f t="shared" si="60"/>
        <v>0</v>
      </c>
      <c r="F55" s="117">
        <f t="shared" si="60"/>
        <v>0</v>
      </c>
      <c r="G55" s="117">
        <f t="shared" si="60"/>
        <v>0</v>
      </c>
      <c r="H55" s="117">
        <f t="shared" si="60"/>
        <v>0</v>
      </c>
      <c r="I55" s="117">
        <f t="shared" si="60"/>
        <v>0</v>
      </c>
      <c r="J55" s="117">
        <f t="shared" si="60"/>
        <v>0</v>
      </c>
      <c r="K55" s="117">
        <f t="shared" ref="K55:V55" si="61">IF(K9=0,0,K9/K20)</f>
        <v>0</v>
      </c>
      <c r="L55" s="117">
        <f t="shared" si="61"/>
        <v>0</v>
      </c>
      <c r="M55" s="117">
        <f t="shared" si="61"/>
        <v>0</v>
      </c>
      <c r="N55" s="117">
        <f t="shared" si="61"/>
        <v>0</v>
      </c>
      <c r="O55" s="117">
        <f t="shared" si="61"/>
        <v>0</v>
      </c>
      <c r="P55" s="117">
        <f t="shared" si="61"/>
        <v>0</v>
      </c>
      <c r="Q55" s="117">
        <f t="shared" si="61"/>
        <v>0</v>
      </c>
      <c r="R55" s="117">
        <f t="shared" si="61"/>
        <v>0</v>
      </c>
      <c r="S55" s="117">
        <f t="shared" si="61"/>
        <v>0</v>
      </c>
      <c r="T55" s="117">
        <f t="shared" si="61"/>
        <v>0</v>
      </c>
      <c r="U55" s="117">
        <f t="shared" si="61"/>
        <v>0</v>
      </c>
      <c r="V55" s="117">
        <f t="shared" si="61"/>
        <v>0</v>
      </c>
      <c r="W55" s="117">
        <f t="shared" ref="W55:Y55" si="62">IF(W9=0,0,W9/W20)</f>
        <v>0</v>
      </c>
      <c r="X55" s="117">
        <f t="shared" si="62"/>
        <v>0</v>
      </c>
      <c r="Y55" s="117">
        <f t="shared" si="62"/>
        <v>0</v>
      </c>
      <c r="DA55" s="204" t="s">
        <v>1070</v>
      </c>
    </row>
    <row r="56" spans="1:105" ht="11.45" customHeight="1" x14ac:dyDescent="0.25">
      <c r="A56" s="27" t="s">
        <v>101</v>
      </c>
      <c r="B56" s="29">
        <f t="shared" ref="B56:J56" si="63">IF(B10=0,0,B10/B21)</f>
        <v>758.48371210895436</v>
      </c>
      <c r="C56" s="29">
        <f t="shared" si="63"/>
        <v>850.82434672223008</v>
      </c>
      <c r="D56" s="29">
        <f t="shared" si="63"/>
        <v>499.30330307460349</v>
      </c>
      <c r="E56" s="29">
        <f t="shared" si="63"/>
        <v>532.56860612074843</v>
      </c>
      <c r="F56" s="29">
        <f t="shared" si="63"/>
        <v>549.38642770452191</v>
      </c>
      <c r="G56" s="29">
        <f t="shared" si="63"/>
        <v>741.15913344186879</v>
      </c>
      <c r="H56" s="29">
        <f t="shared" si="63"/>
        <v>799.70328117760459</v>
      </c>
      <c r="I56" s="29">
        <f t="shared" si="63"/>
        <v>567.20290282824851</v>
      </c>
      <c r="J56" s="29">
        <f t="shared" si="63"/>
        <v>623.66783762008072</v>
      </c>
      <c r="K56" s="29">
        <f t="shared" ref="K56:V56" si="64">IF(K10=0,0,K10/K21)</f>
        <v>607.4111902731579</v>
      </c>
      <c r="L56" s="29">
        <f t="shared" si="64"/>
        <v>580.67268563899574</v>
      </c>
      <c r="M56" s="29">
        <f t="shared" si="64"/>
        <v>488.25668314139017</v>
      </c>
      <c r="N56" s="29">
        <f t="shared" si="64"/>
        <v>475.67272291882921</v>
      </c>
      <c r="O56" s="29">
        <f t="shared" si="64"/>
        <v>481.4754740257456</v>
      </c>
      <c r="P56" s="29">
        <f t="shared" si="64"/>
        <v>566.59500963910625</v>
      </c>
      <c r="Q56" s="29">
        <f t="shared" si="64"/>
        <v>512.04341146136517</v>
      </c>
      <c r="R56" s="29">
        <f t="shared" si="64"/>
        <v>523.6347477204514</v>
      </c>
      <c r="S56" s="29">
        <f t="shared" si="64"/>
        <v>524.34249893825017</v>
      </c>
      <c r="T56" s="29">
        <f t="shared" si="64"/>
        <v>512.09928017987318</v>
      </c>
      <c r="U56" s="29">
        <f t="shared" si="64"/>
        <v>493.25352540992816</v>
      </c>
      <c r="V56" s="29">
        <f t="shared" si="64"/>
        <v>472.24083460115736</v>
      </c>
      <c r="W56" s="29">
        <f t="shared" ref="W56:Y56" si="65">IF(W10=0,0,W10/W21)</f>
        <v>395.83761541579503</v>
      </c>
      <c r="X56" s="29">
        <f t="shared" si="65"/>
        <v>456.86604912306279</v>
      </c>
      <c r="Y56" s="29">
        <f t="shared" si="65"/>
        <v>849.59052515089445</v>
      </c>
      <c r="DA56" s="173" t="s">
        <v>1071</v>
      </c>
    </row>
    <row r="57" spans="1:105" ht="11.45" customHeight="1" x14ac:dyDescent="0.25">
      <c r="A57" s="83" t="s">
        <v>92</v>
      </c>
      <c r="B57" s="87">
        <f t="shared" ref="B57:J57" si="66">IF(B11=0,0,B11/B22)</f>
        <v>614.92520565467942</v>
      </c>
      <c r="C57" s="87">
        <f t="shared" si="66"/>
        <v>701.93867162497872</v>
      </c>
      <c r="D57" s="87">
        <f t="shared" si="66"/>
        <v>554.98240216394322</v>
      </c>
      <c r="E57" s="87">
        <f t="shared" si="66"/>
        <v>691.56950991501265</v>
      </c>
      <c r="F57" s="87">
        <f t="shared" si="66"/>
        <v>719.93460084459559</v>
      </c>
      <c r="G57" s="87">
        <f t="shared" si="66"/>
        <v>769.24167689683679</v>
      </c>
      <c r="H57" s="87">
        <f t="shared" si="66"/>
        <v>731.30515154586578</v>
      </c>
      <c r="I57" s="87">
        <f t="shared" si="66"/>
        <v>612.36170100168567</v>
      </c>
      <c r="J57" s="87">
        <f t="shared" si="66"/>
        <v>607.68262128592653</v>
      </c>
      <c r="K57" s="87">
        <f t="shared" ref="K57:V57" si="67">IF(K11=0,0,K11/K22)</f>
        <v>608.12629751370548</v>
      </c>
      <c r="L57" s="87">
        <f t="shared" si="67"/>
        <v>632.07760311115214</v>
      </c>
      <c r="M57" s="87">
        <f t="shared" si="67"/>
        <v>522.53222165723435</v>
      </c>
      <c r="N57" s="87">
        <f t="shared" si="67"/>
        <v>509.78914653804196</v>
      </c>
      <c r="O57" s="87">
        <f t="shared" si="67"/>
        <v>516.20761274205972</v>
      </c>
      <c r="P57" s="87">
        <f t="shared" si="67"/>
        <v>668.90676239803338</v>
      </c>
      <c r="Q57" s="87">
        <f t="shared" si="67"/>
        <v>522.40204304249391</v>
      </c>
      <c r="R57" s="87">
        <f t="shared" si="67"/>
        <v>519.53884957547723</v>
      </c>
      <c r="S57" s="87">
        <f t="shared" si="67"/>
        <v>542.55017081143251</v>
      </c>
      <c r="T57" s="87">
        <f t="shared" si="67"/>
        <v>554.3735068169417</v>
      </c>
      <c r="U57" s="87">
        <f t="shared" si="67"/>
        <v>514.93151050806136</v>
      </c>
      <c r="V57" s="87">
        <f t="shared" si="67"/>
        <v>559.87493136806359</v>
      </c>
      <c r="W57" s="87">
        <f t="shared" ref="W57:Y57" si="68">IF(W11=0,0,W11/W22)</f>
        <v>361.95020550261972</v>
      </c>
      <c r="X57" s="87">
        <f t="shared" si="68"/>
        <v>332.19498673577721</v>
      </c>
      <c r="Y57" s="87">
        <f t="shared" si="68"/>
        <v>553.75044243914215</v>
      </c>
      <c r="DA57" s="171" t="s">
        <v>1072</v>
      </c>
    </row>
    <row r="58" spans="1:105" ht="11.45" customHeight="1" x14ac:dyDescent="0.25">
      <c r="A58" s="85" t="s">
        <v>93</v>
      </c>
      <c r="B58" s="88">
        <f t="shared" ref="B58:J58" si="69">IF(B12=0,0,B12/B23)</f>
        <v>953.50074294365788</v>
      </c>
      <c r="C58" s="88">
        <f t="shared" si="69"/>
        <v>957.10221634464904</v>
      </c>
      <c r="D58" s="88">
        <f t="shared" si="69"/>
        <v>468.0692975560616</v>
      </c>
      <c r="E58" s="88">
        <f t="shared" si="69"/>
        <v>481.91922302326287</v>
      </c>
      <c r="F58" s="88">
        <f t="shared" si="69"/>
        <v>485.34562733342148</v>
      </c>
      <c r="G58" s="88">
        <f t="shared" si="69"/>
        <v>734.20550991373284</v>
      </c>
      <c r="H58" s="88">
        <f t="shared" si="69"/>
        <v>821.09996803918273</v>
      </c>
      <c r="I58" s="88">
        <f t="shared" si="69"/>
        <v>544.24625952218719</v>
      </c>
      <c r="J58" s="88">
        <f t="shared" si="69"/>
        <v>632.05745371310206</v>
      </c>
      <c r="K58" s="88">
        <f t="shared" ref="K58:V58" si="70">IF(K12=0,0,K12/K23)</f>
        <v>607.13410576192587</v>
      </c>
      <c r="L58" s="88">
        <f t="shared" si="70"/>
        <v>559.75691864084774</v>
      </c>
      <c r="M58" s="88">
        <f t="shared" si="70"/>
        <v>473.12255827571727</v>
      </c>
      <c r="N58" s="88">
        <f t="shared" si="70"/>
        <v>461.72167058988549</v>
      </c>
      <c r="O58" s="88">
        <f t="shared" si="70"/>
        <v>467.57171123048198</v>
      </c>
      <c r="P58" s="88">
        <f t="shared" si="70"/>
        <v>536.544447581648</v>
      </c>
      <c r="Q58" s="88">
        <f t="shared" si="70"/>
        <v>508.33402731442607</v>
      </c>
      <c r="R58" s="88">
        <f t="shared" si="70"/>
        <v>525.16311557250731</v>
      </c>
      <c r="S58" s="88">
        <f t="shared" si="70"/>
        <v>518.64892495743663</v>
      </c>
      <c r="T58" s="88">
        <f t="shared" si="70"/>
        <v>499.36213592433165</v>
      </c>
      <c r="U58" s="88">
        <f t="shared" si="70"/>
        <v>485.03835100004875</v>
      </c>
      <c r="V58" s="88">
        <f t="shared" si="70"/>
        <v>449.31587953088615</v>
      </c>
      <c r="W58" s="88">
        <f t="shared" ref="W58:Y58" si="71">IF(W12=0,0,W12/W23)</f>
        <v>408.77694352505853</v>
      </c>
      <c r="X58" s="88">
        <f t="shared" si="71"/>
        <v>518.39122853533172</v>
      </c>
      <c r="Y58" s="88">
        <f t="shared" si="71"/>
        <v>1081.8634386508058</v>
      </c>
      <c r="DA58" s="178" t="s">
        <v>1073</v>
      </c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DA59" s="171"/>
    </row>
    <row r="60" spans="1:105" ht="11.45" customHeight="1" x14ac:dyDescent="0.25">
      <c r="A60" s="53" t="s">
        <v>102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DA60" s="172"/>
    </row>
    <row r="61" spans="1:105" ht="11.45" customHeight="1" x14ac:dyDescent="0.25">
      <c r="A61" s="27" t="s">
        <v>103</v>
      </c>
      <c r="B61" s="29">
        <f t="shared" ref="B61" si="72">IF(B26=0,0,(B62*B27+B64*B29+B65*B30+B66*B31)/(B27+B29+B30+B31))</f>
        <v>368.06070658573685</v>
      </c>
      <c r="C61" s="29">
        <f t="shared" ref="C61" si="73">IF(C26=0,0,(C62*C27+C64*C29+C65*C30+C66*C31)/(C27+C29+C30+C31))</f>
        <v>368.97630934457914</v>
      </c>
      <c r="D61" s="29">
        <f t="shared" ref="D61" si="74">IF(D26=0,0,(D62*D27+D64*D29+D65*D30+D66*D31)/(D27+D29+D30+D31))</f>
        <v>364.9596456049822</v>
      </c>
      <c r="E61" s="29">
        <f t="shared" ref="E61" si="75">IF(E26=0,0,(E62*E27+E64*E29+E65*E30+E66*E31)/(E27+E29+E30+E31))</f>
        <v>365.96619815741093</v>
      </c>
      <c r="F61" s="29">
        <f t="shared" ref="F61" si="76">IF(F26=0,0,(F62*F27+F64*F29+F65*F30+F66*F31)/(F27+F29+F30+F31))</f>
        <v>366.6716057757576</v>
      </c>
      <c r="G61" s="29">
        <f t="shared" ref="G61" si="77">IF(G26=0,0,(G62*G27+G64*G29+G65*G30+G66*G31)/(G27+G29+G30+G31))</f>
        <v>369.88401815899374</v>
      </c>
      <c r="H61" s="29">
        <f t="shared" ref="H61" si="78">IF(H26=0,0,(H62*H27+H64*H29+H65*H30+H66*H31)/(H27+H29+H30+H31))</f>
        <v>372.52217426078522</v>
      </c>
      <c r="I61" s="29">
        <f t="shared" ref="I61" si="79">IF(I26=0,0,(I62*I27+I64*I29+I65*I30+I66*I31)/(I27+I29+I30+I31))</f>
        <v>369.69310961444131</v>
      </c>
      <c r="J61" s="29">
        <f t="shared" ref="J61" si="80">IF(J26=0,0,(J62*J27+J64*J29+J65*J30+J66*J31)/(J27+J29+J30+J31))</f>
        <v>371.02828234046865</v>
      </c>
      <c r="K61" s="29">
        <f t="shared" ref="K61" si="81">IF(K26=0,0,(K62*K27+K64*K29+K65*K30+K66*K31)/(K27+K29+K30+K31))</f>
        <v>373.64495321840246</v>
      </c>
      <c r="L61" s="29">
        <f t="shared" ref="L61" si="82">IF(L26=0,0,(L62*L27+L64*L29+L65*L30+L66*L31)/(L27+L29+L30+L31))</f>
        <v>373.31486431846048</v>
      </c>
      <c r="M61" s="29">
        <f t="shared" ref="M61" si="83">IF(M26=0,0,(M62*M27+M64*M29+M65*M30+M66*M31)/(M27+M29+M30+M31))</f>
        <v>370.76554753718074</v>
      </c>
      <c r="N61" s="29">
        <f t="shared" ref="N61" si="84">IF(N26=0,0,(N62*N27+N64*N29+N65*N30+N66*N31)/(N27+N29+N30+N31))</f>
        <v>372.78510392929445</v>
      </c>
      <c r="O61" s="29">
        <f t="shared" ref="O61" si="85">IF(O26=0,0,(O62*O27+O64*O29+O65*O30+O66*O31)/(O27+O29+O30+O31))</f>
        <v>374.55613346124903</v>
      </c>
      <c r="P61" s="29">
        <f t="shared" ref="P61" si="86">IF(P26=0,0,(P62*P27+P64*P29+P65*P30+P66*P31)/(P27+P29+P30+P31))</f>
        <v>376.04221822400257</v>
      </c>
      <c r="Q61" s="29">
        <f t="shared" ref="Q61" si="87">IF(Q26=0,0,(Q62*Q27+Q64*Q29+Q65*Q30+Q66*Q31)/(Q27+Q29+Q30+Q31))</f>
        <v>373.52875835318781</v>
      </c>
      <c r="R61" s="29">
        <f t="shared" ref="R61" si="88">IF(R26=0,0,(R62*R27+R64*R29+R65*R30+R66*R31)/(R27+R29+R30+R31))</f>
        <v>374.00746945186376</v>
      </c>
      <c r="S61" s="29">
        <f t="shared" ref="S61" si="89">IF(S26=0,0,(S62*S27+S64*S29+S65*S30+S66*S31)/(S27+S29+S30+S31))</f>
        <v>371.05004838818309</v>
      </c>
      <c r="T61" s="29">
        <f t="shared" ref="T61" si="90">IF(T26=0,0,(T62*T27+T64*T29+T65*T30+T66*T31)/(T27+T29+T30+T31))</f>
        <v>371.34477602858067</v>
      </c>
      <c r="U61" s="29">
        <f t="shared" ref="U61" si="91">IF(U26=0,0,(U62*U27+U64*U29+U65*U30+U66*U31)/(U27+U29+U30+U31))</f>
        <v>366.49782809672416</v>
      </c>
      <c r="V61" s="29">
        <f t="shared" ref="V61" si="92">IF(V26=0,0,(V62*V27+V64*V29+V65*V30+V66*V31)/(V27+V29+V30+V31))</f>
        <v>365.47413492542137</v>
      </c>
      <c r="W61" s="29">
        <f t="shared" ref="W61:Y61" si="93">IF(W26=0,0,(W62*W27+W64*W29+W65*W30+W66*W31)/(W27+W29+W30+W31))</f>
        <v>364.5732539510276</v>
      </c>
      <c r="X61" s="29">
        <f t="shared" si="93"/>
        <v>369.81633184090759</v>
      </c>
      <c r="Y61" s="29">
        <f t="shared" si="93"/>
        <v>368.24000318238814</v>
      </c>
      <c r="DA61" s="173" t="s">
        <v>1074</v>
      </c>
    </row>
    <row r="62" spans="1:105" ht="11.45" customHeight="1" x14ac:dyDescent="0.25">
      <c r="A62" s="107" t="s">
        <v>23</v>
      </c>
      <c r="B62" s="115">
        <v>400</v>
      </c>
      <c r="C62" s="115">
        <v>400</v>
      </c>
      <c r="D62" s="115">
        <v>400</v>
      </c>
      <c r="E62" s="115">
        <v>400</v>
      </c>
      <c r="F62" s="115">
        <v>400</v>
      </c>
      <c r="G62" s="115">
        <v>400</v>
      </c>
      <c r="H62" s="115">
        <v>400</v>
      </c>
      <c r="I62" s="115">
        <v>400</v>
      </c>
      <c r="J62" s="115">
        <v>400</v>
      </c>
      <c r="K62" s="115">
        <v>400</v>
      </c>
      <c r="L62" s="115">
        <v>400</v>
      </c>
      <c r="M62" s="115">
        <v>400</v>
      </c>
      <c r="N62" s="115">
        <v>400</v>
      </c>
      <c r="O62" s="115">
        <v>400</v>
      </c>
      <c r="P62" s="115">
        <v>400</v>
      </c>
      <c r="Q62" s="115">
        <v>400</v>
      </c>
      <c r="R62" s="115">
        <v>400</v>
      </c>
      <c r="S62" s="115">
        <v>400</v>
      </c>
      <c r="T62" s="115">
        <v>400</v>
      </c>
      <c r="U62" s="115">
        <v>400</v>
      </c>
      <c r="V62" s="115">
        <v>400</v>
      </c>
      <c r="W62" s="115">
        <v>400</v>
      </c>
      <c r="X62" s="115">
        <v>400</v>
      </c>
      <c r="Y62" s="115">
        <v>400</v>
      </c>
      <c r="DA62" s="203" t="s">
        <v>1075</v>
      </c>
    </row>
    <row r="63" spans="1:105" ht="11.45" customHeight="1" x14ac:dyDescent="0.25">
      <c r="A63" s="109" t="s">
        <v>24</v>
      </c>
      <c r="B63" s="116">
        <f t="shared" ref="B63" si="94">IF(B28=0,0,(B64*B29+B65*B30)/(B29+B30))</f>
        <v>320</v>
      </c>
      <c r="C63" s="116">
        <f t="shared" ref="C63" si="95">IF(C28=0,0,(C64*C29+C65*C30)/(C29+C30))</f>
        <v>319.99999999999994</v>
      </c>
      <c r="D63" s="116">
        <f t="shared" ref="D63" si="96">IF(D28=0,0,(D64*D29+D65*D30)/(D29+D30))</f>
        <v>320</v>
      </c>
      <c r="E63" s="116">
        <f t="shared" ref="E63" si="97">IF(E28=0,0,(E64*E29+E65*E30)/(E29+E30))</f>
        <v>320</v>
      </c>
      <c r="F63" s="116">
        <f t="shared" ref="F63" si="98">IF(F28=0,0,(F64*F29+F65*F30)/(F29+F30))</f>
        <v>320</v>
      </c>
      <c r="G63" s="116">
        <f t="shared" ref="G63" si="99">IF(G28=0,0,(G64*G29+G65*G30)/(G29+G30))</f>
        <v>320</v>
      </c>
      <c r="H63" s="116">
        <f t="shared" ref="H63" si="100">IF(H28=0,0,(H64*H29+H65*H30)/(H29+H30))</f>
        <v>320</v>
      </c>
      <c r="I63" s="116">
        <f t="shared" ref="I63" si="101">IF(I28=0,0,(I64*I29+I65*I30)/(I29+I30))</f>
        <v>320.00000000000006</v>
      </c>
      <c r="J63" s="116">
        <f t="shared" ref="J63" si="102">IF(J28=0,0,(J64*J29+J65*J30)/(J29+J30))</f>
        <v>320</v>
      </c>
      <c r="K63" s="116">
        <f t="shared" ref="K63" si="103">IF(K28=0,0,(K64*K29+K65*K30)/(K29+K30))</f>
        <v>320</v>
      </c>
      <c r="L63" s="116">
        <f t="shared" ref="L63" si="104">IF(L28=0,0,(L64*L29+L65*L30)/(L29+L30))</f>
        <v>320</v>
      </c>
      <c r="M63" s="116">
        <f t="shared" ref="M63" si="105">IF(M28=0,0,(M64*M29+M65*M30)/(M29+M30))</f>
        <v>320.00000000000006</v>
      </c>
      <c r="N63" s="116">
        <f t="shared" ref="N63" si="106">IF(N28=0,0,(N64*N29+N65*N30)/(N29+N30))</f>
        <v>320</v>
      </c>
      <c r="O63" s="116">
        <f t="shared" ref="O63" si="107">IF(O28=0,0,(O64*O29+O65*O30)/(O29+O30))</f>
        <v>319.99999999999994</v>
      </c>
      <c r="P63" s="116">
        <f t="shared" ref="P63" si="108">IF(P28=0,0,(P64*P29+P65*P30)/(P29+P30))</f>
        <v>320</v>
      </c>
      <c r="Q63" s="116">
        <f t="shared" ref="Q63" si="109">IF(Q28=0,0,(Q64*Q29+Q65*Q30)/(Q29+Q30))</f>
        <v>319.99999999999994</v>
      </c>
      <c r="R63" s="116">
        <f t="shared" ref="R63" si="110">IF(R28=0,0,(R64*R29+R65*R30)/(R29+R30))</f>
        <v>320</v>
      </c>
      <c r="S63" s="116">
        <f t="shared" ref="S63" si="111">IF(S28=0,0,(S64*S29+S65*S30)/(S29+S30))</f>
        <v>320.00000000000006</v>
      </c>
      <c r="T63" s="116">
        <f t="shared" ref="T63" si="112">IF(T28=0,0,(T64*T29+T65*T30)/(T29+T30))</f>
        <v>320</v>
      </c>
      <c r="U63" s="116">
        <f t="shared" ref="U63" si="113">IF(U28=0,0,(U64*U29+U65*U30)/(U29+U30))</f>
        <v>320</v>
      </c>
      <c r="V63" s="116">
        <f t="shared" ref="V63" si="114">IF(V28=0,0,(V64*V29+V65*V30)/(V29+V30))</f>
        <v>320.00000000000006</v>
      </c>
      <c r="W63" s="116">
        <f t="shared" ref="W63:Y63" si="115">IF(W28=0,0,(W64*W29+W65*W30)/(W29+W30))</f>
        <v>320</v>
      </c>
      <c r="X63" s="116">
        <f t="shared" si="115"/>
        <v>320</v>
      </c>
      <c r="Y63" s="116">
        <f t="shared" si="115"/>
        <v>320</v>
      </c>
      <c r="DA63" s="176" t="s">
        <v>1076</v>
      </c>
    </row>
    <row r="64" spans="1:105" ht="11.45" customHeight="1" x14ac:dyDescent="0.25">
      <c r="A64" s="111" t="s">
        <v>92</v>
      </c>
      <c r="B64" s="87">
        <v>320</v>
      </c>
      <c r="C64" s="87">
        <v>320</v>
      </c>
      <c r="D64" s="87">
        <v>320</v>
      </c>
      <c r="E64" s="87">
        <v>320</v>
      </c>
      <c r="F64" s="87">
        <v>320</v>
      </c>
      <c r="G64" s="87">
        <v>320</v>
      </c>
      <c r="H64" s="87">
        <v>320</v>
      </c>
      <c r="I64" s="87">
        <v>320</v>
      </c>
      <c r="J64" s="87">
        <v>320</v>
      </c>
      <c r="K64" s="87">
        <v>320</v>
      </c>
      <c r="L64" s="87">
        <v>320</v>
      </c>
      <c r="M64" s="87">
        <v>320</v>
      </c>
      <c r="N64" s="87">
        <v>320</v>
      </c>
      <c r="O64" s="87">
        <v>320</v>
      </c>
      <c r="P64" s="87">
        <v>320</v>
      </c>
      <c r="Q64" s="87">
        <v>320</v>
      </c>
      <c r="R64" s="87">
        <v>320</v>
      </c>
      <c r="S64" s="87">
        <v>320</v>
      </c>
      <c r="T64" s="87">
        <v>320</v>
      </c>
      <c r="U64" s="87">
        <v>320</v>
      </c>
      <c r="V64" s="87">
        <v>320</v>
      </c>
      <c r="W64" s="87">
        <v>320</v>
      </c>
      <c r="X64" s="87">
        <v>320</v>
      </c>
      <c r="Y64" s="87">
        <v>320</v>
      </c>
      <c r="DA64" s="171" t="s">
        <v>1077</v>
      </c>
    </row>
    <row r="65" spans="1:105" ht="11.45" customHeight="1" x14ac:dyDescent="0.25">
      <c r="A65" s="111" t="s">
        <v>93</v>
      </c>
      <c r="B65" s="87">
        <v>320</v>
      </c>
      <c r="C65" s="87">
        <v>320</v>
      </c>
      <c r="D65" s="87">
        <v>320</v>
      </c>
      <c r="E65" s="87">
        <v>320</v>
      </c>
      <c r="F65" s="87">
        <v>320</v>
      </c>
      <c r="G65" s="87">
        <v>320</v>
      </c>
      <c r="H65" s="87">
        <v>320</v>
      </c>
      <c r="I65" s="87">
        <v>320</v>
      </c>
      <c r="J65" s="87">
        <v>320</v>
      </c>
      <c r="K65" s="87">
        <v>320</v>
      </c>
      <c r="L65" s="87">
        <v>320</v>
      </c>
      <c r="M65" s="87">
        <v>320</v>
      </c>
      <c r="N65" s="87">
        <v>320</v>
      </c>
      <c r="O65" s="87">
        <v>320</v>
      </c>
      <c r="P65" s="87">
        <v>320</v>
      </c>
      <c r="Q65" s="87">
        <v>320</v>
      </c>
      <c r="R65" s="87">
        <v>320</v>
      </c>
      <c r="S65" s="87">
        <v>320</v>
      </c>
      <c r="T65" s="87">
        <v>320</v>
      </c>
      <c r="U65" s="87">
        <v>320</v>
      </c>
      <c r="V65" s="87">
        <v>320</v>
      </c>
      <c r="W65" s="87">
        <v>320</v>
      </c>
      <c r="X65" s="87">
        <v>320</v>
      </c>
      <c r="Y65" s="87">
        <v>320</v>
      </c>
      <c r="DA65" s="171" t="s">
        <v>1078</v>
      </c>
    </row>
    <row r="66" spans="1:105" ht="11.45" customHeight="1" x14ac:dyDescent="0.25">
      <c r="A66" s="112" t="s">
        <v>25</v>
      </c>
      <c r="B66" s="117">
        <v>0</v>
      </c>
      <c r="C66" s="117">
        <v>0</v>
      </c>
      <c r="D66" s="117">
        <v>0</v>
      </c>
      <c r="E66" s="117">
        <v>0</v>
      </c>
      <c r="F66" s="117">
        <v>0</v>
      </c>
      <c r="G66" s="117">
        <v>0</v>
      </c>
      <c r="H66" s="117">
        <v>0</v>
      </c>
      <c r="I66" s="117">
        <v>0</v>
      </c>
      <c r="J66" s="117">
        <v>0</v>
      </c>
      <c r="K66" s="117">
        <v>0</v>
      </c>
      <c r="L66" s="117">
        <v>0</v>
      </c>
      <c r="M66" s="117">
        <v>0</v>
      </c>
      <c r="N66" s="117">
        <v>0</v>
      </c>
      <c r="O66" s="117">
        <v>0</v>
      </c>
      <c r="P66" s="117">
        <v>0</v>
      </c>
      <c r="Q66" s="117">
        <v>0</v>
      </c>
      <c r="R66" s="117">
        <v>0</v>
      </c>
      <c r="S66" s="117">
        <v>0</v>
      </c>
      <c r="T66" s="117">
        <v>0</v>
      </c>
      <c r="U66" s="117">
        <v>0</v>
      </c>
      <c r="V66" s="117">
        <v>0</v>
      </c>
      <c r="W66" s="117">
        <v>0</v>
      </c>
      <c r="X66" s="117">
        <v>0</v>
      </c>
      <c r="Y66" s="117">
        <v>0</v>
      </c>
      <c r="DA66" s="204" t="s">
        <v>1079</v>
      </c>
    </row>
    <row r="67" spans="1:105" ht="11.45" customHeight="1" x14ac:dyDescent="0.25">
      <c r="A67" s="27" t="s">
        <v>80</v>
      </c>
      <c r="B67" s="29">
        <f t="shared" ref="B67" si="116">IF(B32=0,0,(B68*B33+B69*B34)/(B33+B34))</f>
        <v>2100</v>
      </c>
      <c r="C67" s="29">
        <f t="shared" ref="C67" si="117">IF(C32=0,0,(C68*C33+C69*C34)/(C33+C34))</f>
        <v>2100</v>
      </c>
      <c r="D67" s="29">
        <f t="shared" ref="D67" si="118">IF(D32=0,0,(D68*D33+D69*D34)/(D33+D34))</f>
        <v>2100</v>
      </c>
      <c r="E67" s="29">
        <f t="shared" ref="E67" si="119">IF(E32=0,0,(E68*E33+E69*E34)/(E33+E34))</f>
        <v>2100</v>
      </c>
      <c r="F67" s="29">
        <f t="shared" ref="F67" si="120">IF(F32=0,0,(F68*F33+F69*F34)/(F33+F34))</f>
        <v>2100</v>
      </c>
      <c r="G67" s="29">
        <f t="shared" ref="G67" si="121">IF(G32=0,0,(G68*G33+G69*G34)/(G33+G34))</f>
        <v>2099.9999999999995</v>
      </c>
      <c r="H67" s="29">
        <f t="shared" ref="H67" si="122">IF(H32=0,0,(H68*H33+H69*H34)/(H33+H34))</f>
        <v>2099.9999999999995</v>
      </c>
      <c r="I67" s="29">
        <f t="shared" ref="I67" si="123">IF(I32=0,0,(I68*I33+I69*I34)/(I33+I34))</f>
        <v>2100</v>
      </c>
      <c r="J67" s="29">
        <f t="shared" ref="J67" si="124">IF(J32=0,0,(J68*J33+J69*J34)/(J33+J34))</f>
        <v>2100.0000000000005</v>
      </c>
      <c r="K67" s="29">
        <f t="shared" ref="K67" si="125">IF(K32=0,0,(K68*K33+K69*K34)/(K33+K34))</f>
        <v>2100.0000000000005</v>
      </c>
      <c r="L67" s="29">
        <f t="shared" ref="L67" si="126">IF(L32=0,0,(L68*L33+L69*L34)/(L33+L34))</f>
        <v>2100</v>
      </c>
      <c r="M67" s="29">
        <f t="shared" ref="M67" si="127">IF(M32=0,0,(M68*M33+M69*M34)/(M33+M34))</f>
        <v>2100</v>
      </c>
      <c r="N67" s="29">
        <f t="shared" ref="N67" si="128">IF(N32=0,0,(N68*N33+N69*N34)/(N33+N34))</f>
        <v>2099.9999999999995</v>
      </c>
      <c r="O67" s="29">
        <f t="shared" ref="O67" si="129">IF(O32=0,0,(O68*O33+O69*O34)/(O33+O34))</f>
        <v>2100</v>
      </c>
      <c r="P67" s="29">
        <f t="shared" ref="P67" si="130">IF(P32=0,0,(P68*P33+P69*P34)/(P33+P34))</f>
        <v>2100</v>
      </c>
      <c r="Q67" s="29">
        <f t="shared" ref="Q67" si="131">IF(Q32=0,0,(Q68*Q33+Q69*Q34)/(Q33+Q34))</f>
        <v>2100</v>
      </c>
      <c r="R67" s="29">
        <f t="shared" ref="R67" si="132">IF(R32=0,0,(R68*R33+R69*R34)/(R33+R34))</f>
        <v>2100</v>
      </c>
      <c r="S67" s="29">
        <f t="shared" ref="S67" si="133">IF(S32=0,0,(S68*S33+S69*S34)/(S33+S34))</f>
        <v>2100</v>
      </c>
      <c r="T67" s="29">
        <f t="shared" ref="T67" si="134">IF(T32=0,0,(T68*T33+T69*T34)/(T33+T34))</f>
        <v>2100</v>
      </c>
      <c r="U67" s="29">
        <f t="shared" ref="U67" si="135">IF(U32=0,0,(U68*U33+U69*U34)/(U33+U34))</f>
        <v>2100</v>
      </c>
      <c r="V67" s="29">
        <f t="shared" ref="V67" si="136">IF(V32=0,0,(V68*V33+V69*V34)/(V33+V34))</f>
        <v>2100</v>
      </c>
      <c r="W67" s="29">
        <f t="shared" ref="W67:Y67" si="137">IF(W32=0,0,(W68*W33+W69*W34)/(W33+W34))</f>
        <v>2100</v>
      </c>
      <c r="X67" s="29">
        <f t="shared" si="137"/>
        <v>2100</v>
      </c>
      <c r="Y67" s="29">
        <f t="shared" si="137"/>
        <v>2100</v>
      </c>
      <c r="DA67" s="173" t="s">
        <v>1080</v>
      </c>
    </row>
    <row r="68" spans="1:105" ht="11.45" customHeight="1" x14ac:dyDescent="0.25">
      <c r="A68" s="83" t="s">
        <v>92</v>
      </c>
      <c r="B68" s="87">
        <v>2100</v>
      </c>
      <c r="C68" s="87">
        <v>2100</v>
      </c>
      <c r="D68" s="87">
        <v>2100</v>
      </c>
      <c r="E68" s="87">
        <v>2100</v>
      </c>
      <c r="F68" s="87">
        <v>2100</v>
      </c>
      <c r="G68" s="87">
        <v>2100</v>
      </c>
      <c r="H68" s="87">
        <v>2100</v>
      </c>
      <c r="I68" s="87">
        <v>2100</v>
      </c>
      <c r="J68" s="87">
        <v>2100</v>
      </c>
      <c r="K68" s="87">
        <v>2100</v>
      </c>
      <c r="L68" s="87">
        <v>2100</v>
      </c>
      <c r="M68" s="87">
        <v>2100</v>
      </c>
      <c r="N68" s="87">
        <v>2100</v>
      </c>
      <c r="O68" s="87">
        <v>2100</v>
      </c>
      <c r="P68" s="87">
        <v>2100</v>
      </c>
      <c r="Q68" s="87">
        <v>2100</v>
      </c>
      <c r="R68" s="87">
        <v>2100</v>
      </c>
      <c r="S68" s="87">
        <v>2100</v>
      </c>
      <c r="T68" s="87">
        <v>2100</v>
      </c>
      <c r="U68" s="87">
        <v>2100</v>
      </c>
      <c r="V68" s="87">
        <v>2100</v>
      </c>
      <c r="W68" s="87">
        <v>2100</v>
      </c>
      <c r="X68" s="87">
        <v>2100</v>
      </c>
      <c r="Y68" s="87">
        <v>2100</v>
      </c>
      <c r="DA68" s="171" t="s">
        <v>1081</v>
      </c>
    </row>
    <row r="69" spans="1:105" ht="11.45" customHeight="1" x14ac:dyDescent="0.25">
      <c r="A69" s="85" t="s">
        <v>93</v>
      </c>
      <c r="B69" s="88">
        <v>2100</v>
      </c>
      <c r="C69" s="88">
        <v>2100</v>
      </c>
      <c r="D69" s="88">
        <v>2100</v>
      </c>
      <c r="E69" s="88">
        <v>2100</v>
      </c>
      <c r="F69" s="88">
        <v>2100</v>
      </c>
      <c r="G69" s="88">
        <v>2100</v>
      </c>
      <c r="H69" s="88">
        <v>2100</v>
      </c>
      <c r="I69" s="88">
        <v>2100</v>
      </c>
      <c r="J69" s="88">
        <v>2100</v>
      </c>
      <c r="K69" s="88">
        <v>2100</v>
      </c>
      <c r="L69" s="88">
        <v>2100</v>
      </c>
      <c r="M69" s="88">
        <v>2100</v>
      </c>
      <c r="N69" s="88">
        <v>2100</v>
      </c>
      <c r="O69" s="88">
        <v>2100</v>
      </c>
      <c r="P69" s="88">
        <v>2100</v>
      </c>
      <c r="Q69" s="88">
        <v>2100</v>
      </c>
      <c r="R69" s="88">
        <v>2100</v>
      </c>
      <c r="S69" s="88">
        <v>2100</v>
      </c>
      <c r="T69" s="88">
        <v>2100</v>
      </c>
      <c r="U69" s="88">
        <v>2100</v>
      </c>
      <c r="V69" s="88">
        <v>2100</v>
      </c>
      <c r="W69" s="88">
        <v>2100</v>
      </c>
      <c r="X69" s="88">
        <v>2100</v>
      </c>
      <c r="Y69" s="88">
        <v>2100</v>
      </c>
      <c r="DA69" s="178" t="s">
        <v>1082</v>
      </c>
    </row>
    <row r="70" spans="1:105" x14ac:dyDescent="0.25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14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DA70" s="171"/>
    </row>
    <row r="71" spans="1:105" ht="11.45" customHeight="1" x14ac:dyDescent="0.25">
      <c r="A71" s="53" t="s">
        <v>104</v>
      </c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DA71" s="172"/>
    </row>
    <row r="72" spans="1:105" ht="11.45" customHeight="1" x14ac:dyDescent="0.25">
      <c r="A72" s="27" t="s">
        <v>33</v>
      </c>
      <c r="B72" s="30">
        <f>IF(B50=0,0,B50/B61)</f>
        <v>0.35875758524302165</v>
      </c>
      <c r="C72" s="30">
        <f t="shared" ref="C72:J72" si="138">IF(C50=0,0,C50/C61)</f>
        <v>0.42789908979576713</v>
      </c>
      <c r="D72" s="30">
        <f t="shared" si="138"/>
        <v>0.29229082311191112</v>
      </c>
      <c r="E72" s="30">
        <f t="shared" si="138"/>
        <v>0.30320892133108474</v>
      </c>
      <c r="F72" s="30">
        <f t="shared" si="138"/>
        <v>0.31917844174725191</v>
      </c>
      <c r="G72" s="30">
        <f t="shared" si="138"/>
        <v>0.36374635437626118</v>
      </c>
      <c r="H72" s="30">
        <f t="shared" si="138"/>
        <v>0.37571535025717318</v>
      </c>
      <c r="I72" s="30">
        <f t="shared" si="138"/>
        <v>0.28144426477504542</v>
      </c>
      <c r="J72" s="30">
        <f t="shared" si="138"/>
        <v>0.27289464064121077</v>
      </c>
      <c r="K72" s="30">
        <f t="shared" ref="K72:V72" si="139">IF(K50=0,0,K50/K61)</f>
        <v>0.25596625654586691</v>
      </c>
      <c r="L72" s="30">
        <f t="shared" si="139"/>
        <v>0.23123849808799368</v>
      </c>
      <c r="M72" s="30">
        <f t="shared" si="139"/>
        <v>0.19985170765990523</v>
      </c>
      <c r="N72" s="30">
        <f t="shared" si="139"/>
        <v>0.18389643194646013</v>
      </c>
      <c r="O72" s="30">
        <f t="shared" si="139"/>
        <v>0.19152444475072131</v>
      </c>
      <c r="P72" s="30">
        <f t="shared" si="139"/>
        <v>0.22207749729162052</v>
      </c>
      <c r="Q72" s="30">
        <f t="shared" si="139"/>
        <v>0.21754043493946673</v>
      </c>
      <c r="R72" s="30">
        <f t="shared" si="139"/>
        <v>0.21579712918152838</v>
      </c>
      <c r="S72" s="30">
        <f t="shared" si="139"/>
        <v>0.22383029232348922</v>
      </c>
      <c r="T72" s="30">
        <f t="shared" si="139"/>
        <v>0.23800757849524481</v>
      </c>
      <c r="U72" s="30">
        <f t="shared" si="139"/>
        <v>0.22766421970736037</v>
      </c>
      <c r="V72" s="30">
        <f t="shared" si="139"/>
        <v>0.15541139870975357</v>
      </c>
      <c r="W72" s="30">
        <f t="shared" ref="W72:Y72" si="140">IF(W50=0,0,W50/W61)</f>
        <v>0.16213559626240406</v>
      </c>
      <c r="X72" s="30">
        <f t="shared" si="140"/>
        <v>0.22186700282044022</v>
      </c>
      <c r="Y72" s="30">
        <f t="shared" si="140"/>
        <v>0.2892670289054512</v>
      </c>
      <c r="DA72" s="173"/>
    </row>
    <row r="73" spans="1:105" ht="11.45" customHeight="1" x14ac:dyDescent="0.25">
      <c r="A73" s="107" t="s">
        <v>23</v>
      </c>
      <c r="B73" s="118">
        <f t="shared" ref="B73:J80" si="141">IF(B51=0,0,B51/B62)</f>
        <v>0.21413284690926995</v>
      </c>
      <c r="C73" s="118">
        <f t="shared" si="141"/>
        <v>0.21413284690926995</v>
      </c>
      <c r="D73" s="118">
        <f t="shared" si="141"/>
        <v>0.21413284690926995</v>
      </c>
      <c r="E73" s="118">
        <f t="shared" si="141"/>
        <v>0.21413284690926995</v>
      </c>
      <c r="F73" s="118">
        <f t="shared" si="141"/>
        <v>0.21413284690926995</v>
      </c>
      <c r="G73" s="118">
        <f t="shared" si="141"/>
        <v>0.21198549511295067</v>
      </c>
      <c r="H73" s="118">
        <f t="shared" si="141"/>
        <v>0.21018836310168923</v>
      </c>
      <c r="I73" s="118">
        <f t="shared" si="141"/>
        <v>0.20559848729236671</v>
      </c>
      <c r="J73" s="118">
        <f t="shared" si="141"/>
        <v>0.20154675484395754</v>
      </c>
      <c r="K73" s="118">
        <f t="shared" ref="K73:V73" si="142">IF(K51=0,0,K51/K62)</f>
        <v>0.19387974180813849</v>
      </c>
      <c r="L73" s="118">
        <f t="shared" si="142"/>
        <v>0.19131461588636775</v>
      </c>
      <c r="M73" s="118">
        <f t="shared" si="142"/>
        <v>0.18538979052980939</v>
      </c>
      <c r="N73" s="118">
        <f t="shared" si="142"/>
        <v>0.18179235546404965</v>
      </c>
      <c r="O73" s="118">
        <f t="shared" si="142"/>
        <v>0.18414088540599483</v>
      </c>
      <c r="P73" s="118">
        <f t="shared" si="142"/>
        <v>0.19244702294675731</v>
      </c>
      <c r="Q73" s="118">
        <f t="shared" si="142"/>
        <v>0.19314379194900722</v>
      </c>
      <c r="R73" s="118">
        <f t="shared" si="142"/>
        <v>0.18975445882918204</v>
      </c>
      <c r="S73" s="118">
        <f t="shared" si="142"/>
        <v>0.19477557009228166</v>
      </c>
      <c r="T73" s="118">
        <f t="shared" si="142"/>
        <v>0.19572986777259924</v>
      </c>
      <c r="U73" s="118">
        <f t="shared" si="142"/>
        <v>0.19823487600694992</v>
      </c>
      <c r="V73" s="118">
        <f t="shared" si="142"/>
        <v>0.13846184011014862</v>
      </c>
      <c r="W73" s="118">
        <f t="shared" ref="W73:Y73" si="143">IF(W51=0,0,W51/W62)</f>
        <v>0.13195819909128459</v>
      </c>
      <c r="X73" s="118">
        <f t="shared" si="143"/>
        <v>0.14109180834387763</v>
      </c>
      <c r="Y73" s="118">
        <f t="shared" si="143"/>
        <v>0.20268064816250583</v>
      </c>
      <c r="DA73" s="203"/>
    </row>
    <row r="74" spans="1:105" ht="11.45" customHeight="1" x14ac:dyDescent="0.25">
      <c r="A74" s="109" t="s">
        <v>24</v>
      </c>
      <c r="B74" s="119">
        <f t="shared" si="141"/>
        <v>0.57261500094379048</v>
      </c>
      <c r="C74" s="119">
        <f t="shared" si="141"/>
        <v>0.91614644948113655</v>
      </c>
      <c r="D74" s="119">
        <f t="shared" si="141"/>
        <v>0.40318922271869057</v>
      </c>
      <c r="E74" s="119">
        <f t="shared" si="141"/>
        <v>0.43395228493777066</v>
      </c>
      <c r="F74" s="119">
        <f t="shared" si="141"/>
        <v>0.4959902163965168</v>
      </c>
      <c r="G74" s="119">
        <f t="shared" si="141"/>
        <v>0.8159629668129712</v>
      </c>
      <c r="H74" s="119">
        <f t="shared" si="141"/>
        <v>0.99087991508555429</v>
      </c>
      <c r="I74" s="119">
        <f t="shared" si="141"/>
        <v>0.43052138443545979</v>
      </c>
      <c r="J74" s="119">
        <f t="shared" si="141"/>
        <v>0.42613010240058502</v>
      </c>
      <c r="K74" s="119">
        <f t="shared" ref="K74:V74" si="144">IF(K52=0,0,K52/K63)</f>
        <v>0.40842646606243865</v>
      </c>
      <c r="L74" s="119">
        <f t="shared" si="144"/>
        <v>0.32428512228029827</v>
      </c>
      <c r="M74" s="119">
        <f t="shared" si="144"/>
        <v>0.2313057277834755</v>
      </c>
      <c r="N74" s="119">
        <f t="shared" si="144"/>
        <v>0.19572650561419067</v>
      </c>
      <c r="O74" s="119">
        <f t="shared" si="144"/>
        <v>0.21435899323749127</v>
      </c>
      <c r="P74" s="119">
        <f t="shared" si="144"/>
        <v>0.30219449541596571</v>
      </c>
      <c r="Q74" s="119">
        <f t="shared" si="144"/>
        <v>0.26711191826776692</v>
      </c>
      <c r="R74" s="119">
        <f t="shared" si="144"/>
        <v>0.26956872440008317</v>
      </c>
      <c r="S74" s="119">
        <f t="shared" si="144"/>
        <v>0.2760202311345728</v>
      </c>
      <c r="T74" s="119">
        <f t="shared" si="144"/>
        <v>0.312294430986226</v>
      </c>
      <c r="U74" s="119">
        <f t="shared" si="144"/>
        <v>0.27263847850314926</v>
      </c>
      <c r="V74" s="119">
        <f t="shared" si="144"/>
        <v>0.18178357691798078</v>
      </c>
      <c r="W74" s="119">
        <f t="shared" ref="W74:Y74" si="145">IF(W52=0,0,W52/W63)</f>
        <v>0.2029625938936383</v>
      </c>
      <c r="X74" s="119">
        <f t="shared" si="145"/>
        <v>0.37586644275661391</v>
      </c>
      <c r="Y74" s="119">
        <f t="shared" si="145"/>
        <v>0.43255897758906031</v>
      </c>
      <c r="DA74" s="176"/>
    </row>
    <row r="75" spans="1:105" ht="11.45" customHeight="1" x14ac:dyDescent="0.25">
      <c r="A75" s="111" t="s">
        <v>92</v>
      </c>
      <c r="B75" s="120">
        <f t="shared" si="141"/>
        <v>0.36485535364717214</v>
      </c>
      <c r="C75" s="120">
        <f t="shared" si="141"/>
        <v>0.4976942009986467</v>
      </c>
      <c r="D75" s="120">
        <f t="shared" si="141"/>
        <v>0.35267464911541679</v>
      </c>
      <c r="E75" s="120">
        <f t="shared" si="141"/>
        <v>0.34698242767122717</v>
      </c>
      <c r="F75" s="120">
        <f t="shared" si="141"/>
        <v>0.34740733982625288</v>
      </c>
      <c r="G75" s="120">
        <f t="shared" si="141"/>
        <v>0.48926187171247626</v>
      </c>
      <c r="H75" s="120">
        <f t="shared" si="141"/>
        <v>0.54623363673618819</v>
      </c>
      <c r="I75" s="120">
        <f t="shared" si="141"/>
        <v>0.32628445632543179</v>
      </c>
      <c r="J75" s="120">
        <f t="shared" si="141"/>
        <v>0.29954565145212703</v>
      </c>
      <c r="K75" s="120">
        <f t="shared" ref="K75:V75" si="146">IF(K53=0,0,K53/K64)</f>
        <v>0.25119414914543581</v>
      </c>
      <c r="L75" s="120">
        <f t="shared" si="146"/>
        <v>0.24588713813766727</v>
      </c>
      <c r="M75" s="120">
        <f t="shared" si="146"/>
        <v>0.195093511034693</v>
      </c>
      <c r="N75" s="120">
        <f t="shared" si="146"/>
        <v>0.17263771809849143</v>
      </c>
      <c r="O75" s="120">
        <f t="shared" si="146"/>
        <v>0.19586858351509093</v>
      </c>
      <c r="P75" s="120">
        <f t="shared" si="146"/>
        <v>0.27968645430218386</v>
      </c>
      <c r="Q75" s="120">
        <f t="shared" si="146"/>
        <v>0.23415766848942385</v>
      </c>
      <c r="R75" s="120">
        <f t="shared" si="146"/>
        <v>0.23650140429570371</v>
      </c>
      <c r="S75" s="120">
        <f t="shared" si="146"/>
        <v>0.19346220700356184</v>
      </c>
      <c r="T75" s="120">
        <f t="shared" si="146"/>
        <v>0.25337226676612151</v>
      </c>
      <c r="U75" s="120">
        <f t="shared" si="146"/>
        <v>0.20841209181031731</v>
      </c>
      <c r="V75" s="120">
        <f t="shared" si="146"/>
        <v>0.12781099966559192</v>
      </c>
      <c r="W75" s="120">
        <f t="shared" ref="W75:Y75" si="147">IF(W53=0,0,W53/W64)</f>
        <v>0.13848238709245958</v>
      </c>
      <c r="X75" s="120">
        <f t="shared" si="147"/>
        <v>0.26707151320334754</v>
      </c>
      <c r="Y75" s="120">
        <f t="shared" si="147"/>
        <v>0.2787733272849614</v>
      </c>
      <c r="DA75" s="171"/>
    </row>
    <row r="76" spans="1:105" ht="11.45" customHeight="1" x14ac:dyDescent="0.25">
      <c r="A76" s="111" t="s">
        <v>93</v>
      </c>
      <c r="B76" s="120">
        <f t="shared" si="141"/>
        <v>1.9112363838065722</v>
      </c>
      <c r="C76" s="120">
        <f t="shared" si="141"/>
        <v>1.9138838055609253</v>
      </c>
      <c r="D76" s="120">
        <f t="shared" si="141"/>
        <v>0.46186244484021388</v>
      </c>
      <c r="E76" s="120">
        <f t="shared" si="141"/>
        <v>0.56172434742973765</v>
      </c>
      <c r="F76" s="120">
        <f t="shared" si="141"/>
        <v>0.97876742485529977</v>
      </c>
      <c r="G76" s="120">
        <f t="shared" si="141"/>
        <v>1.1604402670576182</v>
      </c>
      <c r="H76" s="120">
        <f t="shared" si="141"/>
        <v>1.622215030224055</v>
      </c>
      <c r="I76" s="120">
        <f t="shared" si="141"/>
        <v>0.85441350459735621</v>
      </c>
      <c r="J76" s="120">
        <f t="shared" si="141"/>
        <v>1.0038300592521203</v>
      </c>
      <c r="K76" s="120">
        <f t="shared" ref="K76:V76" si="148">IF(K54=0,0,K54/K65)</f>
        <v>0.87443400506425084</v>
      </c>
      <c r="L76" s="120">
        <f t="shared" si="148"/>
        <v>0.57746788142554883</v>
      </c>
      <c r="M76" s="120">
        <f t="shared" si="148"/>
        <v>0.34491784734818454</v>
      </c>
      <c r="N76" s="120">
        <f t="shared" si="148"/>
        <v>0.24459773560989415</v>
      </c>
      <c r="O76" s="120">
        <f t="shared" si="148"/>
        <v>0.25550508966758251</v>
      </c>
      <c r="P76" s="120">
        <f t="shared" si="148"/>
        <v>0.33696175206399437</v>
      </c>
      <c r="Q76" s="120">
        <f t="shared" si="148"/>
        <v>0.29623001509561719</v>
      </c>
      <c r="R76" s="120">
        <f t="shared" si="148"/>
        <v>0.29944286807146325</v>
      </c>
      <c r="S76" s="120">
        <f t="shared" si="148"/>
        <v>0.35512928018076451</v>
      </c>
      <c r="T76" s="120">
        <f t="shared" si="148"/>
        <v>0.3567514229668417</v>
      </c>
      <c r="U76" s="120">
        <f t="shared" si="148"/>
        <v>0.33976695697270654</v>
      </c>
      <c r="V76" s="120">
        <f t="shared" si="148"/>
        <v>0.23579322904778932</v>
      </c>
      <c r="W76" s="120">
        <f t="shared" ref="W76:Y76" si="149">IF(W54=0,0,W54/W65)</f>
        <v>0.26145580800889012</v>
      </c>
      <c r="X76" s="120">
        <f t="shared" si="149"/>
        <v>0.45431978660142941</v>
      </c>
      <c r="Y76" s="120">
        <f t="shared" si="149"/>
        <v>0.63951452561837097</v>
      </c>
      <c r="DA76" s="171"/>
    </row>
    <row r="77" spans="1:105" ht="11.45" customHeight="1" x14ac:dyDescent="0.25">
      <c r="A77" s="112" t="s">
        <v>25</v>
      </c>
      <c r="B77" s="121">
        <f t="shared" si="141"/>
        <v>0</v>
      </c>
      <c r="C77" s="121">
        <f t="shared" si="141"/>
        <v>0</v>
      </c>
      <c r="D77" s="121">
        <f t="shared" si="141"/>
        <v>0</v>
      </c>
      <c r="E77" s="121">
        <f t="shared" si="141"/>
        <v>0</v>
      </c>
      <c r="F77" s="121">
        <f t="shared" si="141"/>
        <v>0</v>
      </c>
      <c r="G77" s="121">
        <f t="shared" si="141"/>
        <v>0</v>
      </c>
      <c r="H77" s="121">
        <f t="shared" si="141"/>
        <v>0</v>
      </c>
      <c r="I77" s="121">
        <f t="shared" si="141"/>
        <v>0</v>
      </c>
      <c r="J77" s="121">
        <f t="shared" si="141"/>
        <v>0</v>
      </c>
      <c r="K77" s="121">
        <f t="shared" ref="K77:V77" si="150">IF(K55=0,0,K55/K66)</f>
        <v>0</v>
      </c>
      <c r="L77" s="121">
        <f t="shared" si="150"/>
        <v>0</v>
      </c>
      <c r="M77" s="121">
        <f t="shared" si="150"/>
        <v>0</v>
      </c>
      <c r="N77" s="121">
        <f t="shared" si="150"/>
        <v>0</v>
      </c>
      <c r="O77" s="121">
        <f t="shared" si="150"/>
        <v>0</v>
      </c>
      <c r="P77" s="121">
        <f t="shared" si="150"/>
        <v>0</v>
      </c>
      <c r="Q77" s="121">
        <f t="shared" si="150"/>
        <v>0</v>
      </c>
      <c r="R77" s="121">
        <f t="shared" si="150"/>
        <v>0</v>
      </c>
      <c r="S77" s="121">
        <f t="shared" si="150"/>
        <v>0</v>
      </c>
      <c r="T77" s="121">
        <f t="shared" si="150"/>
        <v>0</v>
      </c>
      <c r="U77" s="121">
        <f t="shared" si="150"/>
        <v>0</v>
      </c>
      <c r="V77" s="121">
        <f t="shared" si="150"/>
        <v>0</v>
      </c>
      <c r="W77" s="121">
        <f t="shared" ref="W77:Y77" si="151">IF(W55=0,0,W55/W66)</f>
        <v>0</v>
      </c>
      <c r="X77" s="121">
        <f t="shared" si="151"/>
        <v>0</v>
      </c>
      <c r="Y77" s="121">
        <f t="shared" si="151"/>
        <v>0</v>
      </c>
      <c r="DA77" s="204"/>
    </row>
    <row r="78" spans="1:105" ht="11.45" customHeight="1" x14ac:dyDescent="0.25">
      <c r="A78" s="27" t="s">
        <v>34</v>
      </c>
      <c r="B78" s="30">
        <f t="shared" si="141"/>
        <v>0.36118272005188301</v>
      </c>
      <c r="C78" s="30">
        <f t="shared" si="141"/>
        <v>0.40515445082010954</v>
      </c>
      <c r="D78" s="30">
        <f t="shared" si="141"/>
        <v>0.23776347765457309</v>
      </c>
      <c r="E78" s="30">
        <f t="shared" si="141"/>
        <v>0.25360409815273732</v>
      </c>
      <c r="F78" s="30">
        <f t="shared" si="141"/>
        <v>0.26161258462120091</v>
      </c>
      <c r="G78" s="30">
        <f t="shared" si="141"/>
        <v>0.35293292068660426</v>
      </c>
      <c r="H78" s="30">
        <f t="shared" si="141"/>
        <v>0.38081108627504989</v>
      </c>
      <c r="I78" s="30">
        <f t="shared" si="141"/>
        <v>0.27009662039440407</v>
      </c>
      <c r="J78" s="30">
        <f t="shared" si="141"/>
        <v>0.29698468458099075</v>
      </c>
      <c r="K78" s="30">
        <f t="shared" ref="K78:V78" si="152">IF(K56=0,0,K56/K67)</f>
        <v>0.28924342393959895</v>
      </c>
      <c r="L78" s="30">
        <f t="shared" si="152"/>
        <v>0.27651080268523609</v>
      </c>
      <c r="M78" s="30">
        <f t="shared" si="152"/>
        <v>0.23250318244828103</v>
      </c>
      <c r="N78" s="30">
        <f t="shared" si="152"/>
        <v>0.22651082043753776</v>
      </c>
      <c r="O78" s="30">
        <f t="shared" si="152"/>
        <v>0.22927403525035506</v>
      </c>
      <c r="P78" s="30">
        <f t="shared" si="152"/>
        <v>0.26980714744719347</v>
      </c>
      <c r="Q78" s="30">
        <f t="shared" si="152"/>
        <v>0.24383019593398342</v>
      </c>
      <c r="R78" s="30">
        <f t="shared" si="152"/>
        <v>0.24934987986688162</v>
      </c>
      <c r="S78" s="30">
        <f t="shared" si="152"/>
        <v>0.2496869042563096</v>
      </c>
      <c r="T78" s="30">
        <f t="shared" si="152"/>
        <v>0.24385680008565389</v>
      </c>
      <c r="U78" s="30">
        <f t="shared" si="152"/>
        <v>0.23488263114758484</v>
      </c>
      <c r="V78" s="30">
        <f t="shared" si="152"/>
        <v>0.22487658790531304</v>
      </c>
      <c r="W78" s="30">
        <f t="shared" ref="W78:Y78" si="153">IF(W56=0,0,W56/W67)</f>
        <v>0.18849410257895002</v>
      </c>
      <c r="X78" s="30">
        <f t="shared" si="153"/>
        <v>0.21755526148717275</v>
      </c>
      <c r="Y78" s="30">
        <f t="shared" si="153"/>
        <v>0.40456691673852119</v>
      </c>
      <c r="DA78" s="173"/>
    </row>
    <row r="79" spans="1:105" ht="11.45" customHeight="1" x14ac:dyDescent="0.25">
      <c r="A79" s="83" t="s">
        <v>92</v>
      </c>
      <c r="B79" s="120">
        <f t="shared" si="141"/>
        <v>0.29282152650222831</v>
      </c>
      <c r="C79" s="120">
        <f t="shared" si="141"/>
        <v>0.33425651029760889</v>
      </c>
      <c r="D79" s="120">
        <f t="shared" si="141"/>
        <v>0.26427733436378248</v>
      </c>
      <c r="E79" s="120">
        <f t="shared" si="141"/>
        <v>0.32931881424524412</v>
      </c>
      <c r="F79" s="120">
        <f t="shared" si="141"/>
        <v>0.34282600040218836</v>
      </c>
      <c r="G79" s="120">
        <f t="shared" si="141"/>
        <v>0.36630556042706514</v>
      </c>
      <c r="H79" s="120">
        <f t="shared" si="141"/>
        <v>0.34824054835517421</v>
      </c>
      <c r="I79" s="120">
        <f t="shared" si="141"/>
        <v>0.29160081000080268</v>
      </c>
      <c r="J79" s="120">
        <f t="shared" si="141"/>
        <v>0.28937267680282214</v>
      </c>
      <c r="K79" s="120">
        <f t="shared" ref="K79:V79" si="154">IF(K57=0,0,K57/K68)</f>
        <v>0.28958395119700259</v>
      </c>
      <c r="L79" s="120">
        <f t="shared" si="154"/>
        <v>0.30098933481483436</v>
      </c>
      <c r="M79" s="120">
        <f t="shared" si="154"/>
        <v>0.24882486745582588</v>
      </c>
      <c r="N79" s="120">
        <f t="shared" si="154"/>
        <v>0.24275673644668666</v>
      </c>
      <c r="O79" s="120">
        <f t="shared" si="154"/>
        <v>0.24581314892479034</v>
      </c>
      <c r="P79" s="120">
        <f t="shared" si="154"/>
        <v>0.31852702971334923</v>
      </c>
      <c r="Q79" s="120">
        <f t="shared" si="154"/>
        <v>0.24876287763928281</v>
      </c>
      <c r="R79" s="120">
        <f t="shared" si="154"/>
        <v>0.24739945217879869</v>
      </c>
      <c r="S79" s="120">
        <f t="shared" si="154"/>
        <v>0.25835722419592022</v>
      </c>
      <c r="T79" s="120">
        <f t="shared" si="154"/>
        <v>0.26398738419854367</v>
      </c>
      <c r="U79" s="120">
        <f t="shared" si="154"/>
        <v>0.24520548119431493</v>
      </c>
      <c r="V79" s="120">
        <f t="shared" si="154"/>
        <v>0.26660711017526839</v>
      </c>
      <c r="W79" s="120">
        <f t="shared" ref="W79:Y79" si="155">IF(W57=0,0,W57/W68)</f>
        <v>0.17235724071553321</v>
      </c>
      <c r="X79" s="120">
        <f t="shared" si="155"/>
        <v>0.15818808892179867</v>
      </c>
      <c r="Y79" s="120">
        <f t="shared" si="155"/>
        <v>0.26369068687578195</v>
      </c>
      <c r="DA79" s="171"/>
    </row>
    <row r="80" spans="1:105" ht="11.45" customHeight="1" x14ac:dyDescent="0.25">
      <c r="A80" s="85" t="s">
        <v>93</v>
      </c>
      <c r="B80" s="122">
        <f t="shared" si="141"/>
        <v>0.45404797283031328</v>
      </c>
      <c r="C80" s="122">
        <f t="shared" si="141"/>
        <v>0.4557629601641186</v>
      </c>
      <c r="D80" s="122">
        <f t="shared" si="141"/>
        <v>0.22289014169336266</v>
      </c>
      <c r="E80" s="122">
        <f t="shared" si="141"/>
        <v>0.22948534429679185</v>
      </c>
      <c r="F80" s="122">
        <f t="shared" si="141"/>
        <v>0.23111696539686738</v>
      </c>
      <c r="G80" s="122">
        <f t="shared" si="141"/>
        <v>0.34962167138749184</v>
      </c>
      <c r="H80" s="122">
        <f t="shared" si="141"/>
        <v>0.39099998478056319</v>
      </c>
      <c r="I80" s="122">
        <f t="shared" si="141"/>
        <v>0.25916488548675581</v>
      </c>
      <c r="J80" s="122">
        <f t="shared" si="141"/>
        <v>0.30097973986338195</v>
      </c>
      <c r="K80" s="122">
        <f t="shared" ref="K80:V80" si="156">IF(K58=0,0,K58/K69)</f>
        <v>0.28911147893425043</v>
      </c>
      <c r="L80" s="122">
        <f t="shared" si="156"/>
        <v>0.26655091363849892</v>
      </c>
      <c r="M80" s="122">
        <f t="shared" si="156"/>
        <v>0.22529645632177012</v>
      </c>
      <c r="N80" s="122">
        <f t="shared" si="156"/>
        <v>0.21986746218565975</v>
      </c>
      <c r="O80" s="122">
        <f t="shared" si="156"/>
        <v>0.22265319582403903</v>
      </c>
      <c r="P80" s="122">
        <f t="shared" si="156"/>
        <v>0.25549735599126094</v>
      </c>
      <c r="Q80" s="122">
        <f t="shared" si="156"/>
        <v>0.24206382253067907</v>
      </c>
      <c r="R80" s="122">
        <f t="shared" si="156"/>
        <v>0.25007767408214632</v>
      </c>
      <c r="S80" s="122">
        <f t="shared" si="156"/>
        <v>0.24697567855116029</v>
      </c>
      <c r="T80" s="122">
        <f t="shared" si="156"/>
        <v>0.23779149329730079</v>
      </c>
      <c r="U80" s="122">
        <f t="shared" si="156"/>
        <v>0.23097064333335654</v>
      </c>
      <c r="V80" s="122">
        <f t="shared" si="156"/>
        <v>0.21395994263375531</v>
      </c>
      <c r="W80" s="122">
        <f t="shared" ref="W80:Y80" si="157">IF(W58=0,0,W58/W69)</f>
        <v>0.19465568739288502</v>
      </c>
      <c r="X80" s="122">
        <f t="shared" si="157"/>
        <v>0.24685296596920558</v>
      </c>
      <c r="Y80" s="122">
        <f t="shared" si="157"/>
        <v>0.51517306602419322</v>
      </c>
      <c r="DA80" s="178"/>
    </row>
    <row r="81" spans="1:105" x14ac:dyDescent="0.25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DA81" s="171"/>
    </row>
    <row r="82" spans="1:105" ht="11.45" customHeight="1" x14ac:dyDescent="0.25">
      <c r="A82" s="53" t="s">
        <v>105</v>
      </c>
      <c r="B82" s="54">
        <f t="shared" ref="B82:J82" si="158">IF(B14=0,0,B14/B25*1000000)</f>
        <v>132803.69424858864</v>
      </c>
      <c r="C82" s="54">
        <f t="shared" si="158"/>
        <v>109768.47406527281</v>
      </c>
      <c r="D82" s="54">
        <f t="shared" si="158"/>
        <v>129460.23390600517</v>
      </c>
      <c r="E82" s="54">
        <f t="shared" si="158"/>
        <v>128292.02090067427</v>
      </c>
      <c r="F82" s="54">
        <f t="shared" si="158"/>
        <v>123060.24035141428</v>
      </c>
      <c r="G82" s="54">
        <f t="shared" si="158"/>
        <v>102275.20337050765</v>
      </c>
      <c r="H82" s="54">
        <f t="shared" si="158"/>
        <v>100647.04402842963</v>
      </c>
      <c r="I82" s="54">
        <f t="shared" si="158"/>
        <v>120807.69205146296</v>
      </c>
      <c r="J82" s="54">
        <f t="shared" si="158"/>
        <v>118119.86442781967</v>
      </c>
      <c r="K82" s="54">
        <f t="shared" ref="K82:V82" si="159">IF(K14=0,0,K14/K25*1000000)</f>
        <v>114922.95506968787</v>
      </c>
      <c r="L82" s="54">
        <f t="shared" si="159"/>
        <v>120264.62377517007</v>
      </c>
      <c r="M82" s="54">
        <f t="shared" si="159"/>
        <v>127995.03134311621</v>
      </c>
      <c r="N82" s="54">
        <f t="shared" si="159"/>
        <v>130489.82630933235</v>
      </c>
      <c r="O82" s="54">
        <f t="shared" si="159"/>
        <v>127769.38917220323</v>
      </c>
      <c r="P82" s="54">
        <f t="shared" si="159"/>
        <v>120241.23421038213</v>
      </c>
      <c r="Q82" s="54">
        <f t="shared" si="159"/>
        <v>103746.67023263151</v>
      </c>
      <c r="R82" s="54">
        <f t="shared" si="159"/>
        <v>112270.27523734227</v>
      </c>
      <c r="S82" s="54">
        <f t="shared" si="159"/>
        <v>118973.54163341477</v>
      </c>
      <c r="T82" s="54">
        <f t="shared" si="159"/>
        <v>120736.22832278944</v>
      </c>
      <c r="U82" s="54">
        <f t="shared" si="159"/>
        <v>129347.62559435981</v>
      </c>
      <c r="V82" s="54">
        <f t="shared" si="159"/>
        <v>134976.66797171583</v>
      </c>
      <c r="W82" s="54">
        <f t="shared" ref="W82:Y82" si="160">IF(W14=0,0,W14/W25*1000000)</f>
        <v>138418.8532557883</v>
      </c>
      <c r="X82" s="54">
        <f t="shared" si="160"/>
        <v>122543.83954154057</v>
      </c>
      <c r="Y82" s="54">
        <f t="shared" si="160"/>
        <v>101508.11396695557</v>
      </c>
      <c r="DA82" s="172" t="s">
        <v>1083</v>
      </c>
    </row>
    <row r="83" spans="1:105" ht="11.45" customHeight="1" x14ac:dyDescent="0.25">
      <c r="A83" s="27" t="s">
        <v>33</v>
      </c>
      <c r="B83" s="28">
        <f t="shared" ref="B83:J91" si="161">IF(B15=0,0,B15/B26*1000000)</f>
        <v>125969.64648199407</v>
      </c>
      <c r="C83" s="28">
        <f t="shared" si="161"/>
        <v>103298.68755746816</v>
      </c>
      <c r="D83" s="28">
        <f t="shared" si="161"/>
        <v>119973.54264906507</v>
      </c>
      <c r="E83" s="28">
        <f t="shared" si="161"/>
        <v>120541.14687499691</v>
      </c>
      <c r="F83" s="28">
        <f t="shared" si="161"/>
        <v>112485.42607674802</v>
      </c>
      <c r="G83" s="28">
        <f t="shared" si="161"/>
        <v>95552.04222711685</v>
      </c>
      <c r="H83" s="28">
        <f t="shared" si="161"/>
        <v>95005.139596238892</v>
      </c>
      <c r="I83" s="28">
        <f t="shared" si="161"/>
        <v>112521.10598550836</v>
      </c>
      <c r="J83" s="28">
        <f t="shared" si="161"/>
        <v>111396.7653837735</v>
      </c>
      <c r="K83" s="28">
        <f t="shared" ref="K83:V83" si="162">IF(K15=0,0,K15/K26*1000000)</f>
        <v>111822.32235189644</v>
      </c>
      <c r="L83" s="28">
        <f t="shared" si="162"/>
        <v>114481.81246860645</v>
      </c>
      <c r="M83" s="28">
        <f t="shared" si="162"/>
        <v>120039.69805321142</v>
      </c>
      <c r="N83" s="28">
        <f t="shared" si="162"/>
        <v>123607.44787251996</v>
      </c>
      <c r="O83" s="28">
        <f t="shared" si="162"/>
        <v>120850.38679670557</v>
      </c>
      <c r="P83" s="28">
        <f t="shared" si="162"/>
        <v>115212.31224365628</v>
      </c>
      <c r="Q83" s="28">
        <f t="shared" si="162"/>
        <v>93987.327524103384</v>
      </c>
      <c r="R83" s="28">
        <f t="shared" si="162"/>
        <v>102906.03928780225</v>
      </c>
      <c r="S83" s="28">
        <f t="shared" si="162"/>
        <v>109958.09010055986</v>
      </c>
      <c r="T83" s="28">
        <f t="shared" si="162"/>
        <v>111323.93007747609</v>
      </c>
      <c r="U83" s="28">
        <f t="shared" si="162"/>
        <v>120500.79344378221</v>
      </c>
      <c r="V83" s="28">
        <f t="shared" si="162"/>
        <v>126977.78098962059</v>
      </c>
      <c r="W83" s="28">
        <f t="shared" ref="W83:Y83" si="163">IF(W15=0,0,W15/W26*1000000)</f>
        <v>127713.3728038535</v>
      </c>
      <c r="X83" s="28">
        <f t="shared" si="163"/>
        <v>114392.6871535634</v>
      </c>
      <c r="Y83" s="28">
        <f t="shared" si="163"/>
        <v>102343.41976426938</v>
      </c>
      <c r="DA83" s="173" t="s">
        <v>1084</v>
      </c>
    </row>
    <row r="84" spans="1:105" ht="11.45" customHeight="1" x14ac:dyDescent="0.25">
      <c r="A84" s="107" t="s">
        <v>23</v>
      </c>
      <c r="B84" s="108">
        <f t="shared" si="161"/>
        <v>109999.99986749314</v>
      </c>
      <c r="C84" s="108">
        <f t="shared" si="161"/>
        <v>109999.99986749314</v>
      </c>
      <c r="D84" s="108">
        <f t="shared" si="161"/>
        <v>109999.99986749314</v>
      </c>
      <c r="E84" s="108">
        <f t="shared" si="161"/>
        <v>109999.99996443113</v>
      </c>
      <c r="F84" s="108">
        <f t="shared" si="161"/>
        <v>109999.99985518806</v>
      </c>
      <c r="G84" s="108">
        <f t="shared" si="161"/>
        <v>109999.99987264011</v>
      </c>
      <c r="H84" s="108">
        <f t="shared" si="161"/>
        <v>109999.999969747</v>
      </c>
      <c r="I84" s="108">
        <f t="shared" si="161"/>
        <v>109999.99989109406</v>
      </c>
      <c r="J84" s="108">
        <f t="shared" si="161"/>
        <v>109999.99994598611</v>
      </c>
      <c r="K84" s="108">
        <f t="shared" ref="K84:V84" si="164">IF(K16=0,0,K16/K27*1000000)</f>
        <v>109999.99993855561</v>
      </c>
      <c r="L84" s="108">
        <f t="shared" si="164"/>
        <v>109999.99989729964</v>
      </c>
      <c r="M84" s="108">
        <f t="shared" si="164"/>
        <v>109999.99993064645</v>
      </c>
      <c r="N84" s="108">
        <f t="shared" si="164"/>
        <v>109999.99991397862</v>
      </c>
      <c r="O84" s="108">
        <f t="shared" si="164"/>
        <v>109999.99997031728</v>
      </c>
      <c r="P84" s="108">
        <f t="shared" si="164"/>
        <v>109999.99991892937</v>
      </c>
      <c r="Q84" s="108">
        <f t="shared" si="164"/>
        <v>72097.132949872132</v>
      </c>
      <c r="R84" s="108">
        <f t="shared" si="164"/>
        <v>81691.680493919645</v>
      </c>
      <c r="S84" s="108">
        <f t="shared" si="164"/>
        <v>87250.739619923872</v>
      </c>
      <c r="T84" s="108">
        <f t="shared" si="164"/>
        <v>92578.908409026379</v>
      </c>
      <c r="U84" s="108">
        <f t="shared" si="164"/>
        <v>99246.306691147882</v>
      </c>
      <c r="V84" s="108">
        <f t="shared" si="164"/>
        <v>109999.99993649847</v>
      </c>
      <c r="W84" s="108">
        <f t="shared" ref="W84:Y84" si="165">IF(W16=0,0,W16/W27*1000000)</f>
        <v>109999.99991874027</v>
      </c>
      <c r="X84" s="108">
        <f t="shared" si="165"/>
        <v>109999.99990046557</v>
      </c>
      <c r="Y84" s="108">
        <f t="shared" si="165"/>
        <v>94409.205361150423</v>
      </c>
      <c r="DA84" s="203" t="s">
        <v>1085</v>
      </c>
    </row>
    <row r="85" spans="1:105" ht="11.45" customHeight="1" x14ac:dyDescent="0.25">
      <c r="A85" s="109" t="s">
        <v>24</v>
      </c>
      <c r="B85" s="110">
        <f t="shared" si="161"/>
        <v>149999.99963547636</v>
      </c>
      <c r="C85" s="110">
        <f t="shared" si="161"/>
        <v>92719.496694724308</v>
      </c>
      <c r="D85" s="110">
        <f t="shared" si="161"/>
        <v>132770.4151872423</v>
      </c>
      <c r="E85" s="110">
        <f t="shared" si="161"/>
        <v>134778.0649230743</v>
      </c>
      <c r="F85" s="110">
        <f t="shared" si="161"/>
        <v>115965.90677488504</v>
      </c>
      <c r="G85" s="110">
        <f t="shared" si="161"/>
        <v>71620.490356929615</v>
      </c>
      <c r="H85" s="110">
        <f t="shared" si="161"/>
        <v>66343.386041641876</v>
      </c>
      <c r="I85" s="110">
        <f t="shared" si="161"/>
        <v>116654.87226458079</v>
      </c>
      <c r="J85" s="110">
        <f t="shared" si="161"/>
        <v>113856.90744232947</v>
      </c>
      <c r="K85" s="110">
        <f t="shared" ref="K85:V85" si="166">IF(K17=0,0,K17/K28*1000000)</f>
        <v>115531.60814533975</v>
      </c>
      <c r="L85" s="110">
        <f t="shared" si="166"/>
        <v>123436.13190664828</v>
      </c>
      <c r="M85" s="110">
        <f t="shared" si="166"/>
        <v>137473.6066563646</v>
      </c>
      <c r="N85" s="110">
        <f t="shared" si="166"/>
        <v>149999.99968818622</v>
      </c>
      <c r="O85" s="110">
        <f t="shared" si="166"/>
        <v>144115.52815818344</v>
      </c>
      <c r="P85" s="110">
        <f t="shared" si="166"/>
        <v>127404.99132743779</v>
      </c>
      <c r="Q85" s="110">
        <f t="shared" si="166"/>
        <v>138252.53243221538</v>
      </c>
      <c r="R85" s="110">
        <f t="shared" si="166"/>
        <v>146985.3886370192</v>
      </c>
      <c r="S85" s="110">
        <f t="shared" si="166"/>
        <v>149999.99954301742</v>
      </c>
      <c r="T85" s="110">
        <f t="shared" si="166"/>
        <v>144911.48605600899</v>
      </c>
      <c r="U85" s="110">
        <f t="shared" si="166"/>
        <v>149999.9994702267</v>
      </c>
      <c r="V85" s="110">
        <f t="shared" si="166"/>
        <v>149339.27445766967</v>
      </c>
      <c r="W85" s="110">
        <f t="shared" ref="W85:Y85" si="167">IF(W17=0,0,W17/W28*1000000)</f>
        <v>149999.99960401087</v>
      </c>
      <c r="X85" s="110">
        <f t="shared" si="167"/>
        <v>121642.5536946428</v>
      </c>
      <c r="Y85" s="110">
        <f t="shared" si="167"/>
        <v>114394.63407182133</v>
      </c>
      <c r="DA85" s="176" t="s">
        <v>1086</v>
      </c>
    </row>
    <row r="86" spans="1:105" ht="11.45" customHeight="1" x14ac:dyDescent="0.25">
      <c r="A86" s="111" t="s">
        <v>92</v>
      </c>
      <c r="B86" s="84">
        <f t="shared" si="161"/>
        <v>149999.99970869141</v>
      </c>
      <c r="C86" s="84">
        <f t="shared" si="161"/>
        <v>79919.801319418693</v>
      </c>
      <c r="D86" s="84">
        <f t="shared" si="161"/>
        <v>120822.10000519596</v>
      </c>
      <c r="E86" s="84">
        <f t="shared" si="161"/>
        <v>141972.10233155618</v>
      </c>
      <c r="F86" s="84">
        <f t="shared" si="161"/>
        <v>149999.99971724453</v>
      </c>
      <c r="G86" s="84">
        <f t="shared" si="161"/>
        <v>65179.589545814502</v>
      </c>
      <c r="H86" s="84">
        <f t="shared" si="161"/>
        <v>73341.079931095519</v>
      </c>
      <c r="I86" s="84">
        <f t="shared" si="161"/>
        <v>149999.9998735316</v>
      </c>
      <c r="J86" s="84">
        <f t="shared" si="161"/>
        <v>149999.99957296654</v>
      </c>
      <c r="K86" s="84">
        <f t="shared" ref="K86:V86" si="168">IF(K18=0,0,K18/K29*1000000)</f>
        <v>144631.63457477829</v>
      </c>
      <c r="L86" s="84">
        <f t="shared" si="168"/>
        <v>149999.99984611836</v>
      </c>
      <c r="M86" s="84">
        <f t="shared" si="168"/>
        <v>149999.99968118095</v>
      </c>
      <c r="N86" s="84">
        <f t="shared" si="168"/>
        <v>149999.99971352683</v>
      </c>
      <c r="O86" s="84">
        <f t="shared" si="168"/>
        <v>149999.99949694891</v>
      </c>
      <c r="P86" s="84">
        <f t="shared" si="168"/>
        <v>120531.74253555233</v>
      </c>
      <c r="Q86" s="84">
        <f t="shared" si="168"/>
        <v>126996.31338987713</v>
      </c>
      <c r="R86" s="84">
        <f t="shared" si="168"/>
        <v>147651.93504470101</v>
      </c>
      <c r="S86" s="84">
        <f t="shared" si="168"/>
        <v>149999.99945843022</v>
      </c>
      <c r="T86" s="84">
        <f t="shared" si="168"/>
        <v>139108.03085073282</v>
      </c>
      <c r="U86" s="84">
        <f t="shared" si="168"/>
        <v>149999.99938362787</v>
      </c>
      <c r="V86" s="84">
        <f t="shared" si="168"/>
        <v>149999.99995167219</v>
      </c>
      <c r="W86" s="84">
        <f t="shared" ref="W86:Y86" si="169">IF(W18=0,0,W18/W29*1000000)</f>
        <v>149999.99935200738</v>
      </c>
      <c r="X86" s="84">
        <f t="shared" si="169"/>
        <v>117436.13271410266</v>
      </c>
      <c r="Y86" s="84">
        <f t="shared" si="169"/>
        <v>149999.9997606221</v>
      </c>
      <c r="DA86" s="171" t="s">
        <v>1087</v>
      </c>
    </row>
    <row r="87" spans="1:105" ht="11.45" customHeight="1" x14ac:dyDescent="0.25">
      <c r="A87" s="111" t="s">
        <v>93</v>
      </c>
      <c r="B87" s="84">
        <f t="shared" si="161"/>
        <v>149999.99916374264</v>
      </c>
      <c r="C87" s="84">
        <f t="shared" si="161"/>
        <v>149999.99979737832</v>
      </c>
      <c r="D87" s="84">
        <f t="shared" si="161"/>
        <v>149999.99930412759</v>
      </c>
      <c r="E87" s="84">
        <f t="shared" si="161"/>
        <v>125439.68015315518</v>
      </c>
      <c r="F87" s="84">
        <f t="shared" si="161"/>
        <v>66753.476793834052</v>
      </c>
      <c r="G87" s="84">
        <f t="shared" si="161"/>
        <v>79950.942980947351</v>
      </c>
      <c r="H87" s="84">
        <f t="shared" si="161"/>
        <v>58427.97040314319</v>
      </c>
      <c r="I87" s="84">
        <f t="shared" si="161"/>
        <v>61267.884313348361</v>
      </c>
      <c r="J87" s="84">
        <f t="shared" si="161"/>
        <v>54226.511951420478</v>
      </c>
      <c r="K87" s="84">
        <f t="shared" ref="K87:V87" si="170">IF(K19=0,0,K19/K30*1000000)</f>
        <v>72373.599954858233</v>
      </c>
      <c r="L87" s="84">
        <f t="shared" si="170"/>
        <v>78526.103177530182</v>
      </c>
      <c r="M87" s="84">
        <f t="shared" si="170"/>
        <v>108932.96923675734</v>
      </c>
      <c r="N87" s="84">
        <f t="shared" si="170"/>
        <v>149999.99963454864</v>
      </c>
      <c r="O87" s="84">
        <f t="shared" si="170"/>
        <v>132544.79257675647</v>
      </c>
      <c r="P87" s="84">
        <f t="shared" si="170"/>
        <v>139711.20934635255</v>
      </c>
      <c r="Q87" s="84">
        <f t="shared" si="170"/>
        <v>149999.9994995759</v>
      </c>
      <c r="R87" s="84">
        <f t="shared" si="170"/>
        <v>146388.36123582584</v>
      </c>
      <c r="S87" s="84">
        <f t="shared" si="170"/>
        <v>149999.99962407089</v>
      </c>
      <c r="T87" s="84">
        <f t="shared" si="170"/>
        <v>149621.13753783665</v>
      </c>
      <c r="U87" s="84">
        <f t="shared" si="170"/>
        <v>149999.99956073851</v>
      </c>
      <c r="V87" s="84">
        <f t="shared" si="170"/>
        <v>148683.89630148251</v>
      </c>
      <c r="W87" s="84">
        <f t="shared" ref="W87:Y87" si="171">IF(W19=0,0,W19/W30*1000000)</f>
        <v>149999.99983261581</v>
      </c>
      <c r="X87" s="84">
        <f t="shared" si="171"/>
        <v>124867.81045234449</v>
      </c>
      <c r="Y87" s="84">
        <f t="shared" si="171"/>
        <v>86699.568961901081</v>
      </c>
      <c r="DA87" s="171" t="s">
        <v>1088</v>
      </c>
    </row>
    <row r="88" spans="1:105" ht="11.45" customHeight="1" x14ac:dyDescent="0.25">
      <c r="A88" s="112" t="s">
        <v>25</v>
      </c>
      <c r="B88" s="113">
        <f t="shared" si="161"/>
        <v>0</v>
      </c>
      <c r="C88" s="113">
        <f t="shared" si="161"/>
        <v>0</v>
      </c>
      <c r="D88" s="113">
        <f t="shared" si="161"/>
        <v>0</v>
      </c>
      <c r="E88" s="113">
        <f t="shared" si="161"/>
        <v>0</v>
      </c>
      <c r="F88" s="113">
        <f t="shared" si="161"/>
        <v>0</v>
      </c>
      <c r="G88" s="113">
        <f t="shared" si="161"/>
        <v>0</v>
      </c>
      <c r="H88" s="113">
        <f t="shared" si="161"/>
        <v>0</v>
      </c>
      <c r="I88" s="113">
        <f t="shared" si="161"/>
        <v>0</v>
      </c>
      <c r="J88" s="113">
        <f t="shared" si="161"/>
        <v>0</v>
      </c>
      <c r="K88" s="113">
        <f t="shared" ref="K88:V88" si="172">IF(K20=0,0,K20/K31*1000000)</f>
        <v>0</v>
      </c>
      <c r="L88" s="113">
        <f t="shared" si="172"/>
        <v>0</v>
      </c>
      <c r="M88" s="113">
        <f t="shared" si="172"/>
        <v>0</v>
      </c>
      <c r="N88" s="113">
        <f t="shared" si="172"/>
        <v>0</v>
      </c>
      <c r="O88" s="113">
        <f t="shared" si="172"/>
        <v>0</v>
      </c>
      <c r="P88" s="113">
        <f t="shared" si="172"/>
        <v>0</v>
      </c>
      <c r="Q88" s="113">
        <f t="shared" si="172"/>
        <v>0</v>
      </c>
      <c r="R88" s="113">
        <f t="shared" si="172"/>
        <v>0</v>
      </c>
      <c r="S88" s="113">
        <f t="shared" si="172"/>
        <v>0</v>
      </c>
      <c r="T88" s="113">
        <f t="shared" si="172"/>
        <v>0</v>
      </c>
      <c r="U88" s="113">
        <f t="shared" si="172"/>
        <v>0</v>
      </c>
      <c r="V88" s="113">
        <f t="shared" si="172"/>
        <v>0</v>
      </c>
      <c r="W88" s="113">
        <f t="shared" ref="W88:Y88" si="173">IF(W20=0,0,W20/W31*1000000)</f>
        <v>0</v>
      </c>
      <c r="X88" s="113">
        <f t="shared" si="173"/>
        <v>0</v>
      </c>
      <c r="Y88" s="113">
        <f t="shared" si="173"/>
        <v>0</v>
      </c>
      <c r="DA88" s="204" t="s">
        <v>1089</v>
      </c>
    </row>
    <row r="89" spans="1:105" ht="11.45" customHeight="1" x14ac:dyDescent="0.25">
      <c r="A89" s="27" t="s">
        <v>34</v>
      </c>
      <c r="B89" s="28">
        <f t="shared" si="161"/>
        <v>199999.99829480206</v>
      </c>
      <c r="C89" s="28">
        <f t="shared" si="161"/>
        <v>170343.76172532383</v>
      </c>
      <c r="D89" s="28">
        <f t="shared" si="161"/>
        <v>199999.99941338436</v>
      </c>
      <c r="E89" s="28">
        <f t="shared" si="161"/>
        <v>181437.84139745045</v>
      </c>
      <c r="F89" s="28">
        <f t="shared" si="161"/>
        <v>199929.39957581504</v>
      </c>
      <c r="G89" s="28">
        <f t="shared" si="161"/>
        <v>155161.32480736874</v>
      </c>
      <c r="H89" s="28">
        <f t="shared" si="161"/>
        <v>148008.73113106366</v>
      </c>
      <c r="I89" s="28">
        <f t="shared" si="161"/>
        <v>190632.00811850632</v>
      </c>
      <c r="J89" s="28">
        <f t="shared" si="161"/>
        <v>179122.93193216299</v>
      </c>
      <c r="K89" s="28">
        <f t="shared" ref="K89:V89" si="174">IF(K21=0,0,K21/K32*1000000)</f>
        <v>145333.65103405379</v>
      </c>
      <c r="L89" s="28">
        <f t="shared" si="174"/>
        <v>183691.84516069162</v>
      </c>
      <c r="M89" s="28">
        <f t="shared" si="174"/>
        <v>199999.99824140014</v>
      </c>
      <c r="N89" s="28">
        <f t="shared" si="174"/>
        <v>199999.99852129919</v>
      </c>
      <c r="O89" s="28">
        <f t="shared" si="174"/>
        <v>199999.99771829296</v>
      </c>
      <c r="P89" s="28">
        <f t="shared" si="174"/>
        <v>175110.37542706772</v>
      </c>
      <c r="Q89" s="28">
        <f t="shared" si="174"/>
        <v>199999.99885047929</v>
      </c>
      <c r="R89" s="28">
        <f t="shared" si="174"/>
        <v>199999.99879257794</v>
      </c>
      <c r="S89" s="28">
        <f t="shared" si="174"/>
        <v>199999.9972581614</v>
      </c>
      <c r="T89" s="28">
        <f t="shared" si="174"/>
        <v>199999.99739381234</v>
      </c>
      <c r="U89" s="28">
        <f t="shared" si="174"/>
        <v>199999.99801995268</v>
      </c>
      <c r="V89" s="28">
        <f t="shared" si="174"/>
        <v>194194.49986745813</v>
      </c>
      <c r="W89" s="28">
        <f t="shared" ref="W89:Y89" si="175">IF(W21=0,0,W21/W32*1000000)</f>
        <v>199999.99809625375</v>
      </c>
      <c r="X89" s="28">
        <f t="shared" si="175"/>
        <v>173430.02718988186</v>
      </c>
      <c r="Y89" s="28">
        <f t="shared" si="175"/>
        <v>96314.692376706022</v>
      </c>
      <c r="DA89" s="173" t="s">
        <v>1090</v>
      </c>
    </row>
    <row r="90" spans="1:105" ht="11.45" customHeight="1" x14ac:dyDescent="0.25">
      <c r="A90" s="83" t="s">
        <v>92</v>
      </c>
      <c r="B90" s="84">
        <f t="shared" si="161"/>
        <v>199999.99993454479</v>
      </c>
      <c r="C90" s="84">
        <f t="shared" si="161"/>
        <v>141044.74561436434</v>
      </c>
      <c r="D90" s="84">
        <f t="shared" si="161"/>
        <v>199999.99905649066</v>
      </c>
      <c r="E90" s="84">
        <f t="shared" si="161"/>
        <v>140501.80503335426</v>
      </c>
      <c r="F90" s="84">
        <f t="shared" si="161"/>
        <v>199741.62644793343</v>
      </c>
      <c r="G90" s="84">
        <f t="shared" si="161"/>
        <v>122878.05896594416</v>
      </c>
      <c r="H90" s="84">
        <f t="shared" si="161"/>
        <v>157222.60339603169</v>
      </c>
      <c r="I90" s="84">
        <f t="shared" si="161"/>
        <v>199999.99698239961</v>
      </c>
      <c r="J90" s="84">
        <f t="shared" si="161"/>
        <v>199999.9959425196</v>
      </c>
      <c r="K90" s="84">
        <f t="shared" ref="K90:V90" si="176">IF(K22=0,0,K22/K33*1000000)</f>
        <v>142267.54051256744</v>
      </c>
      <c r="L90" s="84">
        <f t="shared" si="176"/>
        <v>199999.99452996807</v>
      </c>
      <c r="M90" s="84">
        <f t="shared" si="176"/>
        <v>199999.99626463646</v>
      </c>
      <c r="N90" s="84">
        <f t="shared" si="176"/>
        <v>199999.99906107361</v>
      </c>
      <c r="O90" s="84">
        <f t="shared" si="176"/>
        <v>199999.99655049111</v>
      </c>
      <c r="P90" s="84">
        <f t="shared" si="176"/>
        <v>152571.54924493885</v>
      </c>
      <c r="Q90" s="84">
        <f t="shared" si="176"/>
        <v>199999.99668299235</v>
      </c>
      <c r="R90" s="84">
        <f t="shared" si="176"/>
        <v>199999.99799375629</v>
      </c>
      <c r="S90" s="84">
        <f t="shared" si="176"/>
        <v>199999.99432880009</v>
      </c>
      <c r="T90" s="84">
        <f t="shared" si="176"/>
        <v>199999.99324318187</v>
      </c>
      <c r="U90" s="84">
        <f t="shared" si="176"/>
        <v>199999.9949428238</v>
      </c>
      <c r="V90" s="84">
        <f t="shared" si="176"/>
        <v>174798.50925969391</v>
      </c>
      <c r="W90" s="84">
        <f t="shared" ref="W90:Y90" si="177">IF(W22=0,0,W22/W33*1000000)</f>
        <v>199999.99620969067</v>
      </c>
      <c r="X90" s="84">
        <f t="shared" si="177"/>
        <v>199999.99951649955</v>
      </c>
      <c r="Y90" s="84">
        <f t="shared" si="177"/>
        <v>158829.81074639459</v>
      </c>
      <c r="DA90" s="171" t="s">
        <v>1091</v>
      </c>
    </row>
    <row r="91" spans="1:105" ht="11.45" customHeight="1" x14ac:dyDescent="0.25">
      <c r="A91" s="85" t="s">
        <v>93</v>
      </c>
      <c r="B91" s="86">
        <f t="shared" si="161"/>
        <v>199999.99606729383</v>
      </c>
      <c r="C91" s="86">
        <f t="shared" si="161"/>
        <v>199999.99869264153</v>
      </c>
      <c r="D91" s="86">
        <f t="shared" si="161"/>
        <v>199999.99961358908</v>
      </c>
      <c r="E91" s="86">
        <f t="shared" si="161"/>
        <v>199999.99857410812</v>
      </c>
      <c r="F91" s="86">
        <f t="shared" si="161"/>
        <v>199999.99954845809</v>
      </c>
      <c r="G91" s="86">
        <f t="shared" si="161"/>
        <v>165957.62802780824</v>
      </c>
      <c r="H91" s="86">
        <f t="shared" si="161"/>
        <v>145344.16134496534</v>
      </c>
      <c r="I91" s="86">
        <f t="shared" si="161"/>
        <v>186198.38974220341</v>
      </c>
      <c r="J91" s="86">
        <f t="shared" si="161"/>
        <v>169819.35013168954</v>
      </c>
      <c r="K91" s="86">
        <f t="shared" ref="K91:V91" si="178">IF(K23=0,0,K23/K34*1000000)</f>
        <v>146557.50931865707</v>
      </c>
      <c r="L91" s="86">
        <f t="shared" si="178"/>
        <v>177793.11191063756</v>
      </c>
      <c r="M91" s="86">
        <f t="shared" si="178"/>
        <v>199999.99911422635</v>
      </c>
      <c r="N91" s="86">
        <f t="shared" si="178"/>
        <v>199999.99830057201</v>
      </c>
      <c r="O91" s="86">
        <f t="shared" si="178"/>
        <v>199999.99818578042</v>
      </c>
      <c r="P91" s="86">
        <f t="shared" si="178"/>
        <v>183052.95465859835</v>
      </c>
      <c r="Q91" s="86">
        <f t="shared" si="178"/>
        <v>199999.99962664759</v>
      </c>
      <c r="R91" s="86">
        <f t="shared" si="178"/>
        <v>199999.99909065504</v>
      </c>
      <c r="S91" s="86">
        <f t="shared" si="178"/>
        <v>199999.99817417836</v>
      </c>
      <c r="T91" s="86">
        <f t="shared" si="178"/>
        <v>199999.9986443895</v>
      </c>
      <c r="U91" s="86">
        <f t="shared" si="178"/>
        <v>199999.99918607352</v>
      </c>
      <c r="V91" s="86">
        <f t="shared" si="178"/>
        <v>199999.99966093298</v>
      </c>
      <c r="W91" s="86">
        <f t="shared" ref="W91:Y91" si="179">IF(W23=0,0,W23/W34*1000000)</f>
        <v>199999.99881660563</v>
      </c>
      <c r="X91" s="86">
        <f t="shared" si="179"/>
        <v>162759.29694441485</v>
      </c>
      <c r="Y91" s="86">
        <f t="shared" si="179"/>
        <v>73577.388703437085</v>
      </c>
      <c r="DA91" s="178" t="s">
        <v>1092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DA92" s="171"/>
    </row>
    <row r="93" spans="1:105" ht="11.45" customHeight="1" x14ac:dyDescent="0.25">
      <c r="A93" s="53" t="s">
        <v>106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DA93" s="172"/>
    </row>
    <row r="94" spans="1:105" ht="11.45" customHeight="1" x14ac:dyDescent="0.25">
      <c r="A94" s="27" t="s">
        <v>107</v>
      </c>
      <c r="B94" s="28">
        <f t="shared" ref="B94:J102" si="180">IF(B4=0,0,B4/B26*1000000)</f>
        <v>16633607.842767229</v>
      </c>
      <c r="C94" s="28">
        <f t="shared" si="180"/>
        <v>16309274.746826844</v>
      </c>
      <c r="D94" s="28">
        <f t="shared" si="180"/>
        <v>12798100.305129673</v>
      </c>
      <c r="E94" s="28">
        <f t="shared" si="180"/>
        <v>13375753.881259635</v>
      </c>
      <c r="F94" s="28">
        <f t="shared" si="180"/>
        <v>13164582.433752565</v>
      </c>
      <c r="G94" s="28">
        <f t="shared" si="180"/>
        <v>12855950.448061794</v>
      </c>
      <c r="H94" s="28">
        <f t="shared" si="180"/>
        <v>13297137.771897146</v>
      </c>
      <c r="I94" s="28">
        <f t="shared" si="180"/>
        <v>11707596.646326365</v>
      </c>
      <c r="J94" s="28">
        <f t="shared" si="180"/>
        <v>11279104.046996269</v>
      </c>
      <c r="K94" s="28">
        <f t="shared" ref="K94:V94" si="181">IF(K4=0,0,K4/K26*1000000)</f>
        <v>10694742.815592824</v>
      </c>
      <c r="L94" s="28">
        <f t="shared" si="181"/>
        <v>9882615.9632689487</v>
      </c>
      <c r="M94" s="28">
        <f t="shared" si="181"/>
        <v>8894716.8894327786</v>
      </c>
      <c r="N94" s="28">
        <f t="shared" si="181"/>
        <v>8473766.5015691444</v>
      </c>
      <c r="O94" s="28">
        <f t="shared" si="181"/>
        <v>8669402.5633649193</v>
      </c>
      <c r="P94" s="28">
        <f t="shared" si="181"/>
        <v>9621439.4951499011</v>
      </c>
      <c r="Q94" s="28">
        <f t="shared" si="181"/>
        <v>7637185.4690420106</v>
      </c>
      <c r="R94" s="28">
        <f t="shared" si="181"/>
        <v>8305519.4901339374</v>
      </c>
      <c r="S94" s="28">
        <f t="shared" si="181"/>
        <v>9132265.7766508069</v>
      </c>
      <c r="T94" s="28">
        <f t="shared" si="181"/>
        <v>9839128.5433935132</v>
      </c>
      <c r="U94" s="28">
        <f t="shared" si="181"/>
        <v>10054398.471712049</v>
      </c>
      <c r="V94" s="28">
        <f t="shared" si="181"/>
        <v>7212191.4914666666</v>
      </c>
      <c r="W94" s="28">
        <f t="shared" ref="W94:Y94" si="182">IF(W4=0,0,W4/W26*1000000)</f>
        <v>7549176.0244663339</v>
      </c>
      <c r="X94" s="28">
        <f t="shared" si="182"/>
        <v>9385924.6870182976</v>
      </c>
      <c r="Y94" s="28">
        <f t="shared" si="182"/>
        <v>10901589.51515441</v>
      </c>
      <c r="DA94" s="173" t="s">
        <v>1093</v>
      </c>
    </row>
    <row r="95" spans="1:105" ht="11.45" customHeight="1" x14ac:dyDescent="0.25">
      <c r="A95" s="107" t="s">
        <v>23</v>
      </c>
      <c r="B95" s="108">
        <f t="shared" si="180"/>
        <v>9421845.2526582517</v>
      </c>
      <c r="C95" s="108">
        <f t="shared" si="180"/>
        <v>9421845.2526582517</v>
      </c>
      <c r="D95" s="108">
        <f t="shared" si="180"/>
        <v>9421845.2526582517</v>
      </c>
      <c r="E95" s="108">
        <f t="shared" si="180"/>
        <v>9421845.2609612923</v>
      </c>
      <c r="F95" s="108">
        <f t="shared" si="180"/>
        <v>9421845.2516042814</v>
      </c>
      <c r="G95" s="108">
        <f t="shared" si="180"/>
        <v>9327361.774170449</v>
      </c>
      <c r="H95" s="108">
        <f t="shared" si="180"/>
        <v>9248287.9739307947</v>
      </c>
      <c r="I95" s="108">
        <f t="shared" si="180"/>
        <v>9046333.4319077767</v>
      </c>
      <c r="J95" s="108">
        <f t="shared" si="180"/>
        <v>8868057.2087796014</v>
      </c>
      <c r="K95" s="108">
        <f t="shared" ref="K95:V95" si="183">IF(K5=0,0,K5/K27*1000000)</f>
        <v>8530708.6347929649</v>
      </c>
      <c r="L95" s="108">
        <f t="shared" si="183"/>
        <v>8417843.0911409482</v>
      </c>
      <c r="M95" s="108">
        <f t="shared" si="183"/>
        <v>8157150.7781686364</v>
      </c>
      <c r="N95" s="108">
        <f t="shared" si="183"/>
        <v>7998863.6341629717</v>
      </c>
      <c r="O95" s="108">
        <f t="shared" si="183"/>
        <v>8102198.9556774516</v>
      </c>
      <c r="P95" s="108">
        <f t="shared" si="183"/>
        <v>8467669.0034166016</v>
      </c>
      <c r="Q95" s="108">
        <f t="shared" si="183"/>
        <v>5570045.4586360063</v>
      </c>
      <c r="R95" s="108">
        <f t="shared" si="183"/>
        <v>6200544.2491880674</v>
      </c>
      <c r="S95" s="108">
        <f t="shared" si="183"/>
        <v>6797725.0201775599</v>
      </c>
      <c r="T95" s="108">
        <f t="shared" si="183"/>
        <v>7248183.0005721236</v>
      </c>
      <c r="U95" s="108">
        <f t="shared" si="183"/>
        <v>7869631.7204269692</v>
      </c>
      <c r="V95" s="108">
        <f t="shared" si="183"/>
        <v>6092320.9613295235</v>
      </c>
      <c r="W95" s="108">
        <f t="shared" ref="W95:Y95" si="184">IF(W5=0,0,W5/W27*1000000)</f>
        <v>5806160.7557273675</v>
      </c>
      <c r="X95" s="108">
        <f t="shared" si="184"/>
        <v>6208039.561513219</v>
      </c>
      <c r="Y95" s="108">
        <f t="shared" si="184"/>
        <v>7653967.5740420353</v>
      </c>
      <c r="DA95" s="203" t="s">
        <v>1094</v>
      </c>
    </row>
    <row r="96" spans="1:105" ht="11.45" customHeight="1" x14ac:dyDescent="0.25">
      <c r="A96" s="109" t="s">
        <v>24</v>
      </c>
      <c r="B96" s="110">
        <f t="shared" si="180"/>
        <v>27485519.978507798</v>
      </c>
      <c r="C96" s="110">
        <f t="shared" si="180"/>
        <v>27182284.062255882</v>
      </c>
      <c r="D96" s="110">
        <f t="shared" si="180"/>
        <v>17130112.159802258</v>
      </c>
      <c r="E96" s="110">
        <f t="shared" si="180"/>
        <v>18715919.754514974</v>
      </c>
      <c r="F96" s="110">
        <f t="shared" si="180"/>
        <v>18405745.662685927</v>
      </c>
      <c r="G96" s="110">
        <f t="shared" si="180"/>
        <v>18700693.69479683</v>
      </c>
      <c r="H96" s="110">
        <f t="shared" si="180"/>
        <v>21036265.192777682</v>
      </c>
      <c r="I96" s="110">
        <f t="shared" si="180"/>
        <v>16071173.474716496</v>
      </c>
      <c r="J96" s="110">
        <f t="shared" si="180"/>
        <v>15525713.800772412</v>
      </c>
      <c r="K96" s="110">
        <f t="shared" ref="K96:V96" si="185">IF(K6=0,0,K6/K28*1000000)</f>
        <v>15099573.258659702</v>
      </c>
      <c r="L96" s="110">
        <f t="shared" si="185"/>
        <v>12809120.361329431</v>
      </c>
      <c r="M96" s="110">
        <f t="shared" si="185"/>
        <v>10175498.444374291</v>
      </c>
      <c r="N96" s="110">
        <f t="shared" si="185"/>
        <v>9394872.2499514837</v>
      </c>
      <c r="O96" s="110">
        <f t="shared" si="185"/>
        <v>9885587.0482808053</v>
      </c>
      <c r="P96" s="110">
        <f t="shared" si="185"/>
        <v>12320347.861654578</v>
      </c>
      <c r="Q96" s="110">
        <f t="shared" si="185"/>
        <v>11817247.725870624</v>
      </c>
      <c r="R96" s="110">
        <f t="shared" si="185"/>
        <v>12679252.39050616</v>
      </c>
      <c r="S96" s="110">
        <f t="shared" si="185"/>
        <v>13248971.054095834</v>
      </c>
      <c r="T96" s="110">
        <f t="shared" si="185"/>
        <v>14481616.025993517</v>
      </c>
      <c r="U96" s="110">
        <f t="shared" si="185"/>
        <v>13086646.921931457</v>
      </c>
      <c r="V96" s="110">
        <f t="shared" si="185"/>
        <v>8687176.7952803969</v>
      </c>
      <c r="W96" s="110">
        <f t="shared" ref="W96:Y96" si="186">IF(W6=0,0,W6/W28*1000000)</f>
        <v>9742204.4811759256</v>
      </c>
      <c r="X96" s="110">
        <f t="shared" si="186"/>
        <v>14630833.262411453</v>
      </c>
      <c r="Y96" s="110">
        <f t="shared" si="186"/>
        <v>15834376.305850152</v>
      </c>
      <c r="DA96" s="176" t="s">
        <v>1095</v>
      </c>
    </row>
    <row r="97" spans="1:105" ht="11.45" customHeight="1" x14ac:dyDescent="0.25">
      <c r="A97" s="111" t="s">
        <v>92</v>
      </c>
      <c r="B97" s="84">
        <f t="shared" si="180"/>
        <v>17513056.941052902</v>
      </c>
      <c r="C97" s="84">
        <f t="shared" si="180"/>
        <v>12728198.931724379</v>
      </c>
      <c r="D97" s="84">
        <f t="shared" si="180"/>
        <v>13635485.351910491</v>
      </c>
      <c r="E97" s="84">
        <f t="shared" si="180"/>
        <v>15763783.913149202</v>
      </c>
      <c r="F97" s="84">
        <f t="shared" si="180"/>
        <v>16675552.280226117</v>
      </c>
      <c r="G97" s="84">
        <f t="shared" si="180"/>
        <v>10204764.153163569</v>
      </c>
      <c r="H97" s="84">
        <f t="shared" si="180"/>
        <v>12819636.740134967</v>
      </c>
      <c r="I97" s="84">
        <f t="shared" si="180"/>
        <v>15661653.890416028</v>
      </c>
      <c r="J97" s="84">
        <f t="shared" si="180"/>
        <v>14378191.228768971</v>
      </c>
      <c r="K97" s="84">
        <f t="shared" ref="K97:V97" si="187">IF(K7=0,0,K7/K29*1000000)</f>
        <v>11625798.523688009</v>
      </c>
      <c r="L97" s="84">
        <f t="shared" si="187"/>
        <v>11802582.618500024</v>
      </c>
      <c r="M97" s="84">
        <f t="shared" si="187"/>
        <v>9364488.5097614154</v>
      </c>
      <c r="N97" s="84">
        <f t="shared" si="187"/>
        <v>8286610.4529016465</v>
      </c>
      <c r="O97" s="84">
        <f t="shared" si="187"/>
        <v>9401691.9771941528</v>
      </c>
      <c r="P97" s="84">
        <f t="shared" si="187"/>
        <v>10787550.624202352</v>
      </c>
      <c r="Q97" s="84">
        <f t="shared" si="187"/>
        <v>9515891.4080402665</v>
      </c>
      <c r="R97" s="84">
        <f t="shared" si="187"/>
        <v>11174364.79521594</v>
      </c>
      <c r="S97" s="84">
        <f t="shared" si="187"/>
        <v>9286185.9026435148</v>
      </c>
      <c r="T97" s="84">
        <f t="shared" si="187"/>
        <v>11278757.472646955</v>
      </c>
      <c r="U97" s="84">
        <f t="shared" si="187"/>
        <v>10003780.365788221</v>
      </c>
      <c r="V97" s="84">
        <f t="shared" si="187"/>
        <v>6134927.9819718273</v>
      </c>
      <c r="W97" s="84">
        <f t="shared" ref="W97:Y97" si="188">IF(W7=0,0,W7/W29*1000000)</f>
        <v>6647154.5517226784</v>
      </c>
      <c r="X97" s="84">
        <f t="shared" si="188"/>
        <v>10036430.613985453</v>
      </c>
      <c r="Y97" s="84">
        <f t="shared" si="188"/>
        <v>13381119.68832385</v>
      </c>
      <c r="DA97" s="171" t="s">
        <v>1096</v>
      </c>
    </row>
    <row r="98" spans="1:105" ht="11.45" customHeight="1" x14ac:dyDescent="0.25">
      <c r="A98" s="111" t="s">
        <v>93</v>
      </c>
      <c r="B98" s="84">
        <f t="shared" si="180"/>
        <v>91739345.911264122</v>
      </c>
      <c r="C98" s="84">
        <f t="shared" si="180"/>
        <v>91866422.542830229</v>
      </c>
      <c r="D98" s="84">
        <f t="shared" si="180"/>
        <v>22169397.24948312</v>
      </c>
      <c r="E98" s="84">
        <f t="shared" si="180"/>
        <v>22548007.192264356</v>
      </c>
      <c r="F98" s="84">
        <f t="shared" si="180"/>
        <v>20907561.146124467</v>
      </c>
      <c r="G98" s="84">
        <f t="shared" si="180"/>
        <v>29689053.95978206</v>
      </c>
      <c r="H98" s="84">
        <f t="shared" si="180"/>
        <v>30330474.167508837</v>
      </c>
      <c r="I98" s="84">
        <f t="shared" si="180"/>
        <v>16751394.481738675</v>
      </c>
      <c r="J98" s="84">
        <f t="shared" si="180"/>
        <v>17418944.865673672</v>
      </c>
      <c r="K98" s="84">
        <f t="shared" ref="K98:V98" si="189">IF(K8=0,0,K8/K30*1000000)</f>
        <v>20251499.798222259</v>
      </c>
      <c r="L98" s="84">
        <f t="shared" si="189"/>
        <v>14510816.780330375</v>
      </c>
      <c r="M98" s="84">
        <f t="shared" si="189"/>
        <v>12023336.081404272</v>
      </c>
      <c r="N98" s="84">
        <f t="shared" si="189"/>
        <v>11740691.280670574</v>
      </c>
      <c r="O98" s="84">
        <f t="shared" si="189"/>
        <v>10837078.115934493</v>
      </c>
      <c r="P98" s="84">
        <f t="shared" si="189"/>
        <v>15064746.842984468</v>
      </c>
      <c r="Q98" s="84">
        <f t="shared" si="189"/>
        <v>14219040.677152621</v>
      </c>
      <c r="R98" s="84">
        <f t="shared" si="189"/>
        <v>14027184.237035876</v>
      </c>
      <c r="S98" s="84">
        <f t="shared" si="189"/>
        <v>17046205.405955598</v>
      </c>
      <c r="T98" s="84">
        <f t="shared" si="189"/>
        <v>17080817.191213042</v>
      </c>
      <c r="U98" s="84">
        <f t="shared" si="189"/>
        <v>16308813.886931021</v>
      </c>
      <c r="V98" s="84">
        <f t="shared" si="189"/>
        <v>11218769.925226629</v>
      </c>
      <c r="W98" s="84">
        <f t="shared" ref="W98:Y98" si="190">IF(W8=0,0,W8/W30*1000000)</f>
        <v>12549878.770422386</v>
      </c>
      <c r="X98" s="84">
        <f t="shared" si="190"/>
        <v>18153573.439391002</v>
      </c>
      <c r="Y98" s="84">
        <f t="shared" si="190"/>
        <v>17742602.789115969</v>
      </c>
      <c r="DA98" s="171" t="s">
        <v>1097</v>
      </c>
    </row>
    <row r="99" spans="1:105" ht="11.45" customHeight="1" x14ac:dyDescent="0.25">
      <c r="A99" s="112" t="s">
        <v>25</v>
      </c>
      <c r="B99" s="113">
        <f t="shared" si="180"/>
        <v>0</v>
      </c>
      <c r="C99" s="113">
        <f t="shared" si="180"/>
        <v>0</v>
      </c>
      <c r="D99" s="113">
        <f t="shared" si="180"/>
        <v>0</v>
      </c>
      <c r="E99" s="113">
        <f t="shared" si="180"/>
        <v>0</v>
      </c>
      <c r="F99" s="113">
        <f t="shared" si="180"/>
        <v>0</v>
      </c>
      <c r="G99" s="113">
        <f t="shared" si="180"/>
        <v>0</v>
      </c>
      <c r="H99" s="113">
        <f t="shared" si="180"/>
        <v>0</v>
      </c>
      <c r="I99" s="113">
        <f t="shared" si="180"/>
        <v>0</v>
      </c>
      <c r="J99" s="113">
        <f t="shared" si="180"/>
        <v>0</v>
      </c>
      <c r="K99" s="113">
        <f t="shared" ref="K99:V99" si="191">IF(K9=0,0,K9/K31*1000000)</f>
        <v>0</v>
      </c>
      <c r="L99" s="113">
        <f t="shared" si="191"/>
        <v>0</v>
      </c>
      <c r="M99" s="113">
        <f t="shared" si="191"/>
        <v>0</v>
      </c>
      <c r="N99" s="113">
        <f t="shared" si="191"/>
        <v>0</v>
      </c>
      <c r="O99" s="113">
        <f t="shared" si="191"/>
        <v>0</v>
      </c>
      <c r="P99" s="113">
        <f t="shared" si="191"/>
        <v>0</v>
      </c>
      <c r="Q99" s="113">
        <f t="shared" si="191"/>
        <v>0</v>
      </c>
      <c r="R99" s="113">
        <f t="shared" si="191"/>
        <v>0</v>
      </c>
      <c r="S99" s="113">
        <f t="shared" si="191"/>
        <v>0</v>
      </c>
      <c r="T99" s="113">
        <f t="shared" si="191"/>
        <v>0</v>
      </c>
      <c r="U99" s="113">
        <f t="shared" si="191"/>
        <v>0</v>
      </c>
      <c r="V99" s="113">
        <f t="shared" si="191"/>
        <v>0</v>
      </c>
      <c r="W99" s="113">
        <f t="shared" ref="W99:Y99" si="192">IF(W9=0,0,W9/W31*1000000)</f>
        <v>0</v>
      </c>
      <c r="X99" s="113">
        <f t="shared" si="192"/>
        <v>0</v>
      </c>
      <c r="Y99" s="113">
        <f t="shared" si="192"/>
        <v>0</v>
      </c>
      <c r="DA99" s="204" t="s">
        <v>1098</v>
      </c>
    </row>
    <row r="100" spans="1:105" ht="11.45" customHeight="1" x14ac:dyDescent="0.25">
      <c r="A100" s="27" t="s">
        <v>108</v>
      </c>
      <c r="B100" s="28">
        <f t="shared" si="180"/>
        <v>151696741.12842599</v>
      </c>
      <c r="C100" s="28">
        <f t="shared" si="180"/>
        <v>144932619.78815591</v>
      </c>
      <c r="D100" s="28">
        <f t="shared" si="180"/>
        <v>99860660.322021574</v>
      </c>
      <c r="E100" s="28">
        <f t="shared" si="180"/>
        <v>96628098.290597603</v>
      </c>
      <c r="F100" s="28">
        <f t="shared" si="180"/>
        <v>109838498.626067</v>
      </c>
      <c r="G100" s="28">
        <f t="shared" si="180"/>
        <v>114999233.03792176</v>
      </c>
      <c r="H100" s="28">
        <f t="shared" si="180"/>
        <v>118363067.92844549</v>
      </c>
      <c r="I100" s="28">
        <f t="shared" si="180"/>
        <v>108127028.37679502</v>
      </c>
      <c r="J100" s="28">
        <f t="shared" si="180"/>
        <v>111713211.62630102</v>
      </c>
      <c r="K100" s="28">
        <f t="shared" ref="K100:V100" si="193">IF(K10=0,0,K10/K32*1000000)</f>
        <v>88277285.961338386</v>
      </c>
      <c r="L100" s="28">
        <f t="shared" si="193"/>
        <v>106664837.05944137</v>
      </c>
      <c r="M100" s="28">
        <f t="shared" si="193"/>
        <v>97651335.769629896</v>
      </c>
      <c r="N100" s="28">
        <f t="shared" si="193"/>
        <v>95134543.8803882</v>
      </c>
      <c r="O100" s="28">
        <f t="shared" si="193"/>
        <v>96295093.70656313</v>
      </c>
      <c r="P100" s="28">
        <f t="shared" si="193"/>
        <v>99216664.853006959</v>
      </c>
      <c r="Q100" s="28">
        <f t="shared" si="193"/>
        <v>102408681.70366852</v>
      </c>
      <c r="R100" s="28">
        <f t="shared" si="193"/>
        <v>104726948.91184212</v>
      </c>
      <c r="S100" s="28">
        <f t="shared" si="193"/>
        <v>104868498.34998754</v>
      </c>
      <c r="T100" s="28">
        <f t="shared" si="193"/>
        <v>102419854.70134783</v>
      </c>
      <c r="U100" s="28">
        <f t="shared" si="193"/>
        <v>98650704.10532032</v>
      </c>
      <c r="V100" s="28">
        <f t="shared" si="193"/>
        <v>91706572.69236277</v>
      </c>
      <c r="W100" s="28">
        <f t="shared" ref="W100:Y100" si="194">IF(W10=0,0,W10/W32*1000000)</f>
        <v>79167522.329584628</v>
      </c>
      <c r="X100" s="28">
        <f t="shared" si="194"/>
        <v>79234291.321546689</v>
      </c>
      <c r="Y100" s="28">
        <f t="shared" si="194"/>
        <v>81828050.076072514</v>
      </c>
      <c r="DA100" s="173" t="s">
        <v>1099</v>
      </c>
    </row>
    <row r="101" spans="1:105" ht="11.45" customHeight="1" x14ac:dyDescent="0.25">
      <c r="A101" s="83" t="s">
        <v>92</v>
      </c>
      <c r="B101" s="84">
        <f t="shared" si="180"/>
        <v>122985041.09068584</v>
      </c>
      <c r="C101" s="84">
        <f t="shared" si="180"/>
        <v>99004761.376229942</v>
      </c>
      <c r="D101" s="84">
        <f t="shared" si="180"/>
        <v>110996479.90915757</v>
      </c>
      <c r="E101" s="84">
        <f t="shared" si="180"/>
        <v>97166764.449091479</v>
      </c>
      <c r="F101" s="84">
        <f t="shared" si="180"/>
        <v>143800908.1088433</v>
      </c>
      <c r="G101" s="84">
        <f t="shared" si="180"/>
        <v>94522924.132791296</v>
      </c>
      <c r="H101" s="84">
        <f t="shared" si="180"/>
        <v>114977699.8029705</v>
      </c>
      <c r="I101" s="84">
        <f t="shared" si="180"/>
        <v>122472338.35247423</v>
      </c>
      <c r="J101" s="84">
        <f t="shared" si="180"/>
        <v>121536521.79152496</v>
      </c>
      <c r="K101" s="84">
        <f t="shared" ref="K101:V101" si="195">IF(K11=0,0,K11/K33*1000000)</f>
        <v>86516632.668288738</v>
      </c>
      <c r="L101" s="84">
        <f t="shared" si="195"/>
        <v>126415517.16474575</v>
      </c>
      <c r="M101" s="84">
        <f t="shared" si="195"/>
        <v>104506442.37959905</v>
      </c>
      <c r="N101" s="84">
        <f t="shared" si="195"/>
        <v>101957828.82895391</v>
      </c>
      <c r="O101" s="84">
        <f t="shared" si="195"/>
        <v>103241520.76774919</v>
      </c>
      <c r="P101" s="84">
        <f t="shared" si="195"/>
        <v>102056141.03948414</v>
      </c>
      <c r="Q101" s="84">
        <f t="shared" si="195"/>
        <v>104480406.87568721</v>
      </c>
      <c r="R101" s="84">
        <f t="shared" si="195"/>
        <v>103907768.87277389</v>
      </c>
      <c r="S101" s="84">
        <f t="shared" si="195"/>
        <v>108510031.08537602</v>
      </c>
      <c r="T101" s="84">
        <f t="shared" si="195"/>
        <v>110874697.61758739</v>
      </c>
      <c r="U101" s="84">
        <f t="shared" si="195"/>
        <v>102986299.49751291</v>
      </c>
      <c r="V101" s="84">
        <f t="shared" si="195"/>
        <v>97865303.375010937</v>
      </c>
      <c r="W101" s="84">
        <f t="shared" ref="W101:Y101" si="196">IF(W11=0,0,W11/W33*1000000)</f>
        <v>72390039.728620708</v>
      </c>
      <c r="X101" s="84">
        <f t="shared" si="196"/>
        <v>66438997.186539009</v>
      </c>
      <c r="Y101" s="84">
        <f t="shared" si="196"/>
        <v>87952077.973341227</v>
      </c>
      <c r="DA101" s="171" t="s">
        <v>1100</v>
      </c>
    </row>
    <row r="102" spans="1:105" ht="11.45" customHeight="1" x14ac:dyDescent="0.25">
      <c r="A102" s="85" t="s">
        <v>93</v>
      </c>
      <c r="B102" s="86">
        <f t="shared" si="180"/>
        <v>190700144.83889329</v>
      </c>
      <c r="C102" s="86">
        <f t="shared" si="180"/>
        <v>191420442.01765412</v>
      </c>
      <c r="D102" s="86">
        <f t="shared" si="180"/>
        <v>93613859.330345228</v>
      </c>
      <c r="E102" s="86">
        <f t="shared" si="180"/>
        <v>96383843.91748786</v>
      </c>
      <c r="F102" s="86">
        <f t="shared" si="180"/>
        <v>97069125.247530416</v>
      </c>
      <c r="G102" s="86">
        <f t="shared" si="180"/>
        <v>121847004.91023055</v>
      </c>
      <c r="H102" s="86">
        <f t="shared" si="180"/>
        <v>119342086.23503286</v>
      </c>
      <c r="I102" s="86">
        <f t="shared" si="180"/>
        <v>101337777.14624859</v>
      </c>
      <c r="J102" s="86">
        <f t="shared" si="180"/>
        <v>107335586.03544945</v>
      </c>
      <c r="K102" s="86">
        <f t="shared" ref="K102:V102" si="197">IF(K12=0,0,K12/K34*1000000)</f>
        <v>88980062.362877995</v>
      </c>
      <c r="L102" s="86">
        <f t="shared" si="197"/>
        <v>99520924.478665903</v>
      </c>
      <c r="M102" s="86">
        <f t="shared" si="197"/>
        <v>94624511.236063942</v>
      </c>
      <c r="N102" s="86">
        <f t="shared" si="197"/>
        <v>92344333.333314374</v>
      </c>
      <c r="O102" s="86">
        <f t="shared" si="197"/>
        <v>93514341.39781864</v>
      </c>
      <c r="P102" s="86">
        <f t="shared" si="197"/>
        <v>98216046.435486108</v>
      </c>
      <c r="Q102" s="86">
        <f t="shared" si="197"/>
        <v>101666805.2730975</v>
      </c>
      <c r="R102" s="86">
        <f t="shared" si="197"/>
        <v>105032622.63694701</v>
      </c>
      <c r="S102" s="86">
        <f t="shared" si="197"/>
        <v>103729784.04452689</v>
      </c>
      <c r="T102" s="86">
        <f t="shared" si="197"/>
        <v>99872426.507925764</v>
      </c>
      <c r="U102" s="86">
        <f t="shared" si="197"/>
        <v>97007669.805224195</v>
      </c>
      <c r="V102" s="86">
        <f t="shared" si="197"/>
        <v>89863175.753829047</v>
      </c>
      <c r="W102" s="86">
        <f t="shared" ref="W102:Y102" si="198">IF(W12=0,0,W12/W34*1000000)</f>
        <v>81755388.221267372</v>
      </c>
      <c r="X102" s="86">
        <f t="shared" si="198"/>
        <v>84372991.898562074</v>
      </c>
      <c r="Y102" s="86">
        <f t="shared" si="198"/>
        <v>79600686.749647394</v>
      </c>
      <c r="DA102" s="178" t="s">
        <v>1101</v>
      </c>
    </row>
    <row r="103" spans="1:105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DA103" s="171"/>
    </row>
    <row r="104" spans="1:105" ht="11.45" customHeight="1" x14ac:dyDescent="0.25">
      <c r="A104" s="53" t="s">
        <v>37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DA104" s="172"/>
    </row>
    <row r="105" spans="1:105" ht="11.45" customHeight="1" x14ac:dyDescent="0.25">
      <c r="A105" s="27" t="s">
        <v>38</v>
      </c>
      <c r="B105" s="31">
        <f t="shared" ref="B105:J110" si="199">IF(B4=0,0,B4/B$4)</f>
        <v>1</v>
      </c>
      <c r="C105" s="31">
        <f t="shared" si="199"/>
        <v>1</v>
      </c>
      <c r="D105" s="31">
        <f t="shared" si="199"/>
        <v>1</v>
      </c>
      <c r="E105" s="31">
        <f t="shared" si="199"/>
        <v>1</v>
      </c>
      <c r="F105" s="31">
        <f t="shared" si="199"/>
        <v>1</v>
      </c>
      <c r="G105" s="31">
        <f t="shared" si="199"/>
        <v>1</v>
      </c>
      <c r="H105" s="31">
        <f t="shared" si="199"/>
        <v>1</v>
      </c>
      <c r="I105" s="31">
        <f t="shared" si="199"/>
        <v>1</v>
      </c>
      <c r="J105" s="31">
        <f t="shared" si="199"/>
        <v>1</v>
      </c>
      <c r="K105" s="31">
        <f t="shared" ref="K105:V105" si="200">IF(K4=0,0,K4/K$4)</f>
        <v>1</v>
      </c>
      <c r="L105" s="31">
        <f t="shared" si="200"/>
        <v>1</v>
      </c>
      <c r="M105" s="31">
        <f t="shared" si="200"/>
        <v>1</v>
      </c>
      <c r="N105" s="31">
        <f t="shared" si="200"/>
        <v>1</v>
      </c>
      <c r="O105" s="31">
        <f t="shared" si="200"/>
        <v>1</v>
      </c>
      <c r="P105" s="31">
        <f t="shared" si="200"/>
        <v>1</v>
      </c>
      <c r="Q105" s="31">
        <f t="shared" si="200"/>
        <v>1</v>
      </c>
      <c r="R105" s="31">
        <f t="shared" si="200"/>
        <v>1</v>
      </c>
      <c r="S105" s="31">
        <f t="shared" si="200"/>
        <v>1</v>
      </c>
      <c r="T105" s="31">
        <f t="shared" si="200"/>
        <v>1</v>
      </c>
      <c r="U105" s="31">
        <f t="shared" si="200"/>
        <v>1</v>
      </c>
      <c r="V105" s="31">
        <f t="shared" si="200"/>
        <v>1</v>
      </c>
      <c r="W105" s="31">
        <f t="shared" ref="W105:Y105" si="201">IF(W4=0,0,W4/W$4)</f>
        <v>1</v>
      </c>
      <c r="X105" s="31">
        <f t="shared" si="201"/>
        <v>1</v>
      </c>
      <c r="Y105" s="31">
        <f t="shared" si="201"/>
        <v>1</v>
      </c>
      <c r="DA105" s="173"/>
    </row>
    <row r="106" spans="1:105" ht="11.45" customHeight="1" x14ac:dyDescent="0.25">
      <c r="A106" s="107" t="s">
        <v>23</v>
      </c>
      <c r="B106" s="123">
        <f t="shared" si="199"/>
        <v>0.34029038112522686</v>
      </c>
      <c r="C106" s="123">
        <f t="shared" si="199"/>
        <v>0.35366931918656058</v>
      </c>
      <c r="D106" s="123">
        <f t="shared" si="199"/>
        <v>0.41373603640877121</v>
      </c>
      <c r="E106" s="123">
        <f t="shared" si="199"/>
        <v>0.40473083808811905</v>
      </c>
      <c r="F106" s="123">
        <f t="shared" si="199"/>
        <v>0.4175337970990648</v>
      </c>
      <c r="G106" s="123">
        <f t="shared" si="199"/>
        <v>0.45240362235175263</v>
      </c>
      <c r="H106" s="123">
        <f t="shared" si="199"/>
        <v>0.45662100456621002</v>
      </c>
      <c r="I106" s="123">
        <f t="shared" si="199"/>
        <v>0.47996661101836396</v>
      </c>
      <c r="J106" s="123">
        <f t="shared" si="199"/>
        <v>0.50150451354062187</v>
      </c>
      <c r="K106" s="123">
        <f t="shared" ref="K106:V106" si="202">IF(K5=0,0,K5/K$4)</f>
        <v>0.53487666034155601</v>
      </c>
      <c r="L106" s="123">
        <f t="shared" si="202"/>
        <v>0.56765860872051177</v>
      </c>
      <c r="M106" s="123">
        <f t="shared" si="202"/>
        <v>0.5819496993898674</v>
      </c>
      <c r="N106" s="123">
        <f t="shared" si="202"/>
        <v>0.62283526482491636</v>
      </c>
      <c r="O106" s="123">
        <f t="shared" si="202"/>
        <v>0.63733435540217542</v>
      </c>
      <c r="P106" s="123">
        <f t="shared" si="202"/>
        <v>0.61652281134401976</v>
      </c>
      <c r="Q106" s="123">
        <f t="shared" si="202"/>
        <v>0.48800310431802013</v>
      </c>
      <c r="R106" s="123">
        <f t="shared" si="202"/>
        <v>0.50399572314644225</v>
      </c>
      <c r="S106" s="123">
        <f t="shared" si="202"/>
        <v>0.47499738796599078</v>
      </c>
      <c r="T106" s="123">
        <f t="shared" si="202"/>
        <v>0.47280144163329646</v>
      </c>
      <c r="U106" s="123">
        <f t="shared" si="202"/>
        <v>0.45492624938037773</v>
      </c>
      <c r="V106" s="123">
        <f t="shared" si="202"/>
        <v>0.48016443013933963</v>
      </c>
      <c r="W106" s="123">
        <f t="shared" ref="W106:Y106" si="203">IF(W5=0,0,W5/W$4)</f>
        <v>0.42852272388200996</v>
      </c>
      <c r="X106" s="123">
        <f t="shared" si="203"/>
        <v>0.41186906084166364</v>
      </c>
      <c r="Y106" s="123">
        <f t="shared" si="203"/>
        <v>0.42336420255094076</v>
      </c>
      <c r="DA106" s="203"/>
    </row>
    <row r="107" spans="1:105" ht="11.45" customHeight="1" x14ac:dyDescent="0.25">
      <c r="A107" s="109" t="s">
        <v>24</v>
      </c>
      <c r="B107" s="124">
        <f t="shared" si="199"/>
        <v>0.65970961887477308</v>
      </c>
      <c r="C107" s="124">
        <f t="shared" si="199"/>
        <v>0.64633068081343947</v>
      </c>
      <c r="D107" s="124">
        <f t="shared" si="199"/>
        <v>0.58626396359122879</v>
      </c>
      <c r="E107" s="124">
        <f t="shared" si="199"/>
        <v>0.59526916191188095</v>
      </c>
      <c r="F107" s="124">
        <f t="shared" si="199"/>
        <v>0.5824662029009352</v>
      </c>
      <c r="G107" s="124">
        <f t="shared" si="199"/>
        <v>0.54759637764824731</v>
      </c>
      <c r="H107" s="124">
        <f t="shared" si="199"/>
        <v>0.54337899543378998</v>
      </c>
      <c r="I107" s="124">
        <f t="shared" si="199"/>
        <v>0.52003338898163609</v>
      </c>
      <c r="J107" s="124">
        <f t="shared" si="199"/>
        <v>0.49849548645937813</v>
      </c>
      <c r="K107" s="124">
        <f t="shared" ref="K107:V107" si="204">IF(K6=0,0,K6/K$4)</f>
        <v>0.46512333965844405</v>
      </c>
      <c r="L107" s="124">
        <f t="shared" si="204"/>
        <v>0.43234139127948823</v>
      </c>
      <c r="M107" s="124">
        <f t="shared" si="204"/>
        <v>0.41805030061013254</v>
      </c>
      <c r="N107" s="124">
        <f t="shared" si="204"/>
        <v>0.3771647351750837</v>
      </c>
      <c r="O107" s="124">
        <f t="shared" si="204"/>
        <v>0.36266564459782463</v>
      </c>
      <c r="P107" s="124">
        <f t="shared" si="204"/>
        <v>0.38347718865598029</v>
      </c>
      <c r="Q107" s="124">
        <f t="shared" si="204"/>
        <v>0.51199689568197981</v>
      </c>
      <c r="R107" s="124">
        <f t="shared" si="204"/>
        <v>0.49600427685355769</v>
      </c>
      <c r="S107" s="124">
        <f t="shared" si="204"/>
        <v>0.52500261203400922</v>
      </c>
      <c r="T107" s="124">
        <f t="shared" si="204"/>
        <v>0.52719855836670348</v>
      </c>
      <c r="U107" s="124">
        <f t="shared" si="204"/>
        <v>0.54507375061962227</v>
      </c>
      <c r="V107" s="124">
        <f t="shared" si="204"/>
        <v>0.51983556986066026</v>
      </c>
      <c r="W107" s="124">
        <f t="shared" ref="W107:Y107" si="205">IF(W6=0,0,W6/W$4)</f>
        <v>0.57147727611799015</v>
      </c>
      <c r="X107" s="124">
        <f t="shared" si="205"/>
        <v>0.58813093915833636</v>
      </c>
      <c r="Y107" s="124">
        <f t="shared" si="205"/>
        <v>0.57663579744905924</v>
      </c>
      <c r="DA107" s="176"/>
    </row>
    <row r="108" spans="1:105" ht="11.45" customHeight="1" x14ac:dyDescent="0.25">
      <c r="A108" s="111" t="s">
        <v>92</v>
      </c>
      <c r="B108" s="125">
        <f t="shared" si="199"/>
        <v>0.36387486973235267</v>
      </c>
      <c r="C108" s="125">
        <f t="shared" si="199"/>
        <v>0.24737014314810288</v>
      </c>
      <c r="D108" s="125">
        <f t="shared" si="199"/>
        <v>0.27556519787712447</v>
      </c>
      <c r="E108" s="125">
        <f t="shared" si="199"/>
        <v>0.28320307206803563</v>
      </c>
      <c r="F108" s="125">
        <f t="shared" si="199"/>
        <v>0.31196526969199218</v>
      </c>
      <c r="G108" s="125">
        <f t="shared" si="199"/>
        <v>0.16852104013657898</v>
      </c>
      <c r="H108" s="125">
        <f t="shared" si="199"/>
        <v>0.17575813908490542</v>
      </c>
      <c r="I108" s="125">
        <f t="shared" si="199"/>
        <v>0.31633567584725675</v>
      </c>
      <c r="J108" s="125">
        <f t="shared" si="199"/>
        <v>0.28743278092879848</v>
      </c>
      <c r="K108" s="125">
        <f t="shared" ref="K108:V108" si="206">IF(K7=0,0,K7/K$4)</f>
        <v>0.21389542710081819</v>
      </c>
      <c r="L108" s="125">
        <f t="shared" si="206"/>
        <v>0.25031128595627516</v>
      </c>
      <c r="M108" s="125">
        <f t="shared" si="206"/>
        <v>0.26737898915865665</v>
      </c>
      <c r="N108" s="125">
        <f t="shared" si="206"/>
        <v>0.22593272118263627</v>
      </c>
      <c r="O108" s="125">
        <f t="shared" si="206"/>
        <v>0.2286366973605041</v>
      </c>
      <c r="P108" s="125">
        <f t="shared" si="206"/>
        <v>0.21544056862486533</v>
      </c>
      <c r="Q108" s="125">
        <f t="shared" si="206"/>
        <v>0.21054613267220898</v>
      </c>
      <c r="R108" s="125">
        <f t="shared" si="206"/>
        <v>0.20654194769225395</v>
      </c>
      <c r="S108" s="125">
        <f t="shared" si="206"/>
        <v>0.18006167047008451</v>
      </c>
      <c r="T108" s="125">
        <f t="shared" si="206"/>
        <v>0.1839399831886655</v>
      </c>
      <c r="U108" s="125">
        <f t="shared" si="206"/>
        <v>0.21293726507862368</v>
      </c>
      <c r="V108" s="125">
        <f t="shared" si="206"/>
        <v>0.18280946189681777</v>
      </c>
      <c r="W108" s="125">
        <f t="shared" ref="W108:Y108" si="207">IF(W7=0,0,W7/W$4)</f>
        <v>0.1854691723035099</v>
      </c>
      <c r="X108" s="125">
        <f t="shared" si="207"/>
        <v>0.17509013470741619</v>
      </c>
      <c r="Y108" s="125">
        <f t="shared" si="207"/>
        <v>0.21320079419151242</v>
      </c>
      <c r="DA108" s="171"/>
    </row>
    <row r="109" spans="1:105" ht="11.45" customHeight="1" x14ac:dyDescent="0.25">
      <c r="A109" s="111" t="s">
        <v>93</v>
      </c>
      <c r="B109" s="125">
        <f t="shared" si="199"/>
        <v>0.29583474914242047</v>
      </c>
      <c r="C109" s="125">
        <f t="shared" si="199"/>
        <v>0.39896053766533657</v>
      </c>
      <c r="D109" s="125">
        <f t="shared" si="199"/>
        <v>0.31069876571410432</v>
      </c>
      <c r="E109" s="125">
        <f t="shared" si="199"/>
        <v>0.31206608984384537</v>
      </c>
      <c r="F109" s="125">
        <f t="shared" si="199"/>
        <v>0.27050093320894303</v>
      </c>
      <c r="G109" s="125">
        <f t="shared" si="199"/>
        <v>0.37907533751166833</v>
      </c>
      <c r="H109" s="125">
        <f t="shared" si="199"/>
        <v>0.36762085634888458</v>
      </c>
      <c r="I109" s="125">
        <f t="shared" si="199"/>
        <v>0.20369771313437929</v>
      </c>
      <c r="J109" s="125">
        <f t="shared" si="199"/>
        <v>0.21106270553057965</v>
      </c>
      <c r="K109" s="125">
        <f t="shared" ref="K109:V109" si="208">IF(K8=0,0,K8/K$4)</f>
        <v>0.25122791255762583</v>
      </c>
      <c r="L109" s="125">
        <f t="shared" si="208"/>
        <v>0.18203010532321307</v>
      </c>
      <c r="M109" s="125">
        <f t="shared" si="208"/>
        <v>0.15067131145147589</v>
      </c>
      <c r="N109" s="125">
        <f t="shared" si="208"/>
        <v>0.15123201399244746</v>
      </c>
      <c r="O109" s="125">
        <f t="shared" si="208"/>
        <v>0.13402894723732056</v>
      </c>
      <c r="P109" s="125">
        <f t="shared" si="208"/>
        <v>0.16803662003111494</v>
      </c>
      <c r="Q109" s="125">
        <f t="shared" si="208"/>
        <v>0.30145076300977086</v>
      </c>
      <c r="R109" s="125">
        <f t="shared" si="208"/>
        <v>0.28946232916130371</v>
      </c>
      <c r="S109" s="125">
        <f t="shared" si="208"/>
        <v>0.34494094156392474</v>
      </c>
      <c r="T109" s="125">
        <f t="shared" si="208"/>
        <v>0.34325857517803798</v>
      </c>
      <c r="U109" s="125">
        <f t="shared" si="208"/>
        <v>0.33213648554099856</v>
      </c>
      <c r="V109" s="125">
        <f t="shared" si="208"/>
        <v>0.33702610796384247</v>
      </c>
      <c r="W109" s="125">
        <f t="shared" ref="W109:Y109" si="209">IF(W8=0,0,W8/W$4)</f>
        <v>0.3860081038144802</v>
      </c>
      <c r="X109" s="125">
        <f t="shared" si="209"/>
        <v>0.41304080445092012</v>
      </c>
      <c r="Y109" s="125">
        <f t="shared" si="209"/>
        <v>0.3634350032575468</v>
      </c>
      <c r="DA109" s="171"/>
    </row>
    <row r="110" spans="1:105" ht="11.45" customHeight="1" x14ac:dyDescent="0.25">
      <c r="A110" s="112" t="s">
        <v>25</v>
      </c>
      <c r="B110" s="126">
        <f t="shared" si="199"/>
        <v>0</v>
      </c>
      <c r="C110" s="126">
        <f t="shared" si="199"/>
        <v>0</v>
      </c>
      <c r="D110" s="126">
        <f t="shared" si="199"/>
        <v>0</v>
      </c>
      <c r="E110" s="126">
        <f t="shared" si="199"/>
        <v>0</v>
      </c>
      <c r="F110" s="126">
        <f t="shared" si="199"/>
        <v>0</v>
      </c>
      <c r="G110" s="126">
        <f t="shared" si="199"/>
        <v>0</v>
      </c>
      <c r="H110" s="126">
        <f t="shared" si="199"/>
        <v>0</v>
      </c>
      <c r="I110" s="126">
        <f t="shared" si="199"/>
        <v>0</v>
      </c>
      <c r="J110" s="126">
        <f t="shared" si="199"/>
        <v>0</v>
      </c>
      <c r="K110" s="126">
        <f t="shared" ref="K110:V110" si="210">IF(K9=0,0,K9/K$4)</f>
        <v>0</v>
      </c>
      <c r="L110" s="126">
        <f t="shared" si="210"/>
        <v>0</v>
      </c>
      <c r="M110" s="126">
        <f t="shared" si="210"/>
        <v>0</v>
      </c>
      <c r="N110" s="126">
        <f t="shared" si="210"/>
        <v>0</v>
      </c>
      <c r="O110" s="126">
        <f t="shared" si="210"/>
        <v>0</v>
      </c>
      <c r="P110" s="126">
        <f t="shared" si="210"/>
        <v>0</v>
      </c>
      <c r="Q110" s="126">
        <f t="shared" si="210"/>
        <v>0</v>
      </c>
      <c r="R110" s="126">
        <f t="shared" si="210"/>
        <v>0</v>
      </c>
      <c r="S110" s="126">
        <f t="shared" si="210"/>
        <v>0</v>
      </c>
      <c r="T110" s="126">
        <f t="shared" si="210"/>
        <v>0</v>
      </c>
      <c r="U110" s="126">
        <f t="shared" si="210"/>
        <v>0</v>
      </c>
      <c r="V110" s="126">
        <f t="shared" si="210"/>
        <v>0</v>
      </c>
      <c r="W110" s="126">
        <f t="shared" ref="W110:Y110" si="211">IF(W9=0,0,W9/W$4)</f>
        <v>0</v>
      </c>
      <c r="X110" s="126">
        <f t="shared" si="211"/>
        <v>0</v>
      </c>
      <c r="Y110" s="126">
        <f t="shared" si="211"/>
        <v>0</v>
      </c>
      <c r="DA110" s="204"/>
    </row>
    <row r="111" spans="1:105" ht="11.45" customHeight="1" x14ac:dyDescent="0.25">
      <c r="A111" s="27" t="s">
        <v>39</v>
      </c>
      <c r="B111" s="31">
        <f t="shared" ref="B111:J113" si="212">IF(B10=0,0,B10/B$10)</f>
        <v>1</v>
      </c>
      <c r="C111" s="31">
        <f t="shared" si="212"/>
        <v>1</v>
      </c>
      <c r="D111" s="31">
        <f t="shared" si="212"/>
        <v>1</v>
      </c>
      <c r="E111" s="31">
        <f t="shared" si="212"/>
        <v>1</v>
      </c>
      <c r="F111" s="31">
        <f t="shared" si="212"/>
        <v>1</v>
      </c>
      <c r="G111" s="31">
        <f t="shared" si="212"/>
        <v>1</v>
      </c>
      <c r="H111" s="31">
        <f t="shared" si="212"/>
        <v>1</v>
      </c>
      <c r="I111" s="31">
        <f t="shared" si="212"/>
        <v>1</v>
      </c>
      <c r="J111" s="31">
        <f t="shared" si="212"/>
        <v>1</v>
      </c>
      <c r="K111" s="31">
        <f t="shared" ref="K111:V111" si="213">IF(K10=0,0,K10/K$10)</f>
        <v>1</v>
      </c>
      <c r="L111" s="31">
        <f t="shared" si="213"/>
        <v>1</v>
      </c>
      <c r="M111" s="31">
        <f t="shared" si="213"/>
        <v>1</v>
      </c>
      <c r="N111" s="31">
        <f t="shared" si="213"/>
        <v>1</v>
      </c>
      <c r="O111" s="31">
        <f t="shared" si="213"/>
        <v>1</v>
      </c>
      <c r="P111" s="31">
        <f t="shared" si="213"/>
        <v>1</v>
      </c>
      <c r="Q111" s="31">
        <f t="shared" si="213"/>
        <v>1</v>
      </c>
      <c r="R111" s="31">
        <f t="shared" si="213"/>
        <v>1</v>
      </c>
      <c r="S111" s="31">
        <f t="shared" si="213"/>
        <v>1</v>
      </c>
      <c r="T111" s="31">
        <f t="shared" si="213"/>
        <v>1</v>
      </c>
      <c r="U111" s="31">
        <f t="shared" si="213"/>
        <v>1</v>
      </c>
      <c r="V111" s="31">
        <f t="shared" si="213"/>
        <v>1</v>
      </c>
      <c r="W111" s="31">
        <f t="shared" ref="W111:Y111" si="214">IF(W10=0,0,W10/W$10)</f>
        <v>1</v>
      </c>
      <c r="X111" s="31">
        <f t="shared" si="214"/>
        <v>1</v>
      </c>
      <c r="Y111" s="31">
        <f t="shared" si="214"/>
        <v>1</v>
      </c>
      <c r="DA111" s="173"/>
    </row>
    <row r="112" spans="1:105" ht="11.45" customHeight="1" x14ac:dyDescent="0.25">
      <c r="A112" s="83" t="s">
        <v>92</v>
      </c>
      <c r="B112" s="125">
        <f t="shared" si="212"/>
        <v>0.46697432134423111</v>
      </c>
      <c r="C112" s="125">
        <f t="shared" si="212"/>
        <v>0.34362398819018558</v>
      </c>
      <c r="D112" s="125">
        <f t="shared" si="212"/>
        <v>0.39944518682657021</v>
      </c>
      <c r="E112" s="125">
        <f t="shared" si="212"/>
        <v>0.31371766560678616</v>
      </c>
      <c r="F112" s="125">
        <f t="shared" si="212"/>
        <v>0.35773734264196583</v>
      </c>
      <c r="G112" s="125">
        <f t="shared" si="212"/>
        <v>0.20598990041419102</v>
      </c>
      <c r="H112" s="125">
        <f t="shared" si="212"/>
        <v>0.21790390762484502</v>
      </c>
      <c r="I112" s="125">
        <f t="shared" si="212"/>
        <v>0.36385838411542931</v>
      </c>
      <c r="J112" s="125">
        <f t="shared" si="212"/>
        <v>0.3353697735503563</v>
      </c>
      <c r="K112" s="125">
        <f t="shared" ref="K112:V112" si="215">IF(K11=0,0,K11/K$10)</f>
        <v>0.27959386203627307</v>
      </c>
      <c r="L112" s="125">
        <f t="shared" si="215"/>
        <v>0.31481127014785754</v>
      </c>
      <c r="M112" s="125">
        <f t="shared" si="215"/>
        <v>0.32780101751803126</v>
      </c>
      <c r="N112" s="125">
        <f t="shared" si="215"/>
        <v>0.31105557335925671</v>
      </c>
      <c r="O112" s="125">
        <f t="shared" si="215"/>
        <v>0.30649656748897308</v>
      </c>
      <c r="P112" s="125">
        <f t="shared" si="215"/>
        <v>0.26802856862391888</v>
      </c>
      <c r="Q112" s="125">
        <f t="shared" si="215"/>
        <v>0.26900914907507645</v>
      </c>
      <c r="R112" s="125">
        <f t="shared" si="215"/>
        <v>0.26961969442382927</v>
      </c>
      <c r="S112" s="125">
        <f t="shared" si="215"/>
        <v>0.24648430692844719</v>
      </c>
      <c r="T112" s="125">
        <f t="shared" si="215"/>
        <v>0.2506501112690212</v>
      </c>
      <c r="U112" s="125">
        <f t="shared" si="215"/>
        <v>0.28689583224043741</v>
      </c>
      <c r="V112" s="125">
        <f t="shared" si="215"/>
        <v>0.24583384403476741</v>
      </c>
      <c r="W112" s="125">
        <f t="shared" ref="W112:Y112" si="216">IF(W11=0,0,W11/W$10)</f>
        <v>0.25266761784901487</v>
      </c>
      <c r="X112" s="125">
        <f t="shared" si="216"/>
        <v>0.24026259656610602</v>
      </c>
      <c r="Y112" s="125">
        <f t="shared" si="216"/>
        <v>0.2866659681371857</v>
      </c>
      <c r="DA112" s="171"/>
    </row>
    <row r="113" spans="1:105" ht="11.45" customHeight="1" x14ac:dyDescent="0.25">
      <c r="A113" s="85" t="s">
        <v>93</v>
      </c>
      <c r="B113" s="127">
        <f t="shared" si="212"/>
        <v>0.53302567865576889</v>
      </c>
      <c r="C113" s="127">
        <f t="shared" si="212"/>
        <v>0.65637601180981442</v>
      </c>
      <c r="D113" s="127">
        <f t="shared" si="212"/>
        <v>0.60055481317342974</v>
      </c>
      <c r="E113" s="127">
        <f t="shared" si="212"/>
        <v>0.68628233439321384</v>
      </c>
      <c r="F113" s="127">
        <f t="shared" si="212"/>
        <v>0.64226265735803423</v>
      </c>
      <c r="G113" s="127">
        <f t="shared" si="212"/>
        <v>0.79401009958580904</v>
      </c>
      <c r="H113" s="127">
        <f t="shared" si="212"/>
        <v>0.78209609237515498</v>
      </c>
      <c r="I113" s="127">
        <f t="shared" si="212"/>
        <v>0.63614161588457063</v>
      </c>
      <c r="J113" s="127">
        <f t="shared" si="212"/>
        <v>0.66463022644964365</v>
      </c>
      <c r="K113" s="127">
        <f t="shared" ref="K113:V113" si="217">IF(K12=0,0,K12/K$10)</f>
        <v>0.72040613796372699</v>
      </c>
      <c r="L113" s="127">
        <f t="shared" si="217"/>
        <v>0.68518872985214252</v>
      </c>
      <c r="M113" s="127">
        <f t="shared" si="217"/>
        <v>0.67219898248196874</v>
      </c>
      <c r="N113" s="127">
        <f t="shared" si="217"/>
        <v>0.6889444266407434</v>
      </c>
      <c r="O113" s="127">
        <f t="shared" si="217"/>
        <v>0.69350343251102697</v>
      </c>
      <c r="P113" s="127">
        <f t="shared" si="217"/>
        <v>0.73197143137608112</v>
      </c>
      <c r="Q113" s="127">
        <f t="shared" si="217"/>
        <v>0.73099085092492355</v>
      </c>
      <c r="R113" s="127">
        <f t="shared" si="217"/>
        <v>0.73038030557617073</v>
      </c>
      <c r="S113" s="127">
        <f t="shared" si="217"/>
        <v>0.75351569307155286</v>
      </c>
      <c r="T113" s="127">
        <f t="shared" si="217"/>
        <v>0.74934988873097874</v>
      </c>
      <c r="U113" s="127">
        <f t="shared" si="217"/>
        <v>0.71310416775956265</v>
      </c>
      <c r="V113" s="127">
        <f t="shared" si="217"/>
        <v>0.75416615596523262</v>
      </c>
      <c r="W113" s="127">
        <f t="shared" ref="W113:Y113" si="218">IF(W12=0,0,W12/W$10)</f>
        <v>0.74733238215098508</v>
      </c>
      <c r="X113" s="127">
        <f t="shared" si="218"/>
        <v>0.75973740343389395</v>
      </c>
      <c r="Y113" s="127">
        <f t="shared" si="218"/>
        <v>0.71333403186281419</v>
      </c>
      <c r="DA113" s="178"/>
    </row>
    <row r="114" spans="1:105" ht="11.45" customHeight="1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DA114" s="171"/>
    </row>
    <row r="115" spans="1:105" ht="11.45" customHeight="1" x14ac:dyDescent="0.25">
      <c r="A115" s="53" t="s">
        <v>66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DA115" s="172"/>
    </row>
    <row r="116" spans="1:105" ht="11.45" customHeight="1" x14ac:dyDescent="0.25">
      <c r="A116" s="27" t="s">
        <v>33</v>
      </c>
      <c r="B116" s="31">
        <f t="shared" ref="B116:J121" si="219">IF(B15=0,0,B15/B$15)</f>
        <v>1</v>
      </c>
      <c r="C116" s="31">
        <f t="shared" si="219"/>
        <v>1</v>
      </c>
      <c r="D116" s="31">
        <f t="shared" si="219"/>
        <v>1</v>
      </c>
      <c r="E116" s="31">
        <f t="shared" si="219"/>
        <v>1</v>
      </c>
      <c r="F116" s="31">
        <f t="shared" si="219"/>
        <v>1</v>
      </c>
      <c r="G116" s="31">
        <f t="shared" si="219"/>
        <v>1</v>
      </c>
      <c r="H116" s="31">
        <f t="shared" si="219"/>
        <v>1</v>
      </c>
      <c r="I116" s="31">
        <f t="shared" si="219"/>
        <v>1</v>
      </c>
      <c r="J116" s="31">
        <f t="shared" si="219"/>
        <v>1</v>
      </c>
      <c r="K116" s="31">
        <f t="shared" ref="K116:V116" si="220">IF(K15=0,0,K15/K$15)</f>
        <v>1</v>
      </c>
      <c r="L116" s="31">
        <f t="shared" si="220"/>
        <v>1</v>
      </c>
      <c r="M116" s="31">
        <f t="shared" si="220"/>
        <v>1</v>
      </c>
      <c r="N116" s="31">
        <f t="shared" si="220"/>
        <v>1</v>
      </c>
      <c r="O116" s="31">
        <f t="shared" si="220"/>
        <v>1</v>
      </c>
      <c r="P116" s="31">
        <f t="shared" si="220"/>
        <v>1</v>
      </c>
      <c r="Q116" s="31">
        <f t="shared" si="220"/>
        <v>1</v>
      </c>
      <c r="R116" s="31">
        <f t="shared" si="220"/>
        <v>1</v>
      </c>
      <c r="S116" s="31">
        <f t="shared" si="220"/>
        <v>1</v>
      </c>
      <c r="T116" s="31">
        <f t="shared" si="220"/>
        <v>1</v>
      </c>
      <c r="U116" s="31">
        <f t="shared" si="220"/>
        <v>1</v>
      </c>
      <c r="V116" s="31">
        <f t="shared" si="220"/>
        <v>1</v>
      </c>
      <c r="W116" s="31">
        <f t="shared" ref="W116:Y116" si="221">IF(W15=0,0,W15/W$15)</f>
        <v>1</v>
      </c>
      <c r="X116" s="31">
        <f t="shared" si="221"/>
        <v>1</v>
      </c>
      <c r="Y116" s="31">
        <f t="shared" si="221"/>
        <v>1</v>
      </c>
      <c r="DA116" s="173"/>
    </row>
    <row r="117" spans="1:105" ht="11.45" customHeight="1" x14ac:dyDescent="0.25">
      <c r="A117" s="107" t="s">
        <v>23</v>
      </c>
      <c r="B117" s="123">
        <f t="shared" si="219"/>
        <v>0.52459837207870053</v>
      </c>
      <c r="C117" s="123">
        <f t="shared" si="219"/>
        <v>0.65191946635537401</v>
      </c>
      <c r="D117" s="123">
        <f t="shared" si="219"/>
        <v>0.51527621229966236</v>
      </c>
      <c r="E117" s="123">
        <f t="shared" si="219"/>
        <v>0.52433151736598305</v>
      </c>
      <c r="F117" s="123">
        <f t="shared" si="219"/>
        <v>0.57050464309393289</v>
      </c>
      <c r="G117" s="123">
        <f t="shared" si="219"/>
        <v>0.7178342114987869</v>
      </c>
      <c r="H117" s="123">
        <f t="shared" si="219"/>
        <v>0.76014823930195863</v>
      </c>
      <c r="I117" s="123">
        <f t="shared" si="219"/>
        <v>0.60724630329360951</v>
      </c>
      <c r="J117" s="123">
        <f t="shared" si="219"/>
        <v>0.62985570489384968</v>
      </c>
      <c r="K117" s="123">
        <f t="shared" ref="K117:V117" si="222">IF(K16=0,0,K16/K$15)</f>
        <v>0.65963404338874609</v>
      </c>
      <c r="L117" s="123">
        <f t="shared" si="222"/>
        <v>0.6403457177055325</v>
      </c>
      <c r="M117" s="123">
        <f t="shared" si="222"/>
        <v>0.58149619627226656</v>
      </c>
      <c r="N117" s="123">
        <f t="shared" si="222"/>
        <v>0.58717754548961398</v>
      </c>
      <c r="O117" s="123">
        <f t="shared" si="222"/>
        <v>0.62072356967433562</v>
      </c>
      <c r="P117" s="123">
        <f t="shared" si="222"/>
        <v>0.668835200861567</v>
      </c>
      <c r="Q117" s="123">
        <f t="shared" si="222"/>
        <v>0.51326999464923062</v>
      </c>
      <c r="R117" s="123">
        <f t="shared" si="222"/>
        <v>0.53592104133067875</v>
      </c>
      <c r="S117" s="123">
        <f t="shared" si="222"/>
        <v>0.50634683580676343</v>
      </c>
      <c r="T117" s="123">
        <f t="shared" si="222"/>
        <v>0.53374006311174249</v>
      </c>
      <c r="U117" s="123">
        <f t="shared" si="222"/>
        <v>0.47870407902258938</v>
      </c>
      <c r="V117" s="123">
        <f t="shared" si="222"/>
        <v>0.49242422571134176</v>
      </c>
      <c r="W117" s="123">
        <f t="shared" ref="W117:Y117" si="223">IF(W16=0,0,W16/W$15)</f>
        <v>0.47988885417282262</v>
      </c>
      <c r="X117" s="123">
        <f t="shared" si="223"/>
        <v>0.59879226481772252</v>
      </c>
      <c r="Y117" s="123">
        <f t="shared" si="223"/>
        <v>0.55625222138837649</v>
      </c>
      <c r="DA117" s="203"/>
    </row>
    <row r="118" spans="1:105" ht="11.45" customHeight="1" x14ac:dyDescent="0.25">
      <c r="A118" s="109" t="s">
        <v>24</v>
      </c>
      <c r="B118" s="124">
        <f t="shared" si="219"/>
        <v>0.47540162792129942</v>
      </c>
      <c r="C118" s="124">
        <f t="shared" si="219"/>
        <v>0.3480805336446261</v>
      </c>
      <c r="D118" s="124">
        <f t="shared" si="219"/>
        <v>0.48472378770033747</v>
      </c>
      <c r="E118" s="124">
        <f t="shared" si="219"/>
        <v>0.47566848263401695</v>
      </c>
      <c r="F118" s="124">
        <f t="shared" si="219"/>
        <v>0.42949535690606716</v>
      </c>
      <c r="G118" s="124">
        <f t="shared" si="219"/>
        <v>0.2821657885012131</v>
      </c>
      <c r="H118" s="124">
        <f t="shared" si="219"/>
        <v>0.23985176069804134</v>
      </c>
      <c r="I118" s="124">
        <f t="shared" si="219"/>
        <v>0.39275369670639054</v>
      </c>
      <c r="J118" s="124">
        <f t="shared" si="219"/>
        <v>0.37014429510615027</v>
      </c>
      <c r="K118" s="124">
        <f t="shared" ref="K118:V118" si="224">IF(K17=0,0,K17/K$15)</f>
        <v>0.34036595661125391</v>
      </c>
      <c r="L118" s="124">
        <f t="shared" si="224"/>
        <v>0.35965428229446744</v>
      </c>
      <c r="M118" s="124">
        <f t="shared" si="224"/>
        <v>0.41850380372773344</v>
      </c>
      <c r="N118" s="124">
        <f t="shared" si="224"/>
        <v>0.41282245451038596</v>
      </c>
      <c r="O118" s="124">
        <f t="shared" si="224"/>
        <v>0.37927643032566438</v>
      </c>
      <c r="P118" s="124">
        <f t="shared" si="224"/>
        <v>0.331164799138433</v>
      </c>
      <c r="Q118" s="124">
        <f t="shared" si="224"/>
        <v>0.48673000535076943</v>
      </c>
      <c r="R118" s="124">
        <f t="shared" si="224"/>
        <v>0.46407895866932125</v>
      </c>
      <c r="S118" s="124">
        <f t="shared" si="224"/>
        <v>0.49365316419323646</v>
      </c>
      <c r="T118" s="124">
        <f t="shared" si="224"/>
        <v>0.46625993688825751</v>
      </c>
      <c r="U118" s="124">
        <f t="shared" si="224"/>
        <v>0.52129592097741062</v>
      </c>
      <c r="V118" s="124">
        <f t="shared" si="224"/>
        <v>0.50757577428865819</v>
      </c>
      <c r="W118" s="124">
        <f t="shared" ref="W118:Y118" si="225">IF(W17=0,0,W17/W$15)</f>
        <v>0.52011114582717743</v>
      </c>
      <c r="X118" s="124">
        <f t="shared" si="225"/>
        <v>0.40120773518227759</v>
      </c>
      <c r="Y118" s="124">
        <f t="shared" si="225"/>
        <v>0.44374777861162362</v>
      </c>
      <c r="DA118" s="176"/>
    </row>
    <row r="119" spans="1:105" ht="11.45" customHeight="1" x14ac:dyDescent="0.25">
      <c r="A119" s="111" t="s">
        <v>92</v>
      </c>
      <c r="B119" s="125">
        <f t="shared" si="219"/>
        <v>0.41153038751233872</v>
      </c>
      <c r="C119" s="125">
        <f t="shared" si="219"/>
        <v>0.24523054697098551</v>
      </c>
      <c r="D119" s="125">
        <f t="shared" si="219"/>
        <v>0.26047147737106524</v>
      </c>
      <c r="E119" s="125">
        <f t="shared" si="219"/>
        <v>0.28302412103291291</v>
      </c>
      <c r="F119" s="125">
        <f t="shared" si="219"/>
        <v>0.32841887596296215</v>
      </c>
      <c r="G119" s="125">
        <f t="shared" si="219"/>
        <v>0.14481948423610488</v>
      </c>
      <c r="H119" s="125">
        <f t="shared" si="219"/>
        <v>0.14073369657964963</v>
      </c>
      <c r="I119" s="125">
        <f t="shared" si="219"/>
        <v>0.31523582681741441</v>
      </c>
      <c r="J119" s="125">
        <f t="shared" si="219"/>
        <v>0.30361646650622753</v>
      </c>
      <c r="K119" s="125">
        <f t="shared" ref="K119:V119" si="226">IF(K18=0,0,K18/K$15)</f>
        <v>0.25449768703667341</v>
      </c>
      <c r="L119" s="125">
        <f t="shared" si="226"/>
        <v>0.274618672444016</v>
      </c>
      <c r="M119" s="125">
        <f t="shared" si="226"/>
        <v>0.31735234313278377</v>
      </c>
      <c r="N119" s="125">
        <f t="shared" si="226"/>
        <v>0.28036598404900287</v>
      </c>
      <c r="O119" s="125">
        <f t="shared" si="226"/>
        <v>0.26168106722980095</v>
      </c>
      <c r="P119" s="125">
        <f t="shared" si="226"/>
        <v>0.20102368759950376</v>
      </c>
      <c r="Q119" s="125">
        <f t="shared" si="226"/>
        <v>0.22832472428889491</v>
      </c>
      <c r="R119" s="125">
        <f t="shared" si="226"/>
        <v>0.22026754152945455</v>
      </c>
      <c r="S119" s="125">
        <f t="shared" si="226"/>
        <v>0.24156082998524531</v>
      </c>
      <c r="T119" s="125">
        <f t="shared" si="226"/>
        <v>0.20050960983737701</v>
      </c>
      <c r="U119" s="125">
        <f t="shared" si="226"/>
        <v>0.26640659228220115</v>
      </c>
      <c r="V119" s="125">
        <f t="shared" si="226"/>
        <v>0.25387502328571371</v>
      </c>
      <c r="W119" s="125">
        <f t="shared" ref="W119:Y119" si="227">IF(W18=0,0,W18/W$15)</f>
        <v>0.24739470033343791</v>
      </c>
      <c r="X119" s="125">
        <f t="shared" si="227"/>
        <v>0.16809815028060673</v>
      </c>
      <c r="Y119" s="125">
        <f t="shared" si="227"/>
        <v>0.25457603715248428</v>
      </c>
      <c r="DA119" s="171"/>
    </row>
    <row r="120" spans="1:105" ht="11.45" customHeight="1" x14ac:dyDescent="0.25">
      <c r="A120" s="111" t="s">
        <v>93</v>
      </c>
      <c r="B120" s="125">
        <f t="shared" si="219"/>
        <v>6.3871240408960722E-2</v>
      </c>
      <c r="C120" s="125">
        <f t="shared" si="219"/>
        <v>0.10284998667364058</v>
      </c>
      <c r="D120" s="125">
        <f t="shared" si="219"/>
        <v>0.22425231032927223</v>
      </c>
      <c r="E120" s="125">
        <f t="shared" si="219"/>
        <v>0.19264436160110404</v>
      </c>
      <c r="F120" s="125">
        <f t="shared" si="219"/>
        <v>0.10107648094310502</v>
      </c>
      <c r="G120" s="125">
        <f t="shared" si="219"/>
        <v>0.13734630426510824</v>
      </c>
      <c r="H120" s="125">
        <f t="shared" si="219"/>
        <v>9.9118064118391719E-2</v>
      </c>
      <c r="I120" s="125">
        <f t="shared" si="219"/>
        <v>7.7517869888976104E-2</v>
      </c>
      <c r="J120" s="125">
        <f t="shared" si="219"/>
        <v>6.6527828599922734E-2</v>
      </c>
      <c r="K120" s="125">
        <f t="shared" ref="K120:V120" si="228">IF(K19=0,0,K19/K$15)</f>
        <v>8.5868269574580464E-2</v>
      </c>
      <c r="L120" s="125">
        <f t="shared" si="228"/>
        <v>8.5035609850451443E-2</v>
      </c>
      <c r="M120" s="125">
        <f t="shared" si="228"/>
        <v>0.10115146059494966</v>
      </c>
      <c r="N120" s="125">
        <f t="shared" si="228"/>
        <v>0.13245647046138309</v>
      </c>
      <c r="O120" s="125">
        <f t="shared" si="228"/>
        <v>0.11759536309586341</v>
      </c>
      <c r="P120" s="125">
        <f t="shared" si="228"/>
        <v>0.13014111153892924</v>
      </c>
      <c r="Q120" s="125">
        <f t="shared" si="228"/>
        <v>0.25840528106187455</v>
      </c>
      <c r="R120" s="125">
        <f t="shared" si="228"/>
        <v>0.24381141713986668</v>
      </c>
      <c r="S120" s="125">
        <f t="shared" si="228"/>
        <v>0.25209233420799121</v>
      </c>
      <c r="T120" s="125">
        <f t="shared" si="228"/>
        <v>0.26575032705088053</v>
      </c>
      <c r="U120" s="125">
        <f t="shared" si="228"/>
        <v>0.25488932869520942</v>
      </c>
      <c r="V120" s="125">
        <f t="shared" si="228"/>
        <v>0.25370075100294454</v>
      </c>
      <c r="W120" s="125">
        <f t="shared" ref="W120:Y120" si="229">IF(W19=0,0,W19/W$15)</f>
        <v>0.27271644549373952</v>
      </c>
      <c r="X120" s="125">
        <f t="shared" si="229"/>
        <v>0.23310958490167086</v>
      </c>
      <c r="Y120" s="125">
        <f t="shared" si="229"/>
        <v>0.18917174145913931</v>
      </c>
      <c r="DA120" s="171"/>
    </row>
    <row r="121" spans="1:105" ht="11.45" customHeight="1" x14ac:dyDescent="0.25">
      <c r="A121" s="112" t="s">
        <v>25</v>
      </c>
      <c r="B121" s="126">
        <f t="shared" si="219"/>
        <v>0</v>
      </c>
      <c r="C121" s="126">
        <f t="shared" si="219"/>
        <v>0</v>
      </c>
      <c r="D121" s="126">
        <f t="shared" si="219"/>
        <v>0</v>
      </c>
      <c r="E121" s="126">
        <f t="shared" si="219"/>
        <v>0</v>
      </c>
      <c r="F121" s="126">
        <f t="shared" si="219"/>
        <v>0</v>
      </c>
      <c r="G121" s="126">
        <f t="shared" si="219"/>
        <v>0</v>
      </c>
      <c r="H121" s="126">
        <f t="shared" si="219"/>
        <v>0</v>
      </c>
      <c r="I121" s="126">
        <f t="shared" si="219"/>
        <v>0</v>
      </c>
      <c r="J121" s="126">
        <f t="shared" si="219"/>
        <v>0</v>
      </c>
      <c r="K121" s="126">
        <f t="shared" ref="K121:V121" si="230">IF(K20=0,0,K20/K$15)</f>
        <v>0</v>
      </c>
      <c r="L121" s="126">
        <f t="shared" si="230"/>
        <v>0</v>
      </c>
      <c r="M121" s="126">
        <f t="shared" si="230"/>
        <v>0</v>
      </c>
      <c r="N121" s="126">
        <f t="shared" si="230"/>
        <v>0</v>
      </c>
      <c r="O121" s="126">
        <f t="shared" si="230"/>
        <v>0</v>
      </c>
      <c r="P121" s="126">
        <f t="shared" si="230"/>
        <v>0</v>
      </c>
      <c r="Q121" s="126">
        <f t="shared" si="230"/>
        <v>0</v>
      </c>
      <c r="R121" s="126">
        <f t="shared" si="230"/>
        <v>0</v>
      </c>
      <c r="S121" s="126">
        <f t="shared" si="230"/>
        <v>0</v>
      </c>
      <c r="T121" s="126">
        <f t="shared" si="230"/>
        <v>0</v>
      </c>
      <c r="U121" s="126">
        <f t="shared" si="230"/>
        <v>0</v>
      </c>
      <c r="V121" s="126">
        <f t="shared" si="230"/>
        <v>0</v>
      </c>
      <c r="W121" s="126">
        <f t="shared" ref="W121:Y121" si="231">IF(W20=0,0,W20/W$15)</f>
        <v>0</v>
      </c>
      <c r="X121" s="126">
        <f t="shared" si="231"/>
        <v>0</v>
      </c>
      <c r="Y121" s="126">
        <f t="shared" si="231"/>
        <v>0</v>
      </c>
      <c r="DA121" s="204"/>
    </row>
    <row r="122" spans="1:105" ht="11.45" customHeight="1" x14ac:dyDescent="0.25">
      <c r="A122" s="27" t="s">
        <v>34</v>
      </c>
      <c r="B122" s="31">
        <f t="shared" ref="B122:J124" si="232">IF(B21=0,0,B21/B$21)</f>
        <v>1</v>
      </c>
      <c r="C122" s="31">
        <f t="shared" si="232"/>
        <v>1</v>
      </c>
      <c r="D122" s="31">
        <f t="shared" si="232"/>
        <v>1</v>
      </c>
      <c r="E122" s="31">
        <f t="shared" si="232"/>
        <v>1</v>
      </c>
      <c r="F122" s="31">
        <f t="shared" si="232"/>
        <v>1</v>
      </c>
      <c r="G122" s="31">
        <f t="shared" si="232"/>
        <v>1</v>
      </c>
      <c r="H122" s="31">
        <f t="shared" si="232"/>
        <v>1</v>
      </c>
      <c r="I122" s="31">
        <f t="shared" si="232"/>
        <v>1</v>
      </c>
      <c r="J122" s="31">
        <f t="shared" si="232"/>
        <v>1</v>
      </c>
      <c r="K122" s="31">
        <f t="shared" ref="K122:V122" si="233">IF(K21=0,0,K21/K$21)</f>
        <v>1</v>
      </c>
      <c r="L122" s="31">
        <f t="shared" si="233"/>
        <v>1</v>
      </c>
      <c r="M122" s="31">
        <f t="shared" si="233"/>
        <v>1</v>
      </c>
      <c r="N122" s="31">
        <f t="shared" si="233"/>
        <v>1</v>
      </c>
      <c r="O122" s="31">
        <f t="shared" si="233"/>
        <v>1</v>
      </c>
      <c r="P122" s="31">
        <f t="shared" si="233"/>
        <v>1</v>
      </c>
      <c r="Q122" s="31">
        <f t="shared" si="233"/>
        <v>1</v>
      </c>
      <c r="R122" s="31">
        <f t="shared" si="233"/>
        <v>1</v>
      </c>
      <c r="S122" s="31">
        <f t="shared" si="233"/>
        <v>1</v>
      </c>
      <c r="T122" s="31">
        <f t="shared" si="233"/>
        <v>1</v>
      </c>
      <c r="U122" s="31">
        <f t="shared" si="233"/>
        <v>1</v>
      </c>
      <c r="V122" s="31">
        <f t="shared" si="233"/>
        <v>1</v>
      </c>
      <c r="W122" s="31">
        <f t="shared" ref="W122:Y122" si="234">IF(W21=0,0,W21/W$21)</f>
        <v>1</v>
      </c>
      <c r="X122" s="31">
        <f t="shared" si="234"/>
        <v>1</v>
      </c>
      <c r="Y122" s="31">
        <f t="shared" si="234"/>
        <v>1</v>
      </c>
      <c r="DA122" s="173"/>
    </row>
    <row r="123" spans="1:105" ht="11.45" customHeight="1" x14ac:dyDescent="0.25">
      <c r="A123" s="83" t="s">
        <v>92</v>
      </c>
      <c r="B123" s="125">
        <f t="shared" si="232"/>
        <v>0.57599267920013386</v>
      </c>
      <c r="C123" s="125">
        <f t="shared" si="232"/>
        <v>0.41650883059795524</v>
      </c>
      <c r="D123" s="125">
        <f t="shared" si="232"/>
        <v>0.35937049607717514</v>
      </c>
      <c r="E123" s="125">
        <f t="shared" si="232"/>
        <v>0.24158985827497403</v>
      </c>
      <c r="F123" s="125">
        <f t="shared" si="232"/>
        <v>0.27299151964638274</v>
      </c>
      <c r="G123" s="125">
        <f t="shared" si="232"/>
        <v>0.19846987061939111</v>
      </c>
      <c r="H123" s="125">
        <f t="shared" si="232"/>
        <v>0.2382842094584659</v>
      </c>
      <c r="I123" s="125">
        <f t="shared" si="232"/>
        <v>0.33702553793137902</v>
      </c>
      <c r="J123" s="125">
        <f t="shared" si="232"/>
        <v>0.34419174441862693</v>
      </c>
      <c r="K123" s="125">
        <f t="shared" ref="K123:V123" si="235">IF(K22=0,0,K22/K$21)</f>
        <v>0.27926508231408009</v>
      </c>
      <c r="L123" s="125">
        <f t="shared" si="235"/>
        <v>0.28920864274640928</v>
      </c>
      <c r="M123" s="125">
        <f t="shared" si="235"/>
        <v>0.30629888628899787</v>
      </c>
      <c r="N123" s="125">
        <f t="shared" si="235"/>
        <v>0.29023892047068917</v>
      </c>
      <c r="O123" s="125">
        <f t="shared" si="235"/>
        <v>0.28587447468109267</v>
      </c>
      <c r="P123" s="125">
        <f t="shared" si="235"/>
        <v>0.22703261195714844</v>
      </c>
      <c r="Q123" s="125">
        <f t="shared" si="235"/>
        <v>0.26367500709700803</v>
      </c>
      <c r="R123" s="125">
        <f t="shared" si="235"/>
        <v>0.2717453002512692</v>
      </c>
      <c r="S123" s="125">
        <f t="shared" si="235"/>
        <v>0.23821243526774924</v>
      </c>
      <c r="T123" s="125">
        <f t="shared" si="235"/>
        <v>0.23153657232804156</v>
      </c>
      <c r="U123" s="125">
        <f t="shared" si="235"/>
        <v>0.27481786954227511</v>
      </c>
      <c r="V123" s="125">
        <f t="shared" si="235"/>
        <v>0.20735484511963181</v>
      </c>
      <c r="W123" s="125">
        <f t="shared" ref="W123:Y123" si="236">IF(W22=0,0,W22/W$21)</f>
        <v>0.27632349925940164</v>
      </c>
      <c r="X123" s="125">
        <f t="shared" si="236"/>
        <v>0.33043190784968968</v>
      </c>
      <c r="Y123" s="125">
        <f t="shared" si="236"/>
        <v>0.43981669674119939</v>
      </c>
      <c r="DA123" s="171"/>
    </row>
    <row r="124" spans="1:105" ht="11.45" customHeight="1" x14ac:dyDescent="0.25">
      <c r="A124" s="85" t="s">
        <v>93</v>
      </c>
      <c r="B124" s="127">
        <f t="shared" si="232"/>
        <v>0.42400732079986614</v>
      </c>
      <c r="C124" s="127">
        <f t="shared" si="232"/>
        <v>0.58349116940204482</v>
      </c>
      <c r="D124" s="127">
        <f t="shared" si="232"/>
        <v>0.64062950392282492</v>
      </c>
      <c r="E124" s="127">
        <f t="shared" si="232"/>
        <v>0.75841014172502597</v>
      </c>
      <c r="F124" s="127">
        <f t="shared" si="232"/>
        <v>0.72700848035361731</v>
      </c>
      <c r="G124" s="127">
        <f t="shared" si="232"/>
        <v>0.80153012938060886</v>
      </c>
      <c r="H124" s="127">
        <f t="shared" si="232"/>
        <v>0.76171579054153404</v>
      </c>
      <c r="I124" s="127">
        <f t="shared" si="232"/>
        <v>0.66297446206862098</v>
      </c>
      <c r="J124" s="127">
        <f t="shared" si="232"/>
        <v>0.65580825558137301</v>
      </c>
      <c r="K124" s="127">
        <f t="shared" ref="K124:V124" si="237">IF(K23=0,0,K23/K$21)</f>
        <v>0.7207349176859198</v>
      </c>
      <c r="L124" s="127">
        <f t="shared" si="237"/>
        <v>0.71079135725359077</v>
      </c>
      <c r="M124" s="127">
        <f t="shared" si="237"/>
        <v>0.69370111371100207</v>
      </c>
      <c r="N124" s="127">
        <f t="shared" si="237"/>
        <v>0.70976107952931078</v>
      </c>
      <c r="O124" s="127">
        <f t="shared" si="237"/>
        <v>0.71412552531890727</v>
      </c>
      <c r="P124" s="127">
        <f t="shared" si="237"/>
        <v>0.77296738804285148</v>
      </c>
      <c r="Q124" s="127">
        <f t="shared" si="237"/>
        <v>0.73632499290299191</v>
      </c>
      <c r="R124" s="127">
        <f t="shared" si="237"/>
        <v>0.7282546997487308</v>
      </c>
      <c r="S124" s="127">
        <f t="shared" si="237"/>
        <v>0.76178756473225084</v>
      </c>
      <c r="T124" s="127">
        <f t="shared" si="237"/>
        <v>0.76846342767195841</v>
      </c>
      <c r="U124" s="127">
        <f t="shared" si="237"/>
        <v>0.72518213045772484</v>
      </c>
      <c r="V124" s="127">
        <f t="shared" si="237"/>
        <v>0.79264515488036813</v>
      </c>
      <c r="W124" s="127">
        <f t="shared" ref="W124:Y124" si="238">IF(W23=0,0,W23/W$21)</f>
        <v>0.72367650074059842</v>
      </c>
      <c r="X124" s="127">
        <f t="shared" si="238"/>
        <v>0.66956809215031032</v>
      </c>
      <c r="Y124" s="127">
        <f t="shared" si="238"/>
        <v>0.56018330325880061</v>
      </c>
      <c r="DA124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Y6 B17:Y17 B28:Y28 C39:Y3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DA65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1102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133" t="s">
        <v>45</v>
      </c>
      <c r="B4" s="146">
        <f>SUM(B5,B8)</f>
        <v>360.02674118658638</v>
      </c>
      <c r="C4" s="146">
        <f t="shared" ref="C4:V4" si="0">SUM(C5,C8)</f>
        <v>218.0632846087704</v>
      </c>
      <c r="D4" s="146">
        <f t="shared" si="0"/>
        <v>313.65717970765263</v>
      </c>
      <c r="E4" s="146">
        <f t="shared" si="0"/>
        <v>283.19415305245059</v>
      </c>
      <c r="F4" s="146">
        <f t="shared" si="0"/>
        <v>292.09905417024936</v>
      </c>
      <c r="G4" s="146">
        <f t="shared" si="0"/>
        <v>160.36113499570075</v>
      </c>
      <c r="H4" s="146">
        <f t="shared" si="0"/>
        <v>147.29148753224419</v>
      </c>
      <c r="I4" s="146">
        <f t="shared" si="0"/>
        <v>266.04565778159923</v>
      </c>
      <c r="J4" s="146">
        <f t="shared" si="0"/>
        <v>246.65141874462597</v>
      </c>
      <c r="K4" s="146">
        <f t="shared" si="0"/>
        <v>201.01745485812552</v>
      </c>
      <c r="L4" s="146">
        <f t="shared" si="0"/>
        <v>222.61874462596734</v>
      </c>
      <c r="M4" s="146">
        <f t="shared" si="0"/>
        <v>288.26792777300085</v>
      </c>
      <c r="N4" s="146">
        <f t="shared" si="0"/>
        <v>283.11289767841777</v>
      </c>
      <c r="O4" s="146">
        <f t="shared" si="0"/>
        <v>254.72046431642303</v>
      </c>
      <c r="P4" s="146">
        <f t="shared" si="0"/>
        <v>194.40017196904552</v>
      </c>
      <c r="Q4" s="146">
        <f t="shared" si="0"/>
        <v>200.42725709372317</v>
      </c>
      <c r="R4" s="146">
        <f t="shared" si="0"/>
        <v>194.73061049011176</v>
      </c>
      <c r="S4" s="146">
        <f t="shared" si="0"/>
        <v>204.10197764402403</v>
      </c>
      <c r="T4" s="146">
        <f t="shared" si="0"/>
        <v>179.69578675838346</v>
      </c>
      <c r="U4" s="146">
        <f t="shared" si="0"/>
        <v>215.5369733447979</v>
      </c>
      <c r="V4" s="146">
        <f t="shared" si="0"/>
        <v>198.01444539982796</v>
      </c>
      <c r="W4" s="146">
        <f t="shared" ref="W4:Y4" si="1">SUM(W5,W8)</f>
        <v>225.41023215821156</v>
      </c>
      <c r="X4" s="146">
        <f t="shared" si="1"/>
        <v>185.48297506448841</v>
      </c>
      <c r="Y4" s="146">
        <f t="shared" si="1"/>
        <v>152.6964746345657</v>
      </c>
      <c r="DA4" s="206" t="s">
        <v>1103</v>
      </c>
    </row>
    <row r="5" spans="1:105" ht="11.45" customHeight="1" x14ac:dyDescent="0.25">
      <c r="A5" s="92" t="s">
        <v>150</v>
      </c>
      <c r="B5" s="101">
        <f>SUM(B6:B7)</f>
        <v>297.00008598452274</v>
      </c>
      <c r="C5" s="101">
        <f t="shared" ref="C5:V5" si="2">SUM(C6:C7)</f>
        <v>148.8457437661221</v>
      </c>
      <c r="D5" s="101">
        <f t="shared" si="2"/>
        <v>200.8454858125537</v>
      </c>
      <c r="E5" s="101">
        <f t="shared" si="2"/>
        <v>177.86311263972487</v>
      </c>
      <c r="F5" s="101">
        <f t="shared" si="2"/>
        <v>200.95546001719688</v>
      </c>
      <c r="G5" s="101">
        <f t="shared" si="2"/>
        <v>75.580395528804814</v>
      </c>
      <c r="H5" s="101">
        <f t="shared" si="2"/>
        <v>73.516766981943249</v>
      </c>
      <c r="I5" s="101">
        <f t="shared" si="2"/>
        <v>186.25202063628541</v>
      </c>
      <c r="J5" s="101">
        <f t="shared" si="2"/>
        <v>173.65055889939813</v>
      </c>
      <c r="K5" s="101">
        <f t="shared" si="2"/>
        <v>129.47833190025796</v>
      </c>
      <c r="L5" s="101">
        <f t="shared" si="2"/>
        <v>146.86638005159071</v>
      </c>
      <c r="M5" s="101">
        <f t="shared" si="2"/>
        <v>198.24213241616508</v>
      </c>
      <c r="N5" s="101">
        <f t="shared" si="2"/>
        <v>184.48865004299216</v>
      </c>
      <c r="O5" s="101">
        <f t="shared" si="2"/>
        <v>163.49088564058468</v>
      </c>
      <c r="P5" s="101">
        <f t="shared" si="2"/>
        <v>108.75958727429058</v>
      </c>
      <c r="Q5" s="101">
        <f t="shared" si="2"/>
        <v>112.55107480653487</v>
      </c>
      <c r="R5" s="101">
        <f t="shared" si="2"/>
        <v>109.60593293207219</v>
      </c>
      <c r="S5" s="101">
        <f t="shared" si="2"/>
        <v>115.54015477214099</v>
      </c>
      <c r="T5" s="101">
        <f t="shared" si="2"/>
        <v>93.876784178847799</v>
      </c>
      <c r="U5" s="101">
        <f t="shared" si="2"/>
        <v>129.27927773000857</v>
      </c>
      <c r="V5" s="101">
        <f t="shared" si="2"/>
        <v>111.79148753224413</v>
      </c>
      <c r="W5" s="101">
        <f t="shared" ref="W5:Y5" si="3">SUM(W6:W7)</f>
        <v>130.87884780739469</v>
      </c>
      <c r="X5" s="101">
        <f t="shared" si="3"/>
        <v>102.29054170249358</v>
      </c>
      <c r="Y5" s="101">
        <f t="shared" si="3"/>
        <v>100.90842648323296</v>
      </c>
      <c r="DA5" s="175"/>
    </row>
    <row r="6" spans="1:105" ht="11.45" customHeight="1" x14ac:dyDescent="0.25">
      <c r="A6" s="164" t="s">
        <v>175</v>
      </c>
      <c r="B6" s="165">
        <v>296.68959587274287</v>
      </c>
      <c r="C6" s="165">
        <v>147.46044711951848</v>
      </c>
      <c r="D6" s="165">
        <v>197.191143594153</v>
      </c>
      <c r="E6" s="165">
        <v>174.78202923473776</v>
      </c>
      <c r="F6" s="165">
        <v>200.85993121238175</v>
      </c>
      <c r="G6" s="165">
        <v>74.911607910576095</v>
      </c>
      <c r="H6" s="165">
        <v>72.919690455717969</v>
      </c>
      <c r="I6" s="165">
        <v>184.86672398968179</v>
      </c>
      <c r="J6" s="165">
        <v>173.50722269991405</v>
      </c>
      <c r="K6" s="165">
        <v>129.4067067927773</v>
      </c>
      <c r="L6" s="165">
        <v>146.86638005159071</v>
      </c>
      <c r="M6" s="165">
        <v>198.2182287188306</v>
      </c>
      <c r="N6" s="165">
        <v>184.46474634565769</v>
      </c>
      <c r="O6" s="165">
        <v>163.18039552880481</v>
      </c>
      <c r="P6" s="165">
        <v>108.4490971625107</v>
      </c>
      <c r="Q6" s="165">
        <v>112.50326741186591</v>
      </c>
      <c r="R6" s="165">
        <v>109.4625967325881</v>
      </c>
      <c r="S6" s="165">
        <v>115.4121238177128</v>
      </c>
      <c r="T6" s="165">
        <v>93.834823731728278</v>
      </c>
      <c r="U6" s="165">
        <v>129.24428202923471</v>
      </c>
      <c r="V6" s="165">
        <v>111.7551160791057</v>
      </c>
      <c r="W6" s="165">
        <v>130.85012897678419</v>
      </c>
      <c r="X6" s="165">
        <v>102.2471195184867</v>
      </c>
      <c r="Y6" s="165">
        <v>100.8825451418744</v>
      </c>
      <c r="DA6" s="207" t="s">
        <v>1104</v>
      </c>
    </row>
    <row r="7" spans="1:105" ht="11.45" customHeight="1" x14ac:dyDescent="0.25">
      <c r="A7" s="166" t="s">
        <v>176</v>
      </c>
      <c r="B7" s="167">
        <v>0.31049011177987962</v>
      </c>
      <c r="C7" s="167">
        <v>1.385296646603611</v>
      </c>
      <c r="D7" s="167">
        <v>3.654342218400688</v>
      </c>
      <c r="E7" s="167">
        <v>3.0810834049871021</v>
      </c>
      <c r="F7" s="167">
        <v>9.5528804815133275E-2</v>
      </c>
      <c r="G7" s="167">
        <v>0.66878761822871879</v>
      </c>
      <c r="H7" s="167">
        <v>0.5970765262252794</v>
      </c>
      <c r="I7" s="167">
        <v>1.385296646603611</v>
      </c>
      <c r="J7" s="167">
        <v>0.14333619948409279</v>
      </c>
      <c r="K7" s="167">
        <v>7.1625107480653469E-2</v>
      </c>
      <c r="L7" s="167">
        <v>0</v>
      </c>
      <c r="M7" s="167">
        <v>2.3903697334479789E-2</v>
      </c>
      <c r="N7" s="167">
        <v>2.3903697334479789E-2</v>
      </c>
      <c r="O7" s="167">
        <v>0.31049011177987962</v>
      </c>
      <c r="P7" s="167">
        <v>0.31049011177987962</v>
      </c>
      <c r="Q7" s="167">
        <v>4.7807394668959592E-2</v>
      </c>
      <c r="R7" s="167">
        <v>0.14333619948409279</v>
      </c>
      <c r="S7" s="167">
        <v>0.12803095442820289</v>
      </c>
      <c r="T7" s="167">
        <v>4.1960447119518483E-2</v>
      </c>
      <c r="U7" s="167">
        <v>3.4995700773860702E-2</v>
      </c>
      <c r="V7" s="167">
        <v>3.6371453138435081E-2</v>
      </c>
      <c r="W7" s="167">
        <v>2.8718830610490111E-2</v>
      </c>
      <c r="X7" s="167">
        <v>4.3422184006878757E-2</v>
      </c>
      <c r="Y7" s="167">
        <v>2.5881341358555458E-2</v>
      </c>
      <c r="DA7" s="177" t="s">
        <v>1105</v>
      </c>
    </row>
    <row r="8" spans="1:105" ht="11.45" customHeight="1" x14ac:dyDescent="0.25">
      <c r="A8" s="85" t="s">
        <v>91</v>
      </c>
      <c r="B8" s="88">
        <v>63.026655202063623</v>
      </c>
      <c r="C8" s="88">
        <v>69.217540842648319</v>
      </c>
      <c r="D8" s="88">
        <v>112.8116938950989</v>
      </c>
      <c r="E8" s="88">
        <v>105.3310404127257</v>
      </c>
      <c r="F8" s="88">
        <v>91.143594153052447</v>
      </c>
      <c r="G8" s="88">
        <v>84.780739466895952</v>
      </c>
      <c r="H8" s="88">
        <v>73.774720550300941</v>
      </c>
      <c r="I8" s="88">
        <v>79.793637145313838</v>
      </c>
      <c r="J8" s="88">
        <v>73.000859845227851</v>
      </c>
      <c r="K8" s="88">
        <v>71.539122957867576</v>
      </c>
      <c r="L8" s="88">
        <v>75.752364574376614</v>
      </c>
      <c r="M8" s="88">
        <v>90.025795356835758</v>
      </c>
      <c r="N8" s="88">
        <v>98.624247635425618</v>
      </c>
      <c r="O8" s="88">
        <v>91.22957867583834</v>
      </c>
      <c r="P8" s="88">
        <v>85.640584694754935</v>
      </c>
      <c r="Q8" s="88">
        <v>87.8761822871883</v>
      </c>
      <c r="R8" s="88">
        <v>85.124677558039551</v>
      </c>
      <c r="S8" s="88">
        <v>88.561822871883052</v>
      </c>
      <c r="T8" s="88">
        <v>85.819002579535677</v>
      </c>
      <c r="U8" s="88">
        <v>86.257695614789327</v>
      </c>
      <c r="V8" s="88">
        <v>86.22295786758383</v>
      </c>
      <c r="W8" s="88">
        <v>94.53138435081685</v>
      </c>
      <c r="X8" s="88">
        <v>83.19243336199483</v>
      </c>
      <c r="Y8" s="88">
        <v>51.788048151332752</v>
      </c>
      <c r="DA8" s="178" t="s">
        <v>1106</v>
      </c>
    </row>
    <row r="9" spans="1:105" x14ac:dyDescent="0.25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DA9" s="171"/>
    </row>
    <row r="10" spans="1:105" ht="11.45" customHeight="1" x14ac:dyDescent="0.25">
      <c r="A10" s="53" t="s">
        <v>61</v>
      </c>
      <c r="B10" s="62">
        <f t="shared" ref="B10" si="4">SUM(B11,B17)</f>
        <v>360.02674118658638</v>
      </c>
      <c r="C10" s="62">
        <f t="shared" ref="C10:V10" si="5">SUM(C11,C17)</f>
        <v>218.0632846087704</v>
      </c>
      <c r="D10" s="62">
        <f t="shared" si="5"/>
        <v>313.65717970765263</v>
      </c>
      <c r="E10" s="62">
        <f t="shared" si="5"/>
        <v>283.19415305245059</v>
      </c>
      <c r="F10" s="62">
        <f t="shared" si="5"/>
        <v>292.0990541702493</v>
      </c>
      <c r="G10" s="62">
        <f t="shared" si="5"/>
        <v>160.36113499570078</v>
      </c>
      <c r="H10" s="62">
        <f t="shared" si="5"/>
        <v>147.29148753224416</v>
      </c>
      <c r="I10" s="62">
        <f t="shared" si="5"/>
        <v>266.04565778159923</v>
      </c>
      <c r="J10" s="62">
        <f t="shared" si="5"/>
        <v>246.651418744626</v>
      </c>
      <c r="K10" s="62">
        <f t="shared" si="5"/>
        <v>201.01745485812552</v>
      </c>
      <c r="L10" s="62">
        <f t="shared" si="5"/>
        <v>222.61874462596731</v>
      </c>
      <c r="M10" s="62">
        <f t="shared" si="5"/>
        <v>288.26792777300085</v>
      </c>
      <c r="N10" s="62">
        <f t="shared" si="5"/>
        <v>283.11289767841777</v>
      </c>
      <c r="O10" s="62">
        <f t="shared" si="5"/>
        <v>254.72046431642303</v>
      </c>
      <c r="P10" s="62">
        <f t="shared" si="5"/>
        <v>194.40017196904552</v>
      </c>
      <c r="Q10" s="62">
        <f t="shared" si="5"/>
        <v>200.4272570937232</v>
      </c>
      <c r="R10" s="62">
        <f t="shared" si="5"/>
        <v>194.73061049011173</v>
      </c>
      <c r="S10" s="62">
        <f t="shared" si="5"/>
        <v>204.10197764402403</v>
      </c>
      <c r="T10" s="62">
        <f t="shared" si="5"/>
        <v>179.69578675838346</v>
      </c>
      <c r="U10" s="62">
        <f t="shared" si="5"/>
        <v>215.5369733447979</v>
      </c>
      <c r="V10" s="62">
        <f t="shared" si="5"/>
        <v>198.01444539982793</v>
      </c>
      <c r="W10" s="62">
        <f t="shared" ref="W10:Y10" si="6">SUM(W11,W17)</f>
        <v>225.41023215821156</v>
      </c>
      <c r="X10" s="62">
        <f t="shared" si="6"/>
        <v>185.48297506448841</v>
      </c>
      <c r="Y10" s="62">
        <f t="shared" si="6"/>
        <v>152.69647463456573</v>
      </c>
      <c r="DA10" s="172" t="s">
        <v>1107</v>
      </c>
    </row>
    <row r="11" spans="1:105" ht="11.45" customHeight="1" x14ac:dyDescent="0.25">
      <c r="A11" s="27" t="s">
        <v>33</v>
      </c>
      <c r="B11" s="29">
        <f t="shared" ref="B11" si="7">SUM(B12,B13,B16)</f>
        <v>260.99613731546702</v>
      </c>
      <c r="C11" s="29">
        <f t="shared" ref="C11:V11" si="8">SUM(C12,C13,C16)</f>
        <v>145.75659879991056</v>
      </c>
      <c r="D11" s="29">
        <f t="shared" si="8"/>
        <v>205.72351964221383</v>
      </c>
      <c r="E11" s="29">
        <f t="shared" si="8"/>
        <v>198.97298575527159</v>
      </c>
      <c r="F11" s="29">
        <f t="shared" si="8"/>
        <v>197.50085389806486</v>
      </c>
      <c r="G11" s="29">
        <f t="shared" si="8"/>
        <v>100.49224972550448</v>
      </c>
      <c r="H11" s="29">
        <f t="shared" si="8"/>
        <v>92.059000588834436</v>
      </c>
      <c r="I11" s="29">
        <f t="shared" si="8"/>
        <v>178.44542445100183</v>
      </c>
      <c r="J11" s="29">
        <f t="shared" si="8"/>
        <v>170.26016802467933</v>
      </c>
      <c r="K11" s="29">
        <f t="shared" si="8"/>
        <v>149.92854145201832</v>
      </c>
      <c r="L11" s="29">
        <f t="shared" si="8"/>
        <v>162.83832311189707</v>
      </c>
      <c r="M11" s="29">
        <f t="shared" si="8"/>
        <v>201.77576444130048</v>
      </c>
      <c r="N11" s="29">
        <f t="shared" si="8"/>
        <v>205.39559016433691</v>
      </c>
      <c r="O11" s="29">
        <f t="shared" si="8"/>
        <v>183.36647768181976</v>
      </c>
      <c r="P11" s="29">
        <f t="shared" si="8"/>
        <v>143.5230729758714</v>
      </c>
      <c r="Q11" s="29">
        <f t="shared" si="8"/>
        <v>134.2368551801091</v>
      </c>
      <c r="R11" s="29">
        <f t="shared" si="8"/>
        <v>130.39677127576414</v>
      </c>
      <c r="S11" s="29">
        <f t="shared" si="8"/>
        <v>142.36260863467939</v>
      </c>
      <c r="T11" s="29">
        <f t="shared" si="8"/>
        <v>120.62720561822871</v>
      </c>
      <c r="U11" s="29">
        <f t="shared" si="8"/>
        <v>148.99729259691668</v>
      </c>
      <c r="V11" s="29">
        <f t="shared" si="8"/>
        <v>140.49443979755148</v>
      </c>
      <c r="W11" s="29">
        <f t="shared" ref="W11:Y11" si="9">SUM(W12,W13,W16)</f>
        <v>140.73433198273403</v>
      </c>
      <c r="X11" s="29">
        <f t="shared" si="9"/>
        <v>108.02932222456774</v>
      </c>
      <c r="Y11" s="29">
        <f t="shared" si="9"/>
        <v>106.38052989729943</v>
      </c>
      <c r="DA11" s="173" t="s">
        <v>395</v>
      </c>
    </row>
    <row r="12" spans="1:105" ht="11.45" customHeight="1" x14ac:dyDescent="0.25">
      <c r="A12" s="107" t="s">
        <v>23</v>
      </c>
      <c r="B12" s="115">
        <v>31.080091243056913</v>
      </c>
      <c r="C12" s="115">
        <v>30.446470249286968</v>
      </c>
      <c r="D12" s="115">
        <v>30.041630743973609</v>
      </c>
      <c r="E12" s="115">
        <v>28.35734002312282</v>
      </c>
      <c r="F12" s="115">
        <v>29.739389647028094</v>
      </c>
      <c r="G12" s="115">
        <v>31.160788945721517</v>
      </c>
      <c r="H12" s="115">
        <v>32.456958668576526</v>
      </c>
      <c r="I12" s="115">
        <v>32.98257380286875</v>
      </c>
      <c r="J12" s="115">
        <v>33.492719549749964</v>
      </c>
      <c r="K12" s="115">
        <v>34.499769065241736</v>
      </c>
      <c r="L12" s="115">
        <v>35.049451734708775</v>
      </c>
      <c r="M12" s="115">
        <v>35.22562880307219</v>
      </c>
      <c r="N12" s="115">
        <v>38.097189802315029</v>
      </c>
      <c r="O12" s="115">
        <v>37.936971808194379</v>
      </c>
      <c r="P12" s="115">
        <v>37.320114138586419</v>
      </c>
      <c r="Q12" s="115">
        <v>22.365994632316912</v>
      </c>
      <c r="R12" s="115">
        <v>23.165234019544521</v>
      </c>
      <c r="S12" s="115">
        <v>22.562131754009453</v>
      </c>
      <c r="T12" s="115">
        <v>21.735494897822633</v>
      </c>
      <c r="U12" s="115">
        <v>21.018797137020705</v>
      </c>
      <c r="V12" s="115">
        <v>20.879067044428496</v>
      </c>
      <c r="W12" s="115">
        <v>20.347753226717295</v>
      </c>
      <c r="X12" s="115">
        <v>24.051422140508667</v>
      </c>
      <c r="Y12" s="115">
        <v>18.594805946515343</v>
      </c>
      <c r="DA12" s="203" t="s">
        <v>396</v>
      </c>
    </row>
    <row r="13" spans="1:105" ht="11.45" customHeight="1" x14ac:dyDescent="0.25">
      <c r="A13" s="109" t="s">
        <v>24</v>
      </c>
      <c r="B13" s="116">
        <f t="shared" ref="B13" si="10">SUM(B14:B15)</f>
        <v>229.9160460724101</v>
      </c>
      <c r="C13" s="116">
        <f t="shared" ref="C13:V13" si="11">SUM(C14:C15)</f>
        <v>115.31012855062359</v>
      </c>
      <c r="D13" s="116">
        <f t="shared" si="11"/>
        <v>175.68188889824023</v>
      </c>
      <c r="E13" s="116">
        <f t="shared" si="11"/>
        <v>170.61564573214878</v>
      </c>
      <c r="F13" s="116">
        <f t="shared" si="11"/>
        <v>167.76146425103676</v>
      </c>
      <c r="G13" s="116">
        <f t="shared" si="11"/>
        <v>69.331460779782958</v>
      </c>
      <c r="H13" s="116">
        <f t="shared" si="11"/>
        <v>59.602041920257918</v>
      </c>
      <c r="I13" s="116">
        <f t="shared" si="11"/>
        <v>145.46285064813307</v>
      </c>
      <c r="J13" s="116">
        <f t="shared" si="11"/>
        <v>136.76744847492935</v>
      </c>
      <c r="K13" s="116">
        <f t="shared" si="11"/>
        <v>115.42877238677659</v>
      </c>
      <c r="L13" s="116">
        <f t="shared" si="11"/>
        <v>127.7888713771883</v>
      </c>
      <c r="M13" s="116">
        <f t="shared" si="11"/>
        <v>166.55013563822828</v>
      </c>
      <c r="N13" s="116">
        <f t="shared" si="11"/>
        <v>167.29840036202188</v>
      </c>
      <c r="O13" s="116">
        <f t="shared" si="11"/>
        <v>145.42950587362537</v>
      </c>
      <c r="P13" s="116">
        <f t="shared" si="11"/>
        <v>106.20295883728498</v>
      </c>
      <c r="Q13" s="116">
        <f t="shared" si="11"/>
        <v>111.87086054779218</v>
      </c>
      <c r="R13" s="116">
        <f t="shared" si="11"/>
        <v>107.23153725621962</v>
      </c>
      <c r="S13" s="116">
        <f t="shared" si="11"/>
        <v>119.80047688066995</v>
      </c>
      <c r="T13" s="116">
        <f t="shared" si="11"/>
        <v>98.891710720406081</v>
      </c>
      <c r="U13" s="116">
        <f t="shared" si="11"/>
        <v>127.97849545989597</v>
      </c>
      <c r="V13" s="116">
        <f t="shared" si="11"/>
        <v>119.615372753123</v>
      </c>
      <c r="W13" s="116">
        <f t="shared" ref="W13:Y13" si="12">SUM(W14:W15)</f>
        <v>120.38657875601675</v>
      </c>
      <c r="X13" s="116">
        <f t="shared" si="12"/>
        <v>83.977900084059073</v>
      </c>
      <c r="Y13" s="116">
        <f t="shared" si="12"/>
        <v>87.785723950784075</v>
      </c>
      <c r="DA13" s="176" t="s">
        <v>397</v>
      </c>
    </row>
    <row r="14" spans="1:105" ht="11.45" customHeight="1" x14ac:dyDescent="0.25">
      <c r="A14" s="111" t="s">
        <v>95</v>
      </c>
      <c r="B14" s="87">
        <v>217.51450035570232</v>
      </c>
      <c r="C14" s="87">
        <v>99.249141519501606</v>
      </c>
      <c r="D14" s="87">
        <v>132.42066582004355</v>
      </c>
      <c r="E14" s="87">
        <v>136.13621007894687</v>
      </c>
      <c r="F14" s="87">
        <v>149.98576296081217</v>
      </c>
      <c r="G14" s="87">
        <v>49.152301995086425</v>
      </c>
      <c r="H14" s="87">
        <v>45.742085584266256</v>
      </c>
      <c r="I14" s="87">
        <v>131.40371397118176</v>
      </c>
      <c r="J14" s="87">
        <v>125.17657316560845</v>
      </c>
      <c r="K14" s="87">
        <v>100.55237043912807</v>
      </c>
      <c r="L14" s="87">
        <v>112.24904113675463</v>
      </c>
      <c r="M14" s="87">
        <v>146.50562646224338</v>
      </c>
      <c r="N14" s="87">
        <v>139.31840701027002</v>
      </c>
      <c r="O14" s="87">
        <v>122.12678416623537</v>
      </c>
      <c r="P14" s="87">
        <v>83.040451296033112</v>
      </c>
      <c r="Q14" s="87">
        <v>75.564717976322186</v>
      </c>
      <c r="R14" s="87">
        <v>72.975022326455672</v>
      </c>
      <c r="S14" s="87">
        <v>83.065262342097228</v>
      </c>
      <c r="T14" s="87">
        <v>63.338183812225509</v>
      </c>
      <c r="U14" s="87">
        <v>91.085389809216494</v>
      </c>
      <c r="V14" s="87">
        <v>84.063783233933364</v>
      </c>
      <c r="W14" s="87">
        <v>82.096409262582199</v>
      </c>
      <c r="X14" s="87">
        <v>52.928672517511806</v>
      </c>
      <c r="Y14" s="87">
        <v>66.792860074409546</v>
      </c>
      <c r="DA14" s="171" t="s">
        <v>1108</v>
      </c>
    </row>
    <row r="15" spans="1:105" ht="11.45" customHeight="1" x14ac:dyDescent="0.25">
      <c r="A15" s="111" t="s">
        <v>93</v>
      </c>
      <c r="B15" s="87">
        <v>12.401545716707783</v>
      </c>
      <c r="C15" s="87">
        <v>16.060987031121986</v>
      </c>
      <c r="D15" s="87">
        <v>43.261223078196664</v>
      </c>
      <c r="E15" s="87">
        <v>34.479435653201911</v>
      </c>
      <c r="F15" s="87">
        <v>17.7757012902246</v>
      </c>
      <c r="G15" s="87">
        <v>20.179158784696526</v>
      </c>
      <c r="H15" s="87">
        <v>13.859956335991658</v>
      </c>
      <c r="I15" s="87">
        <v>14.059136676951315</v>
      </c>
      <c r="J15" s="87">
        <v>11.590875309320907</v>
      </c>
      <c r="K15" s="87">
        <v>14.876401947648525</v>
      </c>
      <c r="L15" s="87">
        <v>15.53983024043367</v>
      </c>
      <c r="M15" s="87">
        <v>20.044509175984899</v>
      </c>
      <c r="N15" s="87">
        <v>27.979993351751844</v>
      </c>
      <c r="O15" s="87">
        <v>23.302721707389995</v>
      </c>
      <c r="P15" s="87">
        <v>23.162507541251873</v>
      </c>
      <c r="Q15" s="87">
        <v>36.306142571469998</v>
      </c>
      <c r="R15" s="87">
        <v>34.256514929763952</v>
      </c>
      <c r="S15" s="87">
        <v>36.73521453857272</v>
      </c>
      <c r="T15" s="87">
        <v>35.553526908180579</v>
      </c>
      <c r="U15" s="87">
        <v>36.893105650679473</v>
      </c>
      <c r="V15" s="87">
        <v>35.551589519189633</v>
      </c>
      <c r="W15" s="87">
        <v>38.290169493434547</v>
      </c>
      <c r="X15" s="87">
        <v>31.049227566547266</v>
      </c>
      <c r="Y15" s="87">
        <v>20.992863876374532</v>
      </c>
      <c r="DA15" s="171" t="s">
        <v>1109</v>
      </c>
    </row>
    <row r="16" spans="1:105" ht="11.45" customHeight="1" x14ac:dyDescent="0.25">
      <c r="A16" s="112" t="s">
        <v>25</v>
      </c>
      <c r="B16" s="117">
        <v>0</v>
      </c>
      <c r="C16" s="117">
        <v>0</v>
      </c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  <c r="O16" s="117">
        <v>0</v>
      </c>
      <c r="P16" s="117">
        <v>0</v>
      </c>
      <c r="Q16" s="117">
        <v>0</v>
      </c>
      <c r="R16" s="117">
        <v>0</v>
      </c>
      <c r="S16" s="117">
        <v>0</v>
      </c>
      <c r="T16" s="117">
        <v>0</v>
      </c>
      <c r="U16" s="117">
        <v>0</v>
      </c>
      <c r="V16" s="117">
        <v>0</v>
      </c>
      <c r="W16" s="117">
        <v>0</v>
      </c>
      <c r="X16" s="117">
        <v>0</v>
      </c>
      <c r="Y16" s="117">
        <v>0</v>
      </c>
      <c r="DA16" s="204" t="s">
        <v>398</v>
      </c>
    </row>
    <row r="17" spans="1:105" ht="11.45" customHeight="1" x14ac:dyDescent="0.25">
      <c r="A17" s="27" t="s">
        <v>34</v>
      </c>
      <c r="B17" s="29">
        <f t="shared" ref="B17:W17" si="13">SUM(B18:B19)</f>
        <v>99.030603871119325</v>
      </c>
      <c r="C17" s="29">
        <f t="shared" si="13"/>
        <v>72.306685808859839</v>
      </c>
      <c r="D17" s="29">
        <f t="shared" si="13"/>
        <v>107.93366006543879</v>
      </c>
      <c r="E17" s="29">
        <f t="shared" si="13"/>
        <v>84.221167297178965</v>
      </c>
      <c r="F17" s="29">
        <f t="shared" si="13"/>
        <v>94.598200272184442</v>
      </c>
      <c r="G17" s="29">
        <f t="shared" si="13"/>
        <v>59.868885270196301</v>
      </c>
      <c r="H17" s="29">
        <f t="shared" si="13"/>
        <v>55.232486943409739</v>
      </c>
      <c r="I17" s="29">
        <f t="shared" si="13"/>
        <v>87.600233330597419</v>
      </c>
      <c r="J17" s="29">
        <f t="shared" si="13"/>
        <v>76.391250719946669</v>
      </c>
      <c r="K17" s="29">
        <f t="shared" si="13"/>
        <v>51.08891340610721</v>
      </c>
      <c r="L17" s="29">
        <f t="shared" si="13"/>
        <v>59.780421514070248</v>
      </c>
      <c r="M17" s="29">
        <f t="shared" si="13"/>
        <v>86.492163331700354</v>
      </c>
      <c r="N17" s="29">
        <f t="shared" si="13"/>
        <v>77.717307514080886</v>
      </c>
      <c r="O17" s="29">
        <f t="shared" si="13"/>
        <v>71.353986634603288</v>
      </c>
      <c r="P17" s="29">
        <f t="shared" si="13"/>
        <v>50.877098993174101</v>
      </c>
      <c r="Q17" s="29">
        <f t="shared" si="13"/>
        <v>66.190401913614082</v>
      </c>
      <c r="R17" s="29">
        <f t="shared" si="13"/>
        <v>64.333839214347591</v>
      </c>
      <c r="S17" s="29">
        <f t="shared" si="13"/>
        <v>61.739369009344657</v>
      </c>
      <c r="T17" s="29">
        <f t="shared" si="13"/>
        <v>59.068581140154748</v>
      </c>
      <c r="U17" s="29">
        <f t="shared" si="13"/>
        <v>66.539680747881221</v>
      </c>
      <c r="V17" s="29">
        <f t="shared" si="13"/>
        <v>57.52000560227647</v>
      </c>
      <c r="W17" s="29">
        <f t="shared" si="13"/>
        <v>84.675900175477508</v>
      </c>
      <c r="X17" s="29">
        <f t="shared" ref="X17:Y17" si="14">SUM(X18:X19)</f>
        <v>77.453652839920665</v>
      </c>
      <c r="Y17" s="29">
        <f t="shared" si="14"/>
        <v>46.315944737266292</v>
      </c>
      <c r="DA17" s="173" t="s">
        <v>402</v>
      </c>
    </row>
    <row r="18" spans="1:105" ht="11.45" customHeight="1" x14ac:dyDescent="0.25">
      <c r="A18" s="83" t="s">
        <v>95</v>
      </c>
      <c r="B18" s="87">
        <v>79.485585628820402</v>
      </c>
      <c r="C18" s="87">
        <v>49.596602246620478</v>
      </c>
      <c r="D18" s="87">
        <v>68.424819992510166</v>
      </c>
      <c r="E18" s="87">
        <v>41.726902560778001</v>
      </c>
      <c r="F18" s="87">
        <v>50.969697056384703</v>
      </c>
      <c r="G18" s="87">
        <v>26.428093533718393</v>
      </c>
      <c r="H18" s="87">
        <v>27.774681397676986</v>
      </c>
      <c r="I18" s="87">
        <v>54.848306665103664</v>
      </c>
      <c r="J18" s="87">
        <v>48.473985733789696</v>
      </c>
      <c r="K18" s="87">
        <v>28.925961461129894</v>
      </c>
      <c r="L18" s="87">
        <v>34.617338914836076</v>
      </c>
      <c r="M18" s="87">
        <v>51.736505953921679</v>
      </c>
      <c r="N18" s="87">
        <v>45.170243032722141</v>
      </c>
      <c r="O18" s="87">
        <v>41.364101474349326</v>
      </c>
      <c r="P18" s="87">
        <v>25.719135978257466</v>
      </c>
      <c r="Q18" s="87">
        <v>36.986356830212692</v>
      </c>
      <c r="R18" s="87">
        <v>36.630910605616513</v>
      </c>
      <c r="S18" s="87">
        <v>32.474892430043774</v>
      </c>
      <c r="T18" s="87">
        <v>30.538600366622287</v>
      </c>
      <c r="U18" s="87">
        <v>38.193887920792079</v>
      </c>
      <c r="V18" s="87">
        <v>27.727704298310769</v>
      </c>
      <c r="W18" s="87">
        <v>48.782438544812493</v>
      </c>
      <c r="X18" s="87">
        <v>49.361869184981771</v>
      </c>
      <c r="Y18" s="87">
        <v>34.115566408823412</v>
      </c>
      <c r="DA18" s="171" t="s">
        <v>1110</v>
      </c>
    </row>
    <row r="19" spans="1:105" ht="11.45" customHeight="1" x14ac:dyDescent="0.25">
      <c r="A19" s="85" t="s">
        <v>93</v>
      </c>
      <c r="B19" s="88">
        <v>19.545018242298926</v>
      </c>
      <c r="C19" s="88">
        <v>22.710083562239362</v>
      </c>
      <c r="D19" s="88">
        <v>39.508840072928621</v>
      </c>
      <c r="E19" s="88">
        <v>42.494264736400972</v>
      </c>
      <c r="F19" s="88">
        <v>43.628503215799746</v>
      </c>
      <c r="G19" s="88">
        <v>33.440791736477905</v>
      </c>
      <c r="H19" s="88">
        <v>27.457805545732757</v>
      </c>
      <c r="I19" s="88">
        <v>32.751926665493755</v>
      </c>
      <c r="J19" s="88">
        <v>27.917264986156979</v>
      </c>
      <c r="K19" s="88">
        <v>22.162951944977312</v>
      </c>
      <c r="L19" s="88">
        <v>25.163082599234173</v>
      </c>
      <c r="M19" s="88">
        <v>34.755657377778675</v>
      </c>
      <c r="N19" s="88">
        <v>32.547064481358746</v>
      </c>
      <c r="O19" s="88">
        <v>29.989885160253966</v>
      </c>
      <c r="P19" s="88">
        <v>25.157963014916639</v>
      </c>
      <c r="Q19" s="88">
        <v>29.204045083401386</v>
      </c>
      <c r="R19" s="88">
        <v>27.702928608731078</v>
      </c>
      <c r="S19" s="88">
        <v>29.264476579300879</v>
      </c>
      <c r="T19" s="88">
        <v>28.529980773532461</v>
      </c>
      <c r="U19" s="88">
        <v>28.345792827089145</v>
      </c>
      <c r="V19" s="88">
        <v>29.792301303965697</v>
      </c>
      <c r="W19" s="88">
        <v>35.893461630665016</v>
      </c>
      <c r="X19" s="88">
        <v>28.09178365493889</v>
      </c>
      <c r="Y19" s="88">
        <v>12.200378328442879</v>
      </c>
      <c r="DA19" s="178" t="s">
        <v>1111</v>
      </c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DA20" s="171"/>
    </row>
    <row r="21" spans="1:105" ht="11.45" customHeight="1" x14ac:dyDescent="0.25">
      <c r="A21" s="68" t="s">
        <v>36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DA21" s="179"/>
    </row>
    <row r="22" spans="1:105" x14ac:dyDescent="0.25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DA22" s="171"/>
    </row>
    <row r="23" spans="1:105" ht="11.45" customHeight="1" x14ac:dyDescent="0.25">
      <c r="A23" s="53" t="s">
        <v>62</v>
      </c>
      <c r="B23" s="62">
        <f>IF(B10=0,0,B10/TrRail_act!B14*100)</f>
        <v>232.137368832541</v>
      </c>
      <c r="C23" s="62">
        <f>IF(C10=0,0,C10/TrRail_act!C14*100)</f>
        <v>172.54974311583621</v>
      </c>
      <c r="D23" s="62">
        <f>IF(D10=0,0,D10/TrRail_act!D14*100)</f>
        <v>188.46767702079049</v>
      </c>
      <c r="E23" s="62">
        <f>IF(E10=0,0,E10/TrRail_act!E14*100)</f>
        <v>180.52030884349065</v>
      </c>
      <c r="F23" s="62">
        <f>IF(F10=0,0,F10/TrRail_act!F14*100)</f>
        <v>185.22485272132394</v>
      </c>
      <c r="G23" s="62">
        <f>IF(G10=0,0,G10/TrRail_act!G14*100)</f>
        <v>122.64403447328679</v>
      </c>
      <c r="H23" s="62">
        <f>IF(H10=0,0,H10/TrRail_act!H14*100)</f>
        <v>116.76256602973764</v>
      </c>
      <c r="I23" s="62">
        <f>IF(I10=0,0,I10/TrRail_act!I14*100)</f>
        <v>160.31948600385564</v>
      </c>
      <c r="J23" s="62">
        <f>IF(J10=0,0,J10/TrRail_act!J14*100)</f>
        <v>151.98728829403447</v>
      </c>
      <c r="K23" s="62">
        <f>IF(K10=0,0,K10/TrRail_act!K14*100)</f>
        <v>128.8491086418874</v>
      </c>
      <c r="L23" s="62">
        <f>IF(L10=0,0,L10/TrRail_act!L14*100)</f>
        <v>133.3121909935071</v>
      </c>
      <c r="M23" s="62">
        <f>IF(M10=0,0,M10/TrRail_act!M14*100)</f>
        <v>148.65758098484329</v>
      </c>
      <c r="N23" s="62">
        <f>IF(N10=0,0,N10/TrRail_act!N14*100)</f>
        <v>138.03102287560253</v>
      </c>
      <c r="O23" s="62">
        <f>IF(O10=0,0,O10/TrRail_act!O14*100)</f>
        <v>129.67851764322816</v>
      </c>
      <c r="P23" s="62">
        <f>IF(P10=0,0,P10/TrRail_act!P14*100)</f>
        <v>109.81402726014369</v>
      </c>
      <c r="Q23" s="62">
        <f>IF(Q10=0,0,Q10/TrRail_act!Q14*100)</f>
        <v>133.20433809052207</v>
      </c>
      <c r="R23" s="62">
        <f>IF(R10=0,0,R10/TrRail_act!R14*100)</f>
        <v>129.4344149513924</v>
      </c>
      <c r="S23" s="62">
        <f>IF(S10=0,0,S10/TrRail_act!S14*100)</f>
        <v>130.69904803515675</v>
      </c>
      <c r="T23" s="62">
        <f>IF(T10=0,0,T10/TrRail_act!T14*100)</f>
        <v>123.73677393578014</v>
      </c>
      <c r="U23" s="62">
        <f>IF(U10=0,0,U10/TrRail_act!U14*100)</f>
        <v>137.41850001149368</v>
      </c>
      <c r="V23" s="62">
        <f>IF(V10=0,0,V10/TrRail_act!V14*100)</f>
        <v>130.25777838948537</v>
      </c>
      <c r="W23" s="62">
        <f>IF(W10=0,0,W10/TrRail_act!W14*100)</f>
        <v>140.13193993907754</v>
      </c>
      <c r="X23" s="62">
        <f>IF(X10=0,0,X10/TrRail_act!X14*100)</f>
        <v>124.27488048749422</v>
      </c>
      <c r="Y23" s="62">
        <f>IF(Y10=0,0,Y10/TrRail_act!Y14*100)</f>
        <v>132.43472770170109</v>
      </c>
      <c r="DA23" s="172" t="s">
        <v>1112</v>
      </c>
    </row>
    <row r="24" spans="1:105" ht="11.45" customHeight="1" x14ac:dyDescent="0.25">
      <c r="A24" s="27" t="s">
        <v>33</v>
      </c>
      <c r="B24" s="29">
        <f>IF(B11=0,0,B11/TrRail_act!B15*100)</f>
        <v>195.45781990901952</v>
      </c>
      <c r="C24" s="29">
        <f>IF(C11=0,0,C11/TrRail_act!C15*100)</f>
        <v>135.64825360061229</v>
      </c>
      <c r="D24" s="29">
        <f>IF(D11=0,0,D11/TrRail_act!D15*100)</f>
        <v>151.32687774585935</v>
      </c>
      <c r="E24" s="29">
        <f>IF(E11=0,0,E11/TrRail_act!E15*100)</f>
        <v>154.67667683799212</v>
      </c>
      <c r="F24" s="29">
        <f>IF(F11=0,0,F11/TrRail_act!F15*100)</f>
        <v>155.86095732216901</v>
      </c>
      <c r="G24" s="29">
        <f>IF(G11=0,0,G11/TrRail_act!G15*100)</f>
        <v>92.721923246705813</v>
      </c>
      <c r="H24" s="29">
        <f>IF(H11=0,0,H11/TrRail_act!H15*100)</f>
        <v>86.521551052337657</v>
      </c>
      <c r="I24" s="29">
        <f>IF(I11=0,0,I11/TrRail_act!I15*100)</f>
        <v>129.15199284815293</v>
      </c>
      <c r="J24" s="29">
        <f>IF(J11=0,0,J11/TrRail_act!J15*100)</f>
        <v>123.50708911455361</v>
      </c>
      <c r="K24" s="29">
        <f>IF(K11=0,0,K11/TrRail_act!K15*100)</f>
        <v>108.83674126474881</v>
      </c>
      <c r="L24" s="29">
        <f>IF(L11=0,0,L11/TrRail_act!L15*100)</f>
        <v>111.77882157435344</v>
      </c>
      <c r="M24" s="29">
        <f>IF(M11=0,0,M11/TrRail_act!M15*100)</f>
        <v>123.20828549718672</v>
      </c>
      <c r="N24" s="29">
        <f>IF(N11=0,0,N11/TrRail_act!N15*100)</f>
        <v>116.18306420081663</v>
      </c>
      <c r="O24" s="29">
        <f>IF(O11=0,0,O11/TrRail_act!O15*100)</f>
        <v>108.15097192062927</v>
      </c>
      <c r="P24" s="29">
        <f>IF(P11=0,0,P11/TrRail_act!P15*100)</f>
        <v>92.368108010345267</v>
      </c>
      <c r="Q24" s="29">
        <f>IF(Q11=0,0,Q11/TrRail_act!Q15*100)</f>
        <v>108.46265769503707</v>
      </c>
      <c r="R24" s="29">
        <f>IF(R11=0,0,R11/TrRail_act!R15*100)</f>
        <v>104.65301703414833</v>
      </c>
      <c r="S24" s="29">
        <f>IF(S11=0,0,S11/TrRail_act!S15*100)</f>
        <v>109.61303286647438</v>
      </c>
      <c r="T24" s="29">
        <f>IF(T11=0,0,T11/TrRail_act!T15*100)</f>
        <v>100.78292100456325</v>
      </c>
      <c r="U24" s="29">
        <f>IF(U11=0,0,U11/TrRail_act!U15*100)</f>
        <v>114.73776576760635</v>
      </c>
      <c r="V24" s="29">
        <f>IF(V11=0,0,V11/TrRail_act!V15*100)</f>
        <v>111.51202588312559</v>
      </c>
      <c r="W24" s="29">
        <f>IF(W11=0,0,W11/TrRail_act!W15*100)</f>
        <v>111.30960156348119</v>
      </c>
      <c r="X24" s="29">
        <f>IF(X11=0,0,X11/TrRail_act!X15*100)</f>
        <v>89.958258767139199</v>
      </c>
      <c r="Y24" s="29">
        <f>IF(Y11=0,0,Y11/TrRail_act!Y15*100)</f>
        <v>106.23018128882438</v>
      </c>
      <c r="DA24" s="173" t="s">
        <v>1113</v>
      </c>
    </row>
    <row r="25" spans="1:105" ht="11.45" customHeight="1" x14ac:dyDescent="0.25">
      <c r="A25" s="107" t="s">
        <v>23</v>
      </c>
      <c r="B25" s="115">
        <f>IF(B12=0,0,B12/TrRail_act!B16*100)</f>
        <v>44.368456133837661</v>
      </c>
      <c r="C25" s="115">
        <f>IF(C12=0,0,C12/TrRail_act!C16*100)</f>
        <v>43.463929018788065</v>
      </c>
      <c r="D25" s="115">
        <f>IF(D12=0,0,D12/TrRail_act!D16*100)</f>
        <v>42.885999446694129</v>
      </c>
      <c r="E25" s="115">
        <f>IF(E12=0,0,E12/TrRail_act!E16*100)</f>
        <v>42.042665539887111</v>
      </c>
      <c r="F25" s="115">
        <f>IF(F12=0,0,F12/TrRail_act!F16*100)</f>
        <v>41.1378158295826</v>
      </c>
      <c r="G25" s="115">
        <f>IF(G12=0,0,G12/TrRail_act!G16*100)</f>
        <v>40.05291735321417</v>
      </c>
      <c r="H25" s="115">
        <f>IF(H12=0,0,H12/TrRail_act!H16*100)</f>
        <v>40.129853022395785</v>
      </c>
      <c r="I25" s="115">
        <f>IF(I12=0,0,I12/TrRail_act!I16*100)</f>
        <v>39.311114671760336</v>
      </c>
      <c r="J25" s="115">
        <f>IF(J12=0,0,J12/TrRail_act!J16*100)</f>
        <v>38.573422492290746</v>
      </c>
      <c r="K25" s="115">
        <f>IF(K12=0,0,K12/TrRail_act!K16*100)</f>
        <v>37.966830247251146</v>
      </c>
      <c r="L25" s="115">
        <f>IF(L12=0,0,L12/TrRail_act!L16*100)</f>
        <v>37.572459471313117</v>
      </c>
      <c r="M25" s="115">
        <f>IF(M12=0,0,M12/TrRail_act!M16*100)</f>
        <v>36.989868632826663</v>
      </c>
      <c r="N25" s="115">
        <f>IF(N12=0,0,N12/TrRail_act!N16*100)</f>
        <v>36.700773178713739</v>
      </c>
      <c r="O25" s="115">
        <f>IF(O12=0,0,O12/TrRail_act!O16*100)</f>
        <v>36.047479992243517</v>
      </c>
      <c r="P25" s="115">
        <f>IF(P12=0,0,P12/TrRail_act!P16*100)</f>
        <v>35.910724310020711</v>
      </c>
      <c r="Q25" s="115">
        <f>IF(Q12=0,0,Q12/TrRail_act!Q16*100)</f>
        <v>35.208766678046025</v>
      </c>
      <c r="R25" s="115">
        <f>IF(R12=0,0,R12/TrRail_act!R16*100)</f>
        <v>34.691317864899808</v>
      </c>
      <c r="S25" s="115">
        <f>IF(S12=0,0,S12/TrRail_act!S16*100)</f>
        <v>34.308228001485382</v>
      </c>
      <c r="T25" s="115">
        <f>IF(T12=0,0,T12/TrRail_act!T16*100)</f>
        <v>34.023689361715398</v>
      </c>
      <c r="U25" s="115">
        <f>IF(U12=0,0,U12/TrRail_act!U16*100)</f>
        <v>33.81183510590219</v>
      </c>
      <c r="V25" s="115">
        <f>IF(V12=0,0,V12/TrRail_act!V16*100)</f>
        <v>33.653810664967054</v>
      </c>
      <c r="W25" s="115">
        <f>IF(W12=0,0,W12/TrRail_act!W16*100)</f>
        <v>33.535776834122508</v>
      </c>
      <c r="X25" s="115">
        <f>IF(X12=0,0,X12/TrRail_act!X16*100)</f>
        <v>33.447523591917928</v>
      </c>
      <c r="Y25" s="115">
        <f>IF(Y12=0,0,Y12/TrRail_act!Y16*100)</f>
        <v>33.381485983383669</v>
      </c>
      <c r="DA25" s="203" t="s">
        <v>1114</v>
      </c>
    </row>
    <row r="26" spans="1:105" ht="11.45" customHeight="1" x14ac:dyDescent="0.25">
      <c r="A26" s="109" t="s">
        <v>24</v>
      </c>
      <c r="B26" s="116">
        <f>IF(B13=0,0,B13/TrRail_act!B17*100)</f>
        <v>362.18260505844756</v>
      </c>
      <c r="C26" s="116">
        <f>IF(C13=0,0,C13/TrRail_act!C17*100)</f>
        <v>308.30012544895129</v>
      </c>
      <c r="D26" s="116">
        <f>IF(D13=0,0,D13/TrRail_act!D17*100)</f>
        <v>266.60284819810056</v>
      </c>
      <c r="E26" s="116">
        <f>IF(E13=0,0,E13/TrRail_act!E17*100)</f>
        <v>278.83365634590717</v>
      </c>
      <c r="F26" s="116">
        <f>IF(F13=0,0,F13/TrRail_act!F17*100)</f>
        <v>308.24929828893073</v>
      </c>
      <c r="G26" s="116">
        <f>IF(G13=0,0,G13/TrRail_act!G17*100)</f>
        <v>226.71270404548071</v>
      </c>
      <c r="H26" s="116">
        <f>IF(H13=0,0,H13/TrRail_act!H17*100)</f>
        <v>233.54806223181734</v>
      </c>
      <c r="I26" s="116">
        <f>IF(I13=0,0,I13/TrRail_act!I17*100)</f>
        <v>268.05721924007611</v>
      </c>
      <c r="J26" s="116">
        <f>IF(J13=0,0,J13/TrRail_act!J17*100)</f>
        <v>268.03438608192414</v>
      </c>
      <c r="K26" s="116">
        <f>IF(K13=0,0,K13/TrRail_act!K17*100)</f>
        <v>246.18363231256794</v>
      </c>
      <c r="L26" s="116">
        <f>IF(L13=0,0,L13/TrRail_act!L17*100)</f>
        <v>243.89938439941332</v>
      </c>
      <c r="M26" s="116">
        <f>IF(M13=0,0,M13/TrRail_act!M17*100)</f>
        <v>243.00571865948802</v>
      </c>
      <c r="N26" s="116">
        <f>IF(N13=0,0,N13/TrRail_act!N17*100)</f>
        <v>229.23460982858819</v>
      </c>
      <c r="O26" s="116">
        <f>IF(O13=0,0,O13/TrRail_act!O17*100)</f>
        <v>226.15550190774809</v>
      </c>
      <c r="P26" s="116">
        <f>IF(P13=0,0,P13/TrRail_act!P17*100)</f>
        <v>206.39195856923416</v>
      </c>
      <c r="Q26" s="116">
        <f>IF(Q13=0,0,Q13/TrRail_act!Q17*100)</f>
        <v>185.71087300329609</v>
      </c>
      <c r="R26" s="116">
        <f>IF(R13=0,0,R13/TrRail_act!R17*100)</f>
        <v>185.44518821888767</v>
      </c>
      <c r="S26" s="116">
        <f>IF(S13=0,0,S13/TrRail_act!S17*100)</f>
        <v>186.85420628576836</v>
      </c>
      <c r="T26" s="116">
        <f>IF(T13=0,0,T13/TrRail_act!T17*100)</f>
        <v>177.20397649594366</v>
      </c>
      <c r="U26" s="116">
        <f>IF(U13=0,0,U13/TrRail_act!U17*100)</f>
        <v>189.05174281508016</v>
      </c>
      <c r="V26" s="116">
        <f>IF(V13=0,0,V13/TrRail_act!V17*100)</f>
        <v>187.04611022314219</v>
      </c>
      <c r="W26" s="116">
        <f>IF(W13=0,0,W13/TrRail_act!W17*100)</f>
        <v>183.0688628933884</v>
      </c>
      <c r="X26" s="116">
        <f>IF(X13=0,0,X13/TrRail_act!X17*100)</f>
        <v>174.29908307031928</v>
      </c>
      <c r="Y26" s="116">
        <f>IF(Y13=0,0,Y13/TrRail_act!Y17*100)</f>
        <v>197.54838172169283</v>
      </c>
      <c r="DA26" s="176" t="s">
        <v>1115</v>
      </c>
    </row>
    <row r="27" spans="1:105" ht="11.45" customHeight="1" x14ac:dyDescent="0.25">
      <c r="A27" s="111" t="s">
        <v>92</v>
      </c>
      <c r="B27" s="87">
        <f>IF(B14=0,0,B14/TrRail_act!B18*100)</f>
        <v>395.82687290835963</v>
      </c>
      <c r="C27" s="87">
        <f>IF(C14=0,0,C14/TrRail_act!C18*100)</f>
        <v>376.65017482993295</v>
      </c>
      <c r="D27" s="87">
        <f>IF(D14=0,0,D14/TrRail_act!D18*100)</f>
        <v>373.96221165615447</v>
      </c>
      <c r="E27" s="87">
        <f>IF(E14=0,0,E14/TrRail_act!E18*100)</f>
        <v>373.92191706829823</v>
      </c>
      <c r="F27" s="87">
        <f>IF(F14=0,0,F14/TrRail_act!F18*100)</f>
        <v>360.40456898910037</v>
      </c>
      <c r="G27" s="87">
        <f>IF(G14=0,0,G14/TrRail_act!G18*100)</f>
        <v>313.16032004543234</v>
      </c>
      <c r="H27" s="87">
        <f>IF(H14=0,0,H14/TrRail_act!H18*100)</f>
        <v>305.47516458321866</v>
      </c>
      <c r="I27" s="87">
        <f>IF(I14=0,0,I14/TrRail_act!I18*100)</f>
        <v>301.69475910074567</v>
      </c>
      <c r="J27" s="87">
        <f>IF(J14=0,0,J14/TrRail_act!J18*100)</f>
        <v>299.07255778411735</v>
      </c>
      <c r="K27" s="87">
        <f>IF(K14=0,0,K14/TrRail_act!K18*100)</f>
        <v>286.81356476773152</v>
      </c>
      <c r="L27" s="87">
        <f>IF(L14=0,0,L14/TrRail_act!L18*100)</f>
        <v>280.57920594398757</v>
      </c>
      <c r="M27" s="87">
        <f>IF(M14=0,0,M14/TrRail_act!M18*100)</f>
        <v>281.89249106552307</v>
      </c>
      <c r="N27" s="87">
        <f>IF(N14=0,0,N14/TrRail_act!N18*100)</f>
        <v>281.08320082877646</v>
      </c>
      <c r="O27" s="87">
        <f>IF(O14=0,0,O14/TrRail_act!O18*100)</f>
        <v>275.26380136711776</v>
      </c>
      <c r="P27" s="87">
        <f>IF(P14=0,0,P14/TrRail_act!P18*100)</f>
        <v>265.85374887053661</v>
      </c>
      <c r="Q27" s="87">
        <f>IF(Q14=0,0,Q14/TrRail_act!Q18*100)</f>
        <v>267.40812360817671</v>
      </c>
      <c r="R27" s="87">
        <f>IF(R14=0,0,R14/TrRail_act!R18*100)</f>
        <v>265.89406710804496</v>
      </c>
      <c r="S27" s="87">
        <f>IF(S14=0,0,S14/TrRail_act!S18*100)</f>
        <v>264.76415312203483</v>
      </c>
      <c r="T27" s="87">
        <f>IF(T14=0,0,T14/TrRail_act!T18*100)</f>
        <v>263.91986977188429</v>
      </c>
      <c r="U27" s="87">
        <f>IF(U14=0,0,U14/TrRail_act!U18*100)</f>
        <v>263.2884245259454</v>
      </c>
      <c r="V27" s="87">
        <f>IF(V14=0,0,V14/TrRail_act!V18*100)</f>
        <v>262.81583223430709</v>
      </c>
      <c r="W27" s="87">
        <f>IF(W14=0,0,W14/TrRail_act!W18*100)</f>
        <v>262.4619447855589</v>
      </c>
      <c r="X27" s="87">
        <f>IF(X14=0,0,X14/TrRail_act!X18*100)</f>
        <v>262.19684194866937</v>
      </c>
      <c r="Y27" s="87">
        <f>IF(Y14=0,0,Y14/TrRail_act!Y18*100)</f>
        <v>261.99819056005839</v>
      </c>
      <c r="DA27" s="171" t="s">
        <v>1116</v>
      </c>
    </row>
    <row r="28" spans="1:105" ht="11.45" customHeight="1" x14ac:dyDescent="0.25">
      <c r="A28" s="111" t="s">
        <v>93</v>
      </c>
      <c r="B28" s="87">
        <f>IF(B15=0,0,B15/TrRail_act!B19*100)</f>
        <v>145.40838089760342</v>
      </c>
      <c r="C28" s="87">
        <f>IF(C15=0,0,C15/TrRail_act!C19*100)</f>
        <v>145.32956475866189</v>
      </c>
      <c r="D28" s="87">
        <f>IF(D15=0,0,D15/TrRail_act!D19*100)</f>
        <v>141.90378949731604</v>
      </c>
      <c r="E28" s="87">
        <f>IF(E15=0,0,E15/TrRail_act!E19*100)</f>
        <v>139.1344137216737</v>
      </c>
      <c r="F28" s="87">
        <f>IF(F15=0,0,F15/TrRail_act!F19*100)</f>
        <v>138.7857869055523</v>
      </c>
      <c r="G28" s="87">
        <f>IF(G15=0,0,G15/TrRail_act!G19*100)</f>
        <v>135.56136779700856</v>
      </c>
      <c r="H28" s="87">
        <f>IF(H15=0,0,H15/TrRail_act!H19*100)</f>
        <v>131.42170324558245</v>
      </c>
      <c r="I28" s="87">
        <f>IF(I15=0,0,I15/TrRail_act!I19*100)</f>
        <v>131.26608056109822</v>
      </c>
      <c r="J28" s="87">
        <f>IF(J15=0,0,J15/TrRail_act!J19*100)</f>
        <v>126.38388857802063</v>
      </c>
      <c r="K28" s="87">
        <f>IF(K15=0,0,K15/TrRail_act!K19*100)</f>
        <v>125.76401881011516</v>
      </c>
      <c r="L28" s="87">
        <f>IF(L15=0,0,L15/TrRail_act!L19*100)</f>
        <v>125.44355259237024</v>
      </c>
      <c r="M28" s="87">
        <f>IF(M15=0,0,M15/TrRail_act!M19*100)</f>
        <v>121.00245476848031</v>
      </c>
      <c r="N28" s="87">
        <f>IF(N15=0,0,N15/TrRail_act!N19*100)</f>
        <v>119.48850843628117</v>
      </c>
      <c r="O28" s="87">
        <f>IF(O15=0,0,O15/TrRail_act!O19*100)</f>
        <v>116.87642938264642</v>
      </c>
      <c r="P28" s="87">
        <f>IF(P15=0,0,P15/TrRail_act!P19*100)</f>
        <v>114.54374691429798</v>
      </c>
      <c r="Q28" s="87">
        <f>IF(Q15=0,0,Q15/TrRail_act!Q19*100)</f>
        <v>113.5238722467071</v>
      </c>
      <c r="R28" s="87">
        <f>IF(R15=0,0,R15/TrRail_act!R19*100)</f>
        <v>112.76492992913757</v>
      </c>
      <c r="S28" s="87">
        <f>IF(S15=0,0,S15/TrRail_act!S19*100)</f>
        <v>112.19905470806404</v>
      </c>
      <c r="T28" s="87">
        <f>IF(T15=0,0,T15/TrRail_act!T19*100)</f>
        <v>111.77651260375625</v>
      </c>
      <c r="U28" s="87">
        <f>IF(U15=0,0,U15/TrRail_act!U19*100)</f>
        <v>111.46065064119377</v>
      </c>
      <c r="V28" s="87">
        <f>IF(V15=0,0,V15/TrRail_act!V19*100)</f>
        <v>111.22434042588496</v>
      </c>
      <c r="W28" s="87">
        <f>IF(W15=0,0,W15/TrRail_act!W19*100)</f>
        <v>111.04743540777491</v>
      </c>
      <c r="X28" s="87">
        <f>IF(X15=0,0,X15/TrRail_act!X19*100)</f>
        <v>110.91494257050269</v>
      </c>
      <c r="Y28" s="87">
        <f>IF(Y15=0,0,Y15/TrRail_act!Y19*100)</f>
        <v>110.8156762829674</v>
      </c>
      <c r="DA28" s="171" t="s">
        <v>1117</v>
      </c>
    </row>
    <row r="29" spans="1:105" ht="11.45" customHeight="1" x14ac:dyDescent="0.25">
      <c r="A29" s="112" t="s">
        <v>25</v>
      </c>
      <c r="B29" s="117">
        <f>IF(B16=0,0,B16/TrRail_act!B20*100)</f>
        <v>0</v>
      </c>
      <c r="C29" s="117">
        <f>IF(C16=0,0,C16/TrRail_act!C20*100)</f>
        <v>0</v>
      </c>
      <c r="D29" s="117">
        <f>IF(D16=0,0,D16/TrRail_act!D20*100)</f>
        <v>0</v>
      </c>
      <c r="E29" s="117">
        <f>IF(E16=0,0,E16/TrRail_act!E20*100)</f>
        <v>0</v>
      </c>
      <c r="F29" s="117">
        <f>IF(F16=0,0,F16/TrRail_act!F20*100)</f>
        <v>0</v>
      </c>
      <c r="G29" s="117">
        <f>IF(G16=0,0,G16/TrRail_act!G20*100)</f>
        <v>0</v>
      </c>
      <c r="H29" s="117">
        <f>IF(H16=0,0,H16/TrRail_act!H20*100)</f>
        <v>0</v>
      </c>
      <c r="I29" s="117">
        <f>IF(I16=0,0,I16/TrRail_act!I20*100)</f>
        <v>0</v>
      </c>
      <c r="J29" s="117">
        <f>IF(J16=0,0,J16/TrRail_act!J20*100)</f>
        <v>0</v>
      </c>
      <c r="K29" s="117">
        <f>IF(K16=0,0,K16/TrRail_act!K20*100)</f>
        <v>0</v>
      </c>
      <c r="L29" s="117">
        <f>IF(L16=0,0,L16/TrRail_act!L20*100)</f>
        <v>0</v>
      </c>
      <c r="M29" s="117">
        <f>IF(M16=0,0,M16/TrRail_act!M20*100)</f>
        <v>0</v>
      </c>
      <c r="N29" s="117">
        <f>IF(N16=0,0,N16/TrRail_act!N20*100)</f>
        <v>0</v>
      </c>
      <c r="O29" s="117">
        <f>IF(O16=0,0,O16/TrRail_act!O20*100)</f>
        <v>0</v>
      </c>
      <c r="P29" s="117">
        <f>IF(P16=0,0,P16/TrRail_act!P20*100)</f>
        <v>0</v>
      </c>
      <c r="Q29" s="117">
        <f>IF(Q16=0,0,Q16/TrRail_act!Q20*100)</f>
        <v>0</v>
      </c>
      <c r="R29" s="117">
        <f>IF(R16=0,0,R16/TrRail_act!R20*100)</f>
        <v>0</v>
      </c>
      <c r="S29" s="117">
        <f>IF(S16=0,0,S16/TrRail_act!S20*100)</f>
        <v>0</v>
      </c>
      <c r="T29" s="117">
        <f>IF(T16=0,0,T16/TrRail_act!T20*100)</f>
        <v>0</v>
      </c>
      <c r="U29" s="117">
        <f>IF(U16=0,0,U16/TrRail_act!U20*100)</f>
        <v>0</v>
      </c>
      <c r="V29" s="117">
        <f>IF(V16=0,0,V16/TrRail_act!V20*100)</f>
        <v>0</v>
      </c>
      <c r="W29" s="117">
        <f>IF(W16=0,0,W16/TrRail_act!W20*100)</f>
        <v>0</v>
      </c>
      <c r="X29" s="117">
        <f>IF(X16=0,0,X16/TrRail_act!X20*100)</f>
        <v>0</v>
      </c>
      <c r="Y29" s="117">
        <f>IF(Y16=0,0,Y16/TrRail_act!Y20*100)</f>
        <v>0</v>
      </c>
      <c r="DA29" s="204" t="s">
        <v>1118</v>
      </c>
    </row>
    <row r="30" spans="1:105" ht="11.45" customHeight="1" x14ac:dyDescent="0.25">
      <c r="A30" s="27" t="s">
        <v>34</v>
      </c>
      <c r="B30" s="29">
        <f>IF(B17=0,0,B17/TrRail_act!B21*100)</f>
        <v>459.29497393027987</v>
      </c>
      <c r="C30" s="29">
        <f>IF(C17=0,0,C17/TrRail_act!C21*100)</f>
        <v>382.06613288394436</v>
      </c>
      <c r="D30" s="29">
        <f>IF(D17=0,0,D17/TrRail_act!D21*100)</f>
        <v>354.13085151534369</v>
      </c>
      <c r="E30" s="29">
        <f>IF(E17=0,0,E17/TrRail_act!E21*100)</f>
        <v>298.24821911909675</v>
      </c>
      <c r="F30" s="29">
        <f>IF(F17=0,0,F17/TrRail_act!F21*100)</f>
        <v>305.316457025099</v>
      </c>
      <c r="G30" s="29">
        <f>IF(G17=0,0,G17/TrRail_act!G21*100)</f>
        <v>267.59360226142417</v>
      </c>
      <c r="H30" s="29">
        <f>IF(H17=0,0,H17/TrRail_act!H21*100)</f>
        <v>279.71376756534721</v>
      </c>
      <c r="I30" s="29">
        <f>IF(I17=0,0,I17/TrRail_act!I21*100)</f>
        <v>315.33354466933264</v>
      </c>
      <c r="J30" s="29">
        <f>IF(J17=0,0,J17/TrRail_act!J21*100)</f>
        <v>312.69864892099355</v>
      </c>
      <c r="K30" s="29">
        <f>IF(K17=0,0,K17/TrRail_act!K21*100)</f>
        <v>279.86992876772973</v>
      </c>
      <c r="L30" s="29">
        <f>IF(L17=0,0,L17/TrRail_act!L21*100)</f>
        <v>280.50794270065757</v>
      </c>
      <c r="M30" s="29">
        <f>IF(M17=0,0,M17/TrRail_act!M21*100)</f>
        <v>286.91063785623606</v>
      </c>
      <c r="N30" s="29">
        <f>IF(N17=0,0,N17/TrRail_act!N21*100)</f>
        <v>274.40620014209355</v>
      </c>
      <c r="O30" s="29">
        <f>IF(O17=0,0,O17/TrRail_act!O21*100)</f>
        <v>265.47557791918967</v>
      </c>
      <c r="P30" s="29">
        <f>IF(P17=0,0,P17/TrRail_act!P21*100)</f>
        <v>235.05145461878053</v>
      </c>
      <c r="Q30" s="29">
        <f>IF(Q17=0,0,Q17/TrRail_act!Q21*100)</f>
        <v>247.87800191505758</v>
      </c>
      <c r="R30" s="29">
        <f>IF(R17=0,0,R17/TrRail_act!R21*100)</f>
        <v>248.89127201250818</v>
      </c>
      <c r="S30" s="29">
        <f>IF(S17=0,0,S17/TrRail_act!S21*100)</f>
        <v>234.89025561769364</v>
      </c>
      <c r="T30" s="29">
        <f>IF(T17=0,0,T17/TrRail_act!T21*100)</f>
        <v>231.33204254450655</v>
      </c>
      <c r="U30" s="29">
        <f>IF(U17=0,0,U17/TrRail_act!U21*100)</f>
        <v>246.55147317115041</v>
      </c>
      <c r="V30" s="29">
        <f>IF(V17=0,0,V17/TrRail_act!V21*100)</f>
        <v>221.00150884291182</v>
      </c>
      <c r="W30" s="29">
        <f>IF(W17=0,0,W17/TrRail_act!W21*100)</f>
        <v>246.00298281575718</v>
      </c>
      <c r="X30" s="29">
        <f>IF(X17=0,0,X17/TrRail_act!X21*100)</f>
        <v>265.58048906577494</v>
      </c>
      <c r="Y30" s="29">
        <f>IF(Y17=0,0,Y17/TrRail_act!Y21*100)</f>
        <v>305.55666883206925</v>
      </c>
      <c r="DA30" s="173" t="s">
        <v>1119</v>
      </c>
    </row>
    <row r="31" spans="1:105" ht="11.45" customHeight="1" x14ac:dyDescent="0.25">
      <c r="A31" s="83" t="s">
        <v>92</v>
      </c>
      <c r="B31" s="87">
        <f>IF(B18=0,0,B18/TrRail_act!B22*100)</f>
        <v>640.02019879390696</v>
      </c>
      <c r="C31" s="87">
        <f>IF(C18=0,0,C18/TrRail_act!C22*100)</f>
        <v>629.19867308567063</v>
      </c>
      <c r="D31" s="87">
        <f>IF(D18=0,0,D18/TrRail_act!D22*100)</f>
        <v>624.70949051935884</v>
      </c>
      <c r="E31" s="87">
        <f>IF(E18=0,0,E18/TrRail_act!E22*100)</f>
        <v>611.63742515898809</v>
      </c>
      <c r="F31" s="87">
        <f>IF(F18=0,0,F18/TrRail_act!F22*100)</f>
        <v>602.60153866495284</v>
      </c>
      <c r="G31" s="87">
        <f>IF(G18=0,0,G18/TrRail_act!G22*100)</f>
        <v>595.17653769904712</v>
      </c>
      <c r="H31" s="87">
        <f>IF(H18=0,0,H18/TrRail_act!H22*100)</f>
        <v>590.30038523287055</v>
      </c>
      <c r="I31" s="87">
        <f>IF(I18=0,0,I18/TrRail_act!I22*100)</f>
        <v>585.82152273922827</v>
      </c>
      <c r="J31" s="87">
        <f>IF(J18=0,0,J18/TrRail_act!J22*100)</f>
        <v>576.48852290171817</v>
      </c>
      <c r="K31" s="87">
        <f>IF(K18=0,0,K18/TrRail_act!K22*100)</f>
        <v>567.41490159455736</v>
      </c>
      <c r="L31" s="87">
        <f>IF(L18=0,0,L18/TrRail_act!L22*100)</f>
        <v>561.65367216728021</v>
      </c>
      <c r="M31" s="87">
        <f>IF(M18=0,0,M18/TrRail_act!M22*100)</f>
        <v>560.30122068784544</v>
      </c>
      <c r="N31" s="87">
        <f>IF(N18=0,0,N18/TrRail_act!N22*100)</f>
        <v>549.50664793358033</v>
      </c>
      <c r="O31" s="87">
        <f>IF(O18=0,0,O18/TrRail_act!O22*100)</f>
        <v>538.33739360045558</v>
      </c>
      <c r="P31" s="87">
        <f>IF(P18=0,0,P18/TrRail_act!P22*100)</f>
        <v>523.36988829160407</v>
      </c>
      <c r="Q31" s="87">
        <f>IF(Q18=0,0,Q18/TrRail_act!Q22*100)</f>
        <v>525.3098659646588</v>
      </c>
      <c r="R31" s="87">
        <f>IF(R18=0,0,R18/TrRail_act!R22*100)</f>
        <v>521.50187113961101</v>
      </c>
      <c r="S31" s="87">
        <f>IF(S18=0,0,S18/TrRail_act!S22*100)</f>
        <v>518.6640013276218</v>
      </c>
      <c r="T31" s="87">
        <f>IF(T18=0,0,T18/TrRail_act!T22*100)</f>
        <v>516.54573798012291</v>
      </c>
      <c r="U31" s="87">
        <f>IF(U18=0,0,U18/TrRail_act!U22*100)</f>
        <v>514.96271972078375</v>
      </c>
      <c r="V31" s="87">
        <f>IF(V18=0,0,V18/TrRail_act!V22*100)</f>
        <v>513.77864054192571</v>
      </c>
      <c r="W31" s="87">
        <f>IF(W18=0,0,W18/TrRail_act!W22*100)</f>
        <v>512.89236821428267</v>
      </c>
      <c r="X31" s="87">
        <f>IF(X18=0,0,X18/TrRail_act!X22*100)</f>
        <v>512.2286674055465</v>
      </c>
      <c r="Y31" s="87">
        <f>IF(Y18=0,0,Y18/TrRail_act!Y22*100)</f>
        <v>511.73145548158584</v>
      </c>
      <c r="DA31" s="171" t="s">
        <v>1120</v>
      </c>
    </row>
    <row r="32" spans="1:105" ht="11.45" customHeight="1" x14ac:dyDescent="0.25">
      <c r="A32" s="85" t="s">
        <v>93</v>
      </c>
      <c r="B32" s="88">
        <f>IF(B19=0,0,B19/TrRail_act!B23*100)</f>
        <v>213.78882023492579</v>
      </c>
      <c r="C32" s="88">
        <f>IF(C19=0,0,C19/TrRail_act!C23*100)</f>
        <v>205.65749001175203</v>
      </c>
      <c r="D32" s="88">
        <f>IF(D19=0,0,D19/TrRail_act!D23*100)</f>
        <v>202.34580394676684</v>
      </c>
      <c r="E32" s="88">
        <f>IF(E19=0,0,E19/TrRail_act!E23*100)</f>
        <v>198.41878685454978</v>
      </c>
      <c r="F32" s="88">
        <f>IF(F19=0,0,F19/TrRail_act!F23*100)</f>
        <v>193.68597622852258</v>
      </c>
      <c r="G32" s="88">
        <f>IF(G19=0,0,G19/TrRail_act!G23*100)</f>
        <v>186.4795674544398</v>
      </c>
      <c r="H32" s="88">
        <f>IF(H19=0,0,H19/TrRail_act!H23*100)</f>
        <v>182.55431836098001</v>
      </c>
      <c r="I32" s="88">
        <f>IF(I19=0,0,I19/TrRail_act!I23*100)</f>
        <v>177.82997322174649</v>
      </c>
      <c r="J32" s="88">
        <f>IF(J19=0,0,J19/TrRail_act!J23*100)</f>
        <v>174.25224158672427</v>
      </c>
      <c r="K32" s="88">
        <f>IF(K19=0,0,K19/TrRail_act!K23*100)</f>
        <v>168.45411064237922</v>
      </c>
      <c r="L32" s="88">
        <f>IF(L19=0,0,L19/TrRail_act!L23*100)</f>
        <v>166.11463444890566</v>
      </c>
      <c r="M32" s="88">
        <f>IF(M19=0,0,M19/TrRail_act!M23*100)</f>
        <v>166.19693365695468</v>
      </c>
      <c r="N32" s="88">
        <f>IF(N19=0,0,N19/TrRail_act!N23*100)</f>
        <v>161.91079951945767</v>
      </c>
      <c r="O32" s="88">
        <f>IF(O19=0,0,O19/TrRail_act!O23*100)</f>
        <v>156.24516190293451</v>
      </c>
      <c r="P32" s="88">
        <f>IF(P19=0,0,P19/TrRail_act!P23*100)</f>
        <v>150.36782102089563</v>
      </c>
      <c r="Q32" s="88">
        <f>IF(Q19=0,0,Q19/TrRail_act!Q23*100)</f>
        <v>148.53077151097941</v>
      </c>
      <c r="R32" s="88">
        <f>IF(R19=0,0,R19/TrRail_act!R23*100)</f>
        <v>147.16772784996047</v>
      </c>
      <c r="S32" s="88">
        <f>IF(S19=0,0,S19/TrRail_act!S23*100)</f>
        <v>146.15366006251131</v>
      </c>
      <c r="T32" s="88">
        <f>IF(T19=0,0,T19/TrRail_act!T23*100)</f>
        <v>145.39769740301384</v>
      </c>
      <c r="U32" s="88">
        <f>IF(U19=0,0,U19/TrRail_act!U23*100)</f>
        <v>144.83329253782782</v>
      </c>
      <c r="V32" s="88">
        <f>IF(V19=0,0,V19/TrRail_act!V23*100)</f>
        <v>144.41142761396426</v>
      </c>
      <c r="W32" s="88">
        <f>IF(W19=0,0,W19/TrRail_act!W23*100)</f>
        <v>144.09583395429863</v>
      </c>
      <c r="X32" s="88">
        <f>IF(X19=0,0,X19/TrRail_act!X23*100)</f>
        <v>143.85959302557748</v>
      </c>
      <c r="Y32" s="88">
        <f>IF(Y19=0,0,Y19/TrRail_act!Y23*100)</f>
        <v>143.68266600478597</v>
      </c>
      <c r="DA32" s="178" t="s">
        <v>1121</v>
      </c>
    </row>
    <row r="33" spans="1:105" x14ac:dyDescent="0.25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DA33" s="171"/>
    </row>
    <row r="34" spans="1:105" ht="11.45" customHeight="1" x14ac:dyDescent="0.25">
      <c r="A34" s="53" t="s">
        <v>74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DA34" s="172"/>
    </row>
    <row r="35" spans="1:105" ht="11.45" customHeight="1" x14ac:dyDescent="0.25">
      <c r="A35" s="27" t="s">
        <v>155</v>
      </c>
      <c r="B35" s="29">
        <f>IF(B11=0,0,B11/TrRail_act!B4*1000)</f>
        <v>14.802412506548718</v>
      </c>
      <c r="C35" s="29">
        <f>IF(C11=0,0,C11/TrRail_act!C4*1000)</f>
        <v>8.5916061774188357</v>
      </c>
      <c r="D35" s="29">
        <f>IF(D11=0,0,D11/TrRail_act!D4*1000)</f>
        <v>14.185872268805257</v>
      </c>
      <c r="E35" s="29">
        <f>IF(E11=0,0,E11/TrRail_act!E4*1000)</f>
        <v>13.939329466122768</v>
      </c>
      <c r="F35" s="29">
        <f>IF(F11=0,0,F11/TrRail_act!F4*1000)</f>
        <v>13.317616628814333</v>
      </c>
      <c r="G35" s="29">
        <f>IF(G11=0,0,G11/TrRail_act!G4*1000)</f>
        <v>6.8915706864632851</v>
      </c>
      <c r="H35" s="29">
        <f>IF(H11=0,0,H11/TrRail_act!H4*1000)</f>
        <v>6.1817754894463093</v>
      </c>
      <c r="I35" s="29">
        <f>IF(I11=0,0,I11/TrRail_act!I4*1000)</f>
        <v>12.412731250069687</v>
      </c>
      <c r="J35" s="29">
        <f>IF(J11=0,0,J11/TrRail_act!J4*1000)</f>
        <v>12.198034677223051</v>
      </c>
      <c r="K35" s="29">
        <f>IF(K11=0,0,K11/TrRail_act!K4*1000)</f>
        <v>11.379775442278431</v>
      </c>
      <c r="L35" s="29">
        <f>IF(L11=0,0,L11/TrRail_act!L4*1000)</f>
        <v>12.948638434396987</v>
      </c>
      <c r="M35" s="29">
        <f>IF(M11=0,0,M11/TrRail_act!M4*1000)</f>
        <v>16.627719097284636</v>
      </c>
      <c r="N35" s="29">
        <f>IF(N11=0,0,N11/TrRail_act!N4*1000)</f>
        <v>16.9477080224157</v>
      </c>
      <c r="O35" s="29">
        <f>IF(O11=0,0,O11/TrRail_act!O4*1000)</f>
        <v>15.076110139675762</v>
      </c>
      <c r="P35" s="29">
        <f>IF(P11=0,0,P11/TrRail_act!P4*1000)</f>
        <v>11.060656055477143</v>
      </c>
      <c r="Q35" s="29">
        <f>IF(Q11=0,0,Q11/TrRail_act!Q4*1000)</f>
        <v>13.348000221077365</v>
      </c>
      <c r="R35" s="29">
        <f>IF(R11=0,0,R11/TrRail_act!R4*1000)</f>
        <v>12.966591066694898</v>
      </c>
      <c r="S35" s="29">
        <f>IF(S11=0,0,S11/TrRail_act!S4*1000)</f>
        <v>13.198082533848149</v>
      </c>
      <c r="T35" s="29">
        <f>IF(T11=0,0,T11/TrRail_act!T4*1000)</f>
        <v>11.402992451449542</v>
      </c>
      <c r="U35" s="29">
        <f>IF(U11=0,0,U11/TrRail_act!U4*1000)</f>
        <v>13.751187454786766</v>
      </c>
      <c r="V35" s="29">
        <f>IF(V11=0,0,V11/TrRail_act!V4*1000)</f>
        <v>19.632797627530753</v>
      </c>
      <c r="W35" s="29">
        <f>IF(W11=0,0,W11/TrRail_act!W4*1000)</f>
        <v>18.830829477353731</v>
      </c>
      <c r="X35" s="29">
        <f>IF(X11=0,0,X11/TrRail_act!X4*1000)</f>
        <v>10.963828599926412</v>
      </c>
      <c r="Y35" s="29">
        <f>IF(Y11=0,0,Y11/TrRail_act!Y4*1000)</f>
        <v>9.9728209543785962</v>
      </c>
      <c r="DA35" s="173" t="s">
        <v>420</v>
      </c>
    </row>
    <row r="36" spans="1:105" ht="11.45" customHeight="1" x14ac:dyDescent="0.25">
      <c r="A36" s="107" t="s">
        <v>23</v>
      </c>
      <c r="B36" s="115">
        <f>IF(B12=0,0,B12/TrRail_act!B5*1000)</f>
        <v>5.1800152071761518</v>
      </c>
      <c r="C36" s="115">
        <f>IF(C12=0,0,C12/TrRail_act!C5*1000)</f>
        <v>5.0744117082144946</v>
      </c>
      <c r="D36" s="115">
        <f>IF(D12=0,0,D12/TrRail_act!D5*1000)</f>
        <v>5.0069384573289346</v>
      </c>
      <c r="E36" s="115">
        <f>IF(E12=0,0,E12/TrRail_act!E5*1000)</f>
        <v>4.9084792626071243</v>
      </c>
      <c r="F36" s="115">
        <f>IF(F12=0,0,F12/TrRail_act!F5*1000)</f>
        <v>4.8028381006643359</v>
      </c>
      <c r="G36" s="115">
        <f>IF(G12=0,0,G12/TrRail_act!G5*1000)</f>
        <v>4.7235445675036711</v>
      </c>
      <c r="H36" s="115">
        <f>IF(H12=0,0,H12/TrRail_act!H5*1000)</f>
        <v>4.7730821571436071</v>
      </c>
      <c r="I36" s="115">
        <f>IF(I12=0,0,I12/TrRail_act!I5*1000)</f>
        <v>4.7800831598360505</v>
      </c>
      <c r="J36" s="115">
        <f>IF(J12=0,0,J12/TrRail_act!J5*1000)</f>
        <v>4.7846742213928524</v>
      </c>
      <c r="K36" s="115">
        <f>IF(K12=0,0,K12/TrRail_act!K5*1000)</f>
        <v>4.8956675273508923</v>
      </c>
      <c r="L36" s="115">
        <f>IF(L12=0,0,L12/TrRail_act!L5*1000)</f>
        <v>4.9097737903137348</v>
      </c>
      <c r="M36" s="115">
        <f>IF(M12=0,0,M12/TrRail_act!M5*1000)</f>
        <v>4.9881210458133269</v>
      </c>
      <c r="N36" s="115">
        <f>IF(N12=0,0,N12/TrRail_act!N5*1000)</f>
        <v>5.047073223325321</v>
      </c>
      <c r="O36" s="115">
        <f>IF(O12=0,0,O12/TrRail_act!O5*1000)</f>
        <v>4.8940081819371395</v>
      </c>
      <c r="P36" s="115">
        <f>IF(P12=0,0,P12/TrRail_act!P5*1000)</f>
        <v>4.6650142673233024</v>
      </c>
      <c r="Q36" s="115">
        <f>IF(Q12=0,0,Q12/TrRail_act!Q5*1000)</f>
        <v>4.5573257005513357</v>
      </c>
      <c r="R36" s="115">
        <f>IF(R12=0,0,R12/TrRail_act!R5*1000)</f>
        <v>4.5705537143832169</v>
      </c>
      <c r="S36" s="115">
        <f>IF(S12=0,0,S12/TrRail_act!S5*1000)</f>
        <v>4.4035589249245515</v>
      </c>
      <c r="T36" s="115">
        <f>IF(T12=0,0,T12/TrRail_act!T5*1000)</f>
        <v>4.3457457143490785</v>
      </c>
      <c r="U36" s="115">
        <f>IF(U12=0,0,U12/TrRail_act!U5*1000)</f>
        <v>4.2641128275426139</v>
      </c>
      <c r="V36" s="115">
        <f>IF(V12=0,0,V12/TrRail_act!V5*1000)</f>
        <v>6.0763692433588394</v>
      </c>
      <c r="W36" s="115">
        <f>IF(W12=0,0,W12/TrRail_act!W5*1000)</f>
        <v>6.3534848658633738</v>
      </c>
      <c r="X36" s="115">
        <f>IF(X12=0,0,X12/TrRail_act!X5*1000)</f>
        <v>5.9265530693315593</v>
      </c>
      <c r="Y36" s="115">
        <f>IF(Y12=0,0,Y12/TrRail_act!Y5*1000)</f>
        <v>4.1174979316006253</v>
      </c>
      <c r="DA36" s="203" t="s">
        <v>421</v>
      </c>
    </row>
    <row r="37" spans="1:105" ht="11.45" customHeight="1" x14ac:dyDescent="0.25">
      <c r="A37" s="109" t="s">
        <v>24</v>
      </c>
      <c r="B37" s="116">
        <f>IF(B13=0,0,B13/TrRail_act!B6*1000)</f>
        <v>19.765822392745022</v>
      </c>
      <c r="C37" s="116">
        <f>IF(C13=0,0,C13/TrRail_act!C6*1000)</f>
        <v>10.516199594220119</v>
      </c>
      <c r="D37" s="116">
        <f>IF(D13=0,0,D13/TrRail_act!D6*1000)</f>
        <v>20.663595494970622</v>
      </c>
      <c r="E37" s="116">
        <f>IF(E13=0,0,E13/TrRail_act!E6*1000)</f>
        <v>20.079515797593121</v>
      </c>
      <c r="F37" s="116">
        <f>IF(F13=0,0,F13/TrRail_act!F6*1000)</f>
        <v>19.421331818828058</v>
      </c>
      <c r="G37" s="116">
        <f>IF(G13=0,0,G13/TrRail_act!G6*1000)</f>
        <v>8.6827126837549109</v>
      </c>
      <c r="H37" s="116">
        <f>IF(H13=0,0,H13/TrRail_act!H6*1000)</f>
        <v>7.3655513989443779</v>
      </c>
      <c r="I37" s="116">
        <f>IF(I13=0,0,I13/TrRail_act!I6*1000)</f>
        <v>19.457310145550171</v>
      </c>
      <c r="J37" s="116">
        <f>IF(J13=0,0,J13/TrRail_act!J6*1000)</f>
        <v>19.656143787716207</v>
      </c>
      <c r="K37" s="116">
        <f>IF(K13=0,0,K13/TrRail_act!K6*1000)</f>
        <v>18.836287922124118</v>
      </c>
      <c r="L37" s="116">
        <f>IF(L13=0,0,L13/TrRail_act!L6*1000)</f>
        <v>23.503562879747712</v>
      </c>
      <c r="M37" s="116">
        <f>IF(M13=0,0,M13/TrRail_act!M6*1000)</f>
        <v>32.830698923364537</v>
      </c>
      <c r="N37" s="116">
        <f>IF(N13=0,0,N13/TrRail_act!N6*1000)</f>
        <v>36.599956325097764</v>
      </c>
      <c r="O37" s="116">
        <f>IF(O13=0,0,O13/TrRail_act!O6*1000)</f>
        <v>32.969736085609924</v>
      </c>
      <c r="P37" s="116">
        <f>IF(P13=0,0,P13/TrRail_act!P6*1000)</f>
        <v>21.343038351544411</v>
      </c>
      <c r="Q37" s="116">
        <f>IF(Q13=0,0,Q13/TrRail_act!Q6*1000)</f>
        <v>21.726715973546742</v>
      </c>
      <c r="R37" s="116">
        <f>IF(R13=0,0,R13/TrRail_act!R6*1000)</f>
        <v>21.497902417044831</v>
      </c>
      <c r="S37" s="116">
        <f>IF(S13=0,0,S13/TrRail_act!S6*1000)</f>
        <v>21.154949122491605</v>
      </c>
      <c r="T37" s="116">
        <f>IF(T13=0,0,T13/TrRail_act!T6*1000)</f>
        <v>17.732062169698061</v>
      </c>
      <c r="U37" s="116">
        <f>IF(U13=0,0,U13/TrRail_act!U6*1000)</f>
        <v>21.669233907872666</v>
      </c>
      <c r="V37" s="116">
        <f>IF(V13=0,0,V13/TrRail_act!V6*1000)</f>
        <v>32.154670094925535</v>
      </c>
      <c r="W37" s="116">
        <f>IF(W13=0,0,W13/TrRail_act!W6*1000)</f>
        <v>28.186976997428413</v>
      </c>
      <c r="X37" s="116">
        <f>IF(X13=0,0,X13/TrRail_act!X6*1000)</f>
        <v>14.491440911830729</v>
      </c>
      <c r="Y37" s="116">
        <f>IF(Y13=0,0,Y13/TrRail_act!Y6*1000)</f>
        <v>14.27178084064121</v>
      </c>
      <c r="DA37" s="176" t="s">
        <v>422</v>
      </c>
    </row>
    <row r="38" spans="1:105" ht="11.45" customHeight="1" x14ac:dyDescent="0.25">
      <c r="A38" s="111" t="s">
        <v>92</v>
      </c>
      <c r="B38" s="87">
        <f>IF(B14=0,0,B14/TrRail_act!B7*1000)</f>
        <v>33.902722420644707</v>
      </c>
      <c r="C38" s="87">
        <f>IF(C14=0,0,C14/TrRail_act!C7*1000)</f>
        <v>23.649698830763366</v>
      </c>
      <c r="D38" s="87">
        <f>IF(D14=0,0,D14/TrRail_act!D7*1000)</f>
        <v>33.136260696839443</v>
      </c>
      <c r="E38" s="87">
        <f>IF(E14=0,0,E14/TrRail_act!E7*1000)</f>
        <v>33.67622962006638</v>
      </c>
      <c r="F38" s="87">
        <f>IF(F14=0,0,F14/TrRail_act!F7*1000)</f>
        <v>32.41912731763847</v>
      </c>
      <c r="G38" s="87">
        <f>IF(G14=0,0,G14/TrRail_act!G7*1000)</f>
        <v>20.002090020149446</v>
      </c>
      <c r="H38" s="87">
        <f>IF(H14=0,0,H14/TrRail_act!H7*1000)</f>
        <v>17.47621942556426</v>
      </c>
      <c r="I38" s="87">
        <f>IF(I14=0,0,I14/TrRail_act!I7*1000)</f>
        <v>28.894913745124835</v>
      </c>
      <c r="J38" s="87">
        <f>IF(J14=0,0,J14/TrRail_act!J7*1000)</f>
        <v>31.200644661160549</v>
      </c>
      <c r="K38" s="87">
        <f>IF(K14=0,0,K14/TrRail_act!K7*1000)</f>
        <v>35.681260608511529</v>
      </c>
      <c r="L38" s="87">
        <f>IF(L14=0,0,L14/TrRail_act!L7*1000)</f>
        <v>35.659043625293364</v>
      </c>
      <c r="M38" s="87">
        <f>IF(M14=0,0,M14/TrRail_act!M7*1000)</f>
        <v>45.153425652537919</v>
      </c>
      <c r="N38" s="87">
        <f>IF(N14=0,0,N14/TrRail_act!N7*1000)</f>
        <v>50.880248665520462</v>
      </c>
      <c r="O38" s="87">
        <f>IF(O14=0,0,O14/TrRail_act!O7*1000)</f>
        <v>43.917169554961731</v>
      </c>
      <c r="P38" s="87">
        <f>IF(P14=0,0,P14/TrRail_act!P7*1000)</f>
        <v>29.704440541936535</v>
      </c>
      <c r="Q38" s="87">
        <f>IF(Q14=0,0,Q14/TrRail_act!Q7*1000)</f>
        <v>35.687508833958852</v>
      </c>
      <c r="R38" s="87">
        <f>IF(R14=0,0,R14/TrRail_act!R7*1000)</f>
        <v>35.133785449904622</v>
      </c>
      <c r="S38" s="87">
        <f>IF(S14=0,0,S14/TrRail_act!S7*1000)</f>
        <v>42.767421674824881</v>
      </c>
      <c r="T38" s="87">
        <f>IF(T14=0,0,T14/TrRail_act!T7*1000)</f>
        <v>32.550902415789409</v>
      </c>
      <c r="U38" s="87">
        <f>IF(U14=0,0,U14/TrRail_act!U7*1000)</f>
        <v>39.478339260296629</v>
      </c>
      <c r="V38" s="87">
        <f>IF(V14=0,0,V14/TrRail_act!V7*1000)</f>
        <v>64.258903997392963</v>
      </c>
      <c r="W38" s="87">
        <f>IF(W14=0,0,W14/TrRail_act!W7*1000)</f>
        <v>59.227284759848814</v>
      </c>
      <c r="X38" s="87">
        <f>IF(X14=0,0,X14/TrRail_act!X7*1000)</f>
        <v>30.679615405695827</v>
      </c>
      <c r="Y38" s="87">
        <f>IF(Y14=0,0,Y14/TrRail_act!Y7*1000)</f>
        <v>29.369536658120236</v>
      </c>
      <c r="DA38" s="171" t="s">
        <v>1122</v>
      </c>
    </row>
    <row r="39" spans="1:105" ht="11.45" customHeight="1" x14ac:dyDescent="0.25">
      <c r="A39" s="111" t="s">
        <v>93</v>
      </c>
      <c r="B39" s="87">
        <f>IF(B15=0,0,B15/TrRail_act!B8*1000)</f>
        <v>2.3775248009876662</v>
      </c>
      <c r="C39" s="87">
        <f>IF(C15=0,0,C15/TrRail_act!C8*1000)</f>
        <v>2.3729491234067561</v>
      </c>
      <c r="D39" s="87">
        <f>IF(D15=0,0,D15/TrRail_act!D8*1000)</f>
        <v>9.6013292947541657</v>
      </c>
      <c r="E39" s="87">
        <f>IF(E15=0,0,E15/TrRail_act!E8*1000)</f>
        <v>7.7403631313064256</v>
      </c>
      <c r="F39" s="87">
        <f>IF(F15=0,0,F15/TrRail_act!F8*1000)</f>
        <v>4.4311403615007885</v>
      </c>
      <c r="G39" s="87">
        <f>IF(G15=0,0,G15/TrRail_act!G8*1000)</f>
        <v>3.6505909557912446</v>
      </c>
      <c r="H39" s="87">
        <f>IF(H15=0,0,H15/TrRail_act!H8*1000)</f>
        <v>2.5316793087888083</v>
      </c>
      <c r="I39" s="87">
        <f>IF(I15=0,0,I15/TrRail_act!I8*1000)</f>
        <v>4.8010301750408599</v>
      </c>
      <c r="J39" s="87">
        <f>IF(J15=0,0,J15/TrRail_act!J8*1000)</f>
        <v>3.9344274278911548</v>
      </c>
      <c r="K39" s="87">
        <f>IF(K15=0,0,K15/TrRail_act!K8*1000)</f>
        <v>4.4944793604262046</v>
      </c>
      <c r="L39" s="87">
        <f>IF(L15=0,0,L15/TrRail_act!L8*1000)</f>
        <v>6.7884485780132131</v>
      </c>
      <c r="M39" s="87">
        <f>IF(M15=0,0,M15/TrRail_act!M8*1000)</f>
        <v>10.962977823811679</v>
      </c>
      <c r="N39" s="87">
        <f>IF(N15=0,0,N15/TrRail_act!N8*1000)</f>
        <v>15.265946266113932</v>
      </c>
      <c r="O39" s="87">
        <f>IF(O15=0,0,O15/TrRail_act!O8*1000)</f>
        <v>14.294777544195046</v>
      </c>
      <c r="P39" s="87">
        <f>IF(P15=0,0,P15/TrRail_act!P8*1000)</f>
        <v>10.622843895920893</v>
      </c>
      <c r="Q39" s="87">
        <f>IF(Q15=0,0,Q15/TrRail_act!Q8*1000)</f>
        <v>11.975899898477524</v>
      </c>
      <c r="R39" s="87">
        <f>IF(R15=0,0,R15/TrRail_act!R8*1000)</f>
        <v>11.768201670592317</v>
      </c>
      <c r="S39" s="87">
        <f>IF(S15=0,0,S15/TrRail_act!S8*1000)</f>
        <v>9.8730818755420522</v>
      </c>
      <c r="T39" s="87">
        <f>IF(T15=0,0,T15/TrRail_act!T8*1000)</f>
        <v>9.7911761355246014</v>
      </c>
      <c r="U39" s="87">
        <f>IF(U15=0,0,U15/TrRail_act!U8*1000)</f>
        <v>10.251571734849737</v>
      </c>
      <c r="V39" s="87">
        <f>IF(V15=0,0,V15/TrRail_act!V8*1000)</f>
        <v>14.740714363788861</v>
      </c>
      <c r="W39" s="87">
        <f>IF(W15=0,0,W15/TrRail_act!W8*1000)</f>
        <v>13.272730037708588</v>
      </c>
      <c r="X39" s="87">
        <f>IF(X15=0,0,X15/TrRail_act!X8*1000)</f>
        <v>7.6291899616711607</v>
      </c>
      <c r="Y39" s="87">
        <f>IF(Y15=0,0,Y15/TrRail_act!Y8*1000)</f>
        <v>5.4150292841186589</v>
      </c>
      <c r="DA39" s="171" t="s">
        <v>1123</v>
      </c>
    </row>
    <row r="40" spans="1:105" ht="11.45" customHeight="1" x14ac:dyDescent="0.25">
      <c r="A40" s="112" t="s">
        <v>25</v>
      </c>
      <c r="B40" s="117">
        <f>IF(B16=0,0,B16/TrRail_act!B9*1000)</f>
        <v>0</v>
      </c>
      <c r="C40" s="117">
        <f>IF(C16=0,0,C16/TrRail_act!C9*1000)</f>
        <v>0</v>
      </c>
      <c r="D40" s="117">
        <f>IF(D16=0,0,D16/TrRail_act!D9*1000)</f>
        <v>0</v>
      </c>
      <c r="E40" s="117">
        <f>IF(E16=0,0,E16/TrRail_act!E9*1000)</f>
        <v>0</v>
      </c>
      <c r="F40" s="117">
        <f>IF(F16=0,0,F16/TrRail_act!F9*1000)</f>
        <v>0</v>
      </c>
      <c r="G40" s="117">
        <f>IF(G16=0,0,G16/TrRail_act!G9*1000)</f>
        <v>0</v>
      </c>
      <c r="H40" s="117">
        <f>IF(H16=0,0,H16/TrRail_act!H9*1000)</f>
        <v>0</v>
      </c>
      <c r="I40" s="117">
        <f>IF(I16=0,0,I16/TrRail_act!I9*1000)</f>
        <v>0</v>
      </c>
      <c r="J40" s="117">
        <f>IF(J16=0,0,J16/TrRail_act!J9*1000)</f>
        <v>0</v>
      </c>
      <c r="K40" s="117">
        <f>IF(K16=0,0,K16/TrRail_act!K9*1000)</f>
        <v>0</v>
      </c>
      <c r="L40" s="117">
        <f>IF(L16=0,0,L16/TrRail_act!L9*1000)</f>
        <v>0</v>
      </c>
      <c r="M40" s="117">
        <f>IF(M16=0,0,M16/TrRail_act!M9*1000)</f>
        <v>0</v>
      </c>
      <c r="N40" s="117">
        <f>IF(N16=0,0,N16/TrRail_act!N9*1000)</f>
        <v>0</v>
      </c>
      <c r="O40" s="117">
        <f>IF(O16=0,0,O16/TrRail_act!O9*1000)</f>
        <v>0</v>
      </c>
      <c r="P40" s="117">
        <f>IF(P16=0,0,P16/TrRail_act!P9*1000)</f>
        <v>0</v>
      </c>
      <c r="Q40" s="117">
        <f>IF(Q16=0,0,Q16/TrRail_act!Q9*1000)</f>
        <v>0</v>
      </c>
      <c r="R40" s="117">
        <f>IF(R16=0,0,R16/TrRail_act!R9*1000)</f>
        <v>0</v>
      </c>
      <c r="S40" s="117">
        <f>IF(S16=0,0,S16/TrRail_act!S9*1000)</f>
        <v>0</v>
      </c>
      <c r="T40" s="117">
        <f>IF(T16=0,0,T16/TrRail_act!T9*1000)</f>
        <v>0</v>
      </c>
      <c r="U40" s="117">
        <f>IF(U16=0,0,U16/TrRail_act!U9*1000)</f>
        <v>0</v>
      </c>
      <c r="V40" s="117">
        <f>IF(V16=0,0,V16/TrRail_act!V9*1000)</f>
        <v>0</v>
      </c>
      <c r="W40" s="117">
        <f>IF(W16=0,0,W16/TrRail_act!W9*1000)</f>
        <v>0</v>
      </c>
      <c r="X40" s="117">
        <f>IF(X16=0,0,X16/TrRail_act!X9*1000)</f>
        <v>0</v>
      </c>
      <c r="Y40" s="117">
        <f>IF(Y16=0,0,Y16/TrRail_act!Y9*1000)</f>
        <v>0</v>
      </c>
      <c r="DA40" s="204" t="s">
        <v>423</v>
      </c>
    </row>
    <row r="41" spans="1:105" ht="11.45" customHeight="1" x14ac:dyDescent="0.25">
      <c r="A41" s="27" t="s">
        <v>156</v>
      </c>
      <c r="B41" s="29">
        <f>IF(B17=0,0,B17/TrRail_act!B10*1000)</f>
        <v>6.0554362156731889</v>
      </c>
      <c r="C41" s="29">
        <f>IF(C17=0,0,C17/TrRail_act!C10*1000)</f>
        <v>4.490540666306039</v>
      </c>
      <c r="D41" s="29">
        <f>IF(D17=0,0,D17/TrRail_act!D10*1000)</f>
        <v>7.0924996757418048</v>
      </c>
      <c r="E41" s="29">
        <f>IF(E17=0,0,E17/TrRail_act!E10*1000)</f>
        <v>5.6001840080576475</v>
      </c>
      <c r="F41" s="29">
        <f>IF(F17=0,0,F17/TrRail_act!F10*1000)</f>
        <v>5.557408076147599</v>
      </c>
      <c r="G41" s="29">
        <f>IF(G17=0,0,G17/TrRail_act!G10*1000)</f>
        <v>3.6104743257867749</v>
      </c>
      <c r="H41" s="29">
        <f>IF(H17=0,0,H17/TrRail_act!H10*1000)</f>
        <v>3.497719393541241</v>
      </c>
      <c r="I41" s="29">
        <f>IF(I17=0,0,I17/TrRail_act!I10*1000)</f>
        <v>5.559448710452334</v>
      </c>
      <c r="J41" s="29">
        <f>IF(J17=0,0,J17/TrRail_act!J10*1000)</f>
        <v>5.0138652349663078</v>
      </c>
      <c r="K41" s="29">
        <f>IF(K17=0,0,K17/TrRail_act!K10*1000)</f>
        <v>4.6075859853992798</v>
      </c>
      <c r="L41" s="29">
        <f>IF(L17=0,0,L17/TrRail_act!L10*1000)</f>
        <v>4.8307411324501208</v>
      </c>
      <c r="M41" s="29">
        <f>IF(M17=0,0,M17/TrRail_act!M10*1000)</f>
        <v>5.8762255133976726</v>
      </c>
      <c r="N41" s="29">
        <f>IF(N17=0,0,N17/TrRail_act!N10*1000)</f>
        <v>5.768802517375363</v>
      </c>
      <c r="O41" s="29">
        <f>IF(O17=0,0,O17/TrRail_act!O10*1000)</f>
        <v>5.5137923371148512</v>
      </c>
      <c r="P41" s="29">
        <f>IF(P17=0,0,P17/TrRail_act!P10*1000)</f>
        <v>4.148491437799585</v>
      </c>
      <c r="Q41" s="29">
        <f>IF(Q17=0,0,Q17/TrRail_act!Q10*1000)</f>
        <v>4.840956769810143</v>
      </c>
      <c r="R41" s="29">
        <f>IF(R17=0,0,R17/TrRail_act!R10*1000)</f>
        <v>4.7531465987696775</v>
      </c>
      <c r="S41" s="29">
        <f>IF(S17=0,0,S17/TrRail_act!S10*1000)</f>
        <v>4.4797104200656408</v>
      </c>
      <c r="T41" s="29">
        <f>IF(T17=0,0,T17/TrRail_act!T10*1000)</f>
        <v>4.5173280162247442</v>
      </c>
      <c r="U41" s="29">
        <f>IF(U17=0,0,U17/TrRail_act!U10*1000)</f>
        <v>4.9984736138732888</v>
      </c>
      <c r="V41" s="29">
        <f>IF(V17=0,0,V17/TrRail_act!V10*1000)</f>
        <v>4.679847498354607</v>
      </c>
      <c r="W41" s="29">
        <f>IF(W17=0,0,W17/TrRail_act!W10*1000)</f>
        <v>6.2147449670075243</v>
      </c>
      <c r="X41" s="29">
        <f>IF(X17=0,0,X17/TrRail_act!X10*1000)</f>
        <v>5.8130931281837785</v>
      </c>
      <c r="Y41" s="29">
        <f>IF(Y17=0,0,Y17/TrRail_act!Y10*1000)</f>
        <v>3.5965169076926768</v>
      </c>
      <c r="DA41" s="173" t="s">
        <v>428</v>
      </c>
    </row>
    <row r="42" spans="1:105" ht="11.45" customHeight="1" x14ac:dyDescent="0.25">
      <c r="A42" s="83" t="s">
        <v>92</v>
      </c>
      <c r="B42" s="87">
        <f>IF(B18=0,0,B18/TrRail_act!B11*1000)</f>
        <v>10.408098300548767</v>
      </c>
      <c r="C42" s="87">
        <f>IF(C18=0,0,C18/TrRail_act!C11*1000)</f>
        <v>8.9637271533862641</v>
      </c>
      <c r="D42" s="87">
        <f>IF(D18=0,0,D18/TrRail_act!D11*1000)</f>
        <v>11.256383771513137</v>
      </c>
      <c r="E42" s="87">
        <f>IF(E18=0,0,E18/TrRail_act!E11*1000)</f>
        <v>8.8441930476974395</v>
      </c>
      <c r="F42" s="87">
        <f>IF(F18=0,0,F18/TrRail_act!F11*1000)</f>
        <v>8.370226100509786</v>
      </c>
      <c r="G42" s="87">
        <f>IF(G18=0,0,G18/TrRail_act!G11*1000)</f>
        <v>7.7371852770643157</v>
      </c>
      <c r="H42" s="87">
        <f>IF(H18=0,0,H18/TrRail_act!H11*1000)</f>
        <v>8.0718751123941512</v>
      </c>
      <c r="I42" s="87">
        <f>IF(I18=0,0,I18/TrRail_act!I11*1000)</f>
        <v>9.5665931063447704</v>
      </c>
      <c r="J42" s="87">
        <f>IF(J18=0,0,J18/TrRail_act!J11*1000)</f>
        <v>9.4866712113932437</v>
      </c>
      <c r="K42" s="87">
        <f>IF(K18=0,0,K18/TrRail_act!K11*1000)</f>
        <v>9.3305437359707231</v>
      </c>
      <c r="L42" s="87">
        <f>IF(L18=0,0,L18/TrRail_act!L11*1000)</f>
        <v>8.8858341033246884</v>
      </c>
      <c r="M42" s="87">
        <f>IF(M18=0,0,M18/TrRail_act!M11*1000)</f>
        <v>10.722807081845117</v>
      </c>
      <c r="N42" s="87">
        <f>IF(N18=0,0,N18/TrRail_act!N11*1000)</f>
        <v>10.779096645451524</v>
      </c>
      <c r="O42" s="87">
        <f>IF(O18=0,0,O18/TrRail_act!O11*1000)</f>
        <v>10.428699234806786</v>
      </c>
      <c r="P42" s="87">
        <f>IF(P18=0,0,P18/TrRail_act!P11*1000)</f>
        <v>7.8242576949786109</v>
      </c>
      <c r="Q42" s="87">
        <f>IF(Q18=0,0,Q18/TrRail_act!Q11*1000)</f>
        <v>10.055662548814505</v>
      </c>
      <c r="R42" s="87">
        <f>IF(R18=0,0,R18/TrRail_act!R11*1000)</f>
        <v>10.037783922525483</v>
      </c>
      <c r="S42" s="87">
        <f>IF(S18=0,0,S18/TrRail_act!S11*1000)</f>
        <v>9.5597426603315441</v>
      </c>
      <c r="T42" s="87">
        <f>IF(T18=0,0,T18/TrRail_act!T11*1000)</f>
        <v>9.3176483296610755</v>
      </c>
      <c r="U42" s="87">
        <f>IF(U18=0,0,U18/TrRail_act!U11*1000)</f>
        <v>10.000606084733318</v>
      </c>
      <c r="V42" s="87">
        <f>IF(V18=0,0,V18/TrRail_act!V11*1000)</f>
        <v>9.1766680691792928</v>
      </c>
      <c r="W42" s="87">
        <f>IF(W18=0,0,W18/TrRail_act!W11*1000)</f>
        <v>14.17024663660732</v>
      </c>
      <c r="X42" s="87">
        <f>IF(X18=0,0,X18/TrRail_act!X11*1000)</f>
        <v>15.41951829071296</v>
      </c>
      <c r="Y42" s="87">
        <f>IF(Y18=0,0,Y18/TrRail_act!Y11*1000)</f>
        <v>9.2411927153959024</v>
      </c>
      <c r="DA42" s="171" t="s">
        <v>1124</v>
      </c>
    </row>
    <row r="43" spans="1:105" ht="11.45" customHeight="1" x14ac:dyDescent="0.25">
      <c r="A43" s="85" t="s">
        <v>93</v>
      </c>
      <c r="B43" s="88">
        <f>IF(B19=0,0,B19/TrRail_act!B12*1000)</f>
        <v>2.242146341437707</v>
      </c>
      <c r="C43" s="88">
        <f>IF(C19=0,0,C19/TrRail_act!C12*1000)</f>
        <v>2.1487515805490052</v>
      </c>
      <c r="D43" s="88">
        <f>IF(D19=0,0,D19/TrRail_act!D12*1000)</f>
        <v>4.3229881772480807</v>
      </c>
      <c r="E43" s="88">
        <f>IF(E19=0,0,E19/TrRail_act!E12*1000)</f>
        <v>4.1172623413897691</v>
      </c>
      <c r="F43" s="88">
        <f>IF(F19=0,0,F19/TrRail_act!F12*1000)</f>
        <v>3.9906813891096355</v>
      </c>
      <c r="G43" s="88">
        <f>IF(G19=0,0,G19/TrRail_act!G12*1000)</f>
        <v>2.5398824298710405</v>
      </c>
      <c r="H43" s="88">
        <f>IF(H19=0,0,H19/TrRail_act!H12*1000)</f>
        <v>2.2232897998635477</v>
      </c>
      <c r="I43" s="88">
        <f>IF(I19=0,0,I19/TrRail_act!I12*1000)</f>
        <v>3.2674542104868047</v>
      </c>
      <c r="J43" s="88">
        <f>IF(J19=0,0,J19/TrRail_act!J12*1000)</f>
        <v>2.7569050972036995</v>
      </c>
      <c r="K43" s="88">
        <f>IF(K19=0,0,K19/TrRail_act!K12*1000)</f>
        <v>2.7745782858134271</v>
      </c>
      <c r="L43" s="88">
        <f>IF(L19=0,0,L19/TrRail_act!L12*1000)</f>
        <v>2.9676209246729903</v>
      </c>
      <c r="M43" s="88">
        <f>IF(M19=0,0,M19/TrRail_act!M12*1000)</f>
        <v>3.512767056862709</v>
      </c>
      <c r="N43" s="88">
        <f>IF(N19=0,0,N19/TrRail_act!N12*1000)</f>
        <v>3.5066753378199462</v>
      </c>
      <c r="O43" s="88">
        <f>IF(O19=0,0,O19/TrRail_act!O12*1000)</f>
        <v>3.3416299179382127</v>
      </c>
      <c r="P43" s="88">
        <f>IF(P19=0,0,P19/TrRail_act!P12*1000)</f>
        <v>2.8025231031398117</v>
      </c>
      <c r="Q43" s="88">
        <f>IF(Q19=0,0,Q19/TrRail_act!Q12*1000)</f>
        <v>2.9219128275885975</v>
      </c>
      <c r="R43" s="88">
        <f>IF(R19=0,0,R19/TrRail_act!R12*1000)</f>
        <v>2.8023241443665627</v>
      </c>
      <c r="S43" s="88">
        <f>IF(S19=0,0,S19/TrRail_act!S12*1000)</f>
        <v>2.8179690158329267</v>
      </c>
      <c r="T43" s="88">
        <f>IF(T19=0,0,T19/TrRail_act!T12*1000)</f>
        <v>2.9116684454635133</v>
      </c>
      <c r="U43" s="88">
        <f>IF(U19=0,0,U19/TrRail_act!U12*1000)</f>
        <v>2.9860173373757255</v>
      </c>
      <c r="V43" s="88">
        <f>IF(V19=0,0,V19/TrRail_act!V12*1000)</f>
        <v>3.2140290204018345</v>
      </c>
      <c r="W43" s="88">
        <f>IF(W19=0,0,W19/TrRail_act!W12*1000)</f>
        <v>3.5250479812217037</v>
      </c>
      <c r="X43" s="88">
        <f>IF(X19=0,0,X19/TrRail_act!X12*1000)</f>
        <v>2.7751162656058037</v>
      </c>
      <c r="Y43" s="88">
        <f>IF(Y19=0,0,Y19/TrRail_act!Y12*1000)</f>
        <v>1.3281035375774686</v>
      </c>
      <c r="DA43" s="178" t="s">
        <v>1125</v>
      </c>
    </row>
    <row r="44" spans="1:105" x14ac:dyDescent="0.2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DA44" s="171"/>
    </row>
    <row r="45" spans="1:105" ht="11.45" customHeight="1" x14ac:dyDescent="0.25">
      <c r="A45" s="53" t="s">
        <v>96</v>
      </c>
      <c r="B45" s="54">
        <f>IF(B10=0,0,1000000*B10/TrRail_act!B25)</f>
        <v>308287.00154108624</v>
      </c>
      <c r="C45" s="54">
        <f>IF(C10=0,0,1000000*C10/TrRail_act!C25)</f>
        <v>189405.22002180151</v>
      </c>
      <c r="D45" s="54">
        <f>IF(D10=0,0,1000000*D10/TrRail_act!D25)</f>
        <v>243990.69550832975</v>
      </c>
      <c r="E45" s="54">
        <f>IF(E10=0,0,1000000*E10/TrRail_act!E25)</f>
        <v>231593.15235145277</v>
      </c>
      <c r="F45" s="54">
        <f>IF(F10=0,0,1000000*F10/TrRail_act!F25)</f>
        <v>227938.14894941432</v>
      </c>
      <c r="G45" s="54">
        <f>IF(G10=0,0,1000000*G10/TrRail_act!G25)</f>
        <v>125434.4356793496</v>
      </c>
      <c r="H45" s="54">
        <f>IF(H10=0,0,1000000*H10/TrRail_act!H25)</f>
        <v>117518.07124067427</v>
      </c>
      <c r="I45" s="54">
        <f>IF(I10=0,0,1000000*I10/TrRail_act!I25)</f>
        <v>193678.27095002617</v>
      </c>
      <c r="J45" s="54">
        <f>IF(J10=0,0,1000000*J10/TrRail_act!J25)</f>
        <v>179527.17888043294</v>
      </c>
      <c r="K45" s="54">
        <f>IF(K10=0,0,1000000*K10/TrRail_act!K25)</f>
        <v>148077.20323220955</v>
      </c>
      <c r="L45" s="54">
        <f>IF(L10=0,0,1000000*L10/TrRail_act!L25)</f>
        <v>160327.40494477749</v>
      </c>
      <c r="M45" s="54">
        <f>IF(M10=0,0,1000000*M10/TrRail_act!M25)</f>
        <v>190274.31737546853</v>
      </c>
      <c r="N45" s="54">
        <f>IF(N10=0,0,1000000*N10/TrRail_act!N25)</f>
        <v>180116.44200336852</v>
      </c>
      <c r="O45" s="54">
        <f>IF(O10=0,0,1000000*O10/TrRail_act!O25)</f>
        <v>165689.44988032043</v>
      </c>
      <c r="P45" s="54">
        <f>IF(P10=0,0,1000000*P10/TrRail_act!P25)</f>
        <v>132041.74171372224</v>
      </c>
      <c r="Q45" s="54">
        <f>IF(Q10=0,0,1000000*Q10/TrRail_act!Q25)</f>
        <v>138195.0653743335</v>
      </c>
      <c r="R45" s="54">
        <f>IF(R10=0,0,1000000*R10/TrRail_act!R25)</f>
        <v>145316.37391777194</v>
      </c>
      <c r="S45" s="54">
        <f>IF(S10=0,0,1000000*S10/TrRail_act!S25)</f>
        <v>155497.28632858398</v>
      </c>
      <c r="T45" s="54">
        <f>IF(T10=0,0,1000000*T10/TrRail_act!T25)</f>
        <v>149395.11389835732</v>
      </c>
      <c r="U45" s="54">
        <f>IF(U10=0,0,1000000*U10/TrRail_act!U25)</f>
        <v>177747.56689225213</v>
      </c>
      <c r="V45" s="54">
        <f>IF(V10=0,0,1000000*V10/TrRail_act!V25)</f>
        <v>175817.60904410901</v>
      </c>
      <c r="W45" s="54">
        <f>IF(W10=0,0,1000000*W10/TrRail_act!W25)</f>
        <v>193969.02430876112</v>
      </c>
      <c r="X45" s="54">
        <f>IF(X10=0,0,1000000*X10/TrRail_act!X25)</f>
        <v>152291.21013503621</v>
      </c>
      <c r="Y45" s="54">
        <f>IF(Y10=0,0,1000000*Y10/TrRail_act!Y25)</f>
        <v>134431.99432727002</v>
      </c>
      <c r="DA45" s="172" t="s">
        <v>1126</v>
      </c>
    </row>
    <row r="46" spans="1:105" ht="11.45" customHeight="1" x14ac:dyDescent="0.25">
      <c r="A46" s="27" t="s">
        <v>33</v>
      </c>
      <c r="B46" s="28">
        <f>IF(B11=0,0,1000000*B11/TrRail_act!B26)</f>
        <v>246217.52476080449</v>
      </c>
      <c r="C46" s="28">
        <f>IF(C11=0,0,1000000*C11/TrRail_act!C26)</f>
        <v>140122.86566405857</v>
      </c>
      <c r="D46" s="28">
        <f>IF(D11=0,0,1000000*D11/TrRail_act!D26)</f>
        <v>181552.21621192712</v>
      </c>
      <c r="E46" s="28">
        <f>IF(E11=0,0,1000000*E11/TrRail_act!E26)</f>
        <v>186449.0402086484</v>
      </c>
      <c r="F46" s="28">
        <f>IF(F11=0,0,1000000*F11/TrRail_act!F26)</f>
        <v>175320.86193114019</v>
      </c>
      <c r="G46" s="28">
        <f>IF(G11=0,0,1000000*G11/TrRail_act!G26)</f>
        <v>88597.691254487203</v>
      </c>
      <c r="H46" s="28">
        <f>IF(H11=0,0,1000000*H11/TrRail_act!H26)</f>
        <v>82199.920358104486</v>
      </c>
      <c r="I46" s="28">
        <f>IF(I11=0,0,1000000*I11/TrRail_act!I26)</f>
        <v>145323.25075506634</v>
      </c>
      <c r="J46" s="28">
        <f>IF(J11=0,0,1000000*J11/TrRail_act!J26)</f>
        <v>137582.90229326734</v>
      </c>
      <c r="K46" s="28">
        <f>IF(K11=0,0,1000000*K11/TrRail_act!K26)</f>
        <v>121703.77165436688</v>
      </c>
      <c r="L46" s="28">
        <f>IF(L11=0,0,1000000*L11/TrRail_act!L26)</f>
        <v>127966.42089436953</v>
      </c>
      <c r="M46" s="28">
        <f>IF(M11=0,0,1000000*M11/TrRail_act!M26)</f>
        <v>147898.85388736162</v>
      </c>
      <c r="N46" s="28">
        <f>IF(N11=0,0,1000000*N11/TrRail_act!N26)</f>
        <v>143610.92051872081</v>
      </c>
      <c r="O46" s="28">
        <f>IF(O11=0,0,1000000*O11/TrRail_act!O26)</f>
        <v>130700.8678904769</v>
      </c>
      <c r="P46" s="28">
        <f>IF(P11=0,0,1000000*P11/TrRail_act!P26)</f>
        <v>106419.43301443671</v>
      </c>
      <c r="Q46" s="28">
        <f>IF(Q11=0,0,1000000*Q11/TrRail_act!Q26)</f>
        <v>101941.15332918162</v>
      </c>
      <c r="R46" s="28">
        <f>IF(R11=0,0,1000000*R11/TrRail_act!R26)</f>
        <v>107694.27482503108</v>
      </c>
      <c r="S46" s="28">
        <f>IF(S11=0,0,1000000*S11/TrRail_act!S26)</f>
        <v>120528.3974412742</v>
      </c>
      <c r="T46" s="28">
        <f>IF(T11=0,0,1000000*T11/TrRail_act!T26)</f>
        <v>112195.50850915797</v>
      </c>
      <c r="U46" s="28">
        <f>IF(U11=0,0,1000000*U11/TrRail_act!U26)</f>
        <v>138259.918129634</v>
      </c>
      <c r="V46" s="28">
        <f>IF(V11=0,0,1000000*V11/TrRail_act!V26)</f>
        <v>141595.49600296427</v>
      </c>
      <c r="W46" s="28">
        <f>IF(W11=0,0,1000000*W11/TrRail_act!W26)</f>
        <v>142157.24641125268</v>
      </c>
      <c r="X46" s="28">
        <f>IF(X11=0,0,1000000*X11/TrRail_act!X26)</f>
        <v>102905.66952028658</v>
      </c>
      <c r="Y46" s="28">
        <f>IF(Y11=0,0,1000000*Y11/TrRail_act!Y26)</f>
        <v>108719.60035276589</v>
      </c>
      <c r="DA46" s="173" t="s">
        <v>1127</v>
      </c>
    </row>
    <row r="47" spans="1:105" ht="11.45" customHeight="1" x14ac:dyDescent="0.25">
      <c r="A47" s="107" t="s">
        <v>23</v>
      </c>
      <c r="B47" s="108">
        <f>IF(B12=0,0,1000000*B12/TrRail_act!B27)</f>
        <v>48805.301688430176</v>
      </c>
      <c r="C47" s="108">
        <f>IF(C12=0,0,1000000*C12/TrRail_act!C27)</f>
        <v>47810.321863074183</v>
      </c>
      <c r="D47" s="108">
        <f>IF(D12=0,0,1000000*D12/TrRail_act!D27)</f>
        <v>47174.599334536651</v>
      </c>
      <c r="E47" s="108">
        <f>IF(E12=0,0,1000000*E12/TrRail_act!E27)</f>
        <v>46246.932078921724</v>
      </c>
      <c r="F47" s="108">
        <f>IF(F12=0,0,1000000*F12/TrRail_act!F27)</f>
        <v>45251.597352968398</v>
      </c>
      <c r="G47" s="108">
        <f>IF(G12=0,0,1000000*G12/TrRail_act!G27)</f>
        <v>44058.209037524233</v>
      </c>
      <c r="H47" s="108">
        <f>IF(H12=0,0,1000000*H12/TrRail_act!H27)</f>
        <v>44142.838312494881</v>
      </c>
      <c r="I47" s="108">
        <f>IF(I12=0,0,1000000*I12/TrRail_act!I27)</f>
        <v>43242.226096124228</v>
      </c>
      <c r="J47" s="108">
        <f>IF(J12=0,0,1000000*J12/TrRail_act!J27)</f>
        <v>42430.764720684812</v>
      </c>
      <c r="K47" s="108">
        <f>IF(K12=0,0,1000000*K12/TrRail_act!K27)</f>
        <v>41763.513248647781</v>
      </c>
      <c r="L47" s="108">
        <f>IF(L12=0,0,1000000*L12/TrRail_act!L27)</f>
        <v>41329.705379857383</v>
      </c>
      <c r="M47" s="108">
        <f>IF(M12=0,0,1000000*M12/TrRail_act!M27)</f>
        <v>40688.855470455535</v>
      </c>
      <c r="N47" s="108">
        <f>IF(N12=0,0,1000000*N12/TrRail_act!N27)</f>
        <v>40370.850465014599</v>
      </c>
      <c r="O47" s="108">
        <f>IF(O12=0,0,1000000*O12/TrRail_act!O27)</f>
        <v>39652.227980767995</v>
      </c>
      <c r="P47" s="108">
        <f>IF(P12=0,0,1000000*P12/TrRail_act!P27)</f>
        <v>39501.79671190973</v>
      </c>
      <c r="Q47" s="108">
        <f>IF(Q12=0,0,1000000*Q12/TrRail_act!Q27)</f>
        <v>25384.51132188112</v>
      </c>
      <c r="R47" s="108">
        <f>IF(R12=0,0,1000000*R12/TrRail_act!R27)</f>
        <v>28339.920549324019</v>
      </c>
      <c r="S47" s="108">
        <f>IF(S12=0,0,1000000*S12/TrRail_act!S27)</f>
        <v>29934.18268178582</v>
      </c>
      <c r="T47" s="108">
        <f>IF(T12=0,0,1000000*T12/TrRail_act!T27)</f>
        <v>31498.760211554152</v>
      </c>
      <c r="U47" s="108">
        <f>IF(U12=0,0,1000000*U12/TrRail_act!U27)</f>
        <v>33556.997567108891</v>
      </c>
      <c r="V47" s="108">
        <f>IF(V12=0,0,1000000*V12/TrRail_act!V27)</f>
        <v>37019.191710093066</v>
      </c>
      <c r="W47" s="108">
        <f>IF(W12=0,0,1000000*W12/TrRail_act!W27)</f>
        <v>36889.354490283673</v>
      </c>
      <c r="X47" s="108">
        <f>IF(X12=0,0,1000000*X12/TrRail_act!X27)</f>
        <v>36792.275917817919</v>
      </c>
      <c r="Y47" s="108">
        <f>IF(Y12=0,0,1000000*Y12/TrRail_act!Y27)</f>
        <v>31515.195654656331</v>
      </c>
      <c r="DA47" s="203" t="s">
        <v>1128</v>
      </c>
    </row>
    <row r="48" spans="1:105" ht="11.45" customHeight="1" x14ac:dyDescent="0.25">
      <c r="A48" s="109" t="s">
        <v>24</v>
      </c>
      <c r="B48" s="110">
        <f>IF(B13=0,0,1000000*B13/TrRail_act!B28)</f>
        <v>543273.90626743017</v>
      </c>
      <c r="C48" s="110">
        <f>IF(C13=0,0,1000000*C13/TrRail_act!C28)</f>
        <v>285854.32462547126</v>
      </c>
      <c r="D48" s="110">
        <f>IF(D13=0,0,1000000*D13/TrRail_act!D28)</f>
        <v>353969.70845363144</v>
      </c>
      <c r="E48" s="110">
        <f>IF(E13=0,0,1000000*E13/TrRail_act!E28)</f>
        <v>375806.60637726862</v>
      </c>
      <c r="F48" s="110">
        <f>IF(F13=0,0,1000000*F13/TrRail_act!F28)</f>
        <v>357464.0938879787</v>
      </c>
      <c r="G48" s="110">
        <f>IF(G13=0,0,1000000*G13/TrRail_act!G28)</f>
        <v>162372.75033882787</v>
      </c>
      <c r="H48" s="110">
        <f>IF(H13=0,0,1000000*H13/TrRail_act!H28)</f>
        <v>154943.69251922859</v>
      </c>
      <c r="I48" s="110">
        <f>IF(I13=0,0,1000000*I13/TrRail_act!I28)</f>
        <v>312701.80670049804</v>
      </c>
      <c r="J48" s="110">
        <f>IF(J13=0,0,1000000*J13/TrRail_act!J28)</f>
        <v>305175.66287491244</v>
      </c>
      <c r="K48" s="110">
        <f>IF(K13=0,0,1000000*K13/TrRail_act!K28)</f>
        <v>284419.90940131998</v>
      </c>
      <c r="L48" s="110">
        <f>IF(L13=0,0,1000000*L13/TrRail_act!L28)</f>
        <v>301059.96584676293</v>
      </c>
      <c r="M48" s="110">
        <f>IF(M13=0,0,1000000*M13/TrRail_act!M28)</f>
        <v>334068.72582241654</v>
      </c>
      <c r="N48" s="110">
        <f>IF(N13=0,0,1000000*N13/TrRail_act!N28)</f>
        <v>343851.91402809724</v>
      </c>
      <c r="O48" s="110">
        <f>IF(O13=0,0,1000000*O13/TrRail_act!O28)</f>
        <v>325925.19603314175</v>
      </c>
      <c r="P48" s="110">
        <f>IF(P13=0,0,1000000*P13/TrRail_act!P28)</f>
        <v>262953.65691566182</v>
      </c>
      <c r="Q48" s="110">
        <f>IF(Q13=0,0,1000000*Q13/TrRail_act!Q28)</f>
        <v>256749.98492903222</v>
      </c>
      <c r="R48" s="110">
        <f>IF(R13=0,0,1000000*R13/TrRail_act!R28)</f>
        <v>272577.33061218384</v>
      </c>
      <c r="S48" s="110">
        <f>IF(S13=0,0,1000000*S13/TrRail_act!S28)</f>
        <v>280281.30857476132</v>
      </c>
      <c r="T48" s="110">
        <f>IF(T13=0,0,1000000*T13/TrRail_act!T28)</f>
        <v>256788.9156906128</v>
      </c>
      <c r="U48" s="110">
        <f>IF(U13=0,0,1000000*U13/TrRail_act!U28)</f>
        <v>283577.61322107457</v>
      </c>
      <c r="V48" s="110">
        <f>IF(V13=0,0,1000000*V13/TrRail_act!V28)</f>
        <v>279333.30390853365</v>
      </c>
      <c r="W48" s="110">
        <f>IF(W13=0,0,1000000*W13/TrRail_act!W28)</f>
        <v>274603.29361514974</v>
      </c>
      <c r="X48" s="110">
        <f>IF(X13=0,0,1000000*X13/TrRail_act!X28)</f>
        <v>212021.85571308321</v>
      </c>
      <c r="Y48" s="110">
        <f>IF(Y13=0,0,1000000*Y13/TrRail_act!Y28)</f>
        <v>225984.74838533529</v>
      </c>
      <c r="DA48" s="176" t="s">
        <v>1129</v>
      </c>
    </row>
    <row r="49" spans="1:105" ht="11.45" customHeight="1" x14ac:dyDescent="0.25">
      <c r="A49" s="111" t="s">
        <v>92</v>
      </c>
      <c r="B49" s="84">
        <f>IF(B14=0,0,1000000*B14/TrRail_act!B29)</f>
        <v>593740.30820946174</v>
      </c>
      <c r="C49" s="84">
        <f>IF(C14=0,0,1000000*C14/TrRail_act!C29)</f>
        <v>301018.07139332558</v>
      </c>
      <c r="D49" s="84">
        <f>IF(D14=0,0,1000000*D14/TrRail_act!D29)</f>
        <v>451828.99734884151</v>
      </c>
      <c r="E49" s="84">
        <f>IF(E14=0,0,1000000*E14/TrRail_act!E29)</f>
        <v>530864.8067403211</v>
      </c>
      <c r="F49" s="84">
        <f>IF(F14=0,0,1000000*F14/TrRail_act!F29)</f>
        <v>540606.85246458696</v>
      </c>
      <c r="G49" s="84">
        <f>IF(G14=0,0,1000000*G14/TrRail_act!G29)</f>
        <v>204116.61122597184</v>
      </c>
      <c r="H49" s="84">
        <f>IF(H14=0,0,1000000*H14/TrRail_act!H29)</f>
        <v>224038.78462662396</v>
      </c>
      <c r="I49" s="84">
        <f>IF(I14=0,0,1000000*I14/TrRail_act!I29)</f>
        <v>452542.13826956996</v>
      </c>
      <c r="J49" s="84">
        <f>IF(J14=0,0,1000000*J14/TrRail_act!J29)</f>
        <v>448608.83539903606</v>
      </c>
      <c r="K49" s="84">
        <f>IF(K14=0,0,1000000*K14/TrRail_act!K29)</f>
        <v>414823.14690576051</v>
      </c>
      <c r="L49" s="84">
        <f>IF(L14=0,0,1000000*L14/TrRail_act!L29)</f>
        <v>420868.80848422158</v>
      </c>
      <c r="M49" s="84">
        <f>IF(M14=0,0,1000000*M14/TrRail_act!M29)</f>
        <v>422838.73569955764</v>
      </c>
      <c r="N49" s="84">
        <f>IF(N14=0,0,1000000*N14/TrRail_act!N29)</f>
        <v>421624.80043793685</v>
      </c>
      <c r="O49" s="84">
        <f>IF(O14=0,0,1000000*O14/TrRail_act!O29)</f>
        <v>412895.70066595904</v>
      </c>
      <c r="P49" s="84">
        <f>IF(P14=0,0,1000000*P14/TrRail_act!P29)</f>
        <v>320438.15610974911</v>
      </c>
      <c r="Q49" s="84">
        <f>IF(Q14=0,0,1000000*Q14/TrRail_act!Q29)</f>
        <v>339598.45868743013</v>
      </c>
      <c r="R49" s="84">
        <f>IF(R14=0,0,1000000*R14/TrRail_act!R29)</f>
        <v>392597.73525408423</v>
      </c>
      <c r="S49" s="84">
        <f>IF(S14=0,0,1000000*S14/TrRail_act!S29)</f>
        <v>397146.22824916954</v>
      </c>
      <c r="T49" s="84">
        <f>IF(T14=0,0,1000000*T14/TrRail_act!T29)</f>
        <v>367133.73386348668</v>
      </c>
      <c r="U49" s="84">
        <f>IF(U14=0,0,1000000*U14/TrRail_act!U29)</f>
        <v>394932.63516608172</v>
      </c>
      <c r="V49" s="84">
        <f>IF(V14=0,0,1000000*V14/TrRail_act!V29)</f>
        <v>394223.74822444742</v>
      </c>
      <c r="W49" s="84">
        <f>IF(W14=0,0,1000000*W14/TrRail_act!W29)</f>
        <v>393692.91547760431</v>
      </c>
      <c r="X49" s="84">
        <f>IF(X14=0,0,1000000*X14/TrRail_act!X29)</f>
        <v>307913.83128302533</v>
      </c>
      <c r="Y49" s="84">
        <f>IF(Y14=0,0,1000000*Y14/TrRail_act!Y29)</f>
        <v>392997.28521292174</v>
      </c>
      <c r="DA49" s="171" t="s">
        <v>1130</v>
      </c>
    </row>
    <row r="50" spans="1:105" ht="11.45" customHeight="1" x14ac:dyDescent="0.25">
      <c r="A50" s="111" t="s">
        <v>93</v>
      </c>
      <c r="B50" s="84">
        <f>IF(B15=0,0,1000000*B15/TrRail_act!B30)</f>
        <v>218112.57013041689</v>
      </c>
      <c r="C50" s="84">
        <f>IF(C15=0,0,1000000*C15/TrRail_act!C30)</f>
        <v>217994.34684352367</v>
      </c>
      <c r="D50" s="84">
        <f>IF(D15=0,0,1000000*D15/TrRail_act!D30)</f>
        <v>212855.68325850472</v>
      </c>
      <c r="E50" s="84">
        <f>IF(E15=0,0,1000000*E15/TrRail_act!E30)</f>
        <v>174529.76355543511</v>
      </c>
      <c r="F50" s="84">
        <f>IF(F15=0,0,1000000*F15/TrRail_act!F30)</f>
        <v>92644.338055137821</v>
      </c>
      <c r="G50" s="84">
        <f>IF(G15=0,0,1000000*G15/TrRail_act!G30)</f>
        <v>108382.59187157864</v>
      </c>
      <c r="H50" s="84">
        <f>IF(H15=0,0,1000000*H15/TrRail_act!H30)</f>
        <v>76787.033875635578</v>
      </c>
      <c r="I50" s="84">
        <f>IF(I15=0,0,1000000*I15/TrRail_act!I30)</f>
        <v>80423.950380840324</v>
      </c>
      <c r="J50" s="84">
        <f>IF(J15=0,0,1000000*J15/TrRail_act!J30)</f>
        <v>68533.574444430298</v>
      </c>
      <c r="K50" s="84">
        <f>IF(K15=0,0,1000000*K15/TrRail_act!K30)</f>
        <v>91019.947860785396</v>
      </c>
      <c r="L50" s="84">
        <f>IF(L15=0,0,1000000*L15/TrRail_act!L30)</f>
        <v>98505.933538244004</v>
      </c>
      <c r="M50" s="84">
        <f>IF(M15=0,0,1000000*M15/TrRail_act!M30)</f>
        <v>131811.56682866986</v>
      </c>
      <c r="N50" s="84">
        <f>IF(N15=0,0,1000000*N15/TrRail_act!N30)</f>
        <v>179232.76221774938</v>
      </c>
      <c r="O50" s="84">
        <f>IF(O15=0,0,1000000*O15/TrRail_act!O30)</f>
        <v>154913.62089634794</v>
      </c>
      <c r="P50" s="84">
        <f>IF(P15=0,0,1000000*P15/TrRail_act!P30)</f>
        <v>160030.45404459108</v>
      </c>
      <c r="Q50" s="84">
        <f>IF(Q15=0,0,1000000*Q15/TrRail_act!Q30)</f>
        <v>170285.80780195983</v>
      </c>
      <c r="R50" s="84">
        <f>IF(R15=0,0,1000000*R15/TrRail_act!R30)</f>
        <v>165074.73297199179</v>
      </c>
      <c r="S50" s="84">
        <f>IF(S15=0,0,1000000*S15/TrRail_act!S30)</f>
        <v>168298.58164030715</v>
      </c>
      <c r="T50" s="84">
        <f>IF(T15=0,0,1000000*T15/TrRail_act!T30)</f>
        <v>167241.2896578635</v>
      </c>
      <c r="U50" s="84">
        <f>IF(U15=0,0,1000000*U15/TrRail_act!U30)</f>
        <v>167190.97547218695</v>
      </c>
      <c r="V50" s="84">
        <f>IF(V15=0,0,1000000*V15/TrRail_act!V30)</f>
        <v>165372.68298083066</v>
      </c>
      <c r="W50" s="84">
        <f>IF(W15=0,0,1000000*W15/TrRail_act!W30)</f>
        <v>166571.1529257865</v>
      </c>
      <c r="X50" s="84">
        <f>IF(X15=0,0,1000000*X15/TrRail_act!X30)</f>
        <v>138497.06025226205</v>
      </c>
      <c r="Y50" s="84">
        <f>IF(Y15=0,0,1000000*Y15/TrRail_act!Y30)</f>
        <v>96076.713679548368</v>
      </c>
      <c r="DA50" s="171" t="s">
        <v>1131</v>
      </c>
    </row>
    <row r="51" spans="1:105" ht="11.45" customHeight="1" x14ac:dyDescent="0.25">
      <c r="A51" s="112" t="s">
        <v>25</v>
      </c>
      <c r="B51" s="113">
        <f>IF(B16=0,0,1000000*B16/TrRail_act!B31)</f>
        <v>0</v>
      </c>
      <c r="C51" s="113">
        <f>IF(C16=0,0,1000000*C16/TrRail_act!C31)</f>
        <v>0</v>
      </c>
      <c r="D51" s="113">
        <f>IF(D16=0,0,1000000*D16/TrRail_act!D31)</f>
        <v>0</v>
      </c>
      <c r="E51" s="113">
        <f>IF(E16=0,0,1000000*E16/TrRail_act!E31)</f>
        <v>0</v>
      </c>
      <c r="F51" s="113">
        <f>IF(F16=0,0,1000000*F16/TrRail_act!F31)</f>
        <v>0</v>
      </c>
      <c r="G51" s="113">
        <f>IF(G16=0,0,1000000*G16/TrRail_act!G31)</f>
        <v>0</v>
      </c>
      <c r="H51" s="113">
        <f>IF(H16=0,0,1000000*H16/TrRail_act!H31)</f>
        <v>0</v>
      </c>
      <c r="I51" s="113">
        <f>IF(I16=0,0,1000000*I16/TrRail_act!I31)</f>
        <v>0</v>
      </c>
      <c r="J51" s="113">
        <f>IF(J16=0,0,1000000*J16/TrRail_act!J31)</f>
        <v>0</v>
      </c>
      <c r="K51" s="113">
        <f>IF(K16=0,0,1000000*K16/TrRail_act!K31)</f>
        <v>0</v>
      </c>
      <c r="L51" s="113">
        <f>IF(L16=0,0,1000000*L16/TrRail_act!L31)</f>
        <v>0</v>
      </c>
      <c r="M51" s="113">
        <f>IF(M16=0,0,1000000*M16/TrRail_act!M31)</f>
        <v>0</v>
      </c>
      <c r="N51" s="113">
        <f>IF(N16=0,0,1000000*N16/TrRail_act!N31)</f>
        <v>0</v>
      </c>
      <c r="O51" s="113">
        <f>IF(O16=0,0,1000000*O16/TrRail_act!O31)</f>
        <v>0</v>
      </c>
      <c r="P51" s="113">
        <f>IF(P16=0,0,1000000*P16/TrRail_act!P31)</f>
        <v>0</v>
      </c>
      <c r="Q51" s="113">
        <f>IF(Q16=0,0,1000000*Q16/TrRail_act!Q31)</f>
        <v>0</v>
      </c>
      <c r="R51" s="113">
        <f>IF(R16=0,0,1000000*R16/TrRail_act!R31)</f>
        <v>0</v>
      </c>
      <c r="S51" s="113">
        <f>IF(S16=0,0,1000000*S16/TrRail_act!S31)</f>
        <v>0</v>
      </c>
      <c r="T51" s="113">
        <f>IF(T16=0,0,1000000*T16/TrRail_act!T31)</f>
        <v>0</v>
      </c>
      <c r="U51" s="113">
        <f>IF(U16=0,0,1000000*U16/TrRail_act!U31)</f>
        <v>0</v>
      </c>
      <c r="V51" s="113">
        <f>IF(V16=0,0,1000000*V16/TrRail_act!V31)</f>
        <v>0</v>
      </c>
      <c r="W51" s="113">
        <f>IF(W16=0,0,1000000*W16/TrRail_act!W31)</f>
        <v>0</v>
      </c>
      <c r="X51" s="113">
        <f>IF(X16=0,0,1000000*X16/TrRail_act!X31)</f>
        <v>0</v>
      </c>
      <c r="Y51" s="113">
        <f>IF(Y16=0,0,1000000*Y16/TrRail_act!Y31)</f>
        <v>0</v>
      </c>
      <c r="DA51" s="204" t="s">
        <v>1132</v>
      </c>
    </row>
    <row r="52" spans="1:105" ht="11.45" customHeight="1" x14ac:dyDescent="0.25">
      <c r="A52" s="27" t="s">
        <v>34</v>
      </c>
      <c r="B52" s="28">
        <f>IF(B17=0,0,1000000*B17/TrRail_act!B32)</f>
        <v>918589.94002867118</v>
      </c>
      <c r="C52" s="28">
        <f>IF(C17=0,0,1000000*C17/TrRail_act!C32)</f>
        <v>650825.82303298532</v>
      </c>
      <c r="D52" s="28">
        <f>IF(D17=0,0,1000000*D17/TrRail_act!D32)</f>
        <v>708261.70095330058</v>
      </c>
      <c r="E52" s="28">
        <f>IF(E17=0,0,1000000*E17/TrRail_act!E32)</f>
        <v>541135.13077602733</v>
      </c>
      <c r="F52" s="28">
        <f>IF(F17=0,0,1000000*F17/TrRail_act!F32)</f>
        <v>610417.35933643172</v>
      </c>
      <c r="G52" s="28">
        <f>IF(G17=0,0,1000000*G17/TrRail_act!G32)</f>
        <v>415201.77836858673</v>
      </c>
      <c r="H52" s="28">
        <f>IF(H17=0,0,1000000*H17/TrRail_act!H32)</f>
        <v>414000.79817236314</v>
      </c>
      <c r="I52" s="28">
        <f>IF(I17=0,0,1000000*I17/TrRail_act!I32)</f>
        <v>601126.6684744159</v>
      </c>
      <c r="J52" s="28">
        <f>IF(J17=0,0,1000000*J17/TrRail_act!J32)</f>
        <v>560114.98805954459</v>
      </c>
      <c r="K52" s="28">
        <f>IF(K17=0,0,1000000*K17/TrRail_act!K32)</f>
        <v>406745.18562454724</v>
      </c>
      <c r="L52" s="28">
        <f>IF(L17=0,0,1000000*L17/TrRail_act!L32)</f>
        <v>515270.21576913347</v>
      </c>
      <c r="M52" s="28">
        <f>IF(M17=0,0,1000000*M17/TrRail_act!M32)</f>
        <v>573821.27066686202</v>
      </c>
      <c r="N52" s="28">
        <f>IF(N17=0,0,1000000*N17/TrRail_act!N32)</f>
        <v>548812.39622654032</v>
      </c>
      <c r="O52" s="28">
        <f>IF(O17=0,0,1000000*O17/TrRail_act!O32)</f>
        <v>530951.14978100441</v>
      </c>
      <c r="P52" s="28">
        <f>IF(P17=0,0,1000000*P17/TrRail_act!P32)</f>
        <v>411599.48462973029</v>
      </c>
      <c r="Q52" s="28">
        <f>IF(Q17=0,0,1000000*Q17/TrRail_act!Q32)</f>
        <v>495756.00098070619</v>
      </c>
      <c r="R52" s="28">
        <f>IF(R17=0,0,1000000*R17/TrRail_act!R32)</f>
        <v>497782.54101984826</v>
      </c>
      <c r="S52" s="28">
        <f>IF(S17=0,0,1000000*S17/TrRail_act!S32)</f>
        <v>469780.50479507557</v>
      </c>
      <c r="T52" s="28">
        <f>IF(T17=0,0,1000000*T17/TrRail_act!T32)</f>
        <v>462664.07906006608</v>
      </c>
      <c r="U52" s="28">
        <f>IF(U17=0,0,1000000*U17/TrRail_act!U32)</f>
        <v>493102.94146046491</v>
      </c>
      <c r="V52" s="28">
        <f>IF(V17=0,0,1000000*V17/TrRail_act!V32)</f>
        <v>429172.7747970288</v>
      </c>
      <c r="W52" s="28">
        <f>IF(W17=0,0,1000000*W17/TrRail_act!W32)</f>
        <v>492005.96094824176</v>
      </c>
      <c r="X52" s="28">
        <f>IF(X17=0,0,1000000*X17/TrRail_act!X32)</f>
        <v>460596.31439779466</v>
      </c>
      <c r="Y52" s="28">
        <f>IF(Y17=0,0,1000000*Y17/TrRail_act!Y32)</f>
        <v>294295.96562211786</v>
      </c>
      <c r="DA52" s="173" t="s">
        <v>1133</v>
      </c>
    </row>
    <row r="53" spans="1:105" ht="11.45" customHeight="1" x14ac:dyDescent="0.25">
      <c r="A53" s="83" t="s">
        <v>92</v>
      </c>
      <c r="B53" s="84">
        <f>IF(B18=0,0,1000000*B18/TrRail_act!B33)</f>
        <v>1280040.3971688875</v>
      </c>
      <c r="C53" s="84">
        <f>IF(C18=0,0,1000000*C18/TrRail_act!C33)</f>
        <v>887451.66786264</v>
      </c>
      <c r="D53" s="84">
        <f>IF(D18=0,0,1000000*D18/TrRail_act!D33)</f>
        <v>1249418.9751445253</v>
      </c>
      <c r="E53" s="84">
        <f>IF(E18=0,0,1000000*E18/TrRail_act!E33)</f>
        <v>859361.62260790949</v>
      </c>
      <c r="F53" s="84">
        <f>IF(F18=0,0,1000000*F18/TrRail_act!F33)</f>
        <v>1203646.1143296494</v>
      </c>
      <c r="G53" s="84">
        <f>IF(G18=0,0,1000000*G18/TrRail_act!G33)</f>
        <v>731341.37694530003</v>
      </c>
      <c r="H53" s="84">
        <f>IF(H18=0,0,1000000*H18/TrRail_act!H33)</f>
        <v>928085.63351992331</v>
      </c>
      <c r="I53" s="84">
        <f>IF(I18=0,0,1000000*I18/TrRail_act!I33)</f>
        <v>1171643.0278007041</v>
      </c>
      <c r="J53" s="84">
        <f>IF(J18=0,0,1000000*J18/TrRail_act!J33)</f>
        <v>1152977.0224125276</v>
      </c>
      <c r="K53" s="84">
        <f>IF(K18=0,0,1000000*K18/TrRail_act!K33)</f>
        <v>807247.22500038159</v>
      </c>
      <c r="L53" s="84">
        <f>IF(L18=0,0,1000000*L18/TrRail_act!L33)</f>
        <v>1123307.3136119253</v>
      </c>
      <c r="M53" s="84">
        <f>IF(M18=0,0,1000000*M18/TrRail_act!M33)</f>
        <v>1120602.4204464033</v>
      </c>
      <c r="N53" s="84">
        <f>IF(N18=0,0,1000000*N18/TrRail_act!N33)</f>
        <v>1099013.2907076979</v>
      </c>
      <c r="O53" s="84">
        <f>IF(O18=0,0,1000000*O18/TrRail_act!O33)</f>
        <v>1076674.7686309149</v>
      </c>
      <c r="P53" s="84">
        <f>IF(P18=0,0,1000000*P18/TrRail_act!P33)</f>
        <v>798513.5468480062</v>
      </c>
      <c r="Q53" s="84">
        <f>IF(Q18=0,0,1000000*Q18/TrRail_act!Q33)</f>
        <v>1050619.7145047493</v>
      </c>
      <c r="R53" s="84">
        <f>IF(R18=0,0,1000000*R18/TrRail_act!R33)</f>
        <v>1043003.7318166234</v>
      </c>
      <c r="S53" s="84">
        <f>IF(S18=0,0,1000000*S18/TrRail_act!S33)</f>
        <v>1037327.9732407712</v>
      </c>
      <c r="T53" s="84">
        <f>IF(T18=0,0,1000000*T18/TrRail_act!T33)</f>
        <v>1033091.4410581901</v>
      </c>
      <c r="U53" s="84">
        <f>IF(U18=0,0,1000000*U18/TrRail_act!U33)</f>
        <v>1029925.4133989954</v>
      </c>
      <c r="V53" s="84">
        <f>IF(V18=0,0,1000000*V18/TrRail_act!V33)</f>
        <v>898077.4045620074</v>
      </c>
      <c r="W53" s="84">
        <f>IF(W18=0,0,1000000*W18/TrRail_act!W33)</f>
        <v>1025784.7169883578</v>
      </c>
      <c r="X53" s="84">
        <f>IF(X18=0,0,1000000*X18/TrRail_act!X33)</f>
        <v>1024457.3323344652</v>
      </c>
      <c r="Y53" s="84">
        <f>IF(Y18=0,0,1000000*Y18/TrRail_act!Y33)</f>
        <v>812782.10227117327</v>
      </c>
      <c r="DA53" s="171" t="s">
        <v>1134</v>
      </c>
    </row>
    <row r="54" spans="1:105" ht="11.45" customHeight="1" x14ac:dyDescent="0.25">
      <c r="A54" s="85" t="s">
        <v>93</v>
      </c>
      <c r="B54" s="86">
        <f>IF(B19=0,0,1000000*B19/TrRail_act!B34)</f>
        <v>427577.63206216547</v>
      </c>
      <c r="C54" s="86">
        <f>IF(C19=0,0,1000000*C19/TrRail_act!C34)</f>
        <v>411314.97733482352</v>
      </c>
      <c r="D54" s="86">
        <f>IF(D19=0,0,1000000*D19/TrRail_act!D34)</f>
        <v>404691.60711164738</v>
      </c>
      <c r="E54" s="86">
        <f>IF(E19=0,0,1000000*E19/TrRail_act!E34)</f>
        <v>396837.57087986218</v>
      </c>
      <c r="F54" s="86">
        <f>IF(F19=0,0,1000000*F19/TrRail_act!F34)</f>
        <v>387371.95158247184</v>
      </c>
      <c r="G54" s="86">
        <f>IF(G19=0,0,1000000*G19/TrRail_act!G34)</f>
        <v>309477.06690390495</v>
      </c>
      <c r="H54" s="86">
        <f>IF(H19=0,0,1000000*H19/TrRail_act!H34)</f>
        <v>265332.04302078445</v>
      </c>
      <c r="I54" s="86">
        <f>IF(I19=0,0,1000000*I19/TrRail_act!I34)</f>
        <v>331116.54661788343</v>
      </c>
      <c r="J54" s="86">
        <f>IF(J19=0,0,1000000*J19/TrRail_act!J34)</f>
        <v>295914.02425247681</v>
      </c>
      <c r="K54" s="86">
        <f>IF(K19=0,0,1000000*K19/TrRail_act!K34)</f>
        <v>246882.14890236585</v>
      </c>
      <c r="L54" s="86">
        <f>IF(L19=0,0,1000000*L19/TrRail_act!L34)</f>
        <v>295340.37792568933</v>
      </c>
      <c r="M54" s="86">
        <f>IF(M19=0,0,1000000*M19/TrRail_act!M34)</f>
        <v>332393.86584178061</v>
      </c>
      <c r="N54" s="86">
        <f>IF(N19=0,0,1000000*N19/TrRail_act!N34)</f>
        <v>323821.59628735791</v>
      </c>
      <c r="O54" s="86">
        <f>IF(O19=0,0,1000000*O19/TrRail_act!O34)</f>
        <v>312490.32097123872</v>
      </c>
      <c r="P54" s="86">
        <f>IF(P19=0,0,1000000*P19/TrRail_act!P34)</f>
        <v>275252.73923450237</v>
      </c>
      <c r="Q54" s="86">
        <f>IF(Q19=0,0,1000000*Q19/TrRail_act!Q34)</f>
        <v>297061.54246741562</v>
      </c>
      <c r="R54" s="86">
        <f>IF(R19=0,0,1000000*R19/TrRail_act!R34)</f>
        <v>294335.45436165866</v>
      </c>
      <c r="S54" s="86">
        <f>IF(S19=0,0,1000000*S19/TrRail_act!S34)</f>
        <v>292307.31745651748</v>
      </c>
      <c r="T54" s="86">
        <f>IF(T19=0,0,1000000*T19/TrRail_act!T34)</f>
        <v>290795.39283500117</v>
      </c>
      <c r="U54" s="86">
        <f>IF(U19=0,0,1000000*U19/TrRail_act!U34)</f>
        <v>289666.58389681909</v>
      </c>
      <c r="V54" s="86">
        <f>IF(V19=0,0,1000000*V19/TrRail_act!V34)</f>
        <v>288822.85473827703</v>
      </c>
      <c r="W54" s="86">
        <f>IF(W19=0,0,1000000*W19/TrRail_act!W34)</f>
        <v>288191.66620337521</v>
      </c>
      <c r="X54" s="86">
        <f>IF(X19=0,0,1000000*X19/TrRail_act!X34)</f>
        <v>234144.86219552634</v>
      </c>
      <c r="Y54" s="86">
        <f>IF(Y19=0,0,1000000*Y19/TrRail_act!Y34)</f>
        <v>105717.95366580263</v>
      </c>
      <c r="DA54" s="178" t="s">
        <v>1135</v>
      </c>
    </row>
    <row r="55" spans="1:105" x14ac:dyDescent="0.2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DA55" s="171"/>
    </row>
    <row r="56" spans="1:105" ht="11.45" customHeight="1" x14ac:dyDescent="0.25">
      <c r="A56" s="53" t="s">
        <v>40</v>
      </c>
      <c r="B56" s="65">
        <f t="shared" ref="B56:B65" si="15">IF(B10=0,0,B10/B$10)</f>
        <v>1</v>
      </c>
      <c r="C56" s="65">
        <f t="shared" ref="C56:V56" si="16">IF(C10=0,0,C10/C$10)</f>
        <v>1</v>
      </c>
      <c r="D56" s="65">
        <f t="shared" si="16"/>
        <v>1</v>
      </c>
      <c r="E56" s="65">
        <f t="shared" si="16"/>
        <v>1</v>
      </c>
      <c r="F56" s="65">
        <f t="shared" si="16"/>
        <v>1</v>
      </c>
      <c r="G56" s="65">
        <f t="shared" si="16"/>
        <v>1</v>
      </c>
      <c r="H56" s="65">
        <f t="shared" si="16"/>
        <v>1</v>
      </c>
      <c r="I56" s="65">
        <f t="shared" si="16"/>
        <v>1</v>
      </c>
      <c r="J56" s="65">
        <f t="shared" si="16"/>
        <v>1</v>
      </c>
      <c r="K56" s="65">
        <f t="shared" si="16"/>
        <v>1</v>
      </c>
      <c r="L56" s="65">
        <f t="shared" si="16"/>
        <v>1</v>
      </c>
      <c r="M56" s="65">
        <f t="shared" si="16"/>
        <v>1</v>
      </c>
      <c r="N56" s="65">
        <f t="shared" si="16"/>
        <v>1</v>
      </c>
      <c r="O56" s="65">
        <f t="shared" si="16"/>
        <v>1</v>
      </c>
      <c r="P56" s="65">
        <f t="shared" si="16"/>
        <v>1</v>
      </c>
      <c r="Q56" s="65">
        <f t="shared" si="16"/>
        <v>1</v>
      </c>
      <c r="R56" s="65">
        <f t="shared" si="16"/>
        <v>1</v>
      </c>
      <c r="S56" s="65">
        <f t="shared" si="16"/>
        <v>1</v>
      </c>
      <c r="T56" s="65">
        <f t="shared" si="16"/>
        <v>1</v>
      </c>
      <c r="U56" s="65">
        <f t="shared" si="16"/>
        <v>1</v>
      </c>
      <c r="V56" s="65">
        <f t="shared" si="16"/>
        <v>1</v>
      </c>
      <c r="W56" s="65">
        <f t="shared" ref="W56:Y56" si="17">IF(W10=0,0,W10/W$10)</f>
        <v>1</v>
      </c>
      <c r="X56" s="65">
        <f t="shared" si="17"/>
        <v>1</v>
      </c>
      <c r="Y56" s="65">
        <f t="shared" si="17"/>
        <v>1</v>
      </c>
      <c r="DA56" s="172"/>
    </row>
    <row r="57" spans="1:105" ht="11.45" customHeight="1" x14ac:dyDescent="0.25">
      <c r="A57" s="27" t="s">
        <v>33</v>
      </c>
      <c r="B57" s="31">
        <f t="shared" si="15"/>
        <v>0.72493542133917199</v>
      </c>
      <c r="C57" s="31">
        <f t="shared" ref="C57:V57" si="18">IF(C11=0,0,C11/C$10)</f>
        <v>0.66841421315566252</v>
      </c>
      <c r="D57" s="31">
        <f t="shared" si="18"/>
        <v>0.65588653138423458</v>
      </c>
      <c r="E57" s="31">
        <f t="shared" si="18"/>
        <v>0.70260273247385752</v>
      </c>
      <c r="F57" s="31">
        <f t="shared" si="18"/>
        <v>0.67614342148109774</v>
      </c>
      <c r="G57" s="31">
        <f t="shared" si="18"/>
        <v>0.62666212563411106</v>
      </c>
      <c r="H57" s="31">
        <f t="shared" si="18"/>
        <v>0.62501236243324265</v>
      </c>
      <c r="I57" s="31">
        <f t="shared" si="18"/>
        <v>0.6707323319574352</v>
      </c>
      <c r="J57" s="31">
        <f t="shared" si="18"/>
        <v>0.69028659511162427</v>
      </c>
      <c r="K57" s="31">
        <f t="shared" si="18"/>
        <v>0.74584837201244625</v>
      </c>
      <c r="L57" s="31">
        <f t="shared" si="18"/>
        <v>0.73146725980100968</v>
      </c>
      <c r="M57" s="31">
        <f t="shared" si="18"/>
        <v>0.69995911789462273</v>
      </c>
      <c r="N57" s="31">
        <f t="shared" si="18"/>
        <v>0.72549004954780127</v>
      </c>
      <c r="O57" s="31">
        <f t="shared" si="18"/>
        <v>0.71987336460738882</v>
      </c>
      <c r="P57" s="31">
        <f t="shared" si="18"/>
        <v>0.73828675932819998</v>
      </c>
      <c r="Q57" s="31">
        <f t="shared" si="18"/>
        <v>0.66975349124963413</v>
      </c>
      <c r="R57" s="31">
        <f t="shared" si="18"/>
        <v>0.66962646985788388</v>
      </c>
      <c r="S57" s="31">
        <f t="shared" si="18"/>
        <v>0.69750724749455983</v>
      </c>
      <c r="T57" s="31">
        <f t="shared" si="18"/>
        <v>0.67128566447928151</v>
      </c>
      <c r="U57" s="31">
        <f t="shared" si="18"/>
        <v>0.69128414621728662</v>
      </c>
      <c r="V57" s="31">
        <f t="shared" si="18"/>
        <v>0.70951611390707947</v>
      </c>
      <c r="W57" s="31">
        <f t="shared" ref="W57:Y57" si="19">IF(W11=0,0,W11/W$10)</f>
        <v>0.62434757568571697</v>
      </c>
      <c r="X57" s="31">
        <f t="shared" si="19"/>
        <v>0.58242176774988796</v>
      </c>
      <c r="Y57" s="31">
        <f t="shared" si="19"/>
        <v>0.6966796722183014</v>
      </c>
      <c r="DA57" s="173"/>
    </row>
    <row r="58" spans="1:105" ht="11.45" customHeight="1" x14ac:dyDescent="0.25">
      <c r="A58" s="107" t="s">
        <v>23</v>
      </c>
      <c r="B58" s="123">
        <f t="shared" si="15"/>
        <v>8.6327174311058852E-2</v>
      </c>
      <c r="C58" s="123">
        <f t="shared" ref="C58:V58" si="20">IF(C12=0,0,C12/C$10)</f>
        <v>0.13962217575467276</v>
      </c>
      <c r="D58" s="123">
        <f t="shared" si="20"/>
        <v>9.5778552788028687E-2</v>
      </c>
      <c r="E58" s="123">
        <f t="shared" si="20"/>
        <v>0.10013391772912324</v>
      </c>
      <c r="F58" s="123">
        <f t="shared" si="20"/>
        <v>0.1018126872457949</v>
      </c>
      <c r="G58" s="123">
        <f t="shared" si="20"/>
        <v>0.19431634071782372</v>
      </c>
      <c r="H58" s="123">
        <f t="shared" si="20"/>
        <v>0.22035868611532111</v>
      </c>
      <c r="I58" s="123">
        <f t="shared" si="20"/>
        <v>0.12397335885085042</v>
      </c>
      <c r="J58" s="123">
        <f t="shared" si="20"/>
        <v>0.13578968943384478</v>
      </c>
      <c r="K58" s="123">
        <f t="shared" si="20"/>
        <v>0.17162573812105544</v>
      </c>
      <c r="L58" s="123">
        <f t="shared" si="20"/>
        <v>0.15744160175549046</v>
      </c>
      <c r="M58" s="123">
        <f t="shared" si="20"/>
        <v>0.12219753017689476</v>
      </c>
      <c r="N58" s="123">
        <f t="shared" si="20"/>
        <v>0.13456536284542167</v>
      </c>
      <c r="O58" s="123">
        <f t="shared" si="20"/>
        <v>0.14893570451829771</v>
      </c>
      <c r="P58" s="123">
        <f t="shared" si="20"/>
        <v>0.1919757259501238</v>
      </c>
      <c r="Q58" s="123">
        <f t="shared" si="20"/>
        <v>0.11159158168720631</v>
      </c>
      <c r="R58" s="123">
        <f t="shared" si="20"/>
        <v>0.11896041388275129</v>
      </c>
      <c r="S58" s="123">
        <f t="shared" si="20"/>
        <v>0.1105434254701846</v>
      </c>
      <c r="T58" s="123">
        <f t="shared" si="20"/>
        <v>0.12095717595787533</v>
      </c>
      <c r="U58" s="123">
        <f t="shared" si="20"/>
        <v>9.7518290299996951E-2</v>
      </c>
      <c r="V58" s="123">
        <f t="shared" si="20"/>
        <v>0.10544214086133859</v>
      </c>
      <c r="W58" s="123">
        <f t="shared" ref="W58:Y58" si="21">IF(W12=0,0,W12/W$10)</f>
        <v>9.0269873873496373E-2</v>
      </c>
      <c r="X58" s="123">
        <f t="shared" si="21"/>
        <v>0.12966916307087756</v>
      </c>
      <c r="Y58" s="123">
        <f t="shared" si="21"/>
        <v>0.12177626229431009</v>
      </c>
      <c r="DA58" s="203"/>
    </row>
    <row r="59" spans="1:105" ht="11.45" customHeight="1" x14ac:dyDescent="0.25">
      <c r="A59" s="109" t="s">
        <v>24</v>
      </c>
      <c r="B59" s="124">
        <f t="shared" si="15"/>
        <v>0.63860824702811314</v>
      </c>
      <c r="C59" s="124">
        <f t="shared" ref="C59:V59" si="22">IF(C13=0,0,C13/C$10)</f>
        <v>0.52879203740098979</v>
      </c>
      <c r="D59" s="124">
        <f t="shared" si="22"/>
        <v>0.56010797859620598</v>
      </c>
      <c r="E59" s="124">
        <f t="shared" si="22"/>
        <v>0.60246881474473424</v>
      </c>
      <c r="F59" s="124">
        <f t="shared" si="22"/>
        <v>0.57433073423530279</v>
      </c>
      <c r="G59" s="124">
        <f t="shared" si="22"/>
        <v>0.43234578491628728</v>
      </c>
      <c r="H59" s="124">
        <f t="shared" si="22"/>
        <v>0.40465367631792165</v>
      </c>
      <c r="I59" s="124">
        <f t="shared" si="22"/>
        <v>0.54675897310658472</v>
      </c>
      <c r="J59" s="124">
        <f t="shared" si="22"/>
        <v>0.55449690567777943</v>
      </c>
      <c r="K59" s="124">
        <f t="shared" si="22"/>
        <v>0.57422263389139083</v>
      </c>
      <c r="L59" s="124">
        <f t="shared" si="22"/>
        <v>0.5740256580455193</v>
      </c>
      <c r="M59" s="124">
        <f t="shared" si="22"/>
        <v>0.5777615877177279</v>
      </c>
      <c r="N59" s="124">
        <f t="shared" si="22"/>
        <v>0.59092468670237963</v>
      </c>
      <c r="O59" s="124">
        <f t="shared" si="22"/>
        <v>0.57093766008909097</v>
      </c>
      <c r="P59" s="124">
        <f t="shared" si="22"/>
        <v>0.54631103337807618</v>
      </c>
      <c r="Q59" s="124">
        <f t="shared" si="22"/>
        <v>0.55816190956242773</v>
      </c>
      <c r="R59" s="124">
        <f t="shared" si="22"/>
        <v>0.55066605597513263</v>
      </c>
      <c r="S59" s="124">
        <f t="shared" si="22"/>
        <v>0.58696382202437525</v>
      </c>
      <c r="T59" s="124">
        <f t="shared" si="22"/>
        <v>0.55032848852140615</v>
      </c>
      <c r="U59" s="124">
        <f t="shared" si="22"/>
        <v>0.59376585591728959</v>
      </c>
      <c r="V59" s="124">
        <f t="shared" si="22"/>
        <v>0.60407397304574095</v>
      </c>
      <c r="W59" s="124">
        <f t="shared" ref="W59:Y59" si="23">IF(W13=0,0,W13/W$10)</f>
        <v>0.5340777018122207</v>
      </c>
      <c r="X59" s="124">
        <f t="shared" si="23"/>
        <v>0.45275260467901041</v>
      </c>
      <c r="Y59" s="124">
        <f t="shared" si="23"/>
        <v>0.57490340992399125</v>
      </c>
      <c r="DA59" s="176"/>
    </row>
    <row r="60" spans="1:105" ht="11.45" customHeight="1" x14ac:dyDescent="0.25">
      <c r="A60" s="111" t="s">
        <v>92</v>
      </c>
      <c r="B60" s="125">
        <f t="shared" si="15"/>
        <v>0.60416206762534319</v>
      </c>
      <c r="C60" s="125">
        <f t="shared" ref="C60:V60" si="24">IF(C14=0,0,C14/C$10)</f>
        <v>0.45513916612585892</v>
      </c>
      <c r="D60" s="125">
        <f t="shared" si="24"/>
        <v>0.42218279824956528</v>
      </c>
      <c r="E60" s="125">
        <f t="shared" si="24"/>
        <v>0.48071688137478247</v>
      </c>
      <c r="F60" s="125">
        <f t="shared" si="24"/>
        <v>0.51347568853609948</v>
      </c>
      <c r="G60" s="125">
        <f t="shared" si="24"/>
        <v>0.30651006552431909</v>
      </c>
      <c r="H60" s="125">
        <f t="shared" si="24"/>
        <v>0.31055484842090875</v>
      </c>
      <c r="I60" s="125">
        <f t="shared" si="24"/>
        <v>0.49391414641712733</v>
      </c>
      <c r="J60" s="125">
        <f t="shared" si="24"/>
        <v>0.50750396572910761</v>
      </c>
      <c r="K60" s="125">
        <f t="shared" si="24"/>
        <v>0.50021711054941032</v>
      </c>
      <c r="L60" s="125">
        <f t="shared" si="24"/>
        <v>0.50422097800142462</v>
      </c>
      <c r="M60" s="125">
        <f t="shared" si="24"/>
        <v>0.50822728561607644</v>
      </c>
      <c r="N60" s="125">
        <f t="shared" si="24"/>
        <v>0.49209487858980905</v>
      </c>
      <c r="O60" s="125">
        <f t="shared" si="24"/>
        <v>0.4794541518051138</v>
      </c>
      <c r="P60" s="125">
        <f t="shared" si="24"/>
        <v>0.42716243743475546</v>
      </c>
      <c r="Q60" s="125">
        <f t="shared" si="24"/>
        <v>0.37701817144055827</v>
      </c>
      <c r="R60" s="125">
        <f t="shared" si="24"/>
        <v>0.37474859316050513</v>
      </c>
      <c r="S60" s="125">
        <f t="shared" si="24"/>
        <v>0.40697921353301164</v>
      </c>
      <c r="T60" s="125">
        <f t="shared" si="24"/>
        <v>0.35247450680292897</v>
      </c>
      <c r="U60" s="125">
        <f t="shared" si="24"/>
        <v>0.42259751724130301</v>
      </c>
      <c r="V60" s="125">
        <f t="shared" si="24"/>
        <v>0.42453358927523177</v>
      </c>
      <c r="W60" s="125">
        <f t="shared" ref="W60:Y60" si="25">IF(W14=0,0,W14/W$10)</f>
        <v>0.36420888473669705</v>
      </c>
      <c r="X60" s="125">
        <f t="shared" si="25"/>
        <v>0.28535596056247026</v>
      </c>
      <c r="Y60" s="125">
        <f t="shared" si="25"/>
        <v>0.43742241092506351</v>
      </c>
      <c r="DA60" s="171"/>
    </row>
    <row r="61" spans="1:105" ht="11.45" customHeight="1" x14ac:dyDescent="0.25">
      <c r="A61" s="111" t="s">
        <v>93</v>
      </c>
      <c r="B61" s="125">
        <f t="shared" si="15"/>
        <v>3.4446179402769964E-2</v>
      </c>
      <c r="C61" s="125">
        <f t="shared" ref="C61:V61" si="26">IF(C15=0,0,C15/C$10)</f>
        <v>7.365287127513083E-2</v>
      </c>
      <c r="D61" s="125">
        <f t="shared" si="26"/>
        <v>0.13792518034664064</v>
      </c>
      <c r="E61" s="125">
        <f t="shared" si="26"/>
        <v>0.12175193336995185</v>
      </c>
      <c r="F61" s="125">
        <f t="shared" si="26"/>
        <v>6.0855045699203358E-2</v>
      </c>
      <c r="G61" s="125">
        <f t="shared" si="26"/>
        <v>0.12583571939196814</v>
      </c>
      <c r="H61" s="125">
        <f t="shared" si="26"/>
        <v>9.4098827897012849E-2</v>
      </c>
      <c r="I61" s="125">
        <f t="shared" si="26"/>
        <v>5.284482668945744E-2</v>
      </c>
      <c r="J61" s="125">
        <f t="shared" si="26"/>
        <v>4.6992939948671784E-2</v>
      </c>
      <c r="K61" s="125">
        <f t="shared" si="26"/>
        <v>7.4005523341980531E-2</v>
      </c>
      <c r="L61" s="125">
        <f t="shared" si="26"/>
        <v>6.980468004409468E-2</v>
      </c>
      <c r="M61" s="125">
        <f t="shared" si="26"/>
        <v>6.9534302101651513E-2</v>
      </c>
      <c r="N61" s="125">
        <f t="shared" si="26"/>
        <v>9.8829808112570541E-2</v>
      </c>
      <c r="O61" s="125">
        <f t="shared" si="26"/>
        <v>9.1483508283977166E-2</v>
      </c>
      <c r="P61" s="125">
        <f t="shared" si="26"/>
        <v>0.11914859594332075</v>
      </c>
      <c r="Q61" s="125">
        <f t="shared" si="26"/>
        <v>0.18114373812186946</v>
      </c>
      <c r="R61" s="125">
        <f t="shared" si="26"/>
        <v>0.17591746281462756</v>
      </c>
      <c r="S61" s="125">
        <f t="shared" si="26"/>
        <v>0.17998460849136363</v>
      </c>
      <c r="T61" s="125">
        <f t="shared" si="26"/>
        <v>0.19785398171847721</v>
      </c>
      <c r="U61" s="125">
        <f t="shared" si="26"/>
        <v>0.17116833867598666</v>
      </c>
      <c r="V61" s="125">
        <f t="shared" si="26"/>
        <v>0.17954038377050913</v>
      </c>
      <c r="W61" s="125">
        <f t="shared" ref="W61:Y61" si="27">IF(W15=0,0,W15/W$10)</f>
        <v>0.16986881707552359</v>
      </c>
      <c r="X61" s="125">
        <f t="shared" si="27"/>
        <v>0.16739664411654021</v>
      </c>
      <c r="Y61" s="125">
        <f t="shared" si="27"/>
        <v>0.13748099899892777</v>
      </c>
      <c r="DA61" s="171"/>
    </row>
    <row r="62" spans="1:105" ht="11.45" customHeight="1" x14ac:dyDescent="0.25">
      <c r="A62" s="112" t="s">
        <v>25</v>
      </c>
      <c r="B62" s="126">
        <f t="shared" si="15"/>
        <v>0</v>
      </c>
      <c r="C62" s="126">
        <f t="shared" ref="C62:V62" si="28">IF(C16=0,0,C16/C$10)</f>
        <v>0</v>
      </c>
      <c r="D62" s="126">
        <f t="shared" si="28"/>
        <v>0</v>
      </c>
      <c r="E62" s="126">
        <f t="shared" si="28"/>
        <v>0</v>
      </c>
      <c r="F62" s="126">
        <f t="shared" si="28"/>
        <v>0</v>
      </c>
      <c r="G62" s="126">
        <f t="shared" si="28"/>
        <v>0</v>
      </c>
      <c r="H62" s="126">
        <f t="shared" si="28"/>
        <v>0</v>
      </c>
      <c r="I62" s="126">
        <f t="shared" si="28"/>
        <v>0</v>
      </c>
      <c r="J62" s="126">
        <f t="shared" si="28"/>
        <v>0</v>
      </c>
      <c r="K62" s="126">
        <f t="shared" si="28"/>
        <v>0</v>
      </c>
      <c r="L62" s="126">
        <f t="shared" si="28"/>
        <v>0</v>
      </c>
      <c r="M62" s="126">
        <f t="shared" si="28"/>
        <v>0</v>
      </c>
      <c r="N62" s="126">
        <f t="shared" si="28"/>
        <v>0</v>
      </c>
      <c r="O62" s="126">
        <f t="shared" si="28"/>
        <v>0</v>
      </c>
      <c r="P62" s="126">
        <f t="shared" si="28"/>
        <v>0</v>
      </c>
      <c r="Q62" s="126">
        <f t="shared" si="28"/>
        <v>0</v>
      </c>
      <c r="R62" s="126">
        <f t="shared" si="28"/>
        <v>0</v>
      </c>
      <c r="S62" s="126">
        <f t="shared" si="28"/>
        <v>0</v>
      </c>
      <c r="T62" s="126">
        <f t="shared" si="28"/>
        <v>0</v>
      </c>
      <c r="U62" s="126">
        <f t="shared" si="28"/>
        <v>0</v>
      </c>
      <c r="V62" s="126">
        <f t="shared" si="28"/>
        <v>0</v>
      </c>
      <c r="W62" s="126">
        <f t="shared" ref="W62:Y62" si="29">IF(W16=0,0,W16/W$10)</f>
        <v>0</v>
      </c>
      <c r="X62" s="126">
        <f t="shared" si="29"/>
        <v>0</v>
      </c>
      <c r="Y62" s="126">
        <f t="shared" si="29"/>
        <v>0</v>
      </c>
      <c r="DA62" s="204"/>
    </row>
    <row r="63" spans="1:105" ht="11.45" customHeight="1" x14ac:dyDescent="0.25">
      <c r="A63" s="27" t="s">
        <v>34</v>
      </c>
      <c r="B63" s="31">
        <f t="shared" si="15"/>
        <v>0.2750645786608279</v>
      </c>
      <c r="C63" s="31">
        <f t="shared" ref="C63:V63" si="30">IF(C17=0,0,C17/C$10)</f>
        <v>0.33158578684433748</v>
      </c>
      <c r="D63" s="31">
        <f t="shared" si="30"/>
        <v>0.34411346861576531</v>
      </c>
      <c r="E63" s="31">
        <f t="shared" si="30"/>
        <v>0.29739726752614243</v>
      </c>
      <c r="F63" s="31">
        <f t="shared" si="30"/>
        <v>0.32385657851890232</v>
      </c>
      <c r="G63" s="31">
        <f t="shared" si="30"/>
        <v>0.373337874365889</v>
      </c>
      <c r="H63" s="31">
        <f t="shared" si="30"/>
        <v>0.3749876375667574</v>
      </c>
      <c r="I63" s="31">
        <f t="shared" si="30"/>
        <v>0.3292676680425648</v>
      </c>
      <c r="J63" s="31">
        <f t="shared" si="30"/>
        <v>0.30971340488837579</v>
      </c>
      <c r="K63" s="31">
        <f t="shared" si="30"/>
        <v>0.25415162798755381</v>
      </c>
      <c r="L63" s="31">
        <f t="shared" si="30"/>
        <v>0.26853274019899032</v>
      </c>
      <c r="M63" s="31">
        <f t="shared" si="30"/>
        <v>0.30004088210537727</v>
      </c>
      <c r="N63" s="31">
        <f t="shared" si="30"/>
        <v>0.27450995045219878</v>
      </c>
      <c r="O63" s="31">
        <f t="shared" si="30"/>
        <v>0.28012663539261129</v>
      </c>
      <c r="P63" s="31">
        <f t="shared" si="30"/>
        <v>0.26171324067179991</v>
      </c>
      <c r="Q63" s="31">
        <f t="shared" si="30"/>
        <v>0.33024650875036582</v>
      </c>
      <c r="R63" s="31">
        <f t="shared" si="30"/>
        <v>0.33037353014211607</v>
      </c>
      <c r="S63" s="31">
        <f t="shared" si="30"/>
        <v>0.30249275250544022</v>
      </c>
      <c r="T63" s="31">
        <f t="shared" si="30"/>
        <v>0.32871433552071849</v>
      </c>
      <c r="U63" s="31">
        <f t="shared" si="30"/>
        <v>0.30871585378271338</v>
      </c>
      <c r="V63" s="31">
        <f t="shared" si="30"/>
        <v>0.29048388609292064</v>
      </c>
      <c r="W63" s="31">
        <f t="shared" ref="W63:Y63" si="31">IF(W17=0,0,W17/W$10)</f>
        <v>0.37565242431428292</v>
      </c>
      <c r="X63" s="31">
        <f t="shared" si="31"/>
        <v>0.41757823225011192</v>
      </c>
      <c r="Y63" s="31">
        <f t="shared" si="31"/>
        <v>0.30332032778169854</v>
      </c>
      <c r="DA63" s="173"/>
    </row>
    <row r="64" spans="1:105" ht="11.45" customHeight="1" x14ac:dyDescent="0.25">
      <c r="A64" s="83" t="s">
        <v>92</v>
      </c>
      <c r="B64" s="125">
        <f t="shared" si="15"/>
        <v>0.22077689386863195</v>
      </c>
      <c r="C64" s="125">
        <f t="shared" ref="C64:V64" si="32">IF(C18=0,0,C18/C$10)</f>
        <v>0.22744132436417372</v>
      </c>
      <c r="D64" s="125">
        <f t="shared" si="32"/>
        <v>0.21815161398915278</v>
      </c>
      <c r="E64" s="125">
        <f t="shared" si="32"/>
        <v>0.14734379969013603</v>
      </c>
      <c r="F64" s="125">
        <f t="shared" si="32"/>
        <v>0.1744945638429802</v>
      </c>
      <c r="G64" s="125">
        <f t="shared" si="32"/>
        <v>0.16480360739793293</v>
      </c>
      <c r="H64" s="125">
        <f t="shared" si="32"/>
        <v>0.1885694948365344</v>
      </c>
      <c r="I64" s="125">
        <f t="shared" si="32"/>
        <v>0.20616125488554088</v>
      </c>
      <c r="J64" s="125">
        <f t="shared" si="32"/>
        <v>0.19652830695443077</v>
      </c>
      <c r="K64" s="125">
        <f t="shared" si="32"/>
        <v>0.14389775993107323</v>
      </c>
      <c r="L64" s="125">
        <f t="shared" si="32"/>
        <v>0.15550055756984152</v>
      </c>
      <c r="M64" s="125">
        <f t="shared" si="32"/>
        <v>0.17947368045279755</v>
      </c>
      <c r="N64" s="125">
        <f t="shared" si="32"/>
        <v>0.15954851722802862</v>
      </c>
      <c r="O64" s="125">
        <f t="shared" si="32"/>
        <v>0.16239017773996098</v>
      </c>
      <c r="P64" s="125">
        <f t="shared" si="32"/>
        <v>0.13229996515822395</v>
      </c>
      <c r="Q64" s="125">
        <f t="shared" si="32"/>
        <v>0.18453755924483486</v>
      </c>
      <c r="R64" s="125">
        <f t="shared" si="32"/>
        <v>0.18811069566012892</v>
      </c>
      <c r="S64" s="125">
        <f t="shared" si="32"/>
        <v>0.15911111104804435</v>
      </c>
      <c r="T64" s="125">
        <f t="shared" si="32"/>
        <v>0.16994611235757062</v>
      </c>
      <c r="U64" s="125">
        <f t="shared" si="32"/>
        <v>0.17720341585985211</v>
      </c>
      <c r="V64" s="125">
        <f t="shared" si="32"/>
        <v>0.14002869458500053</v>
      </c>
      <c r="W64" s="125">
        <f t="shared" ref="W64:Y64" si="33">IF(W18=0,0,W18/W$10)</f>
        <v>0.2164162561643295</v>
      </c>
      <c r="X64" s="125">
        <f t="shared" si="33"/>
        <v>0.26612614536627804</v>
      </c>
      <c r="Y64" s="125">
        <f t="shared" si="33"/>
        <v>0.22342078617380673</v>
      </c>
      <c r="DA64" s="171"/>
    </row>
    <row r="65" spans="1:105" ht="11.45" customHeight="1" x14ac:dyDescent="0.25">
      <c r="A65" s="85" t="s">
        <v>93</v>
      </c>
      <c r="B65" s="127">
        <f t="shared" si="15"/>
        <v>5.4287684792195992E-2</v>
      </c>
      <c r="C65" s="127">
        <f t="shared" ref="C65:V65" si="34">IF(C19=0,0,C19/C$10)</f>
        <v>0.10414446248016376</v>
      </c>
      <c r="D65" s="127">
        <f t="shared" si="34"/>
        <v>0.12596185462661252</v>
      </c>
      <c r="E65" s="127">
        <f t="shared" si="34"/>
        <v>0.1500534678360064</v>
      </c>
      <c r="F65" s="127">
        <f t="shared" si="34"/>
        <v>0.14936201467592211</v>
      </c>
      <c r="G65" s="127">
        <f t="shared" si="34"/>
        <v>0.20853426696795604</v>
      </c>
      <c r="H65" s="127">
        <f t="shared" si="34"/>
        <v>0.18641814273022303</v>
      </c>
      <c r="I65" s="127">
        <f t="shared" si="34"/>
        <v>0.12310641315702393</v>
      </c>
      <c r="J65" s="127">
        <f t="shared" si="34"/>
        <v>0.11318509793394503</v>
      </c>
      <c r="K65" s="127">
        <f t="shared" si="34"/>
        <v>0.11025386805648058</v>
      </c>
      <c r="L65" s="127">
        <f t="shared" si="34"/>
        <v>0.11303218262914878</v>
      </c>
      <c r="M65" s="127">
        <f t="shared" si="34"/>
        <v>0.12056720165257971</v>
      </c>
      <c r="N65" s="127">
        <f t="shared" si="34"/>
        <v>0.11496143322417017</v>
      </c>
      <c r="O65" s="127">
        <f t="shared" si="34"/>
        <v>0.11773645765265031</v>
      </c>
      <c r="P65" s="127">
        <f t="shared" si="34"/>
        <v>0.12941327551357598</v>
      </c>
      <c r="Q65" s="127">
        <f t="shared" si="34"/>
        <v>0.14570894950553095</v>
      </c>
      <c r="R65" s="127">
        <f t="shared" si="34"/>
        <v>0.14226283448198715</v>
      </c>
      <c r="S65" s="127">
        <f t="shared" si="34"/>
        <v>0.14338164145739585</v>
      </c>
      <c r="T65" s="127">
        <f t="shared" si="34"/>
        <v>0.1587682231631479</v>
      </c>
      <c r="U65" s="127">
        <f t="shared" si="34"/>
        <v>0.1315124379228613</v>
      </c>
      <c r="V65" s="127">
        <f t="shared" si="34"/>
        <v>0.15045519150792008</v>
      </c>
      <c r="W65" s="127">
        <f t="shared" ref="W65:Y65" si="35">IF(W19=0,0,W19/W$10)</f>
        <v>0.15923616814995342</v>
      </c>
      <c r="X65" s="127">
        <f t="shared" si="35"/>
        <v>0.15145208688383388</v>
      </c>
      <c r="Y65" s="127">
        <f t="shared" si="35"/>
        <v>7.9899541607891797E-2</v>
      </c>
      <c r="DA65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 B13:Y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DA68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1136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20" t="s">
        <v>45</v>
      </c>
      <c r="B4" s="26">
        <f>SUM(B5:B6)</f>
        <v>920.72201471999995</v>
      </c>
      <c r="C4" s="26">
        <f t="shared" ref="C4:W4" si="0">SUM(C5:C6)</f>
        <v>458.00638814825811</v>
      </c>
      <c r="D4" s="26">
        <f t="shared" si="0"/>
        <v>611.76951107999992</v>
      </c>
      <c r="E4" s="26">
        <f t="shared" si="0"/>
        <v>542.45188399085578</v>
      </c>
      <c r="F4" s="26">
        <f t="shared" si="0"/>
        <v>623.62456371726876</v>
      </c>
      <c r="G4" s="26">
        <f t="shared" si="0"/>
        <v>232.54049807999999</v>
      </c>
      <c r="H4" s="26">
        <f t="shared" si="0"/>
        <v>226.22741856000002</v>
      </c>
      <c r="I4" s="26">
        <f t="shared" si="0"/>
        <v>573.53399999999976</v>
      </c>
      <c r="J4" s="26">
        <f t="shared" si="0"/>
        <v>538.42538700000023</v>
      </c>
      <c r="K4" s="26">
        <f t="shared" si="0"/>
        <v>401.47380000000004</v>
      </c>
      <c r="L4" s="26">
        <f t="shared" si="0"/>
        <v>455.64101856000002</v>
      </c>
      <c r="M4" s="26">
        <f t="shared" si="0"/>
        <v>614.95595928</v>
      </c>
      <c r="N4" s="26">
        <f t="shared" si="0"/>
        <v>572.28689699999973</v>
      </c>
      <c r="O4" s="26">
        <f t="shared" si="0"/>
        <v>506.25392687999999</v>
      </c>
      <c r="P4" s="26">
        <f t="shared" si="0"/>
        <v>336.45451787999986</v>
      </c>
      <c r="Q4" s="26">
        <f t="shared" si="0"/>
        <v>349.03225188000016</v>
      </c>
      <c r="R4" s="26">
        <f t="shared" si="0"/>
        <v>339.59881799999988</v>
      </c>
      <c r="S4" s="26">
        <f t="shared" si="0"/>
        <v>358.05674267999996</v>
      </c>
      <c r="T4" s="26">
        <f t="shared" si="0"/>
        <v>291.11492124</v>
      </c>
      <c r="U4" s="26">
        <f t="shared" si="0"/>
        <v>400.96989035999991</v>
      </c>
      <c r="V4" s="26">
        <f t="shared" si="0"/>
        <v>346.71117311999984</v>
      </c>
      <c r="W4" s="26">
        <f t="shared" si="0"/>
        <v>405.95190012000006</v>
      </c>
      <c r="X4" s="26">
        <f t="shared" ref="X4:Y4" si="1">SUM(X5:X6)</f>
        <v>317.21338584000011</v>
      </c>
      <c r="Y4" s="26">
        <f t="shared" si="1"/>
        <v>312.9799046399998</v>
      </c>
      <c r="DA4" s="202" t="s">
        <v>1137</v>
      </c>
    </row>
    <row r="5" spans="1:105" ht="11.45" customHeight="1" x14ac:dyDescent="0.25">
      <c r="A5" s="107" t="s">
        <v>92</v>
      </c>
      <c r="B5" s="129">
        <v>920.72201471999995</v>
      </c>
      <c r="C5" s="129">
        <v>458.00638814825811</v>
      </c>
      <c r="D5" s="129">
        <v>611.76951107999992</v>
      </c>
      <c r="E5" s="129">
        <v>542.45188399085578</v>
      </c>
      <c r="F5" s="129">
        <v>623.62456371726876</v>
      </c>
      <c r="G5" s="129">
        <v>232.54049807999999</v>
      </c>
      <c r="H5" s="129">
        <v>226.22741856000002</v>
      </c>
      <c r="I5" s="129">
        <v>573.53399999999976</v>
      </c>
      <c r="J5" s="129">
        <v>538.42538700000023</v>
      </c>
      <c r="K5" s="129">
        <v>401.47380000000004</v>
      </c>
      <c r="L5" s="129">
        <v>455.64101856000002</v>
      </c>
      <c r="M5" s="129">
        <v>614.95595928</v>
      </c>
      <c r="N5" s="129">
        <v>572.28689699999973</v>
      </c>
      <c r="O5" s="129">
        <v>506.25392687999999</v>
      </c>
      <c r="P5" s="129">
        <v>336.45451787999986</v>
      </c>
      <c r="Q5" s="129">
        <v>349.03225188000016</v>
      </c>
      <c r="R5" s="129">
        <v>339.59881799999988</v>
      </c>
      <c r="S5" s="129">
        <v>358.05674267999996</v>
      </c>
      <c r="T5" s="129">
        <v>291.11492124</v>
      </c>
      <c r="U5" s="129">
        <v>400.96989035999991</v>
      </c>
      <c r="V5" s="129">
        <v>346.71117311999984</v>
      </c>
      <c r="W5" s="129">
        <v>405.95190012000006</v>
      </c>
      <c r="X5" s="129">
        <v>317.21338584000011</v>
      </c>
      <c r="Y5" s="129">
        <v>312.9799046399998</v>
      </c>
      <c r="DA5" s="203" t="s">
        <v>1138</v>
      </c>
    </row>
    <row r="6" spans="1:105" ht="11.45" customHeight="1" x14ac:dyDescent="0.25">
      <c r="A6" s="85" t="s">
        <v>91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178" t="s">
        <v>1139</v>
      </c>
    </row>
    <row r="7" spans="1:105" x14ac:dyDescent="0.2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DA7" s="171"/>
    </row>
    <row r="8" spans="1:105" ht="11.45" customHeight="1" x14ac:dyDescent="0.25">
      <c r="A8" s="53" t="s">
        <v>47</v>
      </c>
      <c r="B8" s="79">
        <f t="shared" ref="B8:W8" si="2">SUM(B9,B15)</f>
        <v>920.72201471999995</v>
      </c>
      <c r="C8" s="79">
        <f t="shared" si="2"/>
        <v>458.00638814825811</v>
      </c>
      <c r="D8" s="79">
        <f t="shared" si="2"/>
        <v>611.7695110799998</v>
      </c>
      <c r="E8" s="79">
        <f t="shared" si="2"/>
        <v>542.45188399085578</v>
      </c>
      <c r="F8" s="79">
        <f t="shared" si="2"/>
        <v>623.62456371726876</v>
      </c>
      <c r="G8" s="79">
        <f t="shared" si="2"/>
        <v>232.54049807999999</v>
      </c>
      <c r="H8" s="79">
        <f t="shared" si="2"/>
        <v>226.22741855999999</v>
      </c>
      <c r="I8" s="79">
        <f t="shared" si="2"/>
        <v>573.53399999999976</v>
      </c>
      <c r="J8" s="79">
        <f t="shared" si="2"/>
        <v>538.42538700000023</v>
      </c>
      <c r="K8" s="79">
        <f t="shared" si="2"/>
        <v>401.47380000000004</v>
      </c>
      <c r="L8" s="79">
        <f t="shared" si="2"/>
        <v>455.64101855999996</v>
      </c>
      <c r="M8" s="79">
        <f t="shared" si="2"/>
        <v>614.95595927999989</v>
      </c>
      <c r="N8" s="79">
        <f t="shared" si="2"/>
        <v>572.28689699999973</v>
      </c>
      <c r="O8" s="79">
        <f t="shared" si="2"/>
        <v>506.25392688000005</v>
      </c>
      <c r="P8" s="79">
        <f t="shared" si="2"/>
        <v>336.45451787999991</v>
      </c>
      <c r="Q8" s="79">
        <f t="shared" si="2"/>
        <v>349.03225188000016</v>
      </c>
      <c r="R8" s="79">
        <f t="shared" si="2"/>
        <v>339.59881799999988</v>
      </c>
      <c r="S8" s="79">
        <f t="shared" si="2"/>
        <v>358.05674267999996</v>
      </c>
      <c r="T8" s="79">
        <f t="shared" si="2"/>
        <v>291.11492124000006</v>
      </c>
      <c r="U8" s="79">
        <f t="shared" si="2"/>
        <v>400.96989035999997</v>
      </c>
      <c r="V8" s="79">
        <f t="shared" si="2"/>
        <v>346.71117311999984</v>
      </c>
      <c r="W8" s="79">
        <f t="shared" si="2"/>
        <v>405.95190012000006</v>
      </c>
      <c r="X8" s="79">
        <f t="shared" ref="X8:Y8" si="3">SUM(X9,X15)</f>
        <v>317.21338584000006</v>
      </c>
      <c r="Y8" s="79">
        <f t="shared" si="3"/>
        <v>312.97990463999975</v>
      </c>
      <c r="DA8" s="172" t="s">
        <v>1140</v>
      </c>
    </row>
    <row r="9" spans="1:105" ht="11.45" customHeight="1" x14ac:dyDescent="0.25">
      <c r="A9" s="27" t="s">
        <v>33</v>
      </c>
      <c r="B9" s="32">
        <f t="shared" ref="B9:W9" si="4">SUM(B10,B11,B14)</f>
        <v>674.3108788485431</v>
      </c>
      <c r="C9" s="32">
        <f t="shared" si="4"/>
        <v>305.39496584858608</v>
      </c>
      <c r="D9" s="32">
        <f t="shared" si="4"/>
        <v>403.34949853551825</v>
      </c>
      <c r="E9" s="32">
        <f t="shared" si="4"/>
        <v>415.19201222056097</v>
      </c>
      <c r="F9" s="32">
        <f t="shared" si="4"/>
        <v>465.45043355494732</v>
      </c>
      <c r="G9" s="32">
        <f t="shared" si="4"/>
        <v>151.22838016056517</v>
      </c>
      <c r="H9" s="32">
        <f t="shared" si="4"/>
        <v>140.75855571587891</v>
      </c>
      <c r="I9" s="32">
        <f t="shared" si="4"/>
        <v>404.63720839797054</v>
      </c>
      <c r="J9" s="32">
        <f t="shared" si="4"/>
        <v>388.12570070144568</v>
      </c>
      <c r="K9" s="32">
        <f t="shared" si="4"/>
        <v>311.78299617191772</v>
      </c>
      <c r="L9" s="32">
        <f t="shared" si="4"/>
        <v>348.24353550464093</v>
      </c>
      <c r="M9" s="32">
        <f t="shared" si="4"/>
        <v>454.46700437963881</v>
      </c>
      <c r="N9" s="32">
        <f t="shared" si="4"/>
        <v>432.16804298969396</v>
      </c>
      <c r="O9" s="32">
        <f t="shared" si="4"/>
        <v>378.16887356829511</v>
      </c>
      <c r="P9" s="32">
        <f t="shared" si="4"/>
        <v>256.89077814245206</v>
      </c>
      <c r="Q9" s="32">
        <f t="shared" si="4"/>
        <v>234.33382331788729</v>
      </c>
      <c r="R9" s="32">
        <f t="shared" si="4"/>
        <v>226.10300977910231</v>
      </c>
      <c r="S9" s="32">
        <f t="shared" si="4"/>
        <v>257.4176685389242</v>
      </c>
      <c r="T9" s="32">
        <f t="shared" si="4"/>
        <v>196.41374119561348</v>
      </c>
      <c r="U9" s="32">
        <f t="shared" si="4"/>
        <v>282.50853041950216</v>
      </c>
      <c r="V9" s="32">
        <f t="shared" si="4"/>
        <v>260.71620966252766</v>
      </c>
      <c r="W9" s="32">
        <f t="shared" si="4"/>
        <v>254.64155508321505</v>
      </c>
      <c r="X9" s="32">
        <f t="shared" ref="X9:Y9" si="5">SUM(X10,X11,X14)</f>
        <v>164.13720308695159</v>
      </c>
      <c r="Y9" s="32">
        <f t="shared" si="5"/>
        <v>207.16627644763753</v>
      </c>
      <c r="DA9" s="173" t="s">
        <v>407</v>
      </c>
    </row>
    <row r="10" spans="1:105" ht="11.45" customHeight="1" x14ac:dyDescent="0.25">
      <c r="A10" s="107" t="s">
        <v>23</v>
      </c>
      <c r="B10" s="129">
        <v>0</v>
      </c>
      <c r="C10" s="129">
        <v>0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0</v>
      </c>
      <c r="J10" s="129">
        <v>0</v>
      </c>
      <c r="K10" s="129">
        <v>0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X10" s="129">
        <v>0</v>
      </c>
      <c r="Y10" s="129">
        <v>0</v>
      </c>
      <c r="DA10" s="203" t="s">
        <v>408</v>
      </c>
    </row>
    <row r="11" spans="1:105" ht="11.45" customHeight="1" x14ac:dyDescent="0.25">
      <c r="A11" s="109" t="s">
        <v>24</v>
      </c>
      <c r="B11" s="130">
        <f t="shared" ref="B11:W11" si="6">SUM(B12:B13)</f>
        <v>674.3108788485431</v>
      </c>
      <c r="C11" s="130">
        <f t="shared" si="6"/>
        <v>305.39496584858608</v>
      </c>
      <c r="D11" s="130">
        <f t="shared" si="6"/>
        <v>403.34949853551825</v>
      </c>
      <c r="E11" s="130">
        <f t="shared" si="6"/>
        <v>415.19201222056097</v>
      </c>
      <c r="F11" s="130">
        <f t="shared" si="6"/>
        <v>465.45043355494732</v>
      </c>
      <c r="G11" s="130">
        <f t="shared" si="6"/>
        <v>151.22838016056517</v>
      </c>
      <c r="H11" s="130">
        <f t="shared" si="6"/>
        <v>140.75855571587891</v>
      </c>
      <c r="I11" s="130">
        <f t="shared" si="6"/>
        <v>404.63720839797054</v>
      </c>
      <c r="J11" s="130">
        <f t="shared" si="6"/>
        <v>388.12570070144568</v>
      </c>
      <c r="K11" s="130">
        <f t="shared" si="6"/>
        <v>311.78299617191772</v>
      </c>
      <c r="L11" s="130">
        <f t="shared" si="6"/>
        <v>348.24353550464093</v>
      </c>
      <c r="M11" s="130">
        <f t="shared" si="6"/>
        <v>454.46700437963881</v>
      </c>
      <c r="N11" s="130">
        <f t="shared" si="6"/>
        <v>432.16804298969396</v>
      </c>
      <c r="O11" s="130">
        <f t="shared" si="6"/>
        <v>378.16887356829511</v>
      </c>
      <c r="P11" s="130">
        <f t="shared" si="6"/>
        <v>256.89077814245206</v>
      </c>
      <c r="Q11" s="130">
        <f t="shared" si="6"/>
        <v>234.33382331788729</v>
      </c>
      <c r="R11" s="130">
        <f t="shared" si="6"/>
        <v>226.10300977910231</v>
      </c>
      <c r="S11" s="130">
        <f t="shared" si="6"/>
        <v>257.4176685389242</v>
      </c>
      <c r="T11" s="130">
        <f t="shared" si="6"/>
        <v>196.41374119561348</v>
      </c>
      <c r="U11" s="130">
        <f t="shared" si="6"/>
        <v>282.50853041950216</v>
      </c>
      <c r="V11" s="130">
        <f t="shared" si="6"/>
        <v>260.71620966252766</v>
      </c>
      <c r="W11" s="130">
        <f t="shared" si="6"/>
        <v>254.64155508321505</v>
      </c>
      <c r="X11" s="130">
        <f t="shared" ref="X11:Y11" si="7">SUM(X12:X13)</f>
        <v>164.13720308695159</v>
      </c>
      <c r="Y11" s="130">
        <f t="shared" si="7"/>
        <v>207.16627644763753</v>
      </c>
      <c r="DA11" s="176" t="s">
        <v>409</v>
      </c>
    </row>
    <row r="12" spans="1:105" ht="11.45" customHeight="1" x14ac:dyDescent="0.25">
      <c r="A12" s="111" t="s">
        <v>92</v>
      </c>
      <c r="B12" s="96">
        <v>674.3108788485431</v>
      </c>
      <c r="C12" s="96">
        <v>305.39496584858608</v>
      </c>
      <c r="D12" s="96">
        <v>403.34949853551825</v>
      </c>
      <c r="E12" s="96">
        <v>415.19201222056097</v>
      </c>
      <c r="F12" s="96">
        <v>465.45043355494732</v>
      </c>
      <c r="G12" s="96">
        <v>151.22838016056517</v>
      </c>
      <c r="H12" s="96">
        <v>140.75855571587891</v>
      </c>
      <c r="I12" s="96">
        <v>404.63720839797054</v>
      </c>
      <c r="J12" s="96">
        <v>388.12570070144568</v>
      </c>
      <c r="K12" s="96">
        <v>311.78299617191772</v>
      </c>
      <c r="L12" s="96">
        <v>348.24353550464093</v>
      </c>
      <c r="M12" s="96">
        <v>454.46700437963881</v>
      </c>
      <c r="N12" s="96">
        <v>432.16804298969396</v>
      </c>
      <c r="O12" s="96">
        <v>378.16887356829511</v>
      </c>
      <c r="P12" s="96">
        <v>256.89077814245206</v>
      </c>
      <c r="Q12" s="96">
        <v>234.33382331788729</v>
      </c>
      <c r="R12" s="96">
        <v>226.10300977910231</v>
      </c>
      <c r="S12" s="96">
        <v>257.4176685389242</v>
      </c>
      <c r="T12" s="96">
        <v>196.41374119561348</v>
      </c>
      <c r="U12" s="96">
        <v>282.50853041950216</v>
      </c>
      <c r="V12" s="96">
        <v>260.71620966252766</v>
      </c>
      <c r="W12" s="96">
        <v>254.64155508321505</v>
      </c>
      <c r="X12" s="96">
        <v>164.13720308695159</v>
      </c>
      <c r="Y12" s="96">
        <v>207.16627644763753</v>
      </c>
      <c r="DA12" s="171" t="s">
        <v>1141</v>
      </c>
    </row>
    <row r="13" spans="1:105" ht="11.45" customHeight="1" x14ac:dyDescent="0.25">
      <c r="A13" s="111" t="s">
        <v>93</v>
      </c>
      <c r="B13" s="96">
        <v>0</v>
      </c>
      <c r="C13" s="96">
        <v>0</v>
      </c>
      <c r="D13" s="96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0</v>
      </c>
      <c r="P13" s="96">
        <v>0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X13" s="96">
        <v>0</v>
      </c>
      <c r="Y13" s="96">
        <v>0</v>
      </c>
      <c r="DA13" s="171" t="s">
        <v>1142</v>
      </c>
    </row>
    <row r="14" spans="1:105" ht="11.45" customHeight="1" x14ac:dyDescent="0.25">
      <c r="A14" s="112" t="s">
        <v>25</v>
      </c>
      <c r="B14" s="131">
        <v>0</v>
      </c>
      <c r="C14" s="131">
        <v>0</v>
      </c>
      <c r="D14" s="131">
        <v>0</v>
      </c>
      <c r="E14" s="131">
        <v>0</v>
      </c>
      <c r="F14" s="131">
        <v>0</v>
      </c>
      <c r="G14" s="131">
        <v>0</v>
      </c>
      <c r="H14" s="131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31">
        <v>0</v>
      </c>
      <c r="O14" s="131">
        <v>0</v>
      </c>
      <c r="P14" s="131">
        <v>0</v>
      </c>
      <c r="Q14" s="131">
        <v>0</v>
      </c>
      <c r="R14" s="131">
        <v>0</v>
      </c>
      <c r="S14" s="131">
        <v>0</v>
      </c>
      <c r="T14" s="131">
        <v>0</v>
      </c>
      <c r="U14" s="131">
        <v>0</v>
      </c>
      <c r="V14" s="131">
        <v>0</v>
      </c>
      <c r="W14" s="131">
        <v>0</v>
      </c>
      <c r="X14" s="131">
        <v>0</v>
      </c>
      <c r="Y14" s="131">
        <v>0</v>
      </c>
      <c r="DA14" s="204" t="s">
        <v>410</v>
      </c>
    </row>
    <row r="15" spans="1:105" ht="11.45" customHeight="1" x14ac:dyDescent="0.25">
      <c r="A15" s="27" t="s">
        <v>34</v>
      </c>
      <c r="B15" s="32">
        <f t="shared" ref="B15:W15" si="8">SUM(B16:B17)</f>
        <v>246.41113587145688</v>
      </c>
      <c r="C15" s="32">
        <f t="shared" si="8"/>
        <v>152.611422299672</v>
      </c>
      <c r="D15" s="32">
        <f t="shared" si="8"/>
        <v>208.42001254448158</v>
      </c>
      <c r="E15" s="32">
        <f t="shared" si="8"/>
        <v>127.25987177029481</v>
      </c>
      <c r="F15" s="32">
        <f t="shared" si="8"/>
        <v>158.17413016232138</v>
      </c>
      <c r="G15" s="32">
        <f t="shared" si="8"/>
        <v>81.312117919434826</v>
      </c>
      <c r="H15" s="32">
        <f t="shared" si="8"/>
        <v>85.468862844121077</v>
      </c>
      <c r="I15" s="32">
        <f t="shared" si="8"/>
        <v>168.89679160202925</v>
      </c>
      <c r="J15" s="32">
        <f t="shared" si="8"/>
        <v>150.29968629855455</v>
      </c>
      <c r="K15" s="32">
        <f t="shared" si="8"/>
        <v>89.690803828082338</v>
      </c>
      <c r="L15" s="32">
        <f t="shared" si="8"/>
        <v>107.39748305535905</v>
      </c>
      <c r="M15" s="32">
        <f t="shared" si="8"/>
        <v>160.48895490036114</v>
      </c>
      <c r="N15" s="32">
        <f t="shared" si="8"/>
        <v>140.11885401030577</v>
      </c>
      <c r="O15" s="32">
        <f t="shared" si="8"/>
        <v>128.08505331170494</v>
      </c>
      <c r="P15" s="32">
        <f t="shared" si="8"/>
        <v>79.56373973754782</v>
      </c>
      <c r="Q15" s="32">
        <f t="shared" si="8"/>
        <v>114.69842856211287</v>
      </c>
      <c r="R15" s="32">
        <f t="shared" si="8"/>
        <v>113.49580822089759</v>
      </c>
      <c r="S15" s="32">
        <f t="shared" si="8"/>
        <v>100.63907414107572</v>
      </c>
      <c r="T15" s="32">
        <f t="shared" si="8"/>
        <v>94.701180044386547</v>
      </c>
      <c r="U15" s="32">
        <f t="shared" si="8"/>
        <v>118.46135994049779</v>
      </c>
      <c r="V15" s="32">
        <f t="shared" si="8"/>
        <v>85.994963457472167</v>
      </c>
      <c r="W15" s="32">
        <f t="shared" si="8"/>
        <v>151.31034503678501</v>
      </c>
      <c r="X15" s="32">
        <f t="shared" ref="X15:Y15" si="9">SUM(X16:X17)</f>
        <v>153.07618275304847</v>
      </c>
      <c r="Y15" s="32">
        <f t="shared" si="9"/>
        <v>105.81362819236224</v>
      </c>
      <c r="DA15" s="173" t="s">
        <v>414</v>
      </c>
    </row>
    <row r="16" spans="1:105" ht="11.45" customHeight="1" x14ac:dyDescent="0.25">
      <c r="A16" s="83" t="s">
        <v>92</v>
      </c>
      <c r="B16" s="96">
        <v>246.41113587145688</v>
      </c>
      <c r="C16" s="96">
        <v>152.611422299672</v>
      </c>
      <c r="D16" s="96">
        <v>208.42001254448158</v>
      </c>
      <c r="E16" s="96">
        <v>127.25987177029481</v>
      </c>
      <c r="F16" s="96">
        <v>158.17413016232138</v>
      </c>
      <c r="G16" s="96">
        <v>81.312117919434826</v>
      </c>
      <c r="H16" s="96">
        <v>85.468862844121077</v>
      </c>
      <c r="I16" s="96">
        <v>168.89679160202925</v>
      </c>
      <c r="J16" s="96">
        <v>150.29968629855455</v>
      </c>
      <c r="K16" s="96">
        <v>89.690803828082338</v>
      </c>
      <c r="L16" s="96">
        <v>107.39748305535905</v>
      </c>
      <c r="M16" s="96">
        <v>160.48895490036114</v>
      </c>
      <c r="N16" s="96">
        <v>140.11885401030577</v>
      </c>
      <c r="O16" s="96">
        <v>128.08505331170494</v>
      </c>
      <c r="P16" s="96">
        <v>79.56373973754782</v>
      </c>
      <c r="Q16" s="96">
        <v>114.69842856211287</v>
      </c>
      <c r="R16" s="96">
        <v>113.49580822089759</v>
      </c>
      <c r="S16" s="96">
        <v>100.63907414107572</v>
      </c>
      <c r="T16" s="96">
        <v>94.701180044386547</v>
      </c>
      <c r="U16" s="96">
        <v>118.46135994049779</v>
      </c>
      <c r="V16" s="96">
        <v>85.994963457472167</v>
      </c>
      <c r="W16" s="96">
        <v>151.31034503678501</v>
      </c>
      <c r="X16" s="96">
        <v>153.07618275304847</v>
      </c>
      <c r="Y16" s="96">
        <v>105.81362819236224</v>
      </c>
      <c r="DA16" s="171" t="s">
        <v>1143</v>
      </c>
    </row>
    <row r="17" spans="1:105" ht="11.45" customHeight="1" x14ac:dyDescent="0.25">
      <c r="A17" s="85" t="s">
        <v>93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178" t="s">
        <v>1144</v>
      </c>
    </row>
    <row r="18" spans="1:105" x14ac:dyDescent="0.25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DA18" s="171"/>
    </row>
    <row r="19" spans="1:105" ht="11.45" customHeight="1" x14ac:dyDescent="0.25">
      <c r="A19" s="68" t="s">
        <v>36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DA19" s="179"/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DA20" s="171"/>
    </row>
    <row r="21" spans="1:105" ht="11.45" customHeight="1" x14ac:dyDescent="0.25">
      <c r="A21" s="53" t="s">
        <v>48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DA21" s="172"/>
    </row>
    <row r="22" spans="1:105" ht="11.45" customHeight="1" x14ac:dyDescent="0.25">
      <c r="A22" s="133" t="s">
        <v>45</v>
      </c>
      <c r="B22" s="134">
        <f>IF(B4=0,0,B4/TrRail_ene!B4)</f>
        <v>2.5573711877219401</v>
      </c>
      <c r="C22" s="134">
        <f>IF(C4=0,0,C4/TrRail_ene!C4)</f>
        <v>2.1003370144129128</v>
      </c>
      <c r="D22" s="134">
        <f>IF(D4=0,0,D4/TrRail_ene!D4)</f>
        <v>1.9504400047536163</v>
      </c>
      <c r="E22" s="134">
        <f>IF(E4=0,0,E4/TrRail_ene!E4)</f>
        <v>1.9154769904108433</v>
      </c>
      <c r="F22" s="134">
        <f>IF(F4=0,0,F4/TrRail_ene!F4)</f>
        <v>2.1349763198952036</v>
      </c>
      <c r="G22" s="134">
        <f>IF(G4=0,0,G4/TrRail_ene!G4)</f>
        <v>1.4501050899036998</v>
      </c>
      <c r="H22" s="134">
        <f>IF(H4=0,0,H4/TrRail_ene!H4)</f>
        <v>1.5359164494178636</v>
      </c>
      <c r="I22" s="134">
        <f>IF(I4=0,0,I4/TrRail_ene!I4)</f>
        <v>2.1557728278009418</v>
      </c>
      <c r="J22" s="134">
        <f>IF(J4=0,0,J4/TrRail_ene!J4)</f>
        <v>2.1829405634089079</v>
      </c>
      <c r="K22" s="134">
        <f>IF(K4=0,0,K4/TrRail_ene!K4)</f>
        <v>1.9972086517728174</v>
      </c>
      <c r="L22" s="134">
        <f>IF(L4=0,0,L4/TrRail_ene!L4)</f>
        <v>2.0467324947211649</v>
      </c>
      <c r="M22" s="134">
        <f>IF(M4=0,0,M4/TrRail_ene!M4)</f>
        <v>2.1332791477387403</v>
      </c>
      <c r="N22" s="134">
        <f>IF(N4=0,0,N4/TrRail_ene!N4)</f>
        <v>2.0214087796524511</v>
      </c>
      <c r="O22" s="134">
        <f>IF(O4=0,0,O4/TrRail_ene!O4)</f>
        <v>1.9874882382874151</v>
      </c>
      <c r="P22" s="134">
        <f>IF(P4=0,0,P4/TrRail_ene!P4)</f>
        <v>1.730731585636528</v>
      </c>
      <c r="Q22" s="134">
        <f>IF(Q4=0,0,Q4/TrRail_ene!Q4)</f>
        <v>1.7414410442028192</v>
      </c>
      <c r="R22" s="134">
        <f>IF(R4=0,0,R4/TrRail_ene!R4)</f>
        <v>1.7439416286184981</v>
      </c>
      <c r="S22" s="134">
        <f>IF(S4=0,0,S4/TrRail_ene!S4)</f>
        <v>1.7543031518513246</v>
      </c>
      <c r="T22" s="134">
        <f>IF(T4=0,0,T4/TrRail_ene!T4)</f>
        <v>1.6200431100336772</v>
      </c>
      <c r="U22" s="134">
        <f>IF(U4=0,0,U4/TrRail_ene!U4)</f>
        <v>1.8603299663049553</v>
      </c>
      <c r="V22" s="134">
        <f>IF(V4=0,0,V4/TrRail_ene!V4)</f>
        <v>1.7509387884299328</v>
      </c>
      <c r="W22" s="134">
        <f>IF(W4=0,0,W4/TrRail_ene!W4)</f>
        <v>1.8009470831611114</v>
      </c>
      <c r="X22" s="134">
        <f>IF(X4=0,0,X4/TrRail_ene!X4)</f>
        <v>1.7102021666932605</v>
      </c>
      <c r="Y22" s="134">
        <f>IF(Y4=0,0,Y4/TrRail_ene!Y4)</f>
        <v>2.0496865129926904</v>
      </c>
      <c r="DA22" s="205"/>
    </row>
    <row r="23" spans="1:105" ht="11.45" customHeight="1" x14ac:dyDescent="0.25">
      <c r="A23" s="107" t="s">
        <v>90</v>
      </c>
      <c r="B23" s="129">
        <f>IF(B5=0,0,B5/SUM(TrRail_ene!B5:B7))</f>
        <v>1.5500366130668064</v>
      </c>
      <c r="C23" s="129">
        <f>IF(C5=0,0,C5/SUM(TrRail_ene!C5:C7))</f>
        <v>1.5385269896192431</v>
      </c>
      <c r="D23" s="129">
        <f>IF(D5=0,0,D5/SUM(TrRail_ene!D5:D7))</f>
        <v>1.5229854646844188</v>
      </c>
      <c r="E23" s="129">
        <f>IF(E5=0,0,E5/SUM(TrRail_ene!E5:E7))</f>
        <v>1.5249139519154624</v>
      </c>
      <c r="F23" s="129">
        <f>IF(F5=0,0,F5/SUM(TrRail_ene!F5:F7))</f>
        <v>1.5516487177404925</v>
      </c>
      <c r="G23" s="129">
        <f>IF(G5=0,0,G5/SUM(TrRail_ene!G5:G7))</f>
        <v>1.5383651835440273</v>
      </c>
      <c r="H23" s="129">
        <f>IF(H5=0,0,H5/SUM(TrRail_ene!H5:H7))</f>
        <v>1.5386110396800003</v>
      </c>
      <c r="I23" s="129">
        <f>IF(I5=0,0,I5/SUM(TrRail_ene!I5:I7))</f>
        <v>1.5396718866207686</v>
      </c>
      <c r="J23" s="129">
        <f>IF(J5=0,0,J5/SUM(TrRail_ene!J5:J7))</f>
        <v>1.5503128536198056</v>
      </c>
      <c r="K23" s="129">
        <f>IF(K5=0,0,K5/SUM(TrRail_ene!K5:K7))</f>
        <v>1.5503512985835748</v>
      </c>
      <c r="L23" s="129">
        <f>IF(L5=0,0,L5/SUM(TrRail_ene!L5:L7))</f>
        <v>1.5512094000000001</v>
      </c>
      <c r="M23" s="129">
        <f>IF(M5=0,0,M5/SUM(TrRail_ene!M5:M7))</f>
        <v>1.5510223578231022</v>
      </c>
      <c r="N23" s="129">
        <f>IF(N5=0,0,N5/SUM(TrRail_ene!N5:N7))</f>
        <v>1.5510084139773295</v>
      </c>
      <c r="O23" s="129">
        <f>IF(O5=0,0,O5/SUM(TrRail_ene!O5:O7))</f>
        <v>1.5482634548599217</v>
      </c>
      <c r="P23" s="129">
        <f>IF(P5=0,0,P5/SUM(TrRail_ene!P5:P7))</f>
        <v>1.5467809611646695</v>
      </c>
      <c r="Q23" s="129">
        <f>IF(Q5=0,0,Q5/SUM(TrRail_ene!Q5:Q7))</f>
        <v>1.5505505055369533</v>
      </c>
      <c r="R23" s="129">
        <f>IF(R5=0,0,R5/SUM(TrRail_ene!R5:R7))</f>
        <v>1.5491808194838541</v>
      </c>
      <c r="S23" s="129">
        <f>IF(S5=0,0,S5/SUM(TrRail_ene!S5:S7))</f>
        <v>1.5494904926608879</v>
      </c>
      <c r="T23" s="129">
        <f>IF(T5=0,0,T5/SUM(TrRail_ene!T5:T7))</f>
        <v>1.55051605030157</v>
      </c>
      <c r="U23" s="129">
        <f>IF(U5=0,0,U5/SUM(TrRail_ene!U5:U7))</f>
        <v>1.5507894900116925</v>
      </c>
      <c r="V23" s="129">
        <f>IF(V5=0,0,V5/SUM(TrRail_ene!V5:V7))</f>
        <v>1.5507047127358315</v>
      </c>
      <c r="W23" s="129">
        <f>IF(W5=0,0,W5/SUM(TrRail_ene!W5:W7))</f>
        <v>1.5508690171134882</v>
      </c>
      <c r="X23" s="129">
        <f>IF(X5=0,0,X5/SUM(TrRail_ene!X5:X7))</f>
        <v>1.5505509138987543</v>
      </c>
      <c r="Y23" s="129">
        <f>IF(Y5=0,0,Y5/SUM(TrRail_ene!Y5:Y7))</f>
        <v>1.5508115404614145</v>
      </c>
      <c r="DA23" s="203"/>
    </row>
    <row r="24" spans="1:105" ht="11.45" customHeight="1" x14ac:dyDescent="0.25">
      <c r="A24" s="85" t="s">
        <v>91</v>
      </c>
      <c r="B24" s="98">
        <f>IF(B6=0,0,B6/TrRail_ene!B8)</f>
        <v>0</v>
      </c>
      <c r="C24" s="98">
        <f>IF(C6=0,0,C6/TrRail_ene!C8)</f>
        <v>0</v>
      </c>
      <c r="D24" s="98">
        <f>IF(D6=0,0,D6/TrRail_ene!D8)</f>
        <v>0</v>
      </c>
      <c r="E24" s="98">
        <f>IF(E6=0,0,E6/TrRail_ene!E8)</f>
        <v>0</v>
      </c>
      <c r="F24" s="98">
        <f>IF(F6=0,0,F6/TrRail_ene!F8)</f>
        <v>0</v>
      </c>
      <c r="G24" s="98">
        <f>IF(G6=0,0,G6/TrRail_ene!G8)</f>
        <v>0</v>
      </c>
      <c r="H24" s="98">
        <f>IF(H6=0,0,H6/TrRail_ene!H8)</f>
        <v>0</v>
      </c>
      <c r="I24" s="98">
        <f>IF(I6=0,0,I6/TrRail_ene!I8)</f>
        <v>0</v>
      </c>
      <c r="J24" s="98">
        <f>IF(J6=0,0,J6/TrRail_ene!J8)</f>
        <v>0</v>
      </c>
      <c r="K24" s="98">
        <f>IF(K6=0,0,K6/TrRail_ene!K8)</f>
        <v>0</v>
      </c>
      <c r="L24" s="98">
        <f>IF(L6=0,0,L6/TrRail_ene!L8)</f>
        <v>0</v>
      </c>
      <c r="M24" s="98">
        <f>IF(M6=0,0,M6/TrRail_ene!M8)</f>
        <v>0</v>
      </c>
      <c r="N24" s="98">
        <f>IF(N6=0,0,N6/TrRail_ene!N8)</f>
        <v>0</v>
      </c>
      <c r="O24" s="98">
        <f>IF(O6=0,0,O6/TrRail_ene!O8)</f>
        <v>0</v>
      </c>
      <c r="P24" s="98">
        <f>IF(P6=0,0,P6/TrRail_ene!P8)</f>
        <v>0</v>
      </c>
      <c r="Q24" s="98">
        <f>IF(Q6=0,0,Q6/TrRail_ene!Q8)</f>
        <v>0</v>
      </c>
      <c r="R24" s="98">
        <f>IF(R6=0,0,R6/TrRail_ene!R8)</f>
        <v>0</v>
      </c>
      <c r="S24" s="98">
        <f>IF(S6=0,0,S6/TrRail_ene!S8)</f>
        <v>0</v>
      </c>
      <c r="T24" s="98">
        <f>IF(T6=0,0,T6/TrRail_ene!T8)</f>
        <v>0</v>
      </c>
      <c r="U24" s="98">
        <f>IF(U6=0,0,U6/TrRail_ene!U8)</f>
        <v>0</v>
      </c>
      <c r="V24" s="98">
        <f>IF(V6=0,0,V6/TrRail_ene!V8)</f>
        <v>0</v>
      </c>
      <c r="W24" s="98">
        <f>IF(W6=0,0,W6/TrRail_ene!W8)</f>
        <v>0</v>
      </c>
      <c r="X24" s="98">
        <f>IF(X6=0,0,X6/TrRail_ene!X8)</f>
        <v>0</v>
      </c>
      <c r="Y24" s="98">
        <f>IF(Y6=0,0,Y6/TrRail_ene!Y8)</f>
        <v>0</v>
      </c>
      <c r="DA24" s="178"/>
    </row>
    <row r="25" spans="1:105" x14ac:dyDescent="0.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DA25" s="171"/>
    </row>
    <row r="26" spans="1:105" ht="11.45" customHeight="1" x14ac:dyDescent="0.25">
      <c r="A26" s="53" t="s">
        <v>129</v>
      </c>
      <c r="B26" s="54">
        <f>IF(B8=0,0,B8/TrRail_act!B14*1000)</f>
        <v>5936.6141864592137</v>
      </c>
      <c r="C26" s="54">
        <f>IF(C8=0,0,C8/TrRail_act!C14*1000)</f>
        <v>3624.1261229363045</v>
      </c>
      <c r="D26" s="54">
        <f>IF(D8=0,0,D8/TrRail_act!D14*1000)</f>
        <v>3675.9489686433362</v>
      </c>
      <c r="E26" s="54">
        <f>IF(E8=0,0,E8/TrRail_act!E14*1000)</f>
        <v>3457.8249789156539</v>
      </c>
      <c r="F26" s="54">
        <f>IF(F8=0,0,F8/TrRail_act!F14*1000)</f>
        <v>3954.506744161034</v>
      </c>
      <c r="G26" s="54">
        <f>IF(G8=0,0,G8/TrRail_act!G14*1000)</f>
        <v>1778.46738636038</v>
      </c>
      <c r="H26" s="54">
        <f>IF(H8=0,0,H8/TrRail_act!H14*1000)</f>
        <v>1793.375458413135</v>
      </c>
      <c r="I26" s="54">
        <f>IF(I8=0,0,I8/TrRail_act!I14*1000)</f>
        <v>3456.1239169412534</v>
      </c>
      <c r="J26" s="54">
        <f>IF(J8=0,0,J8/TrRail_act!J14*1000)</f>
        <v>3317.7921673957167</v>
      </c>
      <c r="K26" s="54">
        <f>IF(K8=0,0,K8/TrRail_act!K14*1000)</f>
        <v>2573.3855455279318</v>
      </c>
      <c r="L26" s="54">
        <f>IF(L8=0,0,L8/TrRail_act!L14*1000)</f>
        <v>2728.5439324888521</v>
      </c>
      <c r="M26" s="54">
        <f>IF(M8=0,0,M8/TrRail_act!M14*1000)</f>
        <v>3171.2811766824921</v>
      </c>
      <c r="N26" s="54">
        <f>IF(N8=0,0,N8/TrRail_act!N14*1000)</f>
        <v>2790.1712150515132</v>
      </c>
      <c r="O26" s="54">
        <f>IF(O8=0,0,O8/TrRail_act!O14*1000)</f>
        <v>2577.3452857446305</v>
      </c>
      <c r="P26" s="54">
        <f>IF(P8=0,0,P8/TrRail_act!P14*1000)</f>
        <v>1900.5860552508141</v>
      </c>
      <c r="Q26" s="54">
        <f>IF(Q8=0,0,Q8/TrRail_act!Q14*1000)</f>
        <v>2319.6750161670407</v>
      </c>
      <c r="R26" s="54">
        <f>IF(R8=0,0,R8/TrRail_act!R14*1000)</f>
        <v>2257.2606440961372</v>
      </c>
      <c r="S26" s="54">
        <f>IF(S8=0,0,S8/TrRail_act!S14*1000)</f>
        <v>2292.8575191204318</v>
      </c>
      <c r="T26" s="54">
        <f>IF(T8=0,0,T8/TrRail_act!T14*1000)</f>
        <v>2004.5890807245535</v>
      </c>
      <c r="U26" s="54">
        <f>IF(U8=0,0,U8/TrRail_act!U14*1000)</f>
        <v>2556.4375349605953</v>
      </c>
      <c r="V26" s="54">
        <f>IF(V8=0,0,V8/TrRail_act!V14*1000)</f>
        <v>2280.7339667686019</v>
      </c>
      <c r="W26" s="54">
        <f>IF(W8=0,0,W8/TrRail_act!W14*1000)</f>
        <v>2523.7020849098976</v>
      </c>
      <c r="X26" s="54">
        <f>IF(X8=0,0,X8/TrRail_act!X14*1000)</f>
        <v>2125.3516987525859</v>
      </c>
      <c r="Y26" s="54">
        <f>IF(Y8=0,0,Y8/TrRail_act!Y14*1000)</f>
        <v>2714.4967522203606</v>
      </c>
      <c r="DA26" s="172" t="s">
        <v>1145</v>
      </c>
    </row>
    <row r="27" spans="1:105" ht="11.45" customHeight="1" x14ac:dyDescent="0.25">
      <c r="A27" s="27" t="s">
        <v>33</v>
      </c>
      <c r="B27" s="28">
        <f>IF(B9=0,0,B9/TrRail_act!B15*1000)</f>
        <v>5049.8576598229438</v>
      </c>
      <c r="C27" s="28">
        <f>IF(C9=0,0,C9/TrRail_act!C15*1000)</f>
        <v>2842.1556291010788</v>
      </c>
      <c r="D27" s="28">
        <f>IF(D9=0,0,D9/TrRail_act!D15*1000)</f>
        <v>2966.9733611349957</v>
      </c>
      <c r="E27" s="28">
        <f>IF(E9=0,0,E9/TrRail_act!E15*1000)</f>
        <v>3227.5999908321182</v>
      </c>
      <c r="F27" s="28">
        <f>IF(F9=0,0,F9/TrRail_act!F15*1000)</f>
        <v>3673.1765320536438</v>
      </c>
      <c r="G27" s="28">
        <f>IF(G9=0,0,G9/TrRail_act!G15*1000)</f>
        <v>1395.3500191580251</v>
      </c>
      <c r="H27" s="28">
        <f>IF(H9=0,0,H9/TrRail_act!H15*1000)</f>
        <v>1322.9177469369401</v>
      </c>
      <c r="I27" s="28">
        <f>IF(I9=0,0,I9/TrRail_act!I15*1000)</f>
        <v>2928.6097979755659</v>
      </c>
      <c r="J27" s="28">
        <f>IF(J9=0,0,J9/TrRail_act!J15*1000)</f>
        <v>2815.4721130801195</v>
      </c>
      <c r="K27" s="28">
        <f>IF(K9=0,0,K9/TrRail_act!K15*1000)</f>
        <v>2263.30790365028</v>
      </c>
      <c r="L27" s="28">
        <f>IF(L9=0,0,L9/TrRail_act!L15*1000)</f>
        <v>2390.4847013713388</v>
      </c>
      <c r="M27" s="28">
        <f>IF(M9=0,0,M9/TrRail_act!M15*1000)</f>
        <v>2775.065706216033</v>
      </c>
      <c r="N27" s="28">
        <f>IF(N9=0,0,N9/TrRail_act!N15*1000)</f>
        <v>2444.5805990303593</v>
      </c>
      <c r="O27" s="28">
        <f>IF(O9=0,0,O9/TrRail_act!O15*1000)</f>
        <v>2230.4693716977981</v>
      </c>
      <c r="P27" s="28">
        <f>IF(P9=0,0,P9/TrRail_act!P15*1000)</f>
        <v>1653.2892342900723</v>
      </c>
      <c r="Q27" s="28">
        <f>IF(Q9=0,0,Q9/TrRail_act!Q15*1000)</f>
        <v>1893.4047010260604</v>
      </c>
      <c r="R27" s="28">
        <f>IF(R9=0,0,R9/TrRail_act!R15*1000)</f>
        <v>1814.6432539992306</v>
      </c>
      <c r="S27" s="28">
        <f>IF(S9=0,0,S9/TrRail_act!S15*1000)</f>
        <v>1982.004378296763</v>
      </c>
      <c r="T27" s="28">
        <f>IF(T9=0,0,T9/TrRail_act!T15*1000)</f>
        <v>1641.0187454542909</v>
      </c>
      <c r="U27" s="28">
        <f>IF(U9=0,0,U9/TrRail_act!U15*1000)</f>
        <v>2175.5024554918868</v>
      </c>
      <c r="V27" s="28">
        <f>IF(V9=0,0,V9/TrRail_act!V15*1000)</f>
        <v>2069.3340435345017</v>
      </c>
      <c r="W27" s="28">
        <f>IF(W9=0,0,W9/TrRail_act!W15*1000)</f>
        <v>2014.0110546227841</v>
      </c>
      <c r="X27" s="28">
        <f>IF(X9=0,0,X9/TrRail_act!X15*1000)</f>
        <v>1366.804556814348</v>
      </c>
      <c r="Y27" s="28">
        <f>IF(Y9=0,0,Y9/TrRail_act!Y15*1000)</f>
        <v>2068.7348639087691</v>
      </c>
      <c r="DA27" s="173" t="s">
        <v>1146</v>
      </c>
    </row>
    <row r="28" spans="1:105" ht="11.45" customHeight="1" x14ac:dyDescent="0.25">
      <c r="A28" s="107" t="s">
        <v>23</v>
      </c>
      <c r="B28" s="108">
        <f>IF(B10=0,0,B10/TrRail_act!B16*1000)</f>
        <v>0</v>
      </c>
      <c r="C28" s="108">
        <f>IF(C10=0,0,C10/TrRail_act!C16*1000)</f>
        <v>0</v>
      </c>
      <c r="D28" s="108">
        <f>IF(D10=0,0,D10/TrRail_act!D16*1000)</f>
        <v>0</v>
      </c>
      <c r="E28" s="108">
        <f>IF(E10=0,0,E10/TrRail_act!E16*1000)</f>
        <v>0</v>
      </c>
      <c r="F28" s="108">
        <f>IF(F10=0,0,F10/TrRail_act!F16*1000)</f>
        <v>0</v>
      </c>
      <c r="G28" s="108">
        <f>IF(G10=0,0,G10/TrRail_act!G16*1000)</f>
        <v>0</v>
      </c>
      <c r="H28" s="108">
        <f>IF(H10=0,0,H10/TrRail_act!H16*1000)</f>
        <v>0</v>
      </c>
      <c r="I28" s="108">
        <f>IF(I10=0,0,I10/TrRail_act!I16*1000)</f>
        <v>0</v>
      </c>
      <c r="J28" s="108">
        <f>IF(J10=0,0,J10/TrRail_act!J16*1000)</f>
        <v>0</v>
      </c>
      <c r="K28" s="108">
        <f>IF(K10=0,0,K10/TrRail_act!K16*1000)</f>
        <v>0</v>
      </c>
      <c r="L28" s="108">
        <f>IF(L10=0,0,L10/TrRail_act!L16*1000)</f>
        <v>0</v>
      </c>
      <c r="M28" s="108">
        <f>IF(M10=0,0,M10/TrRail_act!M16*1000)</f>
        <v>0</v>
      </c>
      <c r="N28" s="108">
        <f>IF(N10=0,0,N10/TrRail_act!N16*1000)</f>
        <v>0</v>
      </c>
      <c r="O28" s="108">
        <f>IF(O10=0,0,O10/TrRail_act!O16*1000)</f>
        <v>0</v>
      </c>
      <c r="P28" s="108">
        <f>IF(P10=0,0,P10/TrRail_act!P16*1000)</f>
        <v>0</v>
      </c>
      <c r="Q28" s="108">
        <f>IF(Q10=0,0,Q10/TrRail_act!Q16*1000)</f>
        <v>0</v>
      </c>
      <c r="R28" s="108">
        <f>IF(R10=0,0,R10/TrRail_act!R16*1000)</f>
        <v>0</v>
      </c>
      <c r="S28" s="108">
        <f>IF(S10=0,0,S10/TrRail_act!S16*1000)</f>
        <v>0</v>
      </c>
      <c r="T28" s="108">
        <f>IF(T10=0,0,T10/TrRail_act!T16*1000)</f>
        <v>0</v>
      </c>
      <c r="U28" s="108">
        <f>IF(U10=0,0,U10/TrRail_act!U16*1000)</f>
        <v>0</v>
      </c>
      <c r="V28" s="108">
        <f>IF(V10=0,0,V10/TrRail_act!V16*1000)</f>
        <v>0</v>
      </c>
      <c r="W28" s="108">
        <f>IF(W10=0,0,W10/TrRail_act!W16*1000)</f>
        <v>0</v>
      </c>
      <c r="X28" s="108">
        <f>IF(X10=0,0,X10/TrRail_act!X16*1000)</f>
        <v>0</v>
      </c>
      <c r="Y28" s="108">
        <f>IF(Y10=0,0,Y10/TrRail_act!Y16*1000)</f>
        <v>0</v>
      </c>
      <c r="DA28" s="203" t="s">
        <v>1147</v>
      </c>
    </row>
    <row r="29" spans="1:105" ht="11.45" customHeight="1" x14ac:dyDescent="0.25">
      <c r="A29" s="109" t="s">
        <v>24</v>
      </c>
      <c r="B29" s="110">
        <f>IF(B11=0,0,B11/TrRail_act!B17*1000)</f>
        <v>10622.297786197159</v>
      </c>
      <c r="C29" s="110">
        <f>IF(C11=0,0,C11/TrRail_act!C17*1000)</f>
        <v>8165.2242926138088</v>
      </c>
      <c r="D29" s="110">
        <f>IF(D11=0,0,D11/TrRail_act!D17*1000)</f>
        <v>6120.9567931690135</v>
      </c>
      <c r="E29" s="110">
        <f>IF(E11=0,0,E11/TrRail_act!E17*1000)</f>
        <v>6785.3980422652039</v>
      </c>
      <c r="F29" s="110">
        <f>IF(F11=0,0,F11/TrRail_act!F17*1000)</f>
        <v>8552.307895745158</v>
      </c>
      <c r="G29" s="110">
        <f>IF(G11=0,0,G11/TrRail_act!G17*1000)</f>
        <v>4945.142451782478</v>
      </c>
      <c r="H29" s="110">
        <f>IF(H11=0,0,H11/TrRail_act!H17*1000)</f>
        <v>5515.5640429190444</v>
      </c>
      <c r="I29" s="110">
        <f>IF(I11=0,0,I11/TrRail_act!I17*1000)</f>
        <v>7456.6065769328616</v>
      </c>
      <c r="J29" s="110">
        <f>IF(J11=0,0,J11/TrRail_act!J17*1000)</f>
        <v>7606.4176871149584</v>
      </c>
      <c r="K29" s="110">
        <f>IF(K11=0,0,K11/TrRail_act!K17*1000)</f>
        <v>6649.630668660845</v>
      </c>
      <c r="L29" s="110">
        <f>IF(L11=0,0,L11/TrRail_act!L17*1000)</f>
        <v>6646.61820824401</v>
      </c>
      <c r="M29" s="110">
        <f>IF(M11=0,0,M11/TrRail_act!M17*1000)</f>
        <v>6630.9211087156827</v>
      </c>
      <c r="N29" s="110">
        <f>IF(N11=0,0,N11/TrRail_act!N17*1000)</f>
        <v>5921.627015007386</v>
      </c>
      <c r="O29" s="110">
        <f>IF(O11=0,0,O11/TrRail_act!O17*1000)</f>
        <v>5880.8541563803838</v>
      </c>
      <c r="P29" s="110">
        <f>IF(P11=0,0,P11/TrRail_act!P17*1000)</f>
        <v>4992.3459214001987</v>
      </c>
      <c r="Q29" s="110">
        <f>IF(Q11=0,0,Q11/TrRail_act!Q17*1000)</f>
        <v>3890.0513225223276</v>
      </c>
      <c r="R29" s="110">
        <f>IF(R11=0,0,R11/TrRail_act!R17*1000)</f>
        <v>3910.2036843093592</v>
      </c>
      <c r="S29" s="110">
        <f>IF(S11=0,0,S11/TrRail_act!S17*1000)</f>
        <v>4014.9735118904737</v>
      </c>
      <c r="T29" s="110">
        <f>IF(T11=0,0,T11/TrRail_act!T17*1000)</f>
        <v>3519.5362406776385</v>
      </c>
      <c r="U29" s="110">
        <f>IF(U11=0,0,U11/TrRail_act!U17*1000)</f>
        <v>4173.2581590373848</v>
      </c>
      <c r="V29" s="110">
        <f>IF(V11=0,0,V11/TrRail_act!V17*1000)</f>
        <v>4076.8967873507531</v>
      </c>
      <c r="W29" s="110">
        <f>IF(W11=0,0,W11/TrRail_act!W17*1000)</f>
        <v>3872.2705152179151</v>
      </c>
      <c r="X29" s="110">
        <f>IF(X11=0,0,X11/TrRail_act!X17*1000)</f>
        <v>3406.7253369214786</v>
      </c>
      <c r="Y29" s="110">
        <f>IF(Y11=0,0,Y11/TrRail_act!Y17*1000)</f>
        <v>4661.961059008172</v>
      </c>
      <c r="DA29" s="176" t="s">
        <v>1148</v>
      </c>
    </row>
    <row r="30" spans="1:105" ht="11.45" customHeight="1" x14ac:dyDescent="0.25">
      <c r="A30" s="111" t="s">
        <v>92</v>
      </c>
      <c r="B30" s="84">
        <f>IF(B12=0,0,B12/TrRail_act!B18*1000)</f>
        <v>12270.922908873981</v>
      </c>
      <c r="C30" s="84">
        <f>IF(C12=0,0,C12/TrRail_act!C18*1000)</f>
        <v>11589.729192413166</v>
      </c>
      <c r="D30" s="84">
        <f>IF(D12=0,0,D12/TrRail_act!D18*1000)</f>
        <v>11390.780253871226</v>
      </c>
      <c r="E30" s="84">
        <f>IF(E12=0,0,E12/TrRail_act!E18*1000)</f>
        <v>11403.974965288489</v>
      </c>
      <c r="F30" s="84">
        <f>IF(F12=0,0,F12/TrRail_act!F18*1000)</f>
        <v>11184.42574679505</v>
      </c>
      <c r="G30" s="84">
        <f>IF(G12=0,0,G12/TrRail_act!G18*1000)</f>
        <v>9635.0986645079556</v>
      </c>
      <c r="H30" s="84">
        <f>IF(H12=0,0,H12/TrRail_act!H18*1000)</f>
        <v>9400.1492115161054</v>
      </c>
      <c r="I30" s="84">
        <f>IF(I12=0,0,I12/TrRail_act!I18*1000)</f>
        <v>9290.2187785648675</v>
      </c>
      <c r="J30" s="84">
        <f>IF(J12=0,0,J12/TrRail_act!J18*1000)</f>
        <v>9273.1206099533847</v>
      </c>
      <c r="K30" s="84">
        <f>IF(K12=0,0,K12/TrRail_act!K18*1000)</f>
        <v>8893.2356517807366</v>
      </c>
      <c r="L30" s="84">
        <f>IF(L12=0,0,L12/TrRail_act!L18*1000)</f>
        <v>8704.7420340969893</v>
      </c>
      <c r="M30" s="84">
        <f>IF(M12=0,0,M12/TrRail_act!M18*1000)</f>
        <v>8744.4311229015057</v>
      </c>
      <c r="N30" s="84">
        <f>IF(N12=0,0,N12/TrRail_act!N18*1000)</f>
        <v>8719.2481902622367</v>
      </c>
      <c r="O30" s="84">
        <f>IF(O12=0,0,O12/TrRail_act!O18*1000)</f>
        <v>8523.6176820505807</v>
      </c>
      <c r="P30" s="84">
        <f>IF(P12=0,0,P12/TrRail_act!P18*1000)</f>
        <v>8224.350344143988</v>
      </c>
      <c r="Q30" s="84">
        <f>IF(Q12=0,0,Q12/TrRail_act!Q18*1000)</f>
        <v>8292.5960249069303</v>
      </c>
      <c r="R30" s="84">
        <f>IF(R12=0,0,R12/TrRail_act!R18*1000)</f>
        <v>8238.3597755667215</v>
      </c>
      <c r="S30" s="84">
        <f>IF(S12=0,0,S12/TrRail_act!S18*1000)</f>
        <v>8204.9907612000879</v>
      </c>
      <c r="T30" s="84">
        <f>IF(T12=0,0,T12/TrRail_act!T18*1000)</f>
        <v>8184.2398814961361</v>
      </c>
      <c r="U30" s="84">
        <f>IF(U12=0,0,U12/TrRail_act!U18*1000)</f>
        <v>8166.0984319314593</v>
      </c>
      <c r="V30" s="84">
        <f>IF(V12=0,0,V12/TrRail_act!V18*1000)</f>
        <v>8150.9949925465917</v>
      </c>
      <c r="W30" s="84">
        <f>IF(W12=0,0,W12/TrRail_act!W18*1000)</f>
        <v>8140.8819667854877</v>
      </c>
      <c r="X30" s="84">
        <f>IF(X12=0,0,X12/TrRail_act!X18*1000)</f>
        <v>8130.9910580975284</v>
      </c>
      <c r="Y30" s="84">
        <f>IF(Y12=0,0,Y12/TrRail_act!Y18*1000)</f>
        <v>8126.1963500109468</v>
      </c>
      <c r="DA30" s="171" t="s">
        <v>1149</v>
      </c>
    </row>
    <row r="31" spans="1:105" ht="11.45" customHeight="1" x14ac:dyDescent="0.25">
      <c r="A31" s="111" t="s">
        <v>93</v>
      </c>
      <c r="B31" s="84">
        <f>IF(B13=0,0,B13/TrRail_act!B19*1000)</f>
        <v>0</v>
      </c>
      <c r="C31" s="84">
        <f>IF(C13=0,0,C13/TrRail_act!C19*1000)</f>
        <v>0</v>
      </c>
      <c r="D31" s="84">
        <f>IF(D13=0,0,D13/TrRail_act!D19*1000)</f>
        <v>0</v>
      </c>
      <c r="E31" s="84">
        <f>IF(E13=0,0,E13/TrRail_act!E19*1000)</f>
        <v>0</v>
      </c>
      <c r="F31" s="84">
        <f>IF(F13=0,0,F13/TrRail_act!F19*1000)</f>
        <v>0</v>
      </c>
      <c r="G31" s="84">
        <f>IF(G13=0,0,G13/TrRail_act!G19*1000)</f>
        <v>0</v>
      </c>
      <c r="H31" s="84">
        <f>IF(H13=0,0,H13/TrRail_act!H19*1000)</f>
        <v>0</v>
      </c>
      <c r="I31" s="84">
        <f>IF(I13=0,0,I13/TrRail_act!I19*1000)</f>
        <v>0</v>
      </c>
      <c r="J31" s="84">
        <f>IF(J13=0,0,J13/TrRail_act!J19*1000)</f>
        <v>0</v>
      </c>
      <c r="K31" s="84">
        <f>IF(K13=0,0,K13/TrRail_act!K19*1000)</f>
        <v>0</v>
      </c>
      <c r="L31" s="84">
        <f>IF(L13=0,0,L13/TrRail_act!L19*1000)</f>
        <v>0</v>
      </c>
      <c r="M31" s="84">
        <f>IF(M13=0,0,M13/TrRail_act!M19*1000)</f>
        <v>0</v>
      </c>
      <c r="N31" s="84">
        <f>IF(N13=0,0,N13/TrRail_act!N19*1000)</f>
        <v>0</v>
      </c>
      <c r="O31" s="84">
        <f>IF(O13=0,0,O13/TrRail_act!O19*1000)</f>
        <v>0</v>
      </c>
      <c r="P31" s="84">
        <f>IF(P13=0,0,P13/TrRail_act!P19*1000)</f>
        <v>0</v>
      </c>
      <c r="Q31" s="84">
        <f>IF(Q13=0,0,Q13/TrRail_act!Q19*1000)</f>
        <v>0</v>
      </c>
      <c r="R31" s="84">
        <f>IF(R13=0,0,R13/TrRail_act!R19*1000)</f>
        <v>0</v>
      </c>
      <c r="S31" s="84">
        <f>IF(S13=0,0,S13/TrRail_act!S19*1000)</f>
        <v>0</v>
      </c>
      <c r="T31" s="84">
        <f>IF(T13=0,0,T13/TrRail_act!T19*1000)</f>
        <v>0</v>
      </c>
      <c r="U31" s="84">
        <f>IF(U13=0,0,U13/TrRail_act!U19*1000)</f>
        <v>0</v>
      </c>
      <c r="V31" s="84">
        <f>IF(V13=0,0,V13/TrRail_act!V19*1000)</f>
        <v>0</v>
      </c>
      <c r="W31" s="84">
        <f>IF(W13=0,0,W13/TrRail_act!W19*1000)</f>
        <v>0</v>
      </c>
      <c r="X31" s="84">
        <f>IF(X13=0,0,X13/TrRail_act!X19*1000)</f>
        <v>0</v>
      </c>
      <c r="Y31" s="84">
        <f>IF(Y13=0,0,Y13/TrRail_act!Y19*1000)</f>
        <v>0</v>
      </c>
      <c r="DA31" s="171" t="s">
        <v>1150</v>
      </c>
    </row>
    <row r="32" spans="1:105" ht="11.45" customHeight="1" x14ac:dyDescent="0.25">
      <c r="A32" s="112" t="s">
        <v>25</v>
      </c>
      <c r="B32" s="113">
        <f>IF(B14=0,0,B14/TrRail_act!B20*1000)</f>
        <v>0</v>
      </c>
      <c r="C32" s="113">
        <f>IF(C14=0,0,C14/TrRail_act!C20*1000)</f>
        <v>0</v>
      </c>
      <c r="D32" s="113">
        <f>IF(D14=0,0,D14/TrRail_act!D20*1000)</f>
        <v>0</v>
      </c>
      <c r="E32" s="113">
        <f>IF(E14=0,0,E14/TrRail_act!E20*1000)</f>
        <v>0</v>
      </c>
      <c r="F32" s="113">
        <f>IF(F14=0,0,F14/TrRail_act!F20*1000)</f>
        <v>0</v>
      </c>
      <c r="G32" s="113">
        <f>IF(G14=0,0,G14/TrRail_act!G20*1000)</f>
        <v>0</v>
      </c>
      <c r="H32" s="113">
        <f>IF(H14=0,0,H14/TrRail_act!H20*1000)</f>
        <v>0</v>
      </c>
      <c r="I32" s="113">
        <f>IF(I14=0,0,I14/TrRail_act!I20*1000)</f>
        <v>0</v>
      </c>
      <c r="J32" s="113">
        <f>IF(J14=0,0,J14/TrRail_act!J20*1000)</f>
        <v>0</v>
      </c>
      <c r="K32" s="113">
        <f>IF(K14=0,0,K14/TrRail_act!K20*1000)</f>
        <v>0</v>
      </c>
      <c r="L32" s="113">
        <f>IF(L14=0,0,L14/TrRail_act!L20*1000)</f>
        <v>0</v>
      </c>
      <c r="M32" s="113">
        <f>IF(M14=0,0,M14/TrRail_act!M20*1000)</f>
        <v>0</v>
      </c>
      <c r="N32" s="113">
        <f>IF(N14=0,0,N14/TrRail_act!N20*1000)</f>
        <v>0</v>
      </c>
      <c r="O32" s="113">
        <f>IF(O14=0,0,O14/TrRail_act!O20*1000)</f>
        <v>0</v>
      </c>
      <c r="P32" s="113">
        <f>IF(P14=0,0,P14/TrRail_act!P20*1000)</f>
        <v>0</v>
      </c>
      <c r="Q32" s="113">
        <f>IF(Q14=0,0,Q14/TrRail_act!Q20*1000)</f>
        <v>0</v>
      </c>
      <c r="R32" s="113">
        <f>IF(R14=0,0,R14/TrRail_act!R20*1000)</f>
        <v>0</v>
      </c>
      <c r="S32" s="113">
        <f>IF(S14=0,0,S14/TrRail_act!S20*1000)</f>
        <v>0</v>
      </c>
      <c r="T32" s="113">
        <f>IF(T14=0,0,T14/TrRail_act!T20*1000)</f>
        <v>0</v>
      </c>
      <c r="U32" s="113">
        <f>IF(U14=0,0,U14/TrRail_act!U20*1000)</f>
        <v>0</v>
      </c>
      <c r="V32" s="113">
        <f>IF(V14=0,0,V14/TrRail_act!V20*1000)</f>
        <v>0</v>
      </c>
      <c r="W32" s="113">
        <f>IF(W14=0,0,W14/TrRail_act!W20*1000)</f>
        <v>0</v>
      </c>
      <c r="X32" s="113">
        <f>IF(X14=0,0,X14/TrRail_act!X20*1000)</f>
        <v>0</v>
      </c>
      <c r="Y32" s="113">
        <f>IF(Y14=0,0,Y14/TrRail_act!Y20*1000)</f>
        <v>0</v>
      </c>
      <c r="DA32" s="204" t="s">
        <v>1151</v>
      </c>
    </row>
    <row r="33" spans="1:105" ht="11.45" customHeight="1" x14ac:dyDescent="0.25">
      <c r="A33" s="27" t="s">
        <v>34</v>
      </c>
      <c r="B33" s="28">
        <f>IF(B15=0,0,B15/TrRail_act!B21*1000)</f>
        <v>11428.32536631812</v>
      </c>
      <c r="C33" s="28">
        <f>IF(C15=0,0,C15/TrRail_act!C21*1000)</f>
        <v>8063.9370066121483</v>
      </c>
      <c r="D33" s="28">
        <f>IF(D15=0,0,D15/TrRail_act!D21*1000)</f>
        <v>6838.2705145426426</v>
      </c>
      <c r="E33" s="28">
        <f>IF(E15=0,0,E15/TrRail_act!E21*1000)</f>
        <v>4506.5903666341565</v>
      </c>
      <c r="F33" s="28">
        <f>IF(F15=0,0,F15/TrRail_act!F21*1000)</f>
        <v>5105.0828530811777</v>
      </c>
      <c r="G33" s="28">
        <f>IF(G15=0,0,G15/TrRail_act!G21*1000)</f>
        <v>3634.3757601912534</v>
      </c>
      <c r="H33" s="28">
        <f>IF(H15=0,0,H15/TrRail_act!H21*1000)</f>
        <v>4328.3978250245254</v>
      </c>
      <c r="I33" s="28">
        <f>IF(I15=0,0,I15/TrRail_act!I21*1000)</f>
        <v>6079.7582328519857</v>
      </c>
      <c r="J33" s="28">
        <f>IF(J15=0,0,J15/TrRail_act!J21*1000)</f>
        <v>6152.3418448934099</v>
      </c>
      <c r="K33" s="28">
        <f>IF(K15=0,0,K15/TrRail_act!K21*1000)</f>
        <v>4913.3475748351193</v>
      </c>
      <c r="L33" s="28">
        <f>IF(L15=0,0,L15/TrRail_act!L21*1000)</f>
        <v>5039.4169629595053</v>
      </c>
      <c r="M33" s="28">
        <f>IF(M15=0,0,M15/TrRail_act!M21*1000)</f>
        <v>5323.7179700032939</v>
      </c>
      <c r="N33" s="28">
        <f>IF(N15=0,0,N15/TrRail_act!N21*1000)</f>
        <v>4947.3513078494698</v>
      </c>
      <c r="O33" s="28">
        <f>IF(O15=0,0,O15/TrRail_act!O21*1000)</f>
        <v>4765.4595285423093</v>
      </c>
      <c r="P33" s="28">
        <f>IF(P15=0,0,P15/TrRail_act!P21*1000)</f>
        <v>3675.8331607566251</v>
      </c>
      <c r="Q33" s="28">
        <f>IF(Q15=0,0,Q15/TrRail_act!Q21*1000)</f>
        <v>4295.368584085566</v>
      </c>
      <c r="R33" s="28">
        <f>IF(R15=0,0,R15/TrRail_act!R21*1000)</f>
        <v>4390.8643446677825</v>
      </c>
      <c r="S33" s="28">
        <f>IF(S15=0,0,S15/TrRail_act!S21*1000)</f>
        <v>3828.859644896494</v>
      </c>
      <c r="T33" s="28">
        <f>IF(T15=0,0,T15/TrRail_act!T21*1000)</f>
        <v>3708.8105026701528</v>
      </c>
      <c r="U33" s="28">
        <f>IF(U15=0,0,U15/TrRail_act!U21*1000)</f>
        <v>4389.3842709964674</v>
      </c>
      <c r="V33" s="28">
        <f>IF(V15=0,0,V15/TrRail_act!V21*1000)</f>
        <v>3304.0707277400279</v>
      </c>
      <c r="W33" s="28">
        <f>IF(W15=0,0,W15/TrRail_act!W21*1000)</f>
        <v>4395.9138471267634</v>
      </c>
      <c r="X33" s="28">
        <f>IF(X15=0,0,X15/TrRail_act!X21*1000)</f>
        <v>5248.8224879334421</v>
      </c>
      <c r="Y33" s="28">
        <f>IF(Y15=0,0,Y15/TrRail_act!Y21*1000)</f>
        <v>6980.7622258169376</v>
      </c>
      <c r="DA33" s="173" t="s">
        <v>1152</v>
      </c>
    </row>
    <row r="34" spans="1:105" ht="11.45" customHeight="1" x14ac:dyDescent="0.25">
      <c r="A34" s="83" t="s">
        <v>92</v>
      </c>
      <c r="B34" s="84">
        <f>IF(B16=0,0,B16/TrRail_act!B22*1000)</f>
        <v>19841.094824657041</v>
      </c>
      <c r="C34" s="84">
        <f>IF(C16=0,0,C16/TrRail_act!C22*1000)</f>
        <v>19360.782807498384</v>
      </c>
      <c r="D34" s="84">
        <f>IF(D16=0,0,D16/TrRail_act!D22*1000)</f>
        <v>19028.469474227841</v>
      </c>
      <c r="E34" s="84">
        <f>IF(E16=0,0,E16/TrRail_act!E22*1000)</f>
        <v>18653.888862771804</v>
      </c>
      <c r="F34" s="84">
        <f>IF(F16=0,0,F16/TrRail_act!F22*1000)</f>
        <v>18700.51809555844</v>
      </c>
      <c r="G34" s="84">
        <f>IF(G16=0,0,G16/TrRail_act!G22*1000)</f>
        <v>18311.977273169865</v>
      </c>
      <c r="H34" s="84">
        <f>IF(H16=0,0,H16/TrRail_act!H22*1000)</f>
        <v>18164.853788933029</v>
      </c>
      <c r="I34" s="84">
        <f>IF(I16=0,0,I16/TrRail_act!I22*1000)</f>
        <v>18039.458582779178</v>
      </c>
      <c r="J34" s="84">
        <f>IF(J16=0,0,J16/TrRail_act!J22*1000)</f>
        <v>17874.751340376595</v>
      </c>
      <c r="K34" s="84">
        <f>IF(K16=0,0,K16/TrRail_act!K22*1000)</f>
        <v>17593.848590455866</v>
      </c>
      <c r="L34" s="84">
        <f>IF(L16=0,0,L16/TrRail_act!L22*1000)</f>
        <v>17424.849116208072</v>
      </c>
      <c r="M34" s="84">
        <f>IF(M16=0,0,M16/TrRail_act!M22*1000)</f>
        <v>17380.794408048489</v>
      </c>
      <c r="N34" s="84">
        <f>IF(N16=0,0,N16/TrRail_act!N22*1000)</f>
        <v>17045.788689629226</v>
      </c>
      <c r="O34" s="84">
        <f>IF(O16=0,0,O16/TrRail_act!O22*1000)</f>
        <v>16669.762257922535</v>
      </c>
      <c r="P34" s="84">
        <f>IF(P16=0,0,P16/TrRail_act!P22*1000)</f>
        <v>16190.771577126661</v>
      </c>
      <c r="Q34" s="84">
        <f>IF(Q16=0,0,Q16/TrRail_act!Q22*1000)</f>
        <v>16290.389564701019</v>
      </c>
      <c r="R34" s="84">
        <f>IF(R16=0,0,R16/TrRail_act!R22*1000)</f>
        <v>16158.013921888518</v>
      </c>
      <c r="S34" s="84">
        <f>IF(S16=0,0,S16/TrRail_act!S22*1000)</f>
        <v>16073.29877885208</v>
      </c>
      <c r="T34" s="84">
        <f>IF(T16=0,0,T16/TrRail_act!T22*1000)</f>
        <v>16018.249149061003</v>
      </c>
      <c r="U34" s="84">
        <f>IF(U16=0,0,U16/TrRail_act!U22*1000)</f>
        <v>15971.975469816567</v>
      </c>
      <c r="V34" s="84">
        <f>IF(V16=0,0,V16/TrRail_act!V22*1000)</f>
        <v>15934.379183827459</v>
      </c>
      <c r="W34" s="84">
        <f>IF(W16=0,0,W16/TrRail_act!W22*1000)</f>
        <v>15908.577659549877</v>
      </c>
      <c r="X34" s="84">
        <f>IF(X16=0,0,X16/TrRail_act!X22*1000)</f>
        <v>15884.732567416224</v>
      </c>
      <c r="Y34" s="84">
        <f>IF(Y16=0,0,Y16/TrRail_act!Y22*1000)</f>
        <v>15871.980935559199</v>
      </c>
      <c r="DA34" s="171" t="s">
        <v>1153</v>
      </c>
    </row>
    <row r="35" spans="1:105" ht="11.45" customHeight="1" x14ac:dyDescent="0.25">
      <c r="A35" s="85" t="s">
        <v>93</v>
      </c>
      <c r="B35" s="86">
        <f>IF(B17=0,0,B17/TrRail_act!B23*1000)</f>
        <v>0</v>
      </c>
      <c r="C35" s="86">
        <f>IF(C17=0,0,C17/TrRail_act!C23*1000)</f>
        <v>0</v>
      </c>
      <c r="D35" s="86">
        <f>IF(D17=0,0,D17/TrRail_act!D23*1000)</f>
        <v>0</v>
      </c>
      <c r="E35" s="86">
        <f>IF(E17=0,0,E17/TrRail_act!E23*1000)</f>
        <v>0</v>
      </c>
      <c r="F35" s="86">
        <f>IF(F17=0,0,F17/TrRail_act!F23*1000)</f>
        <v>0</v>
      </c>
      <c r="G35" s="86">
        <f>IF(G17=0,0,G17/TrRail_act!G23*1000)</f>
        <v>0</v>
      </c>
      <c r="H35" s="86">
        <f>IF(H17=0,0,H17/TrRail_act!H23*1000)</f>
        <v>0</v>
      </c>
      <c r="I35" s="86">
        <f>IF(I17=0,0,I17/TrRail_act!I23*1000)</f>
        <v>0</v>
      </c>
      <c r="J35" s="86">
        <f>IF(J17=0,0,J17/TrRail_act!J23*1000)</f>
        <v>0</v>
      </c>
      <c r="K35" s="86">
        <f>IF(K17=0,0,K17/TrRail_act!K23*1000)</f>
        <v>0</v>
      </c>
      <c r="L35" s="86">
        <f>IF(L17=0,0,L17/TrRail_act!L23*1000)</f>
        <v>0</v>
      </c>
      <c r="M35" s="86">
        <f>IF(M17=0,0,M17/TrRail_act!M23*1000)</f>
        <v>0</v>
      </c>
      <c r="N35" s="86">
        <f>IF(N17=0,0,N17/TrRail_act!N23*1000)</f>
        <v>0</v>
      </c>
      <c r="O35" s="86">
        <f>IF(O17=0,0,O17/TrRail_act!O23*1000)</f>
        <v>0</v>
      </c>
      <c r="P35" s="86">
        <f>IF(P17=0,0,P17/TrRail_act!P23*1000)</f>
        <v>0</v>
      </c>
      <c r="Q35" s="86">
        <f>IF(Q17=0,0,Q17/TrRail_act!Q23*1000)</f>
        <v>0</v>
      </c>
      <c r="R35" s="86">
        <f>IF(R17=0,0,R17/TrRail_act!R23*1000)</f>
        <v>0</v>
      </c>
      <c r="S35" s="86">
        <f>IF(S17=0,0,S17/TrRail_act!S23*1000)</f>
        <v>0</v>
      </c>
      <c r="T35" s="86">
        <f>IF(T17=0,0,T17/TrRail_act!T23*1000)</f>
        <v>0</v>
      </c>
      <c r="U35" s="86">
        <f>IF(U17=0,0,U17/TrRail_act!U23*1000)</f>
        <v>0</v>
      </c>
      <c r="V35" s="86">
        <f>IF(V17=0,0,V17/TrRail_act!V23*1000)</f>
        <v>0</v>
      </c>
      <c r="W35" s="86">
        <f>IF(W17=0,0,W17/TrRail_act!W23*1000)</f>
        <v>0</v>
      </c>
      <c r="X35" s="86">
        <f>IF(X17=0,0,X17/TrRail_act!X23*1000)</f>
        <v>0</v>
      </c>
      <c r="Y35" s="86">
        <f>IF(Y17=0,0,Y17/TrRail_act!Y23*1000)</f>
        <v>0</v>
      </c>
      <c r="DA35" s="178" t="s">
        <v>1154</v>
      </c>
    </row>
    <row r="36" spans="1:105" x14ac:dyDescent="0.25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DA36" s="171"/>
    </row>
    <row r="37" spans="1:105" ht="11.45" customHeight="1" x14ac:dyDescent="0.25">
      <c r="A37" s="53" t="s">
        <v>71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DA37" s="172"/>
    </row>
    <row r="38" spans="1:105" ht="11.45" customHeight="1" x14ac:dyDescent="0.25">
      <c r="A38" s="27" t="s">
        <v>160</v>
      </c>
      <c r="B38" s="29">
        <f>IF(B9=0,0,B9/TrRail_act!B4*1000)</f>
        <v>38.243584326709566</v>
      </c>
      <c r="C38" s="29">
        <f>IF(C9=0,0,C9/TrRail_act!C4*1000)</f>
        <v>18.001471609112059</v>
      </c>
      <c r="D38" s="29">
        <f>IF(D9=0,0,D9/TrRail_act!D4*1000)</f>
        <v>27.813370468591799</v>
      </c>
      <c r="E38" s="29">
        <f>IF(E9=0,0,E9/TrRail_act!E4*1000)</f>
        <v>29.086854318823203</v>
      </c>
      <c r="F38" s="29">
        <f>IF(F9=0,0,F9/TrRail_act!F4*1000)</f>
        <v>31.385638651463793</v>
      </c>
      <c r="G38" s="29">
        <f>IF(G9=0,0,G9/TrRail_act!G4*1000)</f>
        <v>10.370959696122425</v>
      </c>
      <c r="H38" s="29">
        <f>IF(H9=0,0,H9/TrRail_act!H4*1000)</f>
        <v>9.4519578106284516</v>
      </c>
      <c r="I38" s="29">
        <f>IF(I9=0,0,I9/TrRail_act!I4*1000)</f>
        <v>28.14671733430513</v>
      </c>
      <c r="J38" s="29">
        <f>IF(J9=0,0,J9/TrRail_act!J4*1000)</f>
        <v>27.806684388984504</v>
      </c>
      <c r="K38" s="29">
        <f>IF(K9=0,0,K9/TrRail_act!K4*1000)</f>
        <v>23.664743542460545</v>
      </c>
      <c r="L38" s="29">
        <f>IF(L9=0,0,L9/TrRail_act!L4*1000)</f>
        <v>27.69175917678211</v>
      </c>
      <c r="M38" s="29">
        <f>IF(M9=0,0,M9/TrRail_act!M4*1000)</f>
        <v>37.451225664950606</v>
      </c>
      <c r="N38" s="29">
        <f>IF(N9=0,0,N9/TrRail_act!N4*1000)</f>
        <v>35.659274881938771</v>
      </c>
      <c r="O38" s="29">
        <f>IF(O9=0,0,O9/TrRail_act!O4*1000)</f>
        <v>31.092463908292679</v>
      </c>
      <c r="P38" s="29">
        <f>IF(P9=0,0,P9/TrRail_act!P4*1000)</f>
        <v>19.797378093592176</v>
      </c>
      <c r="Q38" s="29">
        <f>IF(Q9=0,0,Q9/TrRail_act!Q4*1000)</f>
        <v>23.301260456797017</v>
      </c>
      <c r="R38" s="29">
        <f>IF(R9=0,0,R9/TrRail_act!R4*1000)</f>
        <v>22.483572546089921</v>
      </c>
      <c r="S38" s="29">
        <f>IF(S9=0,0,S9/TrRail_act!S4*1000)</f>
        <v>23.864550303132614</v>
      </c>
      <c r="T38" s="29">
        <f>IF(T9=0,0,T9/TrRail_act!T4*1000)</f>
        <v>18.567158185716014</v>
      </c>
      <c r="U38" s="29">
        <f>IF(U9=0,0,U9/TrRail_act!U4*1000)</f>
        <v>26.073143287808279</v>
      </c>
      <c r="V38" s="29">
        <f>IF(V9=0,0,V9/TrRail_act!V4*1000)</f>
        <v>36.432677263933186</v>
      </c>
      <c r="W38" s="29">
        <f>IF(W9=0,0,W9/TrRail_act!W4*1000)</f>
        <v>34.072082014845442</v>
      </c>
      <c r="X38" s="29">
        <f>IF(X9=0,0,X9/TrRail_act!X4*1000)</f>
        <v>16.658182468050285</v>
      </c>
      <c r="Y38" s="29">
        <f>IF(Y9=0,0,Y9/TrRail_act!Y4*1000)</f>
        <v>19.421149573067101</v>
      </c>
      <c r="DA38" s="173" t="s">
        <v>440</v>
      </c>
    </row>
    <row r="39" spans="1:105" ht="11.45" customHeight="1" x14ac:dyDescent="0.25">
      <c r="A39" s="107" t="s">
        <v>23</v>
      </c>
      <c r="B39" s="115">
        <f>IF(B10=0,0,B10/TrRail_act!B5*1000)</f>
        <v>0</v>
      </c>
      <c r="C39" s="115">
        <f>IF(C10=0,0,C10/TrRail_act!C5*1000)</f>
        <v>0</v>
      </c>
      <c r="D39" s="115">
        <f>IF(D10=0,0,D10/TrRail_act!D5*1000)</f>
        <v>0</v>
      </c>
      <c r="E39" s="115">
        <f>IF(E10=0,0,E10/TrRail_act!E5*1000)</f>
        <v>0</v>
      </c>
      <c r="F39" s="115">
        <f>IF(F10=0,0,F10/TrRail_act!F5*1000)</f>
        <v>0</v>
      </c>
      <c r="G39" s="115">
        <f>IF(G10=0,0,G10/TrRail_act!G5*1000)</f>
        <v>0</v>
      </c>
      <c r="H39" s="115">
        <f>IF(H10=0,0,H10/TrRail_act!H5*1000)</f>
        <v>0</v>
      </c>
      <c r="I39" s="115">
        <f>IF(I10=0,0,I10/TrRail_act!I5*1000)</f>
        <v>0</v>
      </c>
      <c r="J39" s="115">
        <f>IF(J10=0,0,J10/TrRail_act!J5*1000)</f>
        <v>0</v>
      </c>
      <c r="K39" s="115">
        <f>IF(K10=0,0,K10/TrRail_act!K5*1000)</f>
        <v>0</v>
      </c>
      <c r="L39" s="115">
        <f>IF(L10=0,0,L10/TrRail_act!L5*1000)</f>
        <v>0</v>
      </c>
      <c r="M39" s="115">
        <f>IF(M10=0,0,M10/TrRail_act!M5*1000)</f>
        <v>0</v>
      </c>
      <c r="N39" s="115">
        <f>IF(N10=0,0,N10/TrRail_act!N5*1000)</f>
        <v>0</v>
      </c>
      <c r="O39" s="115">
        <f>IF(O10=0,0,O10/TrRail_act!O5*1000)</f>
        <v>0</v>
      </c>
      <c r="P39" s="115">
        <f>IF(P10=0,0,P10/TrRail_act!P5*1000)</f>
        <v>0</v>
      </c>
      <c r="Q39" s="115">
        <f>IF(Q10=0,0,Q10/TrRail_act!Q5*1000)</f>
        <v>0</v>
      </c>
      <c r="R39" s="115">
        <f>IF(R10=0,0,R10/TrRail_act!R5*1000)</f>
        <v>0</v>
      </c>
      <c r="S39" s="115">
        <f>IF(S10=0,0,S10/TrRail_act!S5*1000)</f>
        <v>0</v>
      </c>
      <c r="T39" s="115">
        <f>IF(T10=0,0,T10/TrRail_act!T5*1000)</f>
        <v>0</v>
      </c>
      <c r="U39" s="115">
        <f>IF(U10=0,0,U10/TrRail_act!U5*1000)</f>
        <v>0</v>
      </c>
      <c r="V39" s="115">
        <f>IF(V10=0,0,V10/TrRail_act!V5*1000)</f>
        <v>0</v>
      </c>
      <c r="W39" s="115">
        <f>IF(W10=0,0,W10/TrRail_act!W5*1000)</f>
        <v>0</v>
      </c>
      <c r="X39" s="115">
        <f>IF(X10=0,0,X10/TrRail_act!X5*1000)</f>
        <v>0</v>
      </c>
      <c r="Y39" s="115">
        <f>IF(Y10=0,0,Y10/TrRail_act!Y5*1000)</f>
        <v>0</v>
      </c>
      <c r="DA39" s="203" t="s">
        <v>441</v>
      </c>
    </row>
    <row r="40" spans="1:105" ht="11.45" customHeight="1" x14ac:dyDescent="0.25">
      <c r="A40" s="109" t="s">
        <v>24</v>
      </c>
      <c r="B40" s="116">
        <f>IF(B11=0,0,B11/TrRail_act!B6*1000)</f>
        <v>57.970330024805975</v>
      </c>
      <c r="C40" s="116">
        <f>IF(C11=0,0,C11/TrRail_act!C6*1000)</f>
        <v>27.851798071006481</v>
      </c>
      <c r="D40" s="116">
        <f>IF(D11=0,0,D11/TrRail_act!D6*1000)</f>
        <v>47.441719423137876</v>
      </c>
      <c r="E40" s="116">
        <f>IF(E11=0,0,E11/TrRail_act!E6*1000)</f>
        <v>48.863364978293625</v>
      </c>
      <c r="F40" s="116">
        <f>IF(F11=0,0,F11/TrRail_act!F6*1000)</f>
        <v>53.884051117729491</v>
      </c>
      <c r="G40" s="116">
        <f>IF(G11=0,0,G11/TrRail_act!G6*1000)</f>
        <v>18.939058254297453</v>
      </c>
      <c r="H40" s="116">
        <f>IF(H11=0,0,H11/TrRail_act!H6*1000)</f>
        <v>17.394779500232193</v>
      </c>
      <c r="I40" s="116">
        <f>IF(I11=0,0,I11/TrRail_act!I6*1000)</f>
        <v>54.124827233543414</v>
      </c>
      <c r="J40" s="116">
        <f>IF(J11=0,0,J11/TrRail_act!J6*1000)</f>
        <v>55.781215967439735</v>
      </c>
      <c r="K40" s="116">
        <f>IF(K11=0,0,K11/TrRail_act!K6*1000)</f>
        <v>50.878426268263333</v>
      </c>
      <c r="L40" s="116">
        <f>IF(L11=0,0,L11/TrRail_act!L6*1000)</f>
        <v>64.050677856288573</v>
      </c>
      <c r="M40" s="116">
        <f>IF(M11=0,0,M11/TrRail_act!M6*1000)</f>
        <v>89.585453258355756</v>
      </c>
      <c r="N40" s="116">
        <f>IF(N11=0,0,N11/TrRail_act!N6*1000)</f>
        <v>94.545623056157069</v>
      </c>
      <c r="O40" s="116">
        <f>IF(O11=0,0,O11/TrRail_act!O6*1000)</f>
        <v>85.733138419472922</v>
      </c>
      <c r="P40" s="116">
        <f>IF(P11=0,0,P11/TrRail_act!P6*1000)</f>
        <v>51.625960237631041</v>
      </c>
      <c r="Q40" s="116">
        <f>IF(Q11=0,0,Q11/TrRail_act!Q6*1000)</f>
        <v>45.510550265660768</v>
      </c>
      <c r="R40" s="116">
        <f>IF(R11=0,0,R11/TrRail_act!R6*1000)</f>
        <v>45.329392497815213</v>
      </c>
      <c r="S40" s="116">
        <f>IF(S11=0,0,S11/TrRail_act!S6*1000)</f>
        <v>45.456060134014514</v>
      </c>
      <c r="T40" s="116">
        <f>IF(T11=0,0,T11/TrRail_act!T6*1000)</f>
        <v>35.218529889835665</v>
      </c>
      <c r="U40" s="116">
        <f>IF(U11=0,0,U11/TrRail_act!U6*1000)</f>
        <v>47.834156860735213</v>
      </c>
      <c r="V40" s="116">
        <f>IF(V11=0,0,V11/TrRail_act!V6*1000)</f>
        <v>70.085002597453681</v>
      </c>
      <c r="W40" s="116">
        <f>IF(W11=0,0,W11/TrRail_act!W6*1000)</f>
        <v>59.621061831705703</v>
      </c>
      <c r="X40" s="116">
        <f>IF(X11=0,0,X11/TrRail_act!X6*1000)</f>
        <v>28.323934958921757</v>
      </c>
      <c r="Y40" s="116">
        <f>IF(Y11=0,0,Y11/TrRail_act!Y6*1000)</f>
        <v>33.680096967588604</v>
      </c>
      <c r="DA40" s="176" t="s">
        <v>442</v>
      </c>
    </row>
    <row r="41" spans="1:105" ht="11.45" customHeight="1" x14ac:dyDescent="0.25">
      <c r="A41" s="111" t="s">
        <v>92</v>
      </c>
      <c r="B41" s="87">
        <f>IF(B12=0,0,B12/TrRail_act!B7*1000)</f>
        <v>105.10092206928044</v>
      </c>
      <c r="C41" s="87">
        <f>IF(C12=0,0,C12/TrRail_act!C7*1000)</f>
        <v>72.7713998949922</v>
      </c>
      <c r="D41" s="87">
        <f>IF(D12=0,0,D12/TrRail_act!D7*1000)</f>
        <v>100.93208679056011</v>
      </c>
      <c r="E41" s="87">
        <f>IF(E12=0,0,E12/TrRail_act!E7*1000)</f>
        <v>102.70670479109594</v>
      </c>
      <c r="F41" s="87">
        <f>IF(F12=0,0,F12/TrRail_act!F7*1000)</f>
        <v>100.60619466535901</v>
      </c>
      <c r="G41" s="87">
        <f>IF(G12=0,0,G12/TrRail_act!G7*1000)</f>
        <v>61.541037770222715</v>
      </c>
      <c r="H41" s="87">
        <f>IF(H12=0,0,H12/TrRail_act!H7*1000)</f>
        <v>53.778208280086481</v>
      </c>
      <c r="I41" s="87">
        <f>IF(I12=0,0,I12/TrRail_act!I7*1000)</f>
        <v>88.977372719401473</v>
      </c>
      <c r="J41" s="87">
        <f>IF(J12=0,0,J12/TrRail_act!J7*1000)</f>
        <v>96.741520918842753</v>
      </c>
      <c r="K41" s="87">
        <f>IF(K12=0,0,K12/TrRail_act!K7*1000)</f>
        <v>110.63697743900961</v>
      </c>
      <c r="L41" s="87">
        <f>IF(L12=0,0,L12/TrRail_act!L7*1000)</f>
        <v>110.62928733313029</v>
      </c>
      <c r="M41" s="87">
        <f>IF(M12=0,0,M12/TrRail_act!M7*1000)</f>
        <v>140.06794543877902</v>
      </c>
      <c r="N41" s="87">
        <f>IF(N12=0,0,N12/TrRail_act!N7*1000)</f>
        <v>157.83138757096205</v>
      </c>
      <c r="O41" s="87">
        <f>IF(O12=0,0,O12/TrRail_act!O7*1000)</f>
        <v>135.99069732566804</v>
      </c>
      <c r="P41" s="87">
        <f>IF(P12=0,0,P12/TrRail_act!P7*1000)</f>
        <v>91.892526184630754</v>
      </c>
      <c r="Q41" s="87">
        <f>IF(Q12=0,0,Q12/TrRail_act!Q7*1000)</f>
        <v>110.67056972769876</v>
      </c>
      <c r="R41" s="87">
        <f>IF(R12=0,0,R12/TrRail_act!R7*1000)</f>
        <v>108.85717306970631</v>
      </c>
      <c r="S41" s="87">
        <f>IF(S12=0,0,S12/TrRail_act!S7*1000)</f>
        <v>132.53542656152064</v>
      </c>
      <c r="T41" s="87">
        <f>IF(T12=0,0,T12/TrRail_act!T7*1000)</f>
        <v>100.94139329496326</v>
      </c>
      <c r="U41" s="87">
        <f>IF(U12=0,0,U12/TrRail_act!U7*1000)</f>
        <v>122.44518721596799</v>
      </c>
      <c r="V41" s="87">
        <f>IF(V12=0,0,V12/TrRail_act!V7*1000)</f>
        <v>199.29317052799323</v>
      </c>
      <c r="W41" s="87">
        <f>IF(W12=0,0,W12/TrRail_act!W7*1000)</f>
        <v>183.70752180361484</v>
      </c>
      <c r="X41" s="87">
        <f>IF(X12=0,0,X12/TrRail_act!X7*1000)</f>
        <v>95.140611410727914</v>
      </c>
      <c r="Y41" s="87">
        <f>IF(Y12=0,0,Y12/TrRail_act!Y7*1000)</f>
        <v>91.093232774834846</v>
      </c>
      <c r="DA41" s="171" t="s">
        <v>1155</v>
      </c>
    </row>
    <row r="42" spans="1:105" ht="11.45" customHeight="1" x14ac:dyDescent="0.25">
      <c r="A42" s="111" t="s">
        <v>93</v>
      </c>
      <c r="B42" s="87">
        <f>IF(B13=0,0,B13/TrRail_act!B8*1000)</f>
        <v>0</v>
      </c>
      <c r="C42" s="87">
        <f>IF(C13=0,0,C13/TrRail_act!C8*1000)</f>
        <v>0</v>
      </c>
      <c r="D42" s="87">
        <f>IF(D13=0,0,D13/TrRail_act!D8*1000)</f>
        <v>0</v>
      </c>
      <c r="E42" s="87">
        <f>IF(E13=0,0,E13/TrRail_act!E8*1000)</f>
        <v>0</v>
      </c>
      <c r="F42" s="87">
        <f>IF(F13=0,0,F13/TrRail_act!F8*1000)</f>
        <v>0</v>
      </c>
      <c r="G42" s="87">
        <f>IF(G13=0,0,G13/TrRail_act!G8*1000)</f>
        <v>0</v>
      </c>
      <c r="H42" s="87">
        <f>IF(H13=0,0,H13/TrRail_act!H8*1000)</f>
        <v>0</v>
      </c>
      <c r="I42" s="87">
        <f>IF(I13=0,0,I13/TrRail_act!I8*1000)</f>
        <v>0</v>
      </c>
      <c r="J42" s="87">
        <f>IF(J13=0,0,J13/TrRail_act!J8*1000)</f>
        <v>0</v>
      </c>
      <c r="K42" s="87">
        <f>IF(K13=0,0,K13/TrRail_act!K8*1000)</f>
        <v>0</v>
      </c>
      <c r="L42" s="87">
        <f>IF(L13=0,0,L13/TrRail_act!L8*1000)</f>
        <v>0</v>
      </c>
      <c r="M42" s="87">
        <f>IF(M13=0,0,M13/TrRail_act!M8*1000)</f>
        <v>0</v>
      </c>
      <c r="N42" s="87">
        <f>IF(N13=0,0,N13/TrRail_act!N8*1000)</f>
        <v>0</v>
      </c>
      <c r="O42" s="87">
        <f>IF(O13=0,0,O13/TrRail_act!O8*1000)</f>
        <v>0</v>
      </c>
      <c r="P42" s="87">
        <f>IF(P13=0,0,P13/TrRail_act!P8*1000)</f>
        <v>0</v>
      </c>
      <c r="Q42" s="87">
        <f>IF(Q13=0,0,Q13/TrRail_act!Q8*1000)</f>
        <v>0</v>
      </c>
      <c r="R42" s="87">
        <f>IF(R13=0,0,R13/TrRail_act!R8*1000)</f>
        <v>0</v>
      </c>
      <c r="S42" s="87">
        <f>IF(S13=0,0,S13/TrRail_act!S8*1000)</f>
        <v>0</v>
      </c>
      <c r="T42" s="87">
        <f>IF(T13=0,0,T13/TrRail_act!T8*1000)</f>
        <v>0</v>
      </c>
      <c r="U42" s="87">
        <f>IF(U13=0,0,U13/TrRail_act!U8*1000)</f>
        <v>0</v>
      </c>
      <c r="V42" s="87">
        <f>IF(V13=0,0,V13/TrRail_act!V8*1000)</f>
        <v>0</v>
      </c>
      <c r="W42" s="87">
        <f>IF(W13=0,0,W13/TrRail_act!W8*1000)</f>
        <v>0</v>
      </c>
      <c r="X42" s="87">
        <f>IF(X13=0,0,X13/TrRail_act!X8*1000)</f>
        <v>0</v>
      </c>
      <c r="Y42" s="87">
        <f>IF(Y13=0,0,Y13/TrRail_act!Y8*1000)</f>
        <v>0</v>
      </c>
      <c r="DA42" s="171" t="s">
        <v>1156</v>
      </c>
    </row>
    <row r="43" spans="1:105" ht="11.45" customHeight="1" x14ac:dyDescent="0.25">
      <c r="A43" s="112" t="s">
        <v>25</v>
      </c>
      <c r="B43" s="117">
        <f>IF(B14=0,0,B14/TrRail_act!B9*1000)</f>
        <v>0</v>
      </c>
      <c r="C43" s="117">
        <f>IF(C14=0,0,C14/TrRail_act!C9*1000)</f>
        <v>0</v>
      </c>
      <c r="D43" s="117">
        <f>IF(D14=0,0,D14/TrRail_act!D9*1000)</f>
        <v>0</v>
      </c>
      <c r="E43" s="117">
        <f>IF(E14=0,0,E14/TrRail_act!E9*1000)</f>
        <v>0</v>
      </c>
      <c r="F43" s="117">
        <f>IF(F14=0,0,F14/TrRail_act!F9*1000)</f>
        <v>0</v>
      </c>
      <c r="G43" s="117">
        <f>IF(G14=0,0,G14/TrRail_act!G9*1000)</f>
        <v>0</v>
      </c>
      <c r="H43" s="117">
        <f>IF(H14=0,0,H14/TrRail_act!H9*1000)</f>
        <v>0</v>
      </c>
      <c r="I43" s="117">
        <f>IF(I14=0,0,I14/TrRail_act!I9*1000)</f>
        <v>0</v>
      </c>
      <c r="J43" s="117">
        <f>IF(J14=0,0,J14/TrRail_act!J9*1000)</f>
        <v>0</v>
      </c>
      <c r="K43" s="117">
        <f>IF(K14=0,0,K14/TrRail_act!K9*1000)</f>
        <v>0</v>
      </c>
      <c r="L43" s="117">
        <f>IF(L14=0,0,L14/TrRail_act!L9*1000)</f>
        <v>0</v>
      </c>
      <c r="M43" s="117">
        <f>IF(M14=0,0,M14/TrRail_act!M9*1000)</f>
        <v>0</v>
      </c>
      <c r="N43" s="117">
        <f>IF(N14=0,0,N14/TrRail_act!N9*1000)</f>
        <v>0</v>
      </c>
      <c r="O43" s="117">
        <f>IF(O14=0,0,O14/TrRail_act!O9*1000)</f>
        <v>0</v>
      </c>
      <c r="P43" s="117">
        <f>IF(P14=0,0,P14/TrRail_act!P9*1000)</f>
        <v>0</v>
      </c>
      <c r="Q43" s="117">
        <f>IF(Q14=0,0,Q14/TrRail_act!Q9*1000)</f>
        <v>0</v>
      </c>
      <c r="R43" s="117">
        <f>IF(R14=0,0,R14/TrRail_act!R9*1000)</f>
        <v>0</v>
      </c>
      <c r="S43" s="117">
        <f>IF(S14=0,0,S14/TrRail_act!S9*1000)</f>
        <v>0</v>
      </c>
      <c r="T43" s="117">
        <f>IF(T14=0,0,T14/TrRail_act!T9*1000)</f>
        <v>0</v>
      </c>
      <c r="U43" s="117">
        <f>IF(U14=0,0,U14/TrRail_act!U9*1000)</f>
        <v>0</v>
      </c>
      <c r="V43" s="117">
        <f>IF(V14=0,0,V14/TrRail_act!V9*1000)</f>
        <v>0</v>
      </c>
      <c r="W43" s="117">
        <f>IF(W14=0,0,W14/TrRail_act!W9*1000)</f>
        <v>0</v>
      </c>
      <c r="X43" s="117">
        <f>IF(X14=0,0,X14/TrRail_act!X9*1000)</f>
        <v>0</v>
      </c>
      <c r="Y43" s="117">
        <f>IF(Y14=0,0,Y14/TrRail_act!Y9*1000)</f>
        <v>0</v>
      </c>
      <c r="DA43" s="204" t="s">
        <v>443</v>
      </c>
    </row>
    <row r="44" spans="1:105" ht="11.45" customHeight="1" x14ac:dyDescent="0.25">
      <c r="A44" s="27" t="s">
        <v>159</v>
      </c>
      <c r="B44" s="29">
        <f>IF(B15=0,0,B15/TrRail_act!B10*1000)</f>
        <v>15.067331287235959</v>
      </c>
      <c r="C44" s="29">
        <f>IF(C15=0,0,C15/TrRail_act!C10*1000)</f>
        <v>9.4777929635866354</v>
      </c>
      <c r="D44" s="29">
        <f>IF(D15=0,0,D15/TrRail_act!D10*1000)</f>
        <v>13.695624427945958</v>
      </c>
      <c r="E44" s="29">
        <f>IF(E15=0,0,E15/TrRail_act!E10*1000)</f>
        <v>8.46199027663374</v>
      </c>
      <c r="F44" s="29">
        <f>IF(F15=0,0,F15/TrRail_act!F10*1000)</f>
        <v>9.2923352227894132</v>
      </c>
      <c r="G44" s="29">
        <f>IF(G15=0,0,G15/TrRail_act!G10*1000)</f>
        <v>4.9036375539401051</v>
      </c>
      <c r="H44" s="29">
        <f>IF(H15=0,0,H15/TrRail_act!H10*1000)</f>
        <v>5.412504771333106</v>
      </c>
      <c r="I44" s="29">
        <f>IF(I15=0,0,I15/TrRail_act!I10*1000)</f>
        <v>10.718841886274625</v>
      </c>
      <c r="J44" s="29">
        <f>IF(J15=0,0,J15/TrRail_act!J10*1000)</f>
        <v>9.8647733196740965</v>
      </c>
      <c r="K44" s="29">
        <f>IF(K15=0,0,K15/TrRail_act!K10*1000)</f>
        <v>8.0889974592426359</v>
      </c>
      <c r="L44" s="29">
        <f>IF(L15=0,0,L15/TrRail_act!L10*1000)</f>
        <v>8.6785844893219437</v>
      </c>
      <c r="M44" s="29">
        <f>IF(M15=0,0,M15/TrRail_act!M10*1000)</f>
        <v>10.903522990716837</v>
      </c>
      <c r="N44" s="29">
        <f>IF(N15=0,0,N15/TrRail_act!N10*1000)</f>
        <v>10.400746289363552</v>
      </c>
      <c r="O44" s="29">
        <f>IF(O15=0,0,O15/TrRail_act!O10*1000)</f>
        <v>9.8976163597639228</v>
      </c>
      <c r="P44" s="29">
        <f>IF(P15=0,0,P15/TrRail_act!P10*1000)</f>
        <v>6.4875847796434947</v>
      </c>
      <c r="Q44" s="29">
        <f>IF(Q15=0,0,Q15/TrRail_act!Q10*1000)</f>
        <v>8.3886805062614531</v>
      </c>
      <c r="R44" s="29">
        <f>IF(R15=0,0,R15/TrRail_act!R10*1000)</f>
        <v>8.3853570905724126</v>
      </c>
      <c r="S44" s="29">
        <f>IF(S15=0,0,S15/TrRail_act!S10*1000)</f>
        <v>7.3022111552079325</v>
      </c>
      <c r="T44" s="29">
        <f>IF(T15=0,0,T15/TrRail_act!T10*1000)</f>
        <v>7.2423661704180597</v>
      </c>
      <c r="U44" s="29">
        <f>IF(U15=0,0,U15/TrRail_act!U10*1000)</f>
        <v>8.8988401397609511</v>
      </c>
      <c r="V44" s="29">
        <f>IF(V15=0,0,V15/TrRail_act!V10*1000)</f>
        <v>6.9965798923986791</v>
      </c>
      <c r="W44" s="29">
        <f>IF(W15=0,0,W15/TrRail_act!W10*1000)</f>
        <v>11.105346424718165</v>
      </c>
      <c r="X44" s="29">
        <f>IF(X15=0,0,X15/TrRail_act!X10*1000)</f>
        <v>11.488755835563529</v>
      </c>
      <c r="Y44" s="29">
        <f>IF(Y15=0,0,Y15/TrRail_act!Y10*1000)</f>
        <v>8.2166196763753874</v>
      </c>
      <c r="DA44" s="173" t="s">
        <v>448</v>
      </c>
    </row>
    <row r="45" spans="1:105" ht="11.45" customHeight="1" x14ac:dyDescent="0.25">
      <c r="A45" s="83" t="s">
        <v>92</v>
      </c>
      <c r="B45" s="87">
        <f>IF(B16=0,0,B16/TrRail_act!B11*1000)</f>
        <v>32.265866876498002</v>
      </c>
      <c r="C45" s="87">
        <f>IF(C16=0,0,C16/TrRail_act!C11*1000)</f>
        <v>27.581872306135278</v>
      </c>
      <c r="D45" s="87">
        <f>IF(D16=0,0,D16/TrRail_act!D11*1000)</f>
        <v>34.286617737848168</v>
      </c>
      <c r="E45" s="87">
        <f>IF(E16=0,0,E16/TrRail_act!E11*1000)</f>
        <v>26.973266743735117</v>
      </c>
      <c r="F45" s="87">
        <f>IF(F16=0,0,F16/TrRail_act!F11*1000)</f>
        <v>25.975301192108027</v>
      </c>
      <c r="G45" s="87">
        <f>IF(G16=0,0,G16/TrRail_act!G11*1000)</f>
        <v>23.805232897730381</v>
      </c>
      <c r="H45" s="87">
        <f>IF(H16=0,0,H16/TrRail_act!H11*1000)</f>
        <v>24.838952317695757</v>
      </c>
      <c r="I45" s="87">
        <f>IF(I16=0,0,I16/TrRail_act!I11*1000)</f>
        <v>29.458828913158175</v>
      </c>
      <c r="J45" s="87">
        <f>IF(J16=0,0,J16/TrRail_act!J11*1000)</f>
        <v>29.414616634175847</v>
      </c>
      <c r="K45" s="87">
        <f>IF(K16=0,0,K16/TrRail_act!K11*1000)</f>
        <v>28.9312411951061</v>
      </c>
      <c r="L45" s="87">
        <f>IF(L16=0,0,L16/TrRail_act!L11*1000)</f>
        <v>27.56757877583566</v>
      </c>
      <c r="M45" s="87">
        <f>IF(M16=0,0,M16/TrRail_act!M11*1000)</f>
        <v>33.262627045131339</v>
      </c>
      <c r="N45" s="87">
        <f>IF(N16=0,0,N16/TrRail_act!N11*1000)</f>
        <v>33.436939184340247</v>
      </c>
      <c r="O45" s="87">
        <f>IF(O16=0,0,O16/TrRail_act!O11*1000)</f>
        <v>32.292747813953952</v>
      </c>
      <c r="P45" s="87">
        <f>IF(P16=0,0,P16/TrRail_act!P11*1000)</f>
        <v>24.204825675678148</v>
      </c>
      <c r="Q45" s="87">
        <f>IF(Q16=0,0,Q16/TrRail_act!Q11*1000)</f>
        <v>31.183625297146673</v>
      </c>
      <c r="R45" s="87">
        <f>IF(R16=0,0,R16/TrRail_act!R11*1000)</f>
        <v>31.100684645799763</v>
      </c>
      <c r="S45" s="87">
        <f>IF(S16=0,0,S16/TrRail_act!S11*1000)</f>
        <v>29.625460728936865</v>
      </c>
      <c r="T45" s="87">
        <f>IF(T16=0,0,T16/TrRail_act!T11*1000)</f>
        <v>28.894326572410229</v>
      </c>
      <c r="U45" s="87">
        <f>IF(U16=0,0,U16/TrRail_act!U11*1000)</f>
        <v>31.017669619902822</v>
      </c>
      <c r="V45" s="87">
        <f>IF(V16=0,0,V16/TrRail_act!V11*1000)</f>
        <v>28.46060484417751</v>
      </c>
      <c r="W45" s="87">
        <f>IF(W16=0,0,W16/TrRail_act!W11*1000)</f>
        <v>43.952392947141824</v>
      </c>
      <c r="X45" s="87">
        <f>IF(X16=0,0,X16/TrRail_act!X11*1000)</f>
        <v>47.817496355087073</v>
      </c>
      <c r="Y45" s="87">
        <f>IF(Y16=0,0,Y16/TrRail_act!Y11*1000)</f>
        <v>28.662696621327846</v>
      </c>
      <c r="DA45" s="171" t="s">
        <v>1157</v>
      </c>
    </row>
    <row r="46" spans="1:105" ht="11.45" customHeight="1" x14ac:dyDescent="0.25">
      <c r="A46" s="85" t="s">
        <v>93</v>
      </c>
      <c r="B46" s="88">
        <f>IF(B17=0,0,B17/TrRail_act!B12*1000)</f>
        <v>0</v>
      </c>
      <c r="C46" s="88">
        <f>IF(C17=0,0,C17/TrRail_act!C12*1000)</f>
        <v>0</v>
      </c>
      <c r="D46" s="88">
        <f>IF(D17=0,0,D17/TrRail_act!D12*1000)</f>
        <v>0</v>
      </c>
      <c r="E46" s="88">
        <f>IF(E17=0,0,E17/TrRail_act!E12*1000)</f>
        <v>0</v>
      </c>
      <c r="F46" s="88">
        <f>IF(F17=0,0,F17/TrRail_act!F12*1000)</f>
        <v>0</v>
      </c>
      <c r="G46" s="88">
        <f>IF(G17=0,0,G17/TrRail_act!G12*1000)</f>
        <v>0</v>
      </c>
      <c r="H46" s="88">
        <f>IF(H17=0,0,H17/TrRail_act!H12*1000)</f>
        <v>0</v>
      </c>
      <c r="I46" s="88">
        <f>IF(I17=0,0,I17/TrRail_act!I12*1000)</f>
        <v>0</v>
      </c>
      <c r="J46" s="88">
        <f>IF(J17=0,0,J17/TrRail_act!J12*1000)</f>
        <v>0</v>
      </c>
      <c r="K46" s="88">
        <f>IF(K17=0,0,K17/TrRail_act!K12*1000)</f>
        <v>0</v>
      </c>
      <c r="L46" s="88">
        <f>IF(L17=0,0,L17/TrRail_act!L12*1000)</f>
        <v>0</v>
      </c>
      <c r="M46" s="88">
        <f>IF(M17=0,0,M17/TrRail_act!M12*1000)</f>
        <v>0</v>
      </c>
      <c r="N46" s="88">
        <f>IF(N17=0,0,N17/TrRail_act!N12*1000)</f>
        <v>0</v>
      </c>
      <c r="O46" s="88">
        <f>IF(O17=0,0,O17/TrRail_act!O12*1000)</f>
        <v>0</v>
      </c>
      <c r="P46" s="88">
        <f>IF(P17=0,0,P17/TrRail_act!P12*1000)</f>
        <v>0</v>
      </c>
      <c r="Q46" s="88">
        <f>IF(Q17=0,0,Q17/TrRail_act!Q12*1000)</f>
        <v>0</v>
      </c>
      <c r="R46" s="88">
        <f>IF(R17=0,0,R17/TrRail_act!R12*1000)</f>
        <v>0</v>
      </c>
      <c r="S46" s="88">
        <f>IF(S17=0,0,S17/TrRail_act!S12*1000)</f>
        <v>0</v>
      </c>
      <c r="T46" s="88">
        <f>IF(T17=0,0,T17/TrRail_act!T12*1000)</f>
        <v>0</v>
      </c>
      <c r="U46" s="88">
        <f>IF(U17=0,0,U17/TrRail_act!U12*1000)</f>
        <v>0</v>
      </c>
      <c r="V46" s="88">
        <f>IF(V17=0,0,V17/TrRail_act!V12*1000)</f>
        <v>0</v>
      </c>
      <c r="W46" s="88">
        <f>IF(W17=0,0,W17/TrRail_act!W12*1000)</f>
        <v>0</v>
      </c>
      <c r="X46" s="88">
        <f>IF(X17=0,0,X17/TrRail_act!X12*1000)</f>
        <v>0</v>
      </c>
      <c r="Y46" s="88">
        <f>IF(Y17=0,0,Y17/TrRail_act!Y12*1000)</f>
        <v>0</v>
      </c>
      <c r="DA46" s="178" t="s">
        <v>1158</v>
      </c>
    </row>
    <row r="47" spans="1:105" x14ac:dyDescent="0.25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DA47" s="171"/>
    </row>
    <row r="48" spans="1:105" ht="11.45" customHeight="1" x14ac:dyDescent="0.25">
      <c r="A48" s="53" t="s">
        <v>94</v>
      </c>
      <c r="B48" s="62">
        <f>IF(B8=0,0,1000000*B8/TrRail_act!B25/1000)</f>
        <v>788.40429529036328</v>
      </c>
      <c r="C48" s="62">
        <f>IF(C8=0,0,1000000*C8/TrRail_act!C25/1000)</f>
        <v>397.81479433481144</v>
      </c>
      <c r="D48" s="62">
        <f>IF(D8=0,0,1000000*D8/TrRail_act!D25/1000)</f>
        <v>475.8892133071048</v>
      </c>
      <c r="E48" s="62">
        <f>IF(E8=0,0,1000000*E8/TrRail_act!E25/1000)</f>
        <v>443.61135446592067</v>
      </c>
      <c r="F48" s="62">
        <f>IF(F8=0,0,1000000*F8/TrRail_act!F25/1000)</f>
        <v>486.64255040774549</v>
      </c>
      <c r="G48" s="62">
        <f>IF(G8=0,0,1000000*G8/TrRail_act!G25/1000)</f>
        <v>181.89311362782308</v>
      </c>
      <c r="H48" s="62">
        <f>IF(H8=0,0,1000000*H8/TrRail_act!H25/1000)</f>
        <v>180.49793872241199</v>
      </c>
      <c r="I48" s="62">
        <f>IF(I8=0,0,1000000*I8/TrRail_act!I25/1000)</f>
        <v>417.52635384953487</v>
      </c>
      <c r="J48" s="62">
        <f>IF(J8=0,0,1000000*J8/TrRail_act!J25/1000)</f>
        <v>391.89716101246404</v>
      </c>
      <c r="K48" s="62">
        <f>IF(K8=0,0,1000000*K8/TrRail_act!K25/1000)</f>
        <v>295.74107142569073</v>
      </c>
      <c r="L48" s="62">
        <f>IF(L8=0,0,1000000*L8/TrRail_act!L25/1000)</f>
        <v>328.1473094947948</v>
      </c>
      <c r="M48" s="62">
        <f>IF(M8=0,0,1000000*M8/TrRail_act!M25/1000)</f>
        <v>405.90823360730997</v>
      </c>
      <c r="N48" s="62">
        <f>IF(N8=0,0,1000000*N8/TrRail_act!N25/1000)</f>
        <v>364.08895722537068</v>
      </c>
      <c r="O48" s="62">
        <f>IF(O8=0,0,1000000*O8/TrRail_act!O25/1000)</f>
        <v>329.30583284544906</v>
      </c>
      <c r="P48" s="62">
        <f>IF(P8=0,0,1000000*P8/TrRail_act!P25/1000)</f>
        <v>228.52881300639939</v>
      </c>
      <c r="Q48" s="62">
        <f>IF(Q8=0,0,1000000*Q8/TrRail_act!Q25/1000)</f>
        <v>240.65855894915614</v>
      </c>
      <c r="R48" s="62">
        <f>IF(R8=0,0,1000000*R8/TrRail_act!R25/1000)</f>
        <v>253.42327379509385</v>
      </c>
      <c r="S48" s="62">
        <f>IF(S8=0,0,1000000*S8/TrRail_act!S25/1000)</f>
        <v>272.78937951056275</v>
      </c>
      <c r="T48" s="62">
        <f>IF(T8=0,0,1000000*T8/TrRail_act!T25/1000)</f>
        <v>242.02652494373027</v>
      </c>
      <c r="U48" s="62">
        <f>IF(U8=0,0,1000000*U8/TrRail_act!U25/1000)</f>
        <v>330.6691251274512</v>
      </c>
      <c r="V48" s="62">
        <f>IF(V8=0,0,1000000*V8/TrRail_act!V25/1000)</f>
        <v>307.84587136433981</v>
      </c>
      <c r="W48" s="62">
        <f>IF(W8=0,0,1000000*W8/TrRail_act!W25/1000)</f>
        <v>349.32794855247005</v>
      </c>
      <c r="X48" s="62">
        <f>IF(X8=0,0,1000000*X8/TrRail_act!X25/1000)</f>
        <v>260.44875754127753</v>
      </c>
      <c r="Y48" s="62">
        <f>IF(Y8=0,0,1000000*Y8/TrRail_act!Y25/1000)</f>
        <v>275.54344568731511</v>
      </c>
      <c r="DA48" s="172" t="s">
        <v>1159</v>
      </c>
    </row>
    <row r="49" spans="1:105" ht="11.45" customHeight="1" x14ac:dyDescent="0.25">
      <c r="A49" s="27" t="s">
        <v>33</v>
      </c>
      <c r="B49" s="29">
        <f>IF(B9=0,0,1000000*B9/TrRail_act!B26/1000)</f>
        <v>636.12878419228605</v>
      </c>
      <c r="C49" s="29">
        <f>IF(C9=0,0,1000000*C9/TrRail_act!C26/1000)</f>
        <v>293.59094632021169</v>
      </c>
      <c r="D49" s="29">
        <f>IF(D9=0,0,1000000*D9/TrRail_act!D26/1000)</f>
        <v>355.95830508076938</v>
      </c>
      <c r="E49" s="29">
        <f>IF(E9=0,0,1000000*E9/TrRail_act!E26/1000)</f>
        <v>389.05860454863307</v>
      </c>
      <c r="F49" s="29">
        <f>IF(F9=0,0,1000000*F9/TrRail_act!F26/1000)</f>
        <v>413.17882726316566</v>
      </c>
      <c r="G49" s="29">
        <f>IF(G9=0,0,1000000*G9/TrRail_act!G26/1000)</f>
        <v>133.3285439521959</v>
      </c>
      <c r="H49" s="29">
        <f>IF(H9=0,0,1000000*H9/TrRail_act!H26/1000)</f>
        <v>125.68398522208585</v>
      </c>
      <c r="I49" s="29">
        <f>IF(I9=0,0,1000000*I9/TrRail_act!I26/1000)</f>
        <v>329.53041346820686</v>
      </c>
      <c r="J49" s="29">
        <f>IF(J9=0,0,1000000*J9/TrRail_act!J26/1000)</f>
        <v>313.63448642534314</v>
      </c>
      <c r="K49" s="29">
        <f>IF(K9=0,0,1000000*K9/TrRail_act!K26/1000)</f>
        <v>253.0883459835766</v>
      </c>
      <c r="L49" s="29">
        <f>IF(L9=0,0,1000000*L9/TrRail_act!L26/1000)</f>
        <v>273.66702129146626</v>
      </c>
      <c r="M49" s="29">
        <f>IF(M9=0,0,1000000*M9/TrRail_act!M26/1000)</f>
        <v>333.11804945199447</v>
      </c>
      <c r="N49" s="29">
        <f>IF(N9=0,0,1000000*N9/TrRail_act!N26/1000)</f>
        <v>302.1683689648188</v>
      </c>
      <c r="O49" s="29">
        <f>IF(O9=0,0,1000000*O9/TrRail_act!O26/1000)</f>
        <v>269.55308630788375</v>
      </c>
      <c r="P49" s="29">
        <f>IF(P9=0,0,1000000*P9/TrRail_act!P26/1000)</f>
        <v>190.47927549010319</v>
      </c>
      <c r="Q49" s="29">
        <f>IF(Q9=0,0,1000000*Q9/TrRail_act!Q26/1000)</f>
        <v>177.9560477710134</v>
      </c>
      <c r="R49" s="29">
        <f>IF(R9=0,0,1000000*R9/TrRail_act!R26/1000)</f>
        <v>186.73774998939015</v>
      </c>
      <c r="S49" s="29">
        <f>IF(S9=0,0,1000000*S9/TrRail_act!S26/1000)</f>
        <v>217.93741600845962</v>
      </c>
      <c r="T49" s="29">
        <f>IF(T9=0,0,1000000*T9/TrRail_act!T26/1000)</f>
        <v>182.684656074781</v>
      </c>
      <c r="U49" s="29">
        <f>IF(U9=0,0,1000000*U9/TrRail_act!U26/1000)</f>
        <v>262.14977202566882</v>
      </c>
      <c r="V49" s="29">
        <f>IF(V9=0,0,1000000*V9/TrRail_act!V26/1000)</f>
        <v>262.75944497428998</v>
      </c>
      <c r="W49" s="29">
        <f>IF(W9=0,0,1000000*W9/TrRail_act!W26/1000)</f>
        <v>257.21614465012175</v>
      </c>
      <c r="X49" s="29">
        <f>IF(X9=0,0,1000000*X9/TrRail_act!X26/1000)</f>
        <v>156.35244606772861</v>
      </c>
      <c r="Y49" s="29">
        <f>IF(Y9=0,0,1000000*Y9/TrRail_act!Y26/1000)</f>
        <v>211.72140055799383</v>
      </c>
      <c r="DA49" s="173" t="s">
        <v>1160</v>
      </c>
    </row>
    <row r="50" spans="1:105" ht="11.45" customHeight="1" x14ac:dyDescent="0.25">
      <c r="A50" s="107" t="s">
        <v>23</v>
      </c>
      <c r="B50" s="115">
        <f>IF(B10=0,0,1000000*B10/TrRail_act!B27/1000)</f>
        <v>0</v>
      </c>
      <c r="C50" s="115">
        <f>IF(C10=0,0,1000000*C10/TrRail_act!C27/1000)</f>
        <v>0</v>
      </c>
      <c r="D50" s="115">
        <f>IF(D10=0,0,1000000*D10/TrRail_act!D27/1000)</f>
        <v>0</v>
      </c>
      <c r="E50" s="115">
        <f>IF(E10=0,0,1000000*E10/TrRail_act!E27/1000)</f>
        <v>0</v>
      </c>
      <c r="F50" s="115">
        <f>IF(F10=0,0,1000000*F10/TrRail_act!F27/1000)</f>
        <v>0</v>
      </c>
      <c r="G50" s="115">
        <f>IF(G10=0,0,1000000*G10/TrRail_act!G27/1000)</f>
        <v>0</v>
      </c>
      <c r="H50" s="115">
        <f>IF(H10=0,0,1000000*H10/TrRail_act!H27/1000)</f>
        <v>0</v>
      </c>
      <c r="I50" s="115">
        <f>IF(I10=0,0,1000000*I10/TrRail_act!I27/1000)</f>
        <v>0</v>
      </c>
      <c r="J50" s="115">
        <f>IF(J10=0,0,1000000*J10/TrRail_act!J27/1000)</f>
        <v>0</v>
      </c>
      <c r="K50" s="115">
        <f>IF(K10=0,0,1000000*K10/TrRail_act!K27/1000)</f>
        <v>0</v>
      </c>
      <c r="L50" s="115">
        <f>IF(L10=0,0,1000000*L10/TrRail_act!L27/1000)</f>
        <v>0</v>
      </c>
      <c r="M50" s="115">
        <f>IF(M10=0,0,1000000*M10/TrRail_act!M27/1000)</f>
        <v>0</v>
      </c>
      <c r="N50" s="115">
        <f>IF(N10=0,0,1000000*N10/TrRail_act!N27/1000)</f>
        <v>0</v>
      </c>
      <c r="O50" s="115">
        <f>IF(O10=0,0,1000000*O10/TrRail_act!O27/1000)</f>
        <v>0</v>
      </c>
      <c r="P50" s="115">
        <f>IF(P10=0,0,1000000*P10/TrRail_act!P27/1000)</f>
        <v>0</v>
      </c>
      <c r="Q50" s="115">
        <f>IF(Q10=0,0,1000000*Q10/TrRail_act!Q27/1000)</f>
        <v>0</v>
      </c>
      <c r="R50" s="115">
        <f>IF(R10=0,0,1000000*R10/TrRail_act!R27/1000)</f>
        <v>0</v>
      </c>
      <c r="S50" s="115">
        <f>IF(S10=0,0,1000000*S10/TrRail_act!S27/1000)</f>
        <v>0</v>
      </c>
      <c r="T50" s="115">
        <f>IF(T10=0,0,1000000*T10/TrRail_act!T27/1000)</f>
        <v>0</v>
      </c>
      <c r="U50" s="115">
        <f>IF(U10=0,0,1000000*U10/TrRail_act!U27/1000)</f>
        <v>0</v>
      </c>
      <c r="V50" s="115">
        <f>IF(V10=0,0,1000000*V10/TrRail_act!V27/1000)</f>
        <v>0</v>
      </c>
      <c r="W50" s="115">
        <f>IF(W10=0,0,1000000*W10/TrRail_act!W27/1000)</f>
        <v>0</v>
      </c>
      <c r="X50" s="115">
        <f>IF(X10=0,0,1000000*X10/TrRail_act!X27/1000)</f>
        <v>0</v>
      </c>
      <c r="Y50" s="115">
        <f>IF(Y10=0,0,1000000*Y10/TrRail_act!Y27/1000)</f>
        <v>0</v>
      </c>
      <c r="DA50" s="203" t="s">
        <v>1161</v>
      </c>
    </row>
    <row r="51" spans="1:105" ht="11.45" customHeight="1" x14ac:dyDescent="0.25">
      <c r="A51" s="109" t="s">
        <v>24</v>
      </c>
      <c r="B51" s="116">
        <f>IF(B11=0,0,1000000*B11/TrRail_act!B28/1000)</f>
        <v>1593.3446640574948</v>
      </c>
      <c r="C51" s="116">
        <f>IF(C11=0,0,1000000*C11/TrRail_act!C28/1000)</f>
        <v>757.07548681068863</v>
      </c>
      <c r="D51" s="116">
        <f>IF(D11=0,0,1000000*D11/TrRail_act!D28/1000)</f>
        <v>812.68197477222122</v>
      </c>
      <c r="E51" s="116">
        <f>IF(E11=0,0,1000000*E11/TrRail_act!E28/1000)</f>
        <v>914.52281786932087</v>
      </c>
      <c r="F51" s="116">
        <f>IF(F11=0,0,1000000*F11/TrRail_act!F28/1000)</f>
        <v>991.77614014809637</v>
      </c>
      <c r="G51" s="116">
        <f>IF(G11=0,0,1000000*G11/TrRail_act!G28/1000)</f>
        <v>354.1735272815302</v>
      </c>
      <c r="H51" s="116">
        <f>IF(H11=0,0,1000000*H11/TrRail_act!H28/1000)</f>
        <v>365.92119453677719</v>
      </c>
      <c r="I51" s="116">
        <f>IF(I11=0,0,1000000*I11/TrRail_act!I28/1000)</f>
        <v>869.84948775933594</v>
      </c>
      <c r="J51" s="116">
        <f>IF(J11=0,0,1000000*J11/TrRail_act!J28/1000)</f>
        <v>866.04319456954556</v>
      </c>
      <c r="K51" s="116">
        <f>IF(K11=0,0,1000000*K11/TrRail_act!K28/1000)</f>
        <v>768.24252472295836</v>
      </c>
      <c r="L51" s="116">
        <f>IF(L11=0,0,1000000*L11/TrRail_act!L28/1000)</f>
        <v>820.43284188593782</v>
      </c>
      <c r="M51" s="116">
        <f>IF(M11=0,0,1000000*M11/TrRail_act!M28/1000)</f>
        <v>911.57664026896487</v>
      </c>
      <c r="N51" s="116">
        <f>IF(N11=0,0,1000000*N11/TrRail_act!N28/1000)</f>
        <v>888.24405040466308</v>
      </c>
      <c r="O51" s="116">
        <f>IF(O11=0,0,1000000*O11/TrRail_act!O28/1000)</f>
        <v>847.52240276800717</v>
      </c>
      <c r="P51" s="116">
        <f>IF(P11=0,0,1000000*P11/TrRail_act!P28/1000)</f>
        <v>636.04978881956185</v>
      </c>
      <c r="Q51" s="116">
        <f>IF(Q11=0,0,1000000*Q11/TrRail_act!Q28/1000)</f>
        <v>537.80944663000048</v>
      </c>
      <c r="R51" s="116">
        <f>IF(R11=0,0,1000000*R11/TrRail_act!R28/1000)</f>
        <v>574.74280818811553</v>
      </c>
      <c r="S51" s="116">
        <f>IF(S11=0,0,1000000*S11/TrRail_act!S28/1000)</f>
        <v>602.24602494879798</v>
      </c>
      <c r="T51" s="116">
        <f>IF(T11=0,0,1000000*T11/TrRail_act!T28/1000)</f>
        <v>510.02122686457579</v>
      </c>
      <c r="U51" s="116">
        <f>IF(U11=0,0,1000000*U11/TrRail_act!U28/1000)</f>
        <v>625.98872164472698</v>
      </c>
      <c r="V51" s="116">
        <f>IF(V11=0,0,1000000*V11/TrRail_act!V28/1000)</f>
        <v>608.84080826176591</v>
      </c>
      <c r="W51" s="116">
        <f>IF(W11=0,0,1000000*W11/TrRail_act!W28/1000)</f>
        <v>580.84057574931023</v>
      </c>
      <c r="X51" s="116">
        <f>IF(X11=0,0,1000000*X11/TrRail_act!X28/1000)</f>
        <v>414.40276971937107</v>
      </c>
      <c r="Y51" s="116">
        <f>IF(Y11=0,0,1000000*Y11/TrRail_act!Y28/1000)</f>
        <v>533.30332940232051</v>
      </c>
      <c r="DA51" s="176" t="s">
        <v>1162</v>
      </c>
    </row>
    <row r="52" spans="1:105" ht="11.45" customHeight="1" x14ac:dyDescent="0.25">
      <c r="A52" s="111" t="s">
        <v>92</v>
      </c>
      <c r="B52" s="87">
        <f>IF(B12=0,0,1000000*B12/TrRail_act!B29/1000)</f>
        <v>1840.638432756472</v>
      </c>
      <c r="C52" s="87">
        <f>IF(C12=0,0,1000000*C12/TrRail_act!C29/1000)</f>
        <v>926.24885440352728</v>
      </c>
      <c r="D52" s="87">
        <f>IF(D12=0,0,1000000*D12/TrRail_act!D29/1000)</f>
        <v>1376.2579909704405</v>
      </c>
      <c r="E52" s="87">
        <f>IF(E12=0,0,1000000*E12/TrRail_act!E29/1000)</f>
        <v>1619.0463007584424</v>
      </c>
      <c r="F52" s="87">
        <f>IF(F12=0,0,1000000*F12/TrRail_act!F29/1000)</f>
        <v>1677.6638588568001</v>
      </c>
      <c r="G52" s="87">
        <f>IF(G12=0,0,1000000*G12/TrRail_act!G29/1000)</f>
        <v>628.01177618605402</v>
      </c>
      <c r="H52" s="87">
        <f>IF(H12=0,0,1000000*H12/TrRail_act!H29/1000)</f>
        <v>689.4170946860271</v>
      </c>
      <c r="I52" s="87">
        <f>IF(I12=0,0,1000000*I12/TrRail_act!I29/1000)</f>
        <v>1393.5328156098108</v>
      </c>
      <c r="J52" s="87">
        <f>IF(J12=0,0,1000000*J12/TrRail_act!J29/1000)</f>
        <v>1390.9680875330746</v>
      </c>
      <c r="K52" s="87">
        <f>IF(K12=0,0,1000000*K12/TrRail_act!K29/1000)</f>
        <v>1286.2432089757417</v>
      </c>
      <c r="L52" s="87">
        <f>IF(L12=0,0,1000000*L12/TrRail_act!L29/1000)</f>
        <v>1305.7113037750487</v>
      </c>
      <c r="M52" s="87">
        <f>IF(M12=0,0,1000000*M12/TrRail_act!M29/1000)</f>
        <v>1311.6646656473349</v>
      </c>
      <c r="N52" s="87">
        <f>IF(N12=0,0,1000000*N12/TrRail_act!N29/1000)</f>
        <v>1307.8872260415048</v>
      </c>
      <c r="O52" s="87">
        <f>IF(O12=0,0,1000000*O12/TrRail_act!O29/1000)</f>
        <v>1278.5426480197716</v>
      </c>
      <c r="P52" s="87">
        <f>IF(P12=0,0,1000000*P12/TrRail_act!P29/1000)</f>
        <v>991.2952782025443</v>
      </c>
      <c r="Q52" s="87">
        <f>IF(Q12=0,0,1000000*Q12/TrRail_act!Q29/1000)</f>
        <v>1053.1291235947297</v>
      </c>
      <c r="R52" s="87">
        <f>IF(R12=0,0,1000000*R12/TrRail_act!R29/1000)</f>
        <v>1216.4097624568549</v>
      </c>
      <c r="S52" s="87">
        <f>IF(S12=0,0,1000000*S12/TrRail_act!S29/1000)</f>
        <v>1230.7486097364381</v>
      </c>
      <c r="T52" s="87">
        <f>IF(T12=0,0,1000000*T12/TrRail_act!T29/1000)</f>
        <v>1138.4934939249624</v>
      </c>
      <c r="U52" s="87">
        <f>IF(U12=0,0,1000000*U12/TrRail_act!U29/1000)</f>
        <v>1224.9147597563635</v>
      </c>
      <c r="V52" s="87">
        <f>IF(V12=0,0,1000000*V12/TrRail_act!V29/1000)</f>
        <v>1222.6492484880689</v>
      </c>
      <c r="W52" s="87">
        <f>IF(W12=0,0,1000000*W12/TrRail_act!W29/1000)</f>
        <v>1221.1322897425916</v>
      </c>
      <c r="X52" s="87">
        <f>IF(X12=0,0,1000000*X12/TrRail_act!X29/1000)</f>
        <v>954.87214499592324</v>
      </c>
      <c r="Y52" s="87">
        <f>IF(Y12=0,0,1000000*Y12/TrRail_act!Y29/1000)</f>
        <v>1218.9294505564101</v>
      </c>
      <c r="DA52" s="171" t="s">
        <v>1163</v>
      </c>
    </row>
    <row r="53" spans="1:105" ht="11.45" customHeight="1" x14ac:dyDescent="0.25">
      <c r="A53" s="111" t="s">
        <v>93</v>
      </c>
      <c r="B53" s="87">
        <f>IF(B13=0,0,1000000*B13/TrRail_act!B30/1000)</f>
        <v>0</v>
      </c>
      <c r="C53" s="87">
        <f>IF(C13=0,0,1000000*C13/TrRail_act!C30/1000)</f>
        <v>0</v>
      </c>
      <c r="D53" s="87">
        <f>IF(D13=0,0,1000000*D13/TrRail_act!D30/1000)</f>
        <v>0</v>
      </c>
      <c r="E53" s="87">
        <f>IF(E13=0,0,1000000*E13/TrRail_act!E30/1000)</f>
        <v>0</v>
      </c>
      <c r="F53" s="87">
        <f>IF(F13=0,0,1000000*F13/TrRail_act!F30/1000)</f>
        <v>0</v>
      </c>
      <c r="G53" s="87">
        <f>IF(G13=0,0,1000000*G13/TrRail_act!G30/1000)</f>
        <v>0</v>
      </c>
      <c r="H53" s="87">
        <f>IF(H13=0,0,1000000*H13/TrRail_act!H30/1000)</f>
        <v>0</v>
      </c>
      <c r="I53" s="87">
        <f>IF(I13=0,0,1000000*I13/TrRail_act!I30/1000)</f>
        <v>0</v>
      </c>
      <c r="J53" s="87">
        <f>IF(J13=0,0,1000000*J13/TrRail_act!J30/1000)</f>
        <v>0</v>
      </c>
      <c r="K53" s="87">
        <f>IF(K13=0,0,1000000*K13/TrRail_act!K30/1000)</f>
        <v>0</v>
      </c>
      <c r="L53" s="87">
        <f>IF(L13=0,0,1000000*L13/TrRail_act!L30/1000)</f>
        <v>0</v>
      </c>
      <c r="M53" s="87">
        <f>IF(M13=0,0,1000000*M13/TrRail_act!M30/1000)</f>
        <v>0</v>
      </c>
      <c r="N53" s="87">
        <f>IF(N13=0,0,1000000*N13/TrRail_act!N30/1000)</f>
        <v>0</v>
      </c>
      <c r="O53" s="87">
        <f>IF(O13=0,0,1000000*O13/TrRail_act!O30/1000)</f>
        <v>0</v>
      </c>
      <c r="P53" s="87">
        <f>IF(P13=0,0,1000000*P13/TrRail_act!P30/1000)</f>
        <v>0</v>
      </c>
      <c r="Q53" s="87">
        <f>IF(Q13=0,0,1000000*Q13/TrRail_act!Q30/1000)</f>
        <v>0</v>
      </c>
      <c r="R53" s="87">
        <f>IF(R13=0,0,1000000*R13/TrRail_act!R30/1000)</f>
        <v>0</v>
      </c>
      <c r="S53" s="87">
        <f>IF(S13=0,0,1000000*S13/TrRail_act!S30/1000)</f>
        <v>0</v>
      </c>
      <c r="T53" s="87">
        <f>IF(T13=0,0,1000000*T13/TrRail_act!T30/1000)</f>
        <v>0</v>
      </c>
      <c r="U53" s="87">
        <f>IF(U13=0,0,1000000*U13/TrRail_act!U30/1000)</f>
        <v>0</v>
      </c>
      <c r="V53" s="87">
        <f>IF(V13=0,0,1000000*V13/TrRail_act!V30/1000)</f>
        <v>0</v>
      </c>
      <c r="W53" s="87">
        <f>IF(W13=0,0,1000000*W13/TrRail_act!W30/1000)</f>
        <v>0</v>
      </c>
      <c r="X53" s="87">
        <f>IF(X13=0,0,1000000*X13/TrRail_act!X30/1000)</f>
        <v>0</v>
      </c>
      <c r="Y53" s="87">
        <f>IF(Y13=0,0,1000000*Y13/TrRail_act!Y30/1000)</f>
        <v>0</v>
      </c>
      <c r="DA53" s="171" t="s">
        <v>1164</v>
      </c>
    </row>
    <row r="54" spans="1:105" ht="11.45" customHeight="1" x14ac:dyDescent="0.25">
      <c r="A54" s="112" t="s">
        <v>25</v>
      </c>
      <c r="B54" s="117">
        <f>IF(B14=0,0,1000000*B14/TrRail_act!B31/1000)</f>
        <v>0</v>
      </c>
      <c r="C54" s="117">
        <f>IF(C14=0,0,1000000*C14/TrRail_act!C31/1000)</f>
        <v>0</v>
      </c>
      <c r="D54" s="117">
        <f>IF(D14=0,0,1000000*D14/TrRail_act!D31/1000)</f>
        <v>0</v>
      </c>
      <c r="E54" s="117">
        <f>IF(E14=0,0,1000000*E14/TrRail_act!E31/1000)</f>
        <v>0</v>
      </c>
      <c r="F54" s="117">
        <f>IF(F14=0,0,1000000*F14/TrRail_act!F31/1000)</f>
        <v>0</v>
      </c>
      <c r="G54" s="117">
        <f>IF(G14=0,0,1000000*G14/TrRail_act!G31/1000)</f>
        <v>0</v>
      </c>
      <c r="H54" s="117">
        <f>IF(H14=0,0,1000000*H14/TrRail_act!H31/1000)</f>
        <v>0</v>
      </c>
      <c r="I54" s="117">
        <f>IF(I14=0,0,1000000*I14/TrRail_act!I31/1000)</f>
        <v>0</v>
      </c>
      <c r="J54" s="117">
        <f>IF(J14=0,0,1000000*J14/TrRail_act!J31/1000)</f>
        <v>0</v>
      </c>
      <c r="K54" s="117">
        <f>IF(K14=0,0,1000000*K14/TrRail_act!K31/1000)</f>
        <v>0</v>
      </c>
      <c r="L54" s="117">
        <f>IF(L14=0,0,1000000*L14/TrRail_act!L31/1000)</f>
        <v>0</v>
      </c>
      <c r="M54" s="117">
        <f>IF(M14=0,0,1000000*M14/TrRail_act!M31/1000)</f>
        <v>0</v>
      </c>
      <c r="N54" s="117">
        <f>IF(N14=0,0,1000000*N14/TrRail_act!N31/1000)</f>
        <v>0</v>
      </c>
      <c r="O54" s="117">
        <f>IF(O14=0,0,1000000*O14/TrRail_act!O31/1000)</f>
        <v>0</v>
      </c>
      <c r="P54" s="117">
        <f>IF(P14=0,0,1000000*P14/TrRail_act!P31/1000)</f>
        <v>0</v>
      </c>
      <c r="Q54" s="117">
        <f>IF(Q14=0,0,1000000*Q14/TrRail_act!Q31/1000)</f>
        <v>0</v>
      </c>
      <c r="R54" s="117">
        <f>IF(R14=0,0,1000000*R14/TrRail_act!R31/1000)</f>
        <v>0</v>
      </c>
      <c r="S54" s="117">
        <f>IF(S14=0,0,1000000*S14/TrRail_act!S31/1000)</f>
        <v>0</v>
      </c>
      <c r="T54" s="117">
        <f>IF(T14=0,0,1000000*T14/TrRail_act!T31/1000)</f>
        <v>0</v>
      </c>
      <c r="U54" s="117">
        <f>IF(U14=0,0,1000000*U14/TrRail_act!U31/1000)</f>
        <v>0</v>
      </c>
      <c r="V54" s="117">
        <f>IF(V14=0,0,1000000*V14/TrRail_act!V31/1000)</f>
        <v>0</v>
      </c>
      <c r="W54" s="117">
        <f>IF(W14=0,0,1000000*W14/TrRail_act!W31/1000)</f>
        <v>0</v>
      </c>
      <c r="X54" s="117">
        <f>IF(X14=0,0,1000000*X14/TrRail_act!X31/1000)</f>
        <v>0</v>
      </c>
      <c r="Y54" s="117">
        <f>IF(Y14=0,0,1000000*Y14/TrRail_act!Y31/1000)</f>
        <v>0</v>
      </c>
      <c r="DA54" s="204" t="s">
        <v>1165</v>
      </c>
    </row>
    <row r="55" spans="1:105" ht="11.45" customHeight="1" x14ac:dyDescent="0.25">
      <c r="A55" s="27" t="s">
        <v>34</v>
      </c>
      <c r="B55" s="29">
        <f>IF(B15=0,0,1000000*B15/TrRail_act!B32/1000)</f>
        <v>2285.665053776067</v>
      </c>
      <c r="C55" s="29">
        <f>IF(C15=0,0,1000000*C15/TrRail_act!C32/1000)</f>
        <v>1373.6413640223611</v>
      </c>
      <c r="D55" s="29">
        <f>IF(D15=0,0,1000000*D15/TrRail_act!D32/1000)</f>
        <v>1367.6540988970924</v>
      </c>
      <c r="E55" s="29">
        <f>IF(E15=0,0,1000000*E15/TrRail_act!E32/1000)</f>
        <v>817.66602818464628</v>
      </c>
      <c r="F55" s="29">
        <f>IF(F15=0,0,1000000*F15/TrRail_act!F32/1000)</f>
        <v>1020.6561496013088</v>
      </c>
      <c r="G55" s="29">
        <f>IF(G15=0,0,1000000*G15/TrRail_act!G32/1000)</f>
        <v>563.91455779906278</v>
      </c>
      <c r="H55" s="29">
        <f>IF(H15=0,0,1000000*H15/TrRail_act!H32/1000)</f>
        <v>640.64066991233585</v>
      </c>
      <c r="I55" s="29">
        <f>IF(I15=0,0,1000000*I15/TrRail_act!I32/1000)</f>
        <v>1158.9965208035953</v>
      </c>
      <c r="J55" s="29">
        <f>IF(J15=0,0,1000000*J15/TrRail_act!J32/1000)</f>
        <v>1102.0255095062403</v>
      </c>
      <c r="K55" s="29">
        <f>IF(K15=0,0,1000000*K15/TrRail_act!K32/1000)</f>
        <v>714.07474185010176</v>
      </c>
      <c r="L55" s="29">
        <f>IF(L15=0,0,1000000*L15/TrRail_act!L32/1000)</f>
        <v>925.69980046012029</v>
      </c>
      <c r="M55" s="29">
        <f>IF(M15=0,0,1000000*M15/TrRail_act!M32/1000)</f>
        <v>1064.7435846383692</v>
      </c>
      <c r="N55" s="29">
        <f>IF(N15=0,0,1000000*N15/TrRail_act!N32/1000)</f>
        <v>989.47025425424147</v>
      </c>
      <c r="O55" s="29">
        <f>IF(O15=0,0,1000000*O15/TrRail_act!O32/1000)</f>
        <v>953.0918948350793</v>
      </c>
      <c r="P55" s="29">
        <f>IF(P15=0,0,1000000*P15/TrRail_act!P32/1000)</f>
        <v>643.67652478735749</v>
      </c>
      <c r="Q55" s="29">
        <f>IF(Q15=0,0,1000000*Q15/TrRail_act!Q32/1000)</f>
        <v>859.07371187949821</v>
      </c>
      <c r="R55" s="29">
        <f>IF(R15=0,0,1000000*R15/TrRail_act!R32/1000)</f>
        <v>878.17286363193011</v>
      </c>
      <c r="S55" s="29">
        <f>IF(S15=0,0,1000000*S15/TrRail_act!S32/1000)</f>
        <v>765.77191848118366</v>
      </c>
      <c r="T55" s="29">
        <f>IF(T15=0,0,1000000*T15/TrRail_act!T32/1000)</f>
        <v>741.7620908681746</v>
      </c>
      <c r="U55" s="29">
        <f>IF(U15=0,0,1000000*U15/TrRail_act!U32/1000)</f>
        <v>877.87684550810491</v>
      </c>
      <c r="V55" s="29">
        <f>IF(V15=0,0,1000000*V15/TrRail_act!V32/1000)</f>
        <v>641.63236250018315</v>
      </c>
      <c r="W55" s="29">
        <f>IF(W15=0,0,1000000*W15/TrRail_act!W32/1000)</f>
        <v>879.18276105664813</v>
      </c>
      <c r="X55" s="29">
        <f>IF(X15=0,0,1000000*X15/TrRail_act!X32/1000)</f>
        <v>910.30342679716034</v>
      </c>
      <c r="Y55" s="29">
        <f>IF(Y15=0,0,1000000*Y15/TrRail_act!Y32/1000)</f>
        <v>672.34996633448804</v>
      </c>
      <c r="DA55" s="173" t="s">
        <v>1166</v>
      </c>
    </row>
    <row r="56" spans="1:105" ht="11.45" customHeight="1" x14ac:dyDescent="0.25">
      <c r="A56" s="83" t="s">
        <v>92</v>
      </c>
      <c r="B56" s="87">
        <f>IF(B16=0,0,1000000*B16/TrRail_act!B33/1000)</f>
        <v>3968.2189636327057</v>
      </c>
      <c r="C56" s="87">
        <f>IF(C16=0,0,1000000*C16/TrRail_act!C33/1000)</f>
        <v>2730.7366859785679</v>
      </c>
      <c r="D56" s="87">
        <f>IF(D16=0,0,1000000*D16/TrRail_act!D33/1000)</f>
        <v>3805.6938768920299</v>
      </c>
      <c r="E56" s="87">
        <f>IF(E16=0,0,1000000*E16/TrRail_act!E33/1000)</f>
        <v>2620.905056111023</v>
      </c>
      <c r="F56" s="87">
        <f>IF(F16=0,0,1000000*F16/TrRail_act!F33/1000)</f>
        <v>3735.2718998258542</v>
      </c>
      <c r="G56" s="87">
        <f>IF(G16=0,0,1000000*G16/TrRail_act!G33/1000)</f>
        <v>2250.1402231555962</v>
      </c>
      <c r="H56" s="87">
        <f>IF(H16=0,0,1000000*H16/TrRail_act!H33/1000)</f>
        <v>2855.9256030043216</v>
      </c>
      <c r="I56" s="87">
        <f>IF(I16=0,0,1000000*I16/TrRail_act!I33/1000)</f>
        <v>3607.8916621199596</v>
      </c>
      <c r="J56" s="87">
        <f>IF(J16=0,0,1000000*J16/TrRail_act!J33/1000)</f>
        <v>3574.9501955488649</v>
      </c>
      <c r="K56" s="87">
        <f>IF(K16=0,0,1000000*K16/TrRail_act!K33/1000)</f>
        <v>2503.0335671146577</v>
      </c>
      <c r="L56" s="87">
        <f>IF(L16=0,0,1000000*L16/TrRail_act!L33/1000)</f>
        <v>3484.9697279271331</v>
      </c>
      <c r="M56" s="87">
        <f>IF(M16=0,0,1000000*M16/TrRail_act!M33/1000)</f>
        <v>3476.158816686112</v>
      </c>
      <c r="N56" s="87">
        <f>IF(N16=0,0,1000000*N16/TrRail_act!N33/1000)</f>
        <v>3409.157721921104</v>
      </c>
      <c r="O56" s="87">
        <f>IF(O16=0,0,1000000*O16/TrRail_act!O33/1000)</f>
        <v>3333.9523940820136</v>
      </c>
      <c r="P56" s="87">
        <f>IF(P16=0,0,1000000*P16/TrRail_act!P33/1000)</f>
        <v>2470.2511029931361</v>
      </c>
      <c r="Q56" s="87">
        <f>IF(Q16=0,0,1000000*Q16/TrRail_act!Q33/1000)</f>
        <v>3258.0778589048568</v>
      </c>
      <c r="R56" s="87">
        <f>IF(R16=0,0,1000000*R16/TrRail_act!R33/1000)</f>
        <v>3231.6027519607896</v>
      </c>
      <c r="S56" s="87">
        <f>IF(S16=0,0,1000000*S16/TrRail_act!S33/1000)</f>
        <v>3214.6596646155258</v>
      </c>
      <c r="T56" s="87">
        <f>IF(T16=0,0,1000000*T16/TrRail_act!T33/1000)</f>
        <v>3203.6497215798045</v>
      </c>
      <c r="U56" s="87">
        <f>IF(U16=0,0,1000000*U16/TrRail_act!U33/1000)</f>
        <v>3194.3950131902193</v>
      </c>
      <c r="V56" s="87">
        <f>IF(V16=0,0,1000000*V16/TrRail_act!V33/1000)</f>
        <v>2785.3057273117379</v>
      </c>
      <c r="W56" s="87">
        <f>IF(W16=0,0,1000000*W16/TrRail_act!W33/1000)</f>
        <v>3181.7154716115451</v>
      </c>
      <c r="X56" s="87">
        <f>IF(X16=0,0,1000000*X16/TrRail_act!X33/1000)</f>
        <v>3176.9465058029696</v>
      </c>
      <c r="Y56" s="87">
        <f>IF(Y16=0,0,1000000*Y16/TrRail_act!Y33/1000)</f>
        <v>2520.9437281652508</v>
      </c>
      <c r="DA56" s="171" t="s">
        <v>1167</v>
      </c>
    </row>
    <row r="57" spans="1:105" ht="11.45" customHeight="1" x14ac:dyDescent="0.25">
      <c r="A57" s="85" t="s">
        <v>93</v>
      </c>
      <c r="B57" s="88">
        <f>IF(B17=0,0,1000000*B17/TrRail_act!B34/1000)</f>
        <v>0</v>
      </c>
      <c r="C57" s="88">
        <f>IF(C17=0,0,1000000*C17/TrRail_act!C34/1000)</f>
        <v>0</v>
      </c>
      <c r="D57" s="88">
        <f>IF(D17=0,0,1000000*D17/TrRail_act!D34/1000)</f>
        <v>0</v>
      </c>
      <c r="E57" s="88">
        <f>IF(E17=0,0,1000000*E17/TrRail_act!E34/1000)</f>
        <v>0</v>
      </c>
      <c r="F57" s="88">
        <f>IF(F17=0,0,1000000*F17/TrRail_act!F34/1000)</f>
        <v>0</v>
      </c>
      <c r="G57" s="88">
        <f>IF(G17=0,0,1000000*G17/TrRail_act!G34/1000)</f>
        <v>0</v>
      </c>
      <c r="H57" s="88">
        <f>IF(H17=0,0,1000000*H17/TrRail_act!H34/1000)</f>
        <v>0</v>
      </c>
      <c r="I57" s="88">
        <f>IF(I17=0,0,1000000*I17/TrRail_act!I34/1000)</f>
        <v>0</v>
      </c>
      <c r="J57" s="88">
        <f>IF(J17=0,0,1000000*J17/TrRail_act!J34/1000)</f>
        <v>0</v>
      </c>
      <c r="K57" s="88">
        <f>IF(K17=0,0,1000000*K17/TrRail_act!K34/1000)</f>
        <v>0</v>
      </c>
      <c r="L57" s="88">
        <f>IF(L17=0,0,1000000*L17/TrRail_act!L34/1000)</f>
        <v>0</v>
      </c>
      <c r="M57" s="88">
        <f>IF(M17=0,0,1000000*M17/TrRail_act!M34/1000)</f>
        <v>0</v>
      </c>
      <c r="N57" s="88">
        <f>IF(N17=0,0,1000000*N17/TrRail_act!N34/1000)</f>
        <v>0</v>
      </c>
      <c r="O57" s="88">
        <f>IF(O17=0,0,1000000*O17/TrRail_act!O34/1000)</f>
        <v>0</v>
      </c>
      <c r="P57" s="88">
        <f>IF(P17=0,0,1000000*P17/TrRail_act!P34/1000)</f>
        <v>0</v>
      </c>
      <c r="Q57" s="88">
        <f>IF(Q17=0,0,1000000*Q17/TrRail_act!Q34/1000)</f>
        <v>0</v>
      </c>
      <c r="R57" s="88">
        <f>IF(R17=0,0,1000000*R17/TrRail_act!R34/1000)</f>
        <v>0</v>
      </c>
      <c r="S57" s="88">
        <f>IF(S17=0,0,1000000*S17/TrRail_act!S34/1000)</f>
        <v>0</v>
      </c>
      <c r="T57" s="88">
        <f>IF(T17=0,0,1000000*T17/TrRail_act!T34/1000)</f>
        <v>0</v>
      </c>
      <c r="U57" s="88">
        <f>IF(U17=0,0,1000000*U17/TrRail_act!U34/1000)</f>
        <v>0</v>
      </c>
      <c r="V57" s="88">
        <f>IF(V17=0,0,1000000*V17/TrRail_act!V34/1000)</f>
        <v>0</v>
      </c>
      <c r="W57" s="88">
        <f>IF(W17=0,0,1000000*W17/TrRail_act!W34/1000)</f>
        <v>0</v>
      </c>
      <c r="X57" s="88">
        <f>IF(X17=0,0,1000000*X17/TrRail_act!X34/1000)</f>
        <v>0</v>
      </c>
      <c r="Y57" s="88">
        <f>IF(Y17=0,0,1000000*Y17/TrRail_act!Y34/1000)</f>
        <v>0</v>
      </c>
      <c r="DA57" s="178" t="s">
        <v>1168</v>
      </c>
    </row>
    <row r="58" spans="1:105" x14ac:dyDescent="0.25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DA58" s="171"/>
    </row>
    <row r="59" spans="1:105" ht="11.45" customHeight="1" x14ac:dyDescent="0.25">
      <c r="A59" s="53" t="s">
        <v>41</v>
      </c>
      <c r="B59" s="65">
        <f t="shared" ref="B59:B68" si="10">IF(B8=0,0,B8/B$8)</f>
        <v>1</v>
      </c>
      <c r="C59" s="65">
        <f t="shared" ref="C59:V59" si="11">IF(C8=0,0,C8/C$8)</f>
        <v>1</v>
      </c>
      <c r="D59" s="65">
        <f t="shared" si="11"/>
        <v>1</v>
      </c>
      <c r="E59" s="65">
        <f t="shared" si="11"/>
        <v>1</v>
      </c>
      <c r="F59" s="65">
        <f t="shared" si="11"/>
        <v>1</v>
      </c>
      <c r="G59" s="65">
        <f t="shared" si="11"/>
        <v>1</v>
      </c>
      <c r="H59" s="65">
        <f t="shared" si="11"/>
        <v>1</v>
      </c>
      <c r="I59" s="65">
        <f t="shared" si="11"/>
        <v>1</v>
      </c>
      <c r="J59" s="65">
        <f t="shared" si="11"/>
        <v>1</v>
      </c>
      <c r="K59" s="65">
        <f t="shared" si="11"/>
        <v>1</v>
      </c>
      <c r="L59" s="65">
        <f t="shared" si="11"/>
        <v>1</v>
      </c>
      <c r="M59" s="65">
        <f t="shared" si="11"/>
        <v>1</v>
      </c>
      <c r="N59" s="65">
        <f t="shared" si="11"/>
        <v>1</v>
      </c>
      <c r="O59" s="65">
        <f t="shared" si="11"/>
        <v>1</v>
      </c>
      <c r="P59" s="65">
        <f t="shared" si="11"/>
        <v>1</v>
      </c>
      <c r="Q59" s="65">
        <f t="shared" si="11"/>
        <v>1</v>
      </c>
      <c r="R59" s="65">
        <f t="shared" si="11"/>
        <v>1</v>
      </c>
      <c r="S59" s="65">
        <f t="shared" si="11"/>
        <v>1</v>
      </c>
      <c r="T59" s="65">
        <f t="shared" si="11"/>
        <v>1</v>
      </c>
      <c r="U59" s="65">
        <f t="shared" si="11"/>
        <v>1</v>
      </c>
      <c r="V59" s="65">
        <f t="shared" si="11"/>
        <v>1</v>
      </c>
      <c r="W59" s="65">
        <f t="shared" ref="W59:Y59" si="12">IF(W8=0,0,W8/W$8)</f>
        <v>1</v>
      </c>
      <c r="X59" s="65">
        <f t="shared" si="12"/>
        <v>1</v>
      </c>
      <c r="Y59" s="65">
        <f t="shared" si="12"/>
        <v>1</v>
      </c>
      <c r="DA59" s="172"/>
    </row>
    <row r="60" spans="1:105" ht="11.45" customHeight="1" x14ac:dyDescent="0.25">
      <c r="A60" s="27" t="s">
        <v>33</v>
      </c>
      <c r="B60" s="31">
        <f t="shared" si="10"/>
        <v>0.73237184304060254</v>
      </c>
      <c r="C60" s="31">
        <f t="shared" ref="C60:V60" si="13">IF(C9=0,0,C9/C$8)</f>
        <v>0.66679193511538704</v>
      </c>
      <c r="D60" s="31">
        <f t="shared" si="13"/>
        <v>0.65931611698572057</v>
      </c>
      <c r="E60" s="31">
        <f t="shared" si="13"/>
        <v>0.76539878369665681</v>
      </c>
      <c r="F60" s="31">
        <f t="shared" si="13"/>
        <v>0.74636321375879533</v>
      </c>
      <c r="G60" s="31">
        <f t="shared" si="13"/>
        <v>0.65033136769380562</v>
      </c>
      <c r="H60" s="31">
        <f t="shared" si="13"/>
        <v>0.6221993629766277</v>
      </c>
      <c r="I60" s="31">
        <f t="shared" si="13"/>
        <v>0.70551564231234887</v>
      </c>
      <c r="J60" s="31">
        <f t="shared" si="13"/>
        <v>0.72085326968701335</v>
      </c>
      <c r="K60" s="31">
        <f t="shared" si="13"/>
        <v>0.77659612201821804</v>
      </c>
      <c r="L60" s="31">
        <f t="shared" si="13"/>
        <v>0.7642936463561244</v>
      </c>
      <c r="M60" s="31">
        <f t="shared" si="13"/>
        <v>0.73902366099799399</v>
      </c>
      <c r="N60" s="31">
        <f t="shared" si="13"/>
        <v>0.75515977258115374</v>
      </c>
      <c r="O60" s="31">
        <f t="shared" si="13"/>
        <v>0.74699444979897289</v>
      </c>
      <c r="P60" s="31">
        <f t="shared" si="13"/>
        <v>0.76352304543603988</v>
      </c>
      <c r="Q60" s="31">
        <f t="shared" si="13"/>
        <v>0.67138157593084824</v>
      </c>
      <c r="R60" s="31">
        <f t="shared" si="13"/>
        <v>0.66579445449984576</v>
      </c>
      <c r="S60" s="31">
        <f t="shared" si="13"/>
        <v>0.7189298171351064</v>
      </c>
      <c r="T60" s="31">
        <f t="shared" si="13"/>
        <v>0.67469486056912442</v>
      </c>
      <c r="U60" s="31">
        <f t="shared" si="13"/>
        <v>0.70456295400599667</v>
      </c>
      <c r="V60" s="31">
        <f t="shared" si="13"/>
        <v>0.75196944856545322</v>
      </c>
      <c r="W60" s="31">
        <f t="shared" ref="W60:Y60" si="14">IF(W9=0,0,W9/W$8)</f>
        <v>0.62727026282656295</v>
      </c>
      <c r="X60" s="31">
        <f t="shared" si="14"/>
        <v>0.51743466831422147</v>
      </c>
      <c r="Y60" s="31">
        <f t="shared" si="14"/>
        <v>0.6619155842798512</v>
      </c>
      <c r="DA60" s="173"/>
    </row>
    <row r="61" spans="1:105" ht="11.45" customHeight="1" x14ac:dyDescent="0.25">
      <c r="A61" s="107" t="s">
        <v>23</v>
      </c>
      <c r="B61" s="123">
        <f t="shared" si="10"/>
        <v>0</v>
      </c>
      <c r="C61" s="123">
        <f t="shared" ref="C61:V61" si="15">IF(C10=0,0,C10/C$8)</f>
        <v>0</v>
      </c>
      <c r="D61" s="123">
        <f t="shared" si="15"/>
        <v>0</v>
      </c>
      <c r="E61" s="123">
        <f t="shared" si="15"/>
        <v>0</v>
      </c>
      <c r="F61" s="123">
        <f t="shared" si="15"/>
        <v>0</v>
      </c>
      <c r="G61" s="123">
        <f t="shared" si="15"/>
        <v>0</v>
      </c>
      <c r="H61" s="123">
        <f t="shared" si="15"/>
        <v>0</v>
      </c>
      <c r="I61" s="123">
        <f t="shared" si="15"/>
        <v>0</v>
      </c>
      <c r="J61" s="123">
        <f t="shared" si="15"/>
        <v>0</v>
      </c>
      <c r="K61" s="123">
        <f t="shared" si="15"/>
        <v>0</v>
      </c>
      <c r="L61" s="123">
        <f t="shared" si="15"/>
        <v>0</v>
      </c>
      <c r="M61" s="123">
        <f t="shared" si="15"/>
        <v>0</v>
      </c>
      <c r="N61" s="123">
        <f t="shared" si="15"/>
        <v>0</v>
      </c>
      <c r="O61" s="123">
        <f t="shared" si="15"/>
        <v>0</v>
      </c>
      <c r="P61" s="123">
        <f t="shared" si="15"/>
        <v>0</v>
      </c>
      <c r="Q61" s="123">
        <f t="shared" si="15"/>
        <v>0</v>
      </c>
      <c r="R61" s="123">
        <f t="shared" si="15"/>
        <v>0</v>
      </c>
      <c r="S61" s="123">
        <f t="shared" si="15"/>
        <v>0</v>
      </c>
      <c r="T61" s="123">
        <f t="shared" si="15"/>
        <v>0</v>
      </c>
      <c r="U61" s="123">
        <f t="shared" si="15"/>
        <v>0</v>
      </c>
      <c r="V61" s="123">
        <f t="shared" si="15"/>
        <v>0</v>
      </c>
      <c r="W61" s="123">
        <f t="shared" ref="W61:Y61" si="16">IF(W10=0,0,W10/W$8)</f>
        <v>0</v>
      </c>
      <c r="X61" s="123">
        <f t="shared" si="16"/>
        <v>0</v>
      </c>
      <c r="Y61" s="123">
        <f t="shared" si="16"/>
        <v>0</v>
      </c>
      <c r="DA61" s="203"/>
    </row>
    <row r="62" spans="1:105" ht="11.45" customHeight="1" x14ac:dyDescent="0.25">
      <c r="A62" s="109" t="s">
        <v>24</v>
      </c>
      <c r="B62" s="124">
        <f t="shared" si="10"/>
        <v>0.73237184304060254</v>
      </c>
      <c r="C62" s="124">
        <f t="shared" ref="C62:V62" si="17">IF(C11=0,0,C11/C$8)</f>
        <v>0.66679193511538704</v>
      </c>
      <c r="D62" s="124">
        <f t="shared" si="17"/>
        <v>0.65931611698572057</v>
      </c>
      <c r="E62" s="124">
        <f t="shared" si="17"/>
        <v>0.76539878369665681</v>
      </c>
      <c r="F62" s="124">
        <f t="shared" si="17"/>
        <v>0.74636321375879533</v>
      </c>
      <c r="G62" s="124">
        <f t="shared" si="17"/>
        <v>0.65033136769380562</v>
      </c>
      <c r="H62" s="124">
        <f t="shared" si="17"/>
        <v>0.6221993629766277</v>
      </c>
      <c r="I62" s="124">
        <f t="shared" si="17"/>
        <v>0.70551564231234887</v>
      </c>
      <c r="J62" s="124">
        <f t="shared" si="17"/>
        <v>0.72085326968701335</v>
      </c>
      <c r="K62" s="124">
        <f t="shared" si="17"/>
        <v>0.77659612201821804</v>
      </c>
      <c r="L62" s="124">
        <f t="shared" si="17"/>
        <v>0.7642936463561244</v>
      </c>
      <c r="M62" s="124">
        <f t="shared" si="17"/>
        <v>0.73902366099799399</v>
      </c>
      <c r="N62" s="124">
        <f t="shared" si="17"/>
        <v>0.75515977258115374</v>
      </c>
      <c r="O62" s="124">
        <f t="shared" si="17"/>
        <v>0.74699444979897289</v>
      </c>
      <c r="P62" s="124">
        <f t="shared" si="17"/>
        <v>0.76352304543603988</v>
      </c>
      <c r="Q62" s="124">
        <f t="shared" si="17"/>
        <v>0.67138157593084824</v>
      </c>
      <c r="R62" s="124">
        <f t="shared" si="17"/>
        <v>0.66579445449984576</v>
      </c>
      <c r="S62" s="124">
        <f t="shared" si="17"/>
        <v>0.7189298171351064</v>
      </c>
      <c r="T62" s="124">
        <f t="shared" si="17"/>
        <v>0.67469486056912442</v>
      </c>
      <c r="U62" s="124">
        <f t="shared" si="17"/>
        <v>0.70456295400599667</v>
      </c>
      <c r="V62" s="124">
        <f t="shared" si="17"/>
        <v>0.75196944856545322</v>
      </c>
      <c r="W62" s="124">
        <f t="shared" ref="W62:Y62" si="18">IF(W11=0,0,W11/W$8)</f>
        <v>0.62727026282656295</v>
      </c>
      <c r="X62" s="124">
        <f t="shared" si="18"/>
        <v>0.51743466831422147</v>
      </c>
      <c r="Y62" s="124">
        <f t="shared" si="18"/>
        <v>0.6619155842798512</v>
      </c>
      <c r="DA62" s="176"/>
    </row>
    <row r="63" spans="1:105" ht="11.45" customHeight="1" x14ac:dyDescent="0.25">
      <c r="A63" s="111" t="s">
        <v>92</v>
      </c>
      <c r="B63" s="125">
        <f t="shared" si="10"/>
        <v>0.73237184304060254</v>
      </c>
      <c r="C63" s="125">
        <f t="shared" ref="C63:V63" si="19">IF(C12=0,0,C12/C$8)</f>
        <v>0.66679193511538704</v>
      </c>
      <c r="D63" s="125">
        <f t="shared" si="19"/>
        <v>0.65931611698572057</v>
      </c>
      <c r="E63" s="125">
        <f t="shared" si="19"/>
        <v>0.76539878369665681</v>
      </c>
      <c r="F63" s="125">
        <f t="shared" si="19"/>
        <v>0.74636321375879533</v>
      </c>
      <c r="G63" s="125">
        <f t="shared" si="19"/>
        <v>0.65033136769380562</v>
      </c>
      <c r="H63" s="125">
        <f t="shared" si="19"/>
        <v>0.6221993629766277</v>
      </c>
      <c r="I63" s="125">
        <f t="shared" si="19"/>
        <v>0.70551564231234887</v>
      </c>
      <c r="J63" s="125">
        <f t="shared" si="19"/>
        <v>0.72085326968701335</v>
      </c>
      <c r="K63" s="125">
        <f t="shared" si="19"/>
        <v>0.77659612201821804</v>
      </c>
      <c r="L63" s="125">
        <f t="shared" si="19"/>
        <v>0.7642936463561244</v>
      </c>
      <c r="M63" s="125">
        <f t="shared" si="19"/>
        <v>0.73902366099799399</v>
      </c>
      <c r="N63" s="125">
        <f t="shared" si="19"/>
        <v>0.75515977258115374</v>
      </c>
      <c r="O63" s="125">
        <f t="shared" si="19"/>
        <v>0.74699444979897289</v>
      </c>
      <c r="P63" s="125">
        <f t="shared" si="19"/>
        <v>0.76352304543603988</v>
      </c>
      <c r="Q63" s="125">
        <f t="shared" si="19"/>
        <v>0.67138157593084824</v>
      </c>
      <c r="R63" s="125">
        <f t="shared" si="19"/>
        <v>0.66579445449984576</v>
      </c>
      <c r="S63" s="125">
        <f t="shared" si="19"/>
        <v>0.7189298171351064</v>
      </c>
      <c r="T63" s="125">
        <f t="shared" si="19"/>
        <v>0.67469486056912442</v>
      </c>
      <c r="U63" s="125">
        <f t="shared" si="19"/>
        <v>0.70456295400599667</v>
      </c>
      <c r="V63" s="125">
        <f t="shared" si="19"/>
        <v>0.75196944856545322</v>
      </c>
      <c r="W63" s="125">
        <f t="shared" ref="W63:Y63" si="20">IF(W12=0,0,W12/W$8)</f>
        <v>0.62727026282656295</v>
      </c>
      <c r="X63" s="125">
        <f t="shared" si="20"/>
        <v>0.51743466831422147</v>
      </c>
      <c r="Y63" s="125">
        <f t="shared" si="20"/>
        <v>0.6619155842798512</v>
      </c>
      <c r="DA63" s="171"/>
    </row>
    <row r="64" spans="1:105" ht="11.45" customHeight="1" x14ac:dyDescent="0.25">
      <c r="A64" s="111" t="s">
        <v>93</v>
      </c>
      <c r="B64" s="125">
        <f t="shared" si="10"/>
        <v>0</v>
      </c>
      <c r="C64" s="125">
        <f t="shared" ref="C64:V64" si="21">IF(C13=0,0,C13/C$8)</f>
        <v>0</v>
      </c>
      <c r="D64" s="125">
        <f t="shared" si="21"/>
        <v>0</v>
      </c>
      <c r="E64" s="125">
        <f t="shared" si="21"/>
        <v>0</v>
      </c>
      <c r="F64" s="125">
        <f t="shared" si="21"/>
        <v>0</v>
      </c>
      <c r="G64" s="125">
        <f t="shared" si="21"/>
        <v>0</v>
      </c>
      <c r="H64" s="125">
        <f t="shared" si="21"/>
        <v>0</v>
      </c>
      <c r="I64" s="125">
        <f t="shared" si="21"/>
        <v>0</v>
      </c>
      <c r="J64" s="125">
        <f t="shared" si="21"/>
        <v>0</v>
      </c>
      <c r="K64" s="125">
        <f t="shared" si="21"/>
        <v>0</v>
      </c>
      <c r="L64" s="125">
        <f t="shared" si="21"/>
        <v>0</v>
      </c>
      <c r="M64" s="125">
        <f t="shared" si="21"/>
        <v>0</v>
      </c>
      <c r="N64" s="125">
        <f t="shared" si="21"/>
        <v>0</v>
      </c>
      <c r="O64" s="125">
        <f t="shared" si="21"/>
        <v>0</v>
      </c>
      <c r="P64" s="125">
        <f t="shared" si="21"/>
        <v>0</v>
      </c>
      <c r="Q64" s="125">
        <f t="shared" si="21"/>
        <v>0</v>
      </c>
      <c r="R64" s="125">
        <f t="shared" si="21"/>
        <v>0</v>
      </c>
      <c r="S64" s="125">
        <f t="shared" si="21"/>
        <v>0</v>
      </c>
      <c r="T64" s="125">
        <f t="shared" si="21"/>
        <v>0</v>
      </c>
      <c r="U64" s="125">
        <f t="shared" si="21"/>
        <v>0</v>
      </c>
      <c r="V64" s="125">
        <f t="shared" si="21"/>
        <v>0</v>
      </c>
      <c r="W64" s="125">
        <f t="shared" ref="W64:Y64" si="22">IF(W13=0,0,W13/W$8)</f>
        <v>0</v>
      </c>
      <c r="X64" s="125">
        <f t="shared" si="22"/>
        <v>0</v>
      </c>
      <c r="Y64" s="125">
        <f t="shared" si="22"/>
        <v>0</v>
      </c>
      <c r="DA64" s="171"/>
    </row>
    <row r="65" spans="1:105" ht="11.45" customHeight="1" x14ac:dyDescent="0.25">
      <c r="A65" s="112" t="s">
        <v>25</v>
      </c>
      <c r="B65" s="126">
        <f t="shared" si="10"/>
        <v>0</v>
      </c>
      <c r="C65" s="126">
        <f t="shared" ref="C65:V65" si="23">IF(C14=0,0,C14/C$8)</f>
        <v>0</v>
      </c>
      <c r="D65" s="126">
        <f t="shared" si="23"/>
        <v>0</v>
      </c>
      <c r="E65" s="126">
        <f t="shared" si="23"/>
        <v>0</v>
      </c>
      <c r="F65" s="126">
        <f t="shared" si="23"/>
        <v>0</v>
      </c>
      <c r="G65" s="126">
        <f t="shared" si="23"/>
        <v>0</v>
      </c>
      <c r="H65" s="126">
        <f t="shared" si="23"/>
        <v>0</v>
      </c>
      <c r="I65" s="126">
        <f t="shared" si="23"/>
        <v>0</v>
      </c>
      <c r="J65" s="126">
        <f t="shared" si="23"/>
        <v>0</v>
      </c>
      <c r="K65" s="126">
        <f t="shared" si="23"/>
        <v>0</v>
      </c>
      <c r="L65" s="126">
        <f t="shared" si="23"/>
        <v>0</v>
      </c>
      <c r="M65" s="126">
        <f t="shared" si="23"/>
        <v>0</v>
      </c>
      <c r="N65" s="126">
        <f t="shared" si="23"/>
        <v>0</v>
      </c>
      <c r="O65" s="126">
        <f t="shared" si="23"/>
        <v>0</v>
      </c>
      <c r="P65" s="126">
        <f t="shared" si="23"/>
        <v>0</v>
      </c>
      <c r="Q65" s="126">
        <f t="shared" si="23"/>
        <v>0</v>
      </c>
      <c r="R65" s="126">
        <f t="shared" si="23"/>
        <v>0</v>
      </c>
      <c r="S65" s="126">
        <f t="shared" si="23"/>
        <v>0</v>
      </c>
      <c r="T65" s="126">
        <f t="shared" si="23"/>
        <v>0</v>
      </c>
      <c r="U65" s="126">
        <f t="shared" si="23"/>
        <v>0</v>
      </c>
      <c r="V65" s="126">
        <f t="shared" si="23"/>
        <v>0</v>
      </c>
      <c r="W65" s="126">
        <f t="shared" ref="W65:Y65" si="24">IF(W14=0,0,W14/W$8)</f>
        <v>0</v>
      </c>
      <c r="X65" s="126">
        <f t="shared" si="24"/>
        <v>0</v>
      </c>
      <c r="Y65" s="126">
        <f t="shared" si="24"/>
        <v>0</v>
      </c>
      <c r="DA65" s="204"/>
    </row>
    <row r="66" spans="1:105" ht="11.45" customHeight="1" x14ac:dyDescent="0.25">
      <c r="A66" s="27" t="s">
        <v>34</v>
      </c>
      <c r="B66" s="31">
        <f t="shared" si="10"/>
        <v>0.26762815695939757</v>
      </c>
      <c r="C66" s="31">
        <f t="shared" ref="C66:V66" si="25">IF(C15=0,0,C15/C$8)</f>
        <v>0.33320806488461291</v>
      </c>
      <c r="D66" s="31">
        <f t="shared" si="25"/>
        <v>0.34068388301427943</v>
      </c>
      <c r="E66" s="31">
        <f t="shared" si="25"/>
        <v>0.23460121630334324</v>
      </c>
      <c r="F66" s="31">
        <f t="shared" si="25"/>
        <v>0.25363678624120461</v>
      </c>
      <c r="G66" s="31">
        <f t="shared" si="25"/>
        <v>0.34966863230619444</v>
      </c>
      <c r="H66" s="31">
        <f t="shared" si="25"/>
        <v>0.3778006370233723</v>
      </c>
      <c r="I66" s="31">
        <f t="shared" si="25"/>
        <v>0.29448435768765119</v>
      </c>
      <c r="J66" s="31">
        <f t="shared" si="25"/>
        <v>0.2791467303129867</v>
      </c>
      <c r="K66" s="31">
        <f t="shared" si="25"/>
        <v>0.22340387798178193</v>
      </c>
      <c r="L66" s="31">
        <f t="shared" si="25"/>
        <v>0.23570635364387563</v>
      </c>
      <c r="M66" s="31">
        <f t="shared" si="25"/>
        <v>0.26097633900200612</v>
      </c>
      <c r="N66" s="31">
        <f t="shared" si="25"/>
        <v>0.24484022741884623</v>
      </c>
      <c r="O66" s="31">
        <f t="shared" si="25"/>
        <v>0.25300555020102705</v>
      </c>
      <c r="P66" s="31">
        <f t="shared" si="25"/>
        <v>0.23647695456396003</v>
      </c>
      <c r="Q66" s="31">
        <f t="shared" si="25"/>
        <v>0.3286184240691517</v>
      </c>
      <c r="R66" s="31">
        <f t="shared" si="25"/>
        <v>0.3342055455001543</v>
      </c>
      <c r="S66" s="31">
        <f t="shared" si="25"/>
        <v>0.28107018286489355</v>
      </c>
      <c r="T66" s="31">
        <f t="shared" si="25"/>
        <v>0.32530513943087547</v>
      </c>
      <c r="U66" s="31">
        <f t="shared" si="25"/>
        <v>0.29543704599400333</v>
      </c>
      <c r="V66" s="31">
        <f t="shared" si="25"/>
        <v>0.24803055143454675</v>
      </c>
      <c r="W66" s="31">
        <f t="shared" ref="W66:Y66" si="26">IF(W15=0,0,W15/W$8)</f>
        <v>0.3727297371734371</v>
      </c>
      <c r="X66" s="31">
        <f t="shared" si="26"/>
        <v>0.48256533168577853</v>
      </c>
      <c r="Y66" s="31">
        <f t="shared" si="26"/>
        <v>0.33808441572014891</v>
      </c>
      <c r="DA66" s="173"/>
    </row>
    <row r="67" spans="1:105" ht="11.45" customHeight="1" x14ac:dyDescent="0.25">
      <c r="A67" s="83" t="s">
        <v>92</v>
      </c>
      <c r="B67" s="125">
        <f t="shared" si="10"/>
        <v>0.26762815695939757</v>
      </c>
      <c r="C67" s="125">
        <f t="shared" ref="C67:V67" si="27">IF(C16=0,0,C16/C$8)</f>
        <v>0.33320806488461291</v>
      </c>
      <c r="D67" s="125">
        <f t="shared" si="27"/>
        <v>0.34068388301427943</v>
      </c>
      <c r="E67" s="125">
        <f t="shared" si="27"/>
        <v>0.23460121630334324</v>
      </c>
      <c r="F67" s="125">
        <f t="shared" si="27"/>
        <v>0.25363678624120461</v>
      </c>
      <c r="G67" s="125">
        <f t="shared" si="27"/>
        <v>0.34966863230619444</v>
      </c>
      <c r="H67" s="125">
        <f t="shared" si="27"/>
        <v>0.3778006370233723</v>
      </c>
      <c r="I67" s="125">
        <f t="shared" si="27"/>
        <v>0.29448435768765119</v>
      </c>
      <c r="J67" s="125">
        <f t="shared" si="27"/>
        <v>0.2791467303129867</v>
      </c>
      <c r="K67" s="125">
        <f t="shared" si="27"/>
        <v>0.22340387798178193</v>
      </c>
      <c r="L67" s="125">
        <f t="shared" si="27"/>
        <v>0.23570635364387563</v>
      </c>
      <c r="M67" s="125">
        <f t="shared" si="27"/>
        <v>0.26097633900200612</v>
      </c>
      <c r="N67" s="125">
        <f t="shared" si="27"/>
        <v>0.24484022741884623</v>
      </c>
      <c r="O67" s="125">
        <f t="shared" si="27"/>
        <v>0.25300555020102705</v>
      </c>
      <c r="P67" s="125">
        <f t="shared" si="27"/>
        <v>0.23647695456396003</v>
      </c>
      <c r="Q67" s="125">
        <f t="shared" si="27"/>
        <v>0.3286184240691517</v>
      </c>
      <c r="R67" s="125">
        <f t="shared" si="27"/>
        <v>0.3342055455001543</v>
      </c>
      <c r="S67" s="125">
        <f t="shared" si="27"/>
        <v>0.28107018286489355</v>
      </c>
      <c r="T67" s="125">
        <f t="shared" si="27"/>
        <v>0.32530513943087547</v>
      </c>
      <c r="U67" s="125">
        <f t="shared" si="27"/>
        <v>0.29543704599400333</v>
      </c>
      <c r="V67" s="125">
        <f t="shared" si="27"/>
        <v>0.24803055143454675</v>
      </c>
      <c r="W67" s="125">
        <f t="shared" ref="W67:Y67" si="28">IF(W16=0,0,W16/W$8)</f>
        <v>0.3727297371734371</v>
      </c>
      <c r="X67" s="125">
        <f t="shared" si="28"/>
        <v>0.48256533168577853</v>
      </c>
      <c r="Y67" s="125">
        <f t="shared" si="28"/>
        <v>0.33808441572014891</v>
      </c>
      <c r="DA67" s="171"/>
    </row>
    <row r="68" spans="1:105" ht="11.45" customHeight="1" x14ac:dyDescent="0.25">
      <c r="A68" s="85" t="s">
        <v>93</v>
      </c>
      <c r="B68" s="127">
        <f t="shared" si="10"/>
        <v>0</v>
      </c>
      <c r="C68" s="127">
        <f t="shared" ref="C68:V68" si="29">IF(C17=0,0,C17/C$8)</f>
        <v>0</v>
      </c>
      <c r="D68" s="127">
        <f t="shared" si="29"/>
        <v>0</v>
      </c>
      <c r="E68" s="127">
        <f t="shared" si="29"/>
        <v>0</v>
      </c>
      <c r="F68" s="127">
        <f t="shared" si="29"/>
        <v>0</v>
      </c>
      <c r="G68" s="127">
        <f t="shared" si="29"/>
        <v>0</v>
      </c>
      <c r="H68" s="127">
        <f t="shared" si="29"/>
        <v>0</v>
      </c>
      <c r="I68" s="127">
        <f t="shared" si="29"/>
        <v>0</v>
      </c>
      <c r="J68" s="127">
        <f t="shared" si="29"/>
        <v>0</v>
      </c>
      <c r="K68" s="127">
        <f t="shared" si="29"/>
        <v>0</v>
      </c>
      <c r="L68" s="127">
        <f t="shared" si="29"/>
        <v>0</v>
      </c>
      <c r="M68" s="127">
        <f t="shared" si="29"/>
        <v>0</v>
      </c>
      <c r="N68" s="127">
        <f t="shared" si="29"/>
        <v>0</v>
      </c>
      <c r="O68" s="127">
        <f t="shared" si="29"/>
        <v>0</v>
      </c>
      <c r="P68" s="127">
        <f t="shared" si="29"/>
        <v>0</v>
      </c>
      <c r="Q68" s="127">
        <f t="shared" si="29"/>
        <v>0</v>
      </c>
      <c r="R68" s="127">
        <f t="shared" si="29"/>
        <v>0</v>
      </c>
      <c r="S68" s="127">
        <f t="shared" si="29"/>
        <v>0</v>
      </c>
      <c r="T68" s="127">
        <f t="shared" si="29"/>
        <v>0</v>
      </c>
      <c r="U68" s="127">
        <f t="shared" si="29"/>
        <v>0</v>
      </c>
      <c r="V68" s="127">
        <f t="shared" si="29"/>
        <v>0</v>
      </c>
      <c r="W68" s="127">
        <f t="shared" ref="W68:Y68" si="30">IF(W17=0,0,W17/W$8)</f>
        <v>0</v>
      </c>
      <c r="X68" s="127">
        <f t="shared" si="30"/>
        <v>0</v>
      </c>
      <c r="Y68" s="127">
        <f t="shared" si="30"/>
        <v>0</v>
      </c>
      <c r="DA68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11:Y1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DA125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189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DA3" s="172"/>
    </row>
    <row r="4" spans="1:105" ht="11.45" customHeight="1" x14ac:dyDescent="0.25">
      <c r="A4" s="10" t="s">
        <v>18</v>
      </c>
      <c r="B4" s="11">
        <f t="shared" ref="B4:C4" si="0">SUM(B5:B7)</f>
        <v>2388.6873466633119</v>
      </c>
      <c r="C4" s="11">
        <f t="shared" si="0"/>
        <v>2153.9186742687493</v>
      </c>
      <c r="D4" s="11">
        <f t="shared" ref="D4:V4" si="1">SUM(D5:D7)</f>
        <v>1852.4982024959904</v>
      </c>
      <c r="E4" s="11">
        <f t="shared" si="1"/>
        <v>2243.6533188969606</v>
      </c>
      <c r="F4" s="11">
        <f t="shared" si="1"/>
        <v>2691.0168380304044</v>
      </c>
      <c r="G4" s="11">
        <f t="shared" si="1"/>
        <v>3505.965903127073</v>
      </c>
      <c r="H4" s="11">
        <f t="shared" si="1"/>
        <v>3996.8236488784391</v>
      </c>
      <c r="I4" s="11">
        <f t="shared" si="1"/>
        <v>5028.143227213096</v>
      </c>
      <c r="J4" s="11">
        <f t="shared" si="1"/>
        <v>5738.8801058987265</v>
      </c>
      <c r="K4" s="11">
        <f t="shared" si="1"/>
        <v>5752.4095640580017</v>
      </c>
      <c r="L4" s="11">
        <f t="shared" si="1"/>
        <v>6410.621650541987</v>
      </c>
      <c r="M4" s="11">
        <f t="shared" si="1"/>
        <v>7018.5175173920197</v>
      </c>
      <c r="N4" s="11">
        <f t="shared" si="1"/>
        <v>6969.3359602258652</v>
      </c>
      <c r="O4" s="11">
        <f t="shared" si="1"/>
        <v>7466.0120573443055</v>
      </c>
      <c r="P4" s="11">
        <f t="shared" si="1"/>
        <v>8305.8982301434116</v>
      </c>
      <c r="Q4" s="11">
        <f t="shared" si="1"/>
        <v>9500.2438301396669</v>
      </c>
      <c r="R4" s="11">
        <f t="shared" si="1"/>
        <v>11527.954178627322</v>
      </c>
      <c r="S4" s="11">
        <f t="shared" si="1"/>
        <v>13631.27318896056</v>
      </c>
      <c r="T4" s="11">
        <f t="shared" si="1"/>
        <v>15268.836940262478</v>
      </c>
      <c r="U4" s="11">
        <f t="shared" si="1"/>
        <v>16830.013549462154</v>
      </c>
      <c r="V4" s="11">
        <f t="shared" si="1"/>
        <v>5386.626326829266</v>
      </c>
      <c r="W4" s="11">
        <f t="shared" ref="W4:Y4" si="2">SUM(W5:W7)</f>
        <v>8298.3872887137404</v>
      </c>
      <c r="X4" s="11">
        <f t="shared" si="2"/>
        <v>15334.05120778655</v>
      </c>
      <c r="Y4" s="11">
        <f t="shared" si="2"/>
        <v>17955.569802452515</v>
      </c>
      <c r="DA4" s="189" t="s">
        <v>190</v>
      </c>
    </row>
    <row r="5" spans="1:105" ht="11.45" customHeight="1" x14ac:dyDescent="0.25">
      <c r="A5" s="83" t="s">
        <v>27</v>
      </c>
      <c r="B5" s="84">
        <v>48.233402877309558</v>
      </c>
      <c r="C5" s="84">
        <v>24.216685747957509</v>
      </c>
      <c r="D5" s="84">
        <v>16.27314067450018</v>
      </c>
      <c r="E5" s="84">
        <v>16.407494590125722</v>
      </c>
      <c r="F5" s="84">
        <v>97.14829602948457</v>
      </c>
      <c r="G5" s="84">
        <v>116.55234124135322</v>
      </c>
      <c r="H5" s="84">
        <v>126.11270827223298</v>
      </c>
      <c r="I5" s="84">
        <v>148.30793205822903</v>
      </c>
      <c r="J5" s="84">
        <v>186.33984036548284</v>
      </c>
      <c r="K5" s="84">
        <v>175.13869463932974</v>
      </c>
      <c r="L5" s="84">
        <v>221.58644563984163</v>
      </c>
      <c r="M5" s="84">
        <v>228.5243100313902</v>
      </c>
      <c r="N5" s="84">
        <v>207.46565117877802</v>
      </c>
      <c r="O5" s="84">
        <v>195.6343385651974</v>
      </c>
      <c r="P5" s="84">
        <v>177.32177307416194</v>
      </c>
      <c r="Q5" s="84">
        <v>185.43963246210336</v>
      </c>
      <c r="R5" s="84">
        <v>324.08229509248582</v>
      </c>
      <c r="S5" s="84">
        <v>498.04271219933332</v>
      </c>
      <c r="T5" s="84">
        <v>506.45205080587772</v>
      </c>
      <c r="U5" s="84">
        <v>489.28929636191077</v>
      </c>
      <c r="V5" s="84">
        <v>157.6958988395229</v>
      </c>
      <c r="W5" s="84">
        <v>234.7747832775529</v>
      </c>
      <c r="X5" s="84">
        <v>351.71147086704701</v>
      </c>
      <c r="Y5" s="84">
        <v>323.43927468784193</v>
      </c>
      <c r="DA5" s="171" t="s">
        <v>191</v>
      </c>
    </row>
    <row r="6" spans="1:105" ht="11.45" customHeight="1" x14ac:dyDescent="0.25">
      <c r="A6" s="83" t="s">
        <v>181</v>
      </c>
      <c r="B6" s="84">
        <v>2009.5540127948314</v>
      </c>
      <c r="C6" s="84">
        <v>1830.5200339866601</v>
      </c>
      <c r="D6" s="84">
        <v>1579.2312979124545</v>
      </c>
      <c r="E6" s="84">
        <v>1913.3883258604296</v>
      </c>
      <c r="F6" s="84">
        <v>2222.6883940648986</v>
      </c>
      <c r="G6" s="84">
        <v>2961.9277595726276</v>
      </c>
      <c r="H6" s="84">
        <v>3359.1595918540388</v>
      </c>
      <c r="I6" s="84">
        <v>4150.480392058741</v>
      </c>
      <c r="J6" s="84">
        <v>4750.059826297269</v>
      </c>
      <c r="K6" s="84">
        <v>4900.2592623962919</v>
      </c>
      <c r="L6" s="84">
        <v>5437.5387250013109</v>
      </c>
      <c r="M6" s="84">
        <v>6120.7809463338954</v>
      </c>
      <c r="N6" s="84">
        <v>6013.7291219453773</v>
      </c>
      <c r="O6" s="84">
        <v>6433.9784075210437</v>
      </c>
      <c r="P6" s="84">
        <v>6958.7278035177069</v>
      </c>
      <c r="Q6" s="84">
        <v>7991.9719248458505</v>
      </c>
      <c r="R6" s="84">
        <v>9680.5775331511759</v>
      </c>
      <c r="S6" s="84">
        <v>11390.445385156323</v>
      </c>
      <c r="T6" s="84">
        <v>12392.009537334108</v>
      </c>
      <c r="U6" s="84">
        <v>13513.171014050071</v>
      </c>
      <c r="V6" s="84">
        <v>4565.9222399976743</v>
      </c>
      <c r="W6" s="84">
        <v>6694.4590099209518</v>
      </c>
      <c r="X6" s="84">
        <v>12687.768117509022</v>
      </c>
      <c r="Y6" s="84">
        <v>14662.114386139645</v>
      </c>
      <c r="DA6" s="171" t="s">
        <v>192</v>
      </c>
    </row>
    <row r="7" spans="1:105" ht="11.45" customHeight="1" x14ac:dyDescent="0.25">
      <c r="A7" s="83" t="s">
        <v>182</v>
      </c>
      <c r="B7" s="84">
        <v>330.89993099117112</v>
      </c>
      <c r="C7" s="84">
        <v>299.18195453413199</v>
      </c>
      <c r="D7" s="84">
        <v>256.99376390903569</v>
      </c>
      <c r="E7" s="84">
        <v>313.85749844640554</v>
      </c>
      <c r="F7" s="84">
        <v>371.18014793602106</v>
      </c>
      <c r="G7" s="84">
        <v>427.48580231309251</v>
      </c>
      <c r="H7" s="84">
        <v>511.55134875216743</v>
      </c>
      <c r="I7" s="84">
        <v>729.35490309612555</v>
      </c>
      <c r="J7" s="84">
        <v>802.48043923597447</v>
      </c>
      <c r="K7" s="84">
        <v>677.01160702237985</v>
      </c>
      <c r="L7" s="84">
        <v>751.49647990083463</v>
      </c>
      <c r="M7" s="84">
        <v>669.21226102673427</v>
      </c>
      <c r="N7" s="84">
        <v>748.14118710171022</v>
      </c>
      <c r="O7" s="84">
        <v>836.39931125806481</v>
      </c>
      <c r="P7" s="84">
        <v>1169.8486535515437</v>
      </c>
      <c r="Q7" s="84">
        <v>1322.8322728317128</v>
      </c>
      <c r="R7" s="84">
        <v>1523.2943503836593</v>
      </c>
      <c r="S7" s="84">
        <v>1742.7850916049056</v>
      </c>
      <c r="T7" s="84">
        <v>2370.3753521224908</v>
      </c>
      <c r="U7" s="84">
        <v>2827.5532390501735</v>
      </c>
      <c r="V7" s="84">
        <v>663.00818799206934</v>
      </c>
      <c r="W7" s="84">
        <v>1369.1534955152349</v>
      </c>
      <c r="X7" s="84">
        <v>2294.5716194104803</v>
      </c>
      <c r="Y7" s="84">
        <v>2970.0161416250294</v>
      </c>
      <c r="DA7" s="171" t="s">
        <v>193</v>
      </c>
    </row>
    <row r="8" spans="1:105" ht="11.45" customHeight="1" x14ac:dyDescent="0.25">
      <c r="A8" s="12" t="s">
        <v>28</v>
      </c>
      <c r="B8" s="13">
        <f t="shared" ref="B8:C8" si="3">SUM(B9:B11)</f>
        <v>11.620321265272908</v>
      </c>
      <c r="C8" s="13">
        <f t="shared" si="3"/>
        <v>11.049210684442613</v>
      </c>
      <c r="D8" s="13">
        <f t="shared" ref="D8:V8" si="4">SUM(D9:D11)</f>
        <v>10.230600839729885</v>
      </c>
      <c r="E8" s="13">
        <f t="shared" si="4"/>
        <v>9.951564320132718</v>
      </c>
      <c r="F8" s="13">
        <f t="shared" si="4"/>
        <v>9.9827836811777786</v>
      </c>
      <c r="G8" s="13">
        <f t="shared" si="4"/>
        <v>6.7340032621878407</v>
      </c>
      <c r="H8" s="13">
        <f t="shared" si="4"/>
        <v>6.7369173457690668</v>
      </c>
      <c r="I8" s="13">
        <f t="shared" si="4"/>
        <v>7.8518369104249137</v>
      </c>
      <c r="J8" s="13">
        <f t="shared" si="4"/>
        <v>11.833700950432053</v>
      </c>
      <c r="K8" s="13">
        <f t="shared" si="4"/>
        <v>12.306936728001034</v>
      </c>
      <c r="L8" s="13">
        <f t="shared" si="4"/>
        <v>13.741132615576955</v>
      </c>
      <c r="M8" s="13">
        <f t="shared" si="4"/>
        <v>18.21817266488252</v>
      </c>
      <c r="N8" s="13">
        <f t="shared" si="4"/>
        <v>27.482253802951078</v>
      </c>
      <c r="O8" s="13">
        <f t="shared" si="4"/>
        <v>29.665523282149024</v>
      </c>
      <c r="P8" s="13">
        <f t="shared" si="4"/>
        <v>24.826151390961613</v>
      </c>
      <c r="Q8" s="13">
        <f t="shared" si="4"/>
        <v>24.769277767593383</v>
      </c>
      <c r="R8" s="13">
        <f t="shared" si="4"/>
        <v>26.706372360469299</v>
      </c>
      <c r="S8" s="13">
        <f t="shared" si="4"/>
        <v>27.374171454262576</v>
      </c>
      <c r="T8" s="13">
        <f t="shared" si="4"/>
        <v>24.903002001948703</v>
      </c>
      <c r="U8" s="13">
        <f t="shared" si="4"/>
        <v>21.434840231158002</v>
      </c>
      <c r="V8" s="13">
        <f t="shared" si="4"/>
        <v>15.595778254072131</v>
      </c>
      <c r="W8" s="13">
        <f t="shared" ref="W8:Y8" si="5">SUM(W9:W11)</f>
        <v>16.964265377235584</v>
      </c>
      <c r="X8" s="13">
        <f t="shared" si="5"/>
        <v>23.213129088384836</v>
      </c>
      <c r="Y8" s="13">
        <f t="shared" si="5"/>
        <v>22.719607630974373</v>
      </c>
      <c r="DA8" s="193" t="s">
        <v>194</v>
      </c>
    </row>
    <row r="9" spans="1:105" ht="11.45" customHeight="1" x14ac:dyDescent="0.25">
      <c r="A9" s="92" t="s">
        <v>27</v>
      </c>
      <c r="B9" s="102">
        <v>0.13721582178986091</v>
      </c>
      <c r="C9" s="102">
        <v>0.11760082709344499</v>
      </c>
      <c r="D9" s="102">
        <v>0.10820251764653879</v>
      </c>
      <c r="E9" s="102">
        <v>0.11170913691549723</v>
      </c>
      <c r="F9" s="102">
        <v>0.11794172775998361</v>
      </c>
      <c r="G9" s="102">
        <v>5.8163720276666872E-2</v>
      </c>
      <c r="H9" s="102">
        <v>0.12937237016093933</v>
      </c>
      <c r="I9" s="102">
        <v>0.12090903965968444</v>
      </c>
      <c r="J9" s="102">
        <v>6.9749510616225058E-2</v>
      </c>
      <c r="K9" s="102">
        <v>4.8420890326361113E-2</v>
      </c>
      <c r="L9" s="102">
        <v>3.6292624431115021E-2</v>
      </c>
      <c r="M9" s="102">
        <v>2.9635866406062066E-2</v>
      </c>
      <c r="N9" s="102">
        <v>2.3662339845445926E-2</v>
      </c>
      <c r="O9" s="102">
        <v>1.683574320278295E-2</v>
      </c>
      <c r="P9" s="102">
        <v>1.1744932880783846E-2</v>
      </c>
      <c r="Q9" s="102">
        <v>8.3636529455186383E-3</v>
      </c>
      <c r="R9" s="102">
        <v>2.0034789921087606E-2</v>
      </c>
      <c r="S9" s="102">
        <v>6.723171469615799E-2</v>
      </c>
      <c r="T9" s="102">
        <v>0.12165437171671972</v>
      </c>
      <c r="U9" s="102">
        <v>0.1968168804830806</v>
      </c>
      <c r="V9" s="102">
        <v>0.19267902223241315</v>
      </c>
      <c r="W9" s="102">
        <v>0.25488188256671346</v>
      </c>
      <c r="X9" s="102">
        <v>0.3460092428187283</v>
      </c>
      <c r="Y9" s="102">
        <v>0.41271438970145607</v>
      </c>
      <c r="DA9" s="175" t="s">
        <v>195</v>
      </c>
    </row>
    <row r="10" spans="1:105" ht="11.45" customHeight="1" x14ac:dyDescent="0.25">
      <c r="A10" s="92" t="s">
        <v>181</v>
      </c>
      <c r="B10" s="102">
        <v>6.104929091731087</v>
      </c>
      <c r="C10" s="102">
        <v>5.4718301417533848</v>
      </c>
      <c r="D10" s="102">
        <v>4.8010996413417724</v>
      </c>
      <c r="E10" s="102">
        <v>4.702586962547799</v>
      </c>
      <c r="F10" s="102">
        <v>4.8787240755885737</v>
      </c>
      <c r="G10" s="102">
        <v>4.6806824773519971</v>
      </c>
      <c r="H10" s="102">
        <v>4.5412579012244505</v>
      </c>
      <c r="I10" s="102">
        <v>4.3494594949654708</v>
      </c>
      <c r="J10" s="102">
        <v>6.7549676898966888</v>
      </c>
      <c r="K10" s="102">
        <v>8.5327086418193314</v>
      </c>
      <c r="L10" s="102">
        <v>9.5627796314073787</v>
      </c>
      <c r="M10" s="102">
        <v>10.427793494497184</v>
      </c>
      <c r="N10" s="102">
        <v>11.422586131073448</v>
      </c>
      <c r="O10" s="102">
        <v>12.117207901435695</v>
      </c>
      <c r="P10" s="102">
        <v>13.783365016222898</v>
      </c>
      <c r="Q10" s="102">
        <v>15.724990475235114</v>
      </c>
      <c r="R10" s="102">
        <v>18.124917456177148</v>
      </c>
      <c r="S10" s="102">
        <v>19.708951515209673</v>
      </c>
      <c r="T10" s="102">
        <v>20.632534841091967</v>
      </c>
      <c r="U10" s="102">
        <v>14.417584894235302</v>
      </c>
      <c r="V10" s="102">
        <v>11.164874492584325</v>
      </c>
      <c r="W10" s="102">
        <v>12.040367169150818</v>
      </c>
      <c r="X10" s="102">
        <v>16.30704646971143</v>
      </c>
      <c r="Y10" s="102">
        <v>16.309427205111849</v>
      </c>
      <c r="DA10" s="175" t="s">
        <v>196</v>
      </c>
    </row>
    <row r="11" spans="1:105" ht="11.45" customHeight="1" x14ac:dyDescent="0.25">
      <c r="A11" s="85" t="s">
        <v>182</v>
      </c>
      <c r="B11" s="86">
        <v>5.3781763517519607</v>
      </c>
      <c r="C11" s="86">
        <v>5.4597797155957846</v>
      </c>
      <c r="D11" s="86">
        <v>5.321298680741573</v>
      </c>
      <c r="E11" s="86">
        <v>5.137268220669422</v>
      </c>
      <c r="F11" s="86">
        <v>4.9861178778292201</v>
      </c>
      <c r="G11" s="86">
        <v>1.9951570645591765</v>
      </c>
      <c r="H11" s="86">
        <v>2.0662870743836774</v>
      </c>
      <c r="I11" s="86">
        <v>3.3814683757997583</v>
      </c>
      <c r="J11" s="86">
        <v>5.008983749919139</v>
      </c>
      <c r="K11" s="86">
        <v>3.7258071958553418</v>
      </c>
      <c r="L11" s="86">
        <v>4.142060359738462</v>
      </c>
      <c r="M11" s="86">
        <v>7.7607433039792744</v>
      </c>
      <c r="N11" s="86">
        <v>16.036005332032186</v>
      </c>
      <c r="O11" s="86">
        <v>17.531479637510547</v>
      </c>
      <c r="P11" s="86">
        <v>11.03104144185793</v>
      </c>
      <c r="Q11" s="86">
        <v>9.0359236394127507</v>
      </c>
      <c r="R11" s="86">
        <v>8.5614201143710638</v>
      </c>
      <c r="S11" s="86">
        <v>7.5979882243567438</v>
      </c>
      <c r="T11" s="86">
        <v>4.1488127891400159</v>
      </c>
      <c r="U11" s="86">
        <v>6.8204384564396205</v>
      </c>
      <c r="V11" s="86">
        <v>4.2382247392553936</v>
      </c>
      <c r="W11" s="86">
        <v>4.6690163255180526</v>
      </c>
      <c r="X11" s="86">
        <v>6.5600733758546772</v>
      </c>
      <c r="Y11" s="86">
        <v>5.9974660361610672</v>
      </c>
      <c r="DA11" s="178" t="s">
        <v>197</v>
      </c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DA12" s="181"/>
    </row>
    <row r="13" spans="1:105" ht="11.45" customHeight="1" x14ac:dyDescent="0.25">
      <c r="A13" s="53" t="s">
        <v>64</v>
      </c>
      <c r="B13" s="54">
        <f t="shared" ref="B13:C13" si="6">SUM(B14,B18)</f>
        <v>28.678633480475064</v>
      </c>
      <c r="C13" s="54">
        <f t="shared" si="6"/>
        <v>25.176314579217525</v>
      </c>
      <c r="D13" s="54">
        <f t="shared" ref="D13:V13" si="7">SUM(D14,D18)</f>
        <v>21.450142530506731</v>
      </c>
      <c r="E13" s="54">
        <f t="shared" si="7"/>
        <v>25.886092410593271</v>
      </c>
      <c r="F13" s="54">
        <f t="shared" si="7"/>
        <v>32.157035057354435</v>
      </c>
      <c r="G13" s="54">
        <f t="shared" si="7"/>
        <v>41.054800181702085</v>
      </c>
      <c r="H13" s="54">
        <f t="shared" si="7"/>
        <v>47.548696331755536</v>
      </c>
      <c r="I13" s="54">
        <f t="shared" si="7"/>
        <v>61.297565212831081</v>
      </c>
      <c r="J13" s="54">
        <f t="shared" si="7"/>
        <v>70.01446507106607</v>
      </c>
      <c r="K13" s="54">
        <f t="shared" si="7"/>
        <v>71.690142347831468</v>
      </c>
      <c r="L13" s="54">
        <f t="shared" si="7"/>
        <v>74.047400780133628</v>
      </c>
      <c r="M13" s="54">
        <f t="shared" si="7"/>
        <v>74.450535091466037</v>
      </c>
      <c r="N13" s="54">
        <f t="shared" si="7"/>
        <v>69.509937522080818</v>
      </c>
      <c r="O13" s="54">
        <f t="shared" si="7"/>
        <v>69.771241456728063</v>
      </c>
      <c r="P13" s="54">
        <f t="shared" si="7"/>
        <v>74.407039411723105</v>
      </c>
      <c r="Q13" s="54">
        <f t="shared" si="7"/>
        <v>81.94430512505069</v>
      </c>
      <c r="R13" s="54">
        <f t="shared" si="7"/>
        <v>95.144635976821107</v>
      </c>
      <c r="S13" s="54">
        <f t="shared" si="7"/>
        <v>106.74159018681455</v>
      </c>
      <c r="T13" s="54">
        <f t="shared" si="7"/>
        <v>116.09628315596849</v>
      </c>
      <c r="U13" s="54">
        <f t="shared" si="7"/>
        <v>121.54150321347296</v>
      </c>
      <c r="V13" s="54">
        <f t="shared" si="7"/>
        <v>48.868751142638892</v>
      </c>
      <c r="W13" s="54">
        <f t="shared" ref="W13:Y13" si="8">SUM(W14,W18)</f>
        <v>73.963485896789592</v>
      </c>
      <c r="X13" s="54">
        <f t="shared" si="8"/>
        <v>106.08854032629186</v>
      </c>
      <c r="Y13" s="54">
        <f t="shared" si="8"/>
        <v>117.45897266008643</v>
      </c>
      <c r="DA13" s="172" t="s">
        <v>198</v>
      </c>
    </row>
    <row r="14" spans="1:105" ht="11.45" customHeight="1" x14ac:dyDescent="0.25">
      <c r="A14" s="10" t="s">
        <v>33</v>
      </c>
      <c r="B14" s="11">
        <f t="shared" ref="B14:C14" si="9">SUM(B15:B17)</f>
        <v>28.3227949260122</v>
      </c>
      <c r="C14" s="11">
        <f t="shared" si="9"/>
        <v>24.866830160670386</v>
      </c>
      <c r="D14" s="11">
        <f t="shared" ref="D14:V14" si="10">SUM(D15:D17)</f>
        <v>21.155347856676322</v>
      </c>
      <c r="E14" s="11">
        <f t="shared" si="10"/>
        <v>25.594943547174651</v>
      </c>
      <c r="F14" s="11">
        <f t="shared" si="10"/>
        <v>31.834845298769835</v>
      </c>
      <c r="G14" s="11">
        <f t="shared" si="10"/>
        <v>40.791421854508833</v>
      </c>
      <c r="H14" s="11">
        <f t="shared" si="10"/>
        <v>47.260803509167104</v>
      </c>
      <c r="I14" s="11">
        <f t="shared" si="10"/>
        <v>60.989761663206863</v>
      </c>
      <c r="J14" s="11">
        <f t="shared" si="10"/>
        <v>69.546364394995237</v>
      </c>
      <c r="K14" s="11">
        <f t="shared" si="10"/>
        <v>71.164310926820349</v>
      </c>
      <c r="L14" s="11">
        <f t="shared" si="10"/>
        <v>73.464897816803941</v>
      </c>
      <c r="M14" s="11">
        <f t="shared" si="10"/>
        <v>73.792866287821923</v>
      </c>
      <c r="N14" s="11">
        <f t="shared" si="10"/>
        <v>68.75924646293555</v>
      </c>
      <c r="O14" s="11">
        <f t="shared" si="10"/>
        <v>68.970374920124598</v>
      </c>
      <c r="P14" s="11">
        <f t="shared" si="10"/>
        <v>73.710767840822228</v>
      </c>
      <c r="Q14" s="11">
        <f t="shared" si="10"/>
        <v>81.187455908463662</v>
      </c>
      <c r="R14" s="11">
        <f t="shared" si="10"/>
        <v>94.364339574489307</v>
      </c>
      <c r="S14" s="11">
        <f t="shared" si="10"/>
        <v>105.83757368367425</v>
      </c>
      <c r="T14" s="11">
        <f t="shared" si="10"/>
        <v>115.20706196555165</v>
      </c>
      <c r="U14" s="11">
        <f t="shared" si="10"/>
        <v>120.9013801247192</v>
      </c>
      <c r="V14" s="11">
        <f t="shared" si="10"/>
        <v>48.274168864266301</v>
      </c>
      <c r="W14" s="11">
        <f t="shared" ref="W14:Y14" si="11">SUM(W15:W17)</f>
        <v>73.313101021086652</v>
      </c>
      <c r="X14" s="11">
        <f t="shared" si="11"/>
        <v>105.21299546133443</v>
      </c>
      <c r="Y14" s="11">
        <f t="shared" si="11"/>
        <v>116.59679436094578</v>
      </c>
      <c r="DA14" s="189" t="s">
        <v>199</v>
      </c>
    </row>
    <row r="15" spans="1:105" ht="11.45" customHeight="1" x14ac:dyDescent="0.25">
      <c r="A15" s="83" t="s">
        <v>27</v>
      </c>
      <c r="B15" s="84">
        <v>1.233587190135027</v>
      </c>
      <c r="C15" s="84">
        <v>0.61747816065582373</v>
      </c>
      <c r="D15" s="84">
        <v>0.41210848416275597</v>
      </c>
      <c r="E15" s="84">
        <v>0.41245076695691107</v>
      </c>
      <c r="F15" s="84">
        <v>2.4226776170298896</v>
      </c>
      <c r="G15" s="84">
        <v>2.8852780860382712</v>
      </c>
      <c r="H15" s="84">
        <v>3.092422992828423</v>
      </c>
      <c r="I15" s="84">
        <v>3.5606111650534991</v>
      </c>
      <c r="J15" s="84">
        <v>4.1273574806760962</v>
      </c>
      <c r="K15" s="84">
        <v>4.5443775930017489</v>
      </c>
      <c r="L15" s="84">
        <v>5.3182591268389654</v>
      </c>
      <c r="M15" s="84">
        <v>5.083071428699391</v>
      </c>
      <c r="N15" s="84">
        <v>4.6306006836472875</v>
      </c>
      <c r="O15" s="84">
        <v>4.2839367508850881</v>
      </c>
      <c r="P15" s="84">
        <v>3.9095498161899509</v>
      </c>
      <c r="Q15" s="84">
        <v>3.8654967029733558</v>
      </c>
      <c r="R15" s="84">
        <v>5.2323969510150743</v>
      </c>
      <c r="S15" s="84">
        <v>6.2758011941866672</v>
      </c>
      <c r="T15" s="84">
        <v>6.4327386036026972</v>
      </c>
      <c r="U15" s="84">
        <v>6.2476263657079647</v>
      </c>
      <c r="V15" s="84">
        <v>2.7282414656398104</v>
      </c>
      <c r="W15" s="84">
        <v>3.2965315390652874</v>
      </c>
      <c r="X15" s="84">
        <v>4.5254568309859158</v>
      </c>
      <c r="Y15" s="84">
        <v>4.5735594551656193</v>
      </c>
      <c r="DA15" s="171" t="s">
        <v>200</v>
      </c>
    </row>
    <row r="16" spans="1:105" ht="11.45" customHeight="1" x14ac:dyDescent="0.25">
      <c r="A16" s="83" t="s">
        <v>181</v>
      </c>
      <c r="B16" s="84">
        <v>22.200792264272778</v>
      </c>
      <c r="C16" s="84">
        <v>19.873606393231306</v>
      </c>
      <c r="D16" s="84">
        <v>17.00050866924186</v>
      </c>
      <c r="E16" s="84">
        <v>20.638264119267912</v>
      </c>
      <c r="F16" s="84">
        <v>24.104951475492925</v>
      </c>
      <c r="G16" s="84">
        <v>31.951094770533476</v>
      </c>
      <c r="H16" s="84">
        <v>37.23963122449743</v>
      </c>
      <c r="I16" s="84">
        <v>47.797277951508491</v>
      </c>
      <c r="J16" s="84">
        <v>54.49656973951052</v>
      </c>
      <c r="K16" s="84">
        <v>57.339334995767715</v>
      </c>
      <c r="L16" s="84">
        <v>58.997378314657773</v>
      </c>
      <c r="M16" s="84">
        <v>59.779395956936888</v>
      </c>
      <c r="N16" s="84">
        <v>54.653435575493461</v>
      </c>
      <c r="O16" s="84">
        <v>55.615622599096028</v>
      </c>
      <c r="P16" s="84">
        <v>58.943267855599409</v>
      </c>
      <c r="Q16" s="84">
        <v>65.957445885685388</v>
      </c>
      <c r="R16" s="84">
        <v>75.853376091337338</v>
      </c>
      <c r="S16" s="84">
        <v>84.472811688259682</v>
      </c>
      <c r="T16" s="84">
        <v>89.338589267517364</v>
      </c>
      <c r="U16" s="84">
        <v>93.153380617084338</v>
      </c>
      <c r="V16" s="84">
        <v>38.877861122346168</v>
      </c>
      <c r="W16" s="84">
        <v>56.915467223709349</v>
      </c>
      <c r="X16" s="84">
        <v>84.696098602737578</v>
      </c>
      <c r="Y16" s="84">
        <v>92.751491774531146</v>
      </c>
      <c r="DA16" s="171" t="s">
        <v>201</v>
      </c>
    </row>
    <row r="17" spans="1:105" ht="11.45" customHeight="1" x14ac:dyDescent="0.25">
      <c r="A17" s="83" t="s">
        <v>182</v>
      </c>
      <c r="B17" s="84">
        <v>4.8884154716043966</v>
      </c>
      <c r="C17" s="84">
        <v>4.3757456067832559</v>
      </c>
      <c r="D17" s="84">
        <v>3.742730703271707</v>
      </c>
      <c r="E17" s="84">
        <v>4.5442286609498277</v>
      </c>
      <c r="F17" s="84">
        <v>5.307216206247019</v>
      </c>
      <c r="G17" s="84">
        <v>5.9550489979370811</v>
      </c>
      <c r="H17" s="84">
        <v>6.9287492918412479</v>
      </c>
      <c r="I17" s="84">
        <v>9.6318725466448694</v>
      </c>
      <c r="J17" s="84">
        <v>10.922437174808625</v>
      </c>
      <c r="K17" s="84">
        <v>9.2805983380508792</v>
      </c>
      <c r="L17" s="84">
        <v>9.1492603753072128</v>
      </c>
      <c r="M17" s="84">
        <v>8.9303989021856456</v>
      </c>
      <c r="N17" s="84">
        <v>9.4752102037948003</v>
      </c>
      <c r="O17" s="84">
        <v>9.0708155701434787</v>
      </c>
      <c r="P17" s="84">
        <v>10.857950169032872</v>
      </c>
      <c r="Q17" s="84">
        <v>11.36451331980491</v>
      </c>
      <c r="R17" s="84">
        <v>13.278566532136892</v>
      </c>
      <c r="S17" s="84">
        <v>15.088960801227895</v>
      </c>
      <c r="T17" s="84">
        <v>19.435734094431574</v>
      </c>
      <c r="U17" s="84">
        <v>21.500373141926893</v>
      </c>
      <c r="V17" s="84">
        <v>6.6680662762803236</v>
      </c>
      <c r="W17" s="84">
        <v>13.10110225831202</v>
      </c>
      <c r="X17" s="84">
        <v>15.991440027610929</v>
      </c>
      <c r="Y17" s="84">
        <v>19.271743131249007</v>
      </c>
      <c r="DA17" s="171" t="s">
        <v>202</v>
      </c>
    </row>
    <row r="18" spans="1:105" ht="11.45" customHeight="1" x14ac:dyDescent="0.25">
      <c r="A18" s="12" t="s">
        <v>34</v>
      </c>
      <c r="B18" s="13">
        <f t="shared" ref="B18:C18" si="12">SUM(B19:B21)</f>
        <v>0.355838554462865</v>
      </c>
      <c r="C18" s="13">
        <f t="shared" si="12"/>
        <v>0.30948441854713882</v>
      </c>
      <c r="D18" s="13">
        <f t="shared" ref="D18:V18" si="13">SUM(D19:D21)</f>
        <v>0.29479467383041147</v>
      </c>
      <c r="E18" s="13">
        <f t="shared" si="13"/>
        <v>0.29114886341861834</v>
      </c>
      <c r="F18" s="13">
        <f t="shared" si="13"/>
        <v>0.32218975858460108</v>
      </c>
      <c r="G18" s="13">
        <f t="shared" si="13"/>
        <v>0.26337832719325122</v>
      </c>
      <c r="H18" s="13">
        <f t="shared" si="13"/>
        <v>0.2878928225884308</v>
      </c>
      <c r="I18" s="13">
        <f t="shared" si="13"/>
        <v>0.30780354962421502</v>
      </c>
      <c r="J18" s="13">
        <f t="shared" si="13"/>
        <v>0.46810067607082778</v>
      </c>
      <c r="K18" s="13">
        <f t="shared" si="13"/>
        <v>0.52583142101112335</v>
      </c>
      <c r="L18" s="13">
        <f t="shared" si="13"/>
        <v>0.58250296332968754</v>
      </c>
      <c r="M18" s="13">
        <f t="shared" si="13"/>
        <v>0.65766880364410929</v>
      </c>
      <c r="N18" s="13">
        <f t="shared" si="13"/>
        <v>0.75069105914526746</v>
      </c>
      <c r="O18" s="13">
        <f t="shared" si="13"/>
        <v>0.80086653660346185</v>
      </c>
      <c r="P18" s="13">
        <f t="shared" si="13"/>
        <v>0.69627157090087388</v>
      </c>
      <c r="Q18" s="13">
        <f t="shared" si="13"/>
        <v>0.75684921658702486</v>
      </c>
      <c r="R18" s="13">
        <f t="shared" si="13"/>
        <v>0.78029640233180164</v>
      </c>
      <c r="S18" s="13">
        <f t="shared" si="13"/>
        <v>0.9040165031403018</v>
      </c>
      <c r="T18" s="13">
        <f t="shared" si="13"/>
        <v>0.88922119041684589</v>
      </c>
      <c r="U18" s="13">
        <f t="shared" si="13"/>
        <v>0.64012308875377377</v>
      </c>
      <c r="V18" s="13">
        <f t="shared" si="13"/>
        <v>0.59458227837259003</v>
      </c>
      <c r="W18" s="13">
        <f t="shared" ref="W18:Y18" si="14">SUM(W19:W21)</f>
        <v>0.65038487570293335</v>
      </c>
      <c r="X18" s="13">
        <f t="shared" si="14"/>
        <v>0.87554486495743089</v>
      </c>
      <c r="Y18" s="13">
        <f t="shared" si="14"/>
        <v>0.86217829914065514</v>
      </c>
      <c r="DA18" s="193" t="s">
        <v>203</v>
      </c>
    </row>
    <row r="19" spans="1:105" ht="11.45" customHeight="1" x14ac:dyDescent="0.25">
      <c r="A19" s="92" t="s">
        <v>27</v>
      </c>
      <c r="B19" s="102">
        <v>1.3497080444090533E-2</v>
      </c>
      <c r="C19" s="102">
        <v>1.1656569474441825E-2</v>
      </c>
      <c r="D19" s="102">
        <v>1.0429562161342687E-2</v>
      </c>
      <c r="E19" s="102">
        <v>1.0122810333067901E-2</v>
      </c>
      <c r="F19" s="102">
        <v>1.1349817646167042E-2</v>
      </c>
      <c r="G19" s="102">
        <v>5.719439075630251E-3</v>
      </c>
      <c r="H19" s="102">
        <v>1.3225641006010513E-2</v>
      </c>
      <c r="I19" s="102">
        <v>1.2406506022907908E-2</v>
      </c>
      <c r="J19" s="102">
        <v>7.4390074060301089E-3</v>
      </c>
      <c r="K19" s="102">
        <v>5.1200188666135947E-3</v>
      </c>
      <c r="L19" s="102">
        <v>3.5879932659932659E-3</v>
      </c>
      <c r="M19" s="102">
        <v>2.7004218977315976E-3</v>
      </c>
      <c r="N19" s="102">
        <v>2.1456521739130433E-3</v>
      </c>
      <c r="O19" s="102">
        <v>1.4907446074713042E-3</v>
      </c>
      <c r="P19" s="102">
        <v>9.2851062545234097E-4</v>
      </c>
      <c r="Q19" s="102">
        <v>6.4023856271449014E-4</v>
      </c>
      <c r="R19" s="102">
        <v>1.328349384423344E-3</v>
      </c>
      <c r="S19" s="102">
        <v>4.8434192367956342E-3</v>
      </c>
      <c r="T19" s="102">
        <v>8.5725000000000003E-3</v>
      </c>
      <c r="U19" s="102">
        <v>1.2510719999999999E-2</v>
      </c>
      <c r="V19" s="102">
        <v>1.3466063882063881E-2</v>
      </c>
      <c r="W19" s="102">
        <v>1.7239255159474672E-2</v>
      </c>
      <c r="X19" s="102">
        <v>2.3229530643910007E-2</v>
      </c>
      <c r="Y19" s="102">
        <v>2.8029329962073322E-2</v>
      </c>
      <c r="DA19" s="175" t="s">
        <v>204</v>
      </c>
    </row>
    <row r="20" spans="1:105" ht="11.45" customHeight="1" x14ac:dyDescent="0.25">
      <c r="A20" s="92" t="s">
        <v>181</v>
      </c>
      <c r="B20" s="102">
        <v>0.27084670633037777</v>
      </c>
      <c r="C20" s="102">
        <v>0.22856729287456271</v>
      </c>
      <c r="D20" s="102">
        <v>0.21287034398067212</v>
      </c>
      <c r="E20" s="102">
        <v>0.20506286241662899</v>
      </c>
      <c r="F20" s="102">
        <v>0.23487675026951252</v>
      </c>
      <c r="G20" s="102">
        <v>0.2253371969411504</v>
      </c>
      <c r="H20" s="102">
        <v>0.24004040806974022</v>
      </c>
      <c r="I20" s="102">
        <v>0.23776915354784395</v>
      </c>
      <c r="J20" s="102">
        <v>0.37354192975042178</v>
      </c>
      <c r="K20" s="102">
        <v>0.46325284797601118</v>
      </c>
      <c r="L20" s="102">
        <v>0.51607923673036094</v>
      </c>
      <c r="M20" s="102">
        <v>0.54175075857441646</v>
      </c>
      <c r="N20" s="102">
        <v>0.53766779503105588</v>
      </c>
      <c r="O20" s="102">
        <v>0.57526788004398111</v>
      </c>
      <c r="P20" s="102">
        <v>0.57459804536648906</v>
      </c>
      <c r="Q20" s="102">
        <v>0.65392656646004232</v>
      </c>
      <c r="R20" s="102">
        <v>0.69163328628720877</v>
      </c>
      <c r="S20" s="102">
        <v>0.82126572432401335</v>
      </c>
      <c r="T20" s="102">
        <v>0.83768735195530741</v>
      </c>
      <c r="U20" s="102">
        <v>0.56148019433516916</v>
      </c>
      <c r="V20" s="102">
        <v>0.51084803161114878</v>
      </c>
      <c r="W20" s="102">
        <v>0.55723341393188841</v>
      </c>
      <c r="X20" s="102">
        <v>0.76292263480613176</v>
      </c>
      <c r="Y20" s="102">
        <v>0.7601445843959731</v>
      </c>
      <c r="DA20" s="175" t="s">
        <v>205</v>
      </c>
    </row>
    <row r="21" spans="1:105" ht="11.45" customHeight="1" x14ac:dyDescent="0.25">
      <c r="A21" s="85" t="s">
        <v>182</v>
      </c>
      <c r="B21" s="86">
        <v>7.1494767688396688E-2</v>
      </c>
      <c r="C21" s="86">
        <v>6.9260556198134288E-2</v>
      </c>
      <c r="D21" s="86">
        <v>7.1494767688396688E-2</v>
      </c>
      <c r="E21" s="86">
        <v>7.5963190668921488E-2</v>
      </c>
      <c r="F21" s="86">
        <v>7.5963190668921488E-2</v>
      </c>
      <c r="G21" s="86">
        <v>3.2321691176470581E-2</v>
      </c>
      <c r="H21" s="86">
        <v>3.4626773512680058E-2</v>
      </c>
      <c r="I21" s="86">
        <v>5.7627890053463186E-2</v>
      </c>
      <c r="J21" s="86">
        <v>8.711973891437591E-2</v>
      </c>
      <c r="K21" s="86">
        <v>5.7458554168498537E-2</v>
      </c>
      <c r="L21" s="86">
        <v>6.2835733333333324E-2</v>
      </c>
      <c r="M21" s="86">
        <v>0.11321762317196125</v>
      </c>
      <c r="N21" s="86">
        <v>0.21087761194029853</v>
      </c>
      <c r="O21" s="86">
        <v>0.22410791195200944</v>
      </c>
      <c r="P21" s="86">
        <v>0.12074501490893255</v>
      </c>
      <c r="Q21" s="86">
        <v>0.10228241156426808</v>
      </c>
      <c r="R21" s="86">
        <v>8.7334766660169455E-2</v>
      </c>
      <c r="S21" s="86">
        <v>7.7907359579492755E-2</v>
      </c>
      <c r="T21" s="86">
        <v>4.2961338461538462E-2</v>
      </c>
      <c r="U21" s="86">
        <v>6.6132174418604639E-2</v>
      </c>
      <c r="V21" s="86">
        <v>7.026818287937743E-2</v>
      </c>
      <c r="W21" s="86">
        <v>7.5912206611570249E-2</v>
      </c>
      <c r="X21" s="86">
        <v>8.9392699507389178E-2</v>
      </c>
      <c r="Y21" s="86">
        <v>7.4004384782608693E-2</v>
      </c>
      <c r="DA21" s="178" t="s">
        <v>206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DA22" s="181"/>
    </row>
    <row r="23" spans="1:105" ht="11.45" customHeight="1" x14ac:dyDescent="0.25">
      <c r="A23" s="53" t="s">
        <v>138</v>
      </c>
      <c r="B23" s="54">
        <f t="shared" ref="B23:C23" si="15">SUM(B24,B28)</f>
        <v>26067</v>
      </c>
      <c r="C23" s="54">
        <f t="shared" si="15"/>
        <v>21895</v>
      </c>
      <c r="D23" s="54">
        <f t="shared" ref="D23:V23" si="16">SUM(D24,D28)</f>
        <v>18420</v>
      </c>
      <c r="E23" s="54">
        <f t="shared" si="16"/>
        <v>22020</v>
      </c>
      <c r="F23" s="54">
        <f t="shared" si="16"/>
        <v>31376</v>
      </c>
      <c r="G23" s="54">
        <f t="shared" si="16"/>
        <v>39640</v>
      </c>
      <c r="H23" s="54">
        <f t="shared" si="16"/>
        <v>45593</v>
      </c>
      <c r="I23" s="54">
        <f t="shared" si="16"/>
        <v>54726</v>
      </c>
      <c r="J23" s="54">
        <f t="shared" si="16"/>
        <v>60596</v>
      </c>
      <c r="K23" s="54">
        <f t="shared" si="16"/>
        <v>62035</v>
      </c>
      <c r="L23" s="54">
        <f t="shared" si="16"/>
        <v>64831</v>
      </c>
      <c r="M23" s="54">
        <f t="shared" si="16"/>
        <v>65441</v>
      </c>
      <c r="N23" s="54">
        <f t="shared" si="16"/>
        <v>60225</v>
      </c>
      <c r="O23" s="54">
        <f t="shared" si="16"/>
        <v>58300</v>
      </c>
      <c r="P23" s="54">
        <f t="shared" si="16"/>
        <v>59407</v>
      </c>
      <c r="Q23" s="54">
        <f t="shared" si="16"/>
        <v>63805</v>
      </c>
      <c r="R23" s="54">
        <f t="shared" si="16"/>
        <v>74247</v>
      </c>
      <c r="S23" s="54">
        <f t="shared" si="16"/>
        <v>83380</v>
      </c>
      <c r="T23" s="54">
        <f t="shared" si="16"/>
        <v>88558</v>
      </c>
      <c r="U23" s="54">
        <f t="shared" si="16"/>
        <v>90900</v>
      </c>
      <c r="V23" s="54">
        <f t="shared" si="16"/>
        <v>36295</v>
      </c>
      <c r="W23" s="54">
        <f t="shared" ref="W23:Y23" si="17">SUM(W24,W28)</f>
        <v>53448</v>
      </c>
      <c r="X23" s="54">
        <f t="shared" si="17"/>
        <v>76189</v>
      </c>
      <c r="Y23" s="54">
        <f t="shared" si="17"/>
        <v>84430</v>
      </c>
      <c r="DA23" s="172" t="s">
        <v>207</v>
      </c>
    </row>
    <row r="24" spans="1:105" ht="11.45" customHeight="1" x14ac:dyDescent="0.25">
      <c r="A24" s="10" t="s">
        <v>33</v>
      </c>
      <c r="B24" s="11">
        <f t="shared" ref="B24:C24" si="18">SUM(B25:B27)</f>
        <v>25629</v>
      </c>
      <c r="C24" s="11">
        <f t="shared" si="18"/>
        <v>21520</v>
      </c>
      <c r="D24" s="11">
        <f t="shared" ref="D24:V24" si="19">SUM(D25:D27)</f>
        <v>18069</v>
      </c>
      <c r="E24" s="11">
        <f t="shared" si="19"/>
        <v>21679</v>
      </c>
      <c r="F24" s="11">
        <f t="shared" si="19"/>
        <v>30990</v>
      </c>
      <c r="G24" s="11">
        <f t="shared" si="19"/>
        <v>39302</v>
      </c>
      <c r="H24" s="11">
        <f t="shared" si="19"/>
        <v>45174</v>
      </c>
      <c r="I24" s="11">
        <f t="shared" si="19"/>
        <v>54343</v>
      </c>
      <c r="J24" s="11">
        <f t="shared" si="19"/>
        <v>60070</v>
      </c>
      <c r="K24" s="11">
        <f t="shared" si="19"/>
        <v>61460</v>
      </c>
      <c r="L24" s="11">
        <f t="shared" si="19"/>
        <v>64232</v>
      </c>
      <c r="M24" s="11">
        <f t="shared" si="19"/>
        <v>64862</v>
      </c>
      <c r="N24" s="11">
        <f t="shared" si="19"/>
        <v>59645</v>
      </c>
      <c r="O24" s="11">
        <f t="shared" si="19"/>
        <v>57689</v>
      </c>
      <c r="P24" s="11">
        <f t="shared" si="19"/>
        <v>58836</v>
      </c>
      <c r="Q24" s="11">
        <f t="shared" si="19"/>
        <v>63147</v>
      </c>
      <c r="R24" s="11">
        <f t="shared" si="19"/>
        <v>73550</v>
      </c>
      <c r="S24" s="11">
        <f t="shared" si="19"/>
        <v>82552</v>
      </c>
      <c r="T24" s="11">
        <f t="shared" si="19"/>
        <v>87681</v>
      </c>
      <c r="U24" s="11">
        <f t="shared" si="19"/>
        <v>90218</v>
      </c>
      <c r="V24" s="11">
        <f t="shared" si="19"/>
        <v>35641</v>
      </c>
      <c r="W24" s="11">
        <f t="shared" ref="W24:Y24" si="20">SUM(W25:W27)</f>
        <v>52731</v>
      </c>
      <c r="X24" s="11">
        <f t="shared" si="20"/>
        <v>75296</v>
      </c>
      <c r="Y24" s="11">
        <f t="shared" si="20"/>
        <v>83513</v>
      </c>
      <c r="DA24" s="189" t="s">
        <v>208</v>
      </c>
    </row>
    <row r="25" spans="1:105" ht="11.45" customHeight="1" x14ac:dyDescent="0.25">
      <c r="A25" s="83" t="s">
        <v>27</v>
      </c>
      <c r="B25" s="84">
        <v>3604</v>
      </c>
      <c r="C25" s="84">
        <v>1804</v>
      </c>
      <c r="D25" s="84">
        <v>1204</v>
      </c>
      <c r="E25" s="84">
        <v>1205</v>
      </c>
      <c r="F25" s="84">
        <v>7078</v>
      </c>
      <c r="G25" s="84">
        <v>8573</v>
      </c>
      <c r="H25" s="84">
        <v>9254</v>
      </c>
      <c r="I25" s="84">
        <v>10438</v>
      </c>
      <c r="J25" s="84">
        <v>11653</v>
      </c>
      <c r="K25" s="84">
        <v>12492</v>
      </c>
      <c r="L25" s="84">
        <v>14451</v>
      </c>
      <c r="M25" s="84">
        <v>13439</v>
      </c>
      <c r="N25" s="84">
        <v>11788</v>
      </c>
      <c r="O25" s="84">
        <v>11451</v>
      </c>
      <c r="P25" s="84">
        <v>10422</v>
      </c>
      <c r="Q25" s="84">
        <v>10297</v>
      </c>
      <c r="R25" s="84">
        <v>13878</v>
      </c>
      <c r="S25" s="84">
        <v>16491</v>
      </c>
      <c r="T25" s="84">
        <v>16864</v>
      </c>
      <c r="U25" s="84">
        <v>16209</v>
      </c>
      <c r="V25" s="84">
        <v>7238</v>
      </c>
      <c r="W25" s="84">
        <v>8852</v>
      </c>
      <c r="X25" s="84">
        <v>11834</v>
      </c>
      <c r="Y25" s="84">
        <v>11898</v>
      </c>
      <c r="DA25" s="171" t="s">
        <v>209</v>
      </c>
    </row>
    <row r="26" spans="1:105" ht="11.45" customHeight="1" x14ac:dyDescent="0.25">
      <c r="A26" s="83" t="s">
        <v>181</v>
      </c>
      <c r="B26" s="84">
        <v>17963</v>
      </c>
      <c r="C26" s="84">
        <v>16080</v>
      </c>
      <c r="D26" s="84">
        <v>13755</v>
      </c>
      <c r="E26" s="84">
        <v>16698</v>
      </c>
      <c r="F26" s="84">
        <v>19502</v>
      </c>
      <c r="G26" s="84">
        <v>25431</v>
      </c>
      <c r="H26" s="84">
        <v>29790</v>
      </c>
      <c r="I26" s="84">
        <v>36461</v>
      </c>
      <c r="J26" s="84">
        <v>40250</v>
      </c>
      <c r="K26" s="84">
        <v>41559</v>
      </c>
      <c r="L26" s="84">
        <v>42309</v>
      </c>
      <c r="M26" s="84">
        <v>43512</v>
      </c>
      <c r="N26" s="84">
        <v>39481</v>
      </c>
      <c r="O26" s="84">
        <v>38953</v>
      </c>
      <c r="P26" s="84">
        <v>40506</v>
      </c>
      <c r="Q26" s="84">
        <v>44682</v>
      </c>
      <c r="R26" s="84">
        <v>50700</v>
      </c>
      <c r="S26" s="84">
        <v>55823</v>
      </c>
      <c r="T26" s="84">
        <v>58727</v>
      </c>
      <c r="U26" s="84">
        <v>60817</v>
      </c>
      <c r="V26" s="84">
        <v>24788</v>
      </c>
      <c r="W26" s="84">
        <v>36217</v>
      </c>
      <c r="X26" s="84">
        <v>53353</v>
      </c>
      <c r="Y26" s="84">
        <v>59256</v>
      </c>
      <c r="DA26" s="171" t="s">
        <v>210</v>
      </c>
    </row>
    <row r="27" spans="1:105" ht="11.45" customHeight="1" x14ac:dyDescent="0.25">
      <c r="A27" s="83" t="s">
        <v>182</v>
      </c>
      <c r="B27" s="84">
        <v>4062</v>
      </c>
      <c r="C27" s="84">
        <v>3636</v>
      </c>
      <c r="D27" s="84">
        <v>3110</v>
      </c>
      <c r="E27" s="84">
        <v>3776</v>
      </c>
      <c r="F27" s="84">
        <v>4410</v>
      </c>
      <c r="G27" s="84">
        <v>5298</v>
      </c>
      <c r="H27" s="84">
        <v>6130</v>
      </c>
      <c r="I27" s="84">
        <v>7444</v>
      </c>
      <c r="J27" s="84">
        <v>8167</v>
      </c>
      <c r="K27" s="84">
        <v>7409</v>
      </c>
      <c r="L27" s="84">
        <v>7472</v>
      </c>
      <c r="M27" s="84">
        <v>7911</v>
      </c>
      <c r="N27" s="84">
        <v>8376</v>
      </c>
      <c r="O27" s="84">
        <v>7285</v>
      </c>
      <c r="P27" s="84">
        <v>7908</v>
      </c>
      <c r="Q27" s="84">
        <v>8168</v>
      </c>
      <c r="R27" s="84">
        <v>8972</v>
      </c>
      <c r="S27" s="84">
        <v>10238</v>
      </c>
      <c r="T27" s="84">
        <v>12090</v>
      </c>
      <c r="U27" s="84">
        <v>13192</v>
      </c>
      <c r="V27" s="84">
        <v>3615</v>
      </c>
      <c r="W27" s="84">
        <v>7662</v>
      </c>
      <c r="X27" s="84">
        <v>10109</v>
      </c>
      <c r="Y27" s="84">
        <v>12359</v>
      </c>
      <c r="DA27" s="171" t="s">
        <v>211</v>
      </c>
    </row>
    <row r="28" spans="1:105" ht="11.45" customHeight="1" x14ac:dyDescent="0.25">
      <c r="A28" s="12" t="s">
        <v>34</v>
      </c>
      <c r="B28" s="13">
        <f t="shared" ref="B28:C28" si="21">SUM(B29:B31)</f>
        <v>438</v>
      </c>
      <c r="C28" s="13">
        <f t="shared" si="21"/>
        <v>375</v>
      </c>
      <c r="D28" s="13">
        <f t="shared" ref="D28:V28" si="22">SUM(D29:D31)</f>
        <v>351</v>
      </c>
      <c r="E28" s="13">
        <f t="shared" si="22"/>
        <v>341</v>
      </c>
      <c r="F28" s="13">
        <f t="shared" si="22"/>
        <v>386</v>
      </c>
      <c r="G28" s="13">
        <f t="shared" si="22"/>
        <v>338</v>
      </c>
      <c r="H28" s="13">
        <f t="shared" si="22"/>
        <v>419</v>
      </c>
      <c r="I28" s="13">
        <f t="shared" si="22"/>
        <v>383</v>
      </c>
      <c r="J28" s="13">
        <f t="shared" si="22"/>
        <v>526</v>
      </c>
      <c r="K28" s="13">
        <f t="shared" si="22"/>
        <v>575</v>
      </c>
      <c r="L28" s="13">
        <f t="shared" si="22"/>
        <v>599</v>
      </c>
      <c r="M28" s="13">
        <f t="shared" si="22"/>
        <v>579</v>
      </c>
      <c r="N28" s="13">
        <f t="shared" si="22"/>
        <v>580</v>
      </c>
      <c r="O28" s="13">
        <f t="shared" si="22"/>
        <v>611</v>
      </c>
      <c r="P28" s="13">
        <f t="shared" si="22"/>
        <v>571</v>
      </c>
      <c r="Q28" s="13">
        <f t="shared" si="22"/>
        <v>658</v>
      </c>
      <c r="R28" s="13">
        <f t="shared" si="22"/>
        <v>697</v>
      </c>
      <c r="S28" s="13">
        <f t="shared" si="22"/>
        <v>828</v>
      </c>
      <c r="T28" s="13">
        <f t="shared" si="22"/>
        <v>877</v>
      </c>
      <c r="U28" s="13">
        <f t="shared" si="22"/>
        <v>682</v>
      </c>
      <c r="V28" s="13">
        <f t="shared" si="22"/>
        <v>654</v>
      </c>
      <c r="W28" s="13">
        <f t="shared" ref="W28:Y28" si="23">SUM(W29:W31)</f>
        <v>717</v>
      </c>
      <c r="X28" s="13">
        <f t="shared" si="23"/>
        <v>893</v>
      </c>
      <c r="Y28" s="13">
        <f t="shared" si="23"/>
        <v>917</v>
      </c>
      <c r="DA28" s="193" t="s">
        <v>212</v>
      </c>
    </row>
    <row r="29" spans="1:105" ht="11.45" customHeight="1" x14ac:dyDescent="0.25">
      <c r="A29" s="92" t="s">
        <v>27</v>
      </c>
      <c r="B29" s="102">
        <v>44</v>
      </c>
      <c r="C29" s="102">
        <v>38</v>
      </c>
      <c r="D29" s="102">
        <v>34</v>
      </c>
      <c r="E29" s="102">
        <v>33</v>
      </c>
      <c r="F29" s="102">
        <v>37</v>
      </c>
      <c r="G29" s="102">
        <v>19</v>
      </c>
      <c r="H29" s="102">
        <v>49</v>
      </c>
      <c r="I29" s="102">
        <v>50</v>
      </c>
      <c r="J29" s="102">
        <v>32</v>
      </c>
      <c r="K29" s="102">
        <v>24</v>
      </c>
      <c r="L29" s="102">
        <v>19</v>
      </c>
      <c r="M29" s="102">
        <v>11</v>
      </c>
      <c r="N29" s="102">
        <v>7</v>
      </c>
      <c r="O29" s="102">
        <v>5</v>
      </c>
      <c r="P29" s="102">
        <v>3</v>
      </c>
      <c r="Q29" s="102">
        <v>2</v>
      </c>
      <c r="R29" s="102">
        <v>4</v>
      </c>
      <c r="S29" s="102">
        <v>14</v>
      </c>
      <c r="T29" s="102">
        <v>24</v>
      </c>
      <c r="U29" s="102">
        <v>36</v>
      </c>
      <c r="V29" s="102">
        <v>48</v>
      </c>
      <c r="W29" s="102">
        <v>69</v>
      </c>
      <c r="X29" s="102">
        <v>81</v>
      </c>
      <c r="Y29" s="102">
        <v>96</v>
      </c>
      <c r="DA29" s="175" t="s">
        <v>213</v>
      </c>
    </row>
    <row r="30" spans="1:105" ht="11.45" customHeight="1" x14ac:dyDescent="0.25">
      <c r="A30" s="92" t="s">
        <v>181</v>
      </c>
      <c r="B30" s="102">
        <v>362</v>
      </c>
      <c r="C30" s="102">
        <v>306</v>
      </c>
      <c r="D30" s="102">
        <v>285</v>
      </c>
      <c r="E30" s="102">
        <v>274</v>
      </c>
      <c r="F30" s="102">
        <v>315</v>
      </c>
      <c r="G30" s="102">
        <v>304</v>
      </c>
      <c r="H30" s="102">
        <v>355</v>
      </c>
      <c r="I30" s="102">
        <v>311</v>
      </c>
      <c r="J30" s="102">
        <v>463</v>
      </c>
      <c r="K30" s="102">
        <v>531</v>
      </c>
      <c r="L30" s="102">
        <v>559</v>
      </c>
      <c r="M30" s="102">
        <v>534</v>
      </c>
      <c r="N30" s="102">
        <v>517</v>
      </c>
      <c r="O30" s="102">
        <v>537</v>
      </c>
      <c r="P30" s="102">
        <v>524</v>
      </c>
      <c r="Q30" s="102">
        <v>608</v>
      </c>
      <c r="R30" s="102">
        <v>638</v>
      </c>
      <c r="S30" s="102">
        <v>732</v>
      </c>
      <c r="T30" s="102">
        <v>758</v>
      </c>
      <c r="U30" s="102">
        <v>527</v>
      </c>
      <c r="V30" s="102">
        <v>495</v>
      </c>
      <c r="W30" s="102">
        <v>542</v>
      </c>
      <c r="X30" s="102">
        <v>710</v>
      </c>
      <c r="Y30" s="102">
        <v>748</v>
      </c>
      <c r="DA30" s="175" t="s">
        <v>214</v>
      </c>
    </row>
    <row r="31" spans="1:105" ht="11.45" customHeight="1" x14ac:dyDescent="0.25">
      <c r="A31" s="85" t="s">
        <v>182</v>
      </c>
      <c r="B31" s="86">
        <v>32</v>
      </c>
      <c r="C31" s="86">
        <v>31</v>
      </c>
      <c r="D31" s="86">
        <v>32</v>
      </c>
      <c r="E31" s="86">
        <v>34</v>
      </c>
      <c r="F31" s="86">
        <v>34</v>
      </c>
      <c r="G31" s="86">
        <v>15</v>
      </c>
      <c r="H31" s="86">
        <v>15</v>
      </c>
      <c r="I31" s="86">
        <v>22</v>
      </c>
      <c r="J31" s="86">
        <v>31</v>
      </c>
      <c r="K31" s="86">
        <v>20</v>
      </c>
      <c r="L31" s="86">
        <v>21</v>
      </c>
      <c r="M31" s="86">
        <v>34</v>
      </c>
      <c r="N31" s="86">
        <v>56</v>
      </c>
      <c r="O31" s="86">
        <v>69</v>
      </c>
      <c r="P31" s="86">
        <v>44</v>
      </c>
      <c r="Q31" s="86">
        <v>48</v>
      </c>
      <c r="R31" s="86">
        <v>55</v>
      </c>
      <c r="S31" s="86">
        <v>82</v>
      </c>
      <c r="T31" s="86">
        <v>95</v>
      </c>
      <c r="U31" s="86">
        <v>119</v>
      </c>
      <c r="V31" s="86">
        <v>111</v>
      </c>
      <c r="W31" s="86">
        <v>106</v>
      </c>
      <c r="X31" s="86">
        <v>102</v>
      </c>
      <c r="Y31" s="86">
        <v>73</v>
      </c>
      <c r="DA31" s="178" t="s">
        <v>215</v>
      </c>
    </row>
    <row r="32" spans="1:105" x14ac:dyDescent="0.25">
      <c r="A32" s="50"/>
      <c r="B32" s="50"/>
      <c r="C32" s="50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DA32" s="181"/>
    </row>
    <row r="33" spans="1:105" ht="11.45" customHeight="1" x14ac:dyDescent="0.25">
      <c r="A33" s="53" t="s">
        <v>140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DA33" s="172"/>
    </row>
    <row r="34" spans="1:105" ht="11.45" customHeight="1" x14ac:dyDescent="0.25">
      <c r="A34" s="10" t="s">
        <v>79</v>
      </c>
      <c r="B34" s="11">
        <f t="shared" ref="B34:C34" si="24">SUM(B35:B37)</f>
        <v>1576428</v>
      </c>
      <c r="C34" s="11">
        <f t="shared" si="24"/>
        <v>1370452</v>
      </c>
      <c r="D34" s="11">
        <f t="shared" ref="D34:V34" si="25">SUM(D35:D37)</f>
        <v>1174392</v>
      </c>
      <c r="E34" s="11">
        <f t="shared" si="25"/>
        <v>1438456</v>
      </c>
      <c r="F34" s="11">
        <f t="shared" si="25"/>
        <v>1936007</v>
      </c>
      <c r="G34" s="11">
        <f t="shared" si="25"/>
        <v>2511644</v>
      </c>
      <c r="H34" s="11">
        <f t="shared" si="25"/>
        <v>2968130</v>
      </c>
      <c r="I34" s="11">
        <f t="shared" si="25"/>
        <v>3684357</v>
      </c>
      <c r="J34" s="11">
        <f t="shared" si="25"/>
        <v>4252925</v>
      </c>
      <c r="K34" s="11">
        <f t="shared" si="25"/>
        <v>4192315</v>
      </c>
      <c r="L34" s="11">
        <f t="shared" si="25"/>
        <v>4717092</v>
      </c>
      <c r="M34" s="11">
        <f t="shared" si="25"/>
        <v>5194048</v>
      </c>
      <c r="N34" s="11">
        <f t="shared" si="25"/>
        <v>5120674</v>
      </c>
      <c r="O34" s="11">
        <f t="shared" si="25"/>
        <v>5324379</v>
      </c>
      <c r="P34" s="11">
        <f t="shared" si="25"/>
        <v>5762135</v>
      </c>
      <c r="Q34" s="11">
        <f t="shared" si="25"/>
        <v>6609995</v>
      </c>
      <c r="R34" s="11">
        <f t="shared" si="25"/>
        <v>8064879</v>
      </c>
      <c r="S34" s="11">
        <f t="shared" si="25"/>
        <v>9690988</v>
      </c>
      <c r="T34" s="11">
        <f t="shared" si="25"/>
        <v>10616352</v>
      </c>
      <c r="U34" s="11">
        <f t="shared" si="25"/>
        <v>11451472</v>
      </c>
      <c r="V34" s="11">
        <f t="shared" si="25"/>
        <v>3573161</v>
      </c>
      <c r="W34" s="11">
        <f t="shared" ref="W34:Y34" si="26">SUM(W35:W37)</f>
        <v>5598454</v>
      </c>
      <c r="X34" s="11">
        <f t="shared" si="26"/>
        <v>10277945</v>
      </c>
      <c r="Y34" s="11">
        <f t="shared" si="26"/>
        <v>11899006</v>
      </c>
      <c r="DA34" s="189" t="s">
        <v>216</v>
      </c>
    </row>
    <row r="35" spans="1:105" ht="11.45" customHeight="1" x14ac:dyDescent="0.25">
      <c r="A35" s="83" t="s">
        <v>27</v>
      </c>
      <c r="B35" s="84">
        <v>138934</v>
      </c>
      <c r="C35" s="84">
        <v>69755</v>
      </c>
      <c r="D35" s="84">
        <v>46874</v>
      </c>
      <c r="E35" s="84">
        <v>47261</v>
      </c>
      <c r="F35" s="84">
        <v>279831</v>
      </c>
      <c r="G35" s="84">
        <v>341438</v>
      </c>
      <c r="H35" s="84">
        <v>372079</v>
      </c>
      <c r="I35" s="84">
        <v>428650</v>
      </c>
      <c r="J35" s="84">
        <v>518701</v>
      </c>
      <c r="K35" s="84">
        <v>474663</v>
      </c>
      <c r="L35" s="84">
        <v>593632</v>
      </c>
      <c r="M35" s="84">
        <v>599835</v>
      </c>
      <c r="N35" s="84">
        <v>535960</v>
      </c>
      <c r="O35" s="84">
        <v>531225</v>
      </c>
      <c r="P35" s="84">
        <v>480843</v>
      </c>
      <c r="Q35" s="84">
        <v>500670</v>
      </c>
      <c r="R35" s="84">
        <v>869758</v>
      </c>
      <c r="S35" s="84">
        <v>1323455</v>
      </c>
      <c r="T35" s="84">
        <v>1336741</v>
      </c>
      <c r="U35" s="84">
        <v>1275198</v>
      </c>
      <c r="V35" s="84">
        <v>425882</v>
      </c>
      <c r="W35" s="84">
        <v>628250</v>
      </c>
      <c r="X35" s="84">
        <v>920208</v>
      </c>
      <c r="Y35" s="84">
        <v>845246</v>
      </c>
      <c r="DA35" s="171" t="s">
        <v>217</v>
      </c>
    </row>
    <row r="36" spans="1:105" ht="11.45" customHeight="1" x14ac:dyDescent="0.25">
      <c r="A36" s="83" t="s">
        <v>181</v>
      </c>
      <c r="B36" s="84">
        <v>1199548</v>
      </c>
      <c r="C36" s="84">
        <v>1085559</v>
      </c>
      <c r="D36" s="84">
        <v>942717</v>
      </c>
      <c r="E36" s="84">
        <v>1165504</v>
      </c>
      <c r="F36" s="84">
        <v>1389265</v>
      </c>
      <c r="G36" s="84">
        <v>1841083</v>
      </c>
      <c r="H36" s="84">
        <v>2204395</v>
      </c>
      <c r="I36" s="84">
        <v>2767904</v>
      </c>
      <c r="J36" s="84">
        <v>3214961</v>
      </c>
      <c r="K36" s="84">
        <v>3249928</v>
      </c>
      <c r="L36" s="84">
        <v>3592346</v>
      </c>
      <c r="M36" s="84">
        <v>4079734</v>
      </c>
      <c r="N36" s="84">
        <v>4020579</v>
      </c>
      <c r="O36" s="84">
        <v>4231032</v>
      </c>
      <c r="P36" s="84">
        <v>4579946</v>
      </c>
      <c r="Q36" s="84">
        <v>5301722</v>
      </c>
      <c r="R36" s="84">
        <v>6337603</v>
      </c>
      <c r="S36" s="84">
        <v>7382351</v>
      </c>
      <c r="T36" s="84">
        <v>8016547</v>
      </c>
      <c r="U36" s="84">
        <v>8725154</v>
      </c>
      <c r="V36" s="84">
        <v>2810585</v>
      </c>
      <c r="W36" s="84">
        <v>4207809</v>
      </c>
      <c r="X36" s="84">
        <v>8066005</v>
      </c>
      <c r="Y36" s="84">
        <v>9460638</v>
      </c>
      <c r="DA36" s="171" t="s">
        <v>218</v>
      </c>
    </row>
    <row r="37" spans="1:105" ht="11.45" customHeight="1" x14ac:dyDescent="0.25">
      <c r="A37" s="83" t="s">
        <v>182</v>
      </c>
      <c r="B37" s="84">
        <v>237946</v>
      </c>
      <c r="C37" s="84">
        <v>215138</v>
      </c>
      <c r="D37" s="84">
        <v>184801</v>
      </c>
      <c r="E37" s="84">
        <v>225691</v>
      </c>
      <c r="F37" s="84">
        <v>266911</v>
      </c>
      <c r="G37" s="84">
        <v>329123</v>
      </c>
      <c r="H37" s="84">
        <v>391656</v>
      </c>
      <c r="I37" s="84">
        <v>487803</v>
      </c>
      <c r="J37" s="84">
        <v>519263</v>
      </c>
      <c r="K37" s="84">
        <v>467724</v>
      </c>
      <c r="L37" s="84">
        <v>531114</v>
      </c>
      <c r="M37" s="84">
        <v>514479</v>
      </c>
      <c r="N37" s="84">
        <v>564135</v>
      </c>
      <c r="O37" s="84">
        <v>562122</v>
      </c>
      <c r="P37" s="84">
        <v>701346</v>
      </c>
      <c r="Q37" s="84">
        <v>807603</v>
      </c>
      <c r="R37" s="84">
        <v>857518</v>
      </c>
      <c r="S37" s="84">
        <v>985182</v>
      </c>
      <c r="T37" s="84">
        <v>1263064</v>
      </c>
      <c r="U37" s="84">
        <v>1451120</v>
      </c>
      <c r="V37" s="84">
        <v>336694</v>
      </c>
      <c r="W37" s="84">
        <v>762395</v>
      </c>
      <c r="X37" s="84">
        <v>1291732</v>
      </c>
      <c r="Y37" s="84">
        <v>1593122</v>
      </c>
      <c r="DA37" s="171" t="s">
        <v>219</v>
      </c>
    </row>
    <row r="38" spans="1:105" ht="11.45" customHeight="1" x14ac:dyDescent="0.25">
      <c r="A38" s="12" t="s">
        <v>80</v>
      </c>
      <c r="B38" s="13">
        <f t="shared" ref="B38:C38" si="27">SUM(B39:B41)</f>
        <v>7962.1972599834135</v>
      </c>
      <c r="C38" s="13">
        <f t="shared" si="27"/>
        <v>7050.2136554345889</v>
      </c>
      <c r="D38" s="13">
        <f t="shared" ref="D38:V38" si="28">SUM(D39:D41)</f>
        <v>6704.7410914656602</v>
      </c>
      <c r="E38" s="13">
        <f t="shared" si="28"/>
        <v>6734.4931034465872</v>
      </c>
      <c r="F38" s="13">
        <f t="shared" si="28"/>
        <v>7073.8768793812669</v>
      </c>
      <c r="G38" s="13">
        <f t="shared" si="28"/>
        <v>5475.2871359405071</v>
      </c>
      <c r="H38" s="13">
        <f t="shared" si="28"/>
        <v>6126.3684555737891</v>
      </c>
      <c r="I38" s="13">
        <f t="shared" si="28"/>
        <v>5762.2208246557666</v>
      </c>
      <c r="J38" s="13">
        <f t="shared" si="28"/>
        <v>8034.0237728225193</v>
      </c>
      <c r="K38" s="13">
        <f t="shared" si="28"/>
        <v>8495.8899141912989</v>
      </c>
      <c r="L38" s="13">
        <f t="shared" si="28"/>
        <v>9400.736521202396</v>
      </c>
      <c r="M38" s="13">
        <f t="shared" si="28"/>
        <v>10319.299051420687</v>
      </c>
      <c r="N38" s="13">
        <f t="shared" si="28"/>
        <v>12004.431309210098</v>
      </c>
      <c r="O38" s="13">
        <f t="shared" si="28"/>
        <v>13172.739253714804</v>
      </c>
      <c r="P38" s="13">
        <f t="shared" si="28"/>
        <v>12630.413084220523</v>
      </c>
      <c r="Q38" s="13">
        <f t="shared" si="28"/>
        <v>14441.557985336318</v>
      </c>
      <c r="R38" s="13">
        <f t="shared" si="28"/>
        <v>17401.344904194528</v>
      </c>
      <c r="S38" s="13">
        <f t="shared" si="28"/>
        <v>20393.598472865699</v>
      </c>
      <c r="T38" s="13">
        <f t="shared" si="28"/>
        <v>21907.116460194633</v>
      </c>
      <c r="U38" s="13">
        <f t="shared" si="28"/>
        <v>19924.973439711943</v>
      </c>
      <c r="V38" s="13">
        <f t="shared" si="28"/>
        <v>15039.831019491165</v>
      </c>
      <c r="W38" s="13">
        <f t="shared" ref="W38:Y38" si="29">SUM(W39:W41)</f>
        <v>16327.33200833081</v>
      </c>
      <c r="X38" s="13">
        <f t="shared" si="29"/>
        <v>20080.561218632323</v>
      </c>
      <c r="Y38" s="13">
        <f t="shared" si="29"/>
        <v>19465.480035581848</v>
      </c>
      <c r="DA38" s="193" t="s">
        <v>220</v>
      </c>
    </row>
    <row r="39" spans="1:105" ht="11.45" customHeight="1" x14ac:dyDescent="0.25">
      <c r="A39" s="92" t="s">
        <v>27</v>
      </c>
      <c r="B39" s="102">
        <v>441.02452070241975</v>
      </c>
      <c r="C39" s="102">
        <v>377.98008805808928</v>
      </c>
      <c r="D39" s="102">
        <v>347.77304002843488</v>
      </c>
      <c r="E39" s="102">
        <v>359.04364324463438</v>
      </c>
      <c r="F39" s="102">
        <v>379.07577477341272</v>
      </c>
      <c r="G39" s="102">
        <v>190.50134464261487</v>
      </c>
      <c r="H39" s="102">
        <v>472.5704810999938</v>
      </c>
      <c r="I39" s="102">
        <v>480.42432750391146</v>
      </c>
      <c r="J39" s="102">
        <v>295.81613440591138</v>
      </c>
      <c r="K39" s="102">
        <v>223.77839601350496</v>
      </c>
      <c r="L39" s="102">
        <v>189.48117174165779</v>
      </c>
      <c r="M39" s="102">
        <v>119.84980941120834</v>
      </c>
      <c r="N39" s="102">
        <v>78.339317906844826</v>
      </c>
      <c r="O39" s="102">
        <v>57.363032787887263</v>
      </c>
      <c r="P39" s="102">
        <v>38.601291149301105</v>
      </c>
      <c r="Q39" s="102">
        <v>26.480597241341446</v>
      </c>
      <c r="R39" s="102">
        <v>61.044900816711653</v>
      </c>
      <c r="S39" s="102">
        <v>196.52370195930462</v>
      </c>
      <c r="T39" s="102">
        <v>342.90649667343337</v>
      </c>
      <c r="U39" s="102">
        <v>568.92271621855036</v>
      </c>
      <c r="V39" s="102">
        <v>699.14638002918764</v>
      </c>
      <c r="W39" s="102">
        <v>1016.6382323313677</v>
      </c>
      <c r="X39" s="102">
        <v>1207.1538319595688</v>
      </c>
      <c r="Y39" s="102">
        <v>1419.9689978612246</v>
      </c>
      <c r="DA39" s="175" t="s">
        <v>221</v>
      </c>
    </row>
    <row r="40" spans="1:105" ht="11.45" customHeight="1" x14ac:dyDescent="0.25">
      <c r="A40" s="92" t="s">
        <v>181</v>
      </c>
      <c r="B40" s="102">
        <v>5852.7464110862302</v>
      </c>
      <c r="C40" s="102">
        <v>5002.3447247550448</v>
      </c>
      <c r="D40" s="102">
        <v>4664.0660214967602</v>
      </c>
      <c r="E40" s="102">
        <v>4718.7448895825837</v>
      </c>
      <c r="F40" s="102">
        <v>5060.7733762904645</v>
      </c>
      <c r="G40" s="102">
        <v>4621.5526717891735</v>
      </c>
      <c r="H40" s="102">
        <v>4976.3359840044886</v>
      </c>
      <c r="I40" s="102">
        <v>4287.70841007736</v>
      </c>
      <c r="J40" s="102">
        <v>6345.9009257465377</v>
      </c>
      <c r="K40" s="102">
        <v>7274.112849035113</v>
      </c>
      <c r="L40" s="102">
        <v>8108.1689111640508</v>
      </c>
      <c r="M40" s="102">
        <v>8327.1911817006585</v>
      </c>
      <c r="N40" s="102">
        <v>8617.4968539096244</v>
      </c>
      <c r="O40" s="102">
        <v>8998.5125361723422</v>
      </c>
      <c r="P40" s="102">
        <v>9667.4922436202014</v>
      </c>
      <c r="Q40" s="102">
        <v>11234.384787564104</v>
      </c>
      <c r="R40" s="102">
        <v>13300.972579128707</v>
      </c>
      <c r="S40" s="102">
        <v>14184.348435476348</v>
      </c>
      <c r="T40" s="102">
        <v>14572.89958680175</v>
      </c>
      <c r="U40" s="102">
        <v>10383.26947149204</v>
      </c>
      <c r="V40" s="102">
        <v>8732.0505266719247</v>
      </c>
      <c r="W40" s="102">
        <v>9630.470499464629</v>
      </c>
      <c r="X40" s="102">
        <v>12702.236632400129</v>
      </c>
      <c r="Y40" s="102">
        <v>13441.587858020343</v>
      </c>
      <c r="DA40" s="175" t="s">
        <v>222</v>
      </c>
    </row>
    <row r="41" spans="1:105" ht="11.45" customHeight="1" x14ac:dyDescent="0.25">
      <c r="A41" s="85" t="s">
        <v>182</v>
      </c>
      <c r="B41" s="86">
        <v>1668.4263281947635</v>
      </c>
      <c r="C41" s="86">
        <v>1669.8888426214539</v>
      </c>
      <c r="D41" s="86">
        <v>1692.9020299404656</v>
      </c>
      <c r="E41" s="86">
        <v>1656.7045706193696</v>
      </c>
      <c r="F41" s="86">
        <v>1634.02772831739</v>
      </c>
      <c r="G41" s="86">
        <v>663.2331195087188</v>
      </c>
      <c r="H41" s="86">
        <v>677.46199046930622</v>
      </c>
      <c r="I41" s="86">
        <v>994.08808707449521</v>
      </c>
      <c r="J41" s="86">
        <v>1392.3067126700701</v>
      </c>
      <c r="K41" s="86">
        <v>997.99866914268023</v>
      </c>
      <c r="L41" s="86">
        <v>1103.0864382966881</v>
      </c>
      <c r="M41" s="86">
        <v>1872.2580603088199</v>
      </c>
      <c r="N41" s="86">
        <v>3308.5951373936291</v>
      </c>
      <c r="O41" s="86">
        <v>4116.863684754574</v>
      </c>
      <c r="P41" s="86">
        <v>2924.3195494510196</v>
      </c>
      <c r="Q41" s="86">
        <v>3180.6926005308719</v>
      </c>
      <c r="R41" s="86">
        <v>4039.3274242491084</v>
      </c>
      <c r="S41" s="86">
        <v>6012.7263354300476</v>
      </c>
      <c r="T41" s="86">
        <v>6991.3103767194507</v>
      </c>
      <c r="U41" s="86">
        <v>8972.7812520013522</v>
      </c>
      <c r="V41" s="86">
        <v>5608.6341127900532</v>
      </c>
      <c r="W41" s="86">
        <v>5680.2232765348135</v>
      </c>
      <c r="X41" s="86">
        <v>6171.1707542726244</v>
      </c>
      <c r="Y41" s="86">
        <v>4603.9231797002803</v>
      </c>
      <c r="DA41" s="178" t="s">
        <v>223</v>
      </c>
    </row>
    <row r="42" spans="1:105" x14ac:dyDescent="0.25">
      <c r="A42" s="50"/>
      <c r="B42" s="50"/>
      <c r="C42" s="50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DA42" s="181"/>
    </row>
    <row r="43" spans="1:105" ht="11.45" customHeight="1" x14ac:dyDescent="0.25">
      <c r="A43" s="53" t="s">
        <v>81</v>
      </c>
      <c r="B43" s="54">
        <f t="shared" ref="B43:C43" si="30">SUM(B44,B48)</f>
        <v>20.034336156251797</v>
      </c>
      <c r="C43" s="54">
        <f t="shared" si="30"/>
        <v>18.035316651945017</v>
      </c>
      <c r="D43" s="54">
        <f t="shared" ref="D43:V43" si="31">SUM(D44,D48)</f>
        <v>16.040423934829533</v>
      </c>
      <c r="E43" s="54">
        <f t="shared" si="31"/>
        <v>18.222406886733445</v>
      </c>
      <c r="F43" s="54">
        <f t="shared" si="31"/>
        <v>23.014826235690435</v>
      </c>
      <c r="G43" s="54">
        <f t="shared" si="31"/>
        <v>29.112281712822501</v>
      </c>
      <c r="H43" s="54">
        <f t="shared" si="31"/>
        <v>33.643641415620046</v>
      </c>
      <c r="I43" s="54">
        <f t="shared" si="31"/>
        <v>41.917485357425925</v>
      </c>
      <c r="J43" s="54">
        <f t="shared" si="31"/>
        <v>47.149488648714666</v>
      </c>
      <c r="K43" s="54">
        <f t="shared" si="31"/>
        <v>48.622450673067817</v>
      </c>
      <c r="L43" s="54">
        <f t="shared" si="31"/>
        <v>49.93045830724791</v>
      </c>
      <c r="M43" s="54">
        <f t="shared" si="31"/>
        <v>50.616966504577164</v>
      </c>
      <c r="N43" s="54">
        <f t="shared" si="31"/>
        <v>49.913294842966081</v>
      </c>
      <c r="O43" s="54">
        <f t="shared" si="31"/>
        <v>48.392317203080424</v>
      </c>
      <c r="P43" s="54">
        <f t="shared" si="31"/>
        <v>49.405361515077011</v>
      </c>
      <c r="Q43" s="54">
        <f t="shared" si="31"/>
        <v>53.455508349603093</v>
      </c>
      <c r="R43" s="54">
        <f t="shared" si="31"/>
        <v>60.867098906559931</v>
      </c>
      <c r="S43" s="54">
        <f t="shared" si="31"/>
        <v>68.271960051788014</v>
      </c>
      <c r="T43" s="54">
        <f t="shared" si="31"/>
        <v>73.972652535616831</v>
      </c>
      <c r="U43" s="54">
        <f t="shared" si="31"/>
        <v>77.148162687217905</v>
      </c>
      <c r="V43" s="54">
        <f t="shared" si="31"/>
        <v>76.155280315940047</v>
      </c>
      <c r="W43" s="54">
        <f t="shared" ref="W43:Y43" si="32">SUM(W44,W48)</f>
        <v>75.168672783566464</v>
      </c>
      <c r="X43" s="54">
        <f t="shared" si="32"/>
        <v>74.441746540910131</v>
      </c>
      <c r="Y43" s="54">
        <f t="shared" si="32"/>
        <v>75.31130387392254</v>
      </c>
      <c r="DA43" s="172" t="s">
        <v>224</v>
      </c>
    </row>
    <row r="44" spans="1:105" ht="11.45" customHeight="1" x14ac:dyDescent="0.25">
      <c r="A44" s="10" t="s">
        <v>33</v>
      </c>
      <c r="B44" s="11">
        <f t="shared" ref="B44:C44" si="33">SUM(B45:B47)</f>
        <v>19.646117488683174</v>
      </c>
      <c r="C44" s="11">
        <f t="shared" si="33"/>
        <v>17.681749048817291</v>
      </c>
      <c r="D44" s="11">
        <f t="shared" ref="D44:V44" si="34">SUM(D45:D47)</f>
        <v>15.717380608951405</v>
      </c>
      <c r="E44" s="11">
        <f t="shared" si="34"/>
        <v>17.913079278497371</v>
      </c>
      <c r="F44" s="11">
        <f t="shared" si="34"/>
        <v>22.668321416038616</v>
      </c>
      <c r="G44" s="11">
        <f t="shared" si="34"/>
        <v>28.779687931200534</v>
      </c>
      <c r="H44" s="11">
        <f t="shared" si="34"/>
        <v>33.255857435115239</v>
      </c>
      <c r="I44" s="11">
        <f t="shared" si="34"/>
        <v>41.564019684229891</v>
      </c>
      <c r="J44" s="11">
        <f t="shared" si="34"/>
        <v>46.652287095065617</v>
      </c>
      <c r="K44" s="11">
        <f t="shared" si="34"/>
        <v>48.069483766911738</v>
      </c>
      <c r="L44" s="11">
        <f t="shared" si="34"/>
        <v>49.350960312151734</v>
      </c>
      <c r="M44" s="11">
        <f t="shared" si="34"/>
        <v>50.015772657563446</v>
      </c>
      <c r="N44" s="11">
        <f t="shared" si="34"/>
        <v>49.255842252549982</v>
      </c>
      <c r="O44" s="11">
        <f t="shared" si="34"/>
        <v>47.706717466863523</v>
      </c>
      <c r="P44" s="11">
        <f t="shared" si="34"/>
        <v>48.74703149594103</v>
      </c>
      <c r="Q44" s="11">
        <f t="shared" si="34"/>
        <v>52.722498714036</v>
      </c>
      <c r="R44" s="11">
        <f t="shared" si="34"/>
        <v>60.114843694911912</v>
      </c>
      <c r="S44" s="11">
        <f t="shared" si="34"/>
        <v>67.424304874180422</v>
      </c>
      <c r="T44" s="11">
        <f t="shared" si="34"/>
        <v>73.089306707927875</v>
      </c>
      <c r="U44" s="11">
        <f t="shared" si="34"/>
        <v>76.285851719676856</v>
      </c>
      <c r="V44" s="11">
        <f t="shared" si="34"/>
        <v>75.303545845242695</v>
      </c>
      <c r="W44" s="11">
        <f t="shared" ref="W44:Y44" si="35">SUM(W45:W47)</f>
        <v>74.321239970808534</v>
      </c>
      <c r="X44" s="11">
        <f t="shared" si="35"/>
        <v>73.575679654202986</v>
      </c>
      <c r="Y44" s="11">
        <f t="shared" si="35"/>
        <v>74.41257799790111</v>
      </c>
      <c r="DA44" s="189" t="s">
        <v>225</v>
      </c>
    </row>
    <row r="45" spans="1:105" ht="11.45" customHeight="1" x14ac:dyDescent="0.25">
      <c r="A45" s="83" t="s">
        <v>27</v>
      </c>
      <c r="B45" s="84">
        <v>1.523890063424947</v>
      </c>
      <c r="C45" s="84">
        <v>1.3715010570824524</v>
      </c>
      <c r="D45" s="84">
        <v>1.2191120507399578</v>
      </c>
      <c r="E45" s="84">
        <v>1.0667230443974631</v>
      </c>
      <c r="F45" s="84">
        <v>2.9928118393234673</v>
      </c>
      <c r="G45" s="84">
        <v>3.6081649831649831</v>
      </c>
      <c r="H45" s="84">
        <v>3.888235294117647</v>
      </c>
      <c r="I45" s="84">
        <v>4.4098014364174061</v>
      </c>
      <c r="J45" s="84">
        <v>4.9756618274978655</v>
      </c>
      <c r="K45" s="84">
        <v>5.3752151462994835</v>
      </c>
      <c r="L45" s="84">
        <v>6.2369443245576175</v>
      </c>
      <c r="M45" s="84">
        <v>6.0845553182151226</v>
      </c>
      <c r="N45" s="84">
        <v>5.9321663118726278</v>
      </c>
      <c r="O45" s="84">
        <v>5.7797773055301329</v>
      </c>
      <c r="P45" s="84">
        <v>5.6273882991876381</v>
      </c>
      <c r="Q45" s="84">
        <v>5.4749992928451432</v>
      </c>
      <c r="R45" s="84">
        <v>6.0339130434782611</v>
      </c>
      <c r="S45" s="84">
        <v>7.1887532693984308</v>
      </c>
      <c r="T45" s="84">
        <v>7.3577661431064572</v>
      </c>
      <c r="U45" s="84">
        <v>7.2053771367639623</v>
      </c>
      <c r="V45" s="84">
        <v>7.1291826335927153</v>
      </c>
      <c r="W45" s="84">
        <v>7.0529881304214683</v>
      </c>
      <c r="X45" s="84">
        <v>6.9767936272502213</v>
      </c>
      <c r="Y45" s="84">
        <v>6.9005991240789744</v>
      </c>
      <c r="DA45" s="171" t="s">
        <v>226</v>
      </c>
    </row>
    <row r="46" spans="1:105" ht="11.45" customHeight="1" x14ac:dyDescent="0.25">
      <c r="A46" s="83" t="s">
        <v>181</v>
      </c>
      <c r="B46" s="84">
        <v>14.096459338043163</v>
      </c>
      <c r="C46" s="84">
        <v>12.687056713241279</v>
      </c>
      <c r="D46" s="84">
        <v>11.277654088439396</v>
      </c>
      <c r="E46" s="84">
        <v>13.104037106250553</v>
      </c>
      <c r="F46" s="84">
        <v>15.304845552929219</v>
      </c>
      <c r="G46" s="84">
        <v>20.11617943658517</v>
      </c>
      <c r="H46" s="84">
        <v>23.501593432863622</v>
      </c>
      <c r="I46" s="84">
        <v>29.464135603184385</v>
      </c>
      <c r="J46" s="84">
        <v>33.070724319201048</v>
      </c>
      <c r="K46" s="84">
        <v>34.490944480967059</v>
      </c>
      <c r="L46" s="84">
        <v>35.313268656670424</v>
      </c>
      <c r="M46" s="84">
        <v>36.360882411118659</v>
      </c>
      <c r="N46" s="84">
        <v>35.300687434930232</v>
      </c>
      <c r="O46" s="84">
        <v>34.306528464307775</v>
      </c>
      <c r="P46" s="84">
        <v>34.661889186058211</v>
      </c>
      <c r="Q46" s="84">
        <v>38.436280435214591</v>
      </c>
      <c r="R46" s="84">
        <v>44.03389817662962</v>
      </c>
      <c r="S46" s="84">
        <v>48.809212319067697</v>
      </c>
      <c r="T46" s="84">
        <v>51.491257879309046</v>
      </c>
      <c r="U46" s="84">
        <v>53.394386592425384</v>
      </c>
      <c r="V46" s="84">
        <v>52.689563625523228</v>
      </c>
      <c r="W46" s="84">
        <v>51.984740658621064</v>
      </c>
      <c r="X46" s="84">
        <v>51.516663249547506</v>
      </c>
      <c r="Y46" s="84">
        <v>52.631044500777634</v>
      </c>
      <c r="DA46" s="171" t="s">
        <v>227</v>
      </c>
    </row>
    <row r="47" spans="1:105" ht="11.45" customHeight="1" x14ac:dyDescent="0.25">
      <c r="A47" s="83" t="s">
        <v>182</v>
      </c>
      <c r="B47" s="84">
        <v>4.0257680872150647</v>
      </c>
      <c r="C47" s="84">
        <v>3.6231912784935583</v>
      </c>
      <c r="D47" s="84">
        <v>3.2206144697720518</v>
      </c>
      <c r="E47" s="84">
        <v>3.7423191278493557</v>
      </c>
      <c r="F47" s="84">
        <v>4.3706640237859267</v>
      </c>
      <c r="G47" s="84">
        <v>5.0553435114503813</v>
      </c>
      <c r="H47" s="84">
        <v>5.866028708133971</v>
      </c>
      <c r="I47" s="84">
        <v>7.6900826446280988</v>
      </c>
      <c r="J47" s="84">
        <v>8.6059009483667026</v>
      </c>
      <c r="K47" s="84">
        <v>8.203324139645197</v>
      </c>
      <c r="L47" s="84">
        <v>7.8007473309236905</v>
      </c>
      <c r="M47" s="84">
        <v>7.5703349282296655</v>
      </c>
      <c r="N47" s="84">
        <v>8.0229885057471257</v>
      </c>
      <c r="O47" s="84">
        <v>7.6204116970256193</v>
      </c>
      <c r="P47" s="84">
        <v>8.4577540106951865</v>
      </c>
      <c r="Q47" s="84">
        <v>8.811218985976268</v>
      </c>
      <c r="R47" s="84">
        <v>10.04703247480403</v>
      </c>
      <c r="S47" s="84">
        <v>11.426339285714286</v>
      </c>
      <c r="T47" s="84">
        <v>14.240282685512367</v>
      </c>
      <c r="U47" s="84">
        <v>15.686087990487515</v>
      </c>
      <c r="V47" s="84">
        <v>15.484799586126762</v>
      </c>
      <c r="W47" s="84">
        <v>15.283511181766009</v>
      </c>
      <c r="X47" s="84">
        <v>15.082222777405256</v>
      </c>
      <c r="Y47" s="84">
        <v>14.880934373044504</v>
      </c>
      <c r="DA47" s="171" t="s">
        <v>228</v>
      </c>
    </row>
    <row r="48" spans="1:105" ht="11.45" customHeight="1" x14ac:dyDescent="0.25">
      <c r="A48" s="12" t="s">
        <v>34</v>
      </c>
      <c r="B48" s="13">
        <f t="shared" ref="B48:C48" si="36">SUM(B49:B51)</f>
        <v>0.38821866756862344</v>
      </c>
      <c r="C48" s="13">
        <f t="shared" si="36"/>
        <v>0.35356760312772478</v>
      </c>
      <c r="D48" s="13">
        <f t="shared" ref="D48:V48" si="37">SUM(D49:D51)</f>
        <v>0.32304332587812934</v>
      </c>
      <c r="E48" s="13">
        <f t="shared" si="37"/>
        <v>0.30932760823607297</v>
      </c>
      <c r="F48" s="13">
        <f t="shared" si="37"/>
        <v>0.34650481965181901</v>
      </c>
      <c r="G48" s="13">
        <f t="shared" si="37"/>
        <v>0.33259378162196479</v>
      </c>
      <c r="H48" s="13">
        <f t="shared" si="37"/>
        <v>0.38778398050480933</v>
      </c>
      <c r="I48" s="13">
        <f t="shared" si="37"/>
        <v>0.35346567319603073</v>
      </c>
      <c r="J48" s="13">
        <f t="shared" si="37"/>
        <v>0.49720155364905216</v>
      </c>
      <c r="K48" s="13">
        <f t="shared" si="37"/>
        <v>0.55296690615607691</v>
      </c>
      <c r="L48" s="13">
        <f t="shared" si="37"/>
        <v>0.57949799509617295</v>
      </c>
      <c r="M48" s="13">
        <f t="shared" si="37"/>
        <v>0.60119384701371792</v>
      </c>
      <c r="N48" s="13">
        <f t="shared" si="37"/>
        <v>0.65745259041609649</v>
      </c>
      <c r="O48" s="13">
        <f t="shared" si="37"/>
        <v>0.68559973621690373</v>
      </c>
      <c r="P48" s="13">
        <f t="shared" si="37"/>
        <v>0.65833001913597822</v>
      </c>
      <c r="Q48" s="13">
        <f t="shared" si="37"/>
        <v>0.7330096355670952</v>
      </c>
      <c r="R48" s="13">
        <f t="shared" si="37"/>
        <v>0.75225521164802278</v>
      </c>
      <c r="S48" s="13">
        <f t="shared" si="37"/>
        <v>0.8476551776075949</v>
      </c>
      <c r="T48" s="13">
        <f t="shared" si="37"/>
        <v>0.88334582768895997</v>
      </c>
      <c r="U48" s="13">
        <f t="shared" si="37"/>
        <v>0.86231096754104442</v>
      </c>
      <c r="V48" s="13">
        <f t="shared" si="37"/>
        <v>0.85173447069735642</v>
      </c>
      <c r="W48" s="13">
        <f t="shared" ref="W48:Y48" si="38">SUM(W49:W51)</f>
        <v>0.84743281275792381</v>
      </c>
      <c r="X48" s="13">
        <f t="shared" si="38"/>
        <v>0.86606688670714482</v>
      </c>
      <c r="Y48" s="13">
        <f t="shared" si="38"/>
        <v>0.89872587602143716</v>
      </c>
      <c r="DA48" s="193" t="s">
        <v>229</v>
      </c>
    </row>
    <row r="49" spans="1:105" ht="11.45" customHeight="1" x14ac:dyDescent="0.25">
      <c r="A49" s="92" t="s">
        <v>27</v>
      </c>
      <c r="B49" s="102">
        <v>3.04077401520387E-2</v>
      </c>
      <c r="C49" s="102">
        <v>2.7366966136834831E-2</v>
      </c>
      <c r="D49" s="102">
        <v>2.4326192121630962E-2</v>
      </c>
      <c r="E49" s="102">
        <v>2.2805805114029024E-2</v>
      </c>
      <c r="F49" s="102">
        <v>2.5570145127850726E-2</v>
      </c>
      <c r="G49" s="102">
        <v>2.2529371112646857E-2</v>
      </c>
      <c r="H49" s="102">
        <v>3.3220338983050844E-2</v>
      </c>
      <c r="I49" s="102">
        <v>3.351206434316354E-2</v>
      </c>
      <c r="J49" s="102">
        <v>3.0471290327959671E-2</v>
      </c>
      <c r="K49" s="102">
        <v>2.7430516312755802E-2</v>
      </c>
      <c r="L49" s="102">
        <v>2.4389742297551933E-2</v>
      </c>
      <c r="M49" s="102">
        <v>2.1348968282348064E-2</v>
      </c>
      <c r="N49" s="102">
        <v>1.8308194267144196E-2</v>
      </c>
      <c r="O49" s="102">
        <v>1.5267420251940325E-2</v>
      </c>
      <c r="P49" s="102">
        <v>1.2226646236736454E-2</v>
      </c>
      <c r="Q49" s="102">
        <v>9.1858722215325834E-3</v>
      </c>
      <c r="R49" s="102">
        <v>6.1450982063287127E-3</v>
      </c>
      <c r="S49" s="102">
        <v>9.8661028893587029E-3</v>
      </c>
      <c r="T49" s="102">
        <v>1.7009213323883769E-2</v>
      </c>
      <c r="U49" s="102">
        <v>2.5405786873676783E-2</v>
      </c>
      <c r="V49" s="102">
        <v>3.2719836400817999E-2</v>
      </c>
      <c r="W49" s="102">
        <v>4.6308724832214765E-2</v>
      </c>
      <c r="X49" s="102">
        <v>5.5403556771545827E-2</v>
      </c>
      <c r="Y49" s="102">
        <v>6.584362139917696E-2</v>
      </c>
      <c r="DA49" s="175" t="s">
        <v>230</v>
      </c>
    </row>
    <row r="50" spans="1:105" ht="11.45" customHeight="1" x14ac:dyDescent="0.25">
      <c r="A50" s="92" t="s">
        <v>181</v>
      </c>
      <c r="B50" s="102">
        <v>0.3065288761345335</v>
      </c>
      <c r="C50" s="102">
        <v>0.2765211498114028</v>
      </c>
      <c r="D50" s="102">
        <v>0.24743508247444712</v>
      </c>
      <c r="E50" s="102">
        <v>0.23203462363486449</v>
      </c>
      <c r="F50" s="102">
        <v>0.26644749503678877</v>
      </c>
      <c r="G50" s="102">
        <v>0.26070543615034358</v>
      </c>
      <c r="H50" s="102">
        <v>0.31033287229098927</v>
      </c>
      <c r="I50" s="102">
        <v>0.28085104475030309</v>
      </c>
      <c r="J50" s="102">
        <v>0.40921634866432066</v>
      </c>
      <c r="K50" s="102">
        <v>0.47315068031475443</v>
      </c>
      <c r="L50" s="102">
        <v>0.50785074839825939</v>
      </c>
      <c r="M50" s="102">
        <v>0.50886366787541992</v>
      </c>
      <c r="N50" s="102">
        <v>0.51158175377993176</v>
      </c>
      <c r="O50" s="102">
        <v>0.52893887334201262</v>
      </c>
      <c r="P50" s="102">
        <v>0.50983813540449607</v>
      </c>
      <c r="Q50" s="102">
        <v>0.59268673097902214</v>
      </c>
      <c r="R50" s="102">
        <v>0.62010128620335869</v>
      </c>
      <c r="S50" s="102">
        <v>0.71690845260810587</v>
      </c>
      <c r="T50" s="102">
        <v>0.75058419738315107</v>
      </c>
      <c r="U50" s="102">
        <v>0.72628096881364756</v>
      </c>
      <c r="V50" s="102">
        <v>0.71095452500692091</v>
      </c>
      <c r="W50" s="102">
        <v>0.69562808120019415</v>
      </c>
      <c r="X50" s="102">
        <v>0.70773142577418668</v>
      </c>
      <c r="Y50" s="102">
        <v>0.73251445302495044</v>
      </c>
      <c r="DA50" s="175" t="s">
        <v>231</v>
      </c>
    </row>
    <row r="51" spans="1:105" ht="11.45" customHeight="1" x14ac:dyDescent="0.25">
      <c r="A51" s="85" t="s">
        <v>182</v>
      </c>
      <c r="B51" s="86">
        <v>5.128205128205128E-2</v>
      </c>
      <c r="C51" s="86">
        <v>4.9679487179487176E-2</v>
      </c>
      <c r="D51" s="86">
        <v>5.128205128205128E-2</v>
      </c>
      <c r="E51" s="86">
        <v>5.4487179487179488E-2</v>
      </c>
      <c r="F51" s="86">
        <v>5.4487179487179488E-2</v>
      </c>
      <c r="G51" s="86">
        <v>4.9358974358974357E-2</v>
      </c>
      <c r="H51" s="86">
        <v>4.4230769230769226E-2</v>
      </c>
      <c r="I51" s="86">
        <v>3.9102564102564095E-2</v>
      </c>
      <c r="J51" s="86">
        <v>5.7513914656771803E-2</v>
      </c>
      <c r="K51" s="86">
        <v>5.2385709528566672E-2</v>
      </c>
      <c r="L51" s="86">
        <v>4.7257504400361541E-2</v>
      </c>
      <c r="M51" s="86">
        <v>7.0981210855949897E-2</v>
      </c>
      <c r="N51" s="86">
        <v>0.12756264236902051</v>
      </c>
      <c r="O51" s="86">
        <v>0.14139344262295081</v>
      </c>
      <c r="P51" s="86">
        <v>0.13626523749474567</v>
      </c>
      <c r="Q51" s="86">
        <v>0.13113703236654053</v>
      </c>
      <c r="R51" s="86">
        <v>0.1260088272383354</v>
      </c>
      <c r="S51" s="86">
        <v>0.12088062211013027</v>
      </c>
      <c r="T51" s="86">
        <v>0.11575241698192515</v>
      </c>
      <c r="U51" s="86">
        <v>0.11062421185372003</v>
      </c>
      <c r="V51" s="86">
        <v>0.10806010928961746</v>
      </c>
      <c r="W51" s="86">
        <v>0.10549600672551489</v>
      </c>
      <c r="X51" s="86">
        <v>0.10293190416141232</v>
      </c>
      <c r="Y51" s="86">
        <v>0.10036780159730975</v>
      </c>
      <c r="DA51" s="178" t="s">
        <v>232</v>
      </c>
    </row>
    <row r="52" spans="1:105" x14ac:dyDescent="0.25">
      <c r="A52" s="50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DA52" s="181"/>
    </row>
    <row r="53" spans="1:105" ht="11.45" customHeight="1" x14ac:dyDescent="0.25">
      <c r="A53" s="53" t="s">
        <v>82</v>
      </c>
      <c r="B53" s="54">
        <f t="shared" ref="B53:C53" si="39">SUM(B54,B58)</f>
        <v>1.9752630978235184E-2</v>
      </c>
      <c r="C53" s="54">
        <f t="shared" si="39"/>
        <v>1.3452180443589363E-4</v>
      </c>
      <c r="D53" s="54">
        <f t="shared" ref="D53:V53" si="40">SUM(D54,D58)</f>
        <v>3.8312014685641005E-3</v>
      </c>
      <c r="E53" s="54">
        <f t="shared" si="40"/>
        <v>2.8966237200565899</v>
      </c>
      <c r="F53" s="54">
        <f t="shared" si="40"/>
        <v>5.3935965706879871</v>
      </c>
      <c r="G53" s="54">
        <f t="shared" si="40"/>
        <v>6.7095484224349029</v>
      </c>
      <c r="H53" s="54">
        <f t="shared" si="40"/>
        <v>5.1402488374726829</v>
      </c>
      <c r="I53" s="54">
        <f t="shared" si="40"/>
        <v>8.8990158388964637</v>
      </c>
      <c r="J53" s="54">
        <f t="shared" si="40"/>
        <v>5.8407862203708065</v>
      </c>
      <c r="K53" s="54">
        <f t="shared" si="40"/>
        <v>2.3615437762220677</v>
      </c>
      <c r="L53" s="54">
        <f t="shared" si="40"/>
        <v>2.1979126369753432</v>
      </c>
      <c r="M53" s="54">
        <f t="shared" si="40"/>
        <v>1.5458330542113234</v>
      </c>
      <c r="N53" s="54">
        <f t="shared" si="40"/>
        <v>0.94203135287302231</v>
      </c>
      <c r="O53" s="54">
        <f t="shared" si="40"/>
        <v>0.40636693470253427</v>
      </c>
      <c r="P53" s="54">
        <f t="shared" si="40"/>
        <v>1.9242659935838446</v>
      </c>
      <c r="Q53" s="54">
        <f t="shared" si="40"/>
        <v>4.7690742902698497</v>
      </c>
      <c r="R53" s="54">
        <f t="shared" si="40"/>
        <v>8.0417932091281159</v>
      </c>
      <c r="S53" s="54">
        <f t="shared" si="40"/>
        <v>8.0321023239892284</v>
      </c>
      <c r="T53" s="54">
        <f t="shared" si="40"/>
        <v>6.3325834263724312</v>
      </c>
      <c r="U53" s="54">
        <f t="shared" si="40"/>
        <v>3.9073543531311601</v>
      </c>
      <c r="V53" s="54">
        <f t="shared" si="40"/>
        <v>8.2262817321412177E-3</v>
      </c>
      <c r="W53" s="54">
        <f t="shared" ref="W53:Y53" si="41">SUM(W54,W58)</f>
        <v>1.4501120636396768E-2</v>
      </c>
      <c r="X53" s="54">
        <f t="shared" si="41"/>
        <v>0.24709555023827989</v>
      </c>
      <c r="Y53" s="54">
        <f t="shared" si="41"/>
        <v>1.5841390363002386</v>
      </c>
      <c r="DA53" s="172" t="s">
        <v>233</v>
      </c>
    </row>
    <row r="54" spans="1:105" ht="11.45" customHeight="1" x14ac:dyDescent="0.25">
      <c r="A54" s="10" t="s">
        <v>33</v>
      </c>
      <c r="B54" s="11">
        <f t="shared" ref="B54:C54" si="42">SUM(B55:B57)</f>
        <v>8.11030009999999E-5</v>
      </c>
      <c r="C54" s="11">
        <f t="shared" si="42"/>
        <v>8.11030009999999E-5</v>
      </c>
      <c r="D54" s="11">
        <f t="shared" ref="D54:V54" si="43">SUM(D55:D57)</f>
        <v>8.11030009999999E-5</v>
      </c>
      <c r="E54" s="11">
        <f t="shared" si="43"/>
        <v>2.8917626089454616</v>
      </c>
      <c r="F54" s="11">
        <f t="shared" si="43"/>
        <v>5.3446337725012416</v>
      </c>
      <c r="G54" s="11">
        <f t="shared" si="43"/>
        <v>6.7007581501219224</v>
      </c>
      <c r="H54" s="11">
        <f t="shared" si="43"/>
        <v>5.0655611388747053</v>
      </c>
      <c r="I54" s="11">
        <f t="shared" si="43"/>
        <v>8.8977160900760808</v>
      </c>
      <c r="J54" s="11">
        <f t="shared" si="43"/>
        <v>5.6778212517971554</v>
      </c>
      <c r="K54" s="11">
        <f t="shared" si="43"/>
        <v>2.288392072911634</v>
      </c>
      <c r="L54" s="11">
        <f t="shared" si="43"/>
        <v>2.1539951972318381</v>
      </c>
      <c r="M54" s="11">
        <f t="shared" si="43"/>
        <v>1.4930272484810492</v>
      </c>
      <c r="N54" s="11">
        <f t="shared" si="43"/>
        <v>0.86654352135001433</v>
      </c>
      <c r="O54" s="11">
        <f t="shared" si="43"/>
        <v>0.35899070078109752</v>
      </c>
      <c r="P54" s="11">
        <f t="shared" si="43"/>
        <v>1.9207078621410743</v>
      </c>
      <c r="Q54" s="11">
        <f t="shared" si="43"/>
        <v>4.6716933634958977</v>
      </c>
      <c r="R54" s="11">
        <f t="shared" si="43"/>
        <v>8.0040860134262815</v>
      </c>
      <c r="S54" s="11">
        <f t="shared" si="43"/>
        <v>7.9212022118188772</v>
      </c>
      <c r="T54" s="11">
        <f t="shared" si="43"/>
        <v>6.2767428662978322</v>
      </c>
      <c r="U54" s="11">
        <f t="shared" si="43"/>
        <v>3.8927711571499146</v>
      </c>
      <c r="V54" s="11">
        <f t="shared" si="43"/>
        <v>0</v>
      </c>
      <c r="W54" s="11">
        <f t="shared" ref="W54:Y54" si="44">SUM(W55:W57)</f>
        <v>0</v>
      </c>
      <c r="X54" s="11">
        <f t="shared" si="44"/>
        <v>0.21426457097424356</v>
      </c>
      <c r="Y54" s="11">
        <f t="shared" si="44"/>
        <v>1.5372831416711308</v>
      </c>
      <c r="DA54" s="189" t="s">
        <v>234</v>
      </c>
    </row>
    <row r="55" spans="1:105" ht="11.45" customHeight="1" x14ac:dyDescent="0.25">
      <c r="A55" s="83" t="s">
        <v>27</v>
      </c>
      <c r="B55" s="84">
        <v>0</v>
      </c>
      <c r="C55" s="84">
        <v>0</v>
      </c>
      <c r="D55" s="84">
        <v>0</v>
      </c>
      <c r="E55" s="84">
        <v>0</v>
      </c>
      <c r="F55" s="84">
        <v>1.971805496829004</v>
      </c>
      <c r="G55" s="84">
        <v>0.66106984574451566</v>
      </c>
      <c r="H55" s="84">
        <v>0.32578701285566369</v>
      </c>
      <c r="I55" s="84">
        <v>0.56728284420275932</v>
      </c>
      <c r="J55" s="84">
        <v>0.61157709298345964</v>
      </c>
      <c r="K55" s="84">
        <v>0.4452700207046183</v>
      </c>
      <c r="L55" s="84">
        <v>0.90744588016113426</v>
      </c>
      <c r="M55" s="84">
        <v>0</v>
      </c>
      <c r="N55" s="84">
        <v>0</v>
      </c>
      <c r="O55" s="84">
        <v>0</v>
      </c>
      <c r="P55" s="84">
        <v>0</v>
      </c>
      <c r="Q55" s="84">
        <v>0</v>
      </c>
      <c r="R55" s="84">
        <v>0.60463045253611813</v>
      </c>
      <c r="S55" s="84">
        <v>1.20055692782317</v>
      </c>
      <c r="T55" s="84">
        <v>0.21472957561102657</v>
      </c>
      <c r="U55" s="84">
        <v>0</v>
      </c>
      <c r="V55" s="84">
        <v>0</v>
      </c>
      <c r="W55" s="84">
        <v>0</v>
      </c>
      <c r="X55" s="84">
        <v>0</v>
      </c>
      <c r="Y55" s="84">
        <v>0</v>
      </c>
      <c r="DA55" s="171" t="s">
        <v>235</v>
      </c>
    </row>
    <row r="56" spans="1:105" ht="11.45" customHeight="1" x14ac:dyDescent="0.25">
      <c r="A56" s="83" t="s">
        <v>181</v>
      </c>
      <c r="B56" s="84">
        <v>8.11030009999999E-5</v>
      </c>
      <c r="C56" s="84">
        <v>8.11030009999999E-5</v>
      </c>
      <c r="D56" s="84">
        <v>8.11030009999999E-5</v>
      </c>
      <c r="E56" s="84">
        <v>2.2492849082521578</v>
      </c>
      <c r="F56" s="84">
        <v>2.6237103371196664</v>
      </c>
      <c r="G56" s="84">
        <v>5.2342357740969518</v>
      </c>
      <c r="H56" s="84">
        <v>3.808315886719452</v>
      </c>
      <c r="I56" s="84">
        <v>6.3856062667631948</v>
      </c>
      <c r="J56" s="84">
        <v>4.0296528124590925</v>
      </c>
      <c r="K56" s="84">
        <v>1.843122052207016</v>
      </c>
      <c r="L56" s="84">
        <v>1.2465493170707038</v>
      </c>
      <c r="M56" s="84">
        <v>1.4930272484810492</v>
      </c>
      <c r="N56" s="84">
        <v>0.29311690121655465</v>
      </c>
      <c r="O56" s="84">
        <v>0.35899070078109752</v>
      </c>
      <c r="P56" s="84">
        <v>0.9625925058555076</v>
      </c>
      <c r="Q56" s="84">
        <v>4.1974553455988168</v>
      </c>
      <c r="R56" s="84">
        <v>6.0428690294464005</v>
      </c>
      <c r="S56" s="84">
        <v>5.2205654304694518</v>
      </c>
      <c r="T56" s="84">
        <v>3.1272968482727252</v>
      </c>
      <c r="U56" s="84">
        <v>2.3261928095587678</v>
      </c>
      <c r="V56" s="84">
        <v>0</v>
      </c>
      <c r="W56" s="84">
        <v>0</v>
      </c>
      <c r="X56" s="84">
        <v>0.21426457097424356</v>
      </c>
      <c r="Y56" s="84">
        <v>1.5372831416711308</v>
      </c>
      <c r="DA56" s="171" t="s">
        <v>236</v>
      </c>
    </row>
    <row r="57" spans="1:105" ht="11.45" customHeight="1" x14ac:dyDescent="0.25">
      <c r="A57" s="83" t="s">
        <v>182</v>
      </c>
      <c r="B57" s="84">
        <v>0</v>
      </c>
      <c r="C57" s="84">
        <v>0</v>
      </c>
      <c r="D57" s="84">
        <v>0</v>
      </c>
      <c r="E57" s="84">
        <v>0.64247770069330379</v>
      </c>
      <c r="F57" s="84">
        <v>0.74911793855257125</v>
      </c>
      <c r="G57" s="84">
        <v>0.80545253028045494</v>
      </c>
      <c r="H57" s="84">
        <v>0.93145823929959004</v>
      </c>
      <c r="I57" s="84">
        <v>1.944826979110128</v>
      </c>
      <c r="J57" s="84">
        <v>1.0365913463546033</v>
      </c>
      <c r="K57" s="84">
        <v>0</v>
      </c>
      <c r="L57" s="84">
        <v>0</v>
      </c>
      <c r="M57" s="84">
        <v>0</v>
      </c>
      <c r="N57" s="84">
        <v>0.57342662013345969</v>
      </c>
      <c r="O57" s="84">
        <v>0</v>
      </c>
      <c r="P57" s="84">
        <v>0.95811535628556666</v>
      </c>
      <c r="Q57" s="84">
        <v>0.47423801789708087</v>
      </c>
      <c r="R57" s="84">
        <v>1.356586531443762</v>
      </c>
      <c r="S57" s="84">
        <v>1.5000798535262554</v>
      </c>
      <c r="T57" s="84">
        <v>2.9347164424140804</v>
      </c>
      <c r="U57" s="84">
        <v>1.5665783475911468</v>
      </c>
      <c r="V57" s="84">
        <v>0</v>
      </c>
      <c r="W57" s="84">
        <v>0</v>
      </c>
      <c r="X57" s="84">
        <v>0</v>
      </c>
      <c r="Y57" s="84">
        <v>0</v>
      </c>
      <c r="DA57" s="171" t="s">
        <v>237</v>
      </c>
    </row>
    <row r="58" spans="1:105" ht="11.45" customHeight="1" x14ac:dyDescent="0.25">
      <c r="A58" s="12" t="s">
        <v>34</v>
      </c>
      <c r="B58" s="13">
        <f t="shared" ref="B58:C58" si="45">SUM(B59:B61)</f>
        <v>1.9671527977235183E-2</v>
      </c>
      <c r="C58" s="13">
        <f t="shared" si="45"/>
        <v>5.3418803435893725E-5</v>
      </c>
      <c r="D58" s="13">
        <f t="shared" ref="D58:V58" si="46">SUM(D59:D61)</f>
        <v>3.7500984675641006E-3</v>
      </c>
      <c r="E58" s="13">
        <f t="shared" si="46"/>
        <v>4.8611111111282052E-3</v>
      </c>
      <c r="F58" s="13">
        <f t="shared" si="46"/>
        <v>4.896279818674594E-2</v>
      </c>
      <c r="G58" s="13">
        <f t="shared" si="46"/>
        <v>8.7902723129803795E-3</v>
      </c>
      <c r="H58" s="13">
        <f t="shared" si="46"/>
        <v>7.4687698597977442E-2</v>
      </c>
      <c r="I58" s="13">
        <f t="shared" si="46"/>
        <v>1.2997488203822273E-3</v>
      </c>
      <c r="J58" s="13">
        <f t="shared" si="46"/>
        <v>0.16296496857365075</v>
      </c>
      <c r="K58" s="13">
        <f t="shared" si="46"/>
        <v>7.3151703310433788E-2</v>
      </c>
      <c r="L58" s="13">
        <f t="shared" si="46"/>
        <v>4.3917439743504955E-2</v>
      </c>
      <c r="M58" s="13">
        <f t="shared" si="46"/>
        <v>5.2805805730274338E-2</v>
      </c>
      <c r="N58" s="13">
        <f t="shared" si="46"/>
        <v>7.5487831523007989E-2</v>
      </c>
      <c r="O58" s="13">
        <f t="shared" si="46"/>
        <v>4.737623392143675E-2</v>
      </c>
      <c r="P58" s="13">
        <f t="shared" si="46"/>
        <v>3.5581314427703958E-3</v>
      </c>
      <c r="Q58" s="13">
        <f t="shared" si="46"/>
        <v>9.7380926773951715E-2</v>
      </c>
      <c r="R58" s="13">
        <f t="shared" si="46"/>
        <v>3.7707195701834187E-2</v>
      </c>
      <c r="S58" s="13">
        <f t="shared" si="46"/>
        <v>0.11090011217035133</v>
      </c>
      <c r="T58" s="13">
        <f t="shared" si="46"/>
        <v>5.584056007459931E-2</v>
      </c>
      <c r="U58" s="13">
        <f t="shared" si="46"/>
        <v>1.4583195981245287E-2</v>
      </c>
      <c r="V58" s="13">
        <f t="shared" si="46"/>
        <v>8.2262817321412177E-3</v>
      </c>
      <c r="W58" s="13">
        <f t="shared" ref="W58:Y58" si="47">SUM(W59:W61)</f>
        <v>1.4501120636396768E-2</v>
      </c>
      <c r="X58" s="13">
        <f t="shared" si="47"/>
        <v>3.2830979264036338E-2</v>
      </c>
      <c r="Y58" s="13">
        <f t="shared" si="47"/>
        <v>4.685589462910774E-2</v>
      </c>
      <c r="DA58" s="193" t="s">
        <v>238</v>
      </c>
    </row>
    <row r="59" spans="1:105" ht="11.45" customHeight="1" x14ac:dyDescent="0.25">
      <c r="A59" s="92" t="s">
        <v>27</v>
      </c>
      <c r="B59" s="102">
        <v>0</v>
      </c>
      <c r="C59" s="102">
        <v>0</v>
      </c>
      <c r="D59" s="102">
        <v>0</v>
      </c>
      <c r="E59" s="102">
        <v>0</v>
      </c>
      <c r="F59" s="102">
        <v>3.6765722188216998E-3</v>
      </c>
      <c r="G59" s="102">
        <v>0</v>
      </c>
      <c r="H59" s="102">
        <v>1.160320007540399E-2</v>
      </c>
      <c r="I59" s="102">
        <v>1.2039575651126982E-3</v>
      </c>
      <c r="J59" s="102">
        <v>0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S59" s="102">
        <v>4.6332368880299905E-3</v>
      </c>
      <c r="T59" s="102">
        <v>8.0553426395250649E-3</v>
      </c>
      <c r="U59" s="102">
        <v>9.3088057547930127E-3</v>
      </c>
      <c r="V59" s="102">
        <v>8.2262817321412177E-3</v>
      </c>
      <c r="W59" s="102">
        <v>1.4501120636396768E-2</v>
      </c>
      <c r="X59" s="102">
        <v>1.0007064144331064E-2</v>
      </c>
      <c r="Y59" s="102">
        <v>1.1352296832631135E-2</v>
      </c>
      <c r="DA59" s="175" t="s">
        <v>239</v>
      </c>
    </row>
    <row r="60" spans="1:105" ht="11.45" customHeight="1" x14ac:dyDescent="0.25">
      <c r="A60" s="92" t="s">
        <v>181</v>
      </c>
      <c r="B60" s="102">
        <v>1.9671527977235183E-2</v>
      </c>
      <c r="C60" s="102">
        <v>0</v>
      </c>
      <c r="D60" s="102">
        <v>4.9155145899999926E-4</v>
      </c>
      <c r="E60" s="102">
        <v>0</v>
      </c>
      <c r="F60" s="102">
        <v>4.3630243061924243E-2</v>
      </c>
      <c r="G60" s="102">
        <v>8.7902723129803795E-3</v>
      </c>
      <c r="H60" s="102">
        <v>6.3084498522573446E-2</v>
      </c>
      <c r="I60" s="102">
        <v>9.5791255269529058E-5</v>
      </c>
      <c r="J60" s="102">
        <v>0.14289763511344306</v>
      </c>
      <c r="K60" s="102">
        <v>7.3151703310433788E-2</v>
      </c>
      <c r="L60" s="102">
        <v>4.3917439743504955E-2</v>
      </c>
      <c r="M60" s="102">
        <v>2.7426116368685985E-2</v>
      </c>
      <c r="N60" s="102">
        <v>1.7250417103937377E-2</v>
      </c>
      <c r="O60" s="102">
        <v>3.1889450761506455E-2</v>
      </c>
      <c r="P60" s="102">
        <v>3.5581314427703958E-3</v>
      </c>
      <c r="Q60" s="102">
        <v>9.7380926773951715E-2</v>
      </c>
      <c r="R60" s="102">
        <v>3.7707195701834187E-2</v>
      </c>
      <c r="S60" s="102">
        <v>0.10626687528232133</v>
      </c>
      <c r="T60" s="102">
        <v>4.7785217435074245E-2</v>
      </c>
      <c r="U60" s="102">
        <v>5.2743902264522739E-3</v>
      </c>
      <c r="V60" s="102">
        <v>0</v>
      </c>
      <c r="W60" s="102">
        <v>0</v>
      </c>
      <c r="X60" s="102">
        <v>2.2823915119705274E-2</v>
      </c>
      <c r="Y60" s="102">
        <v>3.5503597796476605E-2</v>
      </c>
      <c r="DA60" s="175" t="s">
        <v>240</v>
      </c>
    </row>
    <row r="61" spans="1:105" ht="11.45" customHeight="1" x14ac:dyDescent="0.25">
      <c r="A61" s="85" t="s">
        <v>182</v>
      </c>
      <c r="B61" s="86">
        <v>0</v>
      </c>
      <c r="C61" s="86">
        <v>5.3418803435893725E-5</v>
      </c>
      <c r="D61" s="86">
        <v>3.2585470085641013E-3</v>
      </c>
      <c r="E61" s="86">
        <v>4.8611111111282052E-3</v>
      </c>
      <c r="F61" s="86">
        <v>1.6559829059999975E-3</v>
      </c>
      <c r="G61" s="86">
        <v>0</v>
      </c>
      <c r="H61" s="86">
        <v>0</v>
      </c>
      <c r="I61" s="86">
        <v>0</v>
      </c>
      <c r="J61" s="86">
        <v>2.0067333460207705E-2</v>
      </c>
      <c r="K61" s="86">
        <v>0</v>
      </c>
      <c r="L61" s="86">
        <v>0</v>
      </c>
      <c r="M61" s="86">
        <v>2.5379689361588353E-2</v>
      </c>
      <c r="N61" s="86">
        <v>5.8237414419070613E-2</v>
      </c>
      <c r="O61" s="86">
        <v>1.5486783159930295E-2</v>
      </c>
      <c r="P61" s="86">
        <v>0</v>
      </c>
      <c r="Q61" s="86">
        <v>0</v>
      </c>
      <c r="R61" s="86">
        <v>0</v>
      </c>
      <c r="S61" s="86">
        <v>0</v>
      </c>
      <c r="T61" s="86">
        <v>0</v>
      </c>
      <c r="U61" s="86">
        <v>0</v>
      </c>
      <c r="V61" s="86">
        <v>0</v>
      </c>
      <c r="W61" s="86">
        <v>0</v>
      </c>
      <c r="X61" s="86">
        <v>0</v>
      </c>
      <c r="Y61" s="86">
        <v>0</v>
      </c>
      <c r="DA61" s="178" t="s">
        <v>241</v>
      </c>
    </row>
    <row r="62" spans="1:105" x14ac:dyDescent="0.25">
      <c r="A62" s="50"/>
      <c r="B62" s="50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DA62" s="181"/>
    </row>
    <row r="63" spans="1:105" ht="11.45" customHeight="1" x14ac:dyDescent="0.25">
      <c r="A63" s="68" t="s">
        <v>36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DA63" s="179"/>
    </row>
    <row r="64" spans="1:105" x14ac:dyDescent="0.25">
      <c r="A64" s="50"/>
      <c r="B64" s="50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DA64" s="181"/>
    </row>
    <row r="65" spans="1:105" ht="11.45" customHeight="1" x14ac:dyDescent="0.25">
      <c r="A65" s="53" t="s">
        <v>83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DA65" s="172"/>
    </row>
    <row r="66" spans="1:105" ht="11.45" customHeight="1" x14ac:dyDescent="0.25">
      <c r="A66" s="10" t="s">
        <v>84</v>
      </c>
      <c r="B66" s="14">
        <f t="shared" ref="B66:C73" si="48">IF(B34=0,0,B34/B24)</f>
        <v>61.509539974247922</v>
      </c>
      <c r="C66" s="14">
        <f t="shared" si="48"/>
        <v>63.682713754646841</v>
      </c>
      <c r="D66" s="14">
        <f t="shared" ref="D66:V66" si="49">IF(D34=0,0,D34/D24)</f>
        <v>64.994853063257509</v>
      </c>
      <c r="E66" s="14">
        <f t="shared" si="49"/>
        <v>66.352507034457304</v>
      </c>
      <c r="F66" s="14">
        <f t="shared" si="49"/>
        <v>62.471990964827363</v>
      </c>
      <c r="G66" s="14">
        <f t="shared" si="49"/>
        <v>63.906264312248737</v>
      </c>
      <c r="H66" s="14">
        <f t="shared" si="49"/>
        <v>65.704387479523618</v>
      </c>
      <c r="I66" s="14">
        <f t="shared" si="49"/>
        <v>67.798189279207989</v>
      </c>
      <c r="J66" s="14">
        <f t="shared" si="49"/>
        <v>70.799483935408688</v>
      </c>
      <c r="K66" s="14">
        <f t="shared" si="49"/>
        <v>68.2120891636837</v>
      </c>
      <c r="L66" s="14">
        <f t="shared" si="49"/>
        <v>73.438348486735578</v>
      </c>
      <c r="M66" s="14">
        <f t="shared" si="49"/>
        <v>80.078443464586357</v>
      </c>
      <c r="N66" s="14">
        <f t="shared" si="49"/>
        <v>85.852527454103452</v>
      </c>
      <c r="O66" s="14">
        <f t="shared" si="49"/>
        <v>92.294527552913038</v>
      </c>
      <c r="P66" s="14">
        <f t="shared" si="49"/>
        <v>97.935532667074582</v>
      </c>
      <c r="Q66" s="14">
        <f t="shared" si="49"/>
        <v>104.67631083028489</v>
      </c>
      <c r="R66" s="14">
        <f t="shared" si="49"/>
        <v>109.65165193745752</v>
      </c>
      <c r="S66" s="14">
        <f t="shared" si="49"/>
        <v>117.39252834576993</v>
      </c>
      <c r="T66" s="14">
        <f t="shared" si="49"/>
        <v>121.0792760119068</v>
      </c>
      <c r="U66" s="14">
        <f t="shared" si="49"/>
        <v>126.93112239242723</v>
      </c>
      <c r="V66" s="14">
        <f t="shared" si="49"/>
        <v>100.25422967930193</v>
      </c>
      <c r="W66" s="14">
        <f t="shared" ref="W66:Y66" si="50">IF(W34=0,0,W34/W24)</f>
        <v>106.17007073637897</v>
      </c>
      <c r="X66" s="14">
        <f t="shared" si="50"/>
        <v>136.50054451763705</v>
      </c>
      <c r="Y66" s="14">
        <f t="shared" si="50"/>
        <v>142.48088321578678</v>
      </c>
      <c r="DA66" s="189" t="s">
        <v>242</v>
      </c>
    </row>
    <row r="67" spans="1:105" ht="11.45" customHeight="1" x14ac:dyDescent="0.25">
      <c r="A67" s="83" t="s">
        <v>27</v>
      </c>
      <c r="B67" s="87">
        <f t="shared" si="48"/>
        <v>38.549944506104332</v>
      </c>
      <c r="C67" s="87">
        <f t="shared" si="48"/>
        <v>38.666851441241683</v>
      </c>
      <c r="D67" s="87">
        <f t="shared" ref="D67:V67" si="51">IF(D35=0,0,D35/D25)</f>
        <v>38.931893687707642</v>
      </c>
      <c r="E67" s="87">
        <f t="shared" si="51"/>
        <v>39.220746887966804</v>
      </c>
      <c r="F67" s="87">
        <f t="shared" si="51"/>
        <v>39.535320712065555</v>
      </c>
      <c r="G67" s="87">
        <f t="shared" si="51"/>
        <v>39.827131692523039</v>
      </c>
      <c r="H67" s="87">
        <f t="shared" si="51"/>
        <v>40.20736978603847</v>
      </c>
      <c r="I67" s="87">
        <f t="shared" si="51"/>
        <v>41.066296225330525</v>
      </c>
      <c r="J67" s="87">
        <f t="shared" si="51"/>
        <v>44.512228610658198</v>
      </c>
      <c r="K67" s="87">
        <f t="shared" si="51"/>
        <v>37.997358309317967</v>
      </c>
      <c r="L67" s="87">
        <f t="shared" si="51"/>
        <v>41.078956473600442</v>
      </c>
      <c r="M67" s="87">
        <f t="shared" si="51"/>
        <v>44.633901331944344</v>
      </c>
      <c r="N67" s="87">
        <f t="shared" si="51"/>
        <v>45.466576179165251</v>
      </c>
      <c r="O67" s="87">
        <f t="shared" si="51"/>
        <v>46.391144878176576</v>
      </c>
      <c r="P67" s="87">
        <f t="shared" si="51"/>
        <v>46.137305699481864</v>
      </c>
      <c r="Q67" s="87">
        <f t="shared" si="51"/>
        <v>48.622899873749638</v>
      </c>
      <c r="R67" s="87">
        <f t="shared" si="51"/>
        <v>62.671710621126962</v>
      </c>
      <c r="S67" s="87">
        <f t="shared" si="51"/>
        <v>80.253168394882053</v>
      </c>
      <c r="T67" s="87">
        <f t="shared" si="51"/>
        <v>79.265951138519924</v>
      </c>
      <c r="U67" s="87">
        <f t="shared" si="51"/>
        <v>78.672219137516194</v>
      </c>
      <c r="V67" s="87">
        <f t="shared" si="51"/>
        <v>58.839734733351754</v>
      </c>
      <c r="W67" s="87">
        <f t="shared" ref="W67:Y67" si="52">IF(W35=0,0,W35/W25)</f>
        <v>70.972661545413459</v>
      </c>
      <c r="X67" s="87">
        <f t="shared" si="52"/>
        <v>77.759675511238797</v>
      </c>
      <c r="Y67" s="87">
        <f t="shared" si="52"/>
        <v>71.041015296688514</v>
      </c>
      <c r="DA67" s="171" t="s">
        <v>243</v>
      </c>
    </row>
    <row r="68" spans="1:105" ht="11.45" customHeight="1" x14ac:dyDescent="0.25">
      <c r="A68" s="83" t="s">
        <v>181</v>
      </c>
      <c r="B68" s="87">
        <f t="shared" si="48"/>
        <v>66.778823136447144</v>
      </c>
      <c r="C68" s="87">
        <f t="shared" si="48"/>
        <v>67.509888059701495</v>
      </c>
      <c r="D68" s="87">
        <f t="shared" ref="D68:V68" si="53">IF(D36=0,0,D36/D26)</f>
        <v>68.536314067611784</v>
      </c>
      <c r="E68" s="87">
        <f t="shared" si="53"/>
        <v>69.799017846448677</v>
      </c>
      <c r="F68" s="87">
        <f t="shared" si="53"/>
        <v>71.237052609988723</v>
      </c>
      <c r="G68" s="87">
        <f t="shared" si="53"/>
        <v>72.395226298611931</v>
      </c>
      <c r="H68" s="87">
        <f t="shared" si="53"/>
        <v>73.997818059751594</v>
      </c>
      <c r="I68" s="87">
        <f t="shared" si="53"/>
        <v>75.914099997257338</v>
      </c>
      <c r="J68" s="87">
        <f t="shared" si="53"/>
        <v>79.874807453416153</v>
      </c>
      <c r="K68" s="87">
        <f t="shared" si="53"/>
        <v>78.200341682908629</v>
      </c>
      <c r="L68" s="87">
        <f t="shared" si="53"/>
        <v>84.907371953957792</v>
      </c>
      <c r="M68" s="87">
        <f t="shared" si="53"/>
        <v>93.761123368266226</v>
      </c>
      <c r="N68" s="87">
        <f t="shared" si="53"/>
        <v>101.83579443276513</v>
      </c>
      <c r="O68" s="87">
        <f t="shared" si="53"/>
        <v>108.61889969963802</v>
      </c>
      <c r="P68" s="87">
        <f t="shared" si="53"/>
        <v>113.06833555522638</v>
      </c>
      <c r="Q68" s="87">
        <f t="shared" si="53"/>
        <v>118.65453650239471</v>
      </c>
      <c r="R68" s="87">
        <f t="shared" si="53"/>
        <v>125.00203155818541</v>
      </c>
      <c r="S68" s="87">
        <f t="shared" si="53"/>
        <v>132.24568726152302</v>
      </c>
      <c r="T68" s="87">
        <f t="shared" si="53"/>
        <v>136.50530420419909</v>
      </c>
      <c r="U68" s="87">
        <f t="shared" si="53"/>
        <v>143.46570860121346</v>
      </c>
      <c r="V68" s="87">
        <f t="shared" si="53"/>
        <v>113.38490398579958</v>
      </c>
      <c r="W68" s="87">
        <f t="shared" ref="W68:Y68" si="54">IF(W36=0,0,W36/W26)</f>
        <v>116.18325648176271</v>
      </c>
      <c r="X68" s="87">
        <f t="shared" si="54"/>
        <v>151.18184544449235</v>
      </c>
      <c r="Y68" s="87">
        <f t="shared" si="54"/>
        <v>159.65704738760633</v>
      </c>
      <c r="DA68" s="171" t="s">
        <v>244</v>
      </c>
    </row>
    <row r="69" spans="1:105" ht="11.45" customHeight="1" x14ac:dyDescent="0.25">
      <c r="A69" s="83" t="s">
        <v>182</v>
      </c>
      <c r="B69" s="87">
        <f t="shared" si="48"/>
        <v>58.578532742491383</v>
      </c>
      <c r="C69" s="87">
        <f t="shared" si="48"/>
        <v>59.168866886688669</v>
      </c>
      <c r="D69" s="87">
        <f t="shared" ref="D69:V69" si="55">IF(D37=0,0,D37/D27)</f>
        <v>59.421543408360129</v>
      </c>
      <c r="E69" s="87">
        <f t="shared" si="55"/>
        <v>59.769862288135592</v>
      </c>
      <c r="F69" s="87">
        <f t="shared" si="55"/>
        <v>60.524036281179136</v>
      </c>
      <c r="G69" s="87">
        <f t="shared" si="55"/>
        <v>62.122121555303892</v>
      </c>
      <c r="H69" s="87">
        <f t="shared" si="55"/>
        <v>63.891680261011416</v>
      </c>
      <c r="I69" s="87">
        <f t="shared" si="55"/>
        <v>65.529688339602359</v>
      </c>
      <c r="J69" s="87">
        <f t="shared" si="55"/>
        <v>63.580629362066851</v>
      </c>
      <c r="K69" s="87">
        <f t="shared" si="55"/>
        <v>63.129167229045756</v>
      </c>
      <c r="L69" s="87">
        <f t="shared" si="55"/>
        <v>71.08056745182013</v>
      </c>
      <c r="M69" s="87">
        <f t="shared" si="55"/>
        <v>65.033371255214263</v>
      </c>
      <c r="N69" s="87">
        <f t="shared" si="55"/>
        <v>67.351361031518621</v>
      </c>
      <c r="O69" s="87">
        <f t="shared" si="55"/>
        <v>77.161564859299929</v>
      </c>
      <c r="P69" s="87">
        <f t="shared" si="55"/>
        <v>88.688163884673742</v>
      </c>
      <c r="Q69" s="87">
        <f t="shared" si="55"/>
        <v>98.87402056807052</v>
      </c>
      <c r="R69" s="87">
        <f t="shared" si="55"/>
        <v>95.577128845296471</v>
      </c>
      <c r="S69" s="87">
        <f t="shared" si="55"/>
        <v>96.227974213713622</v>
      </c>
      <c r="T69" s="87">
        <f t="shared" si="55"/>
        <v>104.47179487179487</v>
      </c>
      <c r="U69" s="87">
        <f t="shared" si="55"/>
        <v>110</v>
      </c>
      <c r="V69" s="87">
        <f t="shared" si="55"/>
        <v>93.138035961272479</v>
      </c>
      <c r="W69" s="87">
        <f t="shared" ref="W69:Y69" si="56">IF(W37=0,0,W37/W27)</f>
        <v>99.503393369877315</v>
      </c>
      <c r="X69" s="87">
        <f t="shared" si="56"/>
        <v>127.78039370857651</v>
      </c>
      <c r="Y69" s="87">
        <f t="shared" si="56"/>
        <v>128.90379480540497</v>
      </c>
      <c r="DA69" s="171" t="s">
        <v>245</v>
      </c>
    </row>
    <row r="70" spans="1:105" ht="11.45" customHeight="1" x14ac:dyDescent="0.25">
      <c r="A70" s="12" t="s">
        <v>85</v>
      </c>
      <c r="B70" s="15">
        <f t="shared" si="48"/>
        <v>18.178532557039755</v>
      </c>
      <c r="C70" s="15">
        <f t="shared" si="48"/>
        <v>18.80056974782557</v>
      </c>
      <c r="D70" s="15">
        <f t="shared" ref="D70:V70" si="57">IF(D38=0,0,D38/D28)</f>
        <v>19.101826471412139</v>
      </c>
      <c r="E70" s="15">
        <f t="shared" si="57"/>
        <v>19.749246637673277</v>
      </c>
      <c r="F70" s="15">
        <f t="shared" si="57"/>
        <v>18.326105905132817</v>
      </c>
      <c r="G70" s="15">
        <f t="shared" si="57"/>
        <v>16.199074366687892</v>
      </c>
      <c r="H70" s="15">
        <f t="shared" si="57"/>
        <v>14.621404428577062</v>
      </c>
      <c r="I70" s="15">
        <f t="shared" si="57"/>
        <v>15.044962988657353</v>
      </c>
      <c r="J70" s="15">
        <f t="shared" si="57"/>
        <v>15.273809454035208</v>
      </c>
      <c r="K70" s="15">
        <f t="shared" si="57"/>
        <v>14.775460720332694</v>
      </c>
      <c r="L70" s="15">
        <f t="shared" si="57"/>
        <v>15.694050953593315</v>
      </c>
      <c r="M70" s="15">
        <f t="shared" si="57"/>
        <v>17.822623577583226</v>
      </c>
      <c r="N70" s="15">
        <f t="shared" si="57"/>
        <v>20.697295360707066</v>
      </c>
      <c r="O70" s="15">
        <f t="shared" si="57"/>
        <v>21.559311380875293</v>
      </c>
      <c r="P70" s="15">
        <f t="shared" si="57"/>
        <v>22.119812756953632</v>
      </c>
      <c r="Q70" s="15">
        <f t="shared" si="57"/>
        <v>21.947656512669177</v>
      </c>
      <c r="R70" s="15">
        <f t="shared" si="57"/>
        <v>24.966061555515822</v>
      </c>
      <c r="S70" s="15">
        <f t="shared" si="57"/>
        <v>24.629949846456157</v>
      </c>
      <c r="T70" s="15">
        <f t="shared" si="57"/>
        <v>24.979608278443138</v>
      </c>
      <c r="U70" s="15">
        <f t="shared" si="57"/>
        <v>29.215503577290239</v>
      </c>
      <c r="V70" s="15">
        <f t="shared" si="57"/>
        <v>22.996683516041536</v>
      </c>
      <c r="W70" s="15">
        <f t="shared" ref="W70:Y70" si="58">IF(W38=0,0,W38/W28)</f>
        <v>22.771732229192203</v>
      </c>
      <c r="X70" s="15">
        <f t="shared" si="58"/>
        <v>22.486630703955569</v>
      </c>
      <c r="Y70" s="15">
        <f t="shared" si="58"/>
        <v>21.227350093328077</v>
      </c>
      <c r="DA70" s="193" t="s">
        <v>246</v>
      </c>
    </row>
    <row r="71" spans="1:105" ht="11.45" customHeight="1" x14ac:dyDescent="0.25">
      <c r="A71" s="42" t="s">
        <v>27</v>
      </c>
      <c r="B71" s="41">
        <f t="shared" si="48"/>
        <v>10.023284561418631</v>
      </c>
      <c r="C71" s="41">
        <f t="shared" si="48"/>
        <v>9.9468444225812966</v>
      </c>
      <c r="D71" s="41">
        <f t="shared" ref="D71:V71" si="59">IF(D39=0,0,D39/D29)</f>
        <v>10.228618824365732</v>
      </c>
      <c r="E71" s="41">
        <f t="shared" si="59"/>
        <v>10.880110401352557</v>
      </c>
      <c r="F71" s="41">
        <f t="shared" si="59"/>
        <v>10.245291210092235</v>
      </c>
      <c r="G71" s="41">
        <f t="shared" si="59"/>
        <v>10.026386560137624</v>
      </c>
      <c r="H71" s="41">
        <f t="shared" si="59"/>
        <v>9.6442955326529347</v>
      </c>
      <c r="I71" s="41">
        <f t="shared" si="59"/>
        <v>9.6084865500782293</v>
      </c>
      <c r="J71" s="41">
        <f t="shared" si="59"/>
        <v>9.2442542001847308</v>
      </c>
      <c r="K71" s="41">
        <f t="shared" si="59"/>
        <v>9.3240998338960406</v>
      </c>
      <c r="L71" s="41">
        <f t="shared" si="59"/>
        <v>9.9726932495609368</v>
      </c>
      <c r="M71" s="41">
        <f t="shared" si="59"/>
        <v>10.895437219200758</v>
      </c>
      <c r="N71" s="41">
        <f t="shared" si="59"/>
        <v>11.19133112954926</v>
      </c>
      <c r="O71" s="41">
        <f t="shared" si="59"/>
        <v>11.472606557577453</v>
      </c>
      <c r="P71" s="41">
        <f t="shared" si="59"/>
        <v>12.867097049767034</v>
      </c>
      <c r="Q71" s="41">
        <f t="shared" si="59"/>
        <v>13.240298620670723</v>
      </c>
      <c r="R71" s="41">
        <f t="shared" si="59"/>
        <v>15.261225204177913</v>
      </c>
      <c r="S71" s="41">
        <f t="shared" si="59"/>
        <v>14.037407282807473</v>
      </c>
      <c r="T71" s="41">
        <f t="shared" si="59"/>
        <v>14.28777069472639</v>
      </c>
      <c r="U71" s="41">
        <f t="shared" si="59"/>
        <v>15.803408783848621</v>
      </c>
      <c r="V71" s="41">
        <f t="shared" si="59"/>
        <v>14.56554958394141</v>
      </c>
      <c r="W71" s="41">
        <f t="shared" ref="W71:Y71" si="60">IF(W39=0,0,W39/W29)</f>
        <v>14.733887425092286</v>
      </c>
      <c r="X71" s="41">
        <f t="shared" si="60"/>
        <v>14.903133727895911</v>
      </c>
      <c r="Y71" s="41">
        <f t="shared" si="60"/>
        <v>14.79134372772109</v>
      </c>
      <c r="DA71" s="196" t="s">
        <v>247</v>
      </c>
    </row>
    <row r="72" spans="1:105" ht="11.45" customHeight="1" x14ac:dyDescent="0.25">
      <c r="A72" s="42" t="s">
        <v>181</v>
      </c>
      <c r="B72" s="41">
        <f t="shared" si="48"/>
        <v>16.167807765431576</v>
      </c>
      <c r="C72" s="41">
        <f t="shared" si="48"/>
        <v>16.347531780245244</v>
      </c>
      <c r="D72" s="41">
        <f t="shared" ref="D72:V72" si="61">IF(D40=0,0,D40/D30)</f>
        <v>16.36514393507635</v>
      </c>
      <c r="E72" s="41">
        <f t="shared" si="61"/>
        <v>17.221696677308699</v>
      </c>
      <c r="F72" s="41">
        <f t="shared" si="61"/>
        <v>16.065947226318936</v>
      </c>
      <c r="G72" s="41">
        <f t="shared" si="61"/>
        <v>15.202475894043333</v>
      </c>
      <c r="H72" s="41">
        <f t="shared" si="61"/>
        <v>14.017847842266166</v>
      </c>
      <c r="I72" s="41">
        <f t="shared" si="61"/>
        <v>13.786843762306624</v>
      </c>
      <c r="J72" s="41">
        <f t="shared" si="61"/>
        <v>13.706049515651269</v>
      </c>
      <c r="K72" s="41">
        <f t="shared" si="61"/>
        <v>13.698894254303415</v>
      </c>
      <c r="L72" s="41">
        <f t="shared" si="61"/>
        <v>14.504774438576119</v>
      </c>
      <c r="M72" s="41">
        <f t="shared" si="61"/>
        <v>15.593990976967525</v>
      </c>
      <c r="N72" s="41">
        <f t="shared" si="61"/>
        <v>16.668272444699468</v>
      </c>
      <c r="O72" s="41">
        <f t="shared" si="61"/>
        <v>16.757006585050917</v>
      </c>
      <c r="P72" s="41">
        <f t="shared" si="61"/>
        <v>18.449412678664505</v>
      </c>
      <c r="Q72" s="41">
        <f t="shared" si="61"/>
        <v>18.477606558493591</v>
      </c>
      <c r="R72" s="41">
        <f t="shared" si="61"/>
        <v>20.847919403023052</v>
      </c>
      <c r="S72" s="41">
        <f t="shared" si="61"/>
        <v>19.377525185076976</v>
      </c>
      <c r="T72" s="41">
        <f t="shared" si="61"/>
        <v>19.225461196308377</v>
      </c>
      <c r="U72" s="41">
        <f t="shared" si="61"/>
        <v>19.702598617631953</v>
      </c>
      <c r="V72" s="41">
        <f t="shared" si="61"/>
        <v>17.640506114488737</v>
      </c>
      <c r="W72" s="41">
        <f t="shared" ref="W72:Y72" si="62">IF(W40=0,0,W40/W30)</f>
        <v>17.768395755469797</v>
      </c>
      <c r="X72" s="41">
        <f t="shared" si="62"/>
        <v>17.890474130141026</v>
      </c>
      <c r="Y72" s="41">
        <f t="shared" si="62"/>
        <v>17.970037243342706</v>
      </c>
      <c r="DA72" s="196" t="s">
        <v>248</v>
      </c>
    </row>
    <row r="73" spans="1:105" ht="11.45" customHeight="1" x14ac:dyDescent="0.25">
      <c r="A73" s="38" t="s">
        <v>182</v>
      </c>
      <c r="B73" s="40">
        <f t="shared" si="48"/>
        <v>52.13832275608636</v>
      </c>
      <c r="C73" s="40">
        <f t="shared" si="48"/>
        <v>53.867382020046904</v>
      </c>
      <c r="D73" s="40">
        <f t="shared" ref="D73:V73" si="63">IF(D41=0,0,D41/D31)</f>
        <v>52.903188435639549</v>
      </c>
      <c r="E73" s="40">
        <f t="shared" si="63"/>
        <v>48.726605018216752</v>
      </c>
      <c r="F73" s="40">
        <f t="shared" si="63"/>
        <v>48.059639068158532</v>
      </c>
      <c r="G73" s="40">
        <f t="shared" si="63"/>
        <v>44.215541300581251</v>
      </c>
      <c r="H73" s="40">
        <f t="shared" si="63"/>
        <v>45.164132697953747</v>
      </c>
      <c r="I73" s="40">
        <f t="shared" si="63"/>
        <v>45.185822139749781</v>
      </c>
      <c r="J73" s="40">
        <f t="shared" si="63"/>
        <v>44.913119763550647</v>
      </c>
      <c r="K73" s="40">
        <f t="shared" si="63"/>
        <v>49.899933457134011</v>
      </c>
      <c r="L73" s="40">
        <f t="shared" si="63"/>
        <v>52.527925633175627</v>
      </c>
      <c r="M73" s="40">
        <f t="shared" si="63"/>
        <v>55.066413538494707</v>
      </c>
      <c r="N73" s="40">
        <f t="shared" si="63"/>
        <v>59.082056024886235</v>
      </c>
      <c r="O73" s="40">
        <f t="shared" si="63"/>
        <v>59.664691083399624</v>
      </c>
      <c r="P73" s="40">
        <f t="shared" si="63"/>
        <v>66.461807942068631</v>
      </c>
      <c r="Q73" s="40">
        <f t="shared" si="63"/>
        <v>66.264429177726498</v>
      </c>
      <c r="R73" s="40">
        <f t="shared" si="63"/>
        <v>73.442316804529241</v>
      </c>
      <c r="S73" s="40">
        <f t="shared" si="63"/>
        <v>73.32593091987863</v>
      </c>
      <c r="T73" s="40">
        <f t="shared" si="63"/>
        <v>73.592740807573165</v>
      </c>
      <c r="U73" s="40">
        <f t="shared" si="63"/>
        <v>75.40152312606179</v>
      </c>
      <c r="V73" s="40">
        <f t="shared" si="63"/>
        <v>50.528235250360837</v>
      </c>
      <c r="W73" s="40">
        <f t="shared" ref="W73:Y73" si="64">IF(W41=0,0,W41/W31)</f>
        <v>53.587012042781261</v>
      </c>
      <c r="X73" s="40">
        <f t="shared" si="64"/>
        <v>60.501674061496317</v>
      </c>
      <c r="Y73" s="40">
        <f t="shared" si="64"/>
        <v>63.067440817812063</v>
      </c>
      <c r="DA73" s="197" t="s">
        <v>249</v>
      </c>
    </row>
    <row r="74" spans="1:105" x14ac:dyDescent="0.25">
      <c r="A74" s="50"/>
      <c r="B74" s="50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DA74" s="181"/>
    </row>
    <row r="75" spans="1:105" ht="11.45" customHeight="1" x14ac:dyDescent="0.25">
      <c r="A75" s="53" t="s">
        <v>139</v>
      </c>
      <c r="B75" s="62">
        <f t="shared" ref="B75:C83" si="65">IF(B13=0,0,B13*1000000/B23)</f>
        <v>1100.1892615366196</v>
      </c>
      <c r="C75" s="62">
        <f t="shared" si="65"/>
        <v>1149.8659319121957</v>
      </c>
      <c r="D75" s="62">
        <f t="shared" ref="D75:V75" si="66">IF(D13=0,0,D13*1000000/D23)</f>
        <v>1164.5028518190406</v>
      </c>
      <c r="E75" s="62">
        <f t="shared" si="66"/>
        <v>1175.5718624247625</v>
      </c>
      <c r="F75" s="62">
        <f t="shared" si="66"/>
        <v>1024.8927542502051</v>
      </c>
      <c r="G75" s="62">
        <f t="shared" si="66"/>
        <v>1035.6912255727066</v>
      </c>
      <c r="H75" s="62">
        <f t="shared" si="66"/>
        <v>1042.8946621576895</v>
      </c>
      <c r="I75" s="62">
        <f t="shared" si="66"/>
        <v>1120.0812267081658</v>
      </c>
      <c r="J75" s="62">
        <f t="shared" si="66"/>
        <v>1155.4304751314619</v>
      </c>
      <c r="K75" s="62">
        <f t="shared" si="66"/>
        <v>1155.6402409580314</v>
      </c>
      <c r="L75" s="62">
        <f t="shared" si="66"/>
        <v>1142.1603982683228</v>
      </c>
      <c r="M75" s="62">
        <f t="shared" si="66"/>
        <v>1137.6741659122881</v>
      </c>
      <c r="N75" s="62">
        <f t="shared" si="66"/>
        <v>1154.170818133347</v>
      </c>
      <c r="O75" s="62">
        <f t="shared" si="66"/>
        <v>1196.7622891377025</v>
      </c>
      <c r="P75" s="62">
        <f t="shared" si="66"/>
        <v>1252.4961605824753</v>
      </c>
      <c r="Q75" s="62">
        <f t="shared" si="66"/>
        <v>1284.2928473481811</v>
      </c>
      <c r="R75" s="62">
        <f t="shared" si="66"/>
        <v>1281.4610149476896</v>
      </c>
      <c r="S75" s="62">
        <f t="shared" si="66"/>
        <v>1280.1821802208508</v>
      </c>
      <c r="T75" s="62">
        <f t="shared" si="66"/>
        <v>1310.9632461885824</v>
      </c>
      <c r="U75" s="62">
        <f t="shared" si="66"/>
        <v>1337.0902443726397</v>
      </c>
      <c r="V75" s="62">
        <f t="shared" si="66"/>
        <v>1346.4320469111142</v>
      </c>
      <c r="W75" s="62">
        <f t="shared" ref="W75:Y75" si="67">IF(W13=0,0,W13*1000000/W23)</f>
        <v>1383.8401043404729</v>
      </c>
      <c r="X75" s="62">
        <f t="shared" si="67"/>
        <v>1392.4390702895676</v>
      </c>
      <c r="Y75" s="62">
        <f t="shared" si="67"/>
        <v>1391.1994866763762</v>
      </c>
      <c r="DA75" s="172" t="s">
        <v>250</v>
      </c>
    </row>
    <row r="76" spans="1:105" ht="11.45" customHeight="1" x14ac:dyDescent="0.25">
      <c r="A76" s="10" t="s">
        <v>33</v>
      </c>
      <c r="B76" s="14">
        <f t="shared" si="65"/>
        <v>1105.1072974369738</v>
      </c>
      <c r="C76" s="14">
        <f t="shared" si="65"/>
        <v>1155.5218476147948</v>
      </c>
      <c r="D76" s="14">
        <f t="shared" ref="D76:V76" si="68">IF(D14=0,0,D14*1000000/D24)</f>
        <v>1170.8090019744491</v>
      </c>
      <c r="E76" s="14">
        <f t="shared" si="68"/>
        <v>1180.6330341424721</v>
      </c>
      <c r="F76" s="14">
        <f t="shared" si="68"/>
        <v>1027.2618683049318</v>
      </c>
      <c r="G76" s="14">
        <f t="shared" si="68"/>
        <v>1037.8968463312003</v>
      </c>
      <c r="H76" s="14">
        <f t="shared" si="68"/>
        <v>1046.1947914545337</v>
      </c>
      <c r="I76" s="14">
        <f t="shared" si="68"/>
        <v>1122.3112758443012</v>
      </c>
      <c r="J76" s="14">
        <f t="shared" si="68"/>
        <v>1157.7553586648119</v>
      </c>
      <c r="K76" s="14">
        <f t="shared" si="68"/>
        <v>1157.8963704331329</v>
      </c>
      <c r="L76" s="14">
        <f t="shared" si="68"/>
        <v>1143.7429601569925</v>
      </c>
      <c r="M76" s="14">
        <f t="shared" si="68"/>
        <v>1137.6902699241762</v>
      </c>
      <c r="N76" s="14">
        <f t="shared" si="68"/>
        <v>1152.8082230352177</v>
      </c>
      <c r="O76" s="14">
        <f t="shared" si="68"/>
        <v>1195.5550437713362</v>
      </c>
      <c r="P76" s="14">
        <f t="shared" si="68"/>
        <v>1252.8174559933075</v>
      </c>
      <c r="Q76" s="14">
        <f t="shared" si="68"/>
        <v>1285.689833380266</v>
      </c>
      <c r="R76" s="14">
        <f t="shared" si="68"/>
        <v>1282.995779394824</v>
      </c>
      <c r="S76" s="14">
        <f t="shared" si="68"/>
        <v>1282.0715874076247</v>
      </c>
      <c r="T76" s="14">
        <f t="shared" si="68"/>
        <v>1313.9341700659395</v>
      </c>
      <c r="U76" s="14">
        <f t="shared" si="68"/>
        <v>1340.1026416537632</v>
      </c>
      <c r="V76" s="14">
        <f t="shared" si="68"/>
        <v>1354.4560720593222</v>
      </c>
      <c r="W76" s="14">
        <f t="shared" ref="W76:Y76" si="69">IF(W14=0,0,W14*1000000/W24)</f>
        <v>1390.3226000092288</v>
      </c>
      <c r="X76" s="14">
        <f t="shared" si="69"/>
        <v>1397.3251628417768</v>
      </c>
      <c r="Y76" s="14">
        <f t="shared" si="69"/>
        <v>1396.1514298485959</v>
      </c>
      <c r="DA76" s="189" t="s">
        <v>251</v>
      </c>
    </row>
    <row r="77" spans="1:105" ht="11.45" customHeight="1" x14ac:dyDescent="0.25">
      <c r="A77" s="37" t="s">
        <v>27</v>
      </c>
      <c r="B77" s="39">
        <f t="shared" si="65"/>
        <v>342.28279415511292</v>
      </c>
      <c r="C77" s="39">
        <f t="shared" si="65"/>
        <v>342.28279415511298</v>
      </c>
      <c r="D77" s="39">
        <f t="shared" ref="D77:V77" si="70">IF(D15=0,0,D15*1000000/D25)</f>
        <v>342.28279415511292</v>
      </c>
      <c r="E77" s="39">
        <f t="shared" si="70"/>
        <v>342.28279415511292</v>
      </c>
      <c r="F77" s="39">
        <f t="shared" si="70"/>
        <v>342.28279415511298</v>
      </c>
      <c r="G77" s="39">
        <f t="shared" si="70"/>
        <v>336.55407512402553</v>
      </c>
      <c r="H77" s="39">
        <f t="shared" si="70"/>
        <v>334.17149263328542</v>
      </c>
      <c r="I77" s="39">
        <f t="shared" si="70"/>
        <v>341.12005796642069</v>
      </c>
      <c r="J77" s="39">
        <f t="shared" si="70"/>
        <v>354.18840476067078</v>
      </c>
      <c r="K77" s="39">
        <f t="shared" si="70"/>
        <v>363.78302857843016</v>
      </c>
      <c r="L77" s="39">
        <f t="shared" si="70"/>
        <v>368.02014579191513</v>
      </c>
      <c r="M77" s="39">
        <f t="shared" si="70"/>
        <v>378.23286172329722</v>
      </c>
      <c r="N77" s="39">
        <f t="shared" si="70"/>
        <v>392.82326803930158</v>
      </c>
      <c r="O77" s="39">
        <f t="shared" si="70"/>
        <v>374.11027428915276</v>
      </c>
      <c r="P77" s="39">
        <f t="shared" si="70"/>
        <v>375.12471849836413</v>
      </c>
      <c r="Q77" s="39">
        <f t="shared" si="70"/>
        <v>375.40028192418725</v>
      </c>
      <c r="R77" s="39">
        <f t="shared" si="70"/>
        <v>377.02817055880348</v>
      </c>
      <c r="S77" s="39">
        <f t="shared" si="70"/>
        <v>380.5591652529663</v>
      </c>
      <c r="T77" s="39">
        <f t="shared" si="70"/>
        <v>381.44797222501762</v>
      </c>
      <c r="U77" s="39">
        <f t="shared" si="70"/>
        <v>385.44181415929205</v>
      </c>
      <c r="V77" s="39">
        <f t="shared" si="70"/>
        <v>376.93305687203792</v>
      </c>
      <c r="W77" s="39">
        <f t="shared" ref="W77:Y77" si="71">IF(W15=0,0,W15*1000000/W25)</f>
        <v>372.40528005708171</v>
      </c>
      <c r="X77" s="39">
        <f t="shared" si="71"/>
        <v>382.41142732684773</v>
      </c>
      <c r="Y77" s="39">
        <f t="shared" si="71"/>
        <v>384.39733191844169</v>
      </c>
      <c r="DA77" s="198" t="s">
        <v>252</v>
      </c>
    </row>
    <row r="78" spans="1:105" ht="11.45" customHeight="1" x14ac:dyDescent="0.25">
      <c r="A78" s="37" t="s">
        <v>181</v>
      </c>
      <c r="B78" s="39">
        <f t="shared" si="65"/>
        <v>1235.9178458093179</v>
      </c>
      <c r="C78" s="39">
        <f t="shared" si="65"/>
        <v>1235.9207955989618</v>
      </c>
      <c r="D78" s="39">
        <f t="shared" ref="D78:V78" si="72">IF(D16=0,0,D16*1000000/D26)</f>
        <v>1235.9511936926108</v>
      </c>
      <c r="E78" s="39">
        <f t="shared" si="72"/>
        <v>1235.9722193836335</v>
      </c>
      <c r="F78" s="39">
        <f t="shared" si="72"/>
        <v>1236.0245859651791</v>
      </c>
      <c r="G78" s="39">
        <f t="shared" si="72"/>
        <v>1256.3837352260421</v>
      </c>
      <c r="H78" s="39">
        <f t="shared" si="72"/>
        <v>1250.0715416078358</v>
      </c>
      <c r="I78" s="39">
        <f t="shared" si="72"/>
        <v>1310.9151683033513</v>
      </c>
      <c r="J78" s="39">
        <f t="shared" si="72"/>
        <v>1353.9520432176528</v>
      </c>
      <c r="K78" s="39">
        <f t="shared" si="72"/>
        <v>1379.7092084931714</v>
      </c>
      <c r="L78" s="39">
        <f t="shared" si="72"/>
        <v>1394.4403865526901</v>
      </c>
      <c r="M78" s="39">
        <f t="shared" si="72"/>
        <v>1373.8599916560233</v>
      </c>
      <c r="N78" s="39">
        <f t="shared" si="72"/>
        <v>1384.297144841657</v>
      </c>
      <c r="O78" s="39">
        <f t="shared" si="72"/>
        <v>1427.7622416526592</v>
      </c>
      <c r="P78" s="39">
        <f t="shared" si="72"/>
        <v>1455.1737484718167</v>
      </c>
      <c r="Q78" s="39">
        <f t="shared" si="72"/>
        <v>1476.1524973296941</v>
      </c>
      <c r="R78" s="39">
        <f t="shared" si="72"/>
        <v>1496.1218163971862</v>
      </c>
      <c r="S78" s="39">
        <f t="shared" si="72"/>
        <v>1513.2259407100958</v>
      </c>
      <c r="T78" s="39">
        <f t="shared" si="72"/>
        <v>1521.2523927242555</v>
      </c>
      <c r="U78" s="39">
        <f t="shared" si="72"/>
        <v>1531.6996993782057</v>
      </c>
      <c r="V78" s="39">
        <f t="shared" si="72"/>
        <v>1568.4146007078493</v>
      </c>
      <c r="W78" s="39">
        <f t="shared" ref="W78:Y78" si="73">IF(W16=0,0,W16*1000000/W26)</f>
        <v>1571.5124726981626</v>
      </c>
      <c r="X78" s="39">
        <f t="shared" si="73"/>
        <v>1587.4664705403179</v>
      </c>
      <c r="Y78" s="39">
        <f t="shared" si="73"/>
        <v>1565.2675134084504</v>
      </c>
      <c r="DA78" s="198" t="s">
        <v>253</v>
      </c>
    </row>
    <row r="79" spans="1:105" ht="11.45" customHeight="1" x14ac:dyDescent="0.25">
      <c r="A79" s="37" t="s">
        <v>182</v>
      </c>
      <c r="B79" s="39">
        <f t="shared" si="65"/>
        <v>1203.4503869040859</v>
      </c>
      <c r="C79" s="39">
        <f t="shared" si="65"/>
        <v>1203.4503869040857</v>
      </c>
      <c r="D79" s="39">
        <f t="shared" ref="D79:V79" si="74">IF(D17=0,0,D17*1000000/D27)</f>
        <v>1203.4503869040859</v>
      </c>
      <c r="E79" s="39">
        <f t="shared" si="74"/>
        <v>1203.4503869040859</v>
      </c>
      <c r="F79" s="39">
        <f t="shared" si="74"/>
        <v>1203.4503869040859</v>
      </c>
      <c r="G79" s="39">
        <f t="shared" si="74"/>
        <v>1124.0183084063951</v>
      </c>
      <c r="H79" s="39">
        <f t="shared" si="74"/>
        <v>1130.3016789300568</v>
      </c>
      <c r="I79" s="39">
        <f t="shared" si="74"/>
        <v>1293.9108740791066</v>
      </c>
      <c r="J79" s="39">
        <f t="shared" si="74"/>
        <v>1337.3866994990358</v>
      </c>
      <c r="K79" s="39">
        <f t="shared" si="74"/>
        <v>1252.6114641720717</v>
      </c>
      <c r="L79" s="39">
        <f t="shared" si="74"/>
        <v>1224.4727483012866</v>
      </c>
      <c r="M79" s="39">
        <f t="shared" si="74"/>
        <v>1128.8584126135311</v>
      </c>
      <c r="N79" s="39">
        <f t="shared" si="74"/>
        <v>1131.2333099086436</v>
      </c>
      <c r="O79" s="39">
        <f t="shared" si="74"/>
        <v>1245.1359739387067</v>
      </c>
      <c r="P79" s="39">
        <f t="shared" si="74"/>
        <v>1373.0336581983904</v>
      </c>
      <c r="Q79" s="39">
        <f t="shared" si="74"/>
        <v>1391.3459010534905</v>
      </c>
      <c r="R79" s="39">
        <f t="shared" si="74"/>
        <v>1480.0007280580576</v>
      </c>
      <c r="S79" s="39">
        <f t="shared" si="74"/>
        <v>1473.8191835541995</v>
      </c>
      <c r="T79" s="39">
        <f t="shared" si="74"/>
        <v>1607.5876008628268</v>
      </c>
      <c r="U79" s="39">
        <f t="shared" si="74"/>
        <v>1629.8039070593459</v>
      </c>
      <c r="V79" s="39">
        <f t="shared" si="74"/>
        <v>1844.5549865229111</v>
      </c>
      <c r="W79" s="39">
        <f t="shared" ref="W79:Y79" si="75">IF(W17=0,0,W17*1000000/W27)</f>
        <v>1709.8802216538788</v>
      </c>
      <c r="X79" s="39">
        <f t="shared" si="75"/>
        <v>1581.9012788219338</v>
      </c>
      <c r="Y79" s="39">
        <f t="shared" si="75"/>
        <v>1559.3286779876209</v>
      </c>
      <c r="DA79" s="198" t="s">
        <v>254</v>
      </c>
    </row>
    <row r="80" spans="1:105" ht="11.45" customHeight="1" x14ac:dyDescent="0.25">
      <c r="A80" s="12" t="s">
        <v>34</v>
      </c>
      <c r="B80" s="15">
        <f t="shared" si="65"/>
        <v>812.41679101110731</v>
      </c>
      <c r="C80" s="15">
        <f t="shared" si="65"/>
        <v>825.2917827923701</v>
      </c>
      <c r="D80" s="15">
        <f t="shared" ref="D80:V80" si="76">IF(D18=0,0,D18*1000000/D28)</f>
        <v>839.87086561370791</v>
      </c>
      <c r="E80" s="15">
        <f t="shared" si="76"/>
        <v>853.80898363231188</v>
      </c>
      <c r="F80" s="15">
        <f t="shared" si="76"/>
        <v>834.68849374248987</v>
      </c>
      <c r="G80" s="15">
        <f t="shared" si="76"/>
        <v>779.2258200983764</v>
      </c>
      <c r="H80" s="15">
        <f t="shared" si="76"/>
        <v>687.09504197716171</v>
      </c>
      <c r="I80" s="15">
        <f t="shared" si="76"/>
        <v>803.6646204287598</v>
      </c>
      <c r="J80" s="15">
        <f t="shared" si="76"/>
        <v>889.92523967837974</v>
      </c>
      <c r="K80" s="15">
        <f t="shared" si="76"/>
        <v>914.48942784543192</v>
      </c>
      <c r="L80" s="15">
        <f t="shared" si="76"/>
        <v>972.45903727827624</v>
      </c>
      <c r="M80" s="15">
        <f t="shared" si="76"/>
        <v>1135.8701271918985</v>
      </c>
      <c r="N80" s="15">
        <f t="shared" si="76"/>
        <v>1294.2949295608059</v>
      </c>
      <c r="O80" s="15">
        <f t="shared" si="76"/>
        <v>1310.7471957503467</v>
      </c>
      <c r="P80" s="15">
        <f t="shared" si="76"/>
        <v>1219.3897914200943</v>
      </c>
      <c r="Q80" s="15">
        <f t="shared" si="76"/>
        <v>1150.2267729286093</v>
      </c>
      <c r="R80" s="15">
        <f t="shared" si="76"/>
        <v>1119.5070334746079</v>
      </c>
      <c r="S80" s="15">
        <f t="shared" si="76"/>
        <v>1091.8073709423934</v>
      </c>
      <c r="T80" s="15">
        <f t="shared" si="76"/>
        <v>1013.9352228242255</v>
      </c>
      <c r="U80" s="15">
        <f t="shared" si="76"/>
        <v>938.59690433104652</v>
      </c>
      <c r="V80" s="15">
        <f t="shared" si="76"/>
        <v>909.14721463698788</v>
      </c>
      <c r="W80" s="15">
        <f t="shared" ref="W80:Y80" si="77">IF(W18=0,0,W18*1000000/W28)</f>
        <v>907.09187685206894</v>
      </c>
      <c r="X80" s="15">
        <f t="shared" si="77"/>
        <v>980.45337621212866</v>
      </c>
      <c r="Y80" s="15">
        <f t="shared" si="77"/>
        <v>940.21624769973289</v>
      </c>
      <c r="DA80" s="193" t="s">
        <v>255</v>
      </c>
    </row>
    <row r="81" spans="1:105" ht="11.45" customHeight="1" x14ac:dyDescent="0.25">
      <c r="A81" s="42" t="s">
        <v>27</v>
      </c>
      <c r="B81" s="41">
        <f t="shared" si="65"/>
        <v>306.75182827478488</v>
      </c>
      <c r="C81" s="41">
        <f t="shared" si="65"/>
        <v>306.75182827478488</v>
      </c>
      <c r="D81" s="41">
        <f t="shared" ref="D81:V81" si="78">IF(D19=0,0,D19*1000000/D29)</f>
        <v>306.75182827478488</v>
      </c>
      <c r="E81" s="41">
        <f t="shared" si="78"/>
        <v>306.75182827478488</v>
      </c>
      <c r="F81" s="41">
        <f t="shared" si="78"/>
        <v>306.75182827478488</v>
      </c>
      <c r="G81" s="41">
        <f t="shared" si="78"/>
        <v>301.02310924369743</v>
      </c>
      <c r="H81" s="41">
        <f t="shared" si="78"/>
        <v>269.91104093899008</v>
      </c>
      <c r="I81" s="41">
        <f t="shared" si="78"/>
        <v>248.13012045815816</v>
      </c>
      <c r="J81" s="41">
        <f t="shared" si="78"/>
        <v>232.46898143844089</v>
      </c>
      <c r="K81" s="41">
        <f t="shared" si="78"/>
        <v>213.33411944223312</v>
      </c>
      <c r="L81" s="41">
        <f t="shared" si="78"/>
        <v>188.84175084175084</v>
      </c>
      <c r="M81" s="41">
        <f t="shared" si="78"/>
        <v>245.49289979378162</v>
      </c>
      <c r="N81" s="41">
        <f t="shared" si="78"/>
        <v>306.52173913043481</v>
      </c>
      <c r="O81" s="41">
        <f t="shared" si="78"/>
        <v>298.14892149426083</v>
      </c>
      <c r="P81" s="41">
        <f t="shared" si="78"/>
        <v>309.503541817447</v>
      </c>
      <c r="Q81" s="41">
        <f t="shared" si="78"/>
        <v>320.11928135724509</v>
      </c>
      <c r="R81" s="41">
        <f t="shared" si="78"/>
        <v>332.08734610583599</v>
      </c>
      <c r="S81" s="41">
        <f t="shared" si="78"/>
        <v>345.95851691397382</v>
      </c>
      <c r="T81" s="41">
        <f t="shared" si="78"/>
        <v>357.1875</v>
      </c>
      <c r="U81" s="41">
        <f t="shared" si="78"/>
        <v>347.52</v>
      </c>
      <c r="V81" s="41">
        <f t="shared" si="78"/>
        <v>280.54299754299751</v>
      </c>
      <c r="W81" s="41">
        <f t="shared" ref="W81:Y81" si="79">IF(W19=0,0,W19*1000000/W29)</f>
        <v>249.84427767354597</v>
      </c>
      <c r="X81" s="41">
        <f t="shared" si="79"/>
        <v>286.78432893716058</v>
      </c>
      <c r="Y81" s="41">
        <f t="shared" si="79"/>
        <v>291.97218710493047</v>
      </c>
      <c r="DA81" s="196" t="s">
        <v>256</v>
      </c>
    </row>
    <row r="82" spans="1:105" ht="11.45" customHeight="1" x14ac:dyDescent="0.25">
      <c r="A82" s="42" t="s">
        <v>181</v>
      </c>
      <c r="B82" s="41">
        <f t="shared" si="65"/>
        <v>748.19532135463476</v>
      </c>
      <c r="C82" s="41">
        <f t="shared" si="65"/>
        <v>746.95193749857094</v>
      </c>
      <c r="D82" s="41">
        <f t="shared" ref="D82:V82" si="80">IF(D20=0,0,D20*1000000/D30)</f>
        <v>746.9134876514812</v>
      </c>
      <c r="E82" s="41">
        <f t="shared" si="80"/>
        <v>748.40460735995975</v>
      </c>
      <c r="F82" s="41">
        <f t="shared" si="80"/>
        <v>745.64047704607151</v>
      </c>
      <c r="G82" s="41">
        <f t="shared" si="80"/>
        <v>741.240779411679</v>
      </c>
      <c r="H82" s="41">
        <f t="shared" si="80"/>
        <v>676.17016357673299</v>
      </c>
      <c r="I82" s="41">
        <f t="shared" si="80"/>
        <v>764.53104034676505</v>
      </c>
      <c r="J82" s="41">
        <f t="shared" si="80"/>
        <v>806.78602537888071</v>
      </c>
      <c r="K82" s="41">
        <f t="shared" si="80"/>
        <v>872.41590955934305</v>
      </c>
      <c r="L82" s="41">
        <f t="shared" si="80"/>
        <v>923.2186703584274</v>
      </c>
      <c r="M82" s="41">
        <f t="shared" si="80"/>
        <v>1014.514529165574</v>
      </c>
      <c r="N82" s="41">
        <f t="shared" si="80"/>
        <v>1039.9763927099727</v>
      </c>
      <c r="O82" s="41">
        <f t="shared" si="80"/>
        <v>1071.2623464506166</v>
      </c>
      <c r="P82" s="41">
        <f t="shared" si="80"/>
        <v>1096.5611552795594</v>
      </c>
      <c r="Q82" s="41">
        <f t="shared" si="80"/>
        <v>1075.5371158882276</v>
      </c>
      <c r="R82" s="41">
        <f t="shared" si="80"/>
        <v>1084.0647120489166</v>
      </c>
      <c r="S82" s="41">
        <f t="shared" si="80"/>
        <v>1121.9477108251549</v>
      </c>
      <c r="T82" s="41">
        <f t="shared" si="80"/>
        <v>1105.128432658717</v>
      </c>
      <c r="U82" s="41">
        <f t="shared" si="80"/>
        <v>1065.4273137289738</v>
      </c>
      <c r="V82" s="41">
        <f t="shared" si="80"/>
        <v>1032.0162254770682</v>
      </c>
      <c r="W82" s="41">
        <f t="shared" ref="W82:Y82" si="81">IF(W20=0,0,W20*1000000/W30)</f>
        <v>1028.1059297636318</v>
      </c>
      <c r="X82" s="41">
        <f t="shared" si="81"/>
        <v>1074.5389222621573</v>
      </c>
      <c r="Y82" s="41">
        <f t="shared" si="81"/>
        <v>1016.236075395686</v>
      </c>
      <c r="DA82" s="196" t="s">
        <v>257</v>
      </c>
    </row>
    <row r="83" spans="1:105" ht="11.45" customHeight="1" x14ac:dyDescent="0.25">
      <c r="A83" s="38" t="s">
        <v>182</v>
      </c>
      <c r="B83" s="40">
        <f t="shared" si="65"/>
        <v>2234.2114902623966</v>
      </c>
      <c r="C83" s="40">
        <f t="shared" si="65"/>
        <v>2234.2114902623966</v>
      </c>
      <c r="D83" s="40">
        <f t="shared" ref="D83:V83" si="82">IF(D21=0,0,D21*1000000/D31)</f>
        <v>2234.2114902623966</v>
      </c>
      <c r="E83" s="40">
        <f t="shared" si="82"/>
        <v>2234.2114902623966</v>
      </c>
      <c r="F83" s="40">
        <f t="shared" si="82"/>
        <v>2234.2114902623966</v>
      </c>
      <c r="G83" s="40">
        <f t="shared" si="82"/>
        <v>2154.7794117647054</v>
      </c>
      <c r="H83" s="40">
        <f t="shared" si="82"/>
        <v>2308.4515675120037</v>
      </c>
      <c r="I83" s="40">
        <f t="shared" si="82"/>
        <v>2619.4495478846902</v>
      </c>
      <c r="J83" s="40">
        <f t="shared" si="82"/>
        <v>2810.3141585282551</v>
      </c>
      <c r="K83" s="40">
        <f t="shared" si="82"/>
        <v>2872.927708424927</v>
      </c>
      <c r="L83" s="40">
        <f t="shared" si="82"/>
        <v>2992.1777777777775</v>
      </c>
      <c r="M83" s="40">
        <f t="shared" si="82"/>
        <v>3329.9300932929782</v>
      </c>
      <c r="N83" s="40">
        <f t="shared" si="82"/>
        <v>3765.6716417910452</v>
      </c>
      <c r="O83" s="40">
        <f t="shared" si="82"/>
        <v>3247.9407529276727</v>
      </c>
      <c r="P83" s="40">
        <f t="shared" si="82"/>
        <v>2744.2048842939216</v>
      </c>
      <c r="Q83" s="40">
        <f t="shared" si="82"/>
        <v>2130.8835742555852</v>
      </c>
      <c r="R83" s="40">
        <f t="shared" si="82"/>
        <v>1587.9048483667173</v>
      </c>
      <c r="S83" s="40">
        <f t="shared" si="82"/>
        <v>950.08975096942379</v>
      </c>
      <c r="T83" s="40">
        <f t="shared" si="82"/>
        <v>452.22461538461539</v>
      </c>
      <c r="U83" s="40">
        <f t="shared" si="82"/>
        <v>555.73255813953483</v>
      </c>
      <c r="V83" s="40">
        <f t="shared" si="82"/>
        <v>633.04669260700393</v>
      </c>
      <c r="W83" s="40">
        <f t="shared" ref="W83:Y83" si="83">IF(W21=0,0,W21*1000000/W31)</f>
        <v>716.15289256198344</v>
      </c>
      <c r="X83" s="40">
        <f t="shared" si="83"/>
        <v>876.39901477832518</v>
      </c>
      <c r="Y83" s="40">
        <f t="shared" si="83"/>
        <v>1013.7586956521737</v>
      </c>
      <c r="DA83" s="197" t="s">
        <v>258</v>
      </c>
    </row>
    <row r="84" spans="1:105" x14ac:dyDescent="0.25">
      <c r="A84" s="50"/>
      <c r="B84" s="50"/>
      <c r="C84" s="5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DA84" s="181"/>
    </row>
    <row r="85" spans="1:105" ht="11.45" customHeight="1" x14ac:dyDescent="0.25">
      <c r="A85" s="53" t="s">
        <v>86</v>
      </c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DA85" s="172"/>
    </row>
    <row r="86" spans="1:105" ht="11.45" customHeight="1" x14ac:dyDescent="0.25">
      <c r="A86" s="10" t="s">
        <v>87</v>
      </c>
      <c r="B86" s="11">
        <f t="shared" ref="B86:C93" si="84">IF(B4=0,0,B4*1000000/B24)</f>
        <v>93202.518501046157</v>
      </c>
      <c r="C86" s="11">
        <f t="shared" si="84"/>
        <v>100089.15772624299</v>
      </c>
      <c r="D86" s="11">
        <f t="shared" ref="D86:V86" si="85">IF(D4=0,0,D4*1000000/D24)</f>
        <v>102523.55982599981</v>
      </c>
      <c r="E86" s="11">
        <f t="shared" si="85"/>
        <v>103494.31795271741</v>
      </c>
      <c r="F86" s="11">
        <f t="shared" si="85"/>
        <v>86835.00606745416</v>
      </c>
      <c r="G86" s="11">
        <f t="shared" si="85"/>
        <v>89205.788589055839</v>
      </c>
      <c r="H86" s="11">
        <f t="shared" si="85"/>
        <v>88476.195353044648</v>
      </c>
      <c r="I86" s="11">
        <f t="shared" si="85"/>
        <v>92526.051694111404</v>
      </c>
      <c r="J86" s="11">
        <f t="shared" si="85"/>
        <v>95536.542465435763</v>
      </c>
      <c r="K86" s="11">
        <f t="shared" si="85"/>
        <v>93595.990303579587</v>
      </c>
      <c r="L86" s="11">
        <f t="shared" si="85"/>
        <v>99804.173162006278</v>
      </c>
      <c r="M86" s="11">
        <f t="shared" si="85"/>
        <v>108206.92419894575</v>
      </c>
      <c r="N86" s="11">
        <f t="shared" si="85"/>
        <v>116846.94375431076</v>
      </c>
      <c r="O86" s="11">
        <f t="shared" si="85"/>
        <v>129418.29564291815</v>
      </c>
      <c r="P86" s="11">
        <f t="shared" si="85"/>
        <v>141170.34179997639</v>
      </c>
      <c r="Q86" s="11">
        <f t="shared" si="85"/>
        <v>150446.47932822886</v>
      </c>
      <c r="R86" s="11">
        <f t="shared" si="85"/>
        <v>156736.29066794456</v>
      </c>
      <c r="S86" s="11">
        <f t="shared" si="85"/>
        <v>165123.47597829925</v>
      </c>
      <c r="T86" s="11">
        <f t="shared" si="85"/>
        <v>174140.77097960195</v>
      </c>
      <c r="U86" s="11">
        <f t="shared" si="85"/>
        <v>186548.28913811164</v>
      </c>
      <c r="V86" s="11">
        <f t="shared" si="85"/>
        <v>151135.66754101359</v>
      </c>
      <c r="W86" s="11">
        <f t="shared" ref="W86:Y86" si="86">IF(W4=0,0,W4*1000000/W24)</f>
        <v>157372.08262148907</v>
      </c>
      <c r="X86" s="11">
        <f t="shared" si="86"/>
        <v>203650.27634650646</v>
      </c>
      <c r="Y86" s="11">
        <f t="shared" si="86"/>
        <v>215003.29053503665</v>
      </c>
      <c r="DA86" s="189" t="s">
        <v>259</v>
      </c>
    </row>
    <row r="87" spans="1:105" ht="11.45" customHeight="1" x14ac:dyDescent="0.25">
      <c r="A87" s="37" t="s">
        <v>27</v>
      </c>
      <c r="B87" s="36">
        <f t="shared" si="84"/>
        <v>13383.297135768469</v>
      </c>
      <c r="C87" s="36">
        <f t="shared" si="84"/>
        <v>13423.883452304606</v>
      </c>
      <c r="D87" s="36">
        <f t="shared" ref="D87:V87" si="87">IF(D5=0,0,D5*1000000/D25)</f>
        <v>13515.897570182875</v>
      </c>
      <c r="E87" s="36">
        <f t="shared" si="87"/>
        <v>13616.178083091887</v>
      </c>
      <c r="F87" s="36">
        <f t="shared" si="87"/>
        <v>13725.387966866992</v>
      </c>
      <c r="G87" s="36">
        <f t="shared" si="87"/>
        <v>13595.28067670048</v>
      </c>
      <c r="H87" s="36">
        <f t="shared" si="87"/>
        <v>13627.913148069265</v>
      </c>
      <c r="I87" s="36">
        <f t="shared" si="87"/>
        <v>14208.462546295174</v>
      </c>
      <c r="J87" s="36">
        <f t="shared" si="87"/>
        <v>15990.718301337238</v>
      </c>
      <c r="K87" s="36">
        <f t="shared" si="87"/>
        <v>14020.068414931935</v>
      </c>
      <c r="L87" s="36">
        <f t="shared" si="87"/>
        <v>15333.640968780128</v>
      </c>
      <c r="M87" s="36">
        <f t="shared" si="87"/>
        <v>17004.562097729755</v>
      </c>
      <c r="N87" s="36">
        <f t="shared" si="87"/>
        <v>17599.732879095522</v>
      </c>
      <c r="O87" s="36">
        <f t="shared" si="87"/>
        <v>17084.476339638233</v>
      </c>
      <c r="P87" s="36">
        <f t="shared" si="87"/>
        <v>17014.178955494335</v>
      </c>
      <c r="Q87" s="36">
        <f t="shared" si="87"/>
        <v>18009.093178799976</v>
      </c>
      <c r="R87" s="36">
        <f t="shared" si="87"/>
        <v>23352.233397642733</v>
      </c>
      <c r="S87" s="36">
        <f t="shared" si="87"/>
        <v>30200.880007236268</v>
      </c>
      <c r="T87" s="36">
        <f t="shared" si="87"/>
        <v>30031.549502246071</v>
      </c>
      <c r="U87" s="36">
        <f t="shared" si="87"/>
        <v>30186.272833728839</v>
      </c>
      <c r="V87" s="36">
        <f t="shared" si="87"/>
        <v>21787.220066250746</v>
      </c>
      <c r="W87" s="36">
        <f t="shared" ref="W87:Y87" si="88">IF(W5=0,0,W5*1000000/W25)</f>
        <v>26522.23037478004</v>
      </c>
      <c r="X87" s="36">
        <f t="shared" si="88"/>
        <v>29720.421739652444</v>
      </c>
      <c r="Y87" s="36">
        <f t="shared" si="88"/>
        <v>27184.339778773068</v>
      </c>
      <c r="DA87" s="198" t="s">
        <v>260</v>
      </c>
    </row>
    <row r="88" spans="1:105" ht="11.45" customHeight="1" x14ac:dyDescent="0.25">
      <c r="A88" s="37" t="s">
        <v>181</v>
      </c>
      <c r="B88" s="36">
        <f t="shared" si="84"/>
        <v>111871.8483992001</v>
      </c>
      <c r="C88" s="36">
        <f t="shared" si="84"/>
        <v>113838.3105713097</v>
      </c>
      <c r="D88" s="36">
        <f t="shared" ref="D88:V88" si="89">IF(D6=0,0,D6*1000000/D26)</f>
        <v>114811.43568974586</v>
      </c>
      <c r="E88" s="36">
        <f t="shared" si="89"/>
        <v>114587.87434785182</v>
      </c>
      <c r="F88" s="36">
        <f t="shared" si="89"/>
        <v>113972.33073863699</v>
      </c>
      <c r="G88" s="36">
        <f t="shared" si="89"/>
        <v>116469.18169055985</v>
      </c>
      <c r="H88" s="36">
        <f t="shared" si="89"/>
        <v>112761.31560436518</v>
      </c>
      <c r="I88" s="36">
        <f t="shared" si="89"/>
        <v>113833.42179475991</v>
      </c>
      <c r="J88" s="36">
        <f t="shared" si="89"/>
        <v>118013.90872788246</v>
      </c>
      <c r="K88" s="36">
        <f t="shared" si="89"/>
        <v>117910.90407363728</v>
      </c>
      <c r="L88" s="36">
        <f t="shared" si="89"/>
        <v>128519.67016477135</v>
      </c>
      <c r="M88" s="36">
        <f t="shared" si="89"/>
        <v>140668.80277472641</v>
      </c>
      <c r="N88" s="36">
        <f t="shared" si="89"/>
        <v>152319.57452813702</v>
      </c>
      <c r="O88" s="36">
        <f t="shared" si="89"/>
        <v>165172.85979311078</v>
      </c>
      <c r="P88" s="36">
        <f t="shared" si="89"/>
        <v>171794.98848362482</v>
      </c>
      <c r="Q88" s="36">
        <f t="shared" si="89"/>
        <v>178863.34373675866</v>
      </c>
      <c r="R88" s="36">
        <f t="shared" si="89"/>
        <v>190938.41288266619</v>
      </c>
      <c r="S88" s="36">
        <f t="shared" si="89"/>
        <v>204045.74073690633</v>
      </c>
      <c r="T88" s="36">
        <f t="shared" si="89"/>
        <v>211010.43025072129</v>
      </c>
      <c r="U88" s="36">
        <f t="shared" si="89"/>
        <v>222193.97559975125</v>
      </c>
      <c r="V88" s="36">
        <f t="shared" si="89"/>
        <v>184198.89624002235</v>
      </c>
      <c r="W88" s="36">
        <f t="shared" ref="W88:Y88" si="90">IF(W6=0,0,W6*1000000/W26)</f>
        <v>184843.00217911345</v>
      </c>
      <c r="X88" s="36">
        <f t="shared" si="90"/>
        <v>237807.96051785321</v>
      </c>
      <c r="Y88" s="36">
        <f t="shared" si="90"/>
        <v>247436.78928951742</v>
      </c>
      <c r="DA88" s="198" t="s">
        <v>261</v>
      </c>
    </row>
    <row r="89" spans="1:105" ht="11.45" customHeight="1" x14ac:dyDescent="0.25">
      <c r="A89" s="37" t="s">
        <v>182</v>
      </c>
      <c r="B89" s="36">
        <f t="shared" si="84"/>
        <v>81462.316836822036</v>
      </c>
      <c r="C89" s="36">
        <f t="shared" si="84"/>
        <v>82283.265823468653</v>
      </c>
      <c r="D89" s="36">
        <f t="shared" ref="D89:V89" si="91">IF(D7=0,0,D7*1000000/D27)</f>
        <v>82634.650774609545</v>
      </c>
      <c r="E89" s="36">
        <f t="shared" si="91"/>
        <v>83119.040902120105</v>
      </c>
      <c r="F89" s="36">
        <f t="shared" si="91"/>
        <v>84167.83399909774</v>
      </c>
      <c r="G89" s="36">
        <f t="shared" si="91"/>
        <v>80688.146906963477</v>
      </c>
      <c r="H89" s="36">
        <f t="shared" si="91"/>
        <v>83450.464723028941</v>
      </c>
      <c r="I89" s="36">
        <f t="shared" si="91"/>
        <v>97978.896170892753</v>
      </c>
      <c r="J89" s="36">
        <f t="shared" si="91"/>
        <v>98258.9003594924</v>
      </c>
      <c r="K89" s="36">
        <f t="shared" si="91"/>
        <v>91376.920910025627</v>
      </c>
      <c r="L89" s="36">
        <f t="shared" si="91"/>
        <v>100575.01069336652</v>
      </c>
      <c r="M89" s="36">
        <f t="shared" si="91"/>
        <v>84592.625588008377</v>
      </c>
      <c r="N89" s="36">
        <f t="shared" si="91"/>
        <v>89319.625967252883</v>
      </c>
      <c r="O89" s="36">
        <f t="shared" si="91"/>
        <v>114811.16146301509</v>
      </c>
      <c r="P89" s="36">
        <f t="shared" si="91"/>
        <v>147932.30318051894</v>
      </c>
      <c r="Q89" s="36">
        <f t="shared" si="91"/>
        <v>161953.02066989627</v>
      </c>
      <c r="R89" s="36">
        <f t="shared" si="91"/>
        <v>169783.14204008685</v>
      </c>
      <c r="S89" s="36">
        <f t="shared" si="91"/>
        <v>170227.10408330784</v>
      </c>
      <c r="T89" s="36">
        <f t="shared" si="91"/>
        <v>196060.82316976765</v>
      </c>
      <c r="U89" s="36">
        <f t="shared" si="91"/>
        <v>214338.48082551343</v>
      </c>
      <c r="V89" s="36">
        <f t="shared" si="91"/>
        <v>183404.75463127784</v>
      </c>
      <c r="W89" s="36">
        <f t="shared" ref="W89:Y89" si="92">IF(W7=0,0,W7*1000000/W27)</f>
        <v>178694.00881169864</v>
      </c>
      <c r="X89" s="36">
        <f t="shared" si="92"/>
        <v>226983.04673167277</v>
      </c>
      <c r="Y89" s="36">
        <f t="shared" si="92"/>
        <v>240312.01081196129</v>
      </c>
      <c r="DA89" s="198" t="s">
        <v>262</v>
      </c>
    </row>
    <row r="90" spans="1:105" ht="11.45" customHeight="1" x14ac:dyDescent="0.25">
      <c r="A90" s="12" t="s">
        <v>88</v>
      </c>
      <c r="B90" s="13">
        <f t="shared" si="84"/>
        <v>26530.41384765504</v>
      </c>
      <c r="C90" s="13">
        <f t="shared" si="84"/>
        <v>29464.561825180303</v>
      </c>
      <c r="D90" s="13">
        <f t="shared" ref="D90:V90" si="93">IF(D8=0,0,D8*1000000/D28)</f>
        <v>29147.010939401382</v>
      </c>
      <c r="E90" s="13">
        <f t="shared" si="93"/>
        <v>29183.473079568088</v>
      </c>
      <c r="F90" s="13">
        <f t="shared" si="93"/>
        <v>25862.133889061603</v>
      </c>
      <c r="G90" s="13">
        <f t="shared" si="93"/>
        <v>19923.086574520239</v>
      </c>
      <c r="H90" s="13">
        <f t="shared" si="93"/>
        <v>16078.561684413045</v>
      </c>
      <c r="I90" s="13">
        <f t="shared" si="93"/>
        <v>20500.879661683848</v>
      </c>
      <c r="J90" s="13">
        <f t="shared" si="93"/>
        <v>22497.530324015308</v>
      </c>
      <c r="K90" s="13">
        <f t="shared" si="93"/>
        <v>21403.368222610494</v>
      </c>
      <c r="L90" s="13">
        <f t="shared" si="93"/>
        <v>22940.121228008273</v>
      </c>
      <c r="M90" s="13">
        <f t="shared" si="93"/>
        <v>31464.892340038892</v>
      </c>
      <c r="N90" s="13">
        <f t="shared" si="93"/>
        <v>47383.196211984621</v>
      </c>
      <c r="O90" s="13">
        <f t="shared" si="93"/>
        <v>48552.411263746355</v>
      </c>
      <c r="P90" s="13">
        <f t="shared" si="93"/>
        <v>43478.373714468675</v>
      </c>
      <c r="Q90" s="13">
        <f t="shared" si="93"/>
        <v>37643.279282056814</v>
      </c>
      <c r="R90" s="13">
        <f t="shared" si="93"/>
        <v>38316.172683600147</v>
      </c>
      <c r="S90" s="13">
        <f t="shared" si="93"/>
        <v>33060.593543795381</v>
      </c>
      <c r="T90" s="13">
        <f t="shared" si="93"/>
        <v>28395.669329474007</v>
      </c>
      <c r="U90" s="13">
        <f t="shared" si="93"/>
        <v>31429.384503164227</v>
      </c>
      <c r="V90" s="13">
        <f t="shared" si="93"/>
        <v>23846.755740171455</v>
      </c>
      <c r="W90" s="13">
        <f t="shared" ref="W90:Y90" si="94">IF(W8=0,0,W8*1000000/W28)</f>
        <v>23660.063287636796</v>
      </c>
      <c r="X90" s="13">
        <f t="shared" si="94"/>
        <v>25994.545451718743</v>
      </c>
      <c r="Y90" s="13">
        <f t="shared" si="94"/>
        <v>24776.01704577358</v>
      </c>
      <c r="DA90" s="193" t="s">
        <v>263</v>
      </c>
    </row>
    <row r="91" spans="1:105" ht="11.45" customHeight="1" x14ac:dyDescent="0.25">
      <c r="A91" s="42" t="s">
        <v>27</v>
      </c>
      <c r="B91" s="34">
        <f t="shared" si="84"/>
        <v>3118.5414043150204</v>
      </c>
      <c r="C91" s="34">
        <f t="shared" si="84"/>
        <v>3094.7586077222368</v>
      </c>
      <c r="D91" s="34">
        <f t="shared" ref="D91:V91" si="95">IF(D9=0,0,D9*1000000/D29)</f>
        <v>3182.4269896040823</v>
      </c>
      <c r="E91" s="34">
        <f t="shared" si="95"/>
        <v>3385.1253610756739</v>
      </c>
      <c r="F91" s="34">
        <f t="shared" si="95"/>
        <v>3187.6142637833409</v>
      </c>
      <c r="G91" s="34">
        <f t="shared" si="95"/>
        <v>3061.2484356140458</v>
      </c>
      <c r="H91" s="34">
        <f t="shared" si="95"/>
        <v>2640.2524522640679</v>
      </c>
      <c r="I91" s="34">
        <f t="shared" si="95"/>
        <v>2418.1807931936887</v>
      </c>
      <c r="J91" s="34">
        <f t="shared" si="95"/>
        <v>2179.6722067570331</v>
      </c>
      <c r="K91" s="34">
        <f t="shared" si="95"/>
        <v>2017.537096931713</v>
      </c>
      <c r="L91" s="34">
        <f t="shared" si="95"/>
        <v>1910.1381279534223</v>
      </c>
      <c r="M91" s="34">
        <f t="shared" si="95"/>
        <v>2694.1696732783694</v>
      </c>
      <c r="N91" s="34">
        <f t="shared" si="95"/>
        <v>3380.3342636351326</v>
      </c>
      <c r="O91" s="34">
        <f t="shared" si="95"/>
        <v>3367.1486405565897</v>
      </c>
      <c r="P91" s="34">
        <f t="shared" si="95"/>
        <v>3914.9776269279487</v>
      </c>
      <c r="Q91" s="34">
        <f t="shared" si="95"/>
        <v>4181.8264727593196</v>
      </c>
      <c r="R91" s="34">
        <f t="shared" si="95"/>
        <v>5008.6974802719014</v>
      </c>
      <c r="S91" s="34">
        <f t="shared" si="95"/>
        <v>4802.2653354398562</v>
      </c>
      <c r="T91" s="34">
        <f t="shared" si="95"/>
        <v>5068.9321548633216</v>
      </c>
      <c r="U91" s="34">
        <f t="shared" si="95"/>
        <v>5467.1355689744614</v>
      </c>
      <c r="V91" s="34">
        <f t="shared" si="95"/>
        <v>4014.1462965086071</v>
      </c>
      <c r="W91" s="34">
        <f t="shared" ref="W91:Y91" si="96">IF(W9=0,0,W9*1000000/W29)</f>
        <v>3693.9403270538182</v>
      </c>
      <c r="X91" s="34">
        <f t="shared" si="96"/>
        <v>4271.7190471447939</v>
      </c>
      <c r="Y91" s="34">
        <f t="shared" si="96"/>
        <v>4299.1082260568337</v>
      </c>
      <c r="DA91" s="196" t="s">
        <v>264</v>
      </c>
    </row>
    <row r="92" spans="1:105" ht="11.45" customHeight="1" x14ac:dyDescent="0.25">
      <c r="A92" s="42" t="s">
        <v>181</v>
      </c>
      <c r="B92" s="34">
        <f t="shared" si="84"/>
        <v>16864.44500478201</v>
      </c>
      <c r="C92" s="34">
        <f t="shared" si="84"/>
        <v>17881.797848867271</v>
      </c>
      <c r="D92" s="34">
        <f t="shared" ref="D92:V92" si="97">IF(D10=0,0,D10*1000000/D30)</f>
        <v>16845.963653830779</v>
      </c>
      <c r="E92" s="34">
        <f t="shared" si="97"/>
        <v>17162.726140685398</v>
      </c>
      <c r="F92" s="34">
        <f t="shared" si="97"/>
        <v>15488.012938376425</v>
      </c>
      <c r="G92" s="34">
        <f t="shared" si="97"/>
        <v>15396.981833394728</v>
      </c>
      <c r="H92" s="34">
        <f t="shared" si="97"/>
        <v>12792.275778097042</v>
      </c>
      <c r="I92" s="34">
        <f t="shared" si="97"/>
        <v>13985.40030535521</v>
      </c>
      <c r="J92" s="34">
        <f t="shared" si="97"/>
        <v>14589.563045133236</v>
      </c>
      <c r="K92" s="34">
        <f t="shared" si="97"/>
        <v>16069.131152202131</v>
      </c>
      <c r="L92" s="34">
        <f t="shared" si="97"/>
        <v>17106.940306632161</v>
      </c>
      <c r="M92" s="34">
        <f t="shared" si="97"/>
        <v>19527.703173215701</v>
      </c>
      <c r="N92" s="34">
        <f t="shared" si="97"/>
        <v>22093.97704269526</v>
      </c>
      <c r="O92" s="34">
        <f t="shared" si="97"/>
        <v>22564.632963567401</v>
      </c>
      <c r="P92" s="34">
        <f t="shared" si="97"/>
        <v>26304.13171034904</v>
      </c>
      <c r="Q92" s="34">
        <f t="shared" si="97"/>
        <v>25863.471176373543</v>
      </c>
      <c r="R92" s="34">
        <f t="shared" si="97"/>
        <v>28408.961530058226</v>
      </c>
      <c r="S92" s="34">
        <f t="shared" si="97"/>
        <v>26924.797151925784</v>
      </c>
      <c r="T92" s="34">
        <f t="shared" si="97"/>
        <v>27219.702956585708</v>
      </c>
      <c r="U92" s="34">
        <f t="shared" si="97"/>
        <v>27357.846099118218</v>
      </c>
      <c r="V92" s="34">
        <f t="shared" si="97"/>
        <v>22555.302005220859</v>
      </c>
      <c r="W92" s="34">
        <f t="shared" ref="W92:Y92" si="98">IF(W10=0,0,W10*1000000/W30)</f>
        <v>22214.699574079001</v>
      </c>
      <c r="X92" s="34">
        <f t="shared" si="98"/>
        <v>22967.671084100606</v>
      </c>
      <c r="Y92" s="34">
        <f t="shared" si="98"/>
        <v>21804.047065657553</v>
      </c>
      <c r="DA92" s="196" t="s">
        <v>265</v>
      </c>
    </row>
    <row r="93" spans="1:105" ht="11.45" customHeight="1" x14ac:dyDescent="0.25">
      <c r="A93" s="38" t="s">
        <v>182</v>
      </c>
      <c r="B93" s="35">
        <f t="shared" si="84"/>
        <v>168068.01099224878</v>
      </c>
      <c r="C93" s="35">
        <f t="shared" si="84"/>
        <v>176121.92630954145</v>
      </c>
      <c r="D93" s="35">
        <f t="shared" ref="D93:V93" si="99">IF(D11=0,0,D11*1000000/D31)</f>
        <v>166290.58377317415</v>
      </c>
      <c r="E93" s="35">
        <f t="shared" si="99"/>
        <v>151096.12413733595</v>
      </c>
      <c r="F93" s="35">
        <f t="shared" si="99"/>
        <v>146650.52581850649</v>
      </c>
      <c r="G93" s="35">
        <f t="shared" si="99"/>
        <v>133010.47097061176</v>
      </c>
      <c r="H93" s="35">
        <f t="shared" si="99"/>
        <v>137752.4716255785</v>
      </c>
      <c r="I93" s="35">
        <f t="shared" si="99"/>
        <v>153703.1079908981</v>
      </c>
      <c r="J93" s="35">
        <f t="shared" si="99"/>
        <v>161580.12096513351</v>
      </c>
      <c r="K93" s="35">
        <f t="shared" si="99"/>
        <v>186290.35979276709</v>
      </c>
      <c r="L93" s="35">
        <f t="shared" si="99"/>
        <v>197240.96951135533</v>
      </c>
      <c r="M93" s="35">
        <f t="shared" si="99"/>
        <v>228257.15599939044</v>
      </c>
      <c r="N93" s="35">
        <f t="shared" si="99"/>
        <v>286357.23807200335</v>
      </c>
      <c r="O93" s="35">
        <f t="shared" si="99"/>
        <v>254079.41503638471</v>
      </c>
      <c r="P93" s="35">
        <f t="shared" si="99"/>
        <v>250705.48731495297</v>
      </c>
      <c r="Q93" s="35">
        <f t="shared" si="99"/>
        <v>188248.40915443233</v>
      </c>
      <c r="R93" s="35">
        <f t="shared" si="99"/>
        <v>155662.18389765569</v>
      </c>
      <c r="S93" s="35">
        <f t="shared" si="99"/>
        <v>92658.392979960292</v>
      </c>
      <c r="T93" s="35">
        <f t="shared" si="99"/>
        <v>43671.713569894906</v>
      </c>
      <c r="U93" s="35">
        <f t="shared" si="99"/>
        <v>57314.60887764387</v>
      </c>
      <c r="V93" s="35">
        <f t="shared" si="99"/>
        <v>38182.2048581567</v>
      </c>
      <c r="W93" s="35">
        <f t="shared" ref="W93:Y93" si="100">IF(W11=0,0,W11*1000000/W31)</f>
        <v>44047.323825642008</v>
      </c>
      <c r="X93" s="35">
        <f t="shared" si="100"/>
        <v>64314.444861320371</v>
      </c>
      <c r="Y93" s="35">
        <f t="shared" si="100"/>
        <v>82157.068988507774</v>
      </c>
      <c r="DA93" s="197" t="s">
        <v>266</v>
      </c>
    </row>
    <row r="94" spans="1:105" x14ac:dyDescent="0.25">
      <c r="A94" s="50"/>
      <c r="B94" s="50"/>
      <c r="C94" s="5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DA94" s="181"/>
    </row>
    <row r="95" spans="1:105" ht="11.45" customHeight="1" x14ac:dyDescent="0.25">
      <c r="A95" s="53" t="s">
        <v>89</v>
      </c>
      <c r="B95" s="62">
        <f t="shared" ref="B95:C95" si="101">IF(B23=0,0,B23/B43)</f>
        <v>1301.116233485265</v>
      </c>
      <c r="C95" s="62">
        <f t="shared" si="101"/>
        <v>1214.0069632566576</v>
      </c>
      <c r="D95" s="62">
        <f t="shared" ref="D95:V95" si="102">IF(D23=0,0,D23/D43)</f>
        <v>1148.3487016826002</v>
      </c>
      <c r="E95" s="62">
        <f t="shared" si="102"/>
        <v>1208.4023881626381</v>
      </c>
      <c r="F95" s="62">
        <f t="shared" si="102"/>
        <v>1363.2951071923978</v>
      </c>
      <c r="G95" s="62">
        <f t="shared" si="102"/>
        <v>1361.6246363314274</v>
      </c>
      <c r="H95" s="62">
        <f t="shared" si="102"/>
        <v>1355.1743533573663</v>
      </c>
      <c r="I95" s="62">
        <f t="shared" si="102"/>
        <v>1305.5649577582537</v>
      </c>
      <c r="J95" s="62">
        <f t="shared" si="102"/>
        <v>1285.1889116225209</v>
      </c>
      <c r="K95" s="62">
        <f t="shared" si="102"/>
        <v>1275.8509524153098</v>
      </c>
      <c r="L95" s="62">
        <f t="shared" si="102"/>
        <v>1298.4258946926013</v>
      </c>
      <c r="M95" s="62">
        <f t="shared" si="102"/>
        <v>1292.866888695954</v>
      </c>
      <c r="N95" s="62">
        <f t="shared" si="102"/>
        <v>1206.592355593353</v>
      </c>
      <c r="O95" s="62">
        <f t="shared" si="102"/>
        <v>1204.7366889942791</v>
      </c>
      <c r="P95" s="62">
        <f t="shared" si="102"/>
        <v>1202.4403461124516</v>
      </c>
      <c r="Q95" s="62">
        <f t="shared" si="102"/>
        <v>1193.6094514845961</v>
      </c>
      <c r="R95" s="62">
        <f t="shared" si="102"/>
        <v>1219.8215675430861</v>
      </c>
      <c r="S95" s="62">
        <f t="shared" si="102"/>
        <v>1221.2920199852431</v>
      </c>
      <c r="T95" s="62">
        <f t="shared" si="102"/>
        <v>1197.1721570665661</v>
      </c>
      <c r="U95" s="62">
        <f t="shared" si="102"/>
        <v>1178.2522983539636</v>
      </c>
      <c r="V95" s="62">
        <f t="shared" si="102"/>
        <v>476.59203471414577</v>
      </c>
      <c r="W95" s="62">
        <f t="shared" ref="W95:Y95" si="103">IF(W23=0,0,W23/W43)</f>
        <v>711.04089005127298</v>
      </c>
      <c r="X95" s="62">
        <f t="shared" si="103"/>
        <v>1023.4714194693115</v>
      </c>
      <c r="Y95" s="62">
        <f t="shared" si="103"/>
        <v>1121.0800458499953</v>
      </c>
      <c r="DA95" s="172" t="s">
        <v>267</v>
      </c>
    </row>
    <row r="96" spans="1:105" ht="11.45" customHeight="1" x14ac:dyDescent="0.25">
      <c r="A96" s="10" t="s">
        <v>33</v>
      </c>
      <c r="B96" s="11">
        <f t="shared" ref="B96:C103" si="104">IF(B24=0,0,B24/B44)</f>
        <v>1304.5325629739905</v>
      </c>
      <c r="C96" s="11">
        <f t="shared" si="104"/>
        <v>1217.0741673001769</v>
      </c>
      <c r="D96" s="11">
        <f t="shared" ref="D96:V96" si="105">IF(D24=0,0,D24/D44)</f>
        <v>1149.6190395560754</v>
      </c>
      <c r="E96" s="11">
        <f t="shared" si="105"/>
        <v>1210.2330181736645</v>
      </c>
      <c r="F96" s="11">
        <f t="shared" si="105"/>
        <v>1367.1060786209566</v>
      </c>
      <c r="G96" s="11">
        <f t="shared" si="105"/>
        <v>1365.6159196011313</v>
      </c>
      <c r="H96" s="11">
        <f t="shared" si="105"/>
        <v>1358.3772449150645</v>
      </c>
      <c r="I96" s="11">
        <f t="shared" si="105"/>
        <v>1307.4529463910026</v>
      </c>
      <c r="J96" s="11">
        <f t="shared" si="105"/>
        <v>1287.611042039428</v>
      </c>
      <c r="K96" s="11">
        <f t="shared" si="105"/>
        <v>1278.5658422715478</v>
      </c>
      <c r="L96" s="11">
        <f t="shared" si="105"/>
        <v>1301.53495684225</v>
      </c>
      <c r="M96" s="11">
        <f t="shared" si="105"/>
        <v>1296.8309106025874</v>
      </c>
      <c r="N96" s="11">
        <f t="shared" si="105"/>
        <v>1210.9223448902078</v>
      </c>
      <c r="O96" s="11">
        <f t="shared" si="105"/>
        <v>1209.2427034006278</v>
      </c>
      <c r="P96" s="11">
        <f t="shared" si="105"/>
        <v>1206.9658027258345</v>
      </c>
      <c r="Q96" s="11">
        <f t="shared" si="105"/>
        <v>1197.7239611215307</v>
      </c>
      <c r="R96" s="11">
        <f t="shared" si="105"/>
        <v>1223.4914952665049</v>
      </c>
      <c r="S96" s="11">
        <f t="shared" si="105"/>
        <v>1224.3656075364688</v>
      </c>
      <c r="T96" s="11">
        <f t="shared" si="105"/>
        <v>1199.6419715729687</v>
      </c>
      <c r="U96" s="11">
        <f t="shared" si="105"/>
        <v>1182.6308282106988</v>
      </c>
      <c r="V96" s="11">
        <f t="shared" si="105"/>
        <v>473.29776572867218</v>
      </c>
      <c r="W96" s="11">
        <f t="shared" ref="W96:Y96" si="106">IF(W24=0,0,W24/W44)</f>
        <v>709.50107964710196</v>
      </c>
      <c r="X96" s="11">
        <f t="shared" si="106"/>
        <v>1023.3816439601009</v>
      </c>
      <c r="Y96" s="11">
        <f t="shared" si="106"/>
        <v>1122.2968246356897</v>
      </c>
      <c r="DA96" s="189" t="s">
        <v>268</v>
      </c>
    </row>
    <row r="97" spans="1:105" ht="11.45" customHeight="1" x14ac:dyDescent="0.25">
      <c r="A97" s="37" t="s">
        <v>27</v>
      </c>
      <c r="B97" s="36">
        <f t="shared" si="104"/>
        <v>2365</v>
      </c>
      <c r="C97" s="36">
        <f t="shared" si="104"/>
        <v>1315.3471451473672</v>
      </c>
      <c r="D97" s="36">
        <f t="shared" ref="D97:V97" si="107">IF(D25=0,0,D25/D45)</f>
        <v>987.60405105438394</v>
      </c>
      <c r="E97" s="36">
        <f t="shared" si="107"/>
        <v>1129.6277945140318</v>
      </c>
      <c r="F97" s="36">
        <f t="shared" si="107"/>
        <v>2365</v>
      </c>
      <c r="G97" s="36">
        <f t="shared" si="107"/>
        <v>2376</v>
      </c>
      <c r="H97" s="36">
        <f t="shared" si="107"/>
        <v>2380</v>
      </c>
      <c r="I97" s="36">
        <f t="shared" si="107"/>
        <v>2367</v>
      </c>
      <c r="J97" s="36">
        <f t="shared" si="107"/>
        <v>2342</v>
      </c>
      <c r="K97" s="36">
        <f t="shared" si="107"/>
        <v>2324</v>
      </c>
      <c r="L97" s="36">
        <f t="shared" si="107"/>
        <v>2317</v>
      </c>
      <c r="M97" s="36">
        <f t="shared" si="107"/>
        <v>2208.7070126173612</v>
      </c>
      <c r="N97" s="36">
        <f t="shared" si="107"/>
        <v>1987.1324201426241</v>
      </c>
      <c r="O97" s="36">
        <f t="shared" si="107"/>
        <v>1981.2182017884322</v>
      </c>
      <c r="P97" s="36">
        <f t="shared" si="107"/>
        <v>1852.0136599609637</v>
      </c>
      <c r="Q97" s="36">
        <f t="shared" si="107"/>
        <v>1880.7308365238257</v>
      </c>
      <c r="R97" s="36">
        <f t="shared" si="107"/>
        <v>2300</v>
      </c>
      <c r="S97" s="36">
        <f t="shared" si="107"/>
        <v>2294</v>
      </c>
      <c r="T97" s="36">
        <f t="shared" si="107"/>
        <v>2292</v>
      </c>
      <c r="U97" s="36">
        <f t="shared" si="107"/>
        <v>2249.5699659212692</v>
      </c>
      <c r="V97" s="36">
        <f t="shared" si="107"/>
        <v>1015.2636525110939</v>
      </c>
      <c r="W97" s="36">
        <f t="shared" ref="W97:Y97" si="108">IF(W25=0,0,W25/W45)</f>
        <v>1255.0708772383866</v>
      </c>
      <c r="X97" s="36">
        <f t="shared" si="108"/>
        <v>1696.1946464602765</v>
      </c>
      <c r="Y97" s="36">
        <f t="shared" si="108"/>
        <v>1724.1981146945745</v>
      </c>
      <c r="DA97" s="198" t="s">
        <v>269</v>
      </c>
    </row>
    <row r="98" spans="1:105" ht="11.45" customHeight="1" x14ac:dyDescent="0.25">
      <c r="A98" s="37" t="s">
        <v>181</v>
      </c>
      <c r="B98" s="36">
        <f t="shared" si="104"/>
        <v>1274.29161956449</v>
      </c>
      <c r="C98" s="36">
        <f t="shared" si="104"/>
        <v>1267.4334452385287</v>
      </c>
      <c r="D98" s="36">
        <f t="shared" ref="D98:V98" si="109">IF(D26=0,0,D26/D46)</f>
        <v>1219.6685491621972</v>
      </c>
      <c r="E98" s="36">
        <f t="shared" si="109"/>
        <v>1274.2637909682921</v>
      </c>
      <c r="F98" s="36">
        <f t="shared" si="109"/>
        <v>1274.2369684526141</v>
      </c>
      <c r="G98" s="36">
        <f t="shared" si="109"/>
        <v>1264.2062614409174</v>
      </c>
      <c r="H98" s="36">
        <f t="shared" si="109"/>
        <v>1267.573625809684</v>
      </c>
      <c r="I98" s="36">
        <f t="shared" si="109"/>
        <v>1237.4705469404444</v>
      </c>
      <c r="J98" s="36">
        <f t="shared" si="109"/>
        <v>1217.0885527484691</v>
      </c>
      <c r="K98" s="36">
        <f t="shared" si="109"/>
        <v>1204.9249629256533</v>
      </c>
      <c r="L98" s="36">
        <f t="shared" si="109"/>
        <v>1198.1048939803575</v>
      </c>
      <c r="M98" s="36">
        <f t="shared" si="109"/>
        <v>1196.670628287465</v>
      </c>
      <c r="N98" s="36">
        <f t="shared" si="109"/>
        <v>1118.4201461451803</v>
      </c>
      <c r="O98" s="36">
        <f t="shared" si="109"/>
        <v>1135.4398635969937</v>
      </c>
      <c r="P98" s="36">
        <f t="shared" si="109"/>
        <v>1168.6033551885112</v>
      </c>
      <c r="Q98" s="36">
        <f t="shared" si="109"/>
        <v>1162.4954208384638</v>
      </c>
      <c r="R98" s="36">
        <f t="shared" si="109"/>
        <v>1151.3856846521101</v>
      </c>
      <c r="S98" s="36">
        <f t="shared" si="109"/>
        <v>1143.6980305087266</v>
      </c>
      <c r="T98" s="36">
        <f t="shared" si="109"/>
        <v>1140.5237008901763</v>
      </c>
      <c r="U98" s="36">
        <f t="shared" si="109"/>
        <v>1139.0148643196062</v>
      </c>
      <c r="V98" s="36">
        <f t="shared" si="109"/>
        <v>470.45369698208134</v>
      </c>
      <c r="W98" s="36">
        <f t="shared" ref="W98:Y98" si="110">IF(W26=0,0,W26/W46)</f>
        <v>696.68521072046235</v>
      </c>
      <c r="X98" s="36">
        <f t="shared" si="110"/>
        <v>1035.6454908882054</v>
      </c>
      <c r="Y98" s="36">
        <f t="shared" si="110"/>
        <v>1125.8754326854464</v>
      </c>
      <c r="DA98" s="198" t="s">
        <v>270</v>
      </c>
    </row>
    <row r="99" spans="1:105" ht="11.45" customHeight="1" x14ac:dyDescent="0.25">
      <c r="A99" s="37" t="s">
        <v>182</v>
      </c>
      <c r="B99" s="36">
        <f t="shared" si="104"/>
        <v>1008.9999999999999</v>
      </c>
      <c r="C99" s="36">
        <f t="shared" si="104"/>
        <v>1003.5352043328409</v>
      </c>
      <c r="D99" s="36">
        <f t="shared" ref="D99:V99" si="111">IF(D27=0,0,D27/D47)</f>
        <v>965.65423436730669</v>
      </c>
      <c r="E99" s="36">
        <f t="shared" si="111"/>
        <v>1009</v>
      </c>
      <c r="F99" s="36">
        <f t="shared" si="111"/>
        <v>1009</v>
      </c>
      <c r="G99" s="36">
        <f t="shared" si="111"/>
        <v>1048</v>
      </c>
      <c r="H99" s="36">
        <f t="shared" si="111"/>
        <v>1045</v>
      </c>
      <c r="I99" s="36">
        <f t="shared" si="111"/>
        <v>968</v>
      </c>
      <c r="J99" s="36">
        <f t="shared" si="111"/>
        <v>948.99999999999989</v>
      </c>
      <c r="K99" s="36">
        <f t="shared" si="111"/>
        <v>903.17045552224727</v>
      </c>
      <c r="L99" s="36">
        <f t="shared" si="111"/>
        <v>957.85694408784764</v>
      </c>
      <c r="M99" s="36">
        <f t="shared" si="111"/>
        <v>1045</v>
      </c>
      <c r="N99" s="36">
        <f t="shared" si="111"/>
        <v>1044</v>
      </c>
      <c r="O99" s="36">
        <f t="shared" si="111"/>
        <v>955.98509498423346</v>
      </c>
      <c r="P99" s="36">
        <f t="shared" si="111"/>
        <v>935.00000000000011</v>
      </c>
      <c r="Q99" s="36">
        <f t="shared" si="111"/>
        <v>927</v>
      </c>
      <c r="R99" s="36">
        <f t="shared" si="111"/>
        <v>893.00000000000011</v>
      </c>
      <c r="S99" s="36">
        <f t="shared" si="111"/>
        <v>895.99999999999989</v>
      </c>
      <c r="T99" s="36">
        <f t="shared" si="111"/>
        <v>849</v>
      </c>
      <c r="U99" s="36">
        <f t="shared" si="111"/>
        <v>841</v>
      </c>
      <c r="V99" s="36">
        <f t="shared" si="111"/>
        <v>233.45474895514781</v>
      </c>
      <c r="W99" s="36">
        <f t="shared" ref="W99:Y99" si="112">IF(W27=0,0,W27/W47)</f>
        <v>501.3245915075554</v>
      </c>
      <c r="X99" s="36">
        <f t="shared" si="112"/>
        <v>670.25929461434134</v>
      </c>
      <c r="Y99" s="36">
        <f t="shared" si="112"/>
        <v>830.52580504536297</v>
      </c>
      <c r="DA99" s="198" t="s">
        <v>271</v>
      </c>
    </row>
    <row r="100" spans="1:105" ht="11.45" customHeight="1" x14ac:dyDescent="0.25">
      <c r="A100" s="12" t="s">
        <v>34</v>
      </c>
      <c r="B100" s="13">
        <f t="shared" si="104"/>
        <v>1128.2301357200372</v>
      </c>
      <c r="C100" s="13">
        <f t="shared" si="104"/>
        <v>1060.6175358903934</v>
      </c>
      <c r="D100" s="13">
        <f t="shared" ref="D100:V100" si="113">IF(D28=0,0,D28/D48)</f>
        <v>1086.5415623303033</v>
      </c>
      <c r="E100" s="13">
        <f t="shared" si="113"/>
        <v>1102.3910925524476</v>
      </c>
      <c r="F100" s="13">
        <f t="shared" si="113"/>
        <v>1113.9816190374127</v>
      </c>
      <c r="G100" s="13">
        <f t="shared" si="113"/>
        <v>1016.2547187493122</v>
      </c>
      <c r="H100" s="13">
        <f t="shared" si="113"/>
        <v>1080.4984761220778</v>
      </c>
      <c r="I100" s="13">
        <f t="shared" si="113"/>
        <v>1083.5564215809711</v>
      </c>
      <c r="J100" s="13">
        <f t="shared" si="113"/>
        <v>1057.9210707198938</v>
      </c>
      <c r="K100" s="13">
        <f t="shared" si="113"/>
        <v>1039.8452305167502</v>
      </c>
      <c r="L100" s="13">
        <f t="shared" si="113"/>
        <v>1033.6532741594567</v>
      </c>
      <c r="M100" s="13">
        <f t="shared" si="113"/>
        <v>963.08370898344958</v>
      </c>
      <c r="N100" s="13">
        <f t="shared" si="113"/>
        <v>882.19288881791863</v>
      </c>
      <c r="O100" s="13">
        <f t="shared" si="113"/>
        <v>891.19054125000048</v>
      </c>
      <c r="P100" s="13">
        <f t="shared" si="113"/>
        <v>867.34613856649889</v>
      </c>
      <c r="Q100" s="13">
        <f t="shared" si="113"/>
        <v>897.66896377963201</v>
      </c>
      <c r="R100" s="13">
        <f t="shared" si="113"/>
        <v>926.54725312308437</v>
      </c>
      <c r="S100" s="13">
        <f t="shared" si="113"/>
        <v>976.81229569897835</v>
      </c>
      <c r="T100" s="13">
        <f t="shared" si="113"/>
        <v>992.81614573811692</v>
      </c>
      <c r="U100" s="13">
        <f t="shared" si="113"/>
        <v>790.89797726310155</v>
      </c>
      <c r="V100" s="13">
        <f t="shared" si="113"/>
        <v>767.84493583374456</v>
      </c>
      <c r="W100" s="13">
        <f t="shared" ref="W100:Y100" si="114">IF(W28=0,0,W28/W48)</f>
        <v>846.08477416228743</v>
      </c>
      <c r="X100" s="13">
        <f t="shared" si="114"/>
        <v>1031.0981908051663</v>
      </c>
      <c r="Y100" s="13">
        <f t="shared" si="114"/>
        <v>1020.3333680114569</v>
      </c>
      <c r="DA100" s="193" t="s">
        <v>272</v>
      </c>
    </row>
    <row r="101" spans="1:105" ht="11.45" customHeight="1" x14ac:dyDescent="0.25">
      <c r="A101" s="42" t="s">
        <v>27</v>
      </c>
      <c r="B101" s="34">
        <f t="shared" si="104"/>
        <v>1447</v>
      </c>
      <c r="C101" s="34">
        <f t="shared" si="104"/>
        <v>1388.5353535353536</v>
      </c>
      <c r="D101" s="34">
        <f t="shared" ref="D101:V101" si="115">IF(D29=0,0,D29/D49)</f>
        <v>1397.6704545454545</v>
      </c>
      <c r="E101" s="34">
        <f t="shared" si="115"/>
        <v>1447</v>
      </c>
      <c r="F101" s="34">
        <f t="shared" si="115"/>
        <v>1447</v>
      </c>
      <c r="G101" s="34">
        <f t="shared" si="115"/>
        <v>843.34355828220851</v>
      </c>
      <c r="H101" s="34">
        <f t="shared" si="115"/>
        <v>1475.0000000000002</v>
      </c>
      <c r="I101" s="34">
        <f t="shared" si="115"/>
        <v>1492</v>
      </c>
      <c r="J101" s="34">
        <f t="shared" si="115"/>
        <v>1050.1688525686627</v>
      </c>
      <c r="K101" s="34">
        <f t="shared" si="115"/>
        <v>874.93796056764211</v>
      </c>
      <c r="L101" s="34">
        <f t="shared" si="115"/>
        <v>779.01602108797533</v>
      </c>
      <c r="M101" s="34">
        <f t="shared" si="115"/>
        <v>515.24738125612907</v>
      </c>
      <c r="N101" s="34">
        <f t="shared" si="115"/>
        <v>382.34245812882642</v>
      </c>
      <c r="O101" s="34">
        <f t="shared" si="115"/>
        <v>327.49475140468172</v>
      </c>
      <c r="P101" s="34">
        <f t="shared" si="115"/>
        <v>245.36573169068498</v>
      </c>
      <c r="Q101" s="34">
        <f t="shared" si="115"/>
        <v>217.72564997277061</v>
      </c>
      <c r="R101" s="34">
        <f t="shared" si="115"/>
        <v>650.92531733349369</v>
      </c>
      <c r="S101" s="34">
        <f t="shared" si="115"/>
        <v>1419</v>
      </c>
      <c r="T101" s="34">
        <f t="shared" si="115"/>
        <v>1411</v>
      </c>
      <c r="U101" s="34">
        <f t="shared" si="115"/>
        <v>1417</v>
      </c>
      <c r="V101" s="34">
        <f t="shared" si="115"/>
        <v>1466.9999999999998</v>
      </c>
      <c r="W101" s="34">
        <f t="shared" ref="W101:Y101" si="116">IF(W29=0,0,W29/W49)</f>
        <v>1490</v>
      </c>
      <c r="X101" s="34">
        <f t="shared" si="116"/>
        <v>1462</v>
      </c>
      <c r="Y101" s="34">
        <f t="shared" si="116"/>
        <v>1457.9999999999998</v>
      </c>
      <c r="DA101" s="196" t="s">
        <v>273</v>
      </c>
    </row>
    <row r="102" spans="1:105" ht="11.45" customHeight="1" x14ac:dyDescent="0.25">
      <c r="A102" s="42" t="s">
        <v>181</v>
      </c>
      <c r="B102" s="34">
        <f t="shared" si="104"/>
        <v>1180.9654103880268</v>
      </c>
      <c r="C102" s="34">
        <f t="shared" si="104"/>
        <v>1106.6061319674925</v>
      </c>
      <c r="D102" s="34">
        <f t="shared" ref="D102:V102" si="117">IF(D30=0,0,D30/D50)</f>
        <v>1151.8172651585583</v>
      </c>
      <c r="E102" s="34">
        <f t="shared" si="117"/>
        <v>1180.8582517028722</v>
      </c>
      <c r="F102" s="34">
        <f t="shared" si="117"/>
        <v>1182.2216604307259</v>
      </c>
      <c r="G102" s="34">
        <f t="shared" si="117"/>
        <v>1166.0669776931284</v>
      </c>
      <c r="H102" s="34">
        <f t="shared" si="117"/>
        <v>1143.9329561810898</v>
      </c>
      <c r="I102" s="34">
        <f t="shared" si="117"/>
        <v>1107.3485600756853</v>
      </c>
      <c r="J102" s="34">
        <f t="shared" si="117"/>
        <v>1131.4308470598226</v>
      </c>
      <c r="K102" s="34">
        <f t="shared" si="117"/>
        <v>1122.2640526412483</v>
      </c>
      <c r="L102" s="34">
        <f t="shared" si="117"/>
        <v>1100.7170940735309</v>
      </c>
      <c r="M102" s="34">
        <f t="shared" si="117"/>
        <v>1049.3969872707319</v>
      </c>
      <c r="N102" s="34">
        <f t="shared" si="117"/>
        <v>1010.5911639342771</v>
      </c>
      <c r="O102" s="34">
        <f t="shared" si="117"/>
        <v>1015.2401857081414</v>
      </c>
      <c r="P102" s="34">
        <f t="shared" si="117"/>
        <v>1027.7771779160225</v>
      </c>
      <c r="Q102" s="34">
        <f t="shared" si="117"/>
        <v>1025.8370370392515</v>
      </c>
      <c r="R102" s="34">
        <f t="shared" si="117"/>
        <v>1028.8641778284773</v>
      </c>
      <c r="S102" s="34">
        <f t="shared" si="117"/>
        <v>1021.0508710519331</v>
      </c>
      <c r="T102" s="34">
        <f t="shared" si="117"/>
        <v>1009.8800409636967</v>
      </c>
      <c r="U102" s="34">
        <f t="shared" si="117"/>
        <v>725.61449718396796</v>
      </c>
      <c r="V102" s="34">
        <f t="shared" si="117"/>
        <v>696.24706305256495</v>
      </c>
      <c r="W102" s="34">
        <f t="shared" ref="W102:Y102" si="118">IF(W30=0,0,W30/W50)</f>
        <v>779.15198458473151</v>
      </c>
      <c r="X102" s="34">
        <f t="shared" si="118"/>
        <v>1003.2054168335562</v>
      </c>
      <c r="Y102" s="34">
        <f t="shared" si="118"/>
        <v>1021.1402613437882</v>
      </c>
      <c r="DA102" s="196" t="s">
        <v>274</v>
      </c>
    </row>
    <row r="103" spans="1:105" ht="11.45" customHeight="1" x14ac:dyDescent="0.25">
      <c r="A103" s="38" t="s">
        <v>182</v>
      </c>
      <c r="B103" s="35">
        <f t="shared" si="104"/>
        <v>624</v>
      </c>
      <c r="C103" s="35">
        <f t="shared" si="104"/>
        <v>624</v>
      </c>
      <c r="D103" s="35">
        <f t="shared" ref="D103:V103" si="119">IF(D31=0,0,D31/D51)</f>
        <v>624</v>
      </c>
      <c r="E103" s="35">
        <f t="shared" si="119"/>
        <v>624</v>
      </c>
      <c r="F103" s="35">
        <f t="shared" si="119"/>
        <v>624</v>
      </c>
      <c r="G103" s="35">
        <f t="shared" si="119"/>
        <v>303.89610389610391</v>
      </c>
      <c r="H103" s="35">
        <f t="shared" si="119"/>
        <v>339.13043478260875</v>
      </c>
      <c r="I103" s="35">
        <f t="shared" si="119"/>
        <v>562.62295081967227</v>
      </c>
      <c r="J103" s="35">
        <f t="shared" si="119"/>
        <v>539</v>
      </c>
      <c r="K103" s="35">
        <f t="shared" si="119"/>
        <v>381.78350889938247</v>
      </c>
      <c r="L103" s="35">
        <f t="shared" si="119"/>
        <v>444.37386752566943</v>
      </c>
      <c r="M103" s="35">
        <f t="shared" si="119"/>
        <v>479</v>
      </c>
      <c r="N103" s="35">
        <f t="shared" si="119"/>
        <v>438.99999999999994</v>
      </c>
      <c r="O103" s="35">
        <f t="shared" si="119"/>
        <v>488.00000000000006</v>
      </c>
      <c r="P103" s="35">
        <f t="shared" si="119"/>
        <v>322.89966838898749</v>
      </c>
      <c r="Q103" s="35">
        <f t="shared" si="119"/>
        <v>366.02932927317903</v>
      </c>
      <c r="R103" s="35">
        <f t="shared" si="119"/>
        <v>436.477358018514</v>
      </c>
      <c r="S103" s="35">
        <f t="shared" si="119"/>
        <v>678.35521168390869</v>
      </c>
      <c r="T103" s="35">
        <f t="shared" si="119"/>
        <v>820.71720381298246</v>
      </c>
      <c r="U103" s="35">
        <f t="shared" si="119"/>
        <v>1075.7138785978914</v>
      </c>
      <c r="V103" s="35">
        <f t="shared" si="119"/>
        <v>1027.2060682680155</v>
      </c>
      <c r="W103" s="35">
        <f t="shared" ref="W103:Y103" si="120">IF(W31=0,0,W31/W51)</f>
        <v>1004.7773682637717</v>
      </c>
      <c r="X103" s="35">
        <f t="shared" si="120"/>
        <v>990.94640122511521</v>
      </c>
      <c r="Y103" s="35">
        <f t="shared" si="120"/>
        <v>727.32488744634099</v>
      </c>
      <c r="DA103" s="197" t="s">
        <v>275</v>
      </c>
    </row>
    <row r="104" spans="1:105" x14ac:dyDescent="0.25">
      <c r="A104" s="50"/>
      <c r="B104" s="50"/>
      <c r="C104" s="5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DA104" s="181"/>
    </row>
    <row r="105" spans="1:105" ht="11.45" customHeight="1" x14ac:dyDescent="0.25">
      <c r="A105" s="53" t="s">
        <v>37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DA105" s="183"/>
    </row>
    <row r="106" spans="1:105" ht="11.45" customHeight="1" x14ac:dyDescent="0.25">
      <c r="A106" s="10" t="s">
        <v>38</v>
      </c>
      <c r="B106" s="16">
        <f t="shared" ref="B106:C106" si="121">IF(B4=0,0,B4/B$4)</f>
        <v>1</v>
      </c>
      <c r="C106" s="16">
        <f t="shared" si="121"/>
        <v>1</v>
      </c>
      <c r="D106" s="16">
        <f t="shared" ref="D106:V106" si="122">IF(D4=0,0,D4/D$4)</f>
        <v>1</v>
      </c>
      <c r="E106" s="16">
        <f t="shared" si="122"/>
        <v>1</v>
      </c>
      <c r="F106" s="16">
        <f t="shared" si="122"/>
        <v>1</v>
      </c>
      <c r="G106" s="16">
        <f t="shared" si="122"/>
        <v>1</v>
      </c>
      <c r="H106" s="16">
        <f t="shared" si="122"/>
        <v>1</v>
      </c>
      <c r="I106" s="16">
        <f t="shared" si="122"/>
        <v>1</v>
      </c>
      <c r="J106" s="16">
        <f t="shared" si="122"/>
        <v>1</v>
      </c>
      <c r="K106" s="16">
        <f t="shared" si="122"/>
        <v>1</v>
      </c>
      <c r="L106" s="16">
        <f t="shared" si="122"/>
        <v>1</v>
      </c>
      <c r="M106" s="16">
        <f t="shared" si="122"/>
        <v>1</v>
      </c>
      <c r="N106" s="16">
        <f t="shared" si="122"/>
        <v>1</v>
      </c>
      <c r="O106" s="16">
        <f t="shared" si="122"/>
        <v>1</v>
      </c>
      <c r="P106" s="16">
        <f t="shared" si="122"/>
        <v>1</v>
      </c>
      <c r="Q106" s="16">
        <f t="shared" si="122"/>
        <v>1</v>
      </c>
      <c r="R106" s="16">
        <f t="shared" si="122"/>
        <v>1</v>
      </c>
      <c r="S106" s="16">
        <f t="shared" si="122"/>
        <v>1</v>
      </c>
      <c r="T106" s="16">
        <f t="shared" si="122"/>
        <v>1</v>
      </c>
      <c r="U106" s="16">
        <f t="shared" si="122"/>
        <v>1</v>
      </c>
      <c r="V106" s="16">
        <f t="shared" si="122"/>
        <v>1</v>
      </c>
      <c r="W106" s="16">
        <f t="shared" ref="W106:Y106" si="123">IF(W4=0,0,W4/W$4)</f>
        <v>1</v>
      </c>
      <c r="X106" s="16">
        <f t="shared" si="123"/>
        <v>1</v>
      </c>
      <c r="Y106" s="16">
        <f t="shared" si="123"/>
        <v>1</v>
      </c>
      <c r="DA106" s="190"/>
    </row>
    <row r="107" spans="1:105" ht="11.45" customHeight="1" x14ac:dyDescent="0.25">
      <c r="A107" s="37" t="s">
        <v>27</v>
      </c>
      <c r="B107" s="43">
        <f t="shared" ref="B107:C107" si="124">IF(B5=0,0,B5/B$4)</f>
        <v>2.0192430350788854E-2</v>
      </c>
      <c r="C107" s="43">
        <f t="shared" si="124"/>
        <v>1.1243082683323233E-2</v>
      </c>
      <c r="D107" s="43">
        <f t="shared" ref="D107:V107" si="125">IF(D5=0,0,D5/D$4)</f>
        <v>8.7844299403769064E-3</v>
      </c>
      <c r="E107" s="43">
        <f t="shared" si="125"/>
        <v>7.3128475116610624E-3</v>
      </c>
      <c r="F107" s="43">
        <f t="shared" si="125"/>
        <v>3.6100961783869352E-2</v>
      </c>
      <c r="G107" s="43">
        <f t="shared" si="125"/>
        <v>3.324400306842596E-2</v>
      </c>
      <c r="H107" s="43">
        <f t="shared" si="125"/>
        <v>3.1553233104898645E-2</v>
      </c>
      <c r="I107" s="43">
        <f t="shared" si="125"/>
        <v>2.9495566326663756E-2</v>
      </c>
      <c r="J107" s="43">
        <f t="shared" si="125"/>
        <v>3.2469721779681868E-2</v>
      </c>
      <c r="K107" s="43">
        <f t="shared" si="125"/>
        <v>3.0446144817925524E-2</v>
      </c>
      <c r="L107" s="43">
        <f t="shared" si="125"/>
        <v>3.4565516063657813E-2</v>
      </c>
      <c r="M107" s="43">
        <f t="shared" si="125"/>
        <v>3.2560196575003572E-2</v>
      </c>
      <c r="N107" s="43">
        <f t="shared" si="125"/>
        <v>2.9768352732999024E-2</v>
      </c>
      <c r="O107" s="43">
        <f t="shared" si="125"/>
        <v>2.6203324755248978E-2</v>
      </c>
      <c r="P107" s="43">
        <f t="shared" si="125"/>
        <v>2.134889787484192E-2</v>
      </c>
      <c r="Q107" s="43">
        <f t="shared" si="125"/>
        <v>1.9519460318880799E-2</v>
      </c>
      <c r="R107" s="43">
        <f t="shared" si="125"/>
        <v>2.8112732759931525E-2</v>
      </c>
      <c r="S107" s="43">
        <f t="shared" si="125"/>
        <v>3.653677138557232E-2</v>
      </c>
      <c r="T107" s="43">
        <f t="shared" si="125"/>
        <v>3.3168999890909281E-2</v>
      </c>
      <c r="U107" s="43">
        <f t="shared" si="125"/>
        <v>2.9072424387771648E-2</v>
      </c>
      <c r="V107" s="43">
        <f t="shared" si="125"/>
        <v>2.9275447983849207E-2</v>
      </c>
      <c r="W107" s="43">
        <f t="shared" ref="W107:Y107" si="126">IF(W5=0,0,W5/W$4)</f>
        <v>2.8291615600643201E-2</v>
      </c>
      <c r="X107" s="43">
        <f t="shared" si="126"/>
        <v>2.2936630776898007E-2</v>
      </c>
      <c r="Y107" s="43">
        <f t="shared" si="126"/>
        <v>1.8013311649049644E-2</v>
      </c>
      <c r="DA107" s="199"/>
    </row>
    <row r="108" spans="1:105" ht="11.45" customHeight="1" x14ac:dyDescent="0.25">
      <c r="A108" s="37" t="s">
        <v>181</v>
      </c>
      <c r="B108" s="43">
        <f t="shared" ref="B108:C108" si="127">IF(B6=0,0,B6/B$4)</f>
        <v>0.84127963234783287</v>
      </c>
      <c r="C108" s="43">
        <f t="shared" si="127"/>
        <v>0.8498556866860898</v>
      </c>
      <c r="D108" s="43">
        <f t="shared" ref="D108:V108" si="128">IF(D6=0,0,D6/D$4)</f>
        <v>0.85248735776620688</v>
      </c>
      <c r="E108" s="43">
        <f t="shared" si="128"/>
        <v>0.85280034564390816</v>
      </c>
      <c r="F108" s="43">
        <f t="shared" si="128"/>
        <v>0.82596599272552962</v>
      </c>
      <c r="G108" s="43">
        <f t="shared" si="128"/>
        <v>0.84482503293337741</v>
      </c>
      <c r="H108" s="43">
        <f t="shared" si="128"/>
        <v>0.84045729483127507</v>
      </c>
      <c r="I108" s="43">
        <f t="shared" si="128"/>
        <v>0.82544991351791519</v>
      </c>
      <c r="J108" s="43">
        <f t="shared" si="128"/>
        <v>0.82769804189059548</v>
      </c>
      <c r="K108" s="43">
        <f t="shared" si="128"/>
        <v>0.8518620254395507</v>
      </c>
      <c r="L108" s="43">
        <f t="shared" si="128"/>
        <v>0.84820771235837844</v>
      </c>
      <c r="M108" s="43">
        <f t="shared" si="128"/>
        <v>0.87209028561465918</v>
      </c>
      <c r="N108" s="43">
        <f t="shared" si="128"/>
        <v>0.86288409057417315</v>
      </c>
      <c r="O108" s="43">
        <f t="shared" si="128"/>
        <v>0.86176908878575254</v>
      </c>
      <c r="P108" s="43">
        <f t="shared" si="128"/>
        <v>0.83780557029502101</v>
      </c>
      <c r="Q108" s="43">
        <f t="shared" si="128"/>
        <v>0.84123861110713805</v>
      </c>
      <c r="R108" s="43">
        <f t="shared" si="128"/>
        <v>0.83974809260595795</v>
      </c>
      <c r="S108" s="43">
        <f t="shared" si="128"/>
        <v>0.83561126149103981</v>
      </c>
      <c r="T108" s="43">
        <f t="shared" si="128"/>
        <v>0.81158830799073844</v>
      </c>
      <c r="U108" s="43">
        <f t="shared" si="128"/>
        <v>0.80292098246598975</v>
      </c>
      <c r="V108" s="43">
        <f t="shared" si="128"/>
        <v>0.84764042704356601</v>
      </c>
      <c r="W108" s="43">
        <f t="shared" ref="W108:Y108" si="129">IF(W6=0,0,W6/W$4)</f>
        <v>0.80671807388717343</v>
      </c>
      <c r="X108" s="43">
        <f t="shared" si="129"/>
        <v>0.82742439982633165</v>
      </c>
      <c r="Y108" s="43">
        <f t="shared" si="129"/>
        <v>0.81657750477720714</v>
      </c>
      <c r="DA108" s="199"/>
    </row>
    <row r="109" spans="1:105" ht="11.45" customHeight="1" x14ac:dyDescent="0.25">
      <c r="A109" s="37" t="s">
        <v>182</v>
      </c>
      <c r="B109" s="43">
        <f t="shared" ref="B109:C109" si="130">IF(B7=0,0,B7/B$4)</f>
        <v>0.13852793730137836</v>
      </c>
      <c r="C109" s="43">
        <f t="shared" si="130"/>
        <v>0.13890123063058712</v>
      </c>
      <c r="D109" s="43">
        <f t="shared" ref="D109:V109" si="131">IF(D7=0,0,D7/D$4)</f>
        <v>0.1387282122934162</v>
      </c>
      <c r="E109" s="43">
        <f t="shared" si="131"/>
        <v>0.13988680684443094</v>
      </c>
      <c r="F109" s="43">
        <f t="shared" si="131"/>
        <v>0.13793304549060101</v>
      </c>
      <c r="G109" s="43">
        <f t="shared" si="131"/>
        <v>0.12193096399819675</v>
      </c>
      <c r="H109" s="43">
        <f t="shared" si="131"/>
        <v>0.12798947206382633</v>
      </c>
      <c r="I109" s="43">
        <f t="shared" si="131"/>
        <v>0.14505452015542097</v>
      </c>
      <c r="J109" s="43">
        <f t="shared" si="131"/>
        <v>0.13983223632972266</v>
      </c>
      <c r="K109" s="43">
        <f t="shared" si="131"/>
        <v>0.11769182974252379</v>
      </c>
      <c r="L109" s="43">
        <f t="shared" si="131"/>
        <v>0.11722677157796378</v>
      </c>
      <c r="M109" s="43">
        <f t="shared" si="131"/>
        <v>9.5349517810337237E-2</v>
      </c>
      <c r="N109" s="43">
        <f t="shared" si="131"/>
        <v>0.1073475566928279</v>
      </c>
      <c r="O109" s="43">
        <f t="shared" si="131"/>
        <v>0.11202758645899855</v>
      </c>
      <c r="P109" s="43">
        <f t="shared" si="131"/>
        <v>0.14084553183013715</v>
      </c>
      <c r="Q109" s="43">
        <f t="shared" si="131"/>
        <v>0.13924192857398116</v>
      </c>
      <c r="R109" s="43">
        <f t="shared" si="131"/>
        <v>0.13213917463411048</v>
      </c>
      <c r="S109" s="43">
        <f t="shared" si="131"/>
        <v>0.12785196712338798</v>
      </c>
      <c r="T109" s="43">
        <f t="shared" si="131"/>
        <v>0.1552426921183522</v>
      </c>
      <c r="U109" s="43">
        <f t="shared" si="131"/>
        <v>0.16800659314623875</v>
      </c>
      <c r="V109" s="43">
        <f t="shared" si="131"/>
        <v>0.1230841249725849</v>
      </c>
      <c r="W109" s="43">
        <f t="shared" ref="W109:Y109" si="132">IF(W7=0,0,W7/W$4)</f>
        <v>0.1649903105121833</v>
      </c>
      <c r="X109" s="43">
        <f t="shared" si="132"/>
        <v>0.14963896939677029</v>
      </c>
      <c r="Y109" s="43">
        <f t="shared" si="132"/>
        <v>0.16540918357374326</v>
      </c>
      <c r="DA109" s="199"/>
    </row>
    <row r="110" spans="1:105" ht="11.45" customHeight="1" x14ac:dyDescent="0.25">
      <c r="A110" s="12" t="s">
        <v>39</v>
      </c>
      <c r="B110" s="17">
        <f t="shared" ref="B110:C110" si="133">IF(B8=0,0,B8/B$8)</f>
        <v>1</v>
      </c>
      <c r="C110" s="17">
        <f t="shared" si="133"/>
        <v>1</v>
      </c>
      <c r="D110" s="17">
        <f t="shared" ref="D110:V110" si="134">IF(D8=0,0,D8/D$8)</f>
        <v>1</v>
      </c>
      <c r="E110" s="17">
        <f t="shared" si="134"/>
        <v>1</v>
      </c>
      <c r="F110" s="17">
        <f t="shared" si="134"/>
        <v>1</v>
      </c>
      <c r="G110" s="17">
        <f t="shared" si="134"/>
        <v>1</v>
      </c>
      <c r="H110" s="17">
        <f t="shared" si="134"/>
        <v>1</v>
      </c>
      <c r="I110" s="17">
        <f t="shared" si="134"/>
        <v>1</v>
      </c>
      <c r="J110" s="17">
        <f t="shared" si="134"/>
        <v>1</v>
      </c>
      <c r="K110" s="17">
        <f t="shared" si="134"/>
        <v>1</v>
      </c>
      <c r="L110" s="17">
        <f t="shared" si="134"/>
        <v>1</v>
      </c>
      <c r="M110" s="17">
        <f t="shared" si="134"/>
        <v>1</v>
      </c>
      <c r="N110" s="17">
        <f t="shared" si="134"/>
        <v>1</v>
      </c>
      <c r="O110" s="17">
        <f t="shared" si="134"/>
        <v>1</v>
      </c>
      <c r="P110" s="17">
        <f t="shared" si="134"/>
        <v>1</v>
      </c>
      <c r="Q110" s="17">
        <f t="shared" si="134"/>
        <v>1</v>
      </c>
      <c r="R110" s="17">
        <f t="shared" si="134"/>
        <v>1</v>
      </c>
      <c r="S110" s="17">
        <f t="shared" si="134"/>
        <v>1</v>
      </c>
      <c r="T110" s="17">
        <f t="shared" si="134"/>
        <v>1</v>
      </c>
      <c r="U110" s="17">
        <f t="shared" si="134"/>
        <v>1</v>
      </c>
      <c r="V110" s="17">
        <f t="shared" si="134"/>
        <v>1</v>
      </c>
      <c r="W110" s="17">
        <f t="shared" ref="W110:Y110" si="135">IF(W8=0,0,W8/W$8)</f>
        <v>1</v>
      </c>
      <c r="X110" s="17">
        <f t="shared" si="135"/>
        <v>1</v>
      </c>
      <c r="Y110" s="17">
        <f t="shared" si="135"/>
        <v>1</v>
      </c>
      <c r="DA110" s="194"/>
    </row>
    <row r="111" spans="1:105" ht="11.45" customHeight="1" x14ac:dyDescent="0.25">
      <c r="A111" s="42" t="s">
        <v>27</v>
      </c>
      <c r="B111" s="44">
        <f t="shared" ref="B111:C111" si="136">IF(B9=0,0,B9/B$8)</f>
        <v>1.1808264045154034E-2</v>
      </c>
      <c r="C111" s="44">
        <f t="shared" si="136"/>
        <v>1.0643369056128869E-2</v>
      </c>
      <c r="D111" s="44">
        <f t="shared" ref="D111:V111" si="137">IF(D9=0,0,D9/D$8)</f>
        <v>1.0576360014588901E-2</v>
      </c>
      <c r="E111" s="44">
        <f t="shared" si="137"/>
        <v>1.1225284118347278E-2</v>
      </c>
      <c r="F111" s="44">
        <f t="shared" si="137"/>
        <v>1.1814513018283566E-2</v>
      </c>
      <c r="G111" s="44">
        <f t="shared" si="137"/>
        <v>8.6373169141842378E-3</v>
      </c>
      <c r="H111" s="44">
        <f t="shared" si="137"/>
        <v>1.9203496721269416E-2</v>
      </c>
      <c r="I111" s="44">
        <f t="shared" si="137"/>
        <v>1.5398822089535896E-2</v>
      </c>
      <c r="J111" s="44">
        <f t="shared" si="137"/>
        <v>5.8941417320232748E-3</v>
      </c>
      <c r="K111" s="44">
        <f t="shared" si="137"/>
        <v>3.9344388775634769E-3</v>
      </c>
      <c r="L111" s="44">
        <f t="shared" si="137"/>
        <v>2.6411668853245536E-3</v>
      </c>
      <c r="M111" s="44">
        <f t="shared" si="137"/>
        <v>1.6267200312130301E-3</v>
      </c>
      <c r="N111" s="44">
        <f t="shared" si="137"/>
        <v>8.6100434175107705E-4</v>
      </c>
      <c r="O111" s="44">
        <f t="shared" si="137"/>
        <v>5.6751883466399919E-4</v>
      </c>
      <c r="P111" s="44">
        <f t="shared" si="137"/>
        <v>4.7308713685923105E-4</v>
      </c>
      <c r="Q111" s="44">
        <f t="shared" si="137"/>
        <v>3.3766236641995001E-4</v>
      </c>
      <c r="R111" s="44">
        <f t="shared" si="137"/>
        <v>7.5018762004318675E-4</v>
      </c>
      <c r="S111" s="44">
        <f t="shared" si="137"/>
        <v>2.4560273836411947E-3</v>
      </c>
      <c r="T111" s="44">
        <f t="shared" si="137"/>
        <v>4.8851287771329759E-3</v>
      </c>
      <c r="U111" s="44">
        <f t="shared" si="137"/>
        <v>9.1821015860423655E-3</v>
      </c>
      <c r="V111" s="44">
        <f t="shared" si="137"/>
        <v>1.2354562824211978E-2</v>
      </c>
      <c r="W111" s="44">
        <f t="shared" ref="W111:Y111" si="138">IF(W9=0,0,W9/W$8)</f>
        <v>1.5024634247277249E-2</v>
      </c>
      <c r="X111" s="44">
        <f t="shared" si="138"/>
        <v>1.4905756199488897E-2</v>
      </c>
      <c r="Y111" s="44">
        <f t="shared" si="138"/>
        <v>1.8165559740511948E-2</v>
      </c>
      <c r="DA111" s="200"/>
    </row>
    <row r="112" spans="1:105" ht="11.45" customHeight="1" x14ac:dyDescent="0.25">
      <c r="A112" s="42" t="s">
        <v>181</v>
      </c>
      <c r="B112" s="44">
        <f t="shared" ref="B112:C112" si="139">IF(B10=0,0,B10/B$8)</f>
        <v>0.52536663594452782</v>
      </c>
      <c r="C112" s="44">
        <f t="shared" si="139"/>
        <v>0.4952236225758434</v>
      </c>
      <c r="D112" s="44">
        <f t="shared" ref="D112:V112" si="140">IF(D10=0,0,D10/D$8)</f>
        <v>0.46928814021333026</v>
      </c>
      <c r="E112" s="44">
        <f t="shared" si="140"/>
        <v>0.47254751225735769</v>
      </c>
      <c r="F112" s="44">
        <f t="shared" si="140"/>
        <v>0.4887137928058336</v>
      </c>
      <c r="G112" s="44">
        <f t="shared" si="140"/>
        <v>0.69508170624664489</v>
      </c>
      <c r="H112" s="44">
        <f t="shared" si="140"/>
        <v>0.6740854411812639</v>
      </c>
      <c r="I112" s="44">
        <f t="shared" si="140"/>
        <v>0.55394165016222852</v>
      </c>
      <c r="J112" s="44">
        <f t="shared" si="140"/>
        <v>0.57082460662064149</v>
      </c>
      <c r="K112" s="44">
        <f t="shared" si="140"/>
        <v>0.69332514096749276</v>
      </c>
      <c r="L112" s="44">
        <f t="shared" si="140"/>
        <v>0.69592368394487414</v>
      </c>
      <c r="M112" s="44">
        <f t="shared" si="140"/>
        <v>0.57238416202948128</v>
      </c>
      <c r="N112" s="44">
        <f t="shared" si="140"/>
        <v>0.41563498441481089</v>
      </c>
      <c r="O112" s="44">
        <f t="shared" si="140"/>
        <v>0.40846095267522625</v>
      </c>
      <c r="P112" s="44">
        <f t="shared" si="140"/>
        <v>0.55519539856028466</v>
      </c>
      <c r="Q112" s="44">
        <f t="shared" si="140"/>
        <v>0.63485865929481133</v>
      </c>
      <c r="R112" s="44">
        <f t="shared" si="140"/>
        <v>0.67867388395308992</v>
      </c>
      <c r="S112" s="44">
        <f t="shared" si="140"/>
        <v>0.71998349057394717</v>
      </c>
      <c r="T112" s="44">
        <f t="shared" si="140"/>
        <v>0.82851596925854298</v>
      </c>
      <c r="U112" s="44">
        <f t="shared" si="140"/>
        <v>0.67262385624305643</v>
      </c>
      <c r="V112" s="44">
        <f t="shared" si="140"/>
        <v>0.7158908206244291</v>
      </c>
      <c r="W112" s="44">
        <f t="shared" ref="W112:Y112" si="141">IF(W10=0,0,W10/W$8)</f>
        <v>0.70974881030261616</v>
      </c>
      <c r="X112" s="44">
        <f t="shared" si="141"/>
        <v>0.70249238728745944</v>
      </c>
      <c r="Y112" s="44">
        <f t="shared" si="141"/>
        <v>0.71785690448617967</v>
      </c>
      <c r="DA112" s="200"/>
    </row>
    <row r="113" spans="1:105" ht="11.45" customHeight="1" x14ac:dyDescent="0.25">
      <c r="A113" s="38" t="s">
        <v>182</v>
      </c>
      <c r="B113" s="45">
        <f t="shared" ref="B113:C113" si="142">IF(B11=0,0,B11/B$8)</f>
        <v>0.46282510001031818</v>
      </c>
      <c r="C113" s="45">
        <f t="shared" si="142"/>
        <v>0.49413300836802787</v>
      </c>
      <c r="D113" s="45">
        <f t="shared" ref="D113:V113" si="143">IF(D11=0,0,D11/D$8)</f>
        <v>0.52013549977208084</v>
      </c>
      <c r="E113" s="45">
        <f t="shared" si="143"/>
        <v>0.51622720362429508</v>
      </c>
      <c r="F113" s="45">
        <f t="shared" si="143"/>
        <v>0.49947169417588272</v>
      </c>
      <c r="G113" s="45">
        <f t="shared" si="143"/>
        <v>0.29628097683917082</v>
      </c>
      <c r="H113" s="45">
        <f t="shared" si="143"/>
        <v>0.30671106209746679</v>
      </c>
      <c r="I113" s="45">
        <f t="shared" si="143"/>
        <v>0.43065952774823557</v>
      </c>
      <c r="J113" s="45">
        <f t="shared" si="143"/>
        <v>0.42328125164733515</v>
      </c>
      <c r="K113" s="45">
        <f t="shared" si="143"/>
        <v>0.30274042015494373</v>
      </c>
      <c r="L113" s="45">
        <f t="shared" si="143"/>
        <v>0.30143514916980135</v>
      </c>
      <c r="M113" s="45">
        <f t="shared" si="143"/>
        <v>0.42598911793930566</v>
      </c>
      <c r="N113" s="45">
        <f t="shared" si="143"/>
        <v>0.58350401124343809</v>
      </c>
      <c r="O113" s="45">
        <f t="shared" si="143"/>
        <v>0.59097152849010981</v>
      </c>
      <c r="P113" s="45">
        <f t="shared" si="143"/>
        <v>0.44433151430285606</v>
      </c>
      <c r="Q113" s="45">
        <f t="shared" si="143"/>
        <v>0.36480367833876864</v>
      </c>
      <c r="R113" s="45">
        <f t="shared" si="143"/>
        <v>0.32057592842686694</v>
      </c>
      <c r="S113" s="45">
        <f t="shared" si="143"/>
        <v>0.27756048204241157</v>
      </c>
      <c r="T113" s="45">
        <f t="shared" si="143"/>
        <v>0.16659890196432398</v>
      </c>
      <c r="U113" s="45">
        <f t="shared" si="143"/>
        <v>0.31819404217090125</v>
      </c>
      <c r="V113" s="45">
        <f t="shared" si="143"/>
        <v>0.27175461655135891</v>
      </c>
      <c r="W113" s="45">
        <f t="shared" ref="W113:Y113" si="144">IF(W11=0,0,W11/W$8)</f>
        <v>0.27522655545010655</v>
      </c>
      <c r="X113" s="45">
        <f t="shared" si="144"/>
        <v>0.28260185651305164</v>
      </c>
      <c r="Y113" s="45">
        <f t="shared" si="144"/>
        <v>0.26397753577330835</v>
      </c>
      <c r="DA113" s="201"/>
    </row>
    <row r="114" spans="1:105" x14ac:dyDescent="0.25">
      <c r="A114" s="50"/>
      <c r="B114" s="50"/>
      <c r="C114" s="5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DA114" s="181"/>
    </row>
    <row r="115" spans="1:105" ht="11.45" customHeight="1" x14ac:dyDescent="0.25">
      <c r="A115" s="53" t="s">
        <v>66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DA115" s="183"/>
    </row>
    <row r="116" spans="1:105" ht="11.45" customHeight="1" x14ac:dyDescent="0.25">
      <c r="A116" s="10" t="s">
        <v>33</v>
      </c>
      <c r="B116" s="16">
        <f t="shared" ref="B116:C116" si="145">IF(B14=0,0,B14/B$14)</f>
        <v>1</v>
      </c>
      <c r="C116" s="16">
        <f t="shared" si="145"/>
        <v>1</v>
      </c>
      <c r="D116" s="16">
        <f t="shared" ref="D116:V116" si="146">IF(D14=0,0,D14/D$14)</f>
        <v>1</v>
      </c>
      <c r="E116" s="16">
        <f t="shared" si="146"/>
        <v>1</v>
      </c>
      <c r="F116" s="16">
        <f t="shared" si="146"/>
        <v>1</v>
      </c>
      <c r="G116" s="16">
        <f t="shared" si="146"/>
        <v>1</v>
      </c>
      <c r="H116" s="16">
        <f t="shared" si="146"/>
        <v>1</v>
      </c>
      <c r="I116" s="16">
        <f t="shared" si="146"/>
        <v>1</v>
      </c>
      <c r="J116" s="16">
        <f t="shared" si="146"/>
        <v>1</v>
      </c>
      <c r="K116" s="16">
        <f t="shared" si="146"/>
        <v>1</v>
      </c>
      <c r="L116" s="16">
        <f t="shared" si="146"/>
        <v>1</v>
      </c>
      <c r="M116" s="16">
        <f t="shared" si="146"/>
        <v>1</v>
      </c>
      <c r="N116" s="16">
        <f t="shared" si="146"/>
        <v>1</v>
      </c>
      <c r="O116" s="16">
        <f t="shared" si="146"/>
        <v>1</v>
      </c>
      <c r="P116" s="16">
        <f t="shared" si="146"/>
        <v>1</v>
      </c>
      <c r="Q116" s="16">
        <f t="shared" si="146"/>
        <v>1</v>
      </c>
      <c r="R116" s="16">
        <f t="shared" si="146"/>
        <v>1</v>
      </c>
      <c r="S116" s="16">
        <f t="shared" si="146"/>
        <v>1</v>
      </c>
      <c r="T116" s="16">
        <f t="shared" si="146"/>
        <v>1</v>
      </c>
      <c r="U116" s="16">
        <f t="shared" si="146"/>
        <v>1</v>
      </c>
      <c r="V116" s="16">
        <f t="shared" si="146"/>
        <v>1</v>
      </c>
      <c r="W116" s="16">
        <f t="shared" ref="W116:Y116" si="147">IF(W14=0,0,W14/W$14)</f>
        <v>1</v>
      </c>
      <c r="X116" s="16">
        <f t="shared" si="147"/>
        <v>1</v>
      </c>
      <c r="Y116" s="16">
        <f t="shared" si="147"/>
        <v>1</v>
      </c>
      <c r="DA116" s="190"/>
    </row>
    <row r="117" spans="1:105" ht="11.45" customHeight="1" x14ac:dyDescent="0.25">
      <c r="A117" s="37" t="s">
        <v>27</v>
      </c>
      <c r="B117" s="43">
        <f t="shared" ref="B117:C117" si="148">IF(B15=0,0,B15/B$14)</f>
        <v>4.355457126874427E-2</v>
      </c>
      <c r="C117" s="43">
        <f t="shared" si="148"/>
        <v>2.4831398158356069E-2</v>
      </c>
      <c r="D117" s="43">
        <f t="shared" ref="D117:V117" si="149">IF(D15=0,0,D15/D$14)</f>
        <v>1.9480109093677724E-2</v>
      </c>
      <c r="E117" s="43">
        <f t="shared" si="149"/>
        <v>1.6114540991141988E-2</v>
      </c>
      <c r="F117" s="43">
        <f t="shared" si="149"/>
        <v>7.6101441495728173E-2</v>
      </c>
      <c r="G117" s="43">
        <f t="shared" si="149"/>
        <v>7.0732471555642773E-2</v>
      </c>
      <c r="H117" s="43">
        <f t="shared" si="149"/>
        <v>6.5433144661380768E-2</v>
      </c>
      <c r="I117" s="43">
        <f t="shared" si="149"/>
        <v>5.8380473508252775E-2</v>
      </c>
      <c r="J117" s="43">
        <f t="shared" si="149"/>
        <v>5.9346847481981574E-2</v>
      </c>
      <c r="K117" s="43">
        <f t="shared" si="149"/>
        <v>6.3857536647475177E-2</v>
      </c>
      <c r="L117" s="43">
        <f t="shared" si="149"/>
        <v>7.2391839979153924E-2</v>
      </c>
      <c r="M117" s="43">
        <f t="shared" si="149"/>
        <v>6.8882965039918129E-2</v>
      </c>
      <c r="N117" s="43">
        <f t="shared" si="149"/>
        <v>6.7345134245230531E-2</v>
      </c>
      <c r="O117" s="43">
        <f t="shared" si="149"/>
        <v>6.2112707895909884E-2</v>
      </c>
      <c r="P117" s="43">
        <f t="shared" si="149"/>
        <v>5.3039059702004329E-2</v>
      </c>
      <c r="Q117" s="43">
        <f t="shared" si="149"/>
        <v>4.7611994485103504E-2</v>
      </c>
      <c r="R117" s="43">
        <f t="shared" si="149"/>
        <v>5.5448880102474785E-2</v>
      </c>
      <c r="S117" s="43">
        <f t="shared" si="149"/>
        <v>5.9296533128619211E-2</v>
      </c>
      <c r="T117" s="43">
        <f t="shared" si="149"/>
        <v>5.5836321956775244E-2</v>
      </c>
      <c r="U117" s="43">
        <f t="shared" si="149"/>
        <v>5.1675393277256648E-2</v>
      </c>
      <c r="V117" s="43">
        <f t="shared" si="149"/>
        <v>5.6515555416622003E-2</v>
      </c>
      <c r="W117" s="43">
        <f t="shared" ref="W117:Y117" si="150">IF(W15=0,0,W15/W$14)</f>
        <v>4.4965108461543918E-2</v>
      </c>
      <c r="X117" s="43">
        <f t="shared" si="150"/>
        <v>4.3012337127584323E-2</v>
      </c>
      <c r="Y117" s="43">
        <f t="shared" si="150"/>
        <v>3.9225430512329233E-2</v>
      </c>
      <c r="DA117" s="199"/>
    </row>
    <row r="118" spans="1:105" ht="11.45" customHeight="1" x14ac:dyDescent="0.25">
      <c r="A118" s="37" t="s">
        <v>181</v>
      </c>
      <c r="B118" s="43">
        <f t="shared" ref="B118:C118" si="151">IF(B16=0,0,B16/B$14)</f>
        <v>0.78384892177018672</v>
      </c>
      <c r="C118" s="43">
        <f t="shared" si="151"/>
        <v>0.79920143680651301</v>
      </c>
      <c r="D118" s="43">
        <f t="shared" ref="D118:V118" si="152">IF(D16=0,0,D16/D$14)</f>
        <v>0.80360336234682828</v>
      </c>
      <c r="E118" s="43">
        <f t="shared" si="152"/>
        <v>0.80634145885999065</v>
      </c>
      <c r="F118" s="43">
        <f t="shared" si="152"/>
        <v>0.75718764295124097</v>
      </c>
      <c r="G118" s="43">
        <f t="shared" si="152"/>
        <v>0.7832797514265073</v>
      </c>
      <c r="H118" s="43">
        <f t="shared" si="152"/>
        <v>0.78796017967138698</v>
      </c>
      <c r="I118" s="43">
        <f t="shared" si="152"/>
        <v>0.78369346998683276</v>
      </c>
      <c r="J118" s="43">
        <f t="shared" si="152"/>
        <v>0.7836005550195555</v>
      </c>
      <c r="K118" s="43">
        <f t="shared" si="152"/>
        <v>0.80573161250350434</v>
      </c>
      <c r="L118" s="43">
        <f t="shared" si="152"/>
        <v>0.80306894949717134</v>
      </c>
      <c r="M118" s="43">
        <f t="shared" si="152"/>
        <v>0.81009722164434095</v>
      </c>
      <c r="N118" s="43">
        <f t="shared" si="152"/>
        <v>0.79485216006481718</v>
      </c>
      <c r="O118" s="43">
        <f t="shared" si="152"/>
        <v>0.80636972995297085</v>
      </c>
      <c r="P118" s="43">
        <f t="shared" si="152"/>
        <v>0.79965613684674797</v>
      </c>
      <c r="Q118" s="43">
        <f t="shared" si="152"/>
        <v>0.81240932047495562</v>
      </c>
      <c r="R118" s="43">
        <f t="shared" si="152"/>
        <v>0.8038351821607379</v>
      </c>
      <c r="S118" s="43">
        <f t="shared" si="152"/>
        <v>0.79813632104540444</v>
      </c>
      <c r="T118" s="43">
        <f t="shared" si="152"/>
        <v>0.77546105024560663</v>
      </c>
      <c r="U118" s="43">
        <f t="shared" si="152"/>
        <v>0.7704906306362207</v>
      </c>
      <c r="V118" s="43">
        <f t="shared" si="152"/>
        <v>0.80535536990103407</v>
      </c>
      <c r="W118" s="43">
        <f t="shared" ref="W118:Y118" si="153">IF(W16=0,0,W16/W$14)</f>
        <v>0.77633419444826191</v>
      </c>
      <c r="X118" s="43">
        <f t="shared" si="153"/>
        <v>0.80499655229247069</v>
      </c>
      <c r="Y118" s="43">
        <f t="shared" si="153"/>
        <v>0.79548920948377599</v>
      </c>
      <c r="DA118" s="199"/>
    </row>
    <row r="119" spans="1:105" ht="11.45" customHeight="1" x14ac:dyDescent="0.25">
      <c r="A119" s="37" t="s">
        <v>182</v>
      </c>
      <c r="B119" s="43">
        <f t="shared" ref="B119:C119" si="154">IF(B17=0,0,B17/B$14)</f>
        <v>0.17259650696106907</v>
      </c>
      <c r="C119" s="43">
        <f t="shared" si="154"/>
        <v>0.17596716503513088</v>
      </c>
      <c r="D119" s="43">
        <f t="shared" ref="D119:V119" si="155">IF(D17=0,0,D17/D$14)</f>
        <v>0.17691652855949402</v>
      </c>
      <c r="E119" s="43">
        <f t="shared" si="155"/>
        <v>0.17754400014886734</v>
      </c>
      <c r="F119" s="43">
        <f t="shared" si="155"/>
        <v>0.16671091555303083</v>
      </c>
      <c r="G119" s="43">
        <f t="shared" si="155"/>
        <v>0.14598777701784982</v>
      </c>
      <c r="H119" s="43">
        <f t="shared" si="155"/>
        <v>0.14660667566723212</v>
      </c>
      <c r="I119" s="43">
        <f t="shared" si="155"/>
        <v>0.1579260565049144</v>
      </c>
      <c r="J119" s="43">
        <f t="shared" si="155"/>
        <v>0.15705259749846298</v>
      </c>
      <c r="K119" s="43">
        <f t="shared" si="155"/>
        <v>0.13041085084902038</v>
      </c>
      <c r="L119" s="43">
        <f t="shared" si="155"/>
        <v>0.12453921052367493</v>
      </c>
      <c r="M119" s="43">
        <f t="shared" si="155"/>
        <v>0.12101981331574098</v>
      </c>
      <c r="N119" s="43">
        <f t="shared" si="155"/>
        <v>0.13780270568995229</v>
      </c>
      <c r="O119" s="43">
        <f t="shared" si="155"/>
        <v>0.13151756215111918</v>
      </c>
      <c r="P119" s="43">
        <f t="shared" si="155"/>
        <v>0.14730480345124775</v>
      </c>
      <c r="Q119" s="43">
        <f t="shared" si="155"/>
        <v>0.13997868503994074</v>
      </c>
      <c r="R119" s="43">
        <f t="shared" si="155"/>
        <v>0.14071593773678731</v>
      </c>
      <c r="S119" s="43">
        <f t="shared" si="155"/>
        <v>0.14256714582597627</v>
      </c>
      <c r="T119" s="43">
        <f t="shared" si="155"/>
        <v>0.16870262779761802</v>
      </c>
      <c r="U119" s="43">
        <f t="shared" si="155"/>
        <v>0.1778339760865226</v>
      </c>
      <c r="V119" s="43">
        <f t="shared" si="155"/>
        <v>0.13812907468234398</v>
      </c>
      <c r="W119" s="43">
        <f t="shared" ref="W119:Y119" si="156">IF(W17=0,0,W17/W$14)</f>
        <v>0.17870069709019429</v>
      </c>
      <c r="X119" s="43">
        <f t="shared" si="156"/>
        <v>0.15199111057994497</v>
      </c>
      <c r="Y119" s="43">
        <f t="shared" si="156"/>
        <v>0.16528536000389474</v>
      </c>
      <c r="DA119" s="199"/>
    </row>
    <row r="120" spans="1:105" ht="11.45" customHeight="1" x14ac:dyDescent="0.25">
      <c r="A120" s="12" t="s">
        <v>34</v>
      </c>
      <c r="B120" s="17">
        <f t="shared" ref="B120:C120" si="157">IF(B18=0,0,B18/B$18)</f>
        <v>1</v>
      </c>
      <c r="C120" s="17">
        <f t="shared" si="157"/>
        <v>1</v>
      </c>
      <c r="D120" s="17">
        <f t="shared" ref="D120:V120" si="158">IF(D18=0,0,D18/D$18)</f>
        <v>1</v>
      </c>
      <c r="E120" s="17">
        <f t="shared" si="158"/>
        <v>1</v>
      </c>
      <c r="F120" s="17">
        <f t="shared" si="158"/>
        <v>1</v>
      </c>
      <c r="G120" s="17">
        <f t="shared" si="158"/>
        <v>1</v>
      </c>
      <c r="H120" s="17">
        <f t="shared" si="158"/>
        <v>1</v>
      </c>
      <c r="I120" s="17">
        <f t="shared" si="158"/>
        <v>1</v>
      </c>
      <c r="J120" s="17">
        <f t="shared" si="158"/>
        <v>1</v>
      </c>
      <c r="K120" s="17">
        <f t="shared" si="158"/>
        <v>1</v>
      </c>
      <c r="L120" s="17">
        <f t="shared" si="158"/>
        <v>1</v>
      </c>
      <c r="M120" s="17">
        <f t="shared" si="158"/>
        <v>1</v>
      </c>
      <c r="N120" s="17">
        <f t="shared" si="158"/>
        <v>1</v>
      </c>
      <c r="O120" s="17">
        <f t="shared" si="158"/>
        <v>1</v>
      </c>
      <c r="P120" s="17">
        <f t="shared" si="158"/>
        <v>1</v>
      </c>
      <c r="Q120" s="17">
        <f t="shared" si="158"/>
        <v>1</v>
      </c>
      <c r="R120" s="17">
        <f t="shared" si="158"/>
        <v>1</v>
      </c>
      <c r="S120" s="17">
        <f t="shared" si="158"/>
        <v>1</v>
      </c>
      <c r="T120" s="17">
        <f t="shared" si="158"/>
        <v>1</v>
      </c>
      <c r="U120" s="17">
        <f t="shared" si="158"/>
        <v>1</v>
      </c>
      <c r="V120" s="17">
        <f t="shared" si="158"/>
        <v>1</v>
      </c>
      <c r="W120" s="17">
        <f t="shared" ref="W120:Y120" si="159">IF(W18=0,0,W18/W$18)</f>
        <v>1</v>
      </c>
      <c r="X120" s="17">
        <f t="shared" si="159"/>
        <v>1</v>
      </c>
      <c r="Y120" s="17">
        <f t="shared" si="159"/>
        <v>1</v>
      </c>
      <c r="DA120" s="194"/>
    </row>
    <row r="121" spans="1:105" ht="11.45" customHeight="1" x14ac:dyDescent="0.25">
      <c r="A121" s="42" t="s">
        <v>27</v>
      </c>
      <c r="B121" s="44">
        <f t="shared" ref="B121:C121" si="160">IF(B19=0,0,B19/B$18)</f>
        <v>3.7930348678670449E-2</v>
      </c>
      <c r="C121" s="44">
        <f t="shared" si="160"/>
        <v>3.7664479294831979E-2</v>
      </c>
      <c r="D121" s="44">
        <f t="shared" ref="D121:V121" si="161">IF(D19=0,0,D19/D$18)</f>
        <v>3.5379072578979404E-2</v>
      </c>
      <c r="E121" s="44">
        <f t="shared" si="161"/>
        <v>3.4768503693291659E-2</v>
      </c>
      <c r="F121" s="44">
        <f t="shared" si="161"/>
        <v>3.5227121110327872E-2</v>
      </c>
      <c r="G121" s="44">
        <f t="shared" si="161"/>
        <v>2.1715678494053422E-2</v>
      </c>
      <c r="H121" s="44">
        <f t="shared" si="161"/>
        <v>4.5939460689222465E-2</v>
      </c>
      <c r="I121" s="44">
        <f t="shared" si="161"/>
        <v>4.0306572286299205E-2</v>
      </c>
      <c r="J121" s="44">
        <f t="shared" si="161"/>
        <v>1.5891896308443957E-2</v>
      </c>
      <c r="K121" s="44">
        <f t="shared" si="161"/>
        <v>9.7369968054938413E-3</v>
      </c>
      <c r="L121" s="44">
        <f t="shared" si="161"/>
        <v>6.1596137562694563E-3</v>
      </c>
      <c r="M121" s="44">
        <f t="shared" si="161"/>
        <v>4.1060513783969946E-3</v>
      </c>
      <c r="N121" s="44">
        <f t="shared" si="161"/>
        <v>2.8582359517589973E-3</v>
      </c>
      <c r="O121" s="44">
        <f t="shared" si="161"/>
        <v>1.8614145295590319E-3</v>
      </c>
      <c r="P121" s="44">
        <f t="shared" si="161"/>
        <v>1.3335466565882958E-3</v>
      </c>
      <c r="Q121" s="44">
        <f t="shared" si="161"/>
        <v>8.4592617483521368E-4</v>
      </c>
      <c r="R121" s="44">
        <f t="shared" si="161"/>
        <v>1.702365127474337E-3</v>
      </c>
      <c r="S121" s="44">
        <f t="shared" si="161"/>
        <v>5.3576668345886869E-3</v>
      </c>
      <c r="T121" s="44">
        <f t="shared" si="161"/>
        <v>9.6404585185171018E-3</v>
      </c>
      <c r="U121" s="44">
        <f t="shared" si="161"/>
        <v>1.9544241130805867E-2</v>
      </c>
      <c r="V121" s="44">
        <f t="shared" si="161"/>
        <v>2.2647940195798241E-2</v>
      </c>
      <c r="W121" s="44">
        <f t="shared" ref="W121:Y121" si="162">IF(W19=0,0,W19/W$18)</f>
        <v>2.6506236235648243E-2</v>
      </c>
      <c r="X121" s="44">
        <f t="shared" si="162"/>
        <v>2.6531513773471141E-2</v>
      </c>
      <c r="Y121" s="44">
        <f t="shared" si="162"/>
        <v>3.2509899622862853E-2</v>
      </c>
      <c r="DA121" s="200"/>
    </row>
    <row r="122" spans="1:105" ht="11.45" customHeight="1" x14ac:dyDescent="0.25">
      <c r="A122" s="42" t="s">
        <v>181</v>
      </c>
      <c r="B122" s="44">
        <f t="shared" ref="B122:C122" si="163">IF(B20=0,0,B20/B$18)</f>
        <v>0.76115053563888935</v>
      </c>
      <c r="C122" s="44">
        <f t="shared" si="163"/>
        <v>0.73854216618581947</v>
      </c>
      <c r="D122" s="44">
        <f t="shared" ref="D122:V122" si="164">IF(D20=0,0,D20/D$18)</f>
        <v>0.72209698097575359</v>
      </c>
      <c r="E122" s="44">
        <f t="shared" si="164"/>
        <v>0.70432307380086334</v>
      </c>
      <c r="F122" s="44">
        <f t="shared" si="164"/>
        <v>0.7290012919756983</v>
      </c>
      <c r="G122" s="44">
        <f t="shared" si="164"/>
        <v>0.8555646903164188</v>
      </c>
      <c r="H122" s="44">
        <f t="shared" si="164"/>
        <v>0.83378392664168643</v>
      </c>
      <c r="I122" s="44">
        <f t="shared" si="164"/>
        <v>0.77247047293030491</v>
      </c>
      <c r="J122" s="44">
        <f t="shared" si="164"/>
        <v>0.79799485206020415</v>
      </c>
      <c r="K122" s="44">
        <f t="shared" si="164"/>
        <v>0.88099118741367799</v>
      </c>
      <c r="L122" s="44">
        <f t="shared" si="164"/>
        <v>0.88596843144001003</v>
      </c>
      <c r="M122" s="44">
        <f t="shared" si="164"/>
        <v>0.82374404194421746</v>
      </c>
      <c r="N122" s="44">
        <f t="shared" si="164"/>
        <v>0.71623044990470697</v>
      </c>
      <c r="O122" s="44">
        <f t="shared" si="164"/>
        <v>0.71830680113535217</v>
      </c>
      <c r="P122" s="44">
        <f t="shared" si="164"/>
        <v>0.82524990159090217</v>
      </c>
      <c r="Q122" s="44">
        <f t="shared" si="164"/>
        <v>0.86401168439982368</v>
      </c>
      <c r="R122" s="44">
        <f t="shared" si="164"/>
        <v>0.88637251718752497</v>
      </c>
      <c r="S122" s="44">
        <f t="shared" si="164"/>
        <v>0.90846319892520189</v>
      </c>
      <c r="T122" s="44">
        <f t="shared" si="164"/>
        <v>0.9420460971725374</v>
      </c>
      <c r="U122" s="44">
        <f t="shared" si="164"/>
        <v>0.87714410587546399</v>
      </c>
      <c r="V122" s="44">
        <f t="shared" si="164"/>
        <v>0.85917130427999422</v>
      </c>
      <c r="W122" s="44">
        <f t="shared" ref="W122:Y122" si="165">IF(W20=0,0,W20/W$18)</f>
        <v>0.85677486477469633</v>
      </c>
      <c r="X122" s="44">
        <f t="shared" si="165"/>
        <v>0.87136897872529373</v>
      </c>
      <c r="Y122" s="44">
        <f t="shared" si="165"/>
        <v>0.88165590012369777</v>
      </c>
      <c r="DA122" s="200"/>
    </row>
    <row r="123" spans="1:105" ht="11.45" customHeight="1" x14ac:dyDescent="0.25">
      <c r="A123" s="38" t="s">
        <v>182</v>
      </c>
      <c r="B123" s="45">
        <f t="shared" ref="B123:C123" si="166">IF(B21=0,0,B21/B$18)</f>
        <v>0.20091911568244025</v>
      </c>
      <c r="C123" s="45">
        <f t="shared" si="166"/>
        <v>0.22379335451934856</v>
      </c>
      <c r="D123" s="45">
        <f t="shared" ref="D123:V123" si="167">IF(D21=0,0,D21/D$18)</f>
        <v>0.24252394644526709</v>
      </c>
      <c r="E123" s="45">
        <f t="shared" si="167"/>
        <v>0.26090842250584517</v>
      </c>
      <c r="F123" s="45">
        <f t="shared" si="167"/>
        <v>0.23577158691397374</v>
      </c>
      <c r="G123" s="45">
        <f t="shared" si="167"/>
        <v>0.12271963118952785</v>
      </c>
      <c r="H123" s="45">
        <f t="shared" si="167"/>
        <v>0.12027661266909112</v>
      </c>
      <c r="I123" s="45">
        <f t="shared" si="167"/>
        <v>0.18722295478339596</v>
      </c>
      <c r="J123" s="45">
        <f t="shared" si="167"/>
        <v>0.18611325163135189</v>
      </c>
      <c r="K123" s="45">
        <f t="shared" si="167"/>
        <v>0.1092718157808281</v>
      </c>
      <c r="L123" s="45">
        <f t="shared" si="167"/>
        <v>0.10787195480372051</v>
      </c>
      <c r="M123" s="45">
        <f t="shared" si="167"/>
        <v>0.17214990667738561</v>
      </c>
      <c r="N123" s="45">
        <f t="shared" si="167"/>
        <v>0.28091131414353404</v>
      </c>
      <c r="O123" s="45">
        <f t="shared" si="167"/>
        <v>0.27983178433508882</v>
      </c>
      <c r="P123" s="45">
        <f t="shared" si="167"/>
        <v>0.17341655175250961</v>
      </c>
      <c r="Q123" s="45">
        <f t="shared" si="167"/>
        <v>0.13514238942534115</v>
      </c>
      <c r="R123" s="45">
        <f t="shared" si="167"/>
        <v>0.11192511768500057</v>
      </c>
      <c r="S123" s="45">
        <f t="shared" si="167"/>
        <v>8.6179134240209398E-2</v>
      </c>
      <c r="T123" s="45">
        <f t="shared" si="167"/>
        <v>4.831344430894545E-2</v>
      </c>
      <c r="U123" s="45">
        <f t="shared" si="167"/>
        <v>0.10331165299373021</v>
      </c>
      <c r="V123" s="45">
        <f t="shared" si="167"/>
        <v>0.11818075552420763</v>
      </c>
      <c r="W123" s="45">
        <f t="shared" ref="W123:Y123" si="168">IF(W21=0,0,W21/W$18)</f>
        <v>0.11671889898965539</v>
      </c>
      <c r="X123" s="45">
        <f t="shared" si="168"/>
        <v>0.1020995075012352</v>
      </c>
      <c r="Y123" s="45">
        <f t="shared" si="168"/>
        <v>8.5834200253439311E-2</v>
      </c>
      <c r="DA123" s="201"/>
    </row>
    <row r="125" spans="1:105" x14ac:dyDescent="0.25">
      <c r="A125" s="18" t="s">
        <v>183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A77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276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32</v>
      </c>
      <c r="B3" s="79">
        <f t="shared" ref="B3:C3" si="0">SUM(B4:B5)</f>
        <v>135.90567497850384</v>
      </c>
      <c r="C3" s="79">
        <f t="shared" si="0"/>
        <v>119.03843508168532</v>
      </c>
      <c r="D3" s="79">
        <f t="shared" ref="D3" si="1">SUM(D4:D5)</f>
        <v>101.12734307824587</v>
      </c>
      <c r="E3" s="79">
        <f t="shared" ref="E3" si="2">SUM(E4:E5)</f>
        <v>122.19355116079107</v>
      </c>
      <c r="F3" s="79">
        <f t="shared" ref="F3" si="3">SUM(F4:F5)</f>
        <v>152.50791057609632</v>
      </c>
      <c r="G3" s="79">
        <f t="shared" ref="G3" si="4">SUM(G4:G5)</f>
        <v>137.48839208942394</v>
      </c>
      <c r="H3" s="79">
        <f t="shared" ref="H3" si="5">SUM(H4:H5)</f>
        <v>157.07798796216679</v>
      </c>
      <c r="I3" s="79">
        <f t="shared" ref="I3" si="6">SUM(I4:I5)</f>
        <v>207.27678417884772</v>
      </c>
      <c r="J3" s="79">
        <f t="shared" ref="J3" si="7">SUM(J4:J5)</f>
        <v>215.66526225279443</v>
      </c>
      <c r="K3" s="79">
        <f t="shared" ref="K3" si="8">SUM(K4:K5)</f>
        <v>234.19664660361138</v>
      </c>
      <c r="L3" s="79">
        <f t="shared" ref="L3" si="9">SUM(L4:L5)</f>
        <v>277.48099742046423</v>
      </c>
      <c r="M3" s="79">
        <f t="shared" ref="M3" si="10">SUM(M4:M5)</f>
        <v>226.64049871023212</v>
      </c>
      <c r="N3" s="79">
        <f t="shared" ref="N3" si="11">SUM(N4:N5)</f>
        <v>173.55941530524495</v>
      </c>
      <c r="O3" s="79">
        <f t="shared" ref="O3" si="12">SUM(O4:O5)</f>
        <v>211.02046431642307</v>
      </c>
      <c r="P3" s="79">
        <f t="shared" ref="P3" si="13">SUM(P4:P5)</f>
        <v>230.97644024075663</v>
      </c>
      <c r="Q3" s="79">
        <f t="shared" ref="Q3" si="14">SUM(Q4:Q5)</f>
        <v>272.0010318142734</v>
      </c>
      <c r="R3" s="79">
        <f t="shared" ref="R3" si="15">SUM(R4:R5)</f>
        <v>318.55649183147023</v>
      </c>
      <c r="S3" s="79">
        <f t="shared" ref="S3" si="16">SUM(S4:S5)</f>
        <v>385.2453138435082</v>
      </c>
      <c r="T3" s="79">
        <f t="shared" ref="T3" si="17">SUM(T4:T5)</f>
        <v>192.9</v>
      </c>
      <c r="U3" s="79">
        <f t="shared" ref="U3" si="18">SUM(U4:U5)</f>
        <v>217.29380911435936</v>
      </c>
      <c r="V3" s="79">
        <f t="shared" ref="V3:W3" si="19">SUM(V4:V5)</f>
        <v>85.963370593293206</v>
      </c>
      <c r="W3" s="79">
        <f t="shared" si="19"/>
        <v>128.98822012037832</v>
      </c>
      <c r="X3" s="79">
        <f t="shared" ref="X3:Y3" si="20">SUM(X4:X5)</f>
        <v>161.78727429062764</v>
      </c>
      <c r="Y3" s="79">
        <f t="shared" si="20"/>
        <v>134.38839208942392</v>
      </c>
      <c r="DA3" s="172" t="s">
        <v>277</v>
      </c>
    </row>
    <row r="4" spans="1:105" ht="11.45" customHeight="1" x14ac:dyDescent="0.25">
      <c r="A4" s="95" t="s">
        <v>27</v>
      </c>
      <c r="B4" s="96">
        <f t="shared" ref="B4:C4" si="21">SUM(B7,B11)</f>
        <v>6.3484952708512461</v>
      </c>
      <c r="C4" s="96">
        <f t="shared" si="21"/>
        <v>3.1742906276870162</v>
      </c>
      <c r="D4" s="96">
        <f t="shared" ref="D4:V4" si="22">SUM(D7,D11)</f>
        <v>2.116165090283749</v>
      </c>
      <c r="E4" s="96">
        <f t="shared" si="22"/>
        <v>2.116165090283749</v>
      </c>
      <c r="F4" s="96">
        <f t="shared" si="22"/>
        <v>12.417626827171109</v>
      </c>
      <c r="G4" s="96">
        <f t="shared" si="22"/>
        <v>11.663800515907131</v>
      </c>
      <c r="H4" s="96">
        <f t="shared" si="22"/>
        <v>2.1273430782459162</v>
      </c>
      <c r="I4" s="96">
        <f t="shared" si="22"/>
        <v>83.515735167669817</v>
      </c>
      <c r="J4" s="96">
        <f t="shared" si="22"/>
        <v>81.08933791917454</v>
      </c>
      <c r="K4" s="96">
        <f t="shared" si="22"/>
        <v>85.484264832330169</v>
      </c>
      <c r="L4" s="96">
        <f t="shared" si="22"/>
        <v>111.31392949269132</v>
      </c>
      <c r="M4" s="96">
        <f t="shared" si="22"/>
        <v>81.35288048151331</v>
      </c>
      <c r="N4" s="96">
        <f t="shared" si="22"/>
        <v>40.414531384350802</v>
      </c>
      <c r="O4" s="96">
        <f t="shared" si="22"/>
        <v>45.624677558039558</v>
      </c>
      <c r="P4" s="96">
        <f t="shared" si="22"/>
        <v>24.274892519346515</v>
      </c>
      <c r="Q4" s="96">
        <f t="shared" si="22"/>
        <v>32.719604471195176</v>
      </c>
      <c r="R4" s="96">
        <f t="shared" si="22"/>
        <v>27.996990541702495</v>
      </c>
      <c r="S4" s="96">
        <f t="shared" si="22"/>
        <v>49.301891659501287</v>
      </c>
      <c r="T4" s="96">
        <f t="shared" si="22"/>
        <v>55.534135855545998</v>
      </c>
      <c r="U4" s="96">
        <f t="shared" si="22"/>
        <v>64.675924333619946</v>
      </c>
      <c r="V4" s="96">
        <f t="shared" si="22"/>
        <v>38.652880481513314</v>
      </c>
      <c r="W4" s="96">
        <f t="shared" ref="W4:Y4" si="23">SUM(W7,W11)</f>
        <v>46.709028374892519</v>
      </c>
      <c r="X4" s="96">
        <f t="shared" si="23"/>
        <v>70.127515047291482</v>
      </c>
      <c r="Y4" s="96">
        <f t="shared" si="23"/>
        <v>39.126139294926908</v>
      </c>
      <c r="DA4" s="171" t="s">
        <v>278</v>
      </c>
    </row>
    <row r="5" spans="1:105" ht="11.45" customHeight="1" x14ac:dyDescent="0.25">
      <c r="A5" s="95" t="s">
        <v>116</v>
      </c>
      <c r="B5" s="96">
        <f t="shared" ref="B5:C5" si="24">SUM(B8:B9,B12:B13)</f>
        <v>129.55717970765258</v>
      </c>
      <c r="C5" s="96">
        <f t="shared" si="24"/>
        <v>115.86414445399831</v>
      </c>
      <c r="D5" s="96">
        <f t="shared" ref="D5:V5" si="25">SUM(D8:D9,D12:D13)</f>
        <v>99.011177987962128</v>
      </c>
      <c r="E5" s="96">
        <f t="shared" si="25"/>
        <v>120.07738607050733</v>
      </c>
      <c r="F5" s="96">
        <f t="shared" si="25"/>
        <v>140.0902837489252</v>
      </c>
      <c r="G5" s="96">
        <f t="shared" si="25"/>
        <v>125.8245915735168</v>
      </c>
      <c r="H5" s="96">
        <f t="shared" si="25"/>
        <v>154.95064488392086</v>
      </c>
      <c r="I5" s="96">
        <f t="shared" si="25"/>
        <v>123.76104901117792</v>
      </c>
      <c r="J5" s="96">
        <f t="shared" si="25"/>
        <v>134.57592433361989</v>
      </c>
      <c r="K5" s="96">
        <f t="shared" si="25"/>
        <v>148.7123817712812</v>
      </c>
      <c r="L5" s="96">
        <f t="shared" si="25"/>
        <v>166.16706792777293</v>
      </c>
      <c r="M5" s="96">
        <f t="shared" si="25"/>
        <v>145.2876182287188</v>
      </c>
      <c r="N5" s="96">
        <f t="shared" si="25"/>
        <v>133.14488392089416</v>
      </c>
      <c r="O5" s="96">
        <f t="shared" si="25"/>
        <v>165.39578675838351</v>
      </c>
      <c r="P5" s="96">
        <f t="shared" si="25"/>
        <v>206.70154772141012</v>
      </c>
      <c r="Q5" s="96">
        <f t="shared" si="25"/>
        <v>239.28142734307824</v>
      </c>
      <c r="R5" s="96">
        <f t="shared" si="25"/>
        <v>290.55950128976775</v>
      </c>
      <c r="S5" s="96">
        <f t="shared" si="25"/>
        <v>335.94342218400692</v>
      </c>
      <c r="T5" s="96">
        <f t="shared" si="25"/>
        <v>137.36586414445401</v>
      </c>
      <c r="U5" s="96">
        <f t="shared" si="25"/>
        <v>152.61788478073942</v>
      </c>
      <c r="V5" s="96">
        <f t="shared" si="25"/>
        <v>47.310490111779885</v>
      </c>
      <c r="W5" s="96">
        <f t="shared" ref="W5:Y5" si="26">SUM(W8:W9,W12:W13)</f>
        <v>82.279191745485804</v>
      </c>
      <c r="X5" s="96">
        <f t="shared" si="26"/>
        <v>91.659759243336168</v>
      </c>
      <c r="Y5" s="96">
        <f t="shared" si="26"/>
        <v>95.262252794497002</v>
      </c>
      <c r="DA5" s="171" t="s">
        <v>279</v>
      </c>
    </row>
    <row r="6" spans="1:105" ht="11.45" customHeight="1" x14ac:dyDescent="0.25">
      <c r="A6" s="10" t="s">
        <v>33</v>
      </c>
      <c r="B6" s="21">
        <f t="shared" ref="B6:C6" si="27">SUM(B7:B9)</f>
        <v>133.89318411761823</v>
      </c>
      <c r="C6" s="21">
        <f t="shared" si="27"/>
        <v>117.30193552735885</v>
      </c>
      <c r="D6" s="21">
        <f t="shared" ref="D6:V6" si="28">SUM(D7:D9)</f>
        <v>99.487877900315866</v>
      </c>
      <c r="E6" s="21">
        <f t="shared" si="28"/>
        <v>120.57961878497056</v>
      </c>
      <c r="F6" s="21">
        <f t="shared" si="28"/>
        <v>150.70738700173359</v>
      </c>
      <c r="G6" s="21">
        <f t="shared" si="28"/>
        <v>136.37219985059633</v>
      </c>
      <c r="H6" s="21">
        <f t="shared" si="28"/>
        <v>155.84832261714348</v>
      </c>
      <c r="I6" s="21">
        <f t="shared" si="28"/>
        <v>206.11966161172072</v>
      </c>
      <c r="J6" s="21">
        <f t="shared" si="28"/>
        <v>214.35345449463389</v>
      </c>
      <c r="K6" s="21">
        <f t="shared" si="28"/>
        <v>232.71126594244078</v>
      </c>
      <c r="L6" s="21">
        <f t="shared" si="28"/>
        <v>275.74352265770654</v>
      </c>
      <c r="M6" s="21">
        <f t="shared" si="28"/>
        <v>224.86537169548748</v>
      </c>
      <c r="N6" s="21">
        <f t="shared" si="28"/>
        <v>171.77612689689357</v>
      </c>
      <c r="O6" s="21">
        <f t="shared" si="28"/>
        <v>208.86331787251461</v>
      </c>
      <c r="P6" s="21">
        <f t="shared" si="28"/>
        <v>228.90947831928713</v>
      </c>
      <c r="Q6" s="21">
        <f t="shared" si="28"/>
        <v>269.87300899401606</v>
      </c>
      <c r="R6" s="21">
        <f t="shared" si="28"/>
        <v>316.29909416085371</v>
      </c>
      <c r="S6" s="21">
        <f t="shared" si="28"/>
        <v>382.36814344167021</v>
      </c>
      <c r="T6" s="21">
        <f t="shared" si="28"/>
        <v>191.79467083499381</v>
      </c>
      <c r="U6" s="21">
        <f t="shared" si="28"/>
        <v>216.40632647253145</v>
      </c>
      <c r="V6" s="21">
        <f t="shared" si="28"/>
        <v>85.167957192469345</v>
      </c>
      <c r="W6" s="21">
        <f t="shared" ref="W6:Y6" si="29">SUM(W7:W9)</f>
        <v>127.964656152271</v>
      </c>
      <c r="X6" s="21">
        <f t="shared" si="29"/>
        <v>160.68461857176914</v>
      </c>
      <c r="Y6" s="21">
        <f t="shared" si="29"/>
        <v>133.49906141238756</v>
      </c>
      <c r="DA6" s="189" t="s">
        <v>280</v>
      </c>
    </row>
    <row r="7" spans="1:105" ht="11.45" customHeight="1" x14ac:dyDescent="0.25">
      <c r="A7" s="83" t="s">
        <v>27</v>
      </c>
      <c r="B7" s="96">
        <v>6.2737625907928596</v>
      </c>
      <c r="C7" s="96">
        <v>3.1103652882637642</v>
      </c>
      <c r="D7" s="96">
        <v>2.05942207928361</v>
      </c>
      <c r="E7" s="96">
        <v>2.0610920732631324</v>
      </c>
      <c r="F7" s="96">
        <v>12.354613139019866</v>
      </c>
      <c r="G7" s="96">
        <v>11.638633174516047</v>
      </c>
      <c r="H7" s="96">
        <v>2.1166078043896532</v>
      </c>
      <c r="I7" s="96">
        <v>83.141222197109784</v>
      </c>
      <c r="J7" s="96">
        <v>80.884285093823308</v>
      </c>
      <c r="K7" s="96">
        <v>85.335674373643755</v>
      </c>
      <c r="L7" s="96">
        <v>111.18386157906802</v>
      </c>
      <c r="M7" s="96">
        <v>81.291820594573764</v>
      </c>
      <c r="N7" s="96">
        <v>40.391830360947417</v>
      </c>
      <c r="O7" s="96">
        <v>45.605705111205616</v>
      </c>
      <c r="P7" s="96">
        <v>24.26819261217339</v>
      </c>
      <c r="Q7" s="96">
        <v>32.713469809147178</v>
      </c>
      <c r="R7" s="96">
        <v>27.989149908369363</v>
      </c>
      <c r="S7" s="96">
        <v>49.260975397179315</v>
      </c>
      <c r="T7" s="96">
        <v>55.456404215728199</v>
      </c>
      <c r="U7" s="96">
        <v>64.536091106046669</v>
      </c>
      <c r="V7" s="96">
        <v>38.413657536889758</v>
      </c>
      <c r="W7" s="96">
        <v>46.375271371011408</v>
      </c>
      <c r="X7" s="96">
        <v>69.679162348378867</v>
      </c>
      <c r="Y7" s="96">
        <v>38.831155884158925</v>
      </c>
      <c r="DA7" s="171" t="s">
        <v>281</v>
      </c>
    </row>
    <row r="8" spans="1:105" ht="11.45" customHeight="1" x14ac:dyDescent="0.25">
      <c r="A8" s="83" t="s">
        <v>181</v>
      </c>
      <c r="B8" s="96">
        <v>109.10149879259582</v>
      </c>
      <c r="C8" s="96">
        <v>97.627605315921684</v>
      </c>
      <c r="D8" s="96">
        <v>83.30390766360955</v>
      </c>
      <c r="E8" s="96">
        <v>101.34732419679204</v>
      </c>
      <c r="F8" s="96">
        <v>118.32011690371084</v>
      </c>
      <c r="G8" s="96">
        <v>106.91567062353701</v>
      </c>
      <c r="H8" s="96">
        <v>132.56173813547227</v>
      </c>
      <c r="I8" s="96">
        <v>107.11706669761077</v>
      </c>
      <c r="J8" s="96">
        <v>116.66819328721698</v>
      </c>
      <c r="K8" s="96">
        <v>128.70734609445961</v>
      </c>
      <c r="L8" s="96">
        <v>143.98420781553699</v>
      </c>
      <c r="M8" s="96">
        <v>125.27198823919913</v>
      </c>
      <c r="N8" s="96">
        <v>114.74847366685162</v>
      </c>
      <c r="O8" s="96">
        <v>142.83956815820687</v>
      </c>
      <c r="P8" s="96">
        <v>180.91885810012786</v>
      </c>
      <c r="Q8" s="96">
        <v>211.51757867931579</v>
      </c>
      <c r="R8" s="96">
        <v>261.36993886575698</v>
      </c>
      <c r="S8" s="96">
        <v>304.97894073824136</v>
      </c>
      <c r="T8" s="96">
        <v>124.73831312549855</v>
      </c>
      <c r="U8" s="96">
        <v>139.33433431943229</v>
      </c>
      <c r="V8" s="96">
        <v>41.280209892297385</v>
      </c>
      <c r="W8" s="96">
        <v>73.374986892999786</v>
      </c>
      <c r="X8" s="96">
        <v>83.954786198145342</v>
      </c>
      <c r="Y8" s="96">
        <v>87.198292751736901</v>
      </c>
      <c r="DA8" s="171" t="s">
        <v>282</v>
      </c>
    </row>
    <row r="9" spans="1:105" ht="11.45" customHeight="1" x14ac:dyDescent="0.25">
      <c r="A9" s="83" t="s">
        <v>182</v>
      </c>
      <c r="B9" s="96">
        <v>18.517922734229547</v>
      </c>
      <c r="C9" s="96">
        <v>16.563964923173401</v>
      </c>
      <c r="D9" s="96">
        <v>14.124548157422714</v>
      </c>
      <c r="E9" s="96">
        <v>17.171202514915386</v>
      </c>
      <c r="F9" s="96">
        <v>20.032656959002871</v>
      </c>
      <c r="G9" s="96">
        <v>17.817896052543276</v>
      </c>
      <c r="H9" s="96">
        <v>21.169976677281579</v>
      </c>
      <c r="I9" s="96">
        <v>15.861372717000153</v>
      </c>
      <c r="J9" s="96">
        <v>16.80097611359361</v>
      </c>
      <c r="K9" s="96">
        <v>18.668245474337432</v>
      </c>
      <c r="L9" s="96">
        <v>20.575453263101519</v>
      </c>
      <c r="M9" s="96">
        <v>18.301562861714579</v>
      </c>
      <c r="N9" s="96">
        <v>16.635822869094547</v>
      </c>
      <c r="O9" s="96">
        <v>20.418044603102121</v>
      </c>
      <c r="P9" s="96">
        <v>23.722427606985889</v>
      </c>
      <c r="Q9" s="96">
        <v>25.641960505553076</v>
      </c>
      <c r="R9" s="96">
        <v>26.940005386727361</v>
      </c>
      <c r="S9" s="96">
        <v>28.128227306249521</v>
      </c>
      <c r="T9" s="96">
        <v>11.599953493767057</v>
      </c>
      <c r="U9" s="96">
        <v>12.535901047052475</v>
      </c>
      <c r="V9" s="96">
        <v>5.4740897632821888</v>
      </c>
      <c r="W9" s="96">
        <v>8.2143978882598034</v>
      </c>
      <c r="X9" s="96">
        <v>7.0506700252449317</v>
      </c>
      <c r="Y9" s="96">
        <v>7.4696127764917435</v>
      </c>
      <c r="DA9" s="171" t="s">
        <v>283</v>
      </c>
    </row>
    <row r="10" spans="1:105" ht="11.45" customHeight="1" x14ac:dyDescent="0.25">
      <c r="A10" s="12" t="s">
        <v>34</v>
      </c>
      <c r="B10" s="22">
        <f t="shared" ref="B10:C10" si="30">SUM(B11:B13)</f>
        <v>2.0124908608856105</v>
      </c>
      <c r="C10" s="22">
        <f t="shared" si="30"/>
        <v>1.7364995543264687</v>
      </c>
      <c r="D10" s="22">
        <f t="shared" ref="D10:V10" si="31">SUM(D11:D13)</f>
        <v>1.6394651779300093</v>
      </c>
      <c r="E10" s="22">
        <f t="shared" si="31"/>
        <v>1.6139323758205075</v>
      </c>
      <c r="F10" s="22">
        <f t="shared" si="31"/>
        <v>1.8005235743627277</v>
      </c>
      <c r="G10" s="22">
        <f t="shared" si="31"/>
        <v>1.1161922388275924</v>
      </c>
      <c r="H10" s="22">
        <f t="shared" si="31"/>
        <v>1.2296653450232802</v>
      </c>
      <c r="I10" s="22">
        <f t="shared" si="31"/>
        <v>1.1571225671270318</v>
      </c>
      <c r="J10" s="22">
        <f t="shared" si="31"/>
        <v>1.3118077581605367</v>
      </c>
      <c r="K10" s="22">
        <f t="shared" si="31"/>
        <v>1.4853806611705678</v>
      </c>
      <c r="L10" s="22">
        <f t="shared" si="31"/>
        <v>1.7374747627577329</v>
      </c>
      <c r="M10" s="22">
        <f t="shared" si="31"/>
        <v>1.7751270147446554</v>
      </c>
      <c r="N10" s="22">
        <f t="shared" si="31"/>
        <v>1.7832884083513925</v>
      </c>
      <c r="O10" s="22">
        <f t="shared" si="31"/>
        <v>2.1571464439084465</v>
      </c>
      <c r="P10" s="22">
        <f t="shared" si="31"/>
        <v>2.066961921469495</v>
      </c>
      <c r="Q10" s="22">
        <f t="shared" si="31"/>
        <v>2.1280228202573834</v>
      </c>
      <c r="R10" s="22">
        <f t="shared" si="31"/>
        <v>2.2573976706165677</v>
      </c>
      <c r="S10" s="22">
        <f t="shared" si="31"/>
        <v>2.8771704018379918</v>
      </c>
      <c r="T10" s="22">
        <f t="shared" si="31"/>
        <v>1.1053291650061978</v>
      </c>
      <c r="U10" s="22">
        <f t="shared" si="31"/>
        <v>0.8874826418279369</v>
      </c>
      <c r="V10" s="22">
        <f t="shared" si="31"/>
        <v>0.79541340082387113</v>
      </c>
      <c r="W10" s="22">
        <f t="shared" ref="W10:Y10" si="32">SUM(W11:W13)</f>
        <v>1.0235639681073345</v>
      </c>
      <c r="X10" s="22">
        <f t="shared" si="32"/>
        <v>1.1026557188585135</v>
      </c>
      <c r="Y10" s="22">
        <f t="shared" si="32"/>
        <v>0.88933067703633073</v>
      </c>
      <c r="DA10" s="193" t="s">
        <v>284</v>
      </c>
    </row>
    <row r="11" spans="1:105" ht="11.45" customHeight="1" x14ac:dyDescent="0.25">
      <c r="A11" s="92" t="s">
        <v>27</v>
      </c>
      <c r="B11" s="97">
        <v>7.4732680058386736E-2</v>
      </c>
      <c r="C11" s="97">
        <v>6.3925339423252167E-2</v>
      </c>
      <c r="D11" s="97">
        <v>5.6743011000139197E-2</v>
      </c>
      <c r="E11" s="97">
        <v>5.5073017020616767E-2</v>
      </c>
      <c r="F11" s="97">
        <v>6.3013688151242406E-2</v>
      </c>
      <c r="G11" s="97">
        <v>2.5167341391084831E-2</v>
      </c>
      <c r="H11" s="97">
        <v>1.0735273856263014E-2</v>
      </c>
      <c r="I11" s="97">
        <v>0.37451297056002664</v>
      </c>
      <c r="J11" s="97">
        <v>0.20505282535122701</v>
      </c>
      <c r="K11" s="97">
        <v>0.14859045868641249</v>
      </c>
      <c r="L11" s="97">
        <v>0.13006791362329062</v>
      </c>
      <c r="M11" s="97">
        <v>6.1059886939551389E-2</v>
      </c>
      <c r="N11" s="97">
        <v>2.2701023403387588E-2</v>
      </c>
      <c r="O11" s="97">
        <v>1.8972446833940997E-2</v>
      </c>
      <c r="P11" s="97">
        <v>6.699907173126963E-3</v>
      </c>
      <c r="Q11" s="97">
        <v>6.134662048001057E-3</v>
      </c>
      <c r="R11" s="97">
        <v>7.8406333331302487E-3</v>
      </c>
      <c r="S11" s="97">
        <v>4.091626232197175E-2</v>
      </c>
      <c r="T11" s="97">
        <v>7.7731639817798667E-2</v>
      </c>
      <c r="U11" s="97">
        <v>0.1398332275732766</v>
      </c>
      <c r="V11" s="97">
        <v>0.23922294462355714</v>
      </c>
      <c r="W11" s="97">
        <v>0.33375700388110929</v>
      </c>
      <c r="X11" s="97">
        <v>0.44835269891261359</v>
      </c>
      <c r="Y11" s="97">
        <v>0.29498341076798079</v>
      </c>
      <c r="DA11" s="175" t="s">
        <v>285</v>
      </c>
    </row>
    <row r="12" spans="1:105" ht="11.45" customHeight="1" x14ac:dyDescent="0.25">
      <c r="A12" s="92" t="s">
        <v>181</v>
      </c>
      <c r="B12" s="97">
        <v>1.6104865235583388</v>
      </c>
      <c r="C12" s="97">
        <v>1.3557574242957409</v>
      </c>
      <c r="D12" s="97">
        <v>1.256682664452772</v>
      </c>
      <c r="E12" s="97">
        <v>1.211999765571091</v>
      </c>
      <c r="F12" s="97">
        <v>1.3910244772345077</v>
      </c>
      <c r="G12" s="97">
        <v>0.97785216675806408</v>
      </c>
      <c r="H12" s="97">
        <v>1.0925924961418845</v>
      </c>
      <c r="I12" s="97">
        <v>0.65827907769978977</v>
      </c>
      <c r="J12" s="97">
        <v>0.92274145988658141</v>
      </c>
      <c r="K12" s="97">
        <v>1.1785438268550421</v>
      </c>
      <c r="L12" s="97">
        <v>1.4097202430430937</v>
      </c>
      <c r="M12" s="97">
        <v>1.3864485439054135</v>
      </c>
      <c r="N12" s="97">
        <v>1.2006160708790237</v>
      </c>
      <c r="O12" s="97">
        <v>1.5234561112952449</v>
      </c>
      <c r="P12" s="97">
        <v>1.7957440473864412</v>
      </c>
      <c r="Q12" s="97">
        <v>1.9317832616831636</v>
      </c>
      <c r="R12" s="97">
        <v>2.1186181877902928</v>
      </c>
      <c r="S12" s="97">
        <v>2.7242018381690638</v>
      </c>
      <c r="T12" s="97">
        <v>0.99921612065273258</v>
      </c>
      <c r="U12" s="97">
        <v>0.7040762091621906</v>
      </c>
      <c r="V12" s="97">
        <v>0.50559811990188241</v>
      </c>
      <c r="W12" s="97">
        <v>0.64048662616153629</v>
      </c>
      <c r="X12" s="97">
        <v>0.61171977885928175</v>
      </c>
      <c r="Y12" s="97">
        <v>0.56349664669699984</v>
      </c>
      <c r="DA12" s="175" t="s">
        <v>286</v>
      </c>
    </row>
    <row r="13" spans="1:105" ht="11.45" customHeight="1" x14ac:dyDescent="0.25">
      <c r="A13" s="85" t="s">
        <v>182</v>
      </c>
      <c r="B13" s="98">
        <v>0.32727165726888496</v>
      </c>
      <c r="C13" s="98">
        <v>0.3168167906074757</v>
      </c>
      <c r="D13" s="98">
        <v>0.32603950247709818</v>
      </c>
      <c r="E13" s="98">
        <v>0.34685959322879961</v>
      </c>
      <c r="F13" s="98">
        <v>0.34648540897697744</v>
      </c>
      <c r="G13" s="98">
        <v>0.11317273067844355</v>
      </c>
      <c r="H13" s="98">
        <v>0.12633757502513268</v>
      </c>
      <c r="I13" s="98">
        <v>0.12433051886721554</v>
      </c>
      <c r="J13" s="98">
        <v>0.18401347292272832</v>
      </c>
      <c r="K13" s="98">
        <v>0.15824637562911328</v>
      </c>
      <c r="L13" s="98">
        <v>0.19768660609134844</v>
      </c>
      <c r="M13" s="98">
        <v>0.32761858389969056</v>
      </c>
      <c r="N13" s="98">
        <v>0.55997131406898126</v>
      </c>
      <c r="O13" s="98">
        <v>0.61471788577926068</v>
      </c>
      <c r="P13" s="98">
        <v>0.26451796690992668</v>
      </c>
      <c r="Q13" s="98">
        <v>0.19010489652621892</v>
      </c>
      <c r="R13" s="98">
        <v>0.13093884949314474</v>
      </c>
      <c r="S13" s="98">
        <v>0.11205230134695592</v>
      </c>
      <c r="T13" s="98">
        <v>2.8381404535666441E-2</v>
      </c>
      <c r="U13" s="98">
        <v>4.3573205092469751E-2</v>
      </c>
      <c r="V13" s="98">
        <v>5.0592336298431552E-2</v>
      </c>
      <c r="W13" s="98">
        <v>4.9320338064688836E-2</v>
      </c>
      <c r="X13" s="98">
        <v>4.2583241086618283E-2</v>
      </c>
      <c r="Y13" s="98">
        <v>3.0850619571350046E-2</v>
      </c>
      <c r="DA13" s="178" t="s">
        <v>287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73</v>
      </c>
      <c r="B17" s="62">
        <f>IF(B3=0,0,B3/TrAvia_act!B13*100)</f>
        <v>473.89173919681673</v>
      </c>
      <c r="C17" s="62">
        <f>IF(C3=0,0,C3/TrAvia_act!C13*100)</f>
        <v>472.81914398999783</v>
      </c>
      <c r="D17" s="62">
        <f>IF(D3=0,0,D3/TrAvia_act!D13*100)</f>
        <v>471.45301218591425</v>
      </c>
      <c r="E17" s="62">
        <f>IF(E3=0,0,E3/TrAvia_act!E13*100)</f>
        <v>472.04324709428238</v>
      </c>
      <c r="F17" s="62">
        <f>IF(F3=0,0,F3/TrAvia_act!F13*100)</f>
        <v>474.25986352313652</v>
      </c>
      <c r="G17" s="62">
        <f>IF(G3=0,0,G3/TrAvia_act!G13*100)</f>
        <v>334.88993121613538</v>
      </c>
      <c r="H17" s="62">
        <f>IF(H3=0,0,H3/TrAvia_act!H13*100)</f>
        <v>330.35182892545845</v>
      </c>
      <c r="I17" s="62">
        <f>IF(I3=0,0,I3/TrAvia_act!I13*100)</f>
        <v>338.14847858828102</v>
      </c>
      <c r="J17" s="62">
        <f>IF(J3=0,0,J3/TrAvia_act!J13*100)</f>
        <v>308.02957936462121</v>
      </c>
      <c r="K17" s="62">
        <f>IF(K3=0,0,K3/TrAvia_act!K13*100)</f>
        <v>326.6790090432782</v>
      </c>
      <c r="L17" s="62">
        <f>IF(L3=0,0,L3/TrAvia_act!L13*100)</f>
        <v>374.73428438680634</v>
      </c>
      <c r="M17" s="62">
        <f>IF(M3=0,0,M3/TrAvia_act!M13*100)</f>
        <v>304.41755513482002</v>
      </c>
      <c r="N17" s="62">
        <f>IF(N3=0,0,N3/TrAvia_act!N13*100)</f>
        <v>249.69007525019185</v>
      </c>
      <c r="O17" s="62">
        <f>IF(O3=0,0,O3/TrAvia_act!O13*100)</f>
        <v>302.44619403439657</v>
      </c>
      <c r="P17" s="62">
        <f>IF(P3=0,0,P3/TrAvia_act!P13*100)</f>
        <v>310.42283373576265</v>
      </c>
      <c r="Q17" s="62">
        <f>IF(Q3=0,0,Q3/TrAvia_act!Q13*100)</f>
        <v>331.93402689691203</v>
      </c>
      <c r="R17" s="62">
        <f>IF(R3=0,0,R3/TrAvia_act!R13*100)</f>
        <v>334.81287574538214</v>
      </c>
      <c r="S17" s="62">
        <f>IF(S3=0,0,S3/TrAvia_act!S13*100)</f>
        <v>360.91397286593576</v>
      </c>
      <c r="T17" s="62">
        <f>IF(T3=0,0,T3/TrAvia_act!T13*100)</f>
        <v>166.15519011995437</v>
      </c>
      <c r="U17" s="62">
        <f>IF(U3=0,0,U3/TrAvia_act!U13*100)</f>
        <v>178.78157120758087</v>
      </c>
      <c r="V17" s="62">
        <f>IF(V3=0,0,V3/TrAvia_act!V13*100)</f>
        <v>175.90662454700745</v>
      </c>
      <c r="W17" s="62">
        <f>IF(W3=0,0,W3/TrAvia_act!W13*100)</f>
        <v>174.39445769277498</v>
      </c>
      <c r="X17" s="62">
        <f>IF(X3=0,0,X3/TrAvia_act!X13*100)</f>
        <v>152.50212114619131</v>
      </c>
      <c r="Y17" s="62">
        <f>IF(Y3=0,0,Y3/TrAvia_act!Y13*100)</f>
        <v>114.41304912339851</v>
      </c>
      <c r="DA17" s="172" t="s">
        <v>288</v>
      </c>
    </row>
    <row r="18" spans="1:105" ht="11.45" customHeight="1" x14ac:dyDescent="0.25">
      <c r="A18" s="10" t="s">
        <v>33</v>
      </c>
      <c r="B18" s="14">
        <f>IF(B6=0,0,B6/TrAvia_act!B14*100)</f>
        <v>472.74001194934385</v>
      </c>
      <c r="C18" s="14">
        <f>IF(C6=0,0,C6/TrAvia_act!C14*100)</f>
        <v>471.72049983630285</v>
      </c>
      <c r="D18" s="14">
        <f>IF(D6=0,0,D6/TrAvia_act!D14*100)</f>
        <v>470.27294740946053</v>
      </c>
      <c r="E18" s="14">
        <f>IF(E6=0,0,E6/TrAvia_act!E14*100)</f>
        <v>471.10718788157271</v>
      </c>
      <c r="F18" s="14">
        <f>IF(F6=0,0,F6/TrAvia_act!F14*100)</f>
        <v>473.40386167215723</v>
      </c>
      <c r="G18" s="14">
        <f>IF(G6=0,0,G6/TrAvia_act!G14*100)</f>
        <v>334.31587733567221</v>
      </c>
      <c r="H18" s="14">
        <f>IF(H6=0,0,H6/TrAvia_act!H14*100)</f>
        <v>329.76232108900524</v>
      </c>
      <c r="I18" s="14">
        <f>IF(I6=0,0,I6/TrAvia_act!I14*100)</f>
        <v>337.9578079841325</v>
      </c>
      <c r="J18" s="14">
        <f>IF(J6=0,0,J6/TrAvia_act!J14*100)</f>
        <v>308.2166211840966</v>
      </c>
      <c r="K18" s="14">
        <f>IF(K6=0,0,K6/TrAvia_act!K14*100)</f>
        <v>327.00557753133069</v>
      </c>
      <c r="L18" s="14">
        <f>IF(L6=0,0,L6/TrAvia_act!L14*100)</f>
        <v>375.34051070936704</v>
      </c>
      <c r="M18" s="14">
        <f>IF(M6=0,0,M6/TrAvia_act!M14*100)</f>
        <v>304.72508117305256</v>
      </c>
      <c r="N18" s="14">
        <f>IF(N6=0,0,N6/TrAvia_act!N14*100)</f>
        <v>249.82258493697853</v>
      </c>
      <c r="O18" s="14">
        <f>IF(O6=0,0,O6/TrAvia_act!O14*100)</f>
        <v>302.83048064390209</v>
      </c>
      <c r="P18" s="14">
        <f>IF(P6=0,0,P6/TrAvia_act!P14*100)</f>
        <v>310.55093444910955</v>
      </c>
      <c r="Q18" s="14">
        <f>IF(Q6=0,0,Q6/TrAvia_act!Q14*100)</f>
        <v>332.40727397381374</v>
      </c>
      <c r="R18" s="14">
        <f>IF(R6=0,0,R6/TrAvia_act!R14*100)</f>
        <v>335.18922040584368</v>
      </c>
      <c r="S18" s="14">
        <f>IF(S6=0,0,S6/TrAvia_act!S14*100)</f>
        <v>361.27825887665034</v>
      </c>
      <c r="T18" s="14">
        <f>IF(T6=0,0,T6/TrAvia_act!T14*100)</f>
        <v>166.47822413207865</v>
      </c>
      <c r="U18" s="14">
        <f>IF(U6=0,0,U6/TrAvia_act!U14*100)</f>
        <v>178.99409109250155</v>
      </c>
      <c r="V18" s="14">
        <f>IF(V6=0,0,V6/TrAvia_act!V14*100)</f>
        <v>176.42552776400612</v>
      </c>
      <c r="W18" s="14">
        <f>IF(W6=0,0,W6/TrAvia_act!W14*100)</f>
        <v>174.54541462577774</v>
      </c>
      <c r="X18" s="14">
        <f>IF(X6=0,0,X6/TrAvia_act!X14*100)</f>
        <v>152.72316681718317</v>
      </c>
      <c r="Y18" s="14">
        <f>IF(Y6=0,0,Y6/TrAvia_act!Y14*100)</f>
        <v>114.49633940974213</v>
      </c>
      <c r="DA18" s="189" t="s">
        <v>289</v>
      </c>
    </row>
    <row r="19" spans="1:105" ht="11.45" customHeight="1" x14ac:dyDescent="0.25">
      <c r="A19" s="83" t="s">
        <v>27</v>
      </c>
      <c r="B19" s="87">
        <f>IF(B7=0,0,B7/TrAvia_act!B15*100)</f>
        <v>508.57877262053444</v>
      </c>
      <c r="C19" s="87">
        <f>IF(C7=0,0,C7/TrAvia_act!C15*100)</f>
        <v>503.72069596117279</v>
      </c>
      <c r="D19" s="87">
        <f>IF(D7=0,0,D7/TrAvia_act!D15*100)</f>
        <v>499.72814402682195</v>
      </c>
      <c r="E19" s="87">
        <f>IF(E7=0,0,E7/TrAvia_act!E15*100)</f>
        <v>499.71832722484805</v>
      </c>
      <c r="F19" s="87">
        <f>IF(F7=0,0,F7/TrAvia_act!F15*100)</f>
        <v>509.95696052065529</v>
      </c>
      <c r="G19" s="87">
        <f>IF(G7=0,0,G7/TrAvia_act!G15*100)</f>
        <v>403.37994562239459</v>
      </c>
      <c r="H19" s="87">
        <f>IF(H7=0,0,H7/TrAvia_act!H15*100)</f>
        <v>68.444964007130864</v>
      </c>
      <c r="I19" s="87">
        <f>IF(I7=0,0,I7/TrAvia_act!I15*100)</f>
        <v>2335.026722746924</v>
      </c>
      <c r="J19" s="87">
        <f>IF(J7=0,0,J7/TrAvia_act!J15*100)</f>
        <v>1959.7111583504943</v>
      </c>
      <c r="K19" s="87">
        <f>IF(K7=0,0,K7/TrAvia_act!K15*100)</f>
        <v>1877.8297495582012</v>
      </c>
      <c r="L19" s="87">
        <f>IF(L7=0,0,L7/TrAvia_act!L15*100)</f>
        <v>2090.6063229971423</v>
      </c>
      <c r="M19" s="87">
        <f>IF(M7=0,0,M7/TrAvia_act!M15*100)</f>
        <v>1599.2657536857389</v>
      </c>
      <c r="N19" s="87">
        <f>IF(N7=0,0,N7/TrAvia_act!N15*100)</f>
        <v>872.28057697976305</v>
      </c>
      <c r="O19" s="87">
        <f>IF(O7=0,0,O7/TrAvia_act!O15*100)</f>
        <v>1064.5746602534034</v>
      </c>
      <c r="P19" s="87">
        <f>IF(P7=0,0,P7/TrAvia_act!P15*100)</f>
        <v>620.74135778180062</v>
      </c>
      <c r="Q19" s="87">
        <f>IF(Q7=0,0,Q7/TrAvia_act!Q15*100)</f>
        <v>846.29408127508793</v>
      </c>
      <c r="R19" s="87">
        <f>IF(R7=0,0,R7/TrAvia_act!R15*100)</f>
        <v>534.92023197780372</v>
      </c>
      <c r="S19" s="87">
        <f>IF(S7=0,0,S7/TrAvia_act!S15*100)</f>
        <v>784.93524369143836</v>
      </c>
      <c r="T19" s="87">
        <f>IF(T7=0,0,T7/TrAvia_act!T15*100)</f>
        <v>862.09634236761121</v>
      </c>
      <c r="U19" s="87">
        <f>IF(U7=0,0,U7/TrAvia_act!U15*100)</f>
        <v>1032.9697604881276</v>
      </c>
      <c r="V19" s="87">
        <f>IF(V7=0,0,V7/TrAvia_act!V15*100)</f>
        <v>1408.0006487945238</v>
      </c>
      <c r="W19" s="87">
        <f>IF(W7=0,0,W7/TrAvia_act!W15*100)</f>
        <v>1406.7898584146672</v>
      </c>
      <c r="X19" s="87">
        <f>IF(X7=0,0,X7/TrAvia_act!X15*100)</f>
        <v>1539.7155458711684</v>
      </c>
      <c r="Y19" s="87">
        <f>IF(Y7=0,0,Y7/TrAvia_act!Y15*100)</f>
        <v>849.03577322693309</v>
      </c>
      <c r="DA19" s="171" t="s">
        <v>290</v>
      </c>
    </row>
    <row r="20" spans="1:105" ht="11.45" customHeight="1" x14ac:dyDescent="0.25">
      <c r="A20" s="83" t="s">
        <v>181</v>
      </c>
      <c r="B20" s="87">
        <f>IF(B8=0,0,B8/TrAvia_act!B16*100)</f>
        <v>491.43065478870477</v>
      </c>
      <c r="C20" s="87">
        <f>IF(C8=0,0,C8/TrAvia_act!C16*100)</f>
        <v>491.24252228912206</v>
      </c>
      <c r="D20" s="87">
        <f>IF(D8=0,0,D8/TrAvia_act!D16*100)</f>
        <v>490.00832436459388</v>
      </c>
      <c r="E20" s="87">
        <f>IF(E8=0,0,E8/TrAvia_act!E16*100)</f>
        <v>491.06515747210562</v>
      </c>
      <c r="F20" s="87">
        <f>IF(F8=0,0,F8/TrAvia_act!F16*100)</f>
        <v>490.85399331338539</v>
      </c>
      <c r="G20" s="87">
        <f>IF(G8=0,0,G8/TrAvia_act!G16*100)</f>
        <v>334.62287095758217</v>
      </c>
      <c r="H20" s="87">
        <f>IF(H8=0,0,H8/TrAvia_act!H16*100)</f>
        <v>355.96952433908336</v>
      </c>
      <c r="I20" s="87">
        <f>IF(I8=0,0,I8/TrAvia_act!I16*100)</f>
        <v>224.10704393309521</v>
      </c>
      <c r="J20" s="87">
        <f>IF(J8=0,0,J8/TrAvia_act!J16*100)</f>
        <v>214.08355396473965</v>
      </c>
      <c r="K20" s="87">
        <f>IF(K8=0,0,K8/TrAvia_act!K16*100)</f>
        <v>224.46605999870707</v>
      </c>
      <c r="L20" s="87">
        <f>IF(L8=0,0,L8/TrAvia_act!L16*100)</f>
        <v>244.05187472502385</v>
      </c>
      <c r="M20" s="87">
        <f>IF(M8=0,0,M8/TrAvia_act!M16*100)</f>
        <v>209.55713291154856</v>
      </c>
      <c r="N20" s="87">
        <f>IF(N8=0,0,N8/TrAvia_act!N16*100)</f>
        <v>209.95656075151607</v>
      </c>
      <c r="O20" s="87">
        <f>IF(O8=0,0,O8/TrAvia_act!O16*100)</f>
        <v>256.8335325271151</v>
      </c>
      <c r="P20" s="87">
        <f>IF(P8=0,0,P8/TrAvia_act!P16*100)</f>
        <v>306.9372715190259</v>
      </c>
      <c r="Q20" s="87">
        <f>IF(Q8=0,0,Q8/TrAvia_act!Q16*100)</f>
        <v>320.68794635545618</v>
      </c>
      <c r="R20" s="87">
        <f>IF(R8=0,0,R8/TrAvia_act!R16*100)</f>
        <v>344.57258507654763</v>
      </c>
      <c r="S20" s="87">
        <f>IF(S8=0,0,S8/TrAvia_act!S16*100)</f>
        <v>361.03798919792365</v>
      </c>
      <c r="T20" s="87">
        <f>IF(T8=0,0,T8/TrAvia_act!T16*100)</f>
        <v>139.62422526281392</v>
      </c>
      <c r="U20" s="87">
        <f>IF(U8=0,0,U8/TrAvia_act!U16*100)</f>
        <v>149.57517740787</v>
      </c>
      <c r="V20" s="87">
        <f>IF(V8=0,0,V8/TrAvia_act!V16*100)</f>
        <v>106.17922051419232</v>
      </c>
      <c r="W20" s="87">
        <f>IF(W8=0,0,W8/TrAvia_act!W16*100)</f>
        <v>128.91923842880072</v>
      </c>
      <c r="X20" s="87">
        <f>IF(X8=0,0,X8/TrAvia_act!X16*100)</f>
        <v>99.124738427363312</v>
      </c>
      <c r="Y20" s="87">
        <f>IF(Y8=0,0,Y8/TrAvia_act!Y16*100)</f>
        <v>94.012819722303249</v>
      </c>
      <c r="DA20" s="171" t="s">
        <v>291</v>
      </c>
    </row>
    <row r="21" spans="1:105" ht="11.45" customHeight="1" x14ac:dyDescent="0.25">
      <c r="A21" s="83" t="s">
        <v>182</v>
      </c>
      <c r="B21" s="87">
        <f>IF(B9=0,0,B9/TrAvia_act!B17*100)</f>
        <v>378.81237472133063</v>
      </c>
      <c r="C21" s="87">
        <f>IF(C9=0,0,C9/TrAvia_act!C17*100)</f>
        <v>378.54040000625349</v>
      </c>
      <c r="D21" s="87">
        <f>IF(D9=0,0,D9/TrAvia_act!D17*100)</f>
        <v>377.38617275017259</v>
      </c>
      <c r="E21" s="87">
        <f>IF(E9=0,0,E9/TrAvia_act!E17*100)</f>
        <v>377.86836438213669</v>
      </c>
      <c r="F21" s="87">
        <f>IF(F9=0,0,F9/TrAvia_act!F17*100)</f>
        <v>377.46072857221884</v>
      </c>
      <c r="G21" s="87">
        <f>IF(G9=0,0,G9/TrAvia_act!G17*100)</f>
        <v>299.20653984065729</v>
      </c>
      <c r="H21" s="87">
        <f>IF(H9=0,0,H9/TrAvia_act!H17*100)</f>
        <v>305.53821166844187</v>
      </c>
      <c r="I21" s="87">
        <f>IF(I9=0,0,I9/TrAvia_act!I17*100)</f>
        <v>164.67589910671364</v>
      </c>
      <c r="J21" s="87">
        <f>IF(J9=0,0,J9/TrAvia_act!J17*100)</f>
        <v>153.82076220445722</v>
      </c>
      <c r="K21" s="87">
        <f>IF(K9=0,0,K9/TrAvia_act!K17*100)</f>
        <v>201.15346871329157</v>
      </c>
      <c r="L21" s="87">
        <f>IF(L9=0,0,L9/TrAvia_act!L17*100)</f>
        <v>224.88651999272281</v>
      </c>
      <c r="M21" s="87">
        <f>IF(M9=0,0,M9/TrAvia_act!M17*100)</f>
        <v>204.93555844672758</v>
      </c>
      <c r="N21" s="87">
        <f>IF(N9=0,0,N9/TrAvia_act!N17*100)</f>
        <v>175.57207187268455</v>
      </c>
      <c r="O21" s="87">
        <f>IF(O9=0,0,O9/TrAvia_act!O17*100)</f>
        <v>225.09601749933009</v>
      </c>
      <c r="P21" s="87">
        <f>IF(P9=0,0,P9/TrAvia_act!P17*100)</f>
        <v>218.47979809893405</v>
      </c>
      <c r="Q21" s="87">
        <f>IF(Q9=0,0,Q9/TrAvia_act!Q17*100)</f>
        <v>225.63183995628648</v>
      </c>
      <c r="R21" s="87">
        <f>IF(R9=0,0,R9/TrAvia_act!R17*100)</f>
        <v>202.88338595530581</v>
      </c>
      <c r="S21" s="87">
        <f>IF(S9=0,0,S9/TrAvia_act!S17*100)</f>
        <v>186.41593464780243</v>
      </c>
      <c r="T21" s="87">
        <f>IF(T9=0,0,T9/TrAvia_act!T17*100)</f>
        <v>59.68363961663016</v>
      </c>
      <c r="U21" s="87">
        <f>IF(U9=0,0,U9/TrAvia_act!U17*100)</f>
        <v>58.305504580321852</v>
      </c>
      <c r="V21" s="87">
        <f>IF(V9=0,0,V9/TrAvia_act!V17*100)</f>
        <v>82.094111493082281</v>
      </c>
      <c r="W21" s="87">
        <f>IF(W9=0,0,W9/TrAvia_act!W17*100)</f>
        <v>62.70005169258306</v>
      </c>
      <c r="X21" s="87">
        <f>IF(X9=0,0,X9/TrAvia_act!X17*100)</f>
        <v>44.090275879290402</v>
      </c>
      <c r="Y21" s="87">
        <f>IF(Y9=0,0,Y9/TrAvia_act!Y17*100)</f>
        <v>38.759403991742786</v>
      </c>
      <c r="DA21" s="171" t="s">
        <v>292</v>
      </c>
    </row>
    <row r="22" spans="1:105" ht="11.45" customHeight="1" x14ac:dyDescent="0.25">
      <c r="A22" s="12" t="s">
        <v>34</v>
      </c>
      <c r="B22" s="15">
        <f>IF(B10=0,0,B10/TrAvia_act!B18*100)</f>
        <v>565.56290363854669</v>
      </c>
      <c r="C22" s="15">
        <f>IF(C10=0,0,C10/TrAvia_act!C18*100)</f>
        <v>561.09433957237354</v>
      </c>
      <c r="D22" s="15">
        <f>IF(D10=0,0,D10/TrAvia_act!D18*100)</f>
        <v>556.13799144592258</v>
      </c>
      <c r="E22" s="15">
        <f>IF(E10=0,0,E10/TrAvia_act!E18*100)</f>
        <v>554.3323634755086</v>
      </c>
      <c r="F22" s="15">
        <f>IF(F10=0,0,F10/TrAvia_act!F18*100)</f>
        <v>558.83948089242062</v>
      </c>
      <c r="G22" s="15">
        <f>IF(G10=0,0,G10/TrAvia_act!G18*100)</f>
        <v>423.79805913513815</v>
      </c>
      <c r="H22" s="15">
        <f>IF(H10=0,0,H10/TrAvia_act!H18*100)</f>
        <v>427.12608600916724</v>
      </c>
      <c r="I22" s="15">
        <f>IF(I10=0,0,I10/TrAvia_act!I18*100)</f>
        <v>375.92892237263544</v>
      </c>
      <c r="J22" s="15">
        <f>IF(J10=0,0,J10/TrAvia_act!J18*100)</f>
        <v>280.24051773897645</v>
      </c>
      <c r="K22" s="15">
        <f>IF(K10=0,0,K10/TrAvia_act!K18*100)</f>
        <v>282.48229409994622</v>
      </c>
      <c r="L22" s="15">
        <f>IF(L10=0,0,L10/TrAvia_act!L18*100)</f>
        <v>298.27741181367162</v>
      </c>
      <c r="M22" s="15">
        <f>IF(M10=0,0,M10/TrAvia_act!M18*100)</f>
        <v>269.91199900447873</v>
      </c>
      <c r="N22" s="15">
        <f>IF(N10=0,0,N10/TrAvia_act!N18*100)</f>
        <v>237.55290363812702</v>
      </c>
      <c r="O22" s="15">
        <f>IF(O10=0,0,O10/TrAvia_act!O18*100)</f>
        <v>269.35155176505123</v>
      </c>
      <c r="P22" s="15">
        <f>IF(P10=0,0,P10/TrAvia_act!P18*100)</f>
        <v>296.86145576720128</v>
      </c>
      <c r="Q22" s="15">
        <f>IF(Q10=0,0,Q10/TrAvia_act!Q18*100)</f>
        <v>281.16866261071129</v>
      </c>
      <c r="R22" s="15">
        <f>IF(R10=0,0,R10/TrAvia_act!R18*100)</f>
        <v>289.30002289779435</v>
      </c>
      <c r="S22" s="15">
        <f>IF(S10=0,0,S10/TrAvia_act!S18*100)</f>
        <v>318.26525199965954</v>
      </c>
      <c r="T22" s="15">
        <f>IF(T10=0,0,T10/TrAvia_act!T18*100)</f>
        <v>124.30306170369664</v>
      </c>
      <c r="U22" s="15">
        <f>IF(U10=0,0,U10/TrAvia_act!U18*100)</f>
        <v>138.64249820385891</v>
      </c>
      <c r="V22" s="15">
        <f>IF(V10=0,0,V10/TrAvia_act!V18*100)</f>
        <v>133.7768429629233</v>
      </c>
      <c r="W22" s="15">
        <f>IF(W10=0,0,W10/TrAvia_act!W18*100)</f>
        <v>157.37819348905842</v>
      </c>
      <c r="X22" s="15">
        <f>IF(X10=0,0,X10/TrAvia_act!X18*100)</f>
        <v>125.939373639308</v>
      </c>
      <c r="Y22" s="15">
        <f>IF(Y10=0,0,Y10/TrAvia_act!Y18*100)</f>
        <v>103.14927642260756</v>
      </c>
      <c r="DA22" s="193" t="s">
        <v>293</v>
      </c>
    </row>
    <row r="23" spans="1:105" ht="11.45" customHeight="1" x14ac:dyDescent="0.25">
      <c r="A23" s="92" t="s">
        <v>27</v>
      </c>
      <c r="B23" s="101">
        <f>IF(B11=0,0,B11/TrAvia_act!B19*100)</f>
        <v>553.69515183638964</v>
      </c>
      <c r="C23" s="101">
        <f>IF(C11=0,0,C11/TrAvia_act!C19*100)</f>
        <v>548.40611179313748</v>
      </c>
      <c r="D23" s="101">
        <f>IF(D11=0,0,D11/TrAvia_act!D19*100)</f>
        <v>544.05937777961503</v>
      </c>
      <c r="E23" s="101">
        <f>IF(E11=0,0,E11/TrAvia_act!E19*100)</f>
        <v>544.04869012226072</v>
      </c>
      <c r="F23" s="101">
        <f>IF(F11=0,0,F11/TrAvia_act!F19*100)</f>
        <v>555.1955997506517</v>
      </c>
      <c r="G23" s="101">
        <f>IF(G11=0,0,G11/TrAvia_act!G19*100)</f>
        <v>440.03163698900886</v>
      </c>
      <c r="H23" s="101">
        <f>IF(H11=0,0,H11/TrAvia_act!H19*100)</f>
        <v>81.170159173262533</v>
      </c>
      <c r="I23" s="101">
        <f>IF(I11=0,0,I11/TrAvia_act!I19*100)</f>
        <v>3018.6820517276155</v>
      </c>
      <c r="J23" s="101">
        <f>IF(J11=0,0,J11/TrAvia_act!J19*100)</f>
        <v>2756.4541095228624</v>
      </c>
      <c r="K23" s="101">
        <f>IF(K11=0,0,K11/TrAvia_act!K19*100)</f>
        <v>2902.1467021407861</v>
      </c>
      <c r="L23" s="101">
        <f>IF(L11=0,0,L11/TrAvia_act!L19*100)</f>
        <v>3625.0880082765107</v>
      </c>
      <c r="M23" s="101">
        <f>IF(M11=0,0,M11/TrAvia_act!M19*100)</f>
        <v>2261.1239743998071</v>
      </c>
      <c r="N23" s="101">
        <f>IF(N11=0,0,N11/TrAvia_act!N19*100)</f>
        <v>1058.0010907353892</v>
      </c>
      <c r="O23" s="101">
        <f>IF(O11=0,0,O11/TrAvia_act!O19*100)</f>
        <v>1272.6825734505435</v>
      </c>
      <c r="P23" s="101">
        <f>IF(P11=0,0,P11/TrAvia_act!P19*100)</f>
        <v>721.57571377957902</v>
      </c>
      <c r="Q23" s="101">
        <f>IF(Q11=0,0,Q11/TrAvia_act!Q19*100)</f>
        <v>958.18377793290881</v>
      </c>
      <c r="R23" s="101">
        <f>IF(R11=0,0,R11/TrAvia_act!R19*100)</f>
        <v>590.25384624497588</v>
      </c>
      <c r="S23" s="101">
        <f>IF(S11=0,0,S11/TrAvia_act!S19*100)</f>
        <v>844.78052222135545</v>
      </c>
      <c r="T23" s="101">
        <f>IF(T11=0,0,T11/TrAvia_act!T19*100)</f>
        <v>906.75578673430925</v>
      </c>
      <c r="U23" s="101">
        <f>IF(U11=0,0,U11/TrAvia_act!U19*100)</f>
        <v>1117.707274827321</v>
      </c>
      <c r="V23" s="101">
        <f>IF(V11=0,0,V11/TrAvia_act!V19*100)</f>
        <v>1776.4875224020739</v>
      </c>
      <c r="W23" s="101">
        <f>IF(W11=0,0,W11/TrAvia_act!W19*100)</f>
        <v>1936.0291427537511</v>
      </c>
      <c r="X23" s="101">
        <f>IF(X11=0,0,X11/TrAvia_act!X19*100)</f>
        <v>1930.0979679077436</v>
      </c>
      <c r="Y23" s="101">
        <f>IF(Y11=0,0,Y11/TrAvia_act!Y19*100)</f>
        <v>1052.4097834915242</v>
      </c>
      <c r="DA23" s="175" t="s">
        <v>294</v>
      </c>
    </row>
    <row r="24" spans="1:105" ht="11.45" customHeight="1" x14ac:dyDescent="0.25">
      <c r="A24" s="92" t="s">
        <v>181</v>
      </c>
      <c r="B24" s="101">
        <f>IF(B12=0,0,B12/TrAvia_act!B20*100)</f>
        <v>594.61181765078345</v>
      </c>
      <c r="C24" s="101">
        <f>IF(C12=0,0,C12/TrAvia_act!C20*100)</f>
        <v>593.15460547532405</v>
      </c>
      <c r="D24" s="101">
        <f>IF(D12=0,0,D12/TrAvia_act!D20*100)</f>
        <v>590.35121612190119</v>
      </c>
      <c r="E24" s="101">
        <f>IF(E12=0,0,E12/TrAvia_act!E20*100)</f>
        <v>591.03815839098877</v>
      </c>
      <c r="F24" s="101">
        <f>IF(F12=0,0,F12/TrAvia_act!F20*100)</f>
        <v>592.23591761992532</v>
      </c>
      <c r="G24" s="101">
        <f>IF(G12=0,0,G12/TrAvia_act!G20*100)</f>
        <v>433.95062157156519</v>
      </c>
      <c r="H24" s="101">
        <f>IF(H12=0,0,H12/TrAvia_act!H20*100)</f>
        <v>455.17023776448832</v>
      </c>
      <c r="I24" s="101">
        <f>IF(I12=0,0,I12/TrAvia_act!I20*100)</f>
        <v>276.85638270455075</v>
      </c>
      <c r="J24" s="101">
        <f>IF(J12=0,0,J12/TrAvia_act!J20*100)</f>
        <v>247.02486826662317</v>
      </c>
      <c r="K24" s="101">
        <f>IF(K12=0,0,K12/TrAvia_act!K20*100)</f>
        <v>254.40616976327175</v>
      </c>
      <c r="L24" s="101">
        <f>IF(L12=0,0,L12/TrAvia_act!L20*100)</f>
        <v>273.15965121449727</v>
      </c>
      <c r="M24" s="101">
        <f>IF(M12=0,0,M12/TrAvia_act!M20*100)</f>
        <v>255.92000047286817</v>
      </c>
      <c r="N24" s="101">
        <f>IF(N12=0,0,N12/TrAvia_act!N20*100)</f>
        <v>223.30072248602423</v>
      </c>
      <c r="O24" s="101">
        <f>IF(O12=0,0,O12/TrAvia_act!O20*100)</f>
        <v>264.82551245148113</v>
      </c>
      <c r="P24" s="101">
        <f>IF(P12=0,0,P12/TrAvia_act!P20*100)</f>
        <v>312.52178142045068</v>
      </c>
      <c r="Q24" s="101">
        <f>IF(Q12=0,0,Q12/TrAvia_act!Q20*100)</f>
        <v>295.41287367183355</v>
      </c>
      <c r="R24" s="101">
        <f>IF(R12=0,0,R12/TrAvia_act!R20*100)</f>
        <v>306.32102731251598</v>
      </c>
      <c r="S24" s="101">
        <f>IF(S12=0,0,S12/TrAvia_act!S20*100)</f>
        <v>331.70772351559708</v>
      </c>
      <c r="T24" s="101">
        <f>IF(T12=0,0,T12/TrAvia_act!T20*100)</f>
        <v>119.28270354331947</v>
      </c>
      <c r="U24" s="101">
        <f>IF(U12=0,0,U12/TrAvia_act!U20*100)</f>
        <v>125.39644608406266</v>
      </c>
      <c r="V24" s="101">
        <f>IF(V12=0,0,V12/TrAvia_act!V20*100)</f>
        <v>98.972314390111521</v>
      </c>
      <c r="W24" s="101">
        <f>IF(W12=0,0,W12/TrAvia_act!W20*100)</f>
        <v>114.94045585712563</v>
      </c>
      <c r="X24" s="101">
        <f>IF(X12=0,0,X12/TrAvia_act!X20*100)</f>
        <v>80.181102375436467</v>
      </c>
      <c r="Y24" s="101">
        <f>IF(Y12=0,0,Y12/TrAvia_act!Y20*100)</f>
        <v>74.130192895443187</v>
      </c>
      <c r="DA24" s="175" t="s">
        <v>295</v>
      </c>
    </row>
    <row r="25" spans="1:105" ht="11.45" customHeight="1" x14ac:dyDescent="0.25">
      <c r="A25" s="85" t="s">
        <v>182</v>
      </c>
      <c r="B25" s="88">
        <f>IF(B13=0,0,B13/TrAvia_act!B21*100)</f>
        <v>457.75609579608414</v>
      </c>
      <c r="C25" s="88">
        <f>IF(C13=0,0,C13/TrAvia_act!C21*100)</f>
        <v>457.42744210883188</v>
      </c>
      <c r="D25" s="88">
        <f>IF(D13=0,0,D13/TrAvia_act!D21*100)</f>
        <v>456.03267626256388</v>
      </c>
      <c r="E25" s="88">
        <f>IF(E13=0,0,E13/TrAvia_act!E21*100)</f>
        <v>456.61535564054299</v>
      </c>
      <c r="F25" s="88">
        <f>IF(F13=0,0,F13/TrAvia_act!F21*100)</f>
        <v>456.12276936483875</v>
      </c>
      <c r="G25" s="88">
        <f>IF(G13=0,0,G13/TrAvia_act!G21*100)</f>
        <v>350.14483017160501</v>
      </c>
      <c r="H25" s="88">
        <f>IF(H13=0,0,H13/TrAvia_act!H21*100)</f>
        <v>364.8551747937729</v>
      </c>
      <c r="I25" s="88">
        <f>IF(I13=0,0,I13/TrAvia_act!I21*100)</f>
        <v>215.74712999533773</v>
      </c>
      <c r="J25" s="88">
        <f>IF(J13=0,0,J13/TrAvia_act!J21*100)</f>
        <v>211.21903625489819</v>
      </c>
      <c r="K25" s="88">
        <f>IF(K13=0,0,K13/TrAvia_act!K21*100)</f>
        <v>275.40960248504012</v>
      </c>
      <c r="L25" s="88">
        <f>IF(L13=0,0,L13/TrAvia_act!L21*100)</f>
        <v>314.60857636952085</v>
      </c>
      <c r="M25" s="88">
        <f>IF(M13=0,0,M13/TrAvia_act!M21*100)</f>
        <v>289.37066043338956</v>
      </c>
      <c r="N25" s="88">
        <f>IF(N13=0,0,N13/TrAvia_act!N21*100)</f>
        <v>265.54327361574758</v>
      </c>
      <c r="O25" s="88">
        <f>IF(O13=0,0,O13/TrAvia_act!O21*100)</f>
        <v>274.2954857885145</v>
      </c>
      <c r="P25" s="88">
        <f>IF(P13=0,0,P13/TrAvia_act!P21*100)</f>
        <v>219.07154271290582</v>
      </c>
      <c r="Q25" s="88">
        <f>IF(Q13=0,0,Q13/TrAvia_act!Q21*100)</f>
        <v>185.86274376877446</v>
      </c>
      <c r="R25" s="88">
        <f>IF(R13=0,0,R13/TrAvia_act!R21*100)</f>
        <v>149.92751970431689</v>
      </c>
      <c r="S25" s="88">
        <f>IF(S13=0,0,S13/TrAvia_act!S21*100)</f>
        <v>143.82762033235562</v>
      </c>
      <c r="T25" s="88">
        <f>IF(T13=0,0,T13/TrAvia_act!T21*100)</f>
        <v>66.062663669278265</v>
      </c>
      <c r="U25" s="88">
        <f>IF(U13=0,0,U13/TrAvia_act!U21*100)</f>
        <v>65.888057478133547</v>
      </c>
      <c r="V25" s="88">
        <f>IF(V13=0,0,V13/TrAvia_act!V21*100)</f>
        <v>71.998925011734698</v>
      </c>
      <c r="W25" s="88">
        <f>IF(W13=0,0,W13/TrAvia_act!W21*100)</f>
        <v>64.970233729408704</v>
      </c>
      <c r="X25" s="88">
        <f>IF(X13=0,0,X13/TrAvia_act!X21*100)</f>
        <v>47.636150738571622</v>
      </c>
      <c r="Y25" s="88">
        <f>IF(Y13=0,0,Y13/TrAvia_act!Y21*100)</f>
        <v>41.68755630085321</v>
      </c>
      <c r="DA25" s="178" t="s">
        <v>296</v>
      </c>
    </row>
    <row r="26" spans="1:105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DA26" s="181"/>
    </row>
    <row r="27" spans="1:105" ht="11.45" customHeight="1" x14ac:dyDescent="0.25">
      <c r="A27" s="53" t="s">
        <v>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DA27" s="172"/>
    </row>
    <row r="28" spans="1:105" ht="11.45" customHeight="1" x14ac:dyDescent="0.25">
      <c r="A28" s="10" t="s">
        <v>155</v>
      </c>
      <c r="B28" s="14">
        <f>IF(B6=0,0,B6/TrAvia_act!B4*1000)</f>
        <v>56.053038630044966</v>
      </c>
      <c r="C28" s="14">
        <f>IF(C6=0,0,C6/TrAvia_act!C4*1000)</f>
        <v>54.459779251963916</v>
      </c>
      <c r="D28" s="14">
        <f>IF(D6=0,0,D6/TrAvia_act!D4*1000)</f>
        <v>53.704709546421917</v>
      </c>
      <c r="E28" s="14">
        <f>IF(E6=0,0,E6/TrAvia_act!E4*1000)</f>
        <v>53.742535787235923</v>
      </c>
      <c r="F28" s="14">
        <f>IF(F6=0,0,F6/TrAvia_act!F4*1000)</f>
        <v>56.003881087581227</v>
      </c>
      <c r="G28" s="14">
        <f>IF(G6=0,0,G6/TrAvia_act!G4*1000)</f>
        <v>38.897183720173089</v>
      </c>
      <c r="H28" s="14">
        <f>IF(H6=0,0,H6/TrAvia_act!H4*1000)</f>
        <v>38.993044554486801</v>
      </c>
      <c r="I28" s="14">
        <f>IF(I6=0,0,I6/TrAvia_act!I4*1000)</f>
        <v>40.993196155624389</v>
      </c>
      <c r="J28" s="14">
        <f>IF(J6=0,0,J6/TrAvia_act!J4*1000)</f>
        <v>37.351094732630848</v>
      </c>
      <c r="K28" s="14">
        <f>IF(K6=0,0,K6/TrAvia_act!K4*1000)</f>
        <v>40.454571836549839</v>
      </c>
      <c r="L28" s="14">
        <f>IF(L6=0,0,L6/TrAvia_act!L4*1000)</f>
        <v>43.013538731363717</v>
      </c>
      <c r="M28" s="14">
        <f>IF(M6=0,0,M6/TrAvia_act!M4*1000)</f>
        <v>32.038870194206517</v>
      </c>
      <c r="N28" s="14">
        <f>IF(N6=0,0,N6/TrAvia_act!N4*1000)</f>
        <v>24.647416608586994</v>
      </c>
      <c r="O28" s="14">
        <f>IF(O6=0,0,O6/TrAvia_act!O4*1000)</f>
        <v>27.975218398831284</v>
      </c>
      <c r="P28" s="14">
        <f>IF(P6=0,0,P6/TrAvia_act!P4*1000)</f>
        <v>27.559870344731483</v>
      </c>
      <c r="Q28" s="14">
        <f>IF(Q6=0,0,Q6/TrAvia_act!Q4*1000)</f>
        <v>28.406956054942491</v>
      </c>
      <c r="R28" s="14">
        <f>IF(R6=0,0,R6/TrAvia_act!R4*1000)</f>
        <v>27.437573853933959</v>
      </c>
      <c r="S28" s="14">
        <f>IF(S6=0,0,S6/TrAvia_act!S4*1000)</f>
        <v>28.050801868701107</v>
      </c>
      <c r="T28" s="14">
        <f>IF(T6=0,0,T6/TrAvia_act!T4*1000)</f>
        <v>12.561184036830561</v>
      </c>
      <c r="U28" s="14">
        <f>IF(U6=0,0,U6/TrAvia_act!U4*1000)</f>
        <v>12.858357234028922</v>
      </c>
      <c r="V28" s="14">
        <f>IF(V6=0,0,V6/TrAvia_act!V4*1000)</f>
        <v>15.811001548088045</v>
      </c>
      <c r="W28" s="14">
        <f>IF(W6=0,0,W6/TrAvia_act!W4*1000)</f>
        <v>15.420424680143565</v>
      </c>
      <c r="X28" s="14">
        <f>IF(X6=0,0,X6/TrAvia_act!X4*1000)</f>
        <v>10.478941043980234</v>
      </c>
      <c r="Y28" s="14">
        <f>IF(Y6=0,0,Y6/TrAvia_act!Y4*1000)</f>
        <v>7.4349665803506388</v>
      </c>
      <c r="DA28" s="189" t="s">
        <v>297</v>
      </c>
    </row>
    <row r="29" spans="1:105" ht="11.45" customHeight="1" x14ac:dyDescent="0.25">
      <c r="A29" s="83" t="s">
        <v>27</v>
      </c>
      <c r="B29" s="87">
        <f>IF(B7=0,0,B7/TrAvia_act!B5*1000)</f>
        <v>130.07090971274238</v>
      </c>
      <c r="C29" s="87">
        <f>IF(C7=0,0,C7/TrAvia_act!C5*1000)</f>
        <v>128.43893341292994</v>
      </c>
      <c r="D29" s="87">
        <f>IF(D7=0,0,D7/TrAvia_act!D5*1000)</f>
        <v>126.55344905305834</v>
      </c>
      <c r="E29" s="87">
        <f>IF(E7=0,0,E7/TrAvia_act!E5*1000)</f>
        <v>125.61893968281595</v>
      </c>
      <c r="F29" s="87">
        <f>IF(F7=0,0,F7/TrAvia_act!F5*1000)</f>
        <v>127.17272092214807</v>
      </c>
      <c r="G29" s="87">
        <f>IF(G7=0,0,G7/TrAvia_act!G5*1000)</f>
        <v>99.857566571014658</v>
      </c>
      <c r="H29" s="87">
        <f>IF(H7=0,0,H7/TrAvia_act!H5*1000)</f>
        <v>16.783461662092304</v>
      </c>
      <c r="I29" s="87">
        <f>IF(I7=0,0,I7/TrAvia_act!I5*1000)</f>
        <v>560.59862101284421</v>
      </c>
      <c r="J29" s="87">
        <f>IF(J7=0,0,J7/TrAvia_act!J5*1000)</f>
        <v>434.06866151209891</v>
      </c>
      <c r="K29" s="87">
        <f>IF(K7=0,0,K7/TrAvia_act!K5*1000)</f>
        <v>487.2462624514759</v>
      </c>
      <c r="L29" s="87">
        <f>IF(L7=0,0,L7/TrAvia_act!L5*1000)</f>
        <v>501.76291811540739</v>
      </c>
      <c r="M29" s="87">
        <f>IF(M7=0,0,M7/TrAvia_act!M5*1000)</f>
        <v>355.72504554726572</v>
      </c>
      <c r="N29" s="87">
        <f>IF(N7=0,0,N7/TrAvia_act!N5*1000)</f>
        <v>194.69165199853168</v>
      </c>
      <c r="O29" s="87">
        <f>IF(O7=0,0,O7/TrAvia_act!O5*1000)</f>
        <v>233.11707671405031</v>
      </c>
      <c r="P29" s="87">
        <f>IF(P7=0,0,P7/TrAvia_act!P5*1000)</f>
        <v>136.85963202061833</v>
      </c>
      <c r="Q29" s="87">
        <f>IF(Q7=0,0,Q7/TrAvia_act!Q5*1000)</f>
        <v>176.41034645510601</v>
      </c>
      <c r="R29" s="87">
        <f>IF(R7=0,0,R7/TrAvia_act!R5*1000)</f>
        <v>86.3643288516637</v>
      </c>
      <c r="S29" s="87">
        <f>IF(S7=0,0,S7/TrAvia_act!S5*1000)</f>
        <v>98.909138093086739</v>
      </c>
      <c r="T29" s="87">
        <f>IF(T7=0,0,T7/TrAvia_act!T5*1000)</f>
        <v>109.49981173436802</v>
      </c>
      <c r="U29" s="87">
        <f>IF(U7=0,0,U7/TrAvia_act!U5*1000)</f>
        <v>131.89761473611208</v>
      </c>
      <c r="V29" s="87">
        <f>IF(V7=0,0,V7/TrAvia_act!V5*1000)</f>
        <v>243.59325651189508</v>
      </c>
      <c r="W29" s="87">
        <f>IF(W7=0,0,W7/TrAvia_act!W5*1000)</f>
        <v>197.53088778783425</v>
      </c>
      <c r="X29" s="87">
        <f>IF(X7=0,0,X7/TrAvia_act!X5*1000)</f>
        <v>198.11455730063122</v>
      </c>
      <c r="Y29" s="87">
        <f>IF(Y7=0,0,Y7/TrAvia_act!Y5*1000)</f>
        <v>120.05702128053464</v>
      </c>
      <c r="DA29" s="171" t="s">
        <v>298</v>
      </c>
    </row>
    <row r="30" spans="1:105" ht="11.45" customHeight="1" x14ac:dyDescent="0.25">
      <c r="A30" s="83" t="s">
        <v>181</v>
      </c>
      <c r="B30" s="87">
        <f>IF(B8=0,0,B8/TrAvia_act!B6*1000)</f>
        <v>54.291399035779342</v>
      </c>
      <c r="C30" s="87">
        <f>IF(C8=0,0,C8/TrAvia_act!C6*1000)</f>
        <v>53.333262408114756</v>
      </c>
      <c r="D30" s="87">
        <f>IF(D8=0,0,D8/TrAvia_act!D6*1000)</f>
        <v>52.749655971058111</v>
      </c>
      <c r="E30" s="87">
        <f>IF(E8=0,0,E8/TrAvia_act!E6*1000)</f>
        <v>52.967462394868157</v>
      </c>
      <c r="F30" s="87">
        <f>IF(F8=0,0,F8/TrAvia_act!F6*1000)</f>
        <v>53.232885554112492</v>
      </c>
      <c r="G30" s="87">
        <f>IF(G8=0,0,G8/TrAvia_act!G6*1000)</f>
        <v>36.096650324437256</v>
      </c>
      <c r="H30" s="87">
        <f>IF(H8=0,0,H8/TrAvia_act!H6*1000)</f>
        <v>39.462768740411875</v>
      </c>
      <c r="I30" s="87">
        <f>IF(I8=0,0,I8/TrAvia_act!I6*1000)</f>
        <v>25.808353872135278</v>
      </c>
      <c r="J30" s="87">
        <f>IF(J8=0,0,J8/TrAvia_act!J6*1000)</f>
        <v>24.561415551298708</v>
      </c>
      <c r="K30" s="87">
        <f>IF(K8=0,0,K8/TrAvia_act!K6*1000)</f>
        <v>26.265415604055207</v>
      </c>
      <c r="L30" s="87">
        <f>IF(L8=0,0,L8/TrAvia_act!L6*1000)</f>
        <v>26.479665726978759</v>
      </c>
      <c r="M30" s="87">
        <f>IF(M8=0,0,M8/TrAvia_act!M6*1000)</f>
        <v>20.466667462463608</v>
      </c>
      <c r="N30" s="87">
        <f>IF(N8=0,0,N8/TrAvia_act!N6*1000)</f>
        <v>19.081084521767039</v>
      </c>
      <c r="O30" s="87">
        <f>IF(O8=0,0,O8/TrAvia_act!O6*1000)</f>
        <v>22.200815593542181</v>
      </c>
      <c r="P30" s="87">
        <f>IF(P8=0,0,P8/TrAvia_act!P6*1000)</f>
        <v>25.998841053773013</v>
      </c>
      <c r="Q30" s="87">
        <f>IF(Q8=0,0,Q8/TrAvia_act!Q6*1000)</f>
        <v>26.466256471915163</v>
      </c>
      <c r="R30" s="87">
        <f>IF(R8=0,0,R8/TrAvia_act!R6*1000)</f>
        <v>26.999415889258113</v>
      </c>
      <c r="S30" s="87">
        <f>IF(S8=0,0,S8/TrAvia_act!S6*1000)</f>
        <v>26.774979417019154</v>
      </c>
      <c r="T30" s="87">
        <f>IF(T8=0,0,T8/TrAvia_act!T6*1000)</f>
        <v>10.066027850421868</v>
      </c>
      <c r="U30" s="87">
        <f>IF(U8=0,0,U8/TrAvia_act!U6*1000)</f>
        <v>10.311002071576091</v>
      </c>
      <c r="V30" s="87">
        <f>IF(V8=0,0,V8/TrAvia_act!V6*1000)</f>
        <v>9.0409358115390095</v>
      </c>
      <c r="W30" s="87">
        <f>IF(W8=0,0,W8/TrAvia_act!W6*1000)</f>
        <v>10.960555107479284</v>
      </c>
      <c r="X30" s="87">
        <f>IF(X8=0,0,X8/TrAvia_act!X6*1000)</f>
        <v>6.6169861728705763</v>
      </c>
      <c r="Y30" s="87">
        <f>IF(Y8=0,0,Y8/TrAvia_act!Y6*1000)</f>
        <v>5.9471840455812419</v>
      </c>
      <c r="DA30" s="171" t="s">
        <v>299</v>
      </c>
    </row>
    <row r="31" spans="1:105" ht="11.45" customHeight="1" x14ac:dyDescent="0.25">
      <c r="A31" s="83" t="s">
        <v>182</v>
      </c>
      <c r="B31" s="87">
        <f>IF(B9=0,0,B9/TrAvia_act!B7*1000)</f>
        <v>55.962304612035808</v>
      </c>
      <c r="C31" s="87">
        <f>IF(C9=0,0,C9/TrAvia_act!C7*1000)</f>
        <v>55.364184477522393</v>
      </c>
      <c r="D31" s="87">
        <f>IF(D9=0,0,D9/TrAvia_act!D7*1000)</f>
        <v>54.960664969373234</v>
      </c>
      <c r="E31" s="87">
        <f>IF(E9=0,0,E9/TrAvia_act!E7*1000)</f>
        <v>54.710187266236524</v>
      </c>
      <c r="F31" s="87">
        <f>IF(F9=0,0,F9/TrAvia_act!F7*1000)</f>
        <v>53.970173433024833</v>
      </c>
      <c r="G31" s="87">
        <f>IF(G9=0,0,G9/TrAvia_act!G7*1000)</f>
        <v>41.680673267116759</v>
      </c>
      <c r="H31" s="87">
        <f>IF(H9=0,0,H9/TrAvia_act!H7*1000)</f>
        <v>41.38387422674522</v>
      </c>
      <c r="I31" s="87">
        <f>IF(I9=0,0,I9/TrAvia_act!I7*1000)</f>
        <v>21.747125644413057</v>
      </c>
      <c r="J31" s="87">
        <f>IF(J9=0,0,J9/TrAvia_act!J7*1000)</f>
        <v>20.936306098114343</v>
      </c>
      <c r="K31" s="87">
        <f>IF(K9=0,0,K9/TrAvia_act!K7*1000)</f>
        <v>27.57448362878706</v>
      </c>
      <c r="L31" s="87">
        <f>IF(L9=0,0,L9/TrAvia_act!L7*1000)</f>
        <v>27.379307572826686</v>
      </c>
      <c r="M31" s="87">
        <f>IF(M9=0,0,M9/TrAvia_act!M7*1000)</f>
        <v>27.347919229147916</v>
      </c>
      <c r="N31" s="87">
        <f>IF(N9=0,0,N9/TrAvia_act!N7*1000)</f>
        <v>22.236207758513498</v>
      </c>
      <c r="O31" s="87">
        <f>IF(O9=0,0,O9/TrAvia_act!O7*1000)</f>
        <v>24.411838135531752</v>
      </c>
      <c r="P31" s="87">
        <f>IF(P9=0,0,P9/TrAvia_act!P7*1000)</f>
        <v>20.278202257161187</v>
      </c>
      <c r="Q31" s="87">
        <f>IF(Q9=0,0,Q9/TrAvia_act!Q7*1000)</f>
        <v>19.384135866796456</v>
      </c>
      <c r="R31" s="87">
        <f>IF(R9=0,0,R9/TrAvia_act!R7*1000)</f>
        <v>17.685357646040117</v>
      </c>
      <c r="S31" s="87">
        <f>IF(S9=0,0,S9/TrAvia_act!S7*1000)</f>
        <v>16.139814049216273</v>
      </c>
      <c r="T31" s="87">
        <f>IF(T9=0,0,T9/TrAvia_act!T7*1000)</f>
        <v>4.8937200951655946</v>
      </c>
      <c r="U31" s="87">
        <f>IF(U9=0,0,U9/TrAvia_act!U7*1000)</f>
        <v>4.4334801106215469</v>
      </c>
      <c r="V31" s="87">
        <f>IF(V9=0,0,V9/TrAvia_act!V7*1000)</f>
        <v>8.256443679618128</v>
      </c>
      <c r="W31" s="87">
        <f>IF(W9=0,0,W9/TrAvia_act!W7*1000)</f>
        <v>5.9996179501908884</v>
      </c>
      <c r="X31" s="87">
        <f>IF(X9=0,0,X9/TrAvia_act!X7*1000)</f>
        <v>3.0727609308862558</v>
      </c>
      <c r="Y31" s="87">
        <f>IF(Y9=0,0,Y9/TrAvia_act!Y7*1000)</f>
        <v>2.5150074680755043</v>
      </c>
      <c r="DA31" s="171" t="s">
        <v>300</v>
      </c>
    </row>
    <row r="32" spans="1:105" ht="11.45" customHeight="1" x14ac:dyDescent="0.25">
      <c r="A32" s="12" t="s">
        <v>156</v>
      </c>
      <c r="B32" s="15">
        <f>IF(B10=0,0,B10/TrAvia_act!B8*1000)</f>
        <v>173.18719637295209</v>
      </c>
      <c r="C32" s="15">
        <f>IF(C10=0,0,C10/TrAvia_act!C8*1000)</f>
        <v>157.16050710947846</v>
      </c>
      <c r="D32" s="15">
        <f>IF(D10=0,0,D10/TrAvia_act!D8*1000)</f>
        <v>160.25111365534377</v>
      </c>
      <c r="E32" s="15">
        <f>IF(E10=0,0,E10/TrAvia_act!E8*1000)</f>
        <v>162.17876143908433</v>
      </c>
      <c r="F32" s="15">
        <f>IF(F10=0,0,F10/TrAvia_act!F8*1000)</f>
        <v>180.36287591381529</v>
      </c>
      <c r="G32" s="15">
        <f>IF(G10=0,0,G10/TrAvia_act!G8*1000)</f>
        <v>165.75463292320231</v>
      </c>
      <c r="H32" s="15">
        <f>IF(H10=0,0,H10/TrAvia_act!H8*1000)</f>
        <v>182.52641110337169</v>
      </c>
      <c r="I32" s="15">
        <f>IF(I10=0,0,I10/TrAvia_act!I8*1000)</f>
        <v>147.36966398152205</v>
      </c>
      <c r="J32" s="15">
        <f>IF(J10=0,0,J10/TrAvia_act!J8*1000)</f>
        <v>110.85354984508393</v>
      </c>
      <c r="K32" s="15">
        <f>IF(K10=0,0,K10/TrAvia_act!K8*1000)</f>
        <v>120.69458826346238</v>
      </c>
      <c r="L32" s="15">
        <f>IF(L10=0,0,L10/TrAvia_act!L8*1000)</f>
        <v>126.44334432724494</v>
      </c>
      <c r="M32" s="15">
        <f>IF(M10=0,0,M10/TrAvia_act!M8*1000)</f>
        <v>97.437160542802573</v>
      </c>
      <c r="N32" s="15">
        <f>IF(N10=0,0,N10/TrAvia_act!N8*1000)</f>
        <v>64.888724961847956</v>
      </c>
      <c r="O32" s="15">
        <f>IF(O10=0,0,O10/TrAvia_act!O8*1000)</f>
        <v>72.715604015874248</v>
      </c>
      <c r="P32" s="15">
        <f>IF(P10=0,0,P10/TrAvia_act!P8*1000)</f>
        <v>83.257444495485032</v>
      </c>
      <c r="Q32" s="15">
        <f>IF(Q10=0,0,Q10/TrAvia_act!Q8*1000)</f>
        <v>85.913801775906407</v>
      </c>
      <c r="R32" s="15">
        <f>IF(R10=0,0,R10/TrAvia_act!R8*1000)</f>
        <v>84.526555690429973</v>
      </c>
      <c r="S32" s="15">
        <f>IF(S10=0,0,S10/TrAvia_act!S8*1000)</f>
        <v>105.10529630623661</v>
      </c>
      <c r="T32" s="15">
        <f>IF(T10=0,0,T10/TrAvia_act!T8*1000)</f>
        <v>44.385378313815501</v>
      </c>
      <c r="U32" s="15">
        <f>IF(U10=0,0,U10/TrAvia_act!U8*1000)</f>
        <v>41.403744196697069</v>
      </c>
      <c r="V32" s="15">
        <f>IF(V10=0,0,V10/TrAvia_act!V8*1000)</f>
        <v>51.001840874224079</v>
      </c>
      <c r="W32" s="15">
        <f>IF(W10=0,0,W10/TrAvia_act!W8*1000)</f>
        <v>60.336474662843877</v>
      </c>
      <c r="X32" s="15">
        <f>IF(X10=0,0,X10/TrAvia_act!X8*1000)</f>
        <v>47.501382285003963</v>
      </c>
      <c r="Y32" s="15">
        <f>IF(Y10=0,0,Y10/TrAvia_act!Y8*1000)</f>
        <v>39.143751577112525</v>
      </c>
      <c r="DA32" s="193" t="s">
        <v>301</v>
      </c>
    </row>
    <row r="33" spans="1:105" ht="11.45" customHeight="1" x14ac:dyDescent="0.25">
      <c r="A33" s="92" t="s">
        <v>27</v>
      </c>
      <c r="B33" s="101">
        <f>IF(B11=0,0,B11/TrAvia_act!B9*1000)</f>
        <v>544.63602727122861</v>
      </c>
      <c r="C33" s="101">
        <f>IF(C11=0,0,C11/TrAvia_act!C9*1000)</f>
        <v>543.57899517541171</v>
      </c>
      <c r="D33" s="101">
        <f>IF(D11=0,0,D11/TrAvia_act!D9*1000)</f>
        <v>524.41488640310115</v>
      </c>
      <c r="E33" s="101">
        <f>IF(E11=0,0,E11/TrAvia_act!E9*1000)</f>
        <v>493.0036928158969</v>
      </c>
      <c r="F33" s="101">
        <f>IF(F11=0,0,F11/TrAvia_act!F9*1000)</f>
        <v>534.27815030383408</v>
      </c>
      <c r="G33" s="101">
        <f>IF(G11=0,0,G11/TrAvia_act!G9*1000)</f>
        <v>432.6982743086507</v>
      </c>
      <c r="H33" s="101">
        <f>IF(H11=0,0,H11/TrAvia_act!H9*1000)</f>
        <v>82.979648922782545</v>
      </c>
      <c r="I33" s="101">
        <f>IF(I11=0,0,I11/TrAvia_act!I9*1000)</f>
        <v>3097.4770092802514</v>
      </c>
      <c r="J33" s="101">
        <f>IF(J11=0,0,J11/TrAvia_act!J9*1000)</f>
        <v>2939.846079773466</v>
      </c>
      <c r="K33" s="101">
        <f>IF(K11=0,0,K11/TrAvia_act!K9*1000)</f>
        <v>3068.7262808448909</v>
      </c>
      <c r="L33" s="101">
        <f>IF(L11=0,0,L11/TrAvia_act!L9*1000)</f>
        <v>3583.8662996159228</v>
      </c>
      <c r="M33" s="101">
        <f>IF(M11=0,0,M11/TrAvia_act!M9*1000)</f>
        <v>2060.3375012873416</v>
      </c>
      <c r="N33" s="101">
        <f>IF(N11=0,0,N11/TrAvia_act!N9*1000)</f>
        <v>959.37356794225263</v>
      </c>
      <c r="O33" s="101">
        <f>IF(O11=0,0,O11/TrAvia_act!O9*1000)</f>
        <v>1126.9147197971545</v>
      </c>
      <c r="P33" s="101">
        <f>IF(P11=0,0,P11/TrAvia_act!P9*1000)</f>
        <v>570.4508694203638</v>
      </c>
      <c r="Q33" s="101">
        <f>IF(Q11=0,0,Q11/TrAvia_act!Q9*1000)</f>
        <v>733.49074716067628</v>
      </c>
      <c r="R33" s="101">
        <f>IF(R11=0,0,R11/TrAvia_act!R9*1000)</f>
        <v>391.35091328697166</v>
      </c>
      <c r="S33" s="101">
        <f>IF(S11=0,0,S11/TrAvia_act!S9*1000)</f>
        <v>608.58573229740841</v>
      </c>
      <c r="T33" s="101">
        <f>IF(T11=0,0,T11/TrAvia_act!T9*1000)</f>
        <v>638.95475946233933</v>
      </c>
      <c r="U33" s="101">
        <f>IF(U11=0,0,U11/TrAvia_act!U9*1000)</f>
        <v>710.47375220083006</v>
      </c>
      <c r="V33" s="101">
        <f>IF(V11=0,0,V11/TrAvia_act!V9*1000)</f>
        <v>1241.5619606736525</v>
      </c>
      <c r="W33" s="101">
        <f>IF(W11=0,0,W11/TrAvia_act!W9*1000)</f>
        <v>1309.4575437065475</v>
      </c>
      <c r="X33" s="101">
        <f>IF(X11=0,0,X11/TrAvia_act!X9*1000)</f>
        <v>1295.7824341920896</v>
      </c>
      <c r="Y33" s="101">
        <f>IF(Y11=0,0,Y11/TrAvia_act!Y9*1000)</f>
        <v>714.73982523691996</v>
      </c>
      <c r="DA33" s="175" t="s">
        <v>302</v>
      </c>
    </row>
    <row r="34" spans="1:105" ht="11.45" customHeight="1" x14ac:dyDescent="0.25">
      <c r="A34" s="92" t="s">
        <v>181</v>
      </c>
      <c r="B34" s="101">
        <f>IF(B12=0,0,B12/TrAvia_act!B10*1000)</f>
        <v>263.80102034922675</v>
      </c>
      <c r="C34" s="101">
        <f>IF(C12=0,0,C12/TrAvia_act!C10*1000)</f>
        <v>247.77037831464995</v>
      </c>
      <c r="D34" s="101">
        <f>IF(D12=0,0,D12/TrAvia_act!D10*1000)</f>
        <v>261.74892385727793</v>
      </c>
      <c r="E34" s="101">
        <f>IF(E12=0,0,E12/TrAvia_act!E10*1000)</f>
        <v>257.73043119110037</v>
      </c>
      <c r="F34" s="101">
        <f>IF(F12=0,0,F12/TrAvia_act!F10*1000)</f>
        <v>285.12054702882398</v>
      </c>
      <c r="G34" s="101">
        <f>IF(G12=0,0,G12/TrAvia_act!G10*1000)</f>
        <v>208.91230530793544</v>
      </c>
      <c r="H34" s="101">
        <f>IF(H12=0,0,H12/TrAvia_act!H10*1000)</f>
        <v>240.59247897973179</v>
      </c>
      <c r="I34" s="101">
        <f>IF(I12=0,0,I12/TrAvia_act!I10*1000)</f>
        <v>151.34732912486075</v>
      </c>
      <c r="J34" s="101">
        <f>IF(J12=0,0,J12/TrAvia_act!J10*1000)</f>
        <v>136.60190577472531</v>
      </c>
      <c r="K34" s="101">
        <f>IF(K12=0,0,K12/TrAvia_act!K10*1000)</f>
        <v>138.1207159797917</v>
      </c>
      <c r="L34" s="101">
        <f>IF(L12=0,0,L12/TrAvia_act!L10*1000)</f>
        <v>147.41741390893284</v>
      </c>
      <c r="M34" s="101">
        <f>IF(M12=0,0,M12/TrAvia_act!M10*1000)</f>
        <v>132.95703876731463</v>
      </c>
      <c r="N34" s="101">
        <f>IF(N12=0,0,N12/TrAvia_act!N10*1000)</f>
        <v>105.10895318293342</v>
      </c>
      <c r="O34" s="101">
        <f>IF(O12=0,0,O12/TrAvia_act!O10*1000)</f>
        <v>125.72666274998384</v>
      </c>
      <c r="P34" s="101">
        <f>IF(P12=0,0,P12/TrAvia_act!P10*1000)</f>
        <v>130.28342826826878</v>
      </c>
      <c r="Q34" s="101">
        <f>IF(Q12=0,0,Q12/TrAvia_act!Q10*1000)</f>
        <v>122.84797658386374</v>
      </c>
      <c r="R34" s="101">
        <f>IF(R12=0,0,R12/TrAvia_act!R10*1000)</f>
        <v>116.88981165915584</v>
      </c>
      <c r="S34" s="101">
        <f>IF(S12=0,0,S12/TrAvia_act!S10*1000)</f>
        <v>138.22155055111679</v>
      </c>
      <c r="T34" s="101">
        <f>IF(T12=0,0,T12/TrAvia_act!T10*1000)</f>
        <v>48.429149803866252</v>
      </c>
      <c r="U34" s="101">
        <f>IF(U12=0,0,U12/TrAvia_act!U10*1000)</f>
        <v>48.834545752784642</v>
      </c>
      <c r="V34" s="101">
        <f>IF(V12=0,0,V12/TrAvia_act!V10*1000)</f>
        <v>45.284711461620027</v>
      </c>
      <c r="W34" s="101">
        <f>IF(W12=0,0,W12/TrAvia_act!W10*1000)</f>
        <v>53.194941413627042</v>
      </c>
      <c r="X34" s="101">
        <f>IF(X12=0,0,X12/TrAvia_act!X10*1000)</f>
        <v>37.512604136836487</v>
      </c>
      <c r="Y34" s="101">
        <f>IF(Y12=0,0,Y12/TrAvia_act!Y10*1000)</f>
        <v>34.550364007902353</v>
      </c>
      <c r="DA34" s="175" t="s">
        <v>303</v>
      </c>
    </row>
    <row r="35" spans="1:105" ht="11.45" customHeight="1" x14ac:dyDescent="0.25">
      <c r="A35" s="85" t="s">
        <v>182</v>
      </c>
      <c r="B35" s="88">
        <f>IF(B13=0,0,B13/TrAvia_act!B11*1000)</f>
        <v>60.851789875256699</v>
      </c>
      <c r="C35" s="88">
        <f>IF(C13=0,0,C13/TrAvia_act!C11*1000)</f>
        <v>58.027394347521557</v>
      </c>
      <c r="D35" s="88">
        <f>IF(D13=0,0,D13/TrAvia_act!D11*1000)</f>
        <v>61.270663805637298</v>
      </c>
      <c r="E35" s="88">
        <f>IF(E13=0,0,E13/TrAvia_act!E11*1000)</f>
        <v>67.518295391553721</v>
      </c>
      <c r="F35" s="88">
        <f>IF(F13=0,0,F13/TrAvia_act!F11*1000)</f>
        <v>69.490015572561035</v>
      </c>
      <c r="G35" s="88">
        <f>IF(G13=0,0,G13/TrAvia_act!G11*1000)</f>
        <v>56.723719996174182</v>
      </c>
      <c r="H35" s="88">
        <f>IF(H13=0,0,H13/TrAvia_act!H11*1000)</f>
        <v>61.142314923891234</v>
      </c>
      <c r="I35" s="88">
        <f>IF(I13=0,0,I13/TrAvia_act!I11*1000)</f>
        <v>36.768203942705767</v>
      </c>
      <c r="J35" s="88">
        <f>IF(J13=0,0,J13/TrAvia_act!J11*1000)</f>
        <v>36.736687941081641</v>
      </c>
      <c r="K35" s="88">
        <f>IF(K13=0,0,K13/TrAvia_act!K11*1000)</f>
        <v>42.473044715021629</v>
      </c>
      <c r="L35" s="88">
        <f>IF(L13=0,0,L13/TrAvia_act!L11*1000)</f>
        <v>47.726635761491117</v>
      </c>
      <c r="M35" s="88">
        <f>IF(M13=0,0,M13/TrAvia_act!M11*1000)</f>
        <v>42.214846061421213</v>
      </c>
      <c r="N35" s="88">
        <f>IF(N13=0,0,N13/TrAvia_act!N11*1000)</f>
        <v>34.919626333026294</v>
      </c>
      <c r="O35" s="88">
        <f>IF(O13=0,0,O13/TrAvia_act!O11*1000)</f>
        <v>35.063662536732124</v>
      </c>
      <c r="P35" s="88">
        <f>IF(P13=0,0,P13/TrAvia_act!P11*1000)</f>
        <v>23.979419196649722</v>
      </c>
      <c r="Q35" s="88">
        <f>IF(Q13=0,0,Q13/TrAvia_act!Q11*1000)</f>
        <v>21.038789626001524</v>
      </c>
      <c r="R35" s="88">
        <f>IF(R13=0,0,R13/TrAvia_act!R11*1000)</f>
        <v>15.294057264326145</v>
      </c>
      <c r="S35" s="88">
        <f>IF(S13=0,0,S13/TrAvia_act!S11*1000)</f>
        <v>14.747627666459355</v>
      </c>
      <c r="T35" s="88">
        <f>IF(T13=0,0,T13/TrAvia_act!T11*1000)</f>
        <v>6.8408496546187765</v>
      </c>
      <c r="U35" s="88">
        <f>IF(U13=0,0,U13/TrAvia_act!U11*1000)</f>
        <v>6.3886222815088152</v>
      </c>
      <c r="V35" s="88">
        <f>IF(V13=0,0,V13/TrAvia_act!V11*1000)</f>
        <v>11.937152796507915</v>
      </c>
      <c r="W35" s="88">
        <f>IF(W13=0,0,W13/TrAvia_act!W11*1000)</f>
        <v>10.563325254429579</v>
      </c>
      <c r="X35" s="88">
        <f>IF(X13=0,0,X13/TrAvia_act!X11*1000)</f>
        <v>6.4912751194753726</v>
      </c>
      <c r="Y35" s="88">
        <f>IF(Y13=0,0,Y13/TrAvia_act!Y11*1000)</f>
        <v>5.1439423558782327</v>
      </c>
      <c r="DA35" s="178" t="s">
        <v>304</v>
      </c>
    </row>
    <row r="36" spans="1:105" x14ac:dyDescent="0.25">
      <c r="A36" s="50"/>
      <c r="B36" s="50"/>
      <c r="C36" s="50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DA36" s="181"/>
    </row>
    <row r="37" spans="1:105" ht="11.45" customHeight="1" x14ac:dyDescent="0.25">
      <c r="A37" s="53" t="s">
        <v>75</v>
      </c>
      <c r="B37" s="62">
        <f>IF(B3=0,0,B3/TrAvia_act!B23*1000000)</f>
        <v>5213.7060259525006</v>
      </c>
      <c r="C37" s="62">
        <f>IF(C3=0,0,C3/TrAvia_act!C23*1000000)</f>
        <v>5436.7862562998544</v>
      </c>
      <c r="D37" s="62">
        <f>IF(D3=0,0,D3/TrAvia_act!D23*1000000)</f>
        <v>5490.083771891741</v>
      </c>
      <c r="E37" s="62">
        <f>IF(E3=0,0,E3/TrAvia_act!E23*1000000)</f>
        <v>5549.2075913165791</v>
      </c>
      <c r="F37" s="62">
        <f>IF(F3=0,0,F3/TrAvia_act!F23*1000000)</f>
        <v>4860.6549775655376</v>
      </c>
      <c r="G37" s="62">
        <f>IF(G3=0,0,G3/TrAvia_act!G23*1000000)</f>
        <v>3468.4256329319865</v>
      </c>
      <c r="H37" s="62">
        <f>IF(H3=0,0,H3/TrAvia_act!H23*1000000)</f>
        <v>3445.2215902039084</v>
      </c>
      <c r="I37" s="62">
        <f>IF(I3=0,0,I3/TrAvia_act!I23*1000000)</f>
        <v>3787.5376270666175</v>
      </c>
      <c r="J37" s="62">
        <f>IF(J3=0,0,J3/TrAvia_act!J23*1000000)</f>
        <v>3559.0676323980861</v>
      </c>
      <c r="K37" s="62">
        <f>IF(K3=0,0,K3/TrAvia_act!K23*1000000)</f>
        <v>3775.2340872670493</v>
      </c>
      <c r="L37" s="62">
        <f>IF(L3=0,0,L3/TrAvia_act!L23*1000000)</f>
        <v>4280.0665950002967</v>
      </c>
      <c r="M37" s="62">
        <f>IF(M3=0,0,M3/TrAvia_act!M23*1000000)</f>
        <v>3463.2798812706424</v>
      </c>
      <c r="N37" s="62">
        <f>IF(N3=0,0,N3/TrAvia_act!N23*1000000)</f>
        <v>2881.8499843129089</v>
      </c>
      <c r="O37" s="62">
        <f>IF(O3=0,0,O3/TrAvia_act!O23*1000000)</f>
        <v>3619.5619951359017</v>
      </c>
      <c r="P37" s="62">
        <f>IF(P3=0,0,P3/TrAvia_act!P23*1000000)</f>
        <v>3888.0340741117484</v>
      </c>
      <c r="Q37" s="62">
        <f>IF(Q3=0,0,Q3/TrAvia_act!Q23*1000000)</f>
        <v>4263.0049653518281</v>
      </c>
      <c r="R37" s="62">
        <f>IF(R3=0,0,R3/TrAvia_act!R23*1000000)</f>
        <v>4290.4964757023208</v>
      </c>
      <c r="S37" s="62">
        <f>IF(S3=0,0,S3/TrAvia_act!S23*1000000)</f>
        <v>4620.3563665568263</v>
      </c>
      <c r="T37" s="62">
        <f>IF(T3=0,0,T3/TrAvia_act!T23*1000000)</f>
        <v>2178.2334741073646</v>
      </c>
      <c r="U37" s="62">
        <f>IF(U3=0,0,U3/TrAvia_act!U23*1000000)</f>
        <v>2390.4709473526882</v>
      </c>
      <c r="V37" s="62">
        <f>IF(V3=0,0,V3/TrAvia_act!V23*1000000)</f>
        <v>2368.463165540521</v>
      </c>
      <c r="W37" s="62">
        <f>IF(W3=0,0,W3/TrAvia_act!W23*1000000)</f>
        <v>2413.3404452996988</v>
      </c>
      <c r="X37" s="62">
        <f>IF(X3=0,0,X3/TrAvia_act!X23*1000000)</f>
        <v>2123.4991178598962</v>
      </c>
      <c r="Y37" s="62">
        <f>IF(Y3=0,0,Y3/TrAvia_act!Y23*1000000)</f>
        <v>1591.71375209551</v>
      </c>
      <c r="DA37" s="172" t="s">
        <v>305</v>
      </c>
    </row>
    <row r="38" spans="1:105" ht="11.45" customHeight="1" x14ac:dyDescent="0.25">
      <c r="A38" s="10" t="s">
        <v>33</v>
      </c>
      <c r="B38" s="14">
        <f>IF(B6=0,0,B6/TrAvia_act!B24*1000000)</f>
        <v>5224.284369956621</v>
      </c>
      <c r="C38" s="14">
        <f>IF(C6=0,0,C6/TrAvia_act!C24*1000000)</f>
        <v>5450.8334352861921</v>
      </c>
      <c r="D38" s="14">
        <f>IF(D6=0,0,D6/TrAvia_act!D24*1000000)</f>
        <v>5505.9980021205301</v>
      </c>
      <c r="E38" s="14">
        <f>IF(E6=0,0,E6/TrAvia_act!E24*1000000)</f>
        <v>5562.0470863494893</v>
      </c>
      <c r="F38" s="14">
        <f>IF(F6=0,0,F6/TrAvia_act!F24*1000000)</f>
        <v>4863.0973540410969</v>
      </c>
      <c r="G38" s="14">
        <f>IF(G6=0,0,G6/TrAvia_act!G24*1000000)</f>
        <v>3469.8539476514256</v>
      </c>
      <c r="H38" s="14">
        <f>IF(H6=0,0,H6/TrAvia_act!H24*1000000)</f>
        <v>3449.9562274127479</v>
      </c>
      <c r="I38" s="14">
        <f>IF(I6=0,0,I6/TrAvia_act!I24*1000000)</f>
        <v>3792.9385866021516</v>
      </c>
      <c r="J38" s="14">
        <f>IF(J6=0,0,J6/TrAvia_act!J24*1000000)</f>
        <v>3568.3944480545015</v>
      </c>
      <c r="K38" s="14">
        <f>IF(K6=0,0,K6/TrAvia_act!K24*1000000)</f>
        <v>3786.3857133491829</v>
      </c>
      <c r="L38" s="14">
        <f>IF(L6=0,0,L6/TrAvia_act!L24*1000000)</f>
        <v>4292.9306678556877</v>
      </c>
      <c r="M38" s="14">
        <f>IF(M6=0,0,M6/TrAvia_act!M24*1000000)</f>
        <v>3466.8275985243667</v>
      </c>
      <c r="N38" s="14">
        <f>IF(N6=0,0,N6/TrAvia_act!N24*1000000)</f>
        <v>2879.9753021526294</v>
      </c>
      <c r="O38" s="14">
        <f>IF(O6=0,0,O6/TrAvia_act!O24*1000000)</f>
        <v>3620.5050854151505</v>
      </c>
      <c r="P38" s="14">
        <f>IF(P6=0,0,P6/TrAvia_act!P24*1000000)</f>
        <v>3890.6363165287771</v>
      </c>
      <c r="Q38" s="14">
        <f>IF(Q6=0,0,Q6/TrAvia_act!Q24*1000000)</f>
        <v>4273.7265268978108</v>
      </c>
      <c r="R38" s="14">
        <f>IF(R6=0,0,R6/TrAvia_act!R24*1000000)</f>
        <v>4300.4635507933881</v>
      </c>
      <c r="S38" s="14">
        <f>IF(S6=0,0,S6/TrAvia_act!S24*1000000)</f>
        <v>4631.8459085384993</v>
      </c>
      <c r="T38" s="14">
        <f>IF(T6=0,0,T6/TrAvia_act!T24*1000000)</f>
        <v>2187.4142725903421</v>
      </c>
      <c r="U38" s="14">
        <f>IF(U6=0,0,U6/TrAvia_act!U24*1000000)</f>
        <v>2398.704543134756</v>
      </c>
      <c r="V38" s="14">
        <f>IF(V6=0,0,V6/TrAvia_act!V24*1000000)</f>
        <v>2389.606273462286</v>
      </c>
      <c r="W38" s="14">
        <f>IF(W6=0,0,W6/TrAvia_act!W24*1000000)</f>
        <v>2426.7443468220022</v>
      </c>
      <c r="X38" s="14">
        <f>IF(X6=0,0,X6/TrAvia_act!X24*1000000)</f>
        <v>2134.0392394253231</v>
      </c>
      <c r="Y38" s="14">
        <f>IF(Y6=0,0,Y6/TrAvia_act!Y24*1000000)</f>
        <v>1598.5422797934161</v>
      </c>
      <c r="DA38" s="189" t="s">
        <v>306</v>
      </c>
    </row>
    <row r="39" spans="1:105" ht="11.45" customHeight="1" x14ac:dyDescent="0.25">
      <c r="A39" s="83" t="s">
        <v>27</v>
      </c>
      <c r="B39" s="87">
        <f>IF(B7=0,0,B7/TrAvia_act!B25*1000000)</f>
        <v>1740.777633405344</v>
      </c>
      <c r="C39" s="87">
        <f>IF(C7=0,0,C7/TrAvia_act!C25*1000000)</f>
        <v>1724.1492728734834</v>
      </c>
      <c r="D39" s="87">
        <f>IF(D7=0,0,D7/TrAvia_act!D25*1000000)</f>
        <v>1710.4834545544932</v>
      </c>
      <c r="E39" s="87">
        <f>IF(E7=0,0,E7/TrAvia_act!E25*1000000)</f>
        <v>1710.4498533304002</v>
      </c>
      <c r="F39" s="87">
        <f>IF(F7=0,0,F7/TrAvia_act!F25*1000000)</f>
        <v>1745.4949334585851</v>
      </c>
      <c r="G39" s="87">
        <f>IF(G7=0,0,G7/TrAvia_act!G25*1000000)</f>
        <v>1357.5916452252475</v>
      </c>
      <c r="H39" s="87">
        <f>IF(H7=0,0,H7/TrAvia_act!H25*1000000)</f>
        <v>228.72355785494418</v>
      </c>
      <c r="I39" s="87">
        <f>IF(I7=0,0,I7/TrAvia_act!I25*1000000)</f>
        <v>7965.2445101657204</v>
      </c>
      <c r="J39" s="87">
        <f>IF(J7=0,0,J7/TrAvia_act!J25*1000000)</f>
        <v>6941.0696896784784</v>
      </c>
      <c r="K39" s="87">
        <f>IF(K7=0,0,K7/TrAvia_act!K25*1000000)</f>
        <v>6831.2259344895738</v>
      </c>
      <c r="L39" s="87">
        <f>IF(L7=0,0,L7/TrAvia_act!L25*1000000)</f>
        <v>7693.8524378290786</v>
      </c>
      <c r="M39" s="87">
        <f>IF(M7=0,0,M7/TrAvia_act!M25*1000000)</f>
        <v>6048.9486267262264</v>
      </c>
      <c r="N39" s="87">
        <f>IF(N7=0,0,N7/TrAvia_act!N25*1000000)</f>
        <v>3426.5210689639816</v>
      </c>
      <c r="O39" s="87">
        <f>IF(O7=0,0,O7/TrAvia_act!O25*1000000)</f>
        <v>3982.6831814868237</v>
      </c>
      <c r="P39" s="87">
        <f>IF(P7=0,0,P7/TrAvia_act!P25*1000000)</f>
        <v>2328.5542709819028</v>
      </c>
      <c r="Q39" s="87">
        <f>IF(Q7=0,0,Q7/TrAvia_act!Q25*1000000)</f>
        <v>3176.9903670143904</v>
      </c>
      <c r="R39" s="87">
        <f>IF(R7=0,0,R7/TrAvia_act!R25*1000000)</f>
        <v>2016.7999645748207</v>
      </c>
      <c r="S39" s="87">
        <f>IF(S7=0,0,S7/TrAvia_act!S25*1000000)</f>
        <v>2987.1430111684749</v>
      </c>
      <c r="T39" s="87">
        <f>IF(T7=0,0,T7/TrAvia_act!T25*1000000)</f>
        <v>3288.4490165872985</v>
      </c>
      <c r="U39" s="87">
        <f>IF(U7=0,0,U7/TrAvia_act!U25*1000000)</f>
        <v>3981.4973845423324</v>
      </c>
      <c r="V39" s="87">
        <f>IF(V7=0,0,V7/TrAvia_act!V25*1000000)</f>
        <v>5307.2198862793257</v>
      </c>
      <c r="W39" s="87">
        <f>IF(W7=0,0,W7/TrAvia_act!W25*1000000)</f>
        <v>5238.9597120437647</v>
      </c>
      <c r="X39" s="87">
        <f>IF(X7=0,0,X7/TrAvia_act!X25*1000000)</f>
        <v>5888.0481957392985</v>
      </c>
      <c r="Y39" s="87">
        <f>IF(Y7=0,0,Y7/TrAvia_act!Y25*1000000)</f>
        <v>3263.6708593174421</v>
      </c>
      <c r="DA39" s="171" t="s">
        <v>307</v>
      </c>
    </row>
    <row r="40" spans="1:105" ht="11.45" customHeight="1" x14ac:dyDescent="0.25">
      <c r="A40" s="83" t="s">
        <v>181</v>
      </c>
      <c r="B40" s="87">
        <f>IF(B8=0,0,B8/TrAvia_act!B26*1000000)</f>
        <v>6073.6791623111858</v>
      </c>
      <c r="C40" s="87">
        <f>IF(C8=0,0,C8/TrAvia_act!C26*1000000)</f>
        <v>6071.3684897961248</v>
      </c>
      <c r="D40" s="87">
        <f>IF(D8=0,0,D8/TrAvia_act!D26*1000000)</f>
        <v>6056.263734177357</v>
      </c>
      <c r="E40" s="87">
        <f>IF(E8=0,0,E8/TrAvia_act!E26*1000000)</f>
        <v>6069.4289254277192</v>
      </c>
      <c r="F40" s="87">
        <f>IF(F8=0,0,F8/TrAvia_act!F26*1000000)</f>
        <v>6067.0760385453204</v>
      </c>
      <c r="G40" s="87">
        <f>IF(G8=0,0,G8/TrAvia_act!G26*1000000)</f>
        <v>4204.14732505749</v>
      </c>
      <c r="H40" s="87">
        <f>IF(H8=0,0,H8/TrAvia_act!H26*1000000)</f>
        <v>4449.8737205596599</v>
      </c>
      <c r="I40" s="87">
        <f>IF(I8=0,0,I8/TrAvia_act!I26*1000000)</f>
        <v>2937.8532321552007</v>
      </c>
      <c r="J40" s="87">
        <f>IF(J8=0,0,J8/TrAvia_act!J26*1000000)</f>
        <v>2898.5886530985586</v>
      </c>
      <c r="K40" s="87">
        <f>IF(K8=0,0,K8/TrAvia_act!K26*1000000)</f>
        <v>3096.9788997439691</v>
      </c>
      <c r="L40" s="87">
        <f>IF(L8=0,0,L8/TrAvia_act!L26*1000000)</f>
        <v>3403.1579053047103</v>
      </c>
      <c r="M40" s="87">
        <f>IF(M8=0,0,M8/TrAvia_act!M26*1000000)</f>
        <v>2879.0216087332028</v>
      </c>
      <c r="N40" s="87">
        <f>IF(N8=0,0,N8/TrAvia_act!N26*1000000)</f>
        <v>2906.4226758909763</v>
      </c>
      <c r="O40" s="87">
        <f>IF(O8=0,0,O8/TrAvia_act!O26*1000000)</f>
        <v>3666.9722013248497</v>
      </c>
      <c r="P40" s="87">
        <f>IF(P8=0,0,P8/TrAvia_act!P26*1000000)</f>
        <v>4466.4705994205269</v>
      </c>
      <c r="Q40" s="87">
        <f>IF(Q8=0,0,Q8/TrAvia_act!Q26*1000000)</f>
        <v>4733.8431287613757</v>
      </c>
      <c r="R40" s="87">
        <f>IF(R8=0,0,R8/TrAvia_act!R26*1000000)</f>
        <v>5155.2256186539844</v>
      </c>
      <c r="S40" s="87">
        <f>IF(S8=0,0,S8/TrAvia_act!S26*1000000)</f>
        <v>5463.3205083610947</v>
      </c>
      <c r="T40" s="87">
        <f>IF(T8=0,0,T8/TrAvia_act!T26*1000000)</f>
        <v>2124.0368676332614</v>
      </c>
      <c r="U40" s="87">
        <f>IF(U8=0,0,U8/TrAvia_act!U26*1000000)</f>
        <v>2291.0425427007631</v>
      </c>
      <c r="V40" s="87">
        <f>IF(V8=0,0,V8/TrAvia_act!V26*1000000)</f>
        <v>1665.3303974623764</v>
      </c>
      <c r="W40" s="87">
        <f>IF(W8=0,0,W8/TrAvia_act!W26*1000000)</f>
        <v>2025.9819116160861</v>
      </c>
      <c r="X40" s="87">
        <f>IF(X8=0,0,X8/TrAvia_act!X26*1000000)</f>
        <v>1573.5719865451867</v>
      </c>
      <c r="Y40" s="87">
        <f>IF(Y8=0,0,Y8/TrAvia_act!Y26*1000000)</f>
        <v>1471.5521255524657</v>
      </c>
      <c r="DA40" s="171" t="s">
        <v>308</v>
      </c>
    </row>
    <row r="41" spans="1:105" ht="11.45" customHeight="1" x14ac:dyDescent="0.25">
      <c r="A41" s="83" t="s">
        <v>182</v>
      </c>
      <c r="B41" s="87">
        <f>IF(B9=0,0,B9/TrAvia_act!B27*1000000)</f>
        <v>4558.8189892244081</v>
      </c>
      <c r="C41" s="87">
        <f>IF(C9=0,0,C9/TrAvia_act!C27*1000000)</f>
        <v>4555.5459084635322</v>
      </c>
      <c r="D41" s="87">
        <f>IF(D9=0,0,D9/TrAvia_act!D27*1000000)</f>
        <v>4541.6553560844741</v>
      </c>
      <c r="E41" s="87">
        <f>IF(E9=0,0,E9/TrAvia_act!E27*1000000)</f>
        <v>4547.458293144965</v>
      </c>
      <c r="F41" s="87">
        <f>IF(F9=0,0,F9/TrAvia_act!F27*1000000)</f>
        <v>4542.5525984133492</v>
      </c>
      <c r="G41" s="87">
        <f>IF(G9=0,0,G9/TrAvia_act!G27*1000000)</f>
        <v>3363.1362877582628</v>
      </c>
      <c r="H41" s="87">
        <f>IF(H9=0,0,H9/TrAvia_act!H27*1000000)</f>
        <v>3453.5035362612689</v>
      </c>
      <c r="I41" s="87">
        <f>IF(I9=0,0,I9/TrAvia_act!I27*1000000)</f>
        <v>2130.7593655293058</v>
      </c>
      <c r="J41" s="87">
        <f>IF(J9=0,0,J9/TrAvia_act!J27*1000000)</f>
        <v>2057.1784147904505</v>
      </c>
      <c r="K41" s="87">
        <f>IF(K9=0,0,K9/TrAvia_act!K27*1000000)</f>
        <v>2519.6714096824717</v>
      </c>
      <c r="L41" s="87">
        <f>IF(L9=0,0,L9/TrAvia_act!L27*1000000)</f>
        <v>2753.6741519140151</v>
      </c>
      <c r="M41" s="87">
        <f>IF(M9=0,0,M9/TrAvia_act!M27*1000000)</f>
        <v>2313.4322919624042</v>
      </c>
      <c r="N41" s="87">
        <f>IF(N9=0,0,N9/TrAvia_act!N27*1000000)</f>
        <v>1986.1297599205523</v>
      </c>
      <c r="O41" s="87">
        <f>IF(O9=0,0,O9/TrAvia_act!O27*1000000)</f>
        <v>2802.7514897875253</v>
      </c>
      <c r="P41" s="87">
        <f>IF(P9=0,0,P9/TrAvia_act!P27*1000000)</f>
        <v>2999.8011642622523</v>
      </c>
      <c r="Q41" s="87">
        <f>IF(Q9=0,0,Q9/TrAvia_act!Q27*1000000)</f>
        <v>3139.3193567033636</v>
      </c>
      <c r="R41" s="87">
        <f>IF(R9=0,0,R9/TrAvia_act!R27*1000000)</f>
        <v>3002.6755892473652</v>
      </c>
      <c r="S41" s="87">
        <f>IF(S9=0,0,S9/TrAvia_act!S27*1000000)</f>
        <v>2747.4338060411724</v>
      </c>
      <c r="T41" s="87">
        <f>IF(T9=0,0,T9/TrAvia_act!T27*1000000)</f>
        <v>959.46679022060016</v>
      </c>
      <c r="U41" s="87">
        <f>IF(U9=0,0,U9/TrAvia_act!U27*1000000)</f>
        <v>950.26539168075158</v>
      </c>
      <c r="V41" s="87">
        <f>IF(V9=0,0,V9/TrAvia_act!V27*1000000)</f>
        <v>1514.2710271873275</v>
      </c>
      <c r="W41" s="87">
        <f>IF(W9=0,0,W9/TrAvia_act!W27*1000000)</f>
        <v>1072.0957828582359</v>
      </c>
      <c r="X41" s="87">
        <f>IF(X9=0,0,X9/TrAvia_act!X27*1000000)</f>
        <v>697.46463797061347</v>
      </c>
      <c r="Y41" s="87">
        <f>IF(Y9=0,0,Y9/TrAvia_act!Y27*1000000)</f>
        <v>604.38650186032396</v>
      </c>
      <c r="DA41" s="171" t="s">
        <v>309</v>
      </c>
    </row>
    <row r="42" spans="1:105" ht="11.45" customHeight="1" x14ac:dyDescent="0.25">
      <c r="A42" s="12" t="s">
        <v>34</v>
      </c>
      <c r="B42" s="15">
        <f>IF(B10=0,0,B10/TrAvia_act!B28*1000000)</f>
        <v>4594.7279928895214</v>
      </c>
      <c r="C42" s="15">
        <f>IF(C10=0,0,C10/TrAvia_act!C28*1000000)</f>
        <v>4630.6654782039168</v>
      </c>
      <c r="D42" s="15">
        <f>IF(D10=0,0,D10/TrAvia_act!D28*1000000)</f>
        <v>4670.8409627635601</v>
      </c>
      <c r="E42" s="15">
        <f>IF(E10=0,0,E10/TrAvia_act!E28*1000000)</f>
        <v>4732.9395185352123</v>
      </c>
      <c r="F42" s="15">
        <f>IF(F10=0,0,F10/TrAvia_act!F28*1000000)</f>
        <v>4664.5688454992951</v>
      </c>
      <c r="G42" s="15">
        <f>IF(G10=0,0,G10/TrAvia_act!G28*1000000)</f>
        <v>3302.3439018567824</v>
      </c>
      <c r="H42" s="15">
        <f>IF(H10=0,0,H10/TrAvia_act!H28*1000000)</f>
        <v>2934.7621599600961</v>
      </c>
      <c r="I42" s="15">
        <f>IF(I10=0,0,I10/TrAvia_act!I28*1000000)</f>
        <v>3021.2077470679678</v>
      </c>
      <c r="J42" s="15">
        <f>IF(J10=0,0,J10/TrAvia_act!J28*1000000)</f>
        <v>2493.9310991645184</v>
      </c>
      <c r="K42" s="15">
        <f>IF(K10=0,0,K10/TrAvia_act!K28*1000000)</f>
        <v>2583.2707150792485</v>
      </c>
      <c r="L42" s="15">
        <f>IF(L10=0,0,L10/TrAvia_act!L28*1000000)</f>
        <v>2900.6256473417911</v>
      </c>
      <c r="M42" s="15">
        <f>IF(M10=0,0,M10/TrAvia_act!M28*1000000)</f>
        <v>3065.8497663983685</v>
      </c>
      <c r="N42" s="15">
        <f>IF(N10=0,0,N10/TrAvia_act!N28*1000000)</f>
        <v>3074.6351868127454</v>
      </c>
      <c r="O42" s="15">
        <f>IF(O10=0,0,O10/TrAvia_act!O28*1000000)</f>
        <v>3530.5179114704524</v>
      </c>
      <c r="P42" s="15">
        <f>IF(P10=0,0,P10/TrAvia_act!P28*1000000)</f>
        <v>3619.8982862863309</v>
      </c>
      <c r="Q42" s="15">
        <f>IF(Q10=0,0,Q10/TrAvia_act!Q28*1000000)</f>
        <v>3234.0772344337133</v>
      </c>
      <c r="R42" s="15">
        <f>IF(R10=0,0,R10/TrAvia_act!R28*1000000)</f>
        <v>3238.7341041844588</v>
      </c>
      <c r="S42" s="15">
        <f>IF(S10=0,0,S10/TrAvia_act!S28*1000000)</f>
        <v>3474.8434804806666</v>
      </c>
      <c r="T42" s="15">
        <f>IF(T10=0,0,T10/TrAvia_act!T28*1000000)</f>
        <v>1260.3525256627113</v>
      </c>
      <c r="U42" s="15">
        <f>IF(U10=0,0,U10/TrAvia_act!U28*1000000)</f>
        <v>1301.2941962286466</v>
      </c>
      <c r="V42" s="15">
        <f>IF(V10=0,0,V10/TrAvia_act!V28*1000000)</f>
        <v>1216.2284416267144</v>
      </c>
      <c r="W42" s="15">
        <f>IF(W10=0,0,W10/TrAvia_act!W28*1000000)</f>
        <v>1427.5648090757804</v>
      </c>
      <c r="X42" s="15">
        <f>IF(X10=0,0,X10/TrAvia_act!X28*1000000)</f>
        <v>1234.7768408270028</v>
      </c>
      <c r="Y42" s="15">
        <f>IF(Y10=0,0,Y10/TrAvia_act!Y28*1000000)</f>
        <v>969.82625631006613</v>
      </c>
      <c r="DA42" s="193" t="s">
        <v>310</v>
      </c>
    </row>
    <row r="43" spans="1:105" ht="11.45" customHeight="1" x14ac:dyDescent="0.25">
      <c r="A43" s="92" t="s">
        <v>27</v>
      </c>
      <c r="B43" s="101">
        <f>IF(B11=0,0,B11/TrAvia_act!B29*1000000)</f>
        <v>1698.4700013269712</v>
      </c>
      <c r="C43" s="101">
        <f>IF(C11=0,0,C11/TrAvia_act!C29*1000000)</f>
        <v>1682.2457742961096</v>
      </c>
      <c r="D43" s="101">
        <f>IF(D11=0,0,D11/TrAvia_act!D29*1000000)</f>
        <v>1668.9120882393881</v>
      </c>
      <c r="E43" s="101">
        <f>IF(E11=0,0,E11/TrAvia_act!E29*1000000)</f>
        <v>1668.8793036550537</v>
      </c>
      <c r="F43" s="101">
        <f>IF(F11=0,0,F11/TrAvia_act!F29*1000000)</f>
        <v>1703.0726527362813</v>
      </c>
      <c r="G43" s="101">
        <f>IF(G11=0,0,G11/TrAvia_act!G29*1000000)</f>
        <v>1324.5969153202543</v>
      </c>
      <c r="H43" s="101">
        <f>IF(H11=0,0,H11/TrAvia_act!H29*1000000)</f>
        <v>219.08722155638804</v>
      </c>
      <c r="I43" s="101">
        <f>IF(I11=0,0,I11/TrAvia_act!I29*1000000)</f>
        <v>7490.2594112005327</v>
      </c>
      <c r="J43" s="101">
        <f>IF(J11=0,0,J11/TrAvia_act!J29*1000000)</f>
        <v>6407.9007922258443</v>
      </c>
      <c r="K43" s="101">
        <f>IF(K11=0,0,K11/TrAvia_act!K29*1000000)</f>
        <v>6191.2691119338542</v>
      </c>
      <c r="L43" s="101">
        <f>IF(L11=0,0,L11/TrAvia_act!L29*1000000)</f>
        <v>6845.679664383717</v>
      </c>
      <c r="M43" s="101">
        <f>IF(M11=0,0,M11/TrAvia_act!M29*1000000)</f>
        <v>5550.8988126864897</v>
      </c>
      <c r="N43" s="101">
        <f>IF(N11=0,0,N11/TrAvia_act!N29*1000000)</f>
        <v>3243.003343341084</v>
      </c>
      <c r="O43" s="101">
        <f>IF(O11=0,0,O11/TrAvia_act!O29*1000000)</f>
        <v>3794.4893667881993</v>
      </c>
      <c r="P43" s="101">
        <f>IF(P11=0,0,P11/TrAvia_act!P29*1000000)</f>
        <v>2233.3023910423208</v>
      </c>
      <c r="Q43" s="101">
        <f>IF(Q11=0,0,Q11/TrAvia_act!Q29*1000000)</f>
        <v>3067.3310240005285</v>
      </c>
      <c r="R43" s="101">
        <f>IF(R11=0,0,R11/TrAvia_act!R29*1000000)</f>
        <v>1960.1583332825621</v>
      </c>
      <c r="S43" s="101">
        <f>IF(S11=0,0,S11/TrAvia_act!S29*1000000)</f>
        <v>2922.5901658551247</v>
      </c>
      <c r="T43" s="101">
        <f>IF(T11=0,0,T11/TrAvia_act!T29*1000000)</f>
        <v>3238.8183257416113</v>
      </c>
      <c r="U43" s="101">
        <f>IF(U11=0,0,U11/TrAvia_act!U29*1000000)</f>
        <v>3884.2563214799056</v>
      </c>
      <c r="V43" s="101">
        <f>IF(V11=0,0,V11/TrAvia_act!V29*1000000)</f>
        <v>4983.811346324107</v>
      </c>
      <c r="W43" s="101">
        <f>IF(W11=0,0,W11/TrAvia_act!W29*1000000)</f>
        <v>4837.0580272624538</v>
      </c>
      <c r="X43" s="101">
        <f>IF(X11=0,0,X11/TrAvia_act!X29*1000000)</f>
        <v>5535.2185050939952</v>
      </c>
      <c r="Y43" s="101">
        <f>IF(Y11=0,0,Y11/TrAvia_act!Y29*1000000)</f>
        <v>3072.7438621664664</v>
      </c>
      <c r="DA43" s="175" t="s">
        <v>311</v>
      </c>
    </row>
    <row r="44" spans="1:105" ht="11.45" customHeight="1" x14ac:dyDescent="0.25">
      <c r="A44" s="92" t="s">
        <v>181</v>
      </c>
      <c r="B44" s="101">
        <f>IF(B12=0,0,B12/TrAvia_act!B30*1000000)</f>
        <v>4448.8577998849141</v>
      </c>
      <c r="C44" s="101">
        <f>IF(C12=0,0,C12/TrAvia_act!C30*1000000)</f>
        <v>4430.5798179599369</v>
      </c>
      <c r="D44" s="101">
        <f>IF(D12=0,0,D12/TrAvia_act!D30*1000000)</f>
        <v>4409.4128577290248</v>
      </c>
      <c r="E44" s="101">
        <f>IF(E12=0,0,E12/TrAvia_act!E30*1000000)</f>
        <v>4423.356808653617</v>
      </c>
      <c r="F44" s="101">
        <f>IF(F12=0,0,F12/TrAvia_act!F30*1000000)</f>
        <v>4415.9507213793895</v>
      </c>
      <c r="G44" s="101">
        <f>IF(G12=0,0,G12/TrAvia_act!G30*1000000)</f>
        <v>3216.6189695988951</v>
      </c>
      <c r="H44" s="101">
        <f>IF(H12=0,0,H12/TrAvia_act!H30*1000000)</f>
        <v>3077.7253412447449</v>
      </c>
      <c r="I44" s="101">
        <f>IF(I12=0,0,I12/TrAvia_act!I30*1000000)</f>
        <v>2116.6529829575234</v>
      </c>
      <c r="J44" s="101">
        <f>IF(J12=0,0,J12/TrAvia_act!J30*1000000)</f>
        <v>1992.962116385705</v>
      </c>
      <c r="K44" s="101">
        <f>IF(K12=0,0,K12/TrAvia_act!K30*1000000)</f>
        <v>2219.4798999153336</v>
      </c>
      <c r="L44" s="101">
        <f>IF(L12=0,0,L12/TrAvia_act!L30*1000000)</f>
        <v>2521.8608998981995</v>
      </c>
      <c r="M44" s="101">
        <f>IF(M12=0,0,M12/TrAvia_act!M30*1000000)</f>
        <v>2596.3455878378531</v>
      </c>
      <c r="N44" s="101">
        <f>IF(N12=0,0,N12/TrAvia_act!N30*1000000)</f>
        <v>2322.2747986054619</v>
      </c>
      <c r="O44" s="101">
        <f>IF(O12=0,0,O12/TrAvia_act!O30*1000000)</f>
        <v>2836.975998687607</v>
      </c>
      <c r="P44" s="101">
        <f>IF(P12=0,0,P12/TrAvia_act!P30*1000000)</f>
        <v>3426.9924568443535</v>
      </c>
      <c r="Q44" s="101">
        <f>IF(Q12=0,0,Q12/TrAvia_act!Q30*1000000)</f>
        <v>3177.275101452572</v>
      </c>
      <c r="R44" s="101">
        <f>IF(R12=0,0,R12/TrAvia_act!R30*1000000)</f>
        <v>3320.7181626807096</v>
      </c>
      <c r="S44" s="101">
        <f>IF(S12=0,0,S12/TrAvia_act!S30*1000000)</f>
        <v>3721.5872106134752</v>
      </c>
      <c r="T44" s="101">
        <f>IF(T12=0,0,T12/TrAvia_act!T30*1000000)</f>
        <v>1318.2270721012303</v>
      </c>
      <c r="U44" s="101">
        <f>IF(U12=0,0,U12/TrAvia_act!U30*1000000)</f>
        <v>1336.0079870250295</v>
      </c>
      <c r="V44" s="101">
        <f>IF(V12=0,0,V12/TrAvia_act!V30*1000000)</f>
        <v>1021.4103432361261</v>
      </c>
      <c r="W44" s="101">
        <f>IF(W12=0,0,W12/TrAvia_act!W30*1000000)</f>
        <v>1181.709642364458</v>
      </c>
      <c r="X44" s="101">
        <f>IF(X12=0,0,X12/TrAvia_act!X30*1000000)</f>
        <v>861.57715332293208</v>
      </c>
      <c r="Y44" s="101">
        <f>IF(Y12=0,0,Y12/TrAvia_act!Y30*1000000)</f>
        <v>753.33776296390351</v>
      </c>
      <c r="DA44" s="175" t="s">
        <v>312</v>
      </c>
    </row>
    <row r="45" spans="1:105" ht="11.45" customHeight="1" x14ac:dyDescent="0.25">
      <c r="A45" s="85" t="s">
        <v>182</v>
      </c>
      <c r="B45" s="88">
        <f>IF(B13=0,0,B13/TrAvia_act!B31*1000000)</f>
        <v>10227.239289652654</v>
      </c>
      <c r="C45" s="88">
        <f>IF(C13=0,0,C13/TrAvia_act!C31*1000000)</f>
        <v>10219.896471208895</v>
      </c>
      <c r="D45" s="88">
        <f>IF(D13=0,0,D13/TrAvia_act!D31*1000000)</f>
        <v>10188.734452409319</v>
      </c>
      <c r="E45" s="88">
        <f>IF(E13=0,0,E13/TrAvia_act!E31*1000000)</f>
        <v>10201.752742023518</v>
      </c>
      <c r="F45" s="88">
        <f>IF(F13=0,0,F13/TrAvia_act!F31*1000000)</f>
        <v>10190.747322852278</v>
      </c>
      <c r="G45" s="88">
        <f>IF(G13=0,0,G13/TrAvia_act!G31*1000000)</f>
        <v>7544.8487118962375</v>
      </c>
      <c r="H45" s="88">
        <f>IF(H13=0,0,H13/TrAvia_act!H31*1000000)</f>
        <v>8422.5050016755122</v>
      </c>
      <c r="I45" s="88">
        <f>IF(I13=0,0,I13/TrAvia_act!I31*1000000)</f>
        <v>5651.3872212370707</v>
      </c>
      <c r="J45" s="88">
        <f>IF(J13=0,0,J13/TrAvia_act!J31*1000000)</f>
        <v>5935.9184813783331</v>
      </c>
      <c r="K45" s="88">
        <f>IF(K13=0,0,K13/TrAvia_act!K31*1000000)</f>
        <v>7912.3187814556641</v>
      </c>
      <c r="L45" s="88">
        <f>IF(L13=0,0,L13/TrAvia_act!L31*1000000)</f>
        <v>9413.647909111829</v>
      </c>
      <c r="M45" s="88">
        <f>IF(M13=0,0,M13/TrAvia_act!M31*1000000)</f>
        <v>9635.8407029320751</v>
      </c>
      <c r="N45" s="88">
        <f>IF(N13=0,0,N13/TrAvia_act!N31*1000000)</f>
        <v>9999.4877512318089</v>
      </c>
      <c r="O45" s="88">
        <f>IF(O13=0,0,O13/TrAvia_act!O31*1000000)</f>
        <v>8908.9548663660971</v>
      </c>
      <c r="P45" s="88">
        <f>IF(P13=0,0,P13/TrAvia_act!P31*1000000)</f>
        <v>6011.7719752256071</v>
      </c>
      <c r="Q45" s="88">
        <f>IF(Q13=0,0,Q13/TrAvia_act!Q31*1000000)</f>
        <v>3960.5186776295604</v>
      </c>
      <c r="R45" s="88">
        <f>IF(R13=0,0,R13/TrAvia_act!R31*1000000)</f>
        <v>2380.7063544208136</v>
      </c>
      <c r="S45" s="88">
        <f>IF(S13=0,0,S13/TrAvia_act!S31*1000000)</f>
        <v>1366.4914798409256</v>
      </c>
      <c r="T45" s="88">
        <f>IF(T13=0,0,T13/TrAvia_act!T31*1000000)</f>
        <v>298.75162669122568</v>
      </c>
      <c r="U45" s="88">
        <f>IF(U13=0,0,U13/TrAvia_act!U31*1000000)</f>
        <v>366.16138733167861</v>
      </c>
      <c r="V45" s="88">
        <f>IF(V13=0,0,V13/TrAvia_act!V31*1000000)</f>
        <v>455.7868134993833</v>
      </c>
      <c r="W45" s="88">
        <f>IF(W13=0,0,W13/TrAvia_act!W31*1000000)</f>
        <v>465.28620815744182</v>
      </c>
      <c r="X45" s="88">
        <f>IF(X13=0,0,X13/TrAvia_act!X31*1000000)</f>
        <v>417.48275575115963</v>
      </c>
      <c r="Y45" s="88">
        <f>IF(Y13=0,0,Y13/TrAvia_act!Y31*1000000)</f>
        <v>422.61122700479513</v>
      </c>
      <c r="DA45" s="178" t="s">
        <v>313</v>
      </c>
    </row>
    <row r="46" spans="1:105" x14ac:dyDescent="0.25">
      <c r="A46" s="50"/>
      <c r="B46" s="50"/>
      <c r="C46" s="50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DA46" s="181"/>
    </row>
    <row r="47" spans="1:105" ht="11.45" customHeight="1" x14ac:dyDescent="0.25">
      <c r="A47" s="53" t="s">
        <v>40</v>
      </c>
      <c r="B47" s="76">
        <f t="shared" ref="B47:C47" si="33">IF(B3=0,0,B3/B$3)</f>
        <v>1</v>
      </c>
      <c r="C47" s="76">
        <f t="shared" si="33"/>
        <v>1</v>
      </c>
      <c r="D47" s="76">
        <f t="shared" ref="D47:V47" si="34">IF(D3=0,0,D3/D$3)</f>
        <v>1</v>
      </c>
      <c r="E47" s="76">
        <f t="shared" si="34"/>
        <v>1</v>
      </c>
      <c r="F47" s="76">
        <f t="shared" si="34"/>
        <v>1</v>
      </c>
      <c r="G47" s="76">
        <f t="shared" si="34"/>
        <v>1</v>
      </c>
      <c r="H47" s="76">
        <f t="shared" si="34"/>
        <v>1</v>
      </c>
      <c r="I47" s="76">
        <f t="shared" si="34"/>
        <v>1</v>
      </c>
      <c r="J47" s="76">
        <f t="shared" si="34"/>
        <v>1</v>
      </c>
      <c r="K47" s="76">
        <f t="shared" si="34"/>
        <v>1</v>
      </c>
      <c r="L47" s="76">
        <f t="shared" si="34"/>
        <v>1</v>
      </c>
      <c r="M47" s="76">
        <f t="shared" si="34"/>
        <v>1</v>
      </c>
      <c r="N47" s="76">
        <f t="shared" si="34"/>
        <v>1</v>
      </c>
      <c r="O47" s="76">
        <f t="shared" si="34"/>
        <v>1</v>
      </c>
      <c r="P47" s="76">
        <f t="shared" si="34"/>
        <v>1</v>
      </c>
      <c r="Q47" s="76">
        <f t="shared" si="34"/>
        <v>1</v>
      </c>
      <c r="R47" s="76">
        <f t="shared" si="34"/>
        <v>1</v>
      </c>
      <c r="S47" s="76">
        <f t="shared" si="34"/>
        <v>1</v>
      </c>
      <c r="T47" s="76">
        <f t="shared" si="34"/>
        <v>1</v>
      </c>
      <c r="U47" s="76">
        <f t="shared" si="34"/>
        <v>1</v>
      </c>
      <c r="V47" s="76">
        <f t="shared" si="34"/>
        <v>1</v>
      </c>
      <c r="W47" s="76">
        <f t="shared" ref="W47:Y47" si="35">IF(W3=0,0,W3/W$3)</f>
        <v>1</v>
      </c>
      <c r="X47" s="76">
        <f t="shared" si="35"/>
        <v>1</v>
      </c>
      <c r="Y47" s="76">
        <f t="shared" si="35"/>
        <v>1</v>
      </c>
      <c r="DA47" s="183"/>
    </row>
    <row r="48" spans="1:105" ht="11.45" customHeight="1" x14ac:dyDescent="0.25">
      <c r="A48" s="10" t="s">
        <v>33</v>
      </c>
      <c r="B48" s="16">
        <f t="shared" ref="B48:C48" si="36">IF(B6=0,0,B6/B$3)</f>
        <v>0.98519200275335139</v>
      </c>
      <c r="C48" s="16">
        <f t="shared" si="36"/>
        <v>0.98541227836929424</v>
      </c>
      <c r="D48" s="16">
        <f t="shared" ref="D48:V48" si="37">IF(D6=0,0,D6/D$3)</f>
        <v>0.98378811181995074</v>
      </c>
      <c r="E48" s="16">
        <f t="shared" si="37"/>
        <v>0.98679200039209281</v>
      </c>
      <c r="F48" s="16">
        <f t="shared" si="37"/>
        <v>0.98819390045040101</v>
      </c>
      <c r="G48" s="16">
        <f t="shared" si="37"/>
        <v>0.99188155289428637</v>
      </c>
      <c r="H48" s="16">
        <f t="shared" si="37"/>
        <v>0.99217162531188341</v>
      </c>
      <c r="I48" s="16">
        <f t="shared" si="37"/>
        <v>0.99441750038861765</v>
      </c>
      <c r="J48" s="16">
        <f t="shared" si="37"/>
        <v>0.99391738964143939</v>
      </c>
      <c r="K48" s="16">
        <f t="shared" si="37"/>
        <v>0.99365754940255535</v>
      </c>
      <c r="L48" s="16">
        <f t="shared" si="37"/>
        <v>0.99373840090345023</v>
      </c>
      <c r="M48" s="16">
        <f t="shared" si="37"/>
        <v>0.99216765306797972</v>
      </c>
      <c r="N48" s="16">
        <f t="shared" si="37"/>
        <v>0.98972519926265567</v>
      </c>
      <c r="O48" s="16">
        <f t="shared" si="37"/>
        <v>0.98977754858564881</v>
      </c>
      <c r="P48" s="16">
        <f t="shared" si="37"/>
        <v>0.99105120020329773</v>
      </c>
      <c r="Q48" s="16">
        <f t="shared" si="37"/>
        <v>0.99217641636848497</v>
      </c>
      <c r="R48" s="16">
        <f t="shared" si="37"/>
        <v>0.99291366608905662</v>
      </c>
      <c r="S48" s="16">
        <f t="shared" si="37"/>
        <v>0.99253158883846482</v>
      </c>
      <c r="T48" s="16">
        <f t="shared" si="37"/>
        <v>0.99426993693620425</v>
      </c>
      <c r="U48" s="16">
        <f t="shared" si="37"/>
        <v>0.99591574815018846</v>
      </c>
      <c r="V48" s="16">
        <f t="shared" si="37"/>
        <v>0.99074706592663642</v>
      </c>
      <c r="W48" s="16">
        <f t="shared" ref="W48:Y48" si="38">IF(W6=0,0,W6/W$3)</f>
        <v>0.9920646709664489</v>
      </c>
      <c r="X48" s="16">
        <f t="shared" si="38"/>
        <v>0.99318453368045656</v>
      </c>
      <c r="Y48" s="16">
        <f t="shared" si="38"/>
        <v>0.99338238471932472</v>
      </c>
      <c r="DA48" s="190"/>
    </row>
    <row r="49" spans="1:105" ht="11.45" customHeight="1" x14ac:dyDescent="0.25">
      <c r="A49" s="83" t="s">
        <v>27</v>
      </c>
      <c r="B49" s="103">
        <f t="shared" ref="B49:C49" si="39">IF(B7=0,0,B7/B$3)</f>
        <v>4.6162624127249863E-2</v>
      </c>
      <c r="C49" s="103">
        <f t="shared" si="39"/>
        <v>2.6129084157813412E-2</v>
      </c>
      <c r="D49" s="103">
        <f t="shared" ref="D49:V49" si="40">IF(D7=0,0,D7/D$3)</f>
        <v>2.0364641417407365E-2</v>
      </c>
      <c r="E49" s="103">
        <f t="shared" si="40"/>
        <v>1.686743738669972E-2</v>
      </c>
      <c r="F49" s="103">
        <f t="shared" si="40"/>
        <v>8.1009654465466763E-2</v>
      </c>
      <c r="G49" s="103">
        <f t="shared" si="40"/>
        <v>8.4651751305274942E-2</v>
      </c>
      <c r="H49" s="103">
        <f t="shared" si="40"/>
        <v>1.3474884876291206E-2</v>
      </c>
      <c r="I49" s="103">
        <f t="shared" si="40"/>
        <v>0.40111208076912175</v>
      </c>
      <c r="J49" s="103">
        <f t="shared" si="40"/>
        <v>0.37504549526856068</v>
      </c>
      <c r="K49" s="103">
        <f t="shared" si="40"/>
        <v>0.36437615828922743</v>
      </c>
      <c r="L49" s="103">
        <f t="shared" si="40"/>
        <v>0.40069000260436649</v>
      </c>
      <c r="M49" s="103">
        <f t="shared" si="40"/>
        <v>0.3586817936652541</v>
      </c>
      <c r="N49" s="103">
        <f t="shared" si="40"/>
        <v>0.23272624126964767</v>
      </c>
      <c r="O49" s="103">
        <f t="shared" si="40"/>
        <v>0.21611982164355548</v>
      </c>
      <c r="P49" s="103">
        <f t="shared" si="40"/>
        <v>0.10506782677435679</v>
      </c>
      <c r="Q49" s="103">
        <f t="shared" si="40"/>
        <v>0.12026965335736098</v>
      </c>
      <c r="R49" s="103">
        <f t="shared" si="40"/>
        <v>8.7862437671421878E-2</v>
      </c>
      <c r="S49" s="103">
        <f t="shared" si="40"/>
        <v>0.12786910995934861</v>
      </c>
      <c r="T49" s="103">
        <f t="shared" si="40"/>
        <v>0.28748783937650696</v>
      </c>
      <c r="U49" s="103">
        <f t="shared" si="40"/>
        <v>0.29699921672449503</v>
      </c>
      <c r="V49" s="103">
        <f t="shared" si="40"/>
        <v>0.44686076490219384</v>
      </c>
      <c r="W49" s="103">
        <f t="shared" ref="W49:Y49" si="41">IF(W7=0,0,W7/W$3)</f>
        <v>0.35953105894268222</v>
      </c>
      <c r="X49" s="103">
        <f t="shared" si="41"/>
        <v>0.43068382636331609</v>
      </c>
      <c r="Y49" s="103">
        <f t="shared" si="41"/>
        <v>0.28894724671101152</v>
      </c>
      <c r="DA49" s="191"/>
    </row>
    <row r="50" spans="1:105" ht="11.45" customHeight="1" x14ac:dyDescent="0.25">
      <c r="A50" s="83" t="s">
        <v>181</v>
      </c>
      <c r="B50" s="103">
        <f t="shared" ref="B50:C50" si="42">IF(B8=0,0,B8/B$3)</f>
        <v>0.80277367968521085</v>
      </c>
      <c r="C50" s="103">
        <f t="shared" si="42"/>
        <v>0.82013515423760974</v>
      </c>
      <c r="D50" s="103">
        <f t="shared" ref="D50:V50" si="43">IF(D8=0,0,D8/D$3)</f>
        <v>0.82375255917832546</v>
      </c>
      <c r="E50" s="103">
        <f t="shared" si="43"/>
        <v>0.82939994160110742</v>
      </c>
      <c r="F50" s="103">
        <f t="shared" si="43"/>
        <v>0.77582937473051983</v>
      </c>
      <c r="G50" s="103">
        <f t="shared" si="43"/>
        <v>0.77763416240985561</v>
      </c>
      <c r="H50" s="103">
        <f t="shared" si="43"/>
        <v>0.84392307194182159</v>
      </c>
      <c r="I50" s="103">
        <f t="shared" si="43"/>
        <v>0.51678275076472313</v>
      </c>
      <c r="J50" s="103">
        <f t="shared" si="43"/>
        <v>0.54096887031562391</v>
      </c>
      <c r="K50" s="103">
        <f t="shared" si="43"/>
        <v>0.5495695517464122</v>
      </c>
      <c r="L50" s="103">
        <f t="shared" si="43"/>
        <v>0.51889754308962333</v>
      </c>
      <c r="M50" s="103">
        <f t="shared" si="43"/>
        <v>0.55273434779793607</v>
      </c>
      <c r="N50" s="103">
        <f t="shared" si="43"/>
        <v>0.66114807695704381</v>
      </c>
      <c r="O50" s="103">
        <f t="shared" si="43"/>
        <v>0.6768991273946795</v>
      </c>
      <c r="P50" s="103">
        <f t="shared" si="43"/>
        <v>0.7832784067134656</v>
      </c>
      <c r="Q50" s="103">
        <f t="shared" si="43"/>
        <v>0.77763520700077093</v>
      </c>
      <c r="R50" s="103">
        <f t="shared" si="43"/>
        <v>0.82048222393167447</v>
      </c>
      <c r="S50" s="103">
        <f t="shared" si="43"/>
        <v>0.79164867106502401</v>
      </c>
      <c r="T50" s="103">
        <f t="shared" si="43"/>
        <v>0.64664755378692873</v>
      </c>
      <c r="U50" s="103">
        <f t="shared" si="43"/>
        <v>0.64122551345262735</v>
      </c>
      <c r="V50" s="103">
        <f t="shared" si="43"/>
        <v>0.48020697196252138</v>
      </c>
      <c r="W50" s="103">
        <f t="shared" ref="W50:Y50" si="44">IF(W8=0,0,W8/W$3)</f>
        <v>0.56885029365102135</v>
      </c>
      <c r="X50" s="103">
        <f t="shared" si="44"/>
        <v>0.51892082715561805</v>
      </c>
      <c r="Y50" s="103">
        <f t="shared" si="44"/>
        <v>0.64885286144144005</v>
      </c>
      <c r="DA50" s="191"/>
    </row>
    <row r="51" spans="1:105" ht="11.45" customHeight="1" x14ac:dyDescent="0.25">
      <c r="A51" s="83" t="s">
        <v>182</v>
      </c>
      <c r="B51" s="103">
        <f t="shared" ref="B51:C51" si="45">IF(B9=0,0,B9/B$3)</f>
        <v>0.1362556989408906</v>
      </c>
      <c r="C51" s="103">
        <f t="shared" si="45"/>
        <v>0.13914803997387104</v>
      </c>
      <c r="D51" s="103">
        <f t="shared" ref="D51:V51" si="46">IF(D9=0,0,D9/D$3)</f>
        <v>0.13967091122421799</v>
      </c>
      <c r="E51" s="103">
        <f t="shared" si="46"/>
        <v>0.14052462140428573</v>
      </c>
      <c r="F51" s="103">
        <f t="shared" si="46"/>
        <v>0.13135487125441436</v>
      </c>
      <c r="G51" s="103">
        <f t="shared" si="46"/>
        <v>0.12959563917915573</v>
      </c>
      <c r="H51" s="103">
        <f t="shared" si="46"/>
        <v>0.13477366849377076</v>
      </c>
      <c r="I51" s="103">
        <f t="shared" si="46"/>
        <v>7.6522668854772699E-2</v>
      </c>
      <c r="J51" s="103">
        <f t="shared" si="46"/>
        <v>7.7903024057254799E-2</v>
      </c>
      <c r="K51" s="103">
        <f t="shared" si="46"/>
        <v>7.9711839366915865E-2</v>
      </c>
      <c r="L51" s="103">
        <f t="shared" si="46"/>
        <v>7.4150855209460478E-2</v>
      </c>
      <c r="M51" s="103">
        <f t="shared" si="46"/>
        <v>8.0751511604789453E-2</v>
      </c>
      <c r="N51" s="103">
        <f t="shared" si="46"/>
        <v>9.5850881035964244E-2</v>
      </c>
      <c r="O51" s="103">
        <f t="shared" si="46"/>
        <v>9.6758599547413879E-2</v>
      </c>
      <c r="P51" s="103">
        <f t="shared" si="46"/>
        <v>0.10270496671547534</v>
      </c>
      <c r="Q51" s="103">
        <f t="shared" si="46"/>
        <v>9.4271556010352975E-2</v>
      </c>
      <c r="R51" s="103">
        <f t="shared" si="46"/>
        <v>8.4569004485960234E-2</v>
      </c>
      <c r="S51" s="103">
        <f t="shared" si="46"/>
        <v>7.3013807814092141E-2</v>
      </c>
      <c r="T51" s="103">
        <f t="shared" si="46"/>
        <v>6.0134543772768563E-2</v>
      </c>
      <c r="U51" s="103">
        <f t="shared" si="46"/>
        <v>5.7691017973065979E-2</v>
      </c>
      <c r="V51" s="103">
        <f t="shared" si="46"/>
        <v>6.3679329061921086E-2</v>
      </c>
      <c r="W51" s="103">
        <f t="shared" ref="W51:Y51" si="47">IF(W9=0,0,W9/W$3)</f>
        <v>6.3683318372745296E-2</v>
      </c>
      <c r="X51" s="103">
        <f t="shared" si="47"/>
        <v>4.3579880161522554E-2</v>
      </c>
      <c r="Y51" s="103">
        <f t="shared" si="47"/>
        <v>5.5582276566873118E-2</v>
      </c>
      <c r="DA51" s="191"/>
    </row>
    <row r="52" spans="1:105" ht="11.45" customHeight="1" x14ac:dyDescent="0.25">
      <c r="A52" s="12" t="s">
        <v>34</v>
      </c>
      <c r="B52" s="17">
        <f t="shared" ref="B52:C52" si="48">IF(B10=0,0,B10/B$3)</f>
        <v>1.4807997246648644E-2</v>
      </c>
      <c r="C52" s="17">
        <f t="shared" si="48"/>
        <v>1.4587721630705796E-2</v>
      </c>
      <c r="D52" s="17">
        <f t="shared" ref="D52:V52" si="49">IF(D10=0,0,D10/D$3)</f>
        <v>1.6211888180049348E-2</v>
      </c>
      <c r="E52" s="17">
        <f t="shared" si="49"/>
        <v>1.3207999607907124E-2</v>
      </c>
      <c r="F52" s="17">
        <f t="shared" si="49"/>
        <v>1.180609954959895E-2</v>
      </c>
      <c r="G52" s="17">
        <f t="shared" si="49"/>
        <v>8.1184471057135429E-3</v>
      </c>
      <c r="H52" s="17">
        <f t="shared" si="49"/>
        <v>7.8283746881164067E-3</v>
      </c>
      <c r="I52" s="17">
        <f t="shared" si="49"/>
        <v>5.5824996113825005E-3</v>
      </c>
      <c r="J52" s="17">
        <f t="shared" si="49"/>
        <v>6.0826103585606044E-3</v>
      </c>
      <c r="K52" s="17">
        <f t="shared" si="49"/>
        <v>6.3424505974444753E-3</v>
      </c>
      <c r="L52" s="17">
        <f t="shared" si="49"/>
        <v>6.2615990965498606E-3</v>
      </c>
      <c r="M52" s="17">
        <f t="shared" si="49"/>
        <v>7.8323469320203797E-3</v>
      </c>
      <c r="N52" s="17">
        <f t="shared" si="49"/>
        <v>1.0274800737344393E-2</v>
      </c>
      <c r="O52" s="17">
        <f t="shared" si="49"/>
        <v>1.0222451414351108E-2</v>
      </c>
      <c r="P52" s="17">
        <f t="shared" si="49"/>
        <v>8.9487997967022618E-3</v>
      </c>
      <c r="Q52" s="17">
        <f t="shared" si="49"/>
        <v>7.8235836315151599E-3</v>
      </c>
      <c r="R52" s="17">
        <f t="shared" si="49"/>
        <v>7.086333910943576E-3</v>
      </c>
      <c r="S52" s="17">
        <f t="shared" si="49"/>
        <v>7.4684111615352109E-3</v>
      </c>
      <c r="T52" s="17">
        <f t="shared" si="49"/>
        <v>5.7300630637957374E-3</v>
      </c>
      <c r="U52" s="17">
        <f t="shared" si="49"/>
        <v>4.0842518498116279E-3</v>
      </c>
      <c r="V52" s="17">
        <f t="shared" si="49"/>
        <v>9.2529340733636684E-3</v>
      </c>
      <c r="W52" s="17">
        <f t="shared" ref="W52:Y52" si="50">IF(W10=0,0,W10/W$3)</f>
        <v>7.9353290335512257E-3</v>
      </c>
      <c r="X52" s="17">
        <f t="shared" si="50"/>
        <v>6.8154663195434681E-3</v>
      </c>
      <c r="Y52" s="17">
        <f t="shared" si="50"/>
        <v>6.6176152806751171E-3</v>
      </c>
      <c r="DA52" s="194"/>
    </row>
    <row r="53" spans="1:105" ht="11.45" customHeight="1" x14ac:dyDescent="0.25">
      <c r="A53" s="92" t="s">
        <v>27</v>
      </c>
      <c r="B53" s="104">
        <f t="shared" ref="B53:C53" si="51">IF(B11=0,0,B11/B$3)</f>
        <v>5.4988638311245785E-4</v>
      </c>
      <c r="C53" s="104">
        <f t="shared" si="51"/>
        <v>5.3701427929043241E-4</v>
      </c>
      <c r="D53" s="104">
        <f t="shared" ref="D53:V53" si="52">IF(D11=0,0,D11/D$3)</f>
        <v>5.6110453684356254E-4</v>
      </c>
      <c r="E53" s="104">
        <f t="shared" si="52"/>
        <v>4.5070313856537098E-4</v>
      </c>
      <c r="F53" s="104">
        <f t="shared" si="52"/>
        <v>4.1318307957409652E-4</v>
      </c>
      <c r="G53" s="104">
        <f t="shared" si="52"/>
        <v>1.8305066346776183E-4</v>
      </c>
      <c r="H53" s="104">
        <f t="shared" si="52"/>
        <v>6.8343591584892665E-5</v>
      </c>
      <c r="I53" s="104">
        <f t="shared" si="52"/>
        <v>1.8068254582572067E-3</v>
      </c>
      <c r="J53" s="104">
        <f t="shared" si="52"/>
        <v>9.5079208959888994E-4</v>
      </c>
      <c r="K53" s="104">
        <f t="shared" si="52"/>
        <v>6.3446877161272381E-4</v>
      </c>
      <c r="L53" s="104">
        <f t="shared" si="52"/>
        <v>4.6874530087622537E-4</v>
      </c>
      <c r="M53" s="104">
        <f t="shared" si="52"/>
        <v>2.6941295702679604E-4</v>
      </c>
      <c r="N53" s="104">
        <f t="shared" si="52"/>
        <v>1.3079684189683697E-4</v>
      </c>
      <c r="O53" s="104">
        <f t="shared" si="52"/>
        <v>8.9908089698314769E-5</v>
      </c>
      <c r="P53" s="104">
        <f t="shared" si="52"/>
        <v>2.9006885577348767E-5</v>
      </c>
      <c r="Q53" s="104">
        <f t="shared" si="52"/>
        <v>2.2553819031796546E-5</v>
      </c>
      <c r="R53" s="104">
        <f t="shared" si="52"/>
        <v>2.4613007532988132E-5</v>
      </c>
      <c r="S53" s="104">
        <f t="shared" si="52"/>
        <v>1.0620833233183074E-4</v>
      </c>
      <c r="T53" s="104">
        <f t="shared" si="52"/>
        <v>4.0296339978122689E-4</v>
      </c>
      <c r="U53" s="104">
        <f t="shared" si="52"/>
        <v>6.4352145209845295E-4</v>
      </c>
      <c r="V53" s="104">
        <f t="shared" si="52"/>
        <v>2.7828474264388735E-3</v>
      </c>
      <c r="W53" s="104">
        <f t="shared" ref="W53:Y53" si="53">IF(W11=0,0,W11/W$3)</f>
        <v>2.5874998784356463E-3</v>
      </c>
      <c r="X53" s="104">
        <f t="shared" si="53"/>
        <v>2.7712482386421339E-3</v>
      </c>
      <c r="Y53" s="104">
        <f t="shared" si="53"/>
        <v>2.1950066235757529E-3</v>
      </c>
      <c r="DA53" s="195"/>
    </row>
    <row r="54" spans="1:105" ht="11.45" customHeight="1" x14ac:dyDescent="0.25">
      <c r="A54" s="92" t="s">
        <v>181</v>
      </c>
      <c r="B54" s="104">
        <f t="shared" ref="B54:C54" si="54">IF(B12=0,0,B12/B$3)</f>
        <v>1.1850031456104162E-2</v>
      </c>
      <c r="C54" s="104">
        <f t="shared" si="54"/>
        <v>1.1389240990654885E-2</v>
      </c>
      <c r="D54" s="104">
        <f t="shared" ref="D54:V54" si="55">IF(D12=0,0,D12/D$3)</f>
        <v>1.2426734710912274E-2</v>
      </c>
      <c r="E54" s="104">
        <f t="shared" si="55"/>
        <v>9.9186884582497682E-3</v>
      </c>
      <c r="F54" s="104">
        <f t="shared" si="55"/>
        <v>9.1209988516656858E-3</v>
      </c>
      <c r="G54" s="104">
        <f t="shared" si="55"/>
        <v>7.1122525465426812E-3</v>
      </c>
      <c r="H54" s="104">
        <f t="shared" si="55"/>
        <v>6.9557326925084005E-3</v>
      </c>
      <c r="I54" s="104">
        <f t="shared" si="55"/>
        <v>3.1758456708388385E-3</v>
      </c>
      <c r="J54" s="104">
        <f t="shared" si="55"/>
        <v>4.278581771806067E-3</v>
      </c>
      <c r="K54" s="104">
        <f t="shared" si="55"/>
        <v>5.0322831003203122E-3</v>
      </c>
      <c r="L54" s="104">
        <f t="shared" si="55"/>
        <v>5.080420843763072E-3</v>
      </c>
      <c r="M54" s="104">
        <f t="shared" si="55"/>
        <v>6.1173909861451416E-3</v>
      </c>
      <c r="N54" s="104">
        <f t="shared" si="55"/>
        <v>6.9176084095896413E-3</v>
      </c>
      <c r="O54" s="104">
        <f t="shared" si="55"/>
        <v>7.21947094671746E-3</v>
      </c>
      <c r="P54" s="104">
        <f t="shared" si="55"/>
        <v>7.7745766863263647E-3</v>
      </c>
      <c r="Q54" s="104">
        <f t="shared" si="55"/>
        <v>7.1021174030038818E-3</v>
      </c>
      <c r="R54" s="104">
        <f t="shared" si="55"/>
        <v>6.6506828211528989E-3</v>
      </c>
      <c r="S54" s="104">
        <f t="shared" si="55"/>
        <v>7.0713432202206385E-3</v>
      </c>
      <c r="T54" s="104">
        <f t="shared" si="55"/>
        <v>5.1799695212687014E-3</v>
      </c>
      <c r="U54" s="104">
        <f t="shared" si="55"/>
        <v>3.2402037224707261E-3</v>
      </c>
      <c r="V54" s="104">
        <f t="shared" si="55"/>
        <v>5.8815529964960306E-3</v>
      </c>
      <c r="W54" s="104">
        <f t="shared" ref="W54:Y54" si="56">IF(W12=0,0,W12/W$3)</f>
        <v>4.9654660368505113E-3</v>
      </c>
      <c r="X54" s="104">
        <f t="shared" si="56"/>
        <v>3.7810129476587564E-3</v>
      </c>
      <c r="Y54" s="104">
        <f t="shared" si="56"/>
        <v>4.1930455297213565E-3</v>
      </c>
      <c r="DA54" s="195"/>
    </row>
    <row r="55" spans="1:105" ht="11.45" customHeight="1" x14ac:dyDescent="0.25">
      <c r="A55" s="85" t="s">
        <v>182</v>
      </c>
      <c r="B55" s="105">
        <f t="shared" ref="B55:C55" si="57">IF(B13=0,0,B13/B$3)</f>
        <v>2.4080794074320252E-3</v>
      </c>
      <c r="C55" s="105">
        <f t="shared" si="57"/>
        <v>2.66146636076048E-3</v>
      </c>
      <c r="D55" s="105">
        <f t="shared" ref="D55:V55" si="58">IF(D13=0,0,D13/D$3)</f>
        <v>3.2240489322935108E-3</v>
      </c>
      <c r="E55" s="105">
        <f t="shared" si="58"/>
        <v>2.8386080110919831E-3</v>
      </c>
      <c r="F55" s="105">
        <f t="shared" si="58"/>
        <v>2.271917618359166E-3</v>
      </c>
      <c r="G55" s="105">
        <f t="shared" si="58"/>
        <v>8.2314389570309896E-4</v>
      </c>
      <c r="H55" s="105">
        <f t="shared" si="58"/>
        <v>8.0429840402311418E-4</v>
      </c>
      <c r="I55" s="105">
        <f t="shared" si="58"/>
        <v>5.9982848228645606E-4</v>
      </c>
      <c r="J55" s="105">
        <f t="shared" si="58"/>
        <v>8.5323649715564711E-4</v>
      </c>
      <c r="K55" s="105">
        <f t="shared" si="58"/>
        <v>6.7569872551143985E-4</v>
      </c>
      <c r="L55" s="105">
        <f t="shared" si="58"/>
        <v>7.1243295191056224E-4</v>
      </c>
      <c r="M55" s="105">
        <f t="shared" si="58"/>
        <v>1.4455429888484428E-3</v>
      </c>
      <c r="N55" s="105">
        <f t="shared" si="58"/>
        <v>3.2263954858579138E-3</v>
      </c>
      <c r="O55" s="105">
        <f t="shared" si="58"/>
        <v>2.9130723779353333E-3</v>
      </c>
      <c r="P55" s="105">
        <f t="shared" si="58"/>
        <v>1.1452162247985477E-3</v>
      </c>
      <c r="Q55" s="105">
        <f t="shared" si="58"/>
        <v>6.9891240947948146E-4</v>
      </c>
      <c r="R55" s="105">
        <f t="shared" si="58"/>
        <v>4.1103808225768918E-4</v>
      </c>
      <c r="S55" s="105">
        <f t="shared" si="58"/>
        <v>2.9085960898274046E-4</v>
      </c>
      <c r="T55" s="105">
        <f t="shared" si="58"/>
        <v>1.471301427458084E-4</v>
      </c>
      <c r="U55" s="105">
        <f t="shared" si="58"/>
        <v>2.0052667524244857E-4</v>
      </c>
      <c r="V55" s="105">
        <f t="shared" si="58"/>
        <v>5.8853365042876448E-4</v>
      </c>
      <c r="W55" s="105">
        <f t="shared" ref="W55:Y55" si="59">IF(W13=0,0,W13/W$3)</f>
        <v>3.8236311826506797E-4</v>
      </c>
      <c r="X55" s="105">
        <f t="shared" si="59"/>
        <v>2.6320513324257878E-4</v>
      </c>
      <c r="Y55" s="105">
        <f t="shared" si="59"/>
        <v>2.2956312737800757E-4</v>
      </c>
      <c r="DA55" s="192"/>
    </row>
    <row r="56" spans="1:105" x14ac:dyDescent="0.25">
      <c r="A56" s="50"/>
      <c r="B56" s="50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DA56" s="181"/>
    </row>
    <row r="57" spans="1:105" ht="11.45" customHeight="1" x14ac:dyDescent="0.25">
      <c r="A57" s="53" t="s">
        <v>76</v>
      </c>
      <c r="B57" s="62">
        <v>344.87215158739042</v>
      </c>
      <c r="C57" s="62">
        <v>339.60972716331224</v>
      </c>
      <c r="D57" s="62">
        <v>338.23802593272791</v>
      </c>
      <c r="E57" s="62">
        <v>337.11236091752045</v>
      </c>
      <c r="F57" s="62">
        <v>353.94601313835858</v>
      </c>
      <c r="G57" s="62">
        <v>351.22630515337005</v>
      </c>
      <c r="H57" s="62">
        <v>352.08841736802299</v>
      </c>
      <c r="I57" s="62">
        <v>347.91619246744125</v>
      </c>
      <c r="J57" s="62">
        <v>347.8881078426233</v>
      </c>
      <c r="K57" s="62">
        <v>348.82034123755494</v>
      </c>
      <c r="L57" s="62">
        <v>351.79389553261183</v>
      </c>
      <c r="M57" s="62">
        <v>350.02654897605464</v>
      </c>
      <c r="N57" s="62">
        <v>349.75005001845398</v>
      </c>
      <c r="O57" s="62">
        <v>348.15510494322393</v>
      </c>
      <c r="P57" s="62">
        <v>346.42889700892084</v>
      </c>
      <c r="Q57" s="62">
        <v>345.11787262433597</v>
      </c>
      <c r="R57" s="62">
        <v>347.40440154746511</v>
      </c>
      <c r="S57" s="62">
        <v>348.77853454776709</v>
      </c>
      <c r="T57" s="62">
        <v>351.51239449797851</v>
      </c>
      <c r="U57" s="62">
        <v>349.90386098898335</v>
      </c>
      <c r="V57" s="62">
        <v>355.08412955525262</v>
      </c>
      <c r="W57" s="62">
        <v>344.40374913612635</v>
      </c>
      <c r="X57" s="62">
        <v>341.3798795998739</v>
      </c>
      <c r="Y57" s="62">
        <v>338.73461074606058</v>
      </c>
      <c r="DA57" s="172" t="s">
        <v>314</v>
      </c>
    </row>
    <row r="58" spans="1:105" ht="11.45" customHeight="1" x14ac:dyDescent="0.25">
      <c r="A58" s="10" t="s">
        <v>33</v>
      </c>
      <c r="B58" s="14">
        <v>344.01011777318189</v>
      </c>
      <c r="C58" s="14">
        <v>338.66790521449138</v>
      </c>
      <c r="D58" s="14">
        <v>337.14196393729799</v>
      </c>
      <c r="E58" s="14">
        <v>336.18641497232829</v>
      </c>
      <c r="F58" s="14">
        <v>353.30454688514874</v>
      </c>
      <c r="G58" s="14">
        <v>350.8772724675639</v>
      </c>
      <c r="H58" s="14">
        <v>351.6907579775484</v>
      </c>
      <c r="I58" s="14">
        <v>347.58438754435031</v>
      </c>
      <c r="J58" s="14">
        <v>347.44248499728207</v>
      </c>
      <c r="K58" s="14">
        <v>348.50517379174443</v>
      </c>
      <c r="L58" s="14">
        <v>351.49762564961111</v>
      </c>
      <c r="M58" s="14">
        <v>349.57534874635746</v>
      </c>
      <c r="N58" s="14">
        <v>348.75146845552121</v>
      </c>
      <c r="O58" s="14">
        <v>347.56082020738995</v>
      </c>
      <c r="P58" s="14">
        <v>346.31472619581865</v>
      </c>
      <c r="Q58" s="14">
        <v>345.12520278690391</v>
      </c>
      <c r="R58" s="14">
        <v>347.46941079170051</v>
      </c>
      <c r="S58" s="14">
        <v>348.85698850654501</v>
      </c>
      <c r="T58" s="14">
        <v>351.5464357079137</v>
      </c>
      <c r="U58" s="14">
        <v>349.83791200008318</v>
      </c>
      <c r="V58" s="14">
        <v>355.07270049410891</v>
      </c>
      <c r="W58" s="14">
        <v>344.32103613535116</v>
      </c>
      <c r="X58" s="14">
        <v>341.29579313449415</v>
      </c>
      <c r="Y58" s="14">
        <v>338.61064127876557</v>
      </c>
      <c r="DA58" s="189" t="s">
        <v>315</v>
      </c>
    </row>
    <row r="59" spans="1:105" ht="11.45" customHeight="1" x14ac:dyDescent="0.25">
      <c r="A59" s="83" t="s">
        <v>27</v>
      </c>
      <c r="B59" s="87">
        <v>616.92492486232481</v>
      </c>
      <c r="C59" s="87">
        <v>616.92492486232481</v>
      </c>
      <c r="D59" s="87">
        <v>616.92492486232481</v>
      </c>
      <c r="E59" s="87">
        <v>616.92492486232481</v>
      </c>
      <c r="F59" s="87">
        <v>616.92492486232481</v>
      </c>
      <c r="G59" s="87">
        <v>625.10139576200288</v>
      </c>
      <c r="H59" s="87">
        <v>628.40719494471875</v>
      </c>
      <c r="I59" s="87">
        <v>618.20749792195181</v>
      </c>
      <c r="J59" s="87">
        <v>600.28879359013945</v>
      </c>
      <c r="K59" s="87">
        <v>587.93274502024917</v>
      </c>
      <c r="L59" s="87">
        <v>582.59447063330833</v>
      </c>
      <c r="M59" s="87">
        <v>570.50105775683744</v>
      </c>
      <c r="N59" s="87">
        <v>554.40626780090588</v>
      </c>
      <c r="O59" s="87">
        <v>575.09792718501592</v>
      </c>
      <c r="P59" s="87">
        <v>573.89595485614529</v>
      </c>
      <c r="Q59" s="87">
        <v>573.55324075731539</v>
      </c>
      <c r="R59" s="87">
        <v>571.65573127773735</v>
      </c>
      <c r="S59" s="87">
        <v>567.62529567363606</v>
      </c>
      <c r="T59" s="87">
        <v>566.60534541569064</v>
      </c>
      <c r="U59" s="87">
        <v>562.05849856982275</v>
      </c>
      <c r="V59" s="87">
        <v>571.89586924364437</v>
      </c>
      <c r="W59" s="87">
        <v>576.90226522554281</v>
      </c>
      <c r="X59" s="87">
        <v>565.38662793704498</v>
      </c>
      <c r="Y59" s="87">
        <v>563.52532185886753</v>
      </c>
      <c r="DA59" s="171" t="s">
        <v>316</v>
      </c>
    </row>
    <row r="60" spans="1:105" ht="11.45" customHeight="1" x14ac:dyDescent="0.25">
      <c r="A60" s="83" t="s">
        <v>181</v>
      </c>
      <c r="B60" s="87">
        <v>324.16710639720782</v>
      </c>
      <c r="C60" s="87">
        <v>324.16790827309956</v>
      </c>
      <c r="D60" s="87">
        <v>324.16999527321155</v>
      </c>
      <c r="E60" s="87">
        <v>324.17490188372557</v>
      </c>
      <c r="F60" s="87">
        <v>324.17756622588166</v>
      </c>
      <c r="G60" s="87">
        <v>322.27944609819099</v>
      </c>
      <c r="H60" s="87">
        <v>323.59322500980147</v>
      </c>
      <c r="I60" s="87">
        <v>321.62418571024892</v>
      </c>
      <c r="J60" s="87">
        <v>321.25303539037725</v>
      </c>
      <c r="K60" s="87">
        <v>322.04577586099111</v>
      </c>
      <c r="L60" s="87">
        <v>322.41960700003756</v>
      </c>
      <c r="M60" s="87">
        <v>321.49942613077963</v>
      </c>
      <c r="N60" s="87">
        <v>320.58329384335764</v>
      </c>
      <c r="O60" s="87">
        <v>320.39643466181815</v>
      </c>
      <c r="P60" s="87">
        <v>320.32026314269729</v>
      </c>
      <c r="Q60" s="87">
        <v>320.60041745223799</v>
      </c>
      <c r="R60" s="87">
        <v>320.56547333094068</v>
      </c>
      <c r="S60" s="87">
        <v>320.30442061974793</v>
      </c>
      <c r="T60" s="87">
        <v>320.63626640926077</v>
      </c>
      <c r="U60" s="87">
        <v>319.56711087212705</v>
      </c>
      <c r="V60" s="87">
        <v>319.04773025698512</v>
      </c>
      <c r="W60" s="87">
        <v>319.04352757138565</v>
      </c>
      <c r="X60" s="87">
        <v>318.9189189152288</v>
      </c>
      <c r="Y60" s="87">
        <v>316.9736465062287</v>
      </c>
      <c r="DA60" s="171" t="s">
        <v>317</v>
      </c>
    </row>
    <row r="61" spans="1:105" ht="11.45" customHeight="1" x14ac:dyDescent="0.25">
      <c r="A61" s="83" t="s">
        <v>182</v>
      </c>
      <c r="B61" s="87">
        <v>365.25756779775463</v>
      </c>
      <c r="C61" s="87">
        <v>365.25756779775469</v>
      </c>
      <c r="D61" s="87">
        <v>365.25756779775469</v>
      </c>
      <c r="E61" s="87">
        <v>365.25756779775475</v>
      </c>
      <c r="F61" s="87">
        <v>365.25756779775463</v>
      </c>
      <c r="G61" s="87">
        <v>371.45124373077869</v>
      </c>
      <c r="H61" s="87">
        <v>379.20185497894767</v>
      </c>
      <c r="I61" s="87">
        <v>376.36833511707698</v>
      </c>
      <c r="J61" s="87">
        <v>382.56725226029329</v>
      </c>
      <c r="K61" s="87">
        <v>394.74303220015651</v>
      </c>
      <c r="L61" s="87">
        <v>404.67066280617928</v>
      </c>
      <c r="M61" s="87">
        <v>411.76523988556482</v>
      </c>
      <c r="N61" s="87">
        <v>410.72183632829774</v>
      </c>
      <c r="O61" s="87">
        <v>406.6524901594953</v>
      </c>
      <c r="P61" s="87">
        <v>405.48413090147483</v>
      </c>
      <c r="Q61" s="87">
        <v>409.76539927009048</v>
      </c>
      <c r="R61" s="87">
        <v>412.81702679214362</v>
      </c>
      <c r="S61" s="87">
        <v>417.7132404800862</v>
      </c>
      <c r="T61" s="87">
        <v>422.44950332246162</v>
      </c>
      <c r="U61" s="87">
        <v>419.32287010735251</v>
      </c>
      <c r="V61" s="87">
        <v>476.40140308957245</v>
      </c>
      <c r="W61" s="87">
        <v>395.61212903959051</v>
      </c>
      <c r="X61" s="87">
        <v>396.39530541456844</v>
      </c>
      <c r="Y61" s="87">
        <v>389.36904294673428</v>
      </c>
      <c r="DA61" s="171" t="s">
        <v>318</v>
      </c>
    </row>
    <row r="62" spans="1:105" ht="11.45" customHeight="1" x14ac:dyDescent="0.25">
      <c r="A62" s="12" t="s">
        <v>34</v>
      </c>
      <c r="B62" s="15">
        <v>416.19043696048516</v>
      </c>
      <c r="C62" s="15">
        <v>418.24618280653311</v>
      </c>
      <c r="D62" s="15">
        <v>419.77957879659004</v>
      </c>
      <c r="E62" s="15">
        <v>421.44452135146787</v>
      </c>
      <c r="F62" s="15">
        <v>419.64213595213619</v>
      </c>
      <c r="G62" s="15">
        <v>406.48362475042052</v>
      </c>
      <c r="H62" s="15">
        <v>420.51196257834738</v>
      </c>
      <c r="I62" s="15">
        <v>416.42298228253964</v>
      </c>
      <c r="J62" s="15">
        <v>415.16405219167717</v>
      </c>
      <c r="K62" s="15">
        <v>391.89347928543464</v>
      </c>
      <c r="L62" s="15">
        <v>389.39084466393291</v>
      </c>
      <c r="M62" s="15">
        <v>400.86161086149758</v>
      </c>
      <c r="N62" s="15">
        <v>441.47690474173839</v>
      </c>
      <c r="O62" s="15">
        <v>399.43016412087502</v>
      </c>
      <c r="P62" s="15">
        <v>358.53172621589829</v>
      </c>
      <c r="Q62" s="15">
        <v>344.33089803454072</v>
      </c>
      <c r="R62" s="15">
        <v>339.52916921244434</v>
      </c>
      <c r="S62" s="15">
        <v>339.54407591952793</v>
      </c>
      <c r="T62" s="15">
        <v>347.05910021040449</v>
      </c>
      <c r="U62" s="15">
        <v>362.6080780707689</v>
      </c>
      <c r="V62" s="15">
        <v>356.03355828198784</v>
      </c>
      <c r="W62" s="15">
        <v>353.98124029272765</v>
      </c>
      <c r="X62" s="15">
        <v>351.75982765921867</v>
      </c>
      <c r="Y62" s="15">
        <v>356.06298136008115</v>
      </c>
      <c r="DA62" s="193" t="s">
        <v>319</v>
      </c>
    </row>
    <row r="63" spans="1:105" ht="11.45" customHeight="1" x14ac:dyDescent="0.25">
      <c r="A63" s="92" t="s">
        <v>27</v>
      </c>
      <c r="B63" s="101">
        <v>671.65276714796607</v>
      </c>
      <c r="C63" s="101">
        <v>671.65276714796607</v>
      </c>
      <c r="D63" s="101">
        <v>671.65276714796607</v>
      </c>
      <c r="E63" s="101">
        <v>671.65276714796596</v>
      </c>
      <c r="F63" s="101">
        <v>671.65276714796607</v>
      </c>
      <c r="G63" s="101">
        <v>681.89902211637775</v>
      </c>
      <c r="H63" s="101">
        <v>745.23981098115632</v>
      </c>
      <c r="I63" s="101">
        <v>799.20793198677802</v>
      </c>
      <c r="J63" s="101">
        <v>844.34305787430947</v>
      </c>
      <c r="K63" s="101">
        <v>908.63779181394432</v>
      </c>
      <c r="L63" s="101">
        <v>1010.212303459055</v>
      </c>
      <c r="M63" s="101">
        <v>806.60366555183452</v>
      </c>
      <c r="N63" s="101">
        <v>672.44697580547302</v>
      </c>
      <c r="O63" s="101">
        <v>687.52069467976935</v>
      </c>
      <c r="P63" s="101">
        <v>667.12065833722238</v>
      </c>
      <c r="Q63" s="101">
        <v>649.38349828287426</v>
      </c>
      <c r="R63" s="101">
        <v>630.78936623333766</v>
      </c>
      <c r="S63" s="101">
        <v>610.90236112996672</v>
      </c>
      <c r="T63" s="101">
        <v>595.95737796459537</v>
      </c>
      <c r="U63" s="101">
        <v>608.16579222333644</v>
      </c>
      <c r="V63" s="101">
        <v>721.56634067921289</v>
      </c>
      <c r="W63" s="101">
        <v>793.93492305663608</v>
      </c>
      <c r="X63" s="101">
        <v>708.73583408945444</v>
      </c>
      <c r="Y63" s="101">
        <v>698.50951004742558</v>
      </c>
      <c r="DA63" s="175" t="s">
        <v>320</v>
      </c>
    </row>
    <row r="64" spans="1:105" ht="11.45" customHeight="1" x14ac:dyDescent="0.25">
      <c r="A64" s="92" t="s">
        <v>181</v>
      </c>
      <c r="B64" s="101">
        <v>396.59667531848874</v>
      </c>
      <c r="C64" s="101">
        <v>396.37654942471852</v>
      </c>
      <c r="D64" s="101">
        <v>396.0548041326154</v>
      </c>
      <c r="E64" s="101">
        <v>395.89396411227295</v>
      </c>
      <c r="F64" s="101">
        <v>396.75189524764625</v>
      </c>
      <c r="G64" s="101">
        <v>395.51013006521362</v>
      </c>
      <c r="H64" s="101">
        <v>408.59353299066618</v>
      </c>
      <c r="I64" s="101">
        <v>384.56183417716204</v>
      </c>
      <c r="J64" s="101">
        <v>375.85904418429868</v>
      </c>
      <c r="K64" s="101">
        <v>366.01762410921526</v>
      </c>
      <c r="L64" s="101">
        <v>360.21422858152545</v>
      </c>
      <c r="M64" s="101">
        <v>349.62775898310775</v>
      </c>
      <c r="N64" s="101">
        <v>343.91935881918999</v>
      </c>
      <c r="O64" s="101">
        <v>340.54090860121147</v>
      </c>
      <c r="P64" s="101">
        <v>338.94128257891316</v>
      </c>
      <c r="Q64" s="101">
        <v>339.52664000152782</v>
      </c>
      <c r="R64" s="101">
        <v>339.60089090227206</v>
      </c>
      <c r="S64" s="101">
        <v>337.78454318393614</v>
      </c>
      <c r="T64" s="101">
        <v>338.21244133879333</v>
      </c>
      <c r="U64" s="101">
        <v>343.30389789814052</v>
      </c>
      <c r="V64" s="101">
        <v>341.14925305415085</v>
      </c>
      <c r="W64" s="101">
        <v>340.15339449752952</v>
      </c>
      <c r="X64" s="101">
        <v>337.21875713589964</v>
      </c>
      <c r="Y64" s="101">
        <v>345.42655226644183</v>
      </c>
      <c r="DA64" s="175" t="s">
        <v>321</v>
      </c>
    </row>
    <row r="65" spans="1:105" ht="11.45" customHeight="1" x14ac:dyDescent="0.25">
      <c r="A65" s="85" t="s">
        <v>182</v>
      </c>
      <c r="B65" s="88">
        <v>490.41832771309083</v>
      </c>
      <c r="C65" s="88">
        <v>490.41832771309072</v>
      </c>
      <c r="D65" s="88">
        <v>490.41832771309083</v>
      </c>
      <c r="E65" s="88">
        <v>490.41832771309083</v>
      </c>
      <c r="F65" s="88">
        <v>490.41832771309083</v>
      </c>
      <c r="G65" s="88">
        <v>482.98755888902929</v>
      </c>
      <c r="H65" s="88">
        <v>503.13313722315831</v>
      </c>
      <c r="I65" s="88">
        <v>547.88013278813673</v>
      </c>
      <c r="J65" s="88">
        <v>583.69151477236665</v>
      </c>
      <c r="K65" s="88">
        <v>600.51452410055606</v>
      </c>
      <c r="L65" s="88">
        <v>629.02273816482227</v>
      </c>
      <c r="M65" s="88">
        <v>646.01759755492662</v>
      </c>
      <c r="N65" s="88">
        <v>690.21620960292796</v>
      </c>
      <c r="O65" s="88">
        <v>550.5943817742866</v>
      </c>
      <c r="P65" s="88">
        <v>451.75818885838424</v>
      </c>
      <c r="Q65" s="88">
        <v>375.04616874305566</v>
      </c>
      <c r="R65" s="88">
        <v>338.96118111411198</v>
      </c>
      <c r="S65" s="88">
        <v>358.09230980099017</v>
      </c>
      <c r="T65" s="88">
        <v>519.55685072733547</v>
      </c>
      <c r="U65" s="88">
        <v>526.5058317753444</v>
      </c>
      <c r="V65" s="88">
        <v>464.24210610501132</v>
      </c>
      <c r="W65" s="88">
        <v>455.48451708731312</v>
      </c>
      <c r="X65" s="88">
        <v>475.86069828607958</v>
      </c>
      <c r="Y65" s="88">
        <v>465.31629110101647</v>
      </c>
      <c r="DA65" s="178" t="s">
        <v>322</v>
      </c>
    </row>
    <row r="66" spans="1:105" x14ac:dyDescent="0.25">
      <c r="A66" s="50"/>
      <c r="B66" s="50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DA66" s="181"/>
    </row>
    <row r="67" spans="1:105" ht="11.45" customHeight="1" x14ac:dyDescent="0.25">
      <c r="A67" s="53" t="s">
        <v>77</v>
      </c>
      <c r="B67" s="59">
        <f t="shared" ref="B67" si="60">IF(B3=0,0,B17/B57)</f>
        <v>1.3741084544390441</v>
      </c>
      <c r="C67" s="59">
        <f t="shared" ref="C67:W67" si="61">IF(C3=0,0,C17/C57)</f>
        <v>1.3922426425749213</v>
      </c>
      <c r="D67" s="59">
        <f t="shared" si="61"/>
        <v>1.3938498218402016</v>
      </c>
      <c r="E67" s="59">
        <f t="shared" si="61"/>
        <v>1.4002549352077149</v>
      </c>
      <c r="F67" s="59">
        <f t="shared" si="61"/>
        <v>1.3399214736676435</v>
      </c>
      <c r="G67" s="59">
        <f t="shared" si="61"/>
        <v>0.95348761269432525</v>
      </c>
      <c r="H67" s="59">
        <f t="shared" si="61"/>
        <v>0.93826383553014125</v>
      </c>
      <c r="I67" s="59">
        <f t="shared" si="61"/>
        <v>0.97192509549530581</v>
      </c>
      <c r="J67" s="59">
        <f t="shared" si="61"/>
        <v>0.88542716011427103</v>
      </c>
      <c r="K67" s="59">
        <f t="shared" si="61"/>
        <v>0.9365251117072958</v>
      </c>
      <c r="L67" s="59">
        <f t="shared" si="61"/>
        <v>1.0652097411169204</v>
      </c>
      <c r="M67" s="59">
        <f t="shared" si="61"/>
        <v>0.86969847294539149</v>
      </c>
      <c r="N67" s="59">
        <f t="shared" si="61"/>
        <v>0.71391004872484609</v>
      </c>
      <c r="O67" s="59">
        <f t="shared" si="61"/>
        <v>0.86871107084217125</v>
      </c>
      <c r="P67" s="59">
        <f t="shared" si="61"/>
        <v>0.89606506967508837</v>
      </c>
      <c r="Q67" s="59">
        <f t="shared" si="61"/>
        <v>0.96179900615644243</v>
      </c>
      <c r="R67" s="59">
        <f t="shared" si="61"/>
        <v>0.9637554223665683</v>
      </c>
      <c r="S67" s="59">
        <f t="shared" si="61"/>
        <v>1.0347941089147121</v>
      </c>
      <c r="T67" s="59">
        <f t="shared" si="61"/>
        <v>0.4726865758382523</v>
      </c>
      <c r="U67" s="59">
        <f t="shared" si="61"/>
        <v>0.51094483696826021</v>
      </c>
      <c r="V67" s="59">
        <f t="shared" si="61"/>
        <v>0.49539421761071872</v>
      </c>
      <c r="W67" s="59">
        <f t="shared" si="61"/>
        <v>0.50636631607586002</v>
      </c>
      <c r="X67" s="59">
        <f t="shared" ref="X67:Y67" si="62">IF(X3=0,0,X17/X57)</f>
        <v>0.4467226402591058</v>
      </c>
      <c r="Y67" s="59">
        <f t="shared" si="62"/>
        <v>0.33776604307249436</v>
      </c>
      <c r="DA67" s="172"/>
    </row>
    <row r="68" spans="1:105" ht="11.45" customHeight="1" x14ac:dyDescent="0.25">
      <c r="A68" s="10" t="s">
        <v>33</v>
      </c>
      <c r="B68" s="23">
        <f t="shared" ref="B68:B75" si="63">IF(B6=0,0,B18/B58)</f>
        <v>1.374203802520245</v>
      </c>
      <c r="C68" s="23">
        <f t="shared" ref="C68:W68" si="64">IF(C6=0,0,C18/C58)</f>
        <v>1.3928703977353394</v>
      </c>
      <c r="D68" s="23">
        <f t="shared" si="64"/>
        <v>1.3948810818961783</v>
      </c>
      <c r="E68" s="23">
        <f t="shared" si="64"/>
        <v>1.4013272604139875</v>
      </c>
      <c r="F68" s="23">
        <f t="shared" si="64"/>
        <v>1.339931415674789</v>
      </c>
      <c r="G68" s="23">
        <f t="shared" si="64"/>
        <v>0.95280003456643758</v>
      </c>
      <c r="H68" s="23">
        <f t="shared" si="64"/>
        <v>0.93764852674933519</v>
      </c>
      <c r="I68" s="23">
        <f t="shared" si="64"/>
        <v>0.97230433844215891</v>
      </c>
      <c r="J68" s="23">
        <f t="shared" si="64"/>
        <v>0.88710113038279614</v>
      </c>
      <c r="K68" s="23">
        <f t="shared" si="64"/>
        <v>0.93830910449191429</v>
      </c>
      <c r="L68" s="23">
        <f t="shared" si="64"/>
        <v>1.067832279138988</v>
      </c>
      <c r="M68" s="23">
        <f t="shared" si="64"/>
        <v>0.87170071421183914</v>
      </c>
      <c r="N68" s="23">
        <f t="shared" si="64"/>
        <v>0.71633414489504921</v>
      </c>
      <c r="O68" s="23">
        <f t="shared" si="64"/>
        <v>0.87130212336132362</v>
      </c>
      <c r="P68" s="23">
        <f t="shared" si="64"/>
        <v>0.89673037546059486</v>
      </c>
      <c r="Q68" s="23">
        <f t="shared" si="64"/>
        <v>0.96314981140063882</v>
      </c>
      <c r="R68" s="23">
        <f t="shared" si="64"/>
        <v>0.96465821161673848</v>
      </c>
      <c r="S68" s="23">
        <f t="shared" si="64"/>
        <v>1.0356056228750947</v>
      </c>
      <c r="T68" s="23">
        <f t="shared" si="64"/>
        <v>0.4735596985838848</v>
      </c>
      <c r="U68" s="23">
        <f t="shared" si="64"/>
        <v>0.51164863770527813</v>
      </c>
      <c r="V68" s="23">
        <f t="shared" si="64"/>
        <v>0.49687156325591197</v>
      </c>
      <c r="W68" s="23">
        <f t="shared" si="64"/>
        <v>0.50692637482992664</v>
      </c>
      <c r="X68" s="23">
        <f t="shared" ref="X68:Y68" si="65">IF(X6=0,0,X18/X58)</f>
        <v>0.44748036714592515</v>
      </c>
      <c r="Y68" s="23">
        <f t="shared" si="65"/>
        <v>0.33813567989873522</v>
      </c>
      <c r="DA68" s="189"/>
    </row>
    <row r="69" spans="1:105" ht="11.45" customHeight="1" x14ac:dyDescent="0.25">
      <c r="A69" s="83" t="s">
        <v>27</v>
      </c>
      <c r="B69" s="91">
        <f t="shared" si="63"/>
        <v>0.82437708726719172</v>
      </c>
      <c r="C69" s="91">
        <f t="shared" ref="C69:W69" si="66">IF(C7=0,0,C19/C59)</f>
        <v>0.81650242300322828</v>
      </c>
      <c r="D69" s="91">
        <f t="shared" si="66"/>
        <v>0.81003072478931382</v>
      </c>
      <c r="E69" s="91">
        <f t="shared" si="66"/>
        <v>0.81001481231507544</v>
      </c>
      <c r="F69" s="91">
        <f t="shared" si="66"/>
        <v>0.82661105098721555</v>
      </c>
      <c r="G69" s="91">
        <f t="shared" si="66"/>
        <v>0.64530322337653989</v>
      </c>
      <c r="H69" s="91">
        <f t="shared" si="66"/>
        <v>0.10891817369015323</v>
      </c>
      <c r="I69" s="91">
        <f t="shared" si="66"/>
        <v>3.7770922070597712</v>
      </c>
      <c r="J69" s="91">
        <f t="shared" si="66"/>
        <v>3.2646139312880971</v>
      </c>
      <c r="K69" s="91">
        <f t="shared" si="66"/>
        <v>3.1939533313347366</v>
      </c>
      <c r="L69" s="91">
        <f t="shared" si="66"/>
        <v>3.5884417521583276</v>
      </c>
      <c r="M69" s="91">
        <f t="shared" si="66"/>
        <v>2.8032651858244022</v>
      </c>
      <c r="N69" s="91">
        <f t="shared" si="66"/>
        <v>1.5733598763948493</v>
      </c>
      <c r="O69" s="91">
        <f t="shared" si="66"/>
        <v>1.8511189311084353</v>
      </c>
      <c r="P69" s="91">
        <f t="shared" si="66"/>
        <v>1.0816269961989848</v>
      </c>
      <c r="Q69" s="91">
        <f t="shared" si="66"/>
        <v>1.4755283749380399</v>
      </c>
      <c r="R69" s="91">
        <f t="shared" si="66"/>
        <v>0.93573842211321101</v>
      </c>
      <c r="S69" s="91">
        <f t="shared" si="66"/>
        <v>1.3828404929697631</v>
      </c>
      <c r="T69" s="91">
        <f t="shared" si="66"/>
        <v>1.5215111352949438</v>
      </c>
      <c r="U69" s="91">
        <f t="shared" si="66"/>
        <v>1.8378331848313918</v>
      </c>
      <c r="V69" s="91">
        <f t="shared" si="66"/>
        <v>2.4619877927369229</v>
      </c>
      <c r="W69" s="91">
        <f t="shared" si="66"/>
        <v>2.4385237209368134</v>
      </c>
      <c r="X69" s="91">
        <f t="shared" ref="X69:Y69" si="67">IF(X7=0,0,X19/X59)</f>
        <v>2.7232967137712594</v>
      </c>
      <c r="Y69" s="91">
        <f t="shared" si="67"/>
        <v>1.5066506158521309</v>
      </c>
      <c r="DA69" s="171"/>
    </row>
    <row r="70" spans="1:105" ht="11.45" customHeight="1" x14ac:dyDescent="0.25">
      <c r="A70" s="83" t="s">
        <v>181</v>
      </c>
      <c r="B70" s="91">
        <f t="shared" si="63"/>
        <v>1.5159793979422018</v>
      </c>
      <c r="C70" s="91">
        <f t="shared" ref="C70:W70" si="68">IF(C8=0,0,C20/C60)</f>
        <v>1.5153952928470276</v>
      </c>
      <c r="D70" s="91">
        <f t="shared" si="68"/>
        <v>1.5115782814865799</v>
      </c>
      <c r="E70" s="91">
        <f t="shared" si="68"/>
        <v>1.5148154734330419</v>
      </c>
      <c r="F70" s="91">
        <f t="shared" si="68"/>
        <v>1.5141516392635457</v>
      </c>
      <c r="G70" s="91">
        <f t="shared" si="68"/>
        <v>1.0383003787825502</v>
      </c>
      <c r="H70" s="91">
        <f t="shared" si="68"/>
        <v>1.1000524634849855</v>
      </c>
      <c r="I70" s="91">
        <f t="shared" si="68"/>
        <v>0.69679785877481593</v>
      </c>
      <c r="J70" s="91">
        <f t="shared" si="68"/>
        <v>0.66640165346481972</v>
      </c>
      <c r="K70" s="91">
        <f t="shared" si="68"/>
        <v>0.69700047888718875</v>
      </c>
      <c r="L70" s="91">
        <f t="shared" si="68"/>
        <v>0.75693868929315899</v>
      </c>
      <c r="M70" s="91">
        <f t="shared" si="68"/>
        <v>0.65181184126376901</v>
      </c>
      <c r="N70" s="91">
        <f t="shared" si="68"/>
        <v>0.65492046773374402</v>
      </c>
      <c r="O70" s="91">
        <f t="shared" si="68"/>
        <v>0.80161170581753083</v>
      </c>
      <c r="P70" s="91">
        <f t="shared" si="68"/>
        <v>0.95821996556705658</v>
      </c>
      <c r="Q70" s="91">
        <f t="shared" si="68"/>
        <v>1.0002730155622184</v>
      </c>
      <c r="R70" s="91">
        <f t="shared" si="68"/>
        <v>1.0748898859760323</v>
      </c>
      <c r="S70" s="91">
        <f t="shared" si="68"/>
        <v>1.1271714217973061</v>
      </c>
      <c r="T70" s="91">
        <f t="shared" si="68"/>
        <v>0.43545986493180183</v>
      </c>
      <c r="U70" s="91">
        <f t="shared" si="68"/>
        <v>0.46805560497031767</v>
      </c>
      <c r="V70" s="91">
        <f t="shared" si="68"/>
        <v>0.33280042590701886</v>
      </c>
      <c r="W70" s="91">
        <f t="shared" si="68"/>
        <v>0.40408040686534591</v>
      </c>
      <c r="X70" s="91">
        <f t="shared" ref="X70:Y70" si="69">IF(X8=0,0,X20/X60)</f>
        <v>0.31081485778431184</v>
      </c>
      <c r="Y70" s="91">
        <f t="shared" si="69"/>
        <v>0.29659506636762578</v>
      </c>
      <c r="DA70" s="171"/>
    </row>
    <row r="71" spans="1:105" ht="11.45" customHeight="1" x14ac:dyDescent="0.25">
      <c r="A71" s="83" t="s">
        <v>182</v>
      </c>
      <c r="B71" s="91">
        <f t="shared" si="63"/>
        <v>1.0371102698988603</v>
      </c>
      <c r="C71" s="91">
        <f t="shared" ref="C71:W71" si="70">IF(C9=0,0,C21/C61)</f>
        <v>1.0363656591390698</v>
      </c>
      <c r="D71" s="91">
        <f t="shared" si="70"/>
        <v>1.0332056226118593</v>
      </c>
      <c r="E71" s="91">
        <f t="shared" si="70"/>
        <v>1.0345257639983099</v>
      </c>
      <c r="F71" s="91">
        <f t="shared" si="70"/>
        <v>1.0334097410987011</v>
      </c>
      <c r="G71" s="91">
        <f t="shared" si="70"/>
        <v>0.80550690000520475</v>
      </c>
      <c r="H71" s="91">
        <f t="shared" si="70"/>
        <v>0.80574028754528271</v>
      </c>
      <c r="I71" s="91">
        <f t="shared" si="70"/>
        <v>0.43753919695579035</v>
      </c>
      <c r="J71" s="91">
        <f t="shared" si="70"/>
        <v>0.40207508953170873</v>
      </c>
      <c r="K71" s="91">
        <f t="shared" si="70"/>
        <v>0.50958079637817566</v>
      </c>
      <c r="L71" s="91">
        <f t="shared" si="70"/>
        <v>0.55572726333372546</v>
      </c>
      <c r="M71" s="91">
        <f t="shared" si="70"/>
        <v>0.49769999649237506</v>
      </c>
      <c r="N71" s="91">
        <f t="shared" si="70"/>
        <v>0.42747196847928598</v>
      </c>
      <c r="O71" s="91">
        <f t="shared" si="70"/>
        <v>0.55353409347387494</v>
      </c>
      <c r="P71" s="91">
        <f t="shared" si="70"/>
        <v>0.53881220360759474</v>
      </c>
      <c r="Q71" s="91">
        <f t="shared" si="70"/>
        <v>0.55063663344489655</v>
      </c>
      <c r="R71" s="91">
        <f t="shared" si="70"/>
        <v>0.49146079930821041</v>
      </c>
      <c r="S71" s="91">
        <f t="shared" si="70"/>
        <v>0.44627729404399741</v>
      </c>
      <c r="T71" s="91">
        <f t="shared" si="70"/>
        <v>0.14127993795053134</v>
      </c>
      <c r="U71" s="91">
        <f t="shared" si="70"/>
        <v>0.13904680316004425</v>
      </c>
      <c r="V71" s="91">
        <f t="shared" si="70"/>
        <v>0.17232130501858964</v>
      </c>
      <c r="W71" s="91">
        <f t="shared" si="70"/>
        <v>0.15848869913265073</v>
      </c>
      <c r="X71" s="91">
        <f t="shared" ref="X71:Y71" si="71">IF(X9=0,0,X21/X61)</f>
        <v>0.11122804755010599</v>
      </c>
      <c r="Y71" s="91">
        <f t="shared" si="71"/>
        <v>9.9544133499706797E-2</v>
      </c>
      <c r="DA71" s="171"/>
    </row>
    <row r="72" spans="1:105" ht="11.45" customHeight="1" x14ac:dyDescent="0.25">
      <c r="A72" s="12" t="s">
        <v>34</v>
      </c>
      <c r="B72" s="24">
        <f t="shared" si="63"/>
        <v>1.3589041299674158</v>
      </c>
      <c r="C72" s="24">
        <f t="shared" ref="C72:W72" si="72">IF(C10=0,0,C22/C62)</f>
        <v>1.3415408499541939</v>
      </c>
      <c r="D72" s="24">
        <f t="shared" si="72"/>
        <v>1.3248333638340393</v>
      </c>
      <c r="E72" s="24">
        <f t="shared" si="72"/>
        <v>1.3153151491871395</v>
      </c>
      <c r="F72" s="24">
        <f t="shared" si="72"/>
        <v>1.331704881409147</v>
      </c>
      <c r="G72" s="24">
        <f t="shared" si="72"/>
        <v>1.0425956504283502</v>
      </c>
      <c r="H72" s="24">
        <f t="shared" si="72"/>
        <v>1.0157287402485906</v>
      </c>
      <c r="I72" s="24">
        <f t="shared" si="72"/>
        <v>0.9027573845998027</v>
      </c>
      <c r="J72" s="24">
        <f t="shared" si="72"/>
        <v>0.67501151956574545</v>
      </c>
      <c r="K72" s="24">
        <f t="shared" si="72"/>
        <v>0.72081396867081049</v>
      </c>
      <c r="L72" s="24">
        <f t="shared" si="72"/>
        <v>0.76601033614722625</v>
      </c>
      <c r="M72" s="24">
        <f t="shared" si="72"/>
        <v>0.6733296272107645</v>
      </c>
      <c r="N72" s="24">
        <f t="shared" si="72"/>
        <v>0.53808681968787064</v>
      </c>
      <c r="O72" s="24">
        <f t="shared" si="72"/>
        <v>0.67433953656925227</v>
      </c>
      <c r="P72" s="24">
        <f t="shared" si="72"/>
        <v>0.82799215260643122</v>
      </c>
      <c r="Q72" s="24">
        <f t="shared" si="72"/>
        <v>0.81656529871596517</v>
      </c>
      <c r="R72" s="24">
        <f t="shared" si="72"/>
        <v>0.85206235319587087</v>
      </c>
      <c r="S72" s="24">
        <f t="shared" si="72"/>
        <v>0.93733118782225056</v>
      </c>
      <c r="T72" s="24">
        <f t="shared" si="72"/>
        <v>0.35816107869909747</v>
      </c>
      <c r="U72" s="24">
        <f t="shared" si="72"/>
        <v>0.38234806830972079</v>
      </c>
      <c r="V72" s="24">
        <f t="shared" si="72"/>
        <v>0.37574222949222263</v>
      </c>
      <c r="W72" s="24">
        <f t="shared" si="72"/>
        <v>0.44459472868933181</v>
      </c>
      <c r="X72" s="24">
        <f t="shared" ref="X72:Y72" si="73">IF(X10=0,0,X22/X62)</f>
        <v>0.35802659580933383</v>
      </c>
      <c r="Y72" s="24">
        <f t="shared" si="73"/>
        <v>0.28969390760196506</v>
      </c>
      <c r="DA72" s="193"/>
    </row>
    <row r="73" spans="1:105" ht="11.45" customHeight="1" x14ac:dyDescent="0.25">
      <c r="A73" s="92" t="s">
        <v>27</v>
      </c>
      <c r="B73" s="93">
        <f t="shared" si="63"/>
        <v>0.82437708726719172</v>
      </c>
      <c r="C73" s="93">
        <f t="shared" ref="C73:W73" si="74">IF(C11=0,0,C23/C63)</f>
        <v>0.81650242300322839</v>
      </c>
      <c r="D73" s="93">
        <f t="shared" si="74"/>
        <v>0.81003072478931359</v>
      </c>
      <c r="E73" s="93">
        <f t="shared" si="74"/>
        <v>0.81001481231507544</v>
      </c>
      <c r="F73" s="93">
        <f t="shared" si="74"/>
        <v>0.82661105098721543</v>
      </c>
      <c r="G73" s="93">
        <f t="shared" si="74"/>
        <v>0.64530322337653967</v>
      </c>
      <c r="H73" s="93">
        <f t="shared" si="74"/>
        <v>0.10891817369015321</v>
      </c>
      <c r="I73" s="93">
        <f t="shared" si="74"/>
        <v>3.7770922070597721</v>
      </c>
      <c r="J73" s="93">
        <f t="shared" si="74"/>
        <v>3.2646139312880966</v>
      </c>
      <c r="K73" s="93">
        <f t="shared" si="74"/>
        <v>3.1939533313347366</v>
      </c>
      <c r="L73" s="93">
        <f t="shared" si="74"/>
        <v>3.5884417521583267</v>
      </c>
      <c r="M73" s="93">
        <f t="shared" si="74"/>
        <v>2.8032651858244018</v>
      </c>
      <c r="N73" s="93">
        <f t="shared" si="74"/>
        <v>1.5733598763948493</v>
      </c>
      <c r="O73" s="93">
        <f t="shared" si="74"/>
        <v>1.8511189311084353</v>
      </c>
      <c r="P73" s="93">
        <f t="shared" si="74"/>
        <v>1.0816269961989846</v>
      </c>
      <c r="Q73" s="93">
        <f t="shared" si="74"/>
        <v>1.4755283749380399</v>
      </c>
      <c r="R73" s="93">
        <f t="shared" si="74"/>
        <v>0.93573842211321123</v>
      </c>
      <c r="S73" s="93">
        <f t="shared" si="74"/>
        <v>1.3828404929697631</v>
      </c>
      <c r="T73" s="93">
        <f t="shared" si="74"/>
        <v>1.5215111352949435</v>
      </c>
      <c r="U73" s="93">
        <f t="shared" si="74"/>
        <v>1.837833184831392</v>
      </c>
      <c r="V73" s="93">
        <f t="shared" si="74"/>
        <v>2.4619877927369229</v>
      </c>
      <c r="W73" s="93">
        <f t="shared" si="74"/>
        <v>2.4385237209368138</v>
      </c>
      <c r="X73" s="93">
        <f t="shared" ref="X73:Y73" si="75">IF(X11=0,0,X23/X63)</f>
        <v>2.7232967137712589</v>
      </c>
      <c r="Y73" s="93">
        <f t="shared" si="75"/>
        <v>1.5066506158521313</v>
      </c>
      <c r="DA73" s="175"/>
    </row>
    <row r="74" spans="1:105" ht="11.45" customHeight="1" x14ac:dyDescent="0.25">
      <c r="A74" s="92" t="s">
        <v>181</v>
      </c>
      <c r="B74" s="93">
        <f t="shared" si="63"/>
        <v>1.4992859362052839</v>
      </c>
      <c r="C74" s="93">
        <f t="shared" ref="C74:W74" si="76">IF(C12=0,0,C24/C64)</f>
        <v>1.4964422247890283</v>
      </c>
      <c r="D74" s="93">
        <f t="shared" si="76"/>
        <v>1.4905796116141223</v>
      </c>
      <c r="E74" s="93">
        <f t="shared" si="76"/>
        <v>1.4929203573898746</v>
      </c>
      <c r="F74" s="93">
        <f t="shared" si="76"/>
        <v>1.4927109982682276</v>
      </c>
      <c r="G74" s="93">
        <f t="shared" si="76"/>
        <v>1.0971921793760715</v>
      </c>
      <c r="H74" s="93">
        <f t="shared" si="76"/>
        <v>1.1139927605630657</v>
      </c>
      <c r="I74" s="93">
        <f t="shared" si="76"/>
        <v>0.71992683126481827</v>
      </c>
      <c r="J74" s="93">
        <f t="shared" si="76"/>
        <v>0.65722741567314003</v>
      </c>
      <c r="K74" s="93">
        <f t="shared" si="76"/>
        <v>0.69506535479657672</v>
      </c>
      <c r="L74" s="93">
        <f t="shared" si="76"/>
        <v>0.75832554502403404</v>
      </c>
      <c r="M74" s="93">
        <f t="shared" si="76"/>
        <v>0.73197849397659787</v>
      </c>
      <c r="N74" s="93">
        <f t="shared" si="76"/>
        <v>0.64928221328599578</v>
      </c>
      <c r="O74" s="93">
        <f t="shared" si="76"/>
        <v>0.77766137859696494</v>
      </c>
      <c r="P74" s="93">
        <f t="shared" si="76"/>
        <v>0.92205286721805146</v>
      </c>
      <c r="Q74" s="93">
        <f t="shared" si="76"/>
        <v>0.87007273912440042</v>
      </c>
      <c r="R74" s="93">
        <f t="shared" si="76"/>
        <v>0.90200301447579789</v>
      </c>
      <c r="S74" s="93">
        <f t="shared" si="76"/>
        <v>0.98200977578470783</v>
      </c>
      <c r="T74" s="93">
        <f t="shared" si="76"/>
        <v>0.3526857352471901</v>
      </c>
      <c r="U74" s="93">
        <f t="shared" si="76"/>
        <v>0.36526368285299293</v>
      </c>
      <c r="V74" s="93">
        <f t="shared" si="76"/>
        <v>0.29011441034696206</v>
      </c>
      <c r="W74" s="93">
        <f t="shared" si="76"/>
        <v>0.33790771374460127</v>
      </c>
      <c r="X74" s="93">
        <f t="shared" ref="X74:Y74" si="77">IF(X12=0,0,X24/X64)</f>
        <v>0.23777177478630993</v>
      </c>
      <c r="Y74" s="93">
        <f t="shared" si="77"/>
        <v>0.2146047905381156</v>
      </c>
      <c r="DA74" s="175"/>
    </row>
    <row r="75" spans="1:105" ht="11.45" customHeight="1" x14ac:dyDescent="0.25">
      <c r="A75" s="85" t="s">
        <v>182</v>
      </c>
      <c r="B75" s="94">
        <f t="shared" si="63"/>
        <v>0.93339924290897414</v>
      </c>
      <c r="C75" s="94">
        <f t="shared" ref="C75:W75" si="78">IF(C13=0,0,C25/C65)</f>
        <v>0.93272909322516295</v>
      </c>
      <c r="D75" s="94">
        <f t="shared" si="78"/>
        <v>0.92988506035067353</v>
      </c>
      <c r="E75" s="94">
        <f t="shared" si="78"/>
        <v>0.93107318759847901</v>
      </c>
      <c r="F75" s="94">
        <f t="shared" si="78"/>
        <v>0.93006876698883079</v>
      </c>
      <c r="G75" s="94">
        <f t="shared" si="78"/>
        <v>0.72495621000468446</v>
      </c>
      <c r="H75" s="94">
        <f t="shared" si="78"/>
        <v>0.72516625879075425</v>
      </c>
      <c r="I75" s="94">
        <f t="shared" si="78"/>
        <v>0.39378527726021118</v>
      </c>
      <c r="J75" s="94">
        <f t="shared" si="78"/>
        <v>0.3618675805785378</v>
      </c>
      <c r="K75" s="94">
        <f t="shared" si="78"/>
        <v>0.45862271674035787</v>
      </c>
      <c r="L75" s="94">
        <f t="shared" si="78"/>
        <v>0.50015453700035284</v>
      </c>
      <c r="M75" s="94">
        <f t="shared" si="78"/>
        <v>0.4479299968431375</v>
      </c>
      <c r="N75" s="94">
        <f t="shared" si="78"/>
        <v>0.38472477163135743</v>
      </c>
      <c r="O75" s="94">
        <f t="shared" si="78"/>
        <v>0.49818068412648742</v>
      </c>
      <c r="P75" s="94">
        <f t="shared" si="78"/>
        <v>0.48493098324683537</v>
      </c>
      <c r="Q75" s="94">
        <f t="shared" si="78"/>
        <v>0.49557297010040685</v>
      </c>
      <c r="R75" s="94">
        <f t="shared" si="78"/>
        <v>0.44231471937738936</v>
      </c>
      <c r="S75" s="94">
        <f t="shared" si="78"/>
        <v>0.40164956463959761</v>
      </c>
      <c r="T75" s="94">
        <f t="shared" si="78"/>
        <v>0.12715194415547817</v>
      </c>
      <c r="U75" s="94">
        <f t="shared" si="78"/>
        <v>0.12514212284403989</v>
      </c>
      <c r="V75" s="94">
        <f t="shared" si="78"/>
        <v>0.15508917451673068</v>
      </c>
      <c r="W75" s="94">
        <f t="shared" si="78"/>
        <v>0.14263982921938567</v>
      </c>
      <c r="X75" s="94">
        <f t="shared" ref="X75:Y75" si="79">IF(X13=0,0,X25/X65)</f>
        <v>0.10010524279509538</v>
      </c>
      <c r="Y75" s="94">
        <f t="shared" si="79"/>
        <v>8.958972014973611E-2</v>
      </c>
      <c r="DA75" s="178"/>
    </row>
    <row r="76" spans="1:105" x14ac:dyDescent="0.25">
      <c r="A76" s="50"/>
      <c r="B76" s="50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DA76" s="181"/>
    </row>
    <row r="77" spans="1:105" ht="11.45" customHeight="1" x14ac:dyDescent="0.25">
      <c r="A77" s="52" t="s">
        <v>78</v>
      </c>
      <c r="B77" s="50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DA77" s="181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A59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323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44</v>
      </c>
      <c r="B3" s="79">
        <f t="shared" ref="B3:C3" si="0">SUM(B4:B5)</f>
        <v>408.61308600000001</v>
      </c>
      <c r="C3" s="79">
        <f t="shared" si="0"/>
        <v>358.08998400000013</v>
      </c>
      <c r="D3" s="79">
        <f t="shared" ref="D3" si="1">SUM(D4:D5)</f>
        <v>304.25623200000001</v>
      </c>
      <c r="E3" s="79">
        <f t="shared" ref="E3" si="2">SUM(E4:E5)</f>
        <v>367.67203200000012</v>
      </c>
      <c r="F3" s="79">
        <f t="shared" ref="F3" si="3">SUM(F4:F5)</f>
        <v>459.69485400000008</v>
      </c>
      <c r="G3" s="79">
        <f t="shared" ref="G3" si="4">SUM(G4:G5)</f>
        <v>413.13101904000007</v>
      </c>
      <c r="H3" s="79">
        <f t="shared" ref="H3" si="5">SUM(H4:H5)</f>
        <v>472.68408384000014</v>
      </c>
      <c r="I3" s="79">
        <f t="shared" ref="I3" si="6">SUM(I4:I5)</f>
        <v>623.58396732000006</v>
      </c>
      <c r="J3" s="79">
        <f t="shared" ref="J3" si="7">SUM(J4:J5)</f>
        <v>648.81255276000002</v>
      </c>
      <c r="K3" s="79">
        <f t="shared" ref="K3" si="8">SUM(K4:K5)</f>
        <v>704.7648234000003</v>
      </c>
      <c r="L3" s="79">
        <f t="shared" ref="L3" si="9">SUM(L4:L5)</f>
        <v>834.88597632000028</v>
      </c>
      <c r="M3" s="79">
        <f t="shared" ref="M3" si="10">SUM(M4:M5)</f>
        <v>681.84035531999984</v>
      </c>
      <c r="N3" s="79">
        <f t="shared" ref="N3" si="11">SUM(N4:N5)</f>
        <v>522.38398139999993</v>
      </c>
      <c r="O3" s="79">
        <f t="shared" ref="O3" si="12">SUM(O4:O5)</f>
        <v>635.15332188000002</v>
      </c>
      <c r="P3" s="79">
        <f t="shared" ref="P3" si="13">SUM(P4:P5)</f>
        <v>695.22697979999987</v>
      </c>
      <c r="Q3" s="79">
        <f t="shared" ref="Q3" si="14">SUM(Q4:Q5)</f>
        <v>818.72368524000001</v>
      </c>
      <c r="R3" s="79">
        <f t="shared" ref="R3" si="15">SUM(R4:R5)</f>
        <v>958.87001484000018</v>
      </c>
      <c r="S3" s="79">
        <f t="shared" ref="S3" si="16">SUM(S4:S5)</f>
        <v>1159.6354189200001</v>
      </c>
      <c r="T3" s="79">
        <f t="shared" ref="T3" si="17">SUM(T4:T5)</f>
        <v>580.60004616000015</v>
      </c>
      <c r="U3" s="79">
        <f t="shared" ref="U3" si="18">SUM(U4:U5)</f>
        <v>653.98179779999987</v>
      </c>
      <c r="V3" s="79">
        <f t="shared" ref="V3:W3" si="19">SUM(V4:V5)</f>
        <v>258.68873231999999</v>
      </c>
      <c r="W3" s="79">
        <f t="shared" si="19"/>
        <v>388.17553968000004</v>
      </c>
      <c r="X3" s="79">
        <f t="shared" ref="X3:Y3" si="20">SUM(X4:X5)</f>
        <v>486.96458976000014</v>
      </c>
      <c r="Y3" s="79">
        <f t="shared" si="20"/>
        <v>404.46647424000003</v>
      </c>
      <c r="DA3" s="172" t="s">
        <v>324</v>
      </c>
    </row>
    <row r="4" spans="1:105" ht="11.45" customHeight="1" x14ac:dyDescent="0.25">
      <c r="A4" s="95" t="s">
        <v>27</v>
      </c>
      <c r="B4" s="96">
        <f t="shared" ref="B4:C4" si="21">SUM(B7,B11)</f>
        <v>18.605916000000001</v>
      </c>
      <c r="C4" s="96">
        <f t="shared" si="21"/>
        <v>9.3030840000000001</v>
      </c>
      <c r="D4" s="96">
        <f t="shared" ref="D4:V4" si="22">SUM(D7,D11)</f>
        <v>6.2019720000000014</v>
      </c>
      <c r="E4" s="96">
        <f t="shared" si="22"/>
        <v>6.2019720000000005</v>
      </c>
      <c r="F4" s="96">
        <f t="shared" si="22"/>
        <v>37.979784000000002</v>
      </c>
      <c r="G4" s="96">
        <f t="shared" si="22"/>
        <v>34.360093439999986</v>
      </c>
      <c r="H4" s="96">
        <f t="shared" si="22"/>
        <v>6.2347320000000019</v>
      </c>
      <c r="I4" s="96">
        <f t="shared" si="22"/>
        <v>251.10850032000005</v>
      </c>
      <c r="J4" s="96">
        <f t="shared" si="22"/>
        <v>243.86446296000003</v>
      </c>
      <c r="K4" s="96">
        <f t="shared" si="22"/>
        <v>257.0945724</v>
      </c>
      <c r="L4" s="96">
        <f t="shared" si="22"/>
        <v>334.6717230000001</v>
      </c>
      <c r="M4" s="96">
        <f t="shared" si="22"/>
        <v>244.47970151999999</v>
      </c>
      <c r="N4" s="96">
        <f t="shared" si="22"/>
        <v>121.57671239999998</v>
      </c>
      <c r="O4" s="96">
        <f t="shared" si="22"/>
        <v>137.26086336000003</v>
      </c>
      <c r="P4" s="96">
        <f t="shared" si="22"/>
        <v>72.991409040000008</v>
      </c>
      <c r="Q4" s="96">
        <f t="shared" si="22"/>
        <v>98.41260312</v>
      </c>
      <c r="R4" s="96">
        <f t="shared" si="22"/>
        <v>84.196074960000018</v>
      </c>
      <c r="S4" s="96">
        <f t="shared" si="22"/>
        <v>148.34184444000002</v>
      </c>
      <c r="T4" s="96">
        <f t="shared" si="22"/>
        <v>167.08632156000004</v>
      </c>
      <c r="U4" s="96">
        <f t="shared" si="22"/>
        <v>194.55477516000002</v>
      </c>
      <c r="V4" s="96">
        <f t="shared" si="22"/>
        <v>116.26952867999999</v>
      </c>
      <c r="W4" s="96">
        <f t="shared" ref="W4:Y4" si="23">SUM(W7,W11)</f>
        <v>140.48973180000002</v>
      </c>
      <c r="X4" s="96">
        <f t="shared" si="23"/>
        <v>211.04037324000001</v>
      </c>
      <c r="Y4" s="96">
        <f t="shared" si="23"/>
        <v>117.69763823999999</v>
      </c>
      <c r="DA4" s="171" t="s">
        <v>325</v>
      </c>
    </row>
    <row r="5" spans="1:105" ht="11.45" customHeight="1" x14ac:dyDescent="0.25">
      <c r="A5" s="95" t="s">
        <v>116</v>
      </c>
      <c r="B5" s="96">
        <f t="shared" ref="B5:C5" si="24">SUM(B8:B9,B12:B13)</f>
        <v>390.00717000000003</v>
      </c>
      <c r="C5" s="96">
        <f t="shared" si="24"/>
        <v>348.78690000000012</v>
      </c>
      <c r="D5" s="96">
        <f t="shared" ref="D5:V5" si="25">SUM(D8:D9,D12:D13)</f>
        <v>298.05426</v>
      </c>
      <c r="E5" s="96">
        <f t="shared" si="25"/>
        <v>361.4700600000001</v>
      </c>
      <c r="F5" s="96">
        <f t="shared" si="25"/>
        <v>421.71507000000008</v>
      </c>
      <c r="G5" s="96">
        <f t="shared" si="25"/>
        <v>378.77092560000011</v>
      </c>
      <c r="H5" s="96">
        <f t="shared" si="25"/>
        <v>466.44935184000013</v>
      </c>
      <c r="I5" s="96">
        <f t="shared" si="25"/>
        <v>372.47546699999998</v>
      </c>
      <c r="J5" s="96">
        <f t="shared" si="25"/>
        <v>404.94808979999993</v>
      </c>
      <c r="K5" s="96">
        <f t="shared" si="25"/>
        <v>447.67025100000023</v>
      </c>
      <c r="L5" s="96">
        <f t="shared" si="25"/>
        <v>500.21425332000024</v>
      </c>
      <c r="M5" s="96">
        <f t="shared" si="25"/>
        <v>437.36065379999991</v>
      </c>
      <c r="N5" s="96">
        <f t="shared" si="25"/>
        <v>400.80726899999996</v>
      </c>
      <c r="O5" s="96">
        <f t="shared" si="25"/>
        <v>497.89245851999993</v>
      </c>
      <c r="P5" s="96">
        <f t="shared" si="25"/>
        <v>622.23557075999986</v>
      </c>
      <c r="Q5" s="96">
        <f t="shared" si="25"/>
        <v>720.31108212000004</v>
      </c>
      <c r="R5" s="96">
        <f t="shared" si="25"/>
        <v>874.67393988000015</v>
      </c>
      <c r="S5" s="96">
        <f t="shared" si="25"/>
        <v>1011.2935744800002</v>
      </c>
      <c r="T5" s="96">
        <f t="shared" si="25"/>
        <v>413.5137246000001</v>
      </c>
      <c r="U5" s="96">
        <f t="shared" si="25"/>
        <v>459.42702263999985</v>
      </c>
      <c r="V5" s="96">
        <f t="shared" si="25"/>
        <v>142.41920363999998</v>
      </c>
      <c r="W5" s="96">
        <f t="shared" ref="W5:Y5" si="26">SUM(W8:W9,W12:W13)</f>
        <v>247.68580788</v>
      </c>
      <c r="X5" s="96">
        <f t="shared" si="26"/>
        <v>275.92421652000013</v>
      </c>
      <c r="Y5" s="96">
        <f t="shared" si="26"/>
        <v>286.76883600000002</v>
      </c>
      <c r="DA5" s="171" t="s">
        <v>326</v>
      </c>
    </row>
    <row r="6" spans="1:105" ht="11.45" customHeight="1" x14ac:dyDescent="0.25">
      <c r="A6" s="10" t="s">
        <v>33</v>
      </c>
      <c r="B6" s="21">
        <f t="shared" ref="B6:C6" si="27">SUM(B7:B9)</f>
        <v>402.56081117147266</v>
      </c>
      <c r="C6" s="21">
        <f t="shared" si="27"/>
        <v>352.86766862542606</v>
      </c>
      <c r="D6" s="21">
        <f t="shared" ref="D6:V6" si="28">SUM(D7:D9)</f>
        <v>299.32544875292831</v>
      </c>
      <c r="E6" s="21">
        <f t="shared" si="28"/>
        <v>362.81797753533533</v>
      </c>
      <c r="F6" s="21">
        <f t="shared" si="28"/>
        <v>454.27168224228382</v>
      </c>
      <c r="G6" s="21">
        <f t="shared" si="28"/>
        <v>409.77255692258069</v>
      </c>
      <c r="H6" s="21">
        <f t="shared" si="28"/>
        <v>468.98326492140245</v>
      </c>
      <c r="I6" s="21">
        <f t="shared" si="28"/>
        <v>620.10254288277054</v>
      </c>
      <c r="J6" s="21">
        <f t="shared" si="28"/>
        <v>644.86558531980859</v>
      </c>
      <c r="K6" s="21">
        <f t="shared" si="28"/>
        <v>700.29378462774753</v>
      </c>
      <c r="L6" s="21">
        <f t="shared" si="28"/>
        <v>829.65612804037221</v>
      </c>
      <c r="M6" s="21">
        <f t="shared" si="28"/>
        <v>676.49698758579518</v>
      </c>
      <c r="N6" s="21">
        <f t="shared" si="28"/>
        <v>517.01577881346452</v>
      </c>
      <c r="O6" s="21">
        <f t="shared" si="28"/>
        <v>628.65967882624125</v>
      </c>
      <c r="P6" s="21">
        <f t="shared" si="28"/>
        <v>689.00480836429153</v>
      </c>
      <c r="Q6" s="21">
        <f t="shared" si="28"/>
        <v>812.31769422630339</v>
      </c>
      <c r="R6" s="21">
        <f t="shared" si="28"/>
        <v>952.0745732549949</v>
      </c>
      <c r="S6" s="21">
        <f t="shared" si="28"/>
        <v>1150.9743062207683</v>
      </c>
      <c r="T6" s="21">
        <f t="shared" si="28"/>
        <v>577.27278761771549</v>
      </c>
      <c r="U6" s="21">
        <f t="shared" si="28"/>
        <v>651.31050279689771</v>
      </c>
      <c r="V6" s="21">
        <f t="shared" si="28"/>
        <v>256.29483415562697</v>
      </c>
      <c r="W6" s="21">
        <f t="shared" ref="W6:Y6" si="29">SUM(W7:W9)</f>
        <v>385.0951451442142</v>
      </c>
      <c r="X6" s="21">
        <f t="shared" si="29"/>
        <v>483.6456715097824</v>
      </c>
      <c r="Y6" s="21">
        <f t="shared" si="29"/>
        <v>401.78994826840551</v>
      </c>
      <c r="DA6" s="189" t="s">
        <v>327</v>
      </c>
    </row>
    <row r="7" spans="1:105" ht="11.45" customHeight="1" x14ac:dyDescent="0.25">
      <c r="A7" s="83" t="s">
        <v>27</v>
      </c>
      <c r="B7" s="96">
        <v>18.386892450592082</v>
      </c>
      <c r="C7" s="96">
        <v>9.1157341722319103</v>
      </c>
      <c r="D7" s="96">
        <v>6.035671853081233</v>
      </c>
      <c r="E7" s="96">
        <v>6.0405662046366579</v>
      </c>
      <c r="F7" s="96">
        <v>37.787054237837168</v>
      </c>
      <c r="G7" s="96">
        <v>34.28595360876276</v>
      </c>
      <c r="H7" s="96">
        <v>6.2032694887930209</v>
      </c>
      <c r="I7" s="96">
        <v>249.98244437139454</v>
      </c>
      <c r="J7" s="96">
        <v>243.24779622654427</v>
      </c>
      <c r="K7" s="96">
        <v>256.6476854727552</v>
      </c>
      <c r="L7" s="96">
        <v>334.28066634646439</v>
      </c>
      <c r="M7" s="96">
        <v>244.29620583004444</v>
      </c>
      <c r="N7" s="96">
        <v>121.50842221577757</v>
      </c>
      <c r="O7" s="96">
        <v>137.20378516083542</v>
      </c>
      <c r="P7" s="96">
        <v>72.971263300338592</v>
      </c>
      <c r="Q7" s="96">
        <v>98.39415155033214</v>
      </c>
      <c r="R7" s="96">
        <v>84.172495620253954</v>
      </c>
      <c r="S7" s="96">
        <v>148.21873367049139</v>
      </c>
      <c r="T7" s="96">
        <v>166.8524493016873</v>
      </c>
      <c r="U7" s="96">
        <v>194.13413606700334</v>
      </c>
      <c r="V7" s="96">
        <v>115.54993576287896</v>
      </c>
      <c r="W7" s="96">
        <v>139.48586951484845</v>
      </c>
      <c r="X7" s="96">
        <v>209.69110939031319</v>
      </c>
      <c r="Y7" s="96">
        <v>116.81028131204792</v>
      </c>
      <c r="DA7" s="171" t="s">
        <v>328</v>
      </c>
    </row>
    <row r="8" spans="1:105" ht="11.45" customHeight="1" x14ac:dyDescent="0.25">
      <c r="A8" s="83" t="s">
        <v>181</v>
      </c>
      <c r="B8" s="96">
        <v>328.42924554914021</v>
      </c>
      <c r="C8" s="96">
        <v>293.889278456488</v>
      </c>
      <c r="D8" s="96">
        <v>250.77051963571441</v>
      </c>
      <c r="E8" s="96">
        <v>305.08678242498576</v>
      </c>
      <c r="F8" s="96">
        <v>356.18013646031631</v>
      </c>
      <c r="G8" s="96">
        <v>321.84922690220321</v>
      </c>
      <c r="H8" s="96">
        <v>399.05181987720323</v>
      </c>
      <c r="I8" s="96">
        <v>322.38317112405161</v>
      </c>
      <c r="J8" s="96">
        <v>351.06251170866381</v>
      </c>
      <c r="K8" s="96">
        <v>387.44890805573596</v>
      </c>
      <c r="L8" s="96">
        <v>433.43698544182325</v>
      </c>
      <c r="M8" s="96">
        <v>377.10741869875295</v>
      </c>
      <c r="N8" s="96">
        <v>345.42838596528128</v>
      </c>
      <c r="O8" s="96">
        <v>429.99126615067712</v>
      </c>
      <c r="P8" s="96">
        <v>544.62170299230934</v>
      </c>
      <c r="Q8" s="96">
        <v>636.73331306006821</v>
      </c>
      <c r="R8" s="96">
        <v>786.80433157102607</v>
      </c>
      <c r="S8" s="96">
        <v>918.08091111058286</v>
      </c>
      <c r="T8" s="96">
        <v>375.5008915941691</v>
      </c>
      <c r="U8" s="96">
        <v>419.43942847766272</v>
      </c>
      <c r="V8" s="96">
        <v>124.2661956167138</v>
      </c>
      <c r="W8" s="96">
        <v>220.88139809387667</v>
      </c>
      <c r="X8" s="96">
        <v>252.72986527631014</v>
      </c>
      <c r="Y8" s="96">
        <v>262.49382289484691</v>
      </c>
      <c r="DA8" s="171" t="s">
        <v>329</v>
      </c>
    </row>
    <row r="9" spans="1:105" ht="11.45" customHeight="1" x14ac:dyDescent="0.25">
      <c r="A9" s="83" t="s">
        <v>182</v>
      </c>
      <c r="B9" s="96">
        <v>55.744673171740381</v>
      </c>
      <c r="C9" s="96">
        <v>49.862655996706195</v>
      </c>
      <c r="D9" s="96">
        <v>42.519257264132662</v>
      </c>
      <c r="E9" s="96">
        <v>51.690628905712927</v>
      </c>
      <c r="F9" s="96">
        <v>60.304491544130371</v>
      </c>
      <c r="G9" s="96">
        <v>53.637376411614717</v>
      </c>
      <c r="H9" s="96">
        <v>63.728175555406189</v>
      </c>
      <c r="I9" s="96">
        <v>47.736927387324343</v>
      </c>
      <c r="J9" s="96">
        <v>50.55527738460048</v>
      </c>
      <c r="K9" s="96">
        <v>56.197191099256358</v>
      </c>
      <c r="L9" s="96">
        <v>61.93847625208457</v>
      </c>
      <c r="M9" s="96">
        <v>55.093363056997731</v>
      </c>
      <c r="N9" s="96">
        <v>50.078970632405728</v>
      </c>
      <c r="O9" s="96">
        <v>61.464627514728676</v>
      </c>
      <c r="P9" s="96">
        <v>71.411842071643619</v>
      </c>
      <c r="Q9" s="96">
        <v>77.190229615903078</v>
      </c>
      <c r="R9" s="96">
        <v>81.097746063714965</v>
      </c>
      <c r="S9" s="96">
        <v>84.674661439694162</v>
      </c>
      <c r="T9" s="96">
        <v>34.919446721859117</v>
      </c>
      <c r="U9" s="96">
        <v>37.736938252231695</v>
      </c>
      <c r="V9" s="96">
        <v>16.478702776034194</v>
      </c>
      <c r="W9" s="96">
        <v>24.727877535489061</v>
      </c>
      <c r="X9" s="96">
        <v>21.224696843159062</v>
      </c>
      <c r="Y9" s="96">
        <v>22.485844061510644</v>
      </c>
      <c r="DA9" s="171" t="s">
        <v>330</v>
      </c>
    </row>
    <row r="10" spans="1:105" ht="11.45" customHeight="1" x14ac:dyDescent="0.25">
      <c r="A10" s="12" t="s">
        <v>34</v>
      </c>
      <c r="B10" s="22">
        <f t="shared" ref="B10:C10" si="30">SUM(B11:B13)</f>
        <v>6.0522748285273753</v>
      </c>
      <c r="C10" s="22">
        <f t="shared" si="30"/>
        <v>5.2223153745740216</v>
      </c>
      <c r="D10" s="22">
        <f t="shared" ref="D10:V10" si="31">SUM(D11:D13)</f>
        <v>4.9307832470716946</v>
      </c>
      <c r="E10" s="22">
        <f t="shared" si="31"/>
        <v>4.8540544646647552</v>
      </c>
      <c r="F10" s="22">
        <f t="shared" si="31"/>
        <v>5.423171757716224</v>
      </c>
      <c r="G10" s="22">
        <f t="shared" si="31"/>
        <v>3.3584621174194047</v>
      </c>
      <c r="H10" s="22">
        <f t="shared" si="31"/>
        <v>3.7008189185977094</v>
      </c>
      <c r="I10" s="22">
        <f t="shared" si="31"/>
        <v>3.4814244372294882</v>
      </c>
      <c r="J10" s="22">
        <f t="shared" si="31"/>
        <v>3.9469674401914063</v>
      </c>
      <c r="K10" s="22">
        <f t="shared" si="31"/>
        <v>4.4710387722527454</v>
      </c>
      <c r="L10" s="22">
        <f t="shared" si="31"/>
        <v>5.2298482796281363</v>
      </c>
      <c r="M10" s="22">
        <f t="shared" si="31"/>
        <v>5.3433677342048291</v>
      </c>
      <c r="N10" s="22">
        <f t="shared" si="31"/>
        <v>5.3682025865353236</v>
      </c>
      <c r="O10" s="22">
        <f t="shared" si="31"/>
        <v>6.4936430537587588</v>
      </c>
      <c r="P10" s="22">
        <f t="shared" si="31"/>
        <v>6.2221714357083098</v>
      </c>
      <c r="Q10" s="22">
        <f t="shared" si="31"/>
        <v>6.4059910136966254</v>
      </c>
      <c r="R10" s="22">
        <f t="shared" si="31"/>
        <v>6.7954415850051406</v>
      </c>
      <c r="S10" s="22">
        <f t="shared" si="31"/>
        <v>8.6611126992317846</v>
      </c>
      <c r="T10" s="22">
        <f t="shared" si="31"/>
        <v>3.3272585422846048</v>
      </c>
      <c r="U10" s="22">
        <f t="shared" si="31"/>
        <v>2.671295003102097</v>
      </c>
      <c r="V10" s="22">
        <f t="shared" si="31"/>
        <v>2.393898164373033</v>
      </c>
      <c r="W10" s="22">
        <f t="shared" ref="W10:Y10" si="32">SUM(W11:W13)</f>
        <v>3.0803945357858358</v>
      </c>
      <c r="X10" s="22">
        <f t="shared" si="32"/>
        <v>3.3189182502177532</v>
      </c>
      <c r="Y10" s="22">
        <f t="shared" si="32"/>
        <v>2.676525971594534</v>
      </c>
      <c r="DA10" s="193" t="s">
        <v>331</v>
      </c>
    </row>
    <row r="11" spans="1:105" ht="11.45" customHeight="1" x14ac:dyDescent="0.25">
      <c r="A11" s="92" t="s">
        <v>27</v>
      </c>
      <c r="B11" s="97">
        <v>0.21902354940791752</v>
      </c>
      <c r="C11" s="97">
        <v>0.1873498277680905</v>
      </c>
      <c r="D11" s="97">
        <v>0.16630014691876796</v>
      </c>
      <c r="E11" s="97">
        <v>0.16140579536334279</v>
      </c>
      <c r="F11" s="97">
        <v>0.19272976216283652</v>
      </c>
      <c r="G11" s="97">
        <v>7.413983123722856E-2</v>
      </c>
      <c r="H11" s="97">
        <v>3.1462511206981396E-2</v>
      </c>
      <c r="I11" s="97">
        <v>1.1260559486055055</v>
      </c>
      <c r="J11" s="97">
        <v>0.61666673345575995</v>
      </c>
      <c r="K11" s="97">
        <v>0.44688692724482737</v>
      </c>
      <c r="L11" s="97">
        <v>0.39105665353571012</v>
      </c>
      <c r="M11" s="97">
        <v>0.18349568995554741</v>
      </c>
      <c r="N11" s="97">
        <v>6.8290184222400949E-2</v>
      </c>
      <c r="O11" s="97">
        <v>5.7078199164600052E-2</v>
      </c>
      <c r="P11" s="97">
        <v>2.0145739661421382E-2</v>
      </c>
      <c r="Q11" s="97">
        <v>1.8451569667865288E-2</v>
      </c>
      <c r="R11" s="97">
        <v>2.3579339746062775E-2</v>
      </c>
      <c r="S11" s="97">
        <v>0.12311076950862708</v>
      </c>
      <c r="T11" s="97">
        <v>0.23387225831273567</v>
      </c>
      <c r="U11" s="97">
        <v>0.42063909299668223</v>
      </c>
      <c r="V11" s="97">
        <v>0.71959291712103091</v>
      </c>
      <c r="W11" s="97">
        <v>1.0038622851515588</v>
      </c>
      <c r="X11" s="97">
        <v>1.3492638496868259</v>
      </c>
      <c r="Y11" s="97">
        <v>0.88735692795207033</v>
      </c>
      <c r="DA11" s="175" t="s">
        <v>332</v>
      </c>
    </row>
    <row r="12" spans="1:105" ht="11.45" customHeight="1" x14ac:dyDescent="0.25">
      <c r="A12" s="92" t="s">
        <v>181</v>
      </c>
      <c r="B12" s="97">
        <v>4.8480623983436866</v>
      </c>
      <c r="C12" s="97">
        <v>4.0812490473257732</v>
      </c>
      <c r="D12" s="97">
        <v>3.7830033862826946</v>
      </c>
      <c r="E12" s="97">
        <v>3.6484940446964993</v>
      </c>
      <c r="F12" s="97">
        <v>4.1874137812442296</v>
      </c>
      <c r="G12" s="97">
        <v>2.9436373738317352</v>
      </c>
      <c r="H12" s="97">
        <v>3.2890412429868805</v>
      </c>
      <c r="I12" s="97">
        <v>1.9811791257555755</v>
      </c>
      <c r="J12" s="97">
        <v>2.7765916779736033</v>
      </c>
      <c r="K12" s="97">
        <v>3.5477813245849421</v>
      </c>
      <c r="L12" s="97">
        <v>4.2436938170588636</v>
      </c>
      <c r="M12" s="97">
        <v>4.1736388070450712</v>
      </c>
      <c r="N12" s="97">
        <v>3.6142256038349783</v>
      </c>
      <c r="O12" s="97">
        <v>4.586073947628301</v>
      </c>
      <c r="P12" s="97">
        <v>5.4057448266926409</v>
      </c>
      <c r="Q12" s="97">
        <v>5.815264925050835</v>
      </c>
      <c r="R12" s="97">
        <v>6.3776958219924484</v>
      </c>
      <c r="S12" s="97">
        <v>8.2006898560972452</v>
      </c>
      <c r="T12" s="97">
        <v>3.0079494807892311</v>
      </c>
      <c r="U12" s="97">
        <v>2.1194870899420661</v>
      </c>
      <c r="V12" s="97">
        <v>1.5220066718433398</v>
      </c>
      <c r="W12" s="97">
        <v>1.9280627832110335</v>
      </c>
      <c r="X12" s="97">
        <v>1.8414656781220622</v>
      </c>
      <c r="Y12" s="97">
        <v>1.6962991397211284</v>
      </c>
      <c r="DA12" s="175" t="s">
        <v>333</v>
      </c>
    </row>
    <row r="13" spans="1:105" ht="11.45" customHeight="1" x14ac:dyDescent="0.25">
      <c r="A13" s="85" t="s">
        <v>182</v>
      </c>
      <c r="B13" s="98">
        <v>0.98518888077577171</v>
      </c>
      <c r="C13" s="98">
        <v>0.9537164994801578</v>
      </c>
      <c r="D13" s="98">
        <v>0.98147971387023192</v>
      </c>
      <c r="E13" s="98">
        <v>1.0441546246049132</v>
      </c>
      <c r="F13" s="98">
        <v>1.0430282143091578</v>
      </c>
      <c r="G13" s="98">
        <v>0.3406849123504409</v>
      </c>
      <c r="H13" s="98">
        <v>0.38031516440384727</v>
      </c>
      <c r="I13" s="98">
        <v>0.37418936286840737</v>
      </c>
      <c r="J13" s="98">
        <v>0.55370902876204287</v>
      </c>
      <c r="K13" s="98">
        <v>0.47637052042297573</v>
      </c>
      <c r="L13" s="98">
        <v>0.59509780903356269</v>
      </c>
      <c r="M13" s="98">
        <v>0.98623323720421052</v>
      </c>
      <c r="N13" s="98">
        <v>1.6856867984779442</v>
      </c>
      <c r="O13" s="98">
        <v>1.8504909069658577</v>
      </c>
      <c r="P13" s="98">
        <v>0.79628086935424791</v>
      </c>
      <c r="Q13" s="98">
        <v>0.57227451897792492</v>
      </c>
      <c r="R13" s="98">
        <v>0.3941664232666291</v>
      </c>
      <c r="S13" s="98">
        <v>0.33731207362591387</v>
      </c>
      <c r="T13" s="98">
        <v>8.5436803182638424E-2</v>
      </c>
      <c r="U13" s="98">
        <v>0.13116882016334855</v>
      </c>
      <c r="V13" s="98">
        <v>0.15229857540866243</v>
      </c>
      <c r="W13" s="98">
        <v>0.14846946742324302</v>
      </c>
      <c r="X13" s="98">
        <v>0.12818872240886509</v>
      </c>
      <c r="Y13" s="98">
        <v>9.2869903921335109E-2</v>
      </c>
      <c r="DA13" s="178" t="s">
        <v>334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48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DA17" s="172"/>
    </row>
    <row r="18" spans="1:105" ht="11.45" customHeight="1" x14ac:dyDescent="0.25">
      <c r="A18" s="99" t="s">
        <v>27</v>
      </c>
      <c r="B18" s="97">
        <f>IF(B4=0,0,B4/TrAvia_ene!B4)</f>
        <v>2.9307600000000003</v>
      </c>
      <c r="C18" s="97">
        <f>IF(C4=0,0,C4/TrAvia_ene!C4)</f>
        <v>2.9307600000000003</v>
      </c>
      <c r="D18" s="97">
        <f>IF(D4=0,0,D4/TrAvia_ene!D4)</f>
        <v>2.9307600000000007</v>
      </c>
      <c r="E18" s="97">
        <f>IF(E4=0,0,E4/TrAvia_ene!E4)</f>
        <v>2.9307600000000003</v>
      </c>
      <c r="F18" s="97">
        <f>IF(F4=0,0,F4/TrAvia_ene!F4)</f>
        <v>3.0585380385965646</v>
      </c>
      <c r="G18" s="97">
        <f>IF(G4=0,0,G4/TrAvia_ene!G4)</f>
        <v>2.9458745794854408</v>
      </c>
      <c r="H18" s="97">
        <f>IF(H4=0,0,H4/TrAvia_ene!H4)</f>
        <v>2.9307600000000003</v>
      </c>
      <c r="I18" s="97">
        <f>IF(I4=0,0,I4/TrAvia_ene!I4)</f>
        <v>3.0067208271095707</v>
      </c>
      <c r="J18" s="97">
        <f>IF(J4=0,0,J4/TrAvia_ene!J4)</f>
        <v>3.0073554577923787</v>
      </c>
      <c r="K18" s="97">
        <f>IF(K4=0,0,K4/TrAvia_ene!K4)</f>
        <v>3.0075075559726492</v>
      </c>
      <c r="L18" s="97">
        <f>IF(L4=0,0,L4/TrAvia_ene!L4)</f>
        <v>3.0065574409712497</v>
      </c>
      <c r="M18" s="97">
        <f>IF(M4=0,0,M4/TrAvia_ene!M4)</f>
        <v>3.0051757242394848</v>
      </c>
      <c r="N18" s="97">
        <f>IF(N4=0,0,N4/TrAvia_ene!N4)</f>
        <v>3.0082425364228413</v>
      </c>
      <c r="O18" s="97">
        <f>IF(O4=0,0,O4/TrAvia_ene!O4)</f>
        <v>3.0084785407061623</v>
      </c>
      <c r="P18" s="97">
        <f>IF(P4=0,0,P4/TrAvia_ene!P4)</f>
        <v>3.006868474570076</v>
      </c>
      <c r="Q18" s="97">
        <f>IF(Q4=0,0,Q4/TrAvia_ene!Q4)</f>
        <v>3.0077565028830926</v>
      </c>
      <c r="R18" s="97">
        <f>IF(R4=0,0,R4/TrAvia_ene!R4)</f>
        <v>3.0073259064965225</v>
      </c>
      <c r="S18" s="97">
        <f>IF(S4=0,0,S4/TrAvia_ene!S4)</f>
        <v>3.008846911280981</v>
      </c>
      <c r="T18" s="97">
        <f>IF(T4=0,0,T4/TrAvia_ene!T4)</f>
        <v>3.0087138115306375</v>
      </c>
      <c r="U18" s="97">
        <f>IF(U4=0,0,U4/TrAvia_ene!U4)</f>
        <v>3.0081483514085043</v>
      </c>
      <c r="V18" s="97">
        <f>IF(V4=0,0,V4/TrAvia_ene!V4)</f>
        <v>3.0080430547888595</v>
      </c>
      <c r="W18" s="97">
        <f>IF(W4=0,0,W4/TrAvia_ene!W4)</f>
        <v>3.00776395245073</v>
      </c>
      <c r="X18" s="97">
        <f>IF(X4=0,0,X4/TrAvia_ene!X4)</f>
        <v>3.009380456411181</v>
      </c>
      <c r="Y18" s="97">
        <f>IF(Y4=0,0,Y4/TrAvia_ene!Y4)</f>
        <v>3.0081587491373232</v>
      </c>
      <c r="DA18" s="175"/>
    </row>
    <row r="19" spans="1:105" ht="11.45" customHeight="1" x14ac:dyDescent="0.25">
      <c r="A19" s="100" t="s">
        <v>116</v>
      </c>
      <c r="B19" s="98">
        <f>IF(B5=0,0,B5/TrAvia_ene!B5)</f>
        <v>3.0103092000000014</v>
      </c>
      <c r="C19" s="98">
        <f>IF(C5=0,0,C5/TrAvia_ene!C5)</f>
        <v>3.0103092000000005</v>
      </c>
      <c r="D19" s="98">
        <f>IF(D5=0,0,D5/TrAvia_ene!D5)</f>
        <v>3.0103092000000014</v>
      </c>
      <c r="E19" s="98">
        <f>IF(E5=0,0,E5/TrAvia_ene!E5)</f>
        <v>3.0103092000000005</v>
      </c>
      <c r="F19" s="98">
        <f>IF(F5=0,0,F5/TrAvia_ene!F5)</f>
        <v>3.0103092000000005</v>
      </c>
      <c r="G19" s="98">
        <f>IF(G5=0,0,G5/TrAvia_ene!G5)</f>
        <v>3.0103092</v>
      </c>
      <c r="H19" s="98">
        <f>IF(H5=0,0,H5/TrAvia_ene!H5)</f>
        <v>3.0103092000000014</v>
      </c>
      <c r="I19" s="98">
        <f>IF(I5=0,0,I5/TrAvia_ene!I5)</f>
        <v>3.0096340486444855</v>
      </c>
      <c r="J19" s="98">
        <f>IF(J5=0,0,J5/TrAvia_ene!J5)</f>
        <v>3.009067868604157</v>
      </c>
      <c r="K19" s="98">
        <f>IF(K5=0,0,K5/TrAvia_ene!K5)</f>
        <v>3.0103092000000009</v>
      </c>
      <c r="L19" s="98">
        <f>IF(L5=0,0,L5/TrAvia_ene!L5)</f>
        <v>3.0103092000000027</v>
      </c>
      <c r="M19" s="98">
        <f>IF(M5=0,0,M5/TrAvia_ene!M5)</f>
        <v>3.0103092</v>
      </c>
      <c r="N19" s="98">
        <f>IF(N5=0,0,N5/TrAvia_ene!N5)</f>
        <v>3.0103092000000014</v>
      </c>
      <c r="O19" s="98">
        <f>IF(O5=0,0,O5/TrAvia_ene!O5)</f>
        <v>3.0103091999999991</v>
      </c>
      <c r="P19" s="98">
        <f>IF(P5=0,0,P5/TrAvia_ene!P5)</f>
        <v>3.0103091999999996</v>
      </c>
      <c r="Q19" s="98">
        <f>IF(Q5=0,0,Q5/TrAvia_ene!Q5)</f>
        <v>3.0103092000000005</v>
      </c>
      <c r="R19" s="98">
        <f>IF(R5=0,0,R5/TrAvia_ene!R5)</f>
        <v>3.0103092000000014</v>
      </c>
      <c r="S19" s="98">
        <f>IF(S5=0,0,S5/TrAvia_ene!S5)</f>
        <v>3.0103092</v>
      </c>
      <c r="T19" s="98">
        <f>IF(T5=0,0,T5/TrAvia_ene!T5)</f>
        <v>3.0103092000000005</v>
      </c>
      <c r="U19" s="98">
        <f>IF(U5=0,0,U5/TrAvia_ene!U5)</f>
        <v>3.0103092</v>
      </c>
      <c r="V19" s="98">
        <f>IF(V5=0,0,V5/TrAvia_ene!V5)</f>
        <v>3.0103091999999991</v>
      </c>
      <c r="W19" s="98">
        <f>IF(W5=0,0,W5/TrAvia_ene!W5)</f>
        <v>3.0103092000000005</v>
      </c>
      <c r="X19" s="98">
        <f>IF(X5=0,0,X5/TrAvia_ene!X5)</f>
        <v>3.0103092000000022</v>
      </c>
      <c r="Y19" s="98">
        <f>IF(Y5=0,0,Y5/TrAvia_ene!Y5)</f>
        <v>3.0103092</v>
      </c>
      <c r="DA19" s="178"/>
    </row>
    <row r="20" spans="1:105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DA20" s="181"/>
    </row>
    <row r="21" spans="1:105" ht="11.45" customHeight="1" x14ac:dyDescent="0.25">
      <c r="A21" s="53" t="s">
        <v>129</v>
      </c>
      <c r="B21" s="54">
        <f>IF(B3=0,0,B3/TrAvia_act!B13*1000)</f>
        <v>14247.997076924577</v>
      </c>
      <c r="C21" s="54">
        <f>IF(C3=0,0,C3/TrAvia_act!C13*1000)</f>
        <v>14223.288435377086</v>
      </c>
      <c r="D21" s="54">
        <f>IF(D3=0,0,D3/TrAvia_act!D13*1000)</f>
        <v>14184.345468440688</v>
      </c>
      <c r="E21" s="54">
        <f>IF(E3=0,0,E3/TrAvia_act!E13*1000)</f>
        <v>14203.458218728256</v>
      </c>
      <c r="F21" s="54">
        <f>IF(F3=0,0,F3/TrAvia_act!F13*1000)</f>
        <v>14295.312151138951</v>
      </c>
      <c r="G21" s="54">
        <f>IF(G3=0,0,G3/TrAvia_act!G13*1000)</f>
        <v>10062.916326752224</v>
      </c>
      <c r="H21" s="54">
        <f>IF(H3=0,0,H3/TrAvia_act!H13*1000)</f>
        <v>9941.0524432047714</v>
      </c>
      <c r="I21" s="54">
        <f>IF(I3=0,0,I3/TrAvia_act!I13*1000)</f>
        <v>10173.062586659946</v>
      </c>
      <c r="J21" s="54">
        <f>IF(J3=0,0,J3/TrAvia_act!J13*1000)</f>
        <v>9266.835818876034</v>
      </c>
      <c r="K21" s="54">
        <f>IF(K3=0,0,K3/TrAvia_act!K13*1000)</f>
        <v>9830.7075466606129</v>
      </c>
      <c r="L21" s="54">
        <f>IF(L3=0,0,L3/TrAvia_act!L13*1000)</f>
        <v>11275.020696526515</v>
      </c>
      <c r="M21" s="54">
        <f>IF(M3=0,0,M3/TrAvia_act!M13*1000)</f>
        <v>9158.3002658386049</v>
      </c>
      <c r="N21" s="54">
        <f>IF(N3=0,0,N3/TrAvia_act!N13*1000)</f>
        <v>7515.2417053181389</v>
      </c>
      <c r="O21" s="54">
        <f>IF(O3=0,0,O3/TrAvia_act!O13*1000)</f>
        <v>9103.3685028224772</v>
      </c>
      <c r="P21" s="54">
        <f>IF(P3=0,0,P3/TrAvia_act!P13*1000)</f>
        <v>9343.5646048626986</v>
      </c>
      <c r="Q21" s="54">
        <f>IF(Q3=0,0,Q3/TrAvia_act!Q13*1000)</f>
        <v>9991.2212812176622</v>
      </c>
      <c r="R21" s="54">
        <f>IF(R3=0,0,R3/TrAvia_act!R13*1000)</f>
        <v>10078.024945868705</v>
      </c>
      <c r="S21" s="54">
        <f>IF(S3=0,0,S3/TrAvia_act!S13*1000)</f>
        <v>10863.951126177304</v>
      </c>
      <c r="T21" s="54">
        <f>IF(T3=0,0,T3/TrAvia_act!T13*1000)</f>
        <v>5001.0218275463503</v>
      </c>
      <c r="U21" s="54">
        <f>IF(U3=0,0,U3/TrAvia_act!U13*1000)</f>
        <v>5380.7282328190386</v>
      </c>
      <c r="V21" s="54">
        <f>IF(V3=0,0,V3/TrAvia_act!V13*1000)</f>
        <v>5293.5408880193227</v>
      </c>
      <c r="W21" s="54">
        <f>IF(W3=0,0,W3/TrAvia_act!W13*1000)</f>
        <v>5248.2050429812007</v>
      </c>
      <c r="X21" s="54">
        <f>IF(X3=0,0,X3/TrAvia_act!X13*1000)</f>
        <v>4590.1714573719701</v>
      </c>
      <c r="Y21" s="54">
        <f>IF(Y3=0,0,Y3/TrAvia_act!Y13*1000)</f>
        <v>3443.4702184096423</v>
      </c>
      <c r="DA21" s="172" t="s">
        <v>335</v>
      </c>
    </row>
    <row r="22" spans="1:105" ht="11.45" customHeight="1" x14ac:dyDescent="0.25">
      <c r="A22" s="10" t="s">
        <v>33</v>
      </c>
      <c r="B22" s="11">
        <f>IF(B6=0,0,B6/TrAvia_act!B14*1000)</f>
        <v>14213.315183868139</v>
      </c>
      <c r="C22" s="11">
        <f>IF(C6=0,0,C6/TrAvia_act!C14*1000)</f>
        <v>14190.295519994539</v>
      </c>
      <c r="D22" s="11">
        <f>IF(D6=0,0,D6/TrAvia_act!D14*1000)</f>
        <v>14148.925878260401</v>
      </c>
      <c r="E22" s="11">
        <f>IF(E6=0,0,E6/TrAvia_act!E14*1000)</f>
        <v>14175.377135199256</v>
      </c>
      <c r="F22" s="11">
        <f>IF(F6=0,0,F6/TrAvia_act!F14*1000)</f>
        <v>14269.636870509241</v>
      </c>
      <c r="G22" s="11">
        <f>IF(G6=0,0,G6/TrAvia_act!G14*1000)</f>
        <v>10045.557087569061</v>
      </c>
      <c r="H22" s="11">
        <f>IF(H6=0,0,H6/TrAvia_act!H14*1000)</f>
        <v>9923.3028238809875</v>
      </c>
      <c r="I22" s="11">
        <f>IF(I6=0,0,I6/TrAvia_act!I14*1000)</f>
        <v>10167.321956545014</v>
      </c>
      <c r="J22" s="11">
        <f>IF(J6=0,0,J6/TrAvia_act!J14*1000)</f>
        <v>9272.455734094634</v>
      </c>
      <c r="K22" s="11">
        <f>IF(K6=0,0,K6/TrAvia_act!K14*1000)</f>
        <v>9840.519433229294</v>
      </c>
      <c r="L22" s="11">
        <f>IF(L6=0,0,L6/TrAvia_act!L14*1000)</f>
        <v>11293.23190660726</v>
      </c>
      <c r="M22" s="11">
        <f>IF(M6=0,0,M6/TrAvia_act!M14*1000)</f>
        <v>9167.5120051196318</v>
      </c>
      <c r="N22" s="11">
        <f>IF(N6=0,0,N6/TrAvia_act!N14*1000)</f>
        <v>7519.2182202310805</v>
      </c>
      <c r="O22" s="11">
        <f>IF(O6=0,0,O6/TrAvia_act!O14*1000)</f>
        <v>9114.9233211259088</v>
      </c>
      <c r="P22" s="11">
        <f>IF(P6=0,0,P6/TrAvia_act!P14*1000)</f>
        <v>9347.4105418653562</v>
      </c>
      <c r="Q22" s="11">
        <f>IF(Q6=0,0,Q6/TrAvia_act!Q14*1000)</f>
        <v>10005.458172530574</v>
      </c>
      <c r="R22" s="11">
        <f>IF(R6=0,0,R6/TrAvia_act!R14*1000)</f>
        <v>10089.347072719631</v>
      </c>
      <c r="S22" s="11">
        <f>IF(S6=0,0,S6/TrAvia_act!S14*1000)</f>
        <v>10874.912057798896</v>
      </c>
      <c r="T22" s="11">
        <f>IF(T6=0,0,T6/TrAvia_act!T14*1000)</f>
        <v>5010.7413362414127</v>
      </c>
      <c r="U22" s="11">
        <f>IF(U6=0,0,U6/TrAvia_act!U14*1000)</f>
        <v>5387.1221496811713</v>
      </c>
      <c r="V22" s="11">
        <f>IF(V6=0,0,V6/TrAvia_act!V14*1000)</f>
        <v>5309.1506324274087</v>
      </c>
      <c r="W22" s="11">
        <f>IF(W6=0,0,W6/TrAvia_act!W14*1000)</f>
        <v>5252.7466411965215</v>
      </c>
      <c r="X22" s="11">
        <f>IF(X6=0,0,X6/TrAvia_act!X14*1000)</f>
        <v>4596.8244644029865</v>
      </c>
      <c r="Y22" s="11">
        <f>IF(Y6=0,0,Y6/TrAvia_act!Y14*1000)</f>
        <v>3445.9776571952261</v>
      </c>
      <c r="DA22" s="189" t="s">
        <v>336</v>
      </c>
    </row>
    <row r="23" spans="1:105" ht="11.25" customHeight="1" x14ac:dyDescent="0.25">
      <c r="A23" s="83" t="s">
        <v>27</v>
      </c>
      <c r="B23" s="84">
        <f>IF(B7=0,0,B7/TrAvia_act!B15*1000)</f>
        <v>14905.223236453578</v>
      </c>
      <c r="C23" s="84">
        <f>IF(C7=0,0,C7/TrAvia_act!C15*1000)</f>
        <v>14762.84466895167</v>
      </c>
      <c r="D23" s="84">
        <f>IF(D7=0,0,D7/TrAvia_act!D15*1000)</f>
        <v>14645.832553880489</v>
      </c>
      <c r="E23" s="84">
        <f>IF(E7=0,0,E7/TrAvia_act!E15*1000)</f>
        <v>14645.544846974957</v>
      </c>
      <c r="F23" s="84">
        <f>IF(F7=0,0,F7/TrAvia_act!F15*1000)</f>
        <v>15597.227617995108</v>
      </c>
      <c r="G23" s="84">
        <f>IF(G7=0,0,G7/TrAvia_act!G15*1000)</f>
        <v>11883.067276832318</v>
      </c>
      <c r="H23" s="84">
        <f>IF(H7=0,0,H7/TrAvia_act!H15*1000)</f>
        <v>2005.957627135389</v>
      </c>
      <c r="I23" s="84">
        <f>IF(I7=0,0,I7/TrAvia_act!I15*1000)</f>
        <v>70207.734791405819</v>
      </c>
      <c r="J23" s="84">
        <f>IF(J7=0,0,J7/TrAvia_act!J15*1000)</f>
        <v>58935.480477619843</v>
      </c>
      <c r="K23" s="84">
        <f>IF(K7=0,0,K7/TrAvia_act!K15*1000)</f>
        <v>56475.871606265187</v>
      </c>
      <c r="L23" s="84">
        <f>IF(L7=0,0,L7/TrAvia_act!L15*1000)</f>
        <v>62855.279965486021</v>
      </c>
      <c r="M23" s="84">
        <f>IF(M7=0,0,M7/TrAvia_act!M15*1000)</f>
        <v>48060.746195839449</v>
      </c>
      <c r="N23" s="84">
        <f>IF(N7=0,0,N7/TrAvia_act!N15*1000)</f>
        <v>26240.315353659822</v>
      </c>
      <c r="O23" s="84">
        <f>IF(O7=0,0,O7/TrAvia_act!O15*1000)</f>
        <v>32027.500203519176</v>
      </c>
      <c r="P23" s="84">
        <f>IF(P7=0,0,P7/TrAvia_act!P15*1000)</f>
        <v>18664.876195759207</v>
      </c>
      <c r="Q23" s="84">
        <f>IF(Q7=0,0,Q7/TrAvia_act!Q15*1000)</f>
        <v>25454.465263066184</v>
      </c>
      <c r="R23" s="84">
        <f>IF(R7=0,0,R7/TrAvia_act!R15*1000)</f>
        <v>16086.794715359787</v>
      </c>
      <c r="S23" s="84">
        <f>IF(S7=0,0,S7/TrAvia_act!S15*1000)</f>
        <v>23617.499835365685</v>
      </c>
      <c r="T23" s="84">
        <f>IF(T7=0,0,T7/TrAvia_act!T15*1000)</f>
        <v>25938.011721514769</v>
      </c>
      <c r="U23" s="84">
        <f>IF(U7=0,0,U7/TrAvia_act!U15*1000)</f>
        <v>31073.262820671986</v>
      </c>
      <c r="V23" s="84">
        <f>IF(V7=0,0,V7/TrAvia_act!V15*1000)</f>
        <v>42353.26572744576</v>
      </c>
      <c r="W23" s="84">
        <f>IF(W7=0,0,W7/TrAvia_act!W15*1000)</f>
        <v>42312.918248129026</v>
      </c>
      <c r="X23" s="84">
        <f>IF(X7=0,0,X7/TrAvia_act!X15*1000)</f>
        <v>46335.898721771679</v>
      </c>
      <c r="Y23" s="84">
        <f>IF(Y7=0,0,Y7/TrAvia_act!Y15*1000)</f>
        <v>25540.343895631711</v>
      </c>
      <c r="DA23" s="171" t="s">
        <v>337</v>
      </c>
    </row>
    <row r="24" spans="1:105" ht="11.45" customHeight="1" x14ac:dyDescent="0.25">
      <c r="A24" s="83" t="s">
        <v>181</v>
      </c>
      <c r="B24" s="84">
        <f>IF(B8=0,0,B8/TrAvia_act!B16*1000)</f>
        <v>14793.582212724625</v>
      </c>
      <c r="C24" s="84">
        <f>IF(C8=0,0,C8/TrAvia_act!C16*1000)</f>
        <v>14787.918842781493</v>
      </c>
      <c r="D24" s="84">
        <f>IF(D8=0,0,D8/TrAvia_act!D16*1000)</f>
        <v>14750.765669113214</v>
      </c>
      <c r="E24" s="84">
        <f>IF(E8=0,0,E8/TrAvia_act!E16*1000)</f>
        <v>14782.579613377286</v>
      </c>
      <c r="F24" s="84">
        <f>IF(F8=0,0,F8/TrAvia_act!F16*1000)</f>
        <v>14776.222919280228</v>
      </c>
      <c r="G24" s="84">
        <f>IF(G8=0,0,G8/TrAvia_act!G16*1000)</f>
        <v>10073.183069740224</v>
      </c>
      <c r="H24" s="84">
        <f>IF(H8=0,0,H8/TrAvia_act!H16*1000)</f>
        <v>10715.78334037567</v>
      </c>
      <c r="I24" s="84">
        <f>IF(I8=0,0,I8/TrAvia_act!I16*1000)</f>
        <v>6744.8018996210876</v>
      </c>
      <c r="J24" s="84">
        <f>IF(J8=0,0,J8/TrAvia_act!J16*1000)</f>
        <v>6441.919434318821</v>
      </c>
      <c r="K24" s="84">
        <f>IF(K8=0,0,K8/TrAvia_act!K16*1000)</f>
        <v>6757.1224550186016</v>
      </c>
      <c r="L24" s="84">
        <f>IF(L8=0,0,L8/TrAvia_act!L16*1000)</f>
        <v>7346.7160376198744</v>
      </c>
      <c r="M24" s="84">
        <f>IF(M8=0,0,M8/TrAvia_act!M16*1000)</f>
        <v>6308.3176512925747</v>
      </c>
      <c r="N24" s="84">
        <f>IF(N8=0,0,N8/TrAvia_act!N16*1000)</f>
        <v>6320.3416643064793</v>
      </c>
      <c r="O24" s="84">
        <f>IF(O8=0,0,O8/TrAvia_act!O16*1000)</f>
        <v>7731.4834583487363</v>
      </c>
      <c r="P24" s="84">
        <f>IF(P8=0,0,P8/TrAvia_act!P16*1000)</f>
        <v>9239.7609227662142</v>
      </c>
      <c r="Q24" s="84">
        <f>IF(Q8=0,0,Q8/TrAvia_act!Q16*1000)</f>
        <v>9653.6987524293618</v>
      </c>
      <c r="R24" s="84">
        <f>IF(R8=0,0,R8/TrAvia_act!R16*1000)</f>
        <v>10372.700229237144</v>
      </c>
      <c r="S24" s="84">
        <f>IF(S8=0,0,S8/TrAvia_act!S16*1000)</f>
        <v>10868.359804320102</v>
      </c>
      <c r="T24" s="84">
        <f>IF(T8=0,0,T8/TrAvia_act!T16*1000)</f>
        <v>4203.1208985152125</v>
      </c>
      <c r="U24" s="84">
        <f>IF(U8=0,0,U8/TrAvia_act!U16*1000)</f>
        <v>4502.6753264254312</v>
      </c>
      <c r="V24" s="84">
        <f>IF(V8=0,0,V8/TrAvia_act!V16*1000)</f>
        <v>3196.3228436270183</v>
      </c>
      <c r="W24" s="84">
        <f>IF(W8=0,0,W8/TrAvia_act!W16*1000)</f>
        <v>3880.8676949921237</v>
      </c>
      <c r="X24" s="84">
        <f>IF(X8=0,0,X8/TrAvia_act!X16*1000)</f>
        <v>2983.9611203548557</v>
      </c>
      <c r="Y24" s="84">
        <f>IF(Y8=0,0,Y8/TrAvia_act!Y16*1000)</f>
        <v>2830.0765612799091</v>
      </c>
      <c r="DA24" s="171" t="s">
        <v>338</v>
      </c>
    </row>
    <row r="25" spans="1:105" ht="11.45" customHeight="1" x14ac:dyDescent="0.25">
      <c r="A25" s="83" t="s">
        <v>182</v>
      </c>
      <c r="B25" s="84">
        <f>IF(B9=0,0,B9/TrAvia_act!B17*1000)</f>
        <v>11403.423766974694</v>
      </c>
      <c r="C25" s="84">
        <f>IF(C9=0,0,C9/TrAvia_act!C17*1000)</f>
        <v>11395.236487105052</v>
      </c>
      <c r="D25" s="84">
        <f>IF(D9=0,0,D9/TrAvia_act!D17*1000)</f>
        <v>11360.490677826343</v>
      </c>
      <c r="E25" s="84">
        <f>IF(E9=0,0,E9/TrAvia_act!E17*1000)</f>
        <v>11375.006136884984</v>
      </c>
      <c r="F25" s="84">
        <f>IF(F9=0,0,F9/TrAvia_act!F17*1000)</f>
        <v>11362.735038596535</v>
      </c>
      <c r="G25" s="84">
        <f>IF(G9=0,0,G9/TrAvia_act!G17*1000)</f>
        <v>9007.0419958249731</v>
      </c>
      <c r="H25" s="84">
        <f>IF(H9=0,0,H9/TrAvia_act!H17*1000)</f>
        <v>9197.6448953705822</v>
      </c>
      <c r="I25" s="84">
        <f>IF(I9=0,0,I9/TrAvia_act!I17*1000)</f>
        <v>4956.1419294270927</v>
      </c>
      <c r="J25" s="84">
        <f>IF(J9=0,0,J9/TrAvia_act!J17*1000)</f>
        <v>4628.571130736329</v>
      </c>
      <c r="K25" s="84">
        <f>IF(K9=0,0,K9/TrAvia_act!K17*1000)</f>
        <v>6055.34137479534</v>
      </c>
      <c r="L25" s="84">
        <f>IF(L9=0,0,L9/TrAvia_act!L17*1000)</f>
        <v>6769.7796009007789</v>
      </c>
      <c r="M25" s="84">
        <f>IF(M9=0,0,M9/TrAvia_act!M17*1000)</f>
        <v>6169.1939699932173</v>
      </c>
      <c r="N25" s="84">
        <f>IF(N9=0,0,N9/TrAvia_act!N17*1000)</f>
        <v>5285.2622322140369</v>
      </c>
      <c r="O25" s="84">
        <f>IF(O9=0,0,O9/TrAvia_act!O17*1000)</f>
        <v>6776.0861236159444</v>
      </c>
      <c r="P25" s="84">
        <f>IF(P9=0,0,P9/TrAvia_act!P17*1000)</f>
        <v>6576.9174623136387</v>
      </c>
      <c r="Q25" s="84">
        <f>IF(Q9=0,0,Q9/TrAvia_act!Q17*1000)</f>
        <v>6792.2160363333678</v>
      </c>
      <c r="R25" s="84">
        <f>IF(R9=0,0,R9/TrAvia_act!R17*1000)</f>
        <v>6107.4172326840817</v>
      </c>
      <c r="S25" s="84">
        <f>IF(S9=0,0,S9/TrAvia_act!S17*1000)</f>
        <v>5611.6960309687847</v>
      </c>
      <c r="T25" s="84">
        <f>IF(T9=0,0,T9/TrAvia_act!T17*1000)</f>
        <v>1796.6620942742625</v>
      </c>
      <c r="U25" s="84">
        <f>IF(U9=0,0,U9/TrAvia_act!U17*1000)</f>
        <v>1755.17596848785</v>
      </c>
      <c r="V25" s="84">
        <f>IF(V9=0,0,V9/TrAvia_act!V17*1000)</f>
        <v>2471.2865909345128</v>
      </c>
      <c r="W25" s="84">
        <f>IF(W9=0,0,W9/TrAvia_act!W17*1000)</f>
        <v>1887.4654245065838</v>
      </c>
      <c r="X25" s="84">
        <f>IF(X9=0,0,X9/TrAvia_act!X17*1000)</f>
        <v>1327.2536310996607</v>
      </c>
      <c r="Y25" s="84">
        <f>IF(Y9=0,0,Y9/TrAvia_act!Y17*1000)</f>
        <v>1166.7779042286006</v>
      </c>
      <c r="DA25" s="171" t="s">
        <v>339</v>
      </c>
    </row>
    <row r="26" spans="1:105" ht="11.45" customHeight="1" x14ac:dyDescent="0.25">
      <c r="A26" s="12" t="s">
        <v>34</v>
      </c>
      <c r="B26" s="13">
        <f>IF(B10=0,0,B10/TrAvia_act!B18*1000)</f>
        <v>17008.485316222206</v>
      </c>
      <c r="C26" s="13">
        <f>IF(C10=0,0,C10/TrAvia_act!C18*1000)</f>
        <v>16874.24329499351</v>
      </c>
      <c r="D26" s="13">
        <f>IF(D10=0,0,D10/TrAvia_act!D18*1000)</f>
        <v>16726.161239630332</v>
      </c>
      <c r="E26" s="13">
        <f>IF(E10=0,0,E10/TrAvia_act!E18*1000)</f>
        <v>16672.070801408285</v>
      </c>
      <c r="F26" s="13">
        <f>IF(F10=0,0,F10/TrAvia_act!F18*1000)</f>
        <v>16832.228875121735</v>
      </c>
      <c r="G26" s="13">
        <f>IF(G10=0,0,G10/TrAvia_act!G18*1000)</f>
        <v>12751.474858275513</v>
      </c>
      <c r="H26" s="13">
        <f>IF(H10=0,0,H10/TrAvia_act!H18*1000)</f>
        <v>12854.849542006019</v>
      </c>
      <c r="I26" s="13">
        <f>IF(I10=0,0,I10/TrAvia_act!I18*1000)</f>
        <v>11310.540250363647</v>
      </c>
      <c r="J26" s="13">
        <f>IF(J10=0,0,J10/TrAvia_act!J18*1000)</f>
        <v>8431.8772476931754</v>
      </c>
      <c r="K26" s="13">
        <f>IF(K10=0,0,K10/TrAvia_act!K18*1000)</f>
        <v>8502.7987936806185</v>
      </c>
      <c r="L26" s="13">
        <f>IF(L10=0,0,L10/TrAvia_act!L18*1000)</f>
        <v>8978.2346337491927</v>
      </c>
      <c r="M26" s="13">
        <f>IF(M10=0,0,M10/TrAvia_act!M18*1000)</f>
        <v>8124.709131096839</v>
      </c>
      <c r="N26" s="13">
        <f>IF(N10=0,0,N10/TrAvia_act!N18*1000)</f>
        <v>7151.0144168328416</v>
      </c>
      <c r="O26" s="13">
        <f>IF(O10=0,0,O10/TrAvia_act!O18*1000)</f>
        <v>8108.2711749935397</v>
      </c>
      <c r="P26" s="13">
        <f>IF(P10=0,0,P10/TrAvia_act!P18*1000)</f>
        <v>8936.4146056656136</v>
      </c>
      <c r="Q26" s="13">
        <f>IF(Q10=0,0,Q10/TrAvia_act!Q18*1000)</f>
        <v>8464.0254271308277</v>
      </c>
      <c r="R26" s="13">
        <f>IF(R10=0,0,R10/TrAvia_act!R18*1000)</f>
        <v>8708.7952279389701</v>
      </c>
      <c r="S26" s="13">
        <f>IF(S10=0,0,S10/TrAvia_act!S18*1000)</f>
        <v>9580.7019773925476</v>
      </c>
      <c r="T26" s="13">
        <f>IF(T10=0,0,T10/TrAvia_act!T18*1000)</f>
        <v>3741.7670408021481</v>
      </c>
      <c r="U26" s="13">
        <f>IF(U10=0,0,U10/TrAvia_act!U18*1000)</f>
        <v>4173.0958467733417</v>
      </c>
      <c r="V26" s="13">
        <f>IF(V10=0,0,V10/TrAvia_act!V18*1000)</f>
        <v>4026.1848552319561</v>
      </c>
      <c r="W26" s="13">
        <f>IF(W10=0,0,W10/TrAvia_act!W18*1000)</f>
        <v>4736.2640966344079</v>
      </c>
      <c r="X26" s="13">
        <f>IF(X10=0,0,X10/TrAvia_act!X18*1000)</f>
        <v>3790.6889561611665</v>
      </c>
      <c r="Y26" s="13">
        <f>IF(Y10=0,0,Y10/TrAvia_act!Y18*1000)</f>
        <v>3104.3764082931152</v>
      </c>
      <c r="DA26" s="193" t="s">
        <v>340</v>
      </c>
    </row>
    <row r="27" spans="1:105" ht="11.45" customHeight="1" x14ac:dyDescent="0.25">
      <c r="A27" s="92" t="s">
        <v>27</v>
      </c>
      <c r="B27" s="102">
        <f>IF(B11=0,0,B11/TrAvia_act!B19*1000)</f>
        <v>16227.476031960176</v>
      </c>
      <c r="C27" s="102">
        <f>IF(C11=0,0,C11/TrAvia_act!C19*1000)</f>
        <v>16072.466961988554</v>
      </c>
      <c r="D27" s="102">
        <f>IF(D11=0,0,D11/TrAvia_act!D19*1000)</f>
        <v>15945.074620213847</v>
      </c>
      <c r="E27" s="102">
        <f>IF(E11=0,0,E11/TrAvia_act!E19*1000)</f>
        <v>15944.761390627165</v>
      </c>
      <c r="F27" s="102">
        <f>IF(F11=0,0,F11/TrAvia_act!F19*1000)</f>
        <v>16980.868606988013</v>
      </c>
      <c r="G27" s="102">
        <f>IF(G11=0,0,G11/TrAvia_act!G19*1000)</f>
        <v>12962.780135752868</v>
      </c>
      <c r="H27" s="102">
        <f>IF(H11=0,0,H11/TrAvia_act!H19*1000)</f>
        <v>2378.9025569863097</v>
      </c>
      <c r="I27" s="102">
        <f>IF(I11=0,0,I11/TrAvia_act!I19*1000)</f>
        <v>90763.341953512718</v>
      </c>
      <c r="J27" s="102">
        <f>IF(J11=0,0,J11/TrAvia_act!J19*1000)</f>
        <v>82896.3731042781</v>
      </c>
      <c r="K27" s="102">
        <f>IF(K11=0,0,K11/TrAvia_act!K19*1000)</f>
        <v>87282.281352295206</v>
      </c>
      <c r="L27" s="102">
        <f>IF(L11=0,0,L11/TrAvia_act!L19*1000)</f>
        <v>108990.35325459389</v>
      </c>
      <c r="M27" s="102">
        <f>IF(M11=0,0,M11/TrAvia_act!M19*1000)</f>
        <v>67950.748773622021</v>
      </c>
      <c r="N27" s="102">
        <f>IF(N11=0,0,N11/TrAvia_act!N19*1000)</f>
        <v>31827.238847319593</v>
      </c>
      <c r="O27" s="102">
        <f>IF(O11=0,0,O11/TrAvia_act!O19*1000)</f>
        <v>38288.382113566535</v>
      </c>
      <c r="P27" s="102">
        <f>IF(P11=0,0,P11/TrAvia_act!P19*1000)</f>
        <v>21696.832657792169</v>
      </c>
      <c r="Q27" s="102">
        <f>IF(Q11=0,0,Q11/TrAvia_act!Q19*1000)</f>
        <v>28819.834890347953</v>
      </c>
      <c r="R27" s="102">
        <f>IF(R11=0,0,R11/TrAvia_act!R19*1000)</f>
        <v>17750.856832217312</v>
      </c>
      <c r="S27" s="102">
        <f>IF(S11=0,0,S11/TrAvia_act!S19*1000)</f>
        <v>25418.152649960597</v>
      </c>
      <c r="T27" s="102">
        <f>IF(T11=0,0,T11/TrAvia_act!T19*1000)</f>
        <v>27281.686592328453</v>
      </c>
      <c r="U27" s="102">
        <f>IF(U11=0,0,U11/TrAvia_act!U19*1000)</f>
        <v>33622.292961290972</v>
      </c>
      <c r="V27" s="102">
        <f>IF(V11=0,0,V11/TrAvia_act!V19*1000)</f>
        <v>53437.509536806261</v>
      </c>
      <c r="W27" s="102">
        <f>IF(W11=0,0,W11/TrAvia_act!W19*1000)</f>
        <v>58231.186664688204</v>
      </c>
      <c r="X27" s="102">
        <f>IF(X11=0,0,X11/TrAvia_act!X19*1000)</f>
        <v>58083.991035804975</v>
      </c>
      <c r="Y27" s="102">
        <f>IF(Y11=0,0,Y11/TrAvia_act!Y19*1000)</f>
        <v>31658.15697887745</v>
      </c>
      <c r="DA27" s="175" t="s">
        <v>341</v>
      </c>
    </row>
    <row r="28" spans="1:105" ht="11.45" customHeight="1" x14ac:dyDescent="0.25">
      <c r="A28" s="92" t="s">
        <v>181</v>
      </c>
      <c r="B28" s="102">
        <f>IF(B12=0,0,B12/TrAvia_act!B20*1000)</f>
        <v>17899.654251028769</v>
      </c>
      <c r="C28" s="102">
        <f>IF(C12=0,0,C12/TrAvia_act!C20*1000)</f>
        <v>17855.787658847388</v>
      </c>
      <c r="D28" s="102">
        <f>IF(D12=0,0,D12/TrAvia_act!D20*1000)</f>
        <v>17771.396971229482</v>
      </c>
      <c r="E28" s="102">
        <f>IF(E12=0,0,E12/TrAvia_act!E20*1000)</f>
        <v>17792.07605755451</v>
      </c>
      <c r="F28" s="102">
        <f>IF(F12=0,0,F12/TrAvia_act!F20*1000)</f>
        <v>17828.132313817034</v>
      </c>
      <c r="G28" s="102">
        <f>IF(G12=0,0,G12/TrAvia_act!G20*1000)</f>
        <v>13063.255484626014</v>
      </c>
      <c r="H28" s="102">
        <f>IF(H12=0,0,H12/TrAvia_act!H20*1000)</f>
        <v>13702.031543086268</v>
      </c>
      <c r="I28" s="102">
        <f>IF(I12=0,0,I12/TrAvia_act!I20*1000)</f>
        <v>8332.3639597216406</v>
      </c>
      <c r="J28" s="102">
        <f>IF(J12=0,0,J12/TrAvia_act!J20*1000)</f>
        <v>7433.1459384727032</v>
      </c>
      <c r="K28" s="102">
        <f>IF(K12=0,0,K12/TrAvia_act!K20*1000)</f>
        <v>7658.4123337513911</v>
      </c>
      <c r="L28" s="102">
        <f>IF(L12=0,0,L12/TrAvia_act!L20*1000)</f>
        <v>8222.950111197928</v>
      </c>
      <c r="M28" s="102">
        <f>IF(M12=0,0,M12/TrAvia_act!M20*1000)</f>
        <v>7703.9833188747962</v>
      </c>
      <c r="N28" s="102">
        <f>IF(N12=0,0,N12/TrAvia_act!N20*1000)</f>
        <v>6722.0421926632589</v>
      </c>
      <c r="O28" s="102">
        <f>IF(O12=0,0,O12/TrAvia_act!O20*1000)</f>
        <v>7972.0667652740858</v>
      </c>
      <c r="P28" s="102">
        <f>IF(P12=0,0,P12/TrAvia_act!P20*1000)</f>
        <v>9407.8719381037208</v>
      </c>
      <c r="Q28" s="102">
        <f>IF(Q12=0,0,Q12/TrAvia_act!Q20*1000)</f>
        <v>8892.8409141275843</v>
      </c>
      <c r="R28" s="102">
        <f>IF(R12=0,0,R12/TrAvia_act!R20*1000)</f>
        <v>9221.2100667231862</v>
      </c>
      <c r="S28" s="102">
        <f>IF(S12=0,0,S12/TrAvia_act!S20*1000)</f>
        <v>9985.4281181005845</v>
      </c>
      <c r="T28" s="102">
        <f>IF(T12=0,0,T12/TrAvia_act!T20*1000)</f>
        <v>3590.7781987732724</v>
      </c>
      <c r="U28" s="102">
        <f>IF(U12=0,0,U12/TrAvia_act!U20*1000)</f>
        <v>3774.8207529415768</v>
      </c>
      <c r="V28" s="102">
        <f>IF(V12=0,0,V12/TrAvia_act!V20*1000)</f>
        <v>2979.3726855384512</v>
      </c>
      <c r="W28" s="102">
        <f>IF(W12=0,0,W12/TrAvia_act!W20*1000)</f>
        <v>3460.0631171889918</v>
      </c>
      <c r="X28" s="102">
        <f>IF(X12=0,0,X12/TrAvia_act!X20*1000)</f>
        <v>2413.6991014691835</v>
      </c>
      <c r="Y28" s="102">
        <f>IF(Y12=0,0,Y12/TrAvia_act!Y20*1000)</f>
        <v>2231.5480167092733</v>
      </c>
      <c r="DA28" s="175" t="s">
        <v>342</v>
      </c>
    </row>
    <row r="29" spans="1:105" ht="11.45" customHeight="1" x14ac:dyDescent="0.25">
      <c r="A29" s="85" t="s">
        <v>182</v>
      </c>
      <c r="B29" s="86">
        <f>IF(B13=0,0,B13/TrAvia_act!B21*1000)</f>
        <v>13779.873865310341</v>
      </c>
      <c r="C29" s="86">
        <f>IF(C13=0,0,C13/TrAvia_act!C21*1000)</f>
        <v>13769.980373126842</v>
      </c>
      <c r="D29" s="86">
        <f>IF(D13=0,0,D13/TrAvia_act!D21*1000)</f>
        <v>13727.993608538183</v>
      </c>
      <c r="E29" s="86">
        <f>IF(E13=0,0,E13/TrAvia_act!E21*1000)</f>
        <v>13745.534059459984</v>
      </c>
      <c r="F29" s="86">
        <f>IF(F13=0,0,F13/TrAvia_act!F21*1000)</f>
        <v>13730.705689484521</v>
      </c>
      <c r="G29" s="86">
        <f>IF(G13=0,0,G13/TrAvia_act!G21*1000)</f>
        <v>10540.442035980202</v>
      </c>
      <c r="H29" s="86">
        <f>IF(H13=0,0,H13/TrAvia_act!H21*1000)</f>
        <v>10983.26889349303</v>
      </c>
      <c r="I29" s="86">
        <f>IF(I13=0,0,I13/TrAvia_act!I21*1000)</f>
        <v>6493.1990833129621</v>
      </c>
      <c r="J29" s="86">
        <f>IF(J13=0,0,J13/TrAvia_act!J21*1000)</f>
        <v>6355.7241523215071</v>
      </c>
      <c r="K29" s="86">
        <f>IF(K13=0,0,K13/TrAvia_act!K21*1000)</f>
        <v>8290.6806012905963</v>
      </c>
      <c r="L29" s="86">
        <f>IF(L13=0,0,L13/TrAvia_act!L21*1000)</f>
        <v>9470.6909184407177</v>
      </c>
      <c r="M29" s="86">
        <f>IF(M13=0,0,M13/TrAvia_act!M21*1000)</f>
        <v>8710.9516131270866</v>
      </c>
      <c r="N29" s="86">
        <f>IF(N13=0,0,N13/TrAvia_act!N21*1000)</f>
        <v>7993.6735956360235</v>
      </c>
      <c r="O29" s="86">
        <f>IF(O13=0,0,O13/TrAvia_act!O21*1000)</f>
        <v>8257.1422438763457</v>
      </c>
      <c r="P29" s="86">
        <f>IF(P13=0,0,P13/TrAvia_act!P21*1000)</f>
        <v>6594.7308048685336</v>
      </c>
      <c r="Q29" s="86">
        <f>IF(Q13=0,0,Q13/TrAvia_act!Q21*1000)</f>
        <v>5595.0432750438449</v>
      </c>
      <c r="R29" s="86">
        <f>IF(R13=0,0,R13/TrAvia_act!R21*1000)</f>
        <v>4513.281918990866</v>
      </c>
      <c r="S29" s="86">
        <f>IF(S13=0,0,S13/TrAvia_act!S21*1000)</f>
        <v>4329.656087005972</v>
      </c>
      <c r="T29" s="86">
        <f>IF(T13=0,0,T13/TrAvia_act!T21*1000)</f>
        <v>1988.6904422013413</v>
      </c>
      <c r="U29" s="86">
        <f>IF(U13=0,0,U13/TrAvia_act!U21*1000)</f>
        <v>1983.434255965542</v>
      </c>
      <c r="V29" s="86">
        <f>IF(V13=0,0,V13/TrAvia_act!V21*1000)</f>
        <v>2167.3902635293507</v>
      </c>
      <c r="W29" s="86">
        <f>IF(W13=0,0,W13/TrAvia_act!W21*1000)</f>
        <v>1955.8049232178935</v>
      </c>
      <c r="X29" s="86">
        <f>IF(X13=0,0,X13/TrAvia_act!X21*1000)</f>
        <v>1433.9954282090903</v>
      </c>
      <c r="Y29" s="86">
        <f>IF(Y13=0,0,Y13/TrAvia_act!Y21*1000)</f>
        <v>1254.924342579764</v>
      </c>
      <c r="DA29" s="178" t="s">
        <v>343</v>
      </c>
    </row>
    <row r="30" spans="1:105" x14ac:dyDescent="0.25">
      <c r="A30" s="50"/>
      <c r="B30" s="50"/>
      <c r="C30" s="5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DA30" s="181"/>
    </row>
    <row r="31" spans="1:105" ht="11.45" customHeight="1" x14ac:dyDescent="0.25">
      <c r="A31" s="53" t="s">
        <v>71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DA31" s="172"/>
    </row>
    <row r="32" spans="1:105" ht="11.45" customHeight="1" x14ac:dyDescent="0.25">
      <c r="A32" s="10" t="s">
        <v>160</v>
      </c>
      <c r="B32" s="14">
        <f>IF(B6=0,0,B6/TrAvia_act!B4*1000)</f>
        <v>168.52804605583825</v>
      </c>
      <c r="C32" s="14">
        <f>IF(C6=0,0,C6/TrAvia_act!C4*1000)</f>
        <v>163.82590152584282</v>
      </c>
      <c r="D32" s="14">
        <f>IF(D6=0,0,D6/TrAvia_act!D4*1000)</f>
        <v>161.57934639268626</v>
      </c>
      <c r="E32" s="14">
        <f>IF(E6=0,0,E6/TrAvia_act!E4*1000)</f>
        <v>161.70857345898085</v>
      </c>
      <c r="F32" s="14">
        <f>IF(F6=0,0,F6/TrAvia_act!F4*1000)</f>
        <v>168.81041984663764</v>
      </c>
      <c r="G32" s="14">
        <f>IF(G6=0,0,G6/TrAvia_act!G4*1000)</f>
        <v>116.87864863634088</v>
      </c>
      <c r="H32" s="14">
        <f>IF(H6=0,0,H6/TrAvia_act!H4*1000)</f>
        <v>117.33899369140424</v>
      </c>
      <c r="I32" s="14">
        <f>IF(I6=0,0,I6/TrAvia_act!I4*1000)</f>
        <v>123.32634828830626</v>
      </c>
      <c r="J32" s="14">
        <f>IF(J6=0,0,J6/TrAvia_act!J4*1000)</f>
        <v>112.36784414732438</v>
      </c>
      <c r="K32" s="14">
        <f>IF(K6=0,0,K6/TrAvia_act!K4*1000)</f>
        <v>121.7392080361068</v>
      </c>
      <c r="L32" s="14">
        <f>IF(L6=0,0,L6/TrAvia_act!L4*1000)</f>
        <v>129.41898200625033</v>
      </c>
      <c r="M32" s="14">
        <f>IF(M6=0,0,M6/TrAvia_act!M4*1000)</f>
        <v>96.387447336196388</v>
      </c>
      <c r="N32" s="14">
        <f>IF(N6=0,0,N6/TrAvia_act!N4*1000)</f>
        <v>74.184367314774832</v>
      </c>
      <c r="O32" s="14">
        <f>IF(O6=0,0,O6/TrAvia_act!O4*1000)</f>
        <v>84.20287484103774</v>
      </c>
      <c r="P32" s="14">
        <f>IF(P6=0,0,P6/TrAvia_act!P4*1000)</f>
        <v>82.953678130052765</v>
      </c>
      <c r="Q32" s="14">
        <f>IF(Q6=0,0,Q6/TrAvia_act!Q4*1000)</f>
        <v>85.50493111021143</v>
      </c>
      <c r="R32" s="14">
        <f>IF(R6=0,0,R6/TrAvia_act!R4*1000)</f>
        <v>82.588337748611877</v>
      </c>
      <c r="S32" s="14">
        <f>IF(S6=0,0,S6/TrAvia_act!S4*1000)</f>
        <v>84.436302483681246</v>
      </c>
      <c r="T32" s="14">
        <f>IF(T6=0,0,T6/TrAvia_act!T4*1000)</f>
        <v>37.807253419250408</v>
      </c>
      <c r="U32" s="14">
        <f>IF(U6=0,0,U6/TrAvia_act!U4*1000)</f>
        <v>38.699345124277215</v>
      </c>
      <c r="V32" s="14">
        <f>IF(V6=0,0,V6/TrAvia_act!V4*1000)</f>
        <v>47.57984285620384</v>
      </c>
      <c r="W32" s="14">
        <f>IF(W6=0,0,W6/TrAvia_act!W4*1000)</f>
        <v>46.406022248198106</v>
      </c>
      <c r="X32" s="14">
        <f>IF(X6=0,0,X6/TrAvia_act!X4*1000)</f>
        <v>31.540632345364131</v>
      </c>
      <c r="Y32" s="14">
        <f>IF(Y6=0,0,Y6/TrAvia_act!Y4*1000)</f>
        <v>22.376897680714414</v>
      </c>
      <c r="DA32" s="189" t="s">
        <v>344</v>
      </c>
    </row>
    <row r="33" spans="1:105" ht="11.45" customHeight="1" x14ac:dyDescent="0.25">
      <c r="A33" s="83" t="s">
        <v>27</v>
      </c>
      <c r="B33" s="87">
        <f>IF(B7=0,0,B7/TrAvia_act!B5*1000)</f>
        <v>381.20661934971685</v>
      </c>
      <c r="C33" s="87">
        <f>IF(C7=0,0,C7/TrAvia_act!C5*1000)</f>
        <v>376.42368848927862</v>
      </c>
      <c r="D33" s="87">
        <f>IF(D7=0,0,D7/TrAvia_act!D5*1000)</f>
        <v>370.89778634674127</v>
      </c>
      <c r="E33" s="87">
        <f>IF(E7=0,0,E7/TrAvia_act!E5*1000)</f>
        <v>368.15896366480973</v>
      </c>
      <c r="F33" s="87">
        <f>IF(F7=0,0,F7/TrAvia_act!F5*1000)</f>
        <v>388.96260441221506</v>
      </c>
      <c r="G33" s="87">
        <f>IF(G7=0,0,G7/TrAvia_act!G5*1000)</f>
        <v>294.16786693082724</v>
      </c>
      <c r="H33" s="87">
        <f>IF(H7=0,0,H7/TrAvia_act!H5*1000)</f>
        <v>49.188298100793652</v>
      </c>
      <c r="I33" s="87">
        <f>IF(I7=0,0,I7/TrAvia_act!I5*1000)</f>
        <v>1685.5635494482237</v>
      </c>
      <c r="J33" s="87">
        <f>IF(J7=0,0,J7/TrAvia_act!J5*1000)</f>
        <v>1305.398758255043</v>
      </c>
      <c r="K33" s="87">
        <f>IF(K7=0,0,K7/TrAvia_act!K5*1000)</f>
        <v>1465.3968159422466</v>
      </c>
      <c r="L33" s="87">
        <f>IF(L7=0,0,L7/TrAvia_act!L5*1000)</f>
        <v>1508.5790350633258</v>
      </c>
      <c r="M33" s="87">
        <f>IF(M7=0,0,M7/TrAvia_act!M5*1000)</f>
        <v>1069.0162713826278</v>
      </c>
      <c r="N33" s="87">
        <f>IF(N7=0,0,N7/TrAvia_act!N5*1000)</f>
        <v>585.67970902841603</v>
      </c>
      <c r="O33" s="87">
        <f>IF(O7=0,0,O7/TrAvia_act!O5*1000)</f>
        <v>701.32772276637252</v>
      </c>
      <c r="P33" s="87">
        <f>IF(P7=0,0,P7/TrAvia_act!P5*1000)</f>
        <v>411.51891296405859</v>
      </c>
      <c r="Q33" s="87">
        <f>IF(Q7=0,0,Q7/TrAvia_act!Q5*1000)</f>
        <v>530.59936672620449</v>
      </c>
      <c r="R33" s="87">
        <f>IF(R7=0,0,R7/TrAvia_act!R5*1000)</f>
        <v>259.72568355279327</v>
      </c>
      <c r="S33" s="87">
        <f>IF(S7=0,0,S7/TrAvia_act!S5*1000)</f>
        <v>297.60245464884804</v>
      </c>
      <c r="T33" s="87">
        <f>IF(T7=0,0,T7/TrAvia_act!T5*1000)</f>
        <v>329.45359592519765</v>
      </c>
      <c r="U33" s="87">
        <f>IF(U7=0,0,U7/TrAvia_act!U5*1000)</f>
        <v>396.76759232314964</v>
      </c>
      <c r="V33" s="87">
        <f>IF(V7=0,0,V7/TrAvia_act!V5*1000)</f>
        <v>732.73900344400715</v>
      </c>
      <c r="W33" s="87">
        <f>IF(W7=0,0,W7/TrAvia_act!W5*1000)</f>
        <v>594.12628378383795</v>
      </c>
      <c r="X33" s="87">
        <f>IF(X7=0,0,X7/TrAvia_act!X5*1000)</f>
        <v>596.20207687107268</v>
      </c>
      <c r="Y33" s="87">
        <f>IF(Y7=0,0,Y7/TrAvia_act!Y5*1000)</f>
        <v>361.15057896040605</v>
      </c>
      <c r="DA33" s="171" t="s">
        <v>345</v>
      </c>
    </row>
    <row r="34" spans="1:105" ht="11.45" customHeight="1" x14ac:dyDescent="0.25">
      <c r="A34" s="83" t="s">
        <v>181</v>
      </c>
      <c r="B34" s="87">
        <f>IF(B8=0,0,B8/TrAvia_act!B6*1000)</f>
        <v>163.43389799827776</v>
      </c>
      <c r="C34" s="87">
        <f>IF(C8=0,0,C8/TrAvia_act!C6*1000)</f>
        <v>160.54961049316202</v>
      </c>
      <c r="D34" s="87">
        <f>IF(D8=0,0,D8/TrAvia_act!D6*1000)</f>
        <v>158.79277466651121</v>
      </c>
      <c r="E34" s="87">
        <f>IF(E8=0,0,E8/TrAvia_act!E6*1000)</f>
        <v>159.4484393479257</v>
      </c>
      <c r="F34" s="87">
        <f>IF(F8=0,0,F8/TrAvia_act!F6*1000)</f>
        <v>160.24744512609195</v>
      </c>
      <c r="G34" s="87">
        <f>IF(G8=0,0,G8/TrAvia_act!G6*1000)</f>
        <v>108.66207856083646</v>
      </c>
      <c r="H34" s="87">
        <f>IF(H8=0,0,H8/TrAvia_act!H6*1000)</f>
        <v>118.79513579673434</v>
      </c>
      <c r="I34" s="87">
        <f>IF(I8=0,0,I8/TrAvia_act!I6*1000)</f>
        <v>77.673700553044071</v>
      </c>
      <c r="J34" s="87">
        <f>IF(J8=0,0,J8/TrAvia_act!J6*1000)</f>
        <v>73.906966342847397</v>
      </c>
      <c r="K34" s="87">
        <f>IF(K8=0,0,K8/TrAvia_act!K6*1000)</f>
        <v>79.067022234710961</v>
      </c>
      <c r="L34" s="87">
        <f>IF(L8=0,0,L8/TrAvia_act!L6*1000)</f>
        <v>79.711981350848902</v>
      </c>
      <c r="M34" s="87">
        <f>IF(M8=0,0,M8/TrAvia_act!M6*1000)</f>
        <v>61.610997355594847</v>
      </c>
      <c r="N34" s="87">
        <f>IF(N8=0,0,N8/TrAvia_act!N6*1000)</f>
        <v>57.43996428185293</v>
      </c>
      <c r="O34" s="87">
        <f>IF(O8=0,0,O8/TrAvia_act!O6*1000)</f>
        <v>66.83131942874347</v>
      </c>
      <c r="P34" s="87">
        <f>IF(P8=0,0,P8/TrAvia_act!P6*1000)</f>
        <v>78.264550413510591</v>
      </c>
      <c r="Q34" s="87">
        <f>IF(Q8=0,0,Q8/TrAvia_act!Q6*1000)</f>
        <v>79.671615346965766</v>
      </c>
      <c r="R34" s="87">
        <f>IF(R8=0,0,R8/TrAvia_act!R6*1000)</f>
        <v>81.276590046059908</v>
      </c>
      <c r="S34" s="87">
        <f>IF(S8=0,0,S8/TrAvia_act!S6*1000)</f>
        <v>80.600966868863409</v>
      </c>
      <c r="T34" s="87">
        <f>IF(T8=0,0,T8/TrAvia_act!T6*1000)</f>
        <v>30.301856245581178</v>
      </c>
      <c r="U34" s="87">
        <f>IF(U8=0,0,U8/TrAvia_act!U6*1000)</f>
        <v>31.039304397284567</v>
      </c>
      <c r="V34" s="87">
        <f>IF(V8=0,0,V8/TrAvia_act!V6*1000)</f>
        <v>27.216012250085338</v>
      </c>
      <c r="W34" s="87">
        <f>IF(W8=0,0,W8/TrAvia_act!W6*1000)</f>
        <v>32.994659877151875</v>
      </c>
      <c r="X34" s="87">
        <f>IF(X8=0,0,X8/TrAvia_act!X6*1000)</f>
        <v>19.919174352465099</v>
      </c>
      <c r="Y34" s="87">
        <f>IF(Y8=0,0,Y8/TrAvia_act!Y6*1000)</f>
        <v>17.902862846506434</v>
      </c>
      <c r="DA34" s="171" t="s">
        <v>346</v>
      </c>
    </row>
    <row r="35" spans="1:105" ht="11.45" customHeight="1" x14ac:dyDescent="0.25">
      <c r="A35" s="83" t="s">
        <v>182</v>
      </c>
      <c r="B35" s="87">
        <f>IF(B9=0,0,B9/TrAvia_act!B7*1000)</f>
        <v>168.4638404268139</v>
      </c>
      <c r="C35" s="87">
        <f>IF(C9=0,0,C9/TrAvia_act!C7*1000)</f>
        <v>166.66331388318289</v>
      </c>
      <c r="D35" s="87">
        <f>IF(D9=0,0,D9/TrAvia_act!D7*1000)</f>
        <v>165.44859539542205</v>
      </c>
      <c r="E35" s="87">
        <f>IF(E9=0,0,E9/TrAvia_act!E7*1000)</f>
        <v>164.69458006127465</v>
      </c>
      <c r="F35" s="87">
        <f>IF(F9=0,0,F9/TrAvia_act!F7*1000)</f>
        <v>162.46690961103025</v>
      </c>
      <c r="G35" s="87">
        <f>IF(G9=0,0,G9/TrAvia_act!G7*1000)</f>
        <v>125.47171419819567</v>
      </c>
      <c r="H35" s="87">
        <f>IF(H9=0,0,H9/TrAvia_act!H7*1000)</f>
        <v>124.57825731641407</v>
      </c>
      <c r="I35" s="87">
        <f>IF(I9=0,0,I9/TrAvia_act!I7*1000)</f>
        <v>65.450889799575165</v>
      </c>
      <c r="J35" s="87">
        <f>IF(J9=0,0,J9/TrAvia_act!J7*1000)</f>
        <v>62.99876596709715</v>
      </c>
      <c r="K35" s="87">
        <f>IF(K9=0,0,K9/TrAvia_act!K7*1000)</f>
        <v>83.007721752987109</v>
      </c>
      <c r="L35" s="87">
        <f>IF(L9=0,0,L9/TrAvia_act!L7*1000)</f>
        <v>82.420181476109917</v>
      </c>
      <c r="M35" s="87">
        <f>IF(M9=0,0,M9/TrAvia_act!M7*1000)</f>
        <v>82.325692856360874</v>
      </c>
      <c r="N35" s="87">
        <f>IF(N9=0,0,N9/TrAvia_act!N7*1000)</f>
        <v>66.937860788564578</v>
      </c>
      <c r="O35" s="87">
        <f>IF(O9=0,0,O9/TrAvia_act!O7*1000)</f>
        <v>73.487180928302095</v>
      </c>
      <c r="P35" s="87">
        <f>IF(P9=0,0,P9/TrAvia_act!P7*1000)</f>
        <v>61.043658814193094</v>
      </c>
      <c r="Q35" s="87">
        <f>IF(Q9=0,0,Q9/TrAvia_act!Q7*1000)</f>
        <v>58.352242533867347</v>
      </c>
      <c r="R35" s="87">
        <f>IF(R9=0,0,R9/TrAvia_act!R7*1000)</f>
        <v>53.238394827164932</v>
      </c>
      <c r="S35" s="87">
        <f>IF(S9=0,0,S9/TrAvia_act!S7*1000)</f>
        <v>48.585830718644999</v>
      </c>
      <c r="T35" s="87">
        <f>IF(T9=0,0,T9/TrAvia_act!T7*1000)</f>
        <v>14.731610624701867</v>
      </c>
      <c r="U35" s="87">
        <f>IF(U9=0,0,U9/TrAvia_act!U7*1000)</f>
        <v>13.346145965021059</v>
      </c>
      <c r="V35" s="87">
        <f>IF(V9=0,0,V9/TrAvia_act!V7*1000)</f>
        <v>24.854448368036302</v>
      </c>
      <c r="W35" s="87">
        <f>IF(W9=0,0,W9/TrAvia_act!W7*1000)</f>
        <v>18.060705111944777</v>
      </c>
      <c r="X35" s="87">
        <f>IF(X9=0,0,X9/TrAvia_act!X7*1000)</f>
        <v>9.249960499647468</v>
      </c>
      <c r="Y35" s="87">
        <f>IF(Y9=0,0,Y9/TrAvia_act!Y7*1000)</f>
        <v>7.5709501192163984</v>
      </c>
      <c r="DA35" s="171" t="s">
        <v>347</v>
      </c>
    </row>
    <row r="36" spans="1:105" ht="11.45" customHeight="1" x14ac:dyDescent="0.25">
      <c r="A36" s="12" t="s">
        <v>159</v>
      </c>
      <c r="B36" s="15">
        <f>IF(B10=0,0,B10/TrAvia_act!B8*1000)</f>
        <v>520.83541326989587</v>
      </c>
      <c r="C36" s="15">
        <f>IF(C10=0,0,C10/TrAvia_act!C8*1000)</f>
        <v>472.64148758852866</v>
      </c>
      <c r="D36" s="15">
        <f>IF(D10=0,0,D10/TrAvia_act!D8*1000)</f>
        <v>481.96419001348511</v>
      </c>
      <c r="E36" s="15">
        <f>IF(E10=0,0,E10/TrAvia_act!E8*1000)</f>
        <v>487.76798385804125</v>
      </c>
      <c r="F36" s="15">
        <f>IF(F10=0,0,F10/TrAvia_act!F8*1000)</f>
        <v>543.25245652086414</v>
      </c>
      <c r="G36" s="15">
        <f>IF(G10=0,0,G10/TrAvia_act!G8*1000)</f>
        <v>498.73188156553681</v>
      </c>
      <c r="H36" s="15">
        <f>IF(H10=0,0,H10/TrAvia_act!H8*1000)</f>
        <v>549.33417298371728</v>
      </c>
      <c r="I36" s="15">
        <f>IF(I10=0,0,I10/TrAvia_act!I8*1000)</f>
        <v>443.38980507952061</v>
      </c>
      <c r="J36" s="15">
        <f>IF(J10=0,0,J10/TrAvia_act!J8*1000)</f>
        <v>333.53618252853522</v>
      </c>
      <c r="K36" s="15">
        <f>IF(K10=0,0,K10/TrAvia_act!K8*1000)</f>
        <v>363.29420318543862</v>
      </c>
      <c r="L36" s="15">
        <f>IF(L10=0,0,L10/TrAvia_act!L8*1000)</f>
        <v>380.59805009811038</v>
      </c>
      <c r="M36" s="15">
        <f>IF(M10=0,0,M10/TrAvia_act!M8*1000)</f>
        <v>293.29877548612455</v>
      </c>
      <c r="N36" s="15">
        <f>IF(N10=0,0,N10/TrAvia_act!N8*1000)</f>
        <v>195.33341861353742</v>
      </c>
      <c r="O36" s="15">
        <f>IF(O10=0,0,O10/TrAvia_act!O8*1000)</f>
        <v>218.89528096294373</v>
      </c>
      <c r="P36" s="15">
        <f>IF(P10=0,0,P10/TrAvia_act!P8*1000)</f>
        <v>250.62972257446225</v>
      </c>
      <c r="Q36" s="15">
        <f>IF(Q10=0,0,Q10/TrAvia_act!Q8*1000)</f>
        <v>258.62647566082182</v>
      </c>
      <c r="R36" s="15">
        <f>IF(R10=0,0,R10/TrAvia_act!R8*1000)</f>
        <v>254.45019238418675</v>
      </c>
      <c r="S36" s="15">
        <f>IF(S10=0,0,S10/TrAvia_act!S8*1000)</f>
        <v>316.39725475172753</v>
      </c>
      <c r="T36" s="15">
        <f>IF(T10=0,0,T10/TrAvia_act!T8*1000)</f>
        <v>133.60873287582922</v>
      </c>
      <c r="U36" s="15">
        <f>IF(U10=0,0,U10/TrAvia_act!U8*1000)</f>
        <v>124.62397546677595</v>
      </c>
      <c r="V36" s="15">
        <f>IF(V10=0,0,V10/TrAvia_act!V8*1000)</f>
        <v>153.49655050064428</v>
      </c>
      <c r="W36" s="15">
        <f>IF(W10=0,0,W10/TrAvia_act!W8*1000)</f>
        <v>181.58136926574079</v>
      </c>
      <c r="X36" s="15">
        <f>IF(X10=0,0,X10/TrAvia_act!X8*1000)</f>
        <v>142.97590977850726</v>
      </c>
      <c r="Y36" s="15">
        <f>IF(Y10=0,0,Y10/TrAvia_act!Y8*1000)</f>
        <v>117.80687479591592</v>
      </c>
      <c r="DA36" s="193" t="s">
        <v>348</v>
      </c>
    </row>
    <row r="37" spans="1:105" ht="11.45" customHeight="1" x14ac:dyDescent="0.25">
      <c r="A37" s="92" t="s">
        <v>27</v>
      </c>
      <c r="B37" s="101">
        <f>IF(B11=0,0,B11/TrAvia_act!B9*1000)</f>
        <v>1596.197483285426</v>
      </c>
      <c r="C37" s="101">
        <f>IF(C11=0,0,C11/TrAvia_act!C9*1000)</f>
        <v>1593.0995759002894</v>
      </c>
      <c r="D37" s="101">
        <f>IF(D11=0,0,D11/TrAvia_act!D9*1000)</f>
        <v>1536.934172474753</v>
      </c>
      <c r="E37" s="101">
        <f>IF(E11=0,0,E11/TrAvia_act!E9*1000)</f>
        <v>1444.8755027571178</v>
      </c>
      <c r="F37" s="101">
        <f>IF(F11=0,0,F11/TrAvia_act!F9*1000)</f>
        <v>1634.110045895289</v>
      </c>
      <c r="G37" s="101">
        <f>IF(G11=0,0,G11/TrAvia_act!G9*1000)</f>
        <v>1274.6748468730725</v>
      </c>
      <c r="H37" s="101">
        <f>IF(H11=0,0,H11/TrAvia_act!H9*1000)</f>
        <v>243.19343587693422</v>
      </c>
      <c r="I37" s="101">
        <f>IF(I11=0,0,I11/TrAvia_act!I9*1000)</f>
        <v>9313.248635295995</v>
      </c>
      <c r="J37" s="101">
        <f>IF(J11=0,0,J11/TrAvia_act!J9*1000)</f>
        <v>8841.1621530762623</v>
      </c>
      <c r="K37" s="101">
        <f>IF(K11=0,0,K11/TrAvia_act!K9*1000)</f>
        <v>9229.2174768528566</v>
      </c>
      <c r="L37" s="101">
        <f>IF(L11=0,0,L11/TrAvia_act!L9*1000)</f>
        <v>10775.099890556348</v>
      </c>
      <c r="M37" s="101">
        <f>IF(M11=0,0,M11/TrAvia_act!M9*1000)</f>
        <v>6191.6762426089581</v>
      </c>
      <c r="N37" s="101">
        <f>IF(N11=0,0,N11/TrAvia_act!N9*1000)</f>
        <v>2886.0283754036327</v>
      </c>
      <c r="O37" s="101">
        <f>IF(O11=0,0,O11/TrAvia_act!O9*1000)</f>
        <v>3390.2987517156371</v>
      </c>
      <c r="P37" s="101">
        <f>IF(P11=0,0,P11/TrAvia_act!P9*1000)</f>
        <v>1715.270735551183</v>
      </c>
      <c r="Q37" s="101">
        <f>IF(Q11=0,0,Q11/TrAvia_act!Q9*1000)</f>
        <v>2206.1615645771021</v>
      </c>
      <c r="R37" s="101">
        <f>IF(R11=0,0,R11/TrAvia_act!R9*1000)</f>
        <v>1176.919740058984</v>
      </c>
      <c r="S37" s="101">
        <f>IF(S11=0,0,S11/TrAvia_act!S9*1000)</f>
        <v>1831.1413008727316</v>
      </c>
      <c r="T37" s="101">
        <f>IF(T11=0,0,T11/TrAvia_act!T9*1000)</f>
        <v>1922.4320097375764</v>
      </c>
      <c r="U37" s="101">
        <f>IF(U11=0,0,U11/TrAvia_act!U9*1000)</f>
        <v>2137.2104464019412</v>
      </c>
      <c r="V37" s="101">
        <f>IF(V11=0,0,V11/TrAvia_act!V9*1000)</f>
        <v>3734.6718328944189</v>
      </c>
      <c r="W37" s="101">
        <f>IF(W11=0,0,W11/TrAvia_act!W9*1000)</f>
        <v>3938.5391972252296</v>
      </c>
      <c r="X37" s="101">
        <f>IF(X11=0,0,X11/TrAvia_act!X9*1000)</f>
        <v>3899.502333218582</v>
      </c>
      <c r="Y37" s="101">
        <f>IF(Y11=0,0,Y11/TrAvia_act!Y9*1000)</f>
        <v>2150.050858643322</v>
      </c>
      <c r="DA37" s="175" t="s">
        <v>349</v>
      </c>
    </row>
    <row r="38" spans="1:105" ht="11.45" customHeight="1" x14ac:dyDescent="0.25">
      <c r="A38" s="92" t="s">
        <v>181</v>
      </c>
      <c r="B38" s="101">
        <f>IF(B12=0,0,B12/TrAvia_act!B10*1000)</f>
        <v>794.1226385266649</v>
      </c>
      <c r="C38" s="101">
        <f>IF(C12=0,0,C12/TrAvia_act!C10*1000)</f>
        <v>745.86544932807146</v>
      </c>
      <c r="D38" s="101">
        <f>IF(D12=0,0,D12/TrAvia_act!D10*1000)</f>
        <v>787.94519357766364</v>
      </c>
      <c r="E38" s="101">
        <f>IF(E12=0,0,E12/TrAvia_act!E10*1000)</f>
        <v>775.84828813453646</v>
      </c>
      <c r="F38" s="101">
        <f>IF(F12=0,0,F12/TrAvia_act!F10*1000)</f>
        <v>858.30100582990156</v>
      </c>
      <c r="G38" s="101">
        <f>IF(G12=0,0,G12/TrAvia_act!G10*1000)</f>
        <v>628.89063466168705</v>
      </c>
      <c r="H38" s="101">
        <f>IF(H12=0,0,H12/TrAvia_act!H10*1000)</f>
        <v>724.25775292349351</v>
      </c>
      <c r="I38" s="101">
        <f>IF(I12=0,0,I12/TrAvia_act!I10*1000)</f>
        <v>455.50007490558403</v>
      </c>
      <c r="J38" s="101">
        <f>IF(J12=0,0,J12/TrAvia_act!J10*1000)</f>
        <v>411.04440545681854</v>
      </c>
      <c r="K38" s="101">
        <f>IF(K12=0,0,K12/TrAvia_act!K10*1000)</f>
        <v>415.78606202455421</v>
      </c>
      <c r="L38" s="101">
        <f>IF(L12=0,0,L12/TrAvia_act!L10*1000)</f>
        <v>443.77199733026873</v>
      </c>
      <c r="M38" s="101">
        <f>IF(M12=0,0,M12/TrAvia_act!M10*1000)</f>
        <v>400.24179700600405</v>
      </c>
      <c r="N38" s="101">
        <f>IF(N12=0,0,N12/TrAvia_act!N10*1000)</f>
        <v>316.41044876895387</v>
      </c>
      <c r="O38" s="101">
        <f>IF(O12=0,0,O12/TrAvia_act!O10*1000)</f>
        <v>378.47612956157371</v>
      </c>
      <c r="P38" s="101">
        <f>IF(P12=0,0,P12/TrAvia_act!P10*1000)</f>
        <v>392.19340272350962</v>
      </c>
      <c r="Q38" s="101">
        <f>IF(Q12=0,0,Q12/TrAvia_act!Q10*1000)</f>
        <v>369.81039411178961</v>
      </c>
      <c r="R38" s="101">
        <f>IF(R12=0,0,R12/TrAvia_act!R10*1000)</f>
        <v>351.87447542382421</v>
      </c>
      <c r="S38" s="101">
        <f>IF(S12=0,0,S12/TrAvia_act!S10*1000)</f>
        <v>416.08960526229203</v>
      </c>
      <c r="T38" s="101">
        <f>IF(T12=0,0,T12/TrAvia_act!T10*1000)</f>
        <v>145.78671520275677</v>
      </c>
      <c r="U38" s="101">
        <f>IF(U12=0,0,U12/TrAvia_act!U10*1000)</f>
        <v>147.00708235742849</v>
      </c>
      <c r="V38" s="101">
        <f>IF(V12=0,0,V12/TrAvia_act!V10*1000)</f>
        <v>136.32098353226021</v>
      </c>
      <c r="W38" s="101">
        <f>IF(W12=0,0,W12/TrAvia_act!W10*1000)</f>
        <v>160.13322153090252</v>
      </c>
      <c r="X38" s="101">
        <f>IF(X12=0,0,X12/TrAvia_act!X10*1000)</f>
        <v>112.92453734907697</v>
      </c>
      <c r="Y38" s="101">
        <f>IF(Y12=0,0,Y12/TrAvia_act!Y10*1000)</f>
        <v>104.00727863633732</v>
      </c>
      <c r="DA38" s="175" t="s">
        <v>350</v>
      </c>
    </row>
    <row r="39" spans="1:105" ht="11.45" customHeight="1" x14ac:dyDescent="0.25">
      <c r="A39" s="85" t="s">
        <v>182</v>
      </c>
      <c r="B39" s="88">
        <f>IF(B13=0,0,B13/TrAvia_act!B11*1000)</f>
        <v>183.18270289795217</v>
      </c>
      <c r="C39" s="88">
        <f>IF(C13=0,0,C13/TrAvia_act!C11*1000)</f>
        <v>174.68039905637218</v>
      </c>
      <c r="D39" s="88">
        <f>IF(D13=0,0,D13/TrAvia_act!D11*1000)</f>
        <v>184.44364294421706</v>
      </c>
      <c r="E39" s="88">
        <f>IF(E13=0,0,E13/TrAvia_act!E11*1000)</f>
        <v>203.25094578551176</v>
      </c>
      <c r="F39" s="88">
        <f>IF(F13=0,0,F13/TrAvia_act!F11*1000)</f>
        <v>209.18643318622372</v>
      </c>
      <c r="G39" s="88">
        <f>IF(G13=0,0,G13/TrAvia_act!G11*1000)</f>
        <v>170.75593616270712</v>
      </c>
      <c r="H39" s="88">
        <f>IF(H13=0,0,H13/TrAvia_act!H11*1000)</f>
        <v>184.05727312468716</v>
      </c>
      <c r="I39" s="88">
        <f>IF(I13=0,0,I13/TrAvia_act!I11*1000)</f>
        <v>110.65883849347165</v>
      </c>
      <c r="J39" s="88">
        <f>IF(J13=0,0,J13/TrAvia_act!J11*1000)</f>
        <v>110.54318728244657</v>
      </c>
      <c r="K39" s="88">
        <f>IF(K13=0,0,K13/TrAvia_act!K11*1000)</f>
        <v>127.85699725764104</v>
      </c>
      <c r="L39" s="88">
        <f>IF(L13=0,0,L13/TrAvia_act!L11*1000)</f>
        <v>143.67193071786582</v>
      </c>
      <c r="M39" s="88">
        <f>IF(M13=0,0,M13/TrAvia_act!M11*1000)</f>
        <v>127.07973947528009</v>
      </c>
      <c r="N39" s="88">
        <f>IF(N13=0,0,N13/TrAvia_act!N11*1000)</f>
        <v>105.11887241087136</v>
      </c>
      <c r="O39" s="88">
        <f>IF(O13=0,0,O13/TrAvia_act!O11*1000)</f>
        <v>105.55246592002007</v>
      </c>
      <c r="P39" s="88">
        <f>IF(P13=0,0,P13/TrAvia_act!P11*1000)</f>
        <v>72.185466218331271</v>
      </c>
      <c r="Q39" s="88">
        <f>IF(Q13=0,0,Q13/TrAvia_act!Q11*1000)</f>
        <v>63.333261968016963</v>
      </c>
      <c r="R39" s="88">
        <f>IF(R13=0,0,R13/TrAvia_act!R11*1000)</f>
        <v>46.039841288127839</v>
      </c>
      <c r="S39" s="88">
        <f>IF(S13=0,0,S13/TrAvia_act!S11*1000)</f>
        <v>44.39491924251714</v>
      </c>
      <c r="T39" s="88">
        <f>IF(T13=0,0,T13/TrAvia_act!T11*1000)</f>
        <v>20.593072651115726</v>
      </c>
      <c r="U39" s="88">
        <f>IF(U13=0,0,U13/TrAvia_act!U11*1000)</f>
        <v>19.23172842935098</v>
      </c>
      <c r="V39" s="88">
        <f>IF(V13=0,0,V13/TrAvia_act!V11*1000)</f>
        <v>35.934520885133502</v>
      </c>
      <c r="W39" s="88">
        <f>IF(W13=0,0,W13/TrAvia_act!W11*1000)</f>
        <v>31.798875196001706</v>
      </c>
      <c r="X39" s="88">
        <f>IF(X13=0,0,X13/TrAvia_act!X11*1000)</f>
        <v>19.540745211887824</v>
      </c>
      <c r="Y39" s="88">
        <f>IF(Y13=0,0,Y13/TrAvia_act!Y11*1000)</f>
        <v>15.484856998169921</v>
      </c>
      <c r="DA39" s="178" t="s">
        <v>351</v>
      </c>
    </row>
    <row r="40" spans="1:105" x14ac:dyDescent="0.25">
      <c r="A40" s="50"/>
      <c r="B40" s="50"/>
      <c r="C40" s="50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DA40" s="181"/>
    </row>
    <row r="41" spans="1:105" ht="11.45" customHeight="1" x14ac:dyDescent="0.25">
      <c r="A41" s="53" t="s">
        <v>72</v>
      </c>
      <c r="B41" s="54">
        <f>IF(B3=0,0,B3/TrAvia_act!B23*1000000)</f>
        <v>15675.493382437566</v>
      </c>
      <c r="C41" s="54">
        <f>IF(C3=0,0,C3/TrAvia_act!C23*1000000)</f>
        <v>16354.874811600826</v>
      </c>
      <c r="D41" s="54">
        <f>IF(D3=0,0,D3/TrAvia_act!D23*1000000)</f>
        <v>16517.71074918567</v>
      </c>
      <c r="E41" s="54">
        <f>IF(E3=0,0,E3/TrAvia_act!E23*1000000)</f>
        <v>16697.185831062678</v>
      </c>
      <c r="F41" s="54">
        <f>IF(F3=0,0,F3/TrAvia_act!F23*1000000)</f>
        <v>14651.161843447222</v>
      </c>
      <c r="G41" s="54">
        <f>IF(G3=0,0,G3/TrAvia_act!G23*1000000)</f>
        <v>10422.074143289608</v>
      </c>
      <c r="H41" s="54">
        <f>IF(H3=0,0,H3/TrAvia_act!H23*1000000)</f>
        <v>10367.470529247914</v>
      </c>
      <c r="I41" s="54">
        <f>IF(I3=0,0,I3/TrAvia_act!I23*1000000)</f>
        <v>11394.656421445017</v>
      </c>
      <c r="J41" s="54">
        <f>IF(J3=0,0,J3/TrAvia_act!J23*1000000)</f>
        <v>10707.184513169186</v>
      </c>
      <c r="K41" s="54">
        <f>IF(K3=0,0,K3/TrAvia_act!K23*1000000)</f>
        <v>11360.761238010806</v>
      </c>
      <c r="L41" s="54">
        <f>IF(L3=0,0,L3/TrAvia_act!L23*1000000)</f>
        <v>12877.882129228305</v>
      </c>
      <c r="M41" s="54">
        <f>IF(M3=0,0,M3/TrAvia_act!M23*1000000)</f>
        <v>10419.161616112222</v>
      </c>
      <c r="N41" s="54">
        <f>IF(N3=0,0,N3/TrAvia_act!N23*1000000)</f>
        <v>8673.8726674968857</v>
      </c>
      <c r="O41" s="54">
        <f>IF(O3=0,0,O3/TrAvia_act!O23*1000000)</f>
        <v>10894.568128301888</v>
      </c>
      <c r="P41" s="54">
        <f>IF(P3=0,0,P3/TrAvia_act!P23*1000000)</f>
        <v>11702.778793744843</v>
      </c>
      <c r="Q41" s="54">
        <f>IF(Q3=0,0,Q3/TrAvia_act!Q23*1000000)</f>
        <v>12831.654027740773</v>
      </c>
      <c r="R41" s="54">
        <f>IF(R3=0,0,R3/TrAvia_act!R23*1000000)</f>
        <v>12914.596075801044</v>
      </c>
      <c r="S41" s="54">
        <f>IF(S3=0,0,S3/TrAvia_act!S23*1000000)</f>
        <v>13907.836638522429</v>
      </c>
      <c r="T41" s="54">
        <f>IF(T3=0,0,T3/TrAvia_act!T23*1000000)</f>
        <v>6556.1558093001213</v>
      </c>
      <c r="U41" s="54">
        <f>IF(U3=0,0,U3/TrAvia_act!U23*1000000)</f>
        <v>7194.5192277227707</v>
      </c>
      <c r="V41" s="54">
        <f>IF(V3=0,0,V3/TrAvia_act!V23*1000000)</f>
        <v>7127.393093263534</v>
      </c>
      <c r="W41" s="54">
        <f>IF(W3=0,0,W3/TrAvia_act!W23*1000000)</f>
        <v>7262.6766142793003</v>
      </c>
      <c r="X41" s="54">
        <f>IF(X3=0,0,X3/TrAvia_act!X23*1000000)</f>
        <v>6391.5340765727351</v>
      </c>
      <c r="Y41" s="54">
        <f>IF(Y3=0,0,Y3/TrAvia_act!Y23*1000000)</f>
        <v>4790.5540002368834</v>
      </c>
      <c r="DA41" s="172" t="s">
        <v>352</v>
      </c>
    </row>
    <row r="42" spans="1:105" ht="11.45" customHeight="1" x14ac:dyDescent="0.25">
      <c r="A42" s="10" t="s">
        <v>33</v>
      </c>
      <c r="B42" s="11">
        <f>IF(B6=0,0,B6/TrAvia_act!B24*1000000)</f>
        <v>15707.238330464421</v>
      </c>
      <c r="C42" s="11">
        <f>IF(C6=0,0,C6/TrAvia_act!C24*1000000)</f>
        <v>16397.19649746404</v>
      </c>
      <c r="D42" s="11">
        <f>IF(D6=0,0,D6/TrAvia_act!D24*1000000)</f>
        <v>16565.689786536514</v>
      </c>
      <c r="E42" s="11">
        <f>IF(E6=0,0,E6/TrAvia_act!E24*1000000)</f>
        <v>16735.918517244121</v>
      </c>
      <c r="F42" s="11">
        <f>IF(F6=0,0,F6/TrAvia_act!F24*1000000)</f>
        <v>14658.653831632262</v>
      </c>
      <c r="G42" s="11">
        <f>IF(G6=0,0,G6/TrAvia_act!G24*1000000)</f>
        <v>10426.252020827966</v>
      </c>
      <c r="H42" s="11">
        <f>IF(H6=0,0,H6/TrAvia_act!H24*1000000)</f>
        <v>10381.707728370357</v>
      </c>
      <c r="I42" s="11">
        <f>IF(I6=0,0,I6/TrAvia_act!I24*1000000)</f>
        <v>11410.900076969812</v>
      </c>
      <c r="J42" s="11">
        <f>IF(J6=0,0,J6/TrAvia_act!J24*1000000)</f>
        <v>10735.235314130325</v>
      </c>
      <c r="K42" s="11">
        <f>IF(K6=0,0,K6/TrAvia_act!K24*1000000)</f>
        <v>11394.301734912911</v>
      </c>
      <c r="L42" s="11">
        <f>IF(L6=0,0,L6/TrAvia_act!L24*1000000)</f>
        <v>12916.554490602382</v>
      </c>
      <c r="M42" s="11">
        <f>IF(M6=0,0,M6/TrAvia_act!M24*1000000)</f>
        <v>10429.789207637679</v>
      </c>
      <c r="N42" s="11">
        <f>IF(N6=0,0,N6/TrAvia_act!N24*1000000)</f>
        <v>8668.2165950786239</v>
      </c>
      <c r="O42" s="11">
        <f>IF(O6=0,0,O6/TrAvia_act!O24*1000000)</f>
        <v>10897.392550161057</v>
      </c>
      <c r="P42" s="11">
        <f>IF(P6=0,0,P6/TrAvia_act!P24*1000000)</f>
        <v>11710.599095184778</v>
      </c>
      <c r="Q42" s="11">
        <f>IF(Q6=0,0,Q6/TrAvia_act!Q24*1000000)</f>
        <v>12863.915850734054</v>
      </c>
      <c r="R42" s="11">
        <f>IF(R6=0,0,R6/TrAvia_act!R24*1000000)</f>
        <v>12944.58971114881</v>
      </c>
      <c r="S42" s="11">
        <f>IF(S6=0,0,S6/TrAvia_act!S24*1000000)</f>
        <v>13942.415764860552</v>
      </c>
      <c r="T42" s="11">
        <f>IF(T6=0,0,T6/TrAvia_act!T24*1000000)</f>
        <v>6583.7842590494574</v>
      </c>
      <c r="U42" s="11">
        <f>IF(U6=0,0,U6/TrAvia_act!U24*1000000)</f>
        <v>7219.2966236992361</v>
      </c>
      <c r="V42" s="11">
        <f>IF(V6=0,0,V6/TrAvia_act!V24*1000000)</f>
        <v>7191.0113115688946</v>
      </c>
      <c r="W42" s="11">
        <f>IF(W6=0,0,W6/TrAvia_act!W24*1000000)</f>
        <v>7303.0123673780927</v>
      </c>
      <c r="X42" s="11">
        <f>IF(X6=0,0,X6/TrAvia_act!X24*1000000)</f>
        <v>6423.258493276966</v>
      </c>
      <c r="Y42" s="11">
        <f>IF(Y6=0,0,Y6/TrAvia_act!Y24*1000000)</f>
        <v>4811.1066333194294</v>
      </c>
      <c r="DA42" s="189" t="s">
        <v>353</v>
      </c>
    </row>
    <row r="43" spans="1:105" ht="11.45" customHeight="1" x14ac:dyDescent="0.25">
      <c r="A43" s="83" t="s">
        <v>27</v>
      </c>
      <c r="B43" s="84">
        <f>IF(B7=0,0,B7/TrAvia_act!B25*1000000)</f>
        <v>5101.8014568790459</v>
      </c>
      <c r="C43" s="84">
        <f>IF(C7=0,0,C7/TrAvia_act!C25*1000000)</f>
        <v>5053.0677229666908</v>
      </c>
      <c r="D43" s="84">
        <f>IF(D7=0,0,D7/TrAvia_act!D25*1000000)</f>
        <v>5013.0164892701277</v>
      </c>
      <c r="E43" s="84">
        <f>IF(E7=0,0,E7/TrAvia_act!E25*1000000)</f>
        <v>5012.9180121466043</v>
      </c>
      <c r="F43" s="84">
        <f>IF(F7=0,0,F7/TrAvia_act!F25*1000000)</f>
        <v>5338.6626501606625</v>
      </c>
      <c r="G43" s="84">
        <f>IF(G7=0,0,G7/TrAvia_act!G25*1000000)</f>
        <v>3999.2947169908734</v>
      </c>
      <c r="H43" s="84">
        <f>IF(H7=0,0,H7/TrAvia_act!H25*1000000)</f>
        <v>670.33385441895621</v>
      </c>
      <c r="I43" s="84">
        <f>IF(I7=0,0,I7/TrAvia_act!I25*1000000)</f>
        <v>23949.26656173544</v>
      </c>
      <c r="J43" s="84">
        <f>IF(J7=0,0,J7/TrAvia_act!J25*1000000)</f>
        <v>20874.263814171823</v>
      </c>
      <c r="K43" s="84">
        <f>IF(K7=0,0,K7/TrAvia_act!K25*1000000)</f>
        <v>20544.963614533717</v>
      </c>
      <c r="L43" s="84">
        <f>IF(L7=0,0,L7/TrAvia_act!L25*1000000)</f>
        <v>23132.009296689808</v>
      </c>
      <c r="M43" s="84">
        <f>IF(M7=0,0,M7/TrAvia_act!M25*1000000)</f>
        <v>18178.153570209422</v>
      </c>
      <c r="N43" s="84">
        <f>IF(N7=0,0,N7/TrAvia_act!N25*1000000)</f>
        <v>10307.806431606512</v>
      </c>
      <c r="O43" s="84">
        <f>IF(O7=0,0,O7/TrAvia_act!O25*1000000)</f>
        <v>11981.816885934453</v>
      </c>
      <c r="P43" s="84">
        <f>IF(P7=0,0,P7/TrAvia_act!P25*1000000)</f>
        <v>7001.6564287409892</v>
      </c>
      <c r="Q43" s="84">
        <f>IF(Q7=0,0,Q7/TrAvia_act!Q25*1000000)</f>
        <v>9555.6134359844746</v>
      </c>
      <c r="R43" s="84">
        <f>IF(R7=0,0,R7/TrAvia_act!R25*1000000)</f>
        <v>6065.1747816871275</v>
      </c>
      <c r="S43" s="84">
        <f>IF(S7=0,0,S7/TrAvia_act!S25*1000000)</f>
        <v>8987.8560227088346</v>
      </c>
      <c r="T43" s="84">
        <f>IF(T7=0,0,T7/TrAvia_act!T25*1000000)</f>
        <v>9894.0019747205461</v>
      </c>
      <c r="U43" s="84">
        <f>IF(U7=0,0,U7/TrAvia_act!U25*1000000)</f>
        <v>11976.934793448292</v>
      </c>
      <c r="V43" s="84">
        <f>IF(V7=0,0,V7/TrAvia_act!V25*1000000)</f>
        <v>15964.345919159847</v>
      </c>
      <c r="W43" s="84">
        <f>IF(W7=0,0,W7/TrAvia_act!W25*1000000)</f>
        <v>15757.554170226891</v>
      </c>
      <c r="X43" s="84">
        <f>IF(X7=0,0,X7/TrAvia_act!X25*1000000)</f>
        <v>17719.377166664963</v>
      </c>
      <c r="Y43" s="84">
        <f>IF(Y7=0,0,Y7/TrAvia_act!Y25*1000000)</f>
        <v>9817.6400497602881</v>
      </c>
      <c r="DA43" s="171" t="s">
        <v>354</v>
      </c>
    </row>
    <row r="44" spans="1:105" ht="11.45" customHeight="1" x14ac:dyDescent="0.25">
      <c r="A44" s="83" t="s">
        <v>181</v>
      </c>
      <c r="B44" s="84">
        <f>IF(B8=0,0,B8/TrAvia_act!B26*1000000)</f>
        <v>18283.65226015366</v>
      </c>
      <c r="C44" s="84">
        <f>IF(C8=0,0,C8/TrAvia_act!C26*1000000)</f>
        <v>18276.696421423385</v>
      </c>
      <c r="D44" s="84">
        <f>IF(D8=0,0,D8/TrAvia_act!D26*1000000)</f>
        <v>18231.226436620458</v>
      </c>
      <c r="E44" s="84">
        <f>IF(E8=0,0,E8/TrAvia_act!E26*1000000)</f>
        <v>18270.85773296118</v>
      </c>
      <c r="F44" s="84">
        <f>IF(F8=0,0,F8/TrAvia_act!F26*1000000)</f>
        <v>18263.774815932538</v>
      </c>
      <c r="G44" s="84">
        <f>IF(G8=0,0,G8/TrAvia_act!G26*1000000)</f>
        <v>12655.783370775953</v>
      </c>
      <c r="H44" s="84">
        <f>IF(H8=0,0,H8/TrAvia_act!H26*1000000)</f>
        <v>13395.49579983898</v>
      </c>
      <c r="I44" s="84">
        <f>IF(I8=0,0,I8/TrAvia_act!I26*1000000)</f>
        <v>8841.8631174145412</v>
      </c>
      <c r="J44" s="84">
        <f>IF(J8=0,0,J8/TrAvia_act!J26*1000000)</f>
        <v>8722.0499803394741</v>
      </c>
      <c r="K44" s="84">
        <f>IF(K8=0,0,K8/TrAvia_act!K26*1000000)</f>
        <v>9322.8640741051513</v>
      </c>
      <c r="L44" s="84">
        <f>IF(L8=0,0,L8/TrAvia_act!L26*1000000)</f>
        <v>10244.557551391506</v>
      </c>
      <c r="M44" s="84">
        <f>IF(M8=0,0,M8/TrAvia_act!M26*1000000)</f>
        <v>8666.7452357683615</v>
      </c>
      <c r="N44" s="84">
        <f>IF(N8=0,0,N8/TrAvia_act!N26*1000000)</f>
        <v>8749.2309203232253</v>
      </c>
      <c r="O44" s="84">
        <f>IF(O8=0,0,O8/TrAvia_act!O26*1000000)</f>
        <v>11038.720153792447</v>
      </c>
      <c r="P44" s="84">
        <f>IF(P8=0,0,P8/TrAvia_act!P26*1000000)</f>
        <v>13445.457536965125</v>
      </c>
      <c r="Q44" s="84">
        <f>IF(Q8=0,0,Q8/TrAvia_act!Q26*1000000)</f>
        <v>14250.331521867156</v>
      </c>
      <c r="R44" s="84">
        <f>IF(R8=0,0,R8/TrAvia_act!R26*1000000)</f>
        <v>15518.823107909784</v>
      </c>
      <c r="S44" s="84">
        <f>IF(S8=0,0,S8/TrAvia_act!S26*1000000)</f>
        <v>16446.283988868079</v>
      </c>
      <c r="T44" s="84">
        <f>IF(T8=0,0,T8/TrAvia_act!T26*1000000)</f>
        <v>6394.0077237755904</v>
      </c>
      <c r="U44" s="84">
        <f>IF(U8=0,0,U8/TrAvia_act!U26*1000000)</f>
        <v>6896.7464438834977</v>
      </c>
      <c r="V44" s="84">
        <f>IF(V8=0,0,V8/TrAvia_act!V26*1000000)</f>
        <v>5013.1594165206479</v>
      </c>
      <c r="W44" s="84">
        <f>IF(W8=0,0,W8/TrAvia_act!W26*1000000)</f>
        <v>6098.8319875714906</v>
      </c>
      <c r="X44" s="84">
        <f>IF(X8=0,0,X8/TrAvia_act!X26*1000000)</f>
        <v>4736.9382279592555</v>
      </c>
      <c r="Y44" s="84">
        <f>IF(Y8=0,0,Y8/TrAvia_act!Y26*1000000)</f>
        <v>4429.8269018301426</v>
      </c>
      <c r="DA44" s="171" t="s">
        <v>355</v>
      </c>
    </row>
    <row r="45" spans="1:105" ht="11.45" customHeight="1" x14ac:dyDescent="0.25">
      <c r="A45" s="83" t="s">
        <v>182</v>
      </c>
      <c r="B45" s="84">
        <f>IF(B9=0,0,B9/TrAvia_act!B27*1000000)</f>
        <v>13723.454744396942</v>
      </c>
      <c r="C45" s="84">
        <f>IF(C9=0,0,C9/TrAvia_act!C27*1000000)</f>
        <v>13713.60175927013</v>
      </c>
      <c r="D45" s="84">
        <f>IF(D9=0,0,D9/TrAvia_act!D27*1000000)</f>
        <v>13671.786901650374</v>
      </c>
      <c r="E45" s="84">
        <f>IF(E9=0,0,E9/TrAvia_act!E27*1000000)</f>
        <v>13689.255536470584</v>
      </c>
      <c r="F45" s="84">
        <f>IF(F9=0,0,F9/TrAvia_act!F27*1000000)</f>
        <v>13674.487878487613</v>
      </c>
      <c r="G45" s="84">
        <f>IF(G9=0,0,G9/TrAvia_act!G27*1000000)</f>
        <v>10124.080107892549</v>
      </c>
      <c r="H45" s="84">
        <f>IF(H9=0,0,H9/TrAvia_act!H27*1000000)</f>
        <v>10396.113467439834</v>
      </c>
      <c r="I45" s="84">
        <f>IF(I9=0,0,I9/TrAvia_act!I27*1000000)</f>
        <v>6412.8059359651188</v>
      </c>
      <c r="J45" s="84">
        <f>IF(J9=0,0,J9/TrAvia_act!J27*1000000)</f>
        <v>6190.1894679319803</v>
      </c>
      <c r="K45" s="84">
        <f>IF(K9=0,0,K9/TrAvia_act!K27*1000000)</f>
        <v>7584.9900255441162</v>
      </c>
      <c r="L45" s="84">
        <f>IF(L9=0,0,L9/TrAvia_act!L27*1000000)</f>
        <v>8289.410633308964</v>
      </c>
      <c r="M45" s="84">
        <f>IF(M9=0,0,M9/TrAvia_act!M27*1000000)</f>
        <v>6964.146512071512</v>
      </c>
      <c r="N45" s="84">
        <f>IF(N9=0,0,N9/TrAvia_act!N27*1000000)</f>
        <v>5978.8646886826318</v>
      </c>
      <c r="O45" s="84">
        <f>IF(O9=0,0,O9/TrAvia_act!O27*1000000)</f>
        <v>8437.1485950210954</v>
      </c>
      <c r="P45" s="84">
        <f>IF(P9=0,0,P9/TrAvia_act!P27*1000000)</f>
        <v>9030.32904294937</v>
      </c>
      <c r="Q45" s="84">
        <f>IF(Q9=0,0,Q9/TrAvia_act!Q27*1000000)</f>
        <v>9450.321941222217</v>
      </c>
      <c r="R45" s="84">
        <f>IF(R9=0,0,R9/TrAvia_act!R27*1000000)</f>
        <v>9038.9819509267672</v>
      </c>
      <c r="S45" s="84">
        <f>IF(S9=0,0,S9/TrAvia_act!S27*1000000)</f>
        <v>8270.6252627167578</v>
      </c>
      <c r="T45" s="84">
        <f>IF(T9=0,0,T9/TrAvia_act!T27*1000000)</f>
        <v>2888.291705695543</v>
      </c>
      <c r="U45" s="84">
        <f>IF(U9=0,0,U9/TrAvia_act!U27*1000000)</f>
        <v>2860.5926510181698</v>
      </c>
      <c r="V45" s="84">
        <f>IF(V9=0,0,V9/TrAvia_act!V27*1000000)</f>
        <v>4558.4240044354619</v>
      </c>
      <c r="W45" s="84">
        <f>IF(W9=0,0,W9/TrAvia_act!W27*1000000)</f>
        <v>3227.3397984193502</v>
      </c>
      <c r="X45" s="84">
        <f>IF(X9=0,0,X9/TrAvia_act!X27*1000000)</f>
        <v>2099.5842163576085</v>
      </c>
      <c r="Y45" s="84">
        <f>IF(Y9=0,0,Y9/TrAvia_act!Y27*1000000)</f>
        <v>1819.3902469059508</v>
      </c>
      <c r="DA45" s="171" t="s">
        <v>356</v>
      </c>
    </row>
    <row r="46" spans="1:105" ht="11.45" customHeight="1" x14ac:dyDescent="0.25">
      <c r="A46" s="12" t="s">
        <v>34</v>
      </c>
      <c r="B46" s="13">
        <f>IF(B10=0,0,B10/TrAvia_act!B28*1000000)</f>
        <v>13817.979060564783</v>
      </c>
      <c r="C46" s="13">
        <f>IF(C10=0,0,C10/TrAvia_act!C28*1000000)</f>
        <v>13926.17433219739</v>
      </c>
      <c r="D46" s="13">
        <f>IF(D10=0,0,D10/TrAvia_act!D28*1000000)</f>
        <v>14047.815518722777</v>
      </c>
      <c r="E46" s="13">
        <f>IF(E10=0,0,E10/TrAvia_act!E28*1000000)</f>
        <v>14234.76382599635</v>
      </c>
      <c r="F46" s="13">
        <f>IF(F10=0,0,F10/TrAvia_act!F28*1000000)</f>
        <v>14049.667766104209</v>
      </c>
      <c r="G46" s="13">
        <f>IF(G10=0,0,G10/TrAvia_act!G28*1000000)</f>
        <v>9936.2784539035638</v>
      </c>
      <c r="H46" s="13">
        <f>IF(H10=0,0,H10/TrAvia_act!H28*1000000)</f>
        <v>8832.5033856747232</v>
      </c>
      <c r="I46" s="13">
        <f>IF(I10=0,0,I10/TrAvia_act!I28*1000000)</f>
        <v>9089.8810371527106</v>
      </c>
      <c r="J46" s="13">
        <f>IF(J10=0,0,J10/TrAvia_act!J28*1000000)</f>
        <v>7503.7403805920276</v>
      </c>
      <c r="K46" s="13">
        <f>IF(K10=0,0,K10/TrAvia_act!K28*1000000)</f>
        <v>7775.7196039178179</v>
      </c>
      <c r="L46" s="13">
        <f>IF(L10=0,0,L10/TrAvia_act!L28*1000000)</f>
        <v>8730.9654083942187</v>
      </c>
      <c r="M46" s="13">
        <f>IF(M10=0,0,M10/TrAvia_act!M28*1000000)</f>
        <v>9228.6143941361461</v>
      </c>
      <c r="N46" s="13">
        <f>IF(N10=0,0,N10/TrAvia_act!N28*1000000)</f>
        <v>9255.5217009229709</v>
      </c>
      <c r="O46" s="13">
        <f>IF(O10=0,0,O10/TrAvia_act!O28*1000000)</f>
        <v>10627.893705006152</v>
      </c>
      <c r="P46" s="13">
        <f>IF(P10=0,0,P10/TrAvia_act!P28*1000000)</f>
        <v>10896.972742046077</v>
      </c>
      <c r="Q46" s="13">
        <f>IF(Q10=0,0,Q10/TrAvia_act!Q28*1000000)</f>
        <v>9735.548653034386</v>
      </c>
      <c r="R46" s="13">
        <f>IF(R10=0,0,R10/TrAvia_act!R28*1000000)</f>
        <v>9749.5575107677778</v>
      </c>
      <c r="S46" s="13">
        <f>IF(S10=0,0,S10/TrAvia_act!S28*1000000)</f>
        <v>10460.281037719546</v>
      </c>
      <c r="T46" s="13">
        <f>IF(T10=0,0,T10/TrAvia_act!T28*1000000)</f>
        <v>3793.9093982720692</v>
      </c>
      <c r="U46" s="13">
        <f>IF(U10=0,0,U10/TrAvia_act!U28*1000000)</f>
        <v>3916.8548432582065</v>
      </c>
      <c r="V46" s="13">
        <f>IF(V10=0,0,V10/TrAvia_act!V28*1000000)</f>
        <v>3660.3947467477569</v>
      </c>
      <c r="W46" s="13">
        <f>IF(W10=0,0,W10/TrAvia_act!W28*1000000)</f>
        <v>4296.226688683174</v>
      </c>
      <c r="X46" s="13">
        <f>IF(X10=0,0,X10/TrAvia_act!X28*1000000)</f>
        <v>3716.5937852382453</v>
      </c>
      <c r="Y46" s="13">
        <f>IF(Y10=0,0,Y10/TrAvia_act!Y28*1000000)</f>
        <v>2918.7851380529269</v>
      </c>
      <c r="DA46" s="193" t="s">
        <v>357</v>
      </c>
    </row>
    <row r="47" spans="1:105" ht="11.45" customHeight="1" x14ac:dyDescent="0.25">
      <c r="A47" s="92" t="s">
        <v>27</v>
      </c>
      <c r="B47" s="102">
        <f>IF(B11=0,0,B11/TrAvia_act!B29*1000000)</f>
        <v>4977.807941089035</v>
      </c>
      <c r="C47" s="102">
        <f>IF(C11=0,0,C11/TrAvia_act!C29*1000000)</f>
        <v>4930.2586254760654</v>
      </c>
      <c r="D47" s="102">
        <f>IF(D11=0,0,D11/TrAvia_act!D29*1000000)</f>
        <v>4891.1807917284696</v>
      </c>
      <c r="E47" s="102">
        <f>IF(E11=0,0,E11/TrAvia_act!E29*1000000)</f>
        <v>4891.0847079800851</v>
      </c>
      <c r="F47" s="102">
        <f>IF(F11=0,0,F11/TrAvia_act!F29*1000000)</f>
        <v>5208.9124908874737</v>
      </c>
      <c r="G47" s="102">
        <f>IF(G11=0,0,G11/TrAvia_act!G29*1000000)</f>
        <v>3902.0963809067666</v>
      </c>
      <c r="H47" s="102">
        <f>IF(H11=0,0,H11/TrAvia_act!H29*1000000)</f>
        <v>642.0920654485999</v>
      </c>
      <c r="I47" s="102">
        <f>IF(I11=0,0,I11/TrAvia_act!I29*1000000)</f>
        <v>22521.118972110111</v>
      </c>
      <c r="J47" s="102">
        <f>IF(J11=0,0,J11/TrAvia_act!J29*1000000)</f>
        <v>19270.835420492498</v>
      </c>
      <c r="K47" s="102">
        <f>IF(K11=0,0,K11/TrAvia_act!K29*1000000)</f>
        <v>18620.288635201141</v>
      </c>
      <c r="L47" s="102">
        <f>IF(L11=0,0,L11/TrAvia_act!L29*1000000)</f>
        <v>20581.929133458427</v>
      </c>
      <c r="M47" s="102">
        <f>IF(M11=0,0,M11/TrAvia_act!M29*1000000)</f>
        <v>16681.426359595218</v>
      </c>
      <c r="N47" s="102">
        <f>IF(N11=0,0,N11/TrAvia_act!N29*1000000)</f>
        <v>9755.7406032001363</v>
      </c>
      <c r="O47" s="102">
        <f>IF(O11=0,0,O11/TrAvia_act!O29*1000000)</f>
        <v>11415.639832920011</v>
      </c>
      <c r="P47" s="102">
        <f>IF(P11=0,0,P11/TrAvia_act!P29*1000000)</f>
        <v>6715.2465538071274</v>
      </c>
      <c r="Q47" s="102">
        <f>IF(Q11=0,0,Q11/TrAvia_act!Q29*1000000)</f>
        <v>9225.7848339326447</v>
      </c>
      <c r="R47" s="102">
        <f>IF(R11=0,0,R11/TrAvia_act!R29*1000000)</f>
        <v>5894.8349365156937</v>
      </c>
      <c r="S47" s="102">
        <f>IF(S11=0,0,S11/TrAvia_act!S29*1000000)</f>
        <v>8793.6263934733615</v>
      </c>
      <c r="T47" s="102">
        <f>IF(T11=0,0,T11/TrAvia_act!T29*1000000)</f>
        <v>9744.6774296973199</v>
      </c>
      <c r="U47" s="102">
        <f>IF(U11=0,0,U11/TrAvia_act!U29*1000000)</f>
        <v>11684.419249907838</v>
      </c>
      <c r="V47" s="102">
        <f>IF(V11=0,0,V11/TrAvia_act!V29*1000000)</f>
        <v>14991.519106688145</v>
      </c>
      <c r="W47" s="102">
        <f>IF(W11=0,0,W11/TrAvia_act!W29*1000000)</f>
        <v>14548.728770312446</v>
      </c>
      <c r="X47" s="102">
        <f>IF(X11=0,0,X11/TrAvia_act!X29*1000000)</f>
        <v>16657.57839119538</v>
      </c>
      <c r="Y47" s="102">
        <f>IF(Y11=0,0,Y11/TrAvia_act!Y29*1000000)</f>
        <v>9243.3013328340658</v>
      </c>
      <c r="DA47" s="175" t="s">
        <v>358</v>
      </c>
    </row>
    <row r="48" spans="1:105" ht="11.45" customHeight="1" x14ac:dyDescent="0.25">
      <c r="A48" s="92" t="s">
        <v>181</v>
      </c>
      <c r="B48" s="102">
        <f>IF(B12=0,0,B12/TrAvia_act!B30*1000000)</f>
        <v>13392.437564485321</v>
      </c>
      <c r="C48" s="102">
        <f>IF(C12=0,0,C12/TrAvia_act!C30*1000000)</f>
        <v>13337.415187339129</v>
      </c>
      <c r="D48" s="102">
        <f>IF(D12=0,0,D12/TrAvia_act!D30*1000000)</f>
        <v>13273.696092219981</v>
      </c>
      <c r="E48" s="102">
        <f>IF(E12=0,0,E12/TrAvia_act!E30*1000000)</f>
        <v>13315.671695972624</v>
      </c>
      <c r="F48" s="102">
        <f>IF(F12=0,0,F12/TrAvia_act!F30*1000000)</f>
        <v>13293.377083315016</v>
      </c>
      <c r="G48" s="102">
        <f>IF(G12=0,0,G12/TrAvia_act!G30*1000000)</f>
        <v>9683.0176770780763</v>
      </c>
      <c r="H48" s="102">
        <f>IF(H12=0,0,H12/TrAvia_act!H30*1000000)</f>
        <v>9264.9049098221985</v>
      </c>
      <c r="I48" s="102">
        <f>IF(I12=0,0,I12/TrAvia_act!I30*1000000)</f>
        <v>6370.3508866738757</v>
      </c>
      <c r="J48" s="102">
        <f>IF(J12=0,0,J12/TrAvia_act!J30*1000000)</f>
        <v>5996.9582677615626</v>
      </c>
      <c r="K48" s="102">
        <f>IF(K12=0,0,K12/TrAvia_act!K30*1000000)</f>
        <v>6681.3207619302111</v>
      </c>
      <c r="L48" s="102">
        <f>IF(L12=0,0,L12/TrAvia_act!L30*1000000)</f>
        <v>7591.5810680838349</v>
      </c>
      <c r="M48" s="102">
        <f>IF(M12=0,0,M12/TrAvia_act!M30*1000000)</f>
        <v>7815.803009447699</v>
      </c>
      <c r="N48" s="102">
        <f>IF(N12=0,0,N12/TrAvia_act!N30*1000000)</f>
        <v>6990.7651911701705</v>
      </c>
      <c r="O48" s="102">
        <f>IF(O12=0,0,O12/TrAvia_act!O30*1000000)</f>
        <v>8540.1749490284947</v>
      </c>
      <c r="P48" s="102">
        <f>IF(P12=0,0,P12/TrAvia_act!P30*1000000)</f>
        <v>10316.306921169162</v>
      </c>
      <c r="Q48" s="102">
        <f>IF(Q12=0,0,Q12/TrAvia_act!Q30*1000000)</f>
        <v>9564.5804688336102</v>
      </c>
      <c r="R48" s="102">
        <f>IF(R12=0,0,R12/TrAvia_act!R30*1000000)</f>
        <v>9996.3884357248407</v>
      </c>
      <c r="S48" s="102">
        <f>IF(S12=0,0,S12/TrAvia_act!S30*1000000)</f>
        <v>11203.128218712083</v>
      </c>
      <c r="T48" s="102">
        <f>IF(T12=0,0,T12/TrAvia_act!T30*1000000)</f>
        <v>3968.271082835397</v>
      </c>
      <c r="U48" s="102">
        <f>IF(U12=0,0,U12/TrAvia_act!U30*1000000)</f>
        <v>4021.7971346149266</v>
      </c>
      <c r="V48" s="102">
        <f>IF(V12=0,0,V12/TrAvia_act!V30*1000000)</f>
        <v>3074.7609532188681</v>
      </c>
      <c r="W48" s="102">
        <f>IF(W12=0,0,W12/TrAvia_act!W30*1000000)</f>
        <v>3557.3114081384379</v>
      </c>
      <c r="X48" s="102">
        <f>IF(X12=0,0,X12/TrAvia_act!X30*1000000)</f>
        <v>2593.6136311578343</v>
      </c>
      <c r="Y48" s="102">
        <f>IF(Y12=0,0,Y12/TrAvia_act!Y30*1000000)</f>
        <v>2267.7795985576586</v>
      </c>
      <c r="DA48" s="175" t="s">
        <v>359</v>
      </c>
    </row>
    <row r="49" spans="1:105" ht="11.45" customHeight="1" x14ac:dyDescent="0.25">
      <c r="A49" s="85" t="s">
        <v>182</v>
      </c>
      <c r="B49" s="86">
        <f>IF(B13=0,0,B13/TrAvia_act!B31*1000000)</f>
        <v>30787.152524242865</v>
      </c>
      <c r="C49" s="86">
        <f>IF(C13=0,0,C13/TrAvia_act!C31*1000000)</f>
        <v>30765.04837032767</v>
      </c>
      <c r="D49" s="86">
        <f>IF(D13=0,0,D13/TrAvia_act!D31*1000000)</f>
        <v>30671.241058444746</v>
      </c>
      <c r="E49" s="86">
        <f>IF(E13=0,0,E13/TrAvia_act!E31*1000000)</f>
        <v>30710.430135438623</v>
      </c>
      <c r="F49" s="86">
        <f>IF(F13=0,0,F13/TrAvia_act!F31*1000000)</f>
        <v>30677.300420857584</v>
      </c>
      <c r="G49" s="86">
        <f>IF(G13=0,0,G13/TrAvia_act!G31*1000000)</f>
        <v>22712.327490029395</v>
      </c>
      <c r="H49" s="86">
        <f>IF(H13=0,0,H13/TrAvia_act!H31*1000000)</f>
        <v>25354.344293589817</v>
      </c>
      <c r="I49" s="86">
        <f>IF(I13=0,0,I13/TrAvia_act!I31*1000000)</f>
        <v>17008.607403109425</v>
      </c>
      <c r="J49" s="86">
        <f>IF(J13=0,0,J13/TrAvia_act!J31*1000000)</f>
        <v>17861.581572969124</v>
      </c>
      <c r="K49" s="86">
        <f>IF(K13=0,0,K13/TrAvia_act!K31*1000000)</f>
        <v>23818.526021148788</v>
      </c>
      <c r="L49" s="86">
        <f>IF(L13=0,0,L13/TrAvia_act!L31*1000000)</f>
        <v>28337.990906360126</v>
      </c>
      <c r="M49" s="86">
        <f>IF(M13=0,0,M13/TrAvia_act!M31*1000000)</f>
        <v>29006.859917770897</v>
      </c>
      <c r="N49" s="86">
        <f>IF(N13=0,0,N13/TrAvia_act!N31*1000000)</f>
        <v>30101.549972820434</v>
      </c>
      <c r="O49" s="86">
        <f>IF(O13=0,0,O13/TrAvia_act!O31*1000000)</f>
        <v>26818.708796606636</v>
      </c>
      <c r="P49" s="86">
        <f>IF(P13=0,0,P13/TrAvia_act!P31*1000000)</f>
        <v>18097.292485323818</v>
      </c>
      <c r="Q49" s="86">
        <f>IF(Q13=0,0,Q13/TrAvia_act!Q31*1000000)</f>
        <v>11922.385812040102</v>
      </c>
      <c r="R49" s="86">
        <f>IF(R13=0,0,R13/TrAvia_act!R31*1000000)</f>
        <v>7166.6622412114375</v>
      </c>
      <c r="S49" s="86">
        <f>IF(S13=0,0,S13/TrAvia_act!S31*1000000)</f>
        <v>4113.5618734867539</v>
      </c>
      <c r="T49" s="86">
        <f>IF(T13=0,0,T13/TrAvia_act!T31*1000000)</f>
        <v>899.33477034356235</v>
      </c>
      <c r="U49" s="86">
        <f>IF(U13=0,0,U13/TrAvia_act!U31*1000000)</f>
        <v>1102.2589929693156</v>
      </c>
      <c r="V49" s="86">
        <f>IF(V13=0,0,V13/TrAvia_act!V31*1000000)</f>
        <v>1372.0592379158777</v>
      </c>
      <c r="W49" s="86">
        <f>IF(W13=0,0,W13/TrAvia_act!W31*1000000)</f>
        <v>1400.6553530494625</v>
      </c>
      <c r="X49" s="86">
        <f>IF(X13=0,0,X13/TrAvia_act!X31*1000000)</f>
        <v>1256.7521804790695</v>
      </c>
      <c r="Y49" s="86">
        <f>IF(Y13=0,0,Y13/TrAvia_act!Y31*1000000)</f>
        <v>1272.1904646758235</v>
      </c>
      <c r="DA49" s="178" t="s">
        <v>360</v>
      </c>
    </row>
    <row r="50" spans="1:105" x14ac:dyDescent="0.25">
      <c r="A50" s="50"/>
      <c r="B50" s="50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DA50" s="181"/>
    </row>
    <row r="51" spans="1:105" ht="11.45" customHeight="1" x14ac:dyDescent="0.25">
      <c r="A51" s="53" t="s">
        <v>41</v>
      </c>
      <c r="B51" s="76">
        <f t="shared" ref="B51:C51" si="33">IF(B3=0,0,B3/B$3)</f>
        <v>1</v>
      </c>
      <c r="C51" s="76">
        <f t="shared" si="33"/>
        <v>1</v>
      </c>
      <c r="D51" s="76">
        <f t="shared" ref="D51:V51" si="34">IF(D3=0,0,D3/D$3)</f>
        <v>1</v>
      </c>
      <c r="E51" s="76">
        <f t="shared" si="34"/>
        <v>1</v>
      </c>
      <c r="F51" s="76">
        <f t="shared" si="34"/>
        <v>1</v>
      </c>
      <c r="G51" s="76">
        <f t="shared" si="34"/>
        <v>1</v>
      </c>
      <c r="H51" s="76">
        <f t="shared" si="34"/>
        <v>1</v>
      </c>
      <c r="I51" s="76">
        <f t="shared" si="34"/>
        <v>1</v>
      </c>
      <c r="J51" s="76">
        <f t="shared" si="34"/>
        <v>1</v>
      </c>
      <c r="K51" s="76">
        <f t="shared" si="34"/>
        <v>1</v>
      </c>
      <c r="L51" s="76">
        <f t="shared" si="34"/>
        <v>1</v>
      </c>
      <c r="M51" s="76">
        <f t="shared" si="34"/>
        <v>1</v>
      </c>
      <c r="N51" s="76">
        <f t="shared" si="34"/>
        <v>1</v>
      </c>
      <c r="O51" s="76">
        <f t="shared" si="34"/>
        <v>1</v>
      </c>
      <c r="P51" s="76">
        <f t="shared" si="34"/>
        <v>1</v>
      </c>
      <c r="Q51" s="76">
        <f t="shared" si="34"/>
        <v>1</v>
      </c>
      <c r="R51" s="76">
        <f t="shared" si="34"/>
        <v>1</v>
      </c>
      <c r="S51" s="76">
        <f t="shared" si="34"/>
        <v>1</v>
      </c>
      <c r="T51" s="76">
        <f t="shared" si="34"/>
        <v>1</v>
      </c>
      <c r="U51" s="76">
        <f t="shared" si="34"/>
        <v>1</v>
      </c>
      <c r="V51" s="76">
        <f t="shared" si="34"/>
        <v>1</v>
      </c>
      <c r="W51" s="76">
        <f t="shared" ref="W51:Y51" si="35">IF(W3=0,0,W3/W$3)</f>
        <v>1</v>
      </c>
      <c r="X51" s="76">
        <f t="shared" si="35"/>
        <v>1</v>
      </c>
      <c r="Y51" s="76">
        <f t="shared" si="35"/>
        <v>1</v>
      </c>
      <c r="DA51" s="183"/>
    </row>
    <row r="52" spans="1:105" ht="11.45" customHeight="1" x14ac:dyDescent="0.25">
      <c r="A52" s="10" t="s">
        <v>33</v>
      </c>
      <c r="B52" s="16">
        <f t="shared" ref="B52:C52" si="36">IF(B6=0,0,B6/B$3)</f>
        <v>0.98518825011755173</v>
      </c>
      <c r="C52" s="16">
        <f t="shared" si="36"/>
        <v>0.98541619255518176</v>
      </c>
      <c r="D52" s="16">
        <f t="shared" ref="D52:V52" si="37">IF(D6=0,0,D6/D$3)</f>
        <v>0.98379397781054589</v>
      </c>
      <c r="E52" s="16">
        <f t="shared" si="37"/>
        <v>0.98679786863781693</v>
      </c>
      <c r="F52" s="16">
        <f t="shared" si="37"/>
        <v>0.98820267029198405</v>
      </c>
      <c r="G52" s="16">
        <f t="shared" si="37"/>
        <v>0.99187070938119459</v>
      </c>
      <c r="H52" s="16">
        <f t="shared" si="37"/>
        <v>0.99217062929529398</v>
      </c>
      <c r="I52" s="16">
        <f t="shared" si="37"/>
        <v>0.99441707192666973</v>
      </c>
      <c r="J52" s="16">
        <f t="shared" si="37"/>
        <v>0.99391662904270062</v>
      </c>
      <c r="K52" s="16">
        <f t="shared" si="37"/>
        <v>0.9936559847713694</v>
      </c>
      <c r="L52" s="16">
        <f t="shared" si="37"/>
        <v>0.99373585324467884</v>
      </c>
      <c r="M52" s="16">
        <f t="shared" si="37"/>
        <v>0.99216331551438175</v>
      </c>
      <c r="N52" s="16">
        <f t="shared" si="37"/>
        <v>0.9897236462493576</v>
      </c>
      <c r="O52" s="16">
        <f t="shared" si="37"/>
        <v>0.98977625900697785</v>
      </c>
      <c r="P52" s="16">
        <f t="shared" si="37"/>
        <v>0.99105015826989584</v>
      </c>
      <c r="Q52" s="16">
        <f t="shared" si="37"/>
        <v>0.99217563736192782</v>
      </c>
      <c r="R52" s="16">
        <f t="shared" si="37"/>
        <v>0.99291307322177635</v>
      </c>
      <c r="S52" s="16">
        <f t="shared" si="37"/>
        <v>0.99253117612835751</v>
      </c>
      <c r="T52" s="16">
        <f t="shared" si="37"/>
        <v>0.99426927613201099</v>
      </c>
      <c r="U52" s="16">
        <f t="shared" si="37"/>
        <v>0.99591533738081328</v>
      </c>
      <c r="V52" s="16">
        <f t="shared" si="37"/>
        <v>0.99074602846863946</v>
      </c>
      <c r="W52" s="16">
        <f t="shared" ref="W52:Y52" si="38">IF(W6=0,0,W6/W$3)</f>
        <v>0.99206442905102876</v>
      </c>
      <c r="X52" s="16">
        <f t="shared" si="38"/>
        <v>0.99318447722892245</v>
      </c>
      <c r="Y52" s="16">
        <f t="shared" si="38"/>
        <v>0.99338257645056061</v>
      </c>
      <c r="DA52" s="190"/>
    </row>
    <row r="53" spans="1:105" ht="11.45" customHeight="1" x14ac:dyDescent="0.25">
      <c r="A53" s="83" t="s">
        <v>27</v>
      </c>
      <c r="B53" s="103">
        <f t="shared" ref="B53:C53" si="39">IF(B7=0,0,B7/B$3)</f>
        <v>4.4998295650746929E-2</v>
      </c>
      <c r="C53" s="103">
        <f t="shared" si="39"/>
        <v>2.5456546062544733E-2</v>
      </c>
      <c r="D53" s="103">
        <f t="shared" ref="D53:V53" si="40">IF(D7=0,0,D7/D$3)</f>
        <v>1.9837463355824484E-2</v>
      </c>
      <c r="E53" s="103">
        <f t="shared" si="40"/>
        <v>1.6429224088049907E-2</v>
      </c>
      <c r="F53" s="103">
        <f t="shared" si="40"/>
        <v>8.2200298543775224E-2</v>
      </c>
      <c r="G53" s="103">
        <f t="shared" si="40"/>
        <v>8.2990509132995244E-2</v>
      </c>
      <c r="H53" s="103">
        <f t="shared" si="40"/>
        <v>1.3123499819157818E-2</v>
      </c>
      <c r="I53" s="103">
        <f t="shared" si="40"/>
        <v>0.40088016605967813</v>
      </c>
      <c r="J53" s="103">
        <f t="shared" si="40"/>
        <v>0.3749122842827044</v>
      </c>
      <c r="K53" s="103">
        <f t="shared" si="40"/>
        <v>0.36416074831120054</v>
      </c>
      <c r="L53" s="103">
        <f t="shared" si="40"/>
        <v>0.40039080284939321</v>
      </c>
      <c r="M53" s="103">
        <f t="shared" si="40"/>
        <v>0.35828944990413758</v>
      </c>
      <c r="N53" s="103">
        <f t="shared" si="40"/>
        <v>0.23260365275775202</v>
      </c>
      <c r="O53" s="103">
        <f t="shared" si="40"/>
        <v>0.21601679536953983</v>
      </c>
      <c r="P53" s="103">
        <f t="shared" si="40"/>
        <v>0.1049603444925723</v>
      </c>
      <c r="Q53" s="103">
        <f t="shared" si="40"/>
        <v>0.1201799255648613</v>
      </c>
      <c r="R53" s="103">
        <f t="shared" si="40"/>
        <v>8.7783009498215686E-2</v>
      </c>
      <c r="S53" s="103">
        <f t="shared" si="40"/>
        <v>0.12781494187934644</v>
      </c>
      <c r="T53" s="103">
        <f t="shared" si="40"/>
        <v>0.28737932489882473</v>
      </c>
      <c r="U53" s="103">
        <f t="shared" si="40"/>
        <v>0.29684944859332807</v>
      </c>
      <c r="V53" s="103">
        <f t="shared" si="40"/>
        <v>0.44667556536611258</v>
      </c>
      <c r="W53" s="103">
        <f t="shared" ref="W53:Y53" si="41">IF(W7=0,0,W7/W$3)</f>
        <v>0.35933709174420497</v>
      </c>
      <c r="X53" s="103">
        <f t="shared" si="41"/>
        <v>0.43060853663643012</v>
      </c>
      <c r="Y53" s="103">
        <f t="shared" si="41"/>
        <v>0.28880089884220095</v>
      </c>
      <c r="DA53" s="191"/>
    </row>
    <row r="54" spans="1:105" ht="11.45" customHeight="1" x14ac:dyDescent="0.25">
      <c r="A54" s="83" t="s">
        <v>181</v>
      </c>
      <c r="B54" s="103">
        <f t="shared" ref="B54:C54" si="42">IF(B8=0,0,B8/B$3)</f>
        <v>0.80376585283697988</v>
      </c>
      <c r="C54" s="103">
        <f t="shared" si="42"/>
        <v>0.82071348428580426</v>
      </c>
      <c r="D54" s="103">
        <f t="shared" ref="D54:V54" si="43">IF(D8=0,0,D8/D$3)</f>
        <v>0.82420832594717208</v>
      </c>
      <c r="E54" s="103">
        <f t="shared" si="43"/>
        <v>0.82977968371819388</v>
      </c>
      <c r="F54" s="103">
        <f t="shared" si="43"/>
        <v>0.77481862883832986</v>
      </c>
      <c r="G54" s="103">
        <f t="shared" si="43"/>
        <v>0.77904880550990829</v>
      </c>
      <c r="H54" s="103">
        <f t="shared" si="43"/>
        <v>0.84422520985978267</v>
      </c>
      <c r="I54" s="103">
        <f t="shared" si="43"/>
        <v>0.5169843806433474</v>
      </c>
      <c r="J54" s="103">
        <f t="shared" si="43"/>
        <v>0.54108464797000333</v>
      </c>
      <c r="K54" s="103">
        <f t="shared" si="43"/>
        <v>0.54975630904301431</v>
      </c>
      <c r="L54" s="103">
        <f t="shared" si="43"/>
        <v>0.51915710376681767</v>
      </c>
      <c r="M54" s="103">
        <f t="shared" si="43"/>
        <v>0.5530728941993609</v>
      </c>
      <c r="N54" s="103">
        <f t="shared" si="43"/>
        <v>0.66125378699309656</v>
      </c>
      <c r="O54" s="103">
        <f t="shared" si="43"/>
        <v>0.67698814024610532</v>
      </c>
      <c r="P54" s="103">
        <f t="shared" si="43"/>
        <v>0.78337250828353056</v>
      </c>
      <c r="Q54" s="103">
        <f t="shared" si="43"/>
        <v>0.77771453854228823</v>
      </c>
      <c r="R54" s="103">
        <f t="shared" si="43"/>
        <v>0.82055369277796686</v>
      </c>
      <c r="S54" s="103">
        <f t="shared" si="43"/>
        <v>0.79169788722529399</v>
      </c>
      <c r="T54" s="103">
        <f t="shared" si="43"/>
        <v>0.64674623103748363</v>
      </c>
      <c r="U54" s="103">
        <f t="shared" si="43"/>
        <v>0.64136254233475676</v>
      </c>
      <c r="V54" s="103">
        <f t="shared" si="43"/>
        <v>0.48036957196494956</v>
      </c>
      <c r="W54" s="103">
        <f t="shared" ref="W54:Y54" si="44">IF(W8=0,0,W8/W$3)</f>
        <v>0.5690245147233246</v>
      </c>
      <c r="X54" s="103">
        <f t="shared" si="44"/>
        <v>0.51899023171452308</v>
      </c>
      <c r="Y54" s="103">
        <f t="shared" si="44"/>
        <v>0.6489878385793969</v>
      </c>
      <c r="DA54" s="191"/>
    </row>
    <row r="55" spans="1:105" ht="11.45" customHeight="1" x14ac:dyDescent="0.25">
      <c r="A55" s="83" t="s">
        <v>182</v>
      </c>
      <c r="B55" s="103">
        <f t="shared" ref="B55:C55" si="45">IF(B9=0,0,B9/B$3)</f>
        <v>0.13642410162982491</v>
      </c>
      <c r="C55" s="103">
        <f t="shared" si="45"/>
        <v>0.13924616220683284</v>
      </c>
      <c r="D55" s="103">
        <f t="shared" ref="D55:V55" si="46">IF(D9=0,0,D9/D$3)</f>
        <v>0.13974818850754933</v>
      </c>
      <c r="E55" s="103">
        <f t="shared" si="46"/>
        <v>0.14058896083157316</v>
      </c>
      <c r="F55" s="103">
        <f t="shared" si="46"/>
        <v>0.131183742909879</v>
      </c>
      <c r="G55" s="103">
        <f t="shared" si="46"/>
        <v>0.12983139473829114</v>
      </c>
      <c r="H55" s="103">
        <f t="shared" si="46"/>
        <v>0.13482191961635348</v>
      </c>
      <c r="I55" s="103">
        <f t="shared" si="46"/>
        <v>7.6552525223644072E-2</v>
      </c>
      <c r="J55" s="103">
        <f t="shared" si="46"/>
        <v>7.7919696789992915E-2</v>
      </c>
      <c r="K55" s="103">
        <f t="shared" si="46"/>
        <v>7.9738927417154534E-2</v>
      </c>
      <c r="L55" s="103">
        <f t="shared" si="46"/>
        <v>7.4187946628467991E-2</v>
      </c>
      <c r="M55" s="103">
        <f t="shared" si="46"/>
        <v>8.0800971410883174E-2</v>
      </c>
      <c r="N55" s="103">
        <f t="shared" si="46"/>
        <v>9.5866206498509091E-2</v>
      </c>
      <c r="O55" s="103">
        <f t="shared" si="46"/>
        <v>9.6771323391332639E-2</v>
      </c>
      <c r="P55" s="103">
        <f t="shared" si="46"/>
        <v>0.10271730549379297</v>
      </c>
      <c r="Q55" s="103">
        <f t="shared" si="46"/>
        <v>9.4281173254778375E-2</v>
      </c>
      <c r="R55" s="103">
        <f t="shared" si="46"/>
        <v>8.4576370945593879E-2</v>
      </c>
      <c r="S55" s="103">
        <f t="shared" si="46"/>
        <v>7.3018347023717137E-2</v>
      </c>
      <c r="T55" s="103">
        <f t="shared" si="46"/>
        <v>6.0143720195702695E-2</v>
      </c>
      <c r="U55" s="103">
        <f t="shared" si="46"/>
        <v>5.77033464527286E-2</v>
      </c>
      <c r="V55" s="103">
        <f t="shared" si="46"/>
        <v>6.3700891137577306E-2</v>
      </c>
      <c r="W55" s="103">
        <f t="shared" ref="W55:Y55" si="47">IF(W9=0,0,W9/W$3)</f>
        <v>6.3702822583499102E-2</v>
      </c>
      <c r="X55" s="103">
        <f t="shared" si="47"/>
        <v>4.3585708877969191E-2</v>
      </c>
      <c r="Y55" s="103">
        <f t="shared" si="47"/>
        <v>5.5593839028962685E-2</v>
      </c>
      <c r="DA55" s="191"/>
    </row>
    <row r="56" spans="1:105" ht="11.45" customHeight="1" x14ac:dyDescent="0.25">
      <c r="A56" s="12" t="s">
        <v>34</v>
      </c>
      <c r="B56" s="17">
        <f t="shared" ref="B56:C56" si="48">IF(B10=0,0,B10/B$3)</f>
        <v>1.4811749882448393E-2</v>
      </c>
      <c r="C56" s="17">
        <f t="shared" si="48"/>
        <v>1.4583807444818171E-2</v>
      </c>
      <c r="D56" s="17">
        <f t="shared" ref="D56:V56" si="49">IF(D10=0,0,D10/D$3)</f>
        <v>1.6206022189454099E-2</v>
      </c>
      <c r="E56" s="17">
        <f t="shared" si="49"/>
        <v>1.3202131362183006E-2</v>
      </c>
      <c r="F56" s="17">
        <f t="shared" si="49"/>
        <v>1.1797329708015881E-2</v>
      </c>
      <c r="G56" s="17">
        <f t="shared" si="49"/>
        <v>8.1292906188054417E-3</v>
      </c>
      <c r="H56" s="17">
        <f t="shared" si="49"/>
        <v>7.829370704706037E-3</v>
      </c>
      <c r="I56" s="17">
        <f t="shared" si="49"/>
        <v>5.5829280733302612E-3</v>
      </c>
      <c r="J56" s="17">
        <f t="shared" si="49"/>
        <v>6.0833709572993035E-3</v>
      </c>
      <c r="K56" s="17">
        <f t="shared" si="49"/>
        <v>6.3440152286305829E-3</v>
      </c>
      <c r="L56" s="17">
        <f t="shared" si="49"/>
        <v>6.2641467553212413E-3</v>
      </c>
      <c r="M56" s="17">
        <f t="shared" si="49"/>
        <v>7.8366844856184725E-3</v>
      </c>
      <c r="N56" s="17">
        <f t="shared" si="49"/>
        <v>1.0276353750642255E-2</v>
      </c>
      <c r="O56" s="17">
        <f t="shared" si="49"/>
        <v>1.0223740993022166E-2</v>
      </c>
      <c r="P56" s="17">
        <f t="shared" si="49"/>
        <v>8.9498417301041439E-3</v>
      </c>
      <c r="Q56" s="17">
        <f t="shared" si="49"/>
        <v>7.8243626380721815E-3</v>
      </c>
      <c r="R56" s="17">
        <f t="shared" si="49"/>
        <v>7.0869267782234773E-3</v>
      </c>
      <c r="S56" s="17">
        <f t="shared" si="49"/>
        <v>7.468823871642446E-3</v>
      </c>
      <c r="T56" s="17">
        <f t="shared" si="49"/>
        <v>5.7307238679889603E-3</v>
      </c>
      <c r="U56" s="17">
        <f t="shared" si="49"/>
        <v>4.0846626191865815E-3</v>
      </c>
      <c r="V56" s="17">
        <f t="shared" si="49"/>
        <v>9.2539715313605629E-3</v>
      </c>
      <c r="W56" s="17">
        <f t="shared" ref="W56:Y56" si="50">IF(W10=0,0,W10/W$3)</f>
        <v>7.9355709489712257E-3</v>
      </c>
      <c r="X56" s="17">
        <f t="shared" si="50"/>
        <v>6.8155227710776211E-3</v>
      </c>
      <c r="Y56" s="17">
        <f t="shared" si="50"/>
        <v>6.6174235494394825E-3</v>
      </c>
      <c r="DA56" s="194"/>
    </row>
    <row r="57" spans="1:105" ht="11.45" customHeight="1" x14ac:dyDescent="0.25">
      <c r="A57" s="92" t="s">
        <v>27</v>
      </c>
      <c r="B57" s="104">
        <f t="shared" ref="B57:C57" si="51">IF(B11=0,0,B11/B$3)</f>
        <v>5.3601697280913202E-4</v>
      </c>
      <c r="C57" s="104">
        <f t="shared" si="51"/>
        <v>5.23192035910422E-4</v>
      </c>
      <c r="D57" s="104">
        <f t="shared" ref="D57:V57" si="52">IF(D11=0,0,D11/D$3)</f>
        <v>5.4657926256960923E-4</v>
      </c>
      <c r="E57" s="104">
        <f t="shared" si="52"/>
        <v>4.3899394382911002E-4</v>
      </c>
      <c r="F57" s="104">
        <f t="shared" si="52"/>
        <v>4.1925586176528418E-4</v>
      </c>
      <c r="G57" s="104">
        <f t="shared" si="52"/>
        <v>1.794583989590242E-4</v>
      </c>
      <c r="H57" s="104">
        <f t="shared" si="52"/>
        <v>6.6561393291235098E-5</v>
      </c>
      <c r="I57" s="104">
        <f t="shared" si="52"/>
        <v>1.8057807891453622E-3</v>
      </c>
      <c r="J57" s="104">
        <f t="shared" si="52"/>
        <v>9.5045438136562841E-4</v>
      </c>
      <c r="K57" s="104">
        <f t="shared" si="52"/>
        <v>6.3409368970617549E-4</v>
      </c>
      <c r="L57" s="104">
        <f t="shared" si="52"/>
        <v>4.6839528346062854E-4</v>
      </c>
      <c r="M57" s="104">
        <f t="shared" si="52"/>
        <v>2.6911825990327251E-4</v>
      </c>
      <c r="N57" s="104">
        <f t="shared" si="52"/>
        <v>1.3072794468042806E-4</v>
      </c>
      <c r="O57" s="104">
        <f t="shared" si="52"/>
        <v>8.9865229698639403E-5</v>
      </c>
      <c r="P57" s="104">
        <f t="shared" si="52"/>
        <v>2.8977212114548301E-5</v>
      </c>
      <c r="Q57" s="104">
        <f t="shared" si="52"/>
        <v>2.2536992639288809E-5</v>
      </c>
      <c r="R57" s="104">
        <f t="shared" si="52"/>
        <v>2.4590757225834506E-5</v>
      </c>
      <c r="S57" s="104">
        <f t="shared" si="52"/>
        <v>1.0616334021884522E-4</v>
      </c>
      <c r="T57" s="104">
        <f t="shared" si="52"/>
        <v>4.0281129817252166E-4</v>
      </c>
      <c r="U57" s="104">
        <f t="shared" si="52"/>
        <v>6.4319694280745359E-4</v>
      </c>
      <c r="V57" s="104">
        <f t="shared" si="52"/>
        <v>2.7816940872047295E-3</v>
      </c>
      <c r="W57" s="104">
        <f t="shared" ref="W57:Y57" si="53">IF(W11=0,0,W11/W$3)</f>
        <v>2.5861039208681515E-3</v>
      </c>
      <c r="X57" s="104">
        <f t="shared" si="53"/>
        <v>2.7707637845942944E-3</v>
      </c>
      <c r="Y57" s="104">
        <f t="shared" si="53"/>
        <v>2.193894882436005E-3</v>
      </c>
      <c r="DA57" s="195"/>
    </row>
    <row r="58" spans="1:105" ht="11.45" customHeight="1" x14ac:dyDescent="0.25">
      <c r="A58" s="92" t="s">
        <v>181</v>
      </c>
      <c r="B58" s="104">
        <f t="shared" ref="B58:C58" si="54">IF(B12=0,0,B12/B$3)</f>
        <v>1.1864677281392027E-2</v>
      </c>
      <c r="C58" s="104">
        <f t="shared" si="54"/>
        <v>1.1397272277031271E-2</v>
      </c>
      <c r="D58" s="104">
        <f t="shared" ref="D58:V58" si="55">IF(D12=0,0,D12/D$3)</f>
        <v>1.2433610189068188E-2</v>
      </c>
      <c r="E58" s="104">
        <f t="shared" si="55"/>
        <v>9.9232297459505934E-3</v>
      </c>
      <c r="F58" s="104">
        <f t="shared" si="55"/>
        <v>9.1091160686437196E-3</v>
      </c>
      <c r="G58" s="104">
        <f t="shared" si="55"/>
        <v>7.1251908914317739E-3</v>
      </c>
      <c r="H58" s="104">
        <f t="shared" si="55"/>
        <v>6.9582229557367432E-3</v>
      </c>
      <c r="I58" s="104">
        <f t="shared" si="55"/>
        <v>3.1770847705885744E-3</v>
      </c>
      <c r="J58" s="104">
        <f t="shared" si="55"/>
        <v>4.2794974698966443E-3</v>
      </c>
      <c r="K58" s="104">
        <f t="shared" si="55"/>
        <v>5.0339931943103574E-3</v>
      </c>
      <c r="L58" s="104">
        <f t="shared" si="55"/>
        <v>5.0829621498305229E-3</v>
      </c>
      <c r="M58" s="104">
        <f t="shared" si="55"/>
        <v>6.1211378506429237E-3</v>
      </c>
      <c r="N58" s="104">
        <f t="shared" si="55"/>
        <v>6.9187144562679326E-3</v>
      </c>
      <c r="O58" s="104">
        <f t="shared" si="55"/>
        <v>7.2204203137187575E-3</v>
      </c>
      <c r="P58" s="104">
        <f t="shared" si="55"/>
        <v>7.7755107091035851E-3</v>
      </c>
      <c r="Q58" s="104">
        <f t="shared" si="55"/>
        <v>7.1028419354280106E-3</v>
      </c>
      <c r="R58" s="104">
        <f t="shared" si="55"/>
        <v>6.6512621348959891E-3</v>
      </c>
      <c r="S58" s="104">
        <f t="shared" si="55"/>
        <v>7.0717828399332354E-3</v>
      </c>
      <c r="T58" s="104">
        <f t="shared" si="55"/>
        <v>5.1807599752761793E-3</v>
      </c>
      <c r="U58" s="104">
        <f t="shared" si="55"/>
        <v>3.2408961489020613E-3</v>
      </c>
      <c r="V58" s="104">
        <f t="shared" si="55"/>
        <v>5.8835445138778041E-3</v>
      </c>
      <c r="W58" s="104">
        <f t="shared" ref="W58:Y58" si="56">IF(W12=0,0,W12/W$3)</f>
        <v>4.9669868039610874E-3</v>
      </c>
      <c r="X58" s="104">
        <f t="shared" si="56"/>
        <v>3.781518650112991E-3</v>
      </c>
      <c r="Y58" s="104">
        <f t="shared" si="56"/>
        <v>4.1939177849252048E-3</v>
      </c>
      <c r="DA58" s="195"/>
    </row>
    <row r="59" spans="1:105" ht="11.45" customHeight="1" x14ac:dyDescent="0.25">
      <c r="A59" s="85" t="s">
        <v>182</v>
      </c>
      <c r="B59" s="105">
        <f t="shared" ref="B59:C59" si="57">IF(B13=0,0,B13/B$3)</f>
        <v>2.4110556282472355E-3</v>
      </c>
      <c r="C59" s="105">
        <f t="shared" si="57"/>
        <v>2.6633431318764766E-3</v>
      </c>
      <c r="D59" s="105">
        <f t="shared" ref="D59:V59" si="58">IF(D13=0,0,D13/D$3)</f>
        <v>3.2258327378163016E-3</v>
      </c>
      <c r="E59" s="105">
        <f t="shared" si="58"/>
        <v>2.8399076724033032E-3</v>
      </c>
      <c r="F59" s="105">
        <f t="shared" si="58"/>
        <v>2.2689577776068767E-3</v>
      </c>
      <c r="G59" s="105">
        <f t="shared" si="58"/>
        <v>8.2464132841464323E-4</v>
      </c>
      <c r="H59" s="105">
        <f t="shared" si="58"/>
        <v>8.045863556780579E-4</v>
      </c>
      <c r="I59" s="105">
        <f t="shared" si="58"/>
        <v>6.0006251359632427E-4</v>
      </c>
      <c r="J59" s="105">
        <f t="shared" si="58"/>
        <v>8.534191060370304E-4</v>
      </c>
      <c r="K59" s="105">
        <f t="shared" si="58"/>
        <v>6.7592834461405031E-4</v>
      </c>
      <c r="L59" s="105">
        <f t="shared" si="58"/>
        <v>7.127893220300899E-4</v>
      </c>
      <c r="M59" s="105">
        <f t="shared" si="58"/>
        <v>1.4464283750722758E-3</v>
      </c>
      <c r="N59" s="105">
        <f t="shared" si="58"/>
        <v>3.2269113496938948E-3</v>
      </c>
      <c r="O59" s="105">
        <f t="shared" si="58"/>
        <v>2.9134554496047685E-3</v>
      </c>
      <c r="P59" s="105">
        <f t="shared" si="58"/>
        <v>1.1453538088860113E-3</v>
      </c>
      <c r="Q59" s="105">
        <f t="shared" si="58"/>
        <v>6.989837100048826E-4</v>
      </c>
      <c r="R59" s="105">
        <f t="shared" si="58"/>
        <v>4.1107388610165356E-4</v>
      </c>
      <c r="S59" s="105">
        <f t="shared" si="58"/>
        <v>2.9087769149036664E-4</v>
      </c>
      <c r="T59" s="105">
        <f t="shared" si="58"/>
        <v>1.4715259454025945E-4</v>
      </c>
      <c r="U59" s="105">
        <f t="shared" si="58"/>
        <v>2.0056952747706669E-4</v>
      </c>
      <c r="V59" s="105">
        <f t="shared" si="58"/>
        <v>5.8873293027802965E-4</v>
      </c>
      <c r="W59" s="105">
        <f t="shared" ref="W59:Y59" si="59">IF(W13=0,0,W13/W$3)</f>
        <v>3.8248022414198658E-4</v>
      </c>
      <c r="X59" s="105">
        <f t="shared" si="59"/>
        <v>2.6324033637033592E-4</v>
      </c>
      <c r="Y59" s="105">
        <f t="shared" si="59"/>
        <v>2.2961088207827207E-4</v>
      </c>
      <c r="DA59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DA27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361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67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DA3" s="172"/>
    </row>
    <row r="4" spans="1:105" ht="11.45" customHeight="1" x14ac:dyDescent="0.25">
      <c r="A4" s="10" t="s">
        <v>33</v>
      </c>
      <c r="B4" s="11">
        <f t="shared" ref="B4:C4" si="0">SUM(B5:B7)</f>
        <v>2141265</v>
      </c>
      <c r="C4" s="11">
        <f t="shared" si="0"/>
        <v>1835978</v>
      </c>
      <c r="D4" s="11">
        <f t="shared" ref="D4" si="1">SUM(D5:D7)</f>
        <v>1568742</v>
      </c>
      <c r="E4" s="11">
        <f t="shared" ref="E4" si="2">SUM(E5:E7)</f>
        <v>1928958</v>
      </c>
      <c r="F4" s="11">
        <f t="shared" ref="F4" si="3">SUM(F5:F7)</f>
        <v>2783233</v>
      </c>
      <c r="G4" s="11">
        <f t="shared" ref="G4" si="4">SUM(G5:G7)</f>
        <v>3594946</v>
      </c>
      <c r="H4" s="11">
        <f t="shared" ref="H4" si="5">SUM(H5:H7)</f>
        <v>4234875</v>
      </c>
      <c r="I4" s="11">
        <f t="shared" ref="I4" si="6">SUM(I5:I7)</f>
        <v>5215712</v>
      </c>
      <c r="J4" s="11">
        <f t="shared" ref="J4" si="7">SUM(J5:J7)</f>
        <v>6537798</v>
      </c>
      <c r="K4" s="11">
        <f t="shared" ref="K4" si="8">SUM(K5:K7)</f>
        <v>7784597</v>
      </c>
      <c r="L4" s="11">
        <f t="shared" ref="L4" si="9">SUM(L5:L7)</f>
        <v>6641621</v>
      </c>
      <c r="M4" s="11">
        <f t="shared" ref="M4" si="10">SUM(M5:M7)</f>
        <v>7470444</v>
      </c>
      <c r="N4" s="11">
        <f t="shared" ref="N4" si="11">SUM(N5:N7)</f>
        <v>6832605</v>
      </c>
      <c r="O4" s="11">
        <f t="shared" ref="O4" si="12">SUM(O5:O7)</f>
        <v>6819437</v>
      </c>
      <c r="P4" s="11">
        <f t="shared" ref="P4" si="13">SUM(P5:P7)</f>
        <v>7282295</v>
      </c>
      <c r="Q4" s="11">
        <f t="shared" ref="Q4" si="14">SUM(Q5:Q7)</f>
        <v>8004830</v>
      </c>
      <c r="R4" s="11">
        <f t="shared" ref="R4" si="15">SUM(R5:R7)</f>
        <v>9548985</v>
      </c>
      <c r="S4" s="11">
        <f t="shared" ref="S4" si="16">SUM(S5:S7)</f>
        <v>10920585</v>
      </c>
      <c r="T4" s="11">
        <f t="shared" ref="T4" si="17">SUM(T5:T7)</f>
        <v>12513228</v>
      </c>
      <c r="U4" s="11">
        <f t="shared" ref="U4" si="18">SUM(U5:U7)</f>
        <v>13008988</v>
      </c>
      <c r="V4" s="11">
        <f t="shared" ref="V4:W4" si="19">SUM(V5:V7)</f>
        <v>5835749</v>
      </c>
      <c r="W4" s="11">
        <f t="shared" si="19"/>
        <v>7823834</v>
      </c>
      <c r="X4" s="11">
        <f t="shared" ref="X4:Y4" si="20">SUM(X5:X7)</f>
        <v>11917926</v>
      </c>
      <c r="Y4" s="11">
        <f t="shared" si="20"/>
        <v>13878361</v>
      </c>
      <c r="DA4" s="189" t="s">
        <v>362</v>
      </c>
    </row>
    <row r="5" spans="1:105" ht="11.45" customHeight="1" x14ac:dyDescent="0.25">
      <c r="A5" s="83" t="s">
        <v>27</v>
      </c>
      <c r="B5" s="84">
        <v>261914</v>
      </c>
      <c r="C5" s="84">
        <v>131986</v>
      </c>
      <c r="D5" s="84">
        <v>88936</v>
      </c>
      <c r="E5" s="84">
        <v>90699</v>
      </c>
      <c r="F5" s="84">
        <v>557982</v>
      </c>
      <c r="G5" s="84">
        <v>676859</v>
      </c>
      <c r="H5" s="84">
        <v>739524</v>
      </c>
      <c r="I5" s="84">
        <v>843667</v>
      </c>
      <c r="J5" s="84">
        <v>1158910</v>
      </c>
      <c r="K5" s="84">
        <v>1576714</v>
      </c>
      <c r="L5" s="84">
        <v>1088588</v>
      </c>
      <c r="M5" s="84">
        <v>1234310</v>
      </c>
      <c r="N5" s="84">
        <v>925862</v>
      </c>
      <c r="O5" s="84">
        <v>832110</v>
      </c>
      <c r="P5" s="84">
        <v>791728</v>
      </c>
      <c r="Q5" s="84">
        <v>795412</v>
      </c>
      <c r="R5" s="84">
        <v>1269257</v>
      </c>
      <c r="S5" s="84">
        <v>1766502</v>
      </c>
      <c r="T5" s="84">
        <v>1898172</v>
      </c>
      <c r="U5" s="84">
        <v>1627660</v>
      </c>
      <c r="V5" s="84">
        <v>632244</v>
      </c>
      <c r="W5" s="84">
        <v>1026382</v>
      </c>
      <c r="X5" s="84">
        <v>1292988</v>
      </c>
      <c r="Y5" s="84">
        <v>1258487</v>
      </c>
      <c r="DA5" s="171" t="s">
        <v>363</v>
      </c>
    </row>
    <row r="6" spans="1:105" ht="11.45" customHeight="1" x14ac:dyDescent="0.25">
      <c r="A6" s="83" t="s">
        <v>181</v>
      </c>
      <c r="B6" s="84">
        <v>1584872</v>
      </c>
      <c r="C6" s="84">
        <v>1436189</v>
      </c>
      <c r="D6" s="84">
        <v>1248094</v>
      </c>
      <c r="E6" s="84">
        <v>1548865</v>
      </c>
      <c r="F6" s="84">
        <v>1873936</v>
      </c>
      <c r="G6" s="84">
        <v>2479900</v>
      </c>
      <c r="H6" s="84">
        <v>2969186</v>
      </c>
      <c r="I6" s="84">
        <v>3714979</v>
      </c>
      <c r="J6" s="84">
        <v>4504673</v>
      </c>
      <c r="K6" s="84">
        <v>5349030</v>
      </c>
      <c r="L6" s="84">
        <v>4690271</v>
      </c>
      <c r="M6" s="84">
        <v>5432772</v>
      </c>
      <c r="N6" s="84">
        <v>5086567</v>
      </c>
      <c r="O6" s="84">
        <v>5206108</v>
      </c>
      <c r="P6" s="84">
        <v>5592470</v>
      </c>
      <c r="Q6" s="84">
        <v>6231712</v>
      </c>
      <c r="R6" s="84">
        <v>7206345</v>
      </c>
      <c r="S6" s="84">
        <v>8061015</v>
      </c>
      <c r="T6" s="84">
        <v>9095987</v>
      </c>
      <c r="U6" s="84">
        <v>9674886</v>
      </c>
      <c r="V6" s="84">
        <v>4747330</v>
      </c>
      <c r="W6" s="84">
        <v>5840702</v>
      </c>
      <c r="X6" s="84">
        <v>9120876</v>
      </c>
      <c r="Y6" s="84">
        <v>10590863</v>
      </c>
      <c r="DA6" s="171" t="s">
        <v>364</v>
      </c>
    </row>
    <row r="7" spans="1:105" ht="11.45" customHeight="1" x14ac:dyDescent="0.25">
      <c r="A7" s="85" t="s">
        <v>182</v>
      </c>
      <c r="B7" s="86">
        <v>294479</v>
      </c>
      <c r="C7" s="86">
        <v>267803</v>
      </c>
      <c r="D7" s="86">
        <v>231712</v>
      </c>
      <c r="E7" s="86">
        <v>289394</v>
      </c>
      <c r="F7" s="86">
        <v>351315</v>
      </c>
      <c r="G7" s="86">
        <v>438187</v>
      </c>
      <c r="H7" s="86">
        <v>526165</v>
      </c>
      <c r="I7" s="86">
        <v>657066</v>
      </c>
      <c r="J7" s="86">
        <v>874215</v>
      </c>
      <c r="K7" s="86">
        <v>858853</v>
      </c>
      <c r="L7" s="86">
        <v>862762</v>
      </c>
      <c r="M7" s="86">
        <v>803362</v>
      </c>
      <c r="N7" s="86">
        <v>820176</v>
      </c>
      <c r="O7" s="86">
        <v>781219</v>
      </c>
      <c r="P7" s="86">
        <v>898097</v>
      </c>
      <c r="Q7" s="86">
        <v>977706</v>
      </c>
      <c r="R7" s="86">
        <v>1073383</v>
      </c>
      <c r="S7" s="86">
        <v>1093068</v>
      </c>
      <c r="T7" s="86">
        <v>1519069</v>
      </c>
      <c r="U7" s="86">
        <v>1706442</v>
      </c>
      <c r="V7" s="86">
        <v>456175</v>
      </c>
      <c r="W7" s="86">
        <v>956750</v>
      </c>
      <c r="X7" s="86">
        <v>1504062</v>
      </c>
      <c r="Y7" s="86">
        <v>2029011</v>
      </c>
      <c r="DA7" s="178" t="s">
        <v>365</v>
      </c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DA8" s="181"/>
    </row>
    <row r="9" spans="1:105" ht="11.45" customHeight="1" x14ac:dyDescent="0.25">
      <c r="A9" s="68" t="s">
        <v>36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DA9" s="179"/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DA10" s="181"/>
    </row>
    <row r="11" spans="1:105" ht="11.45" customHeight="1" x14ac:dyDescent="0.25">
      <c r="A11" s="53" t="s">
        <v>68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DA11" s="172"/>
    </row>
    <row r="12" spans="1:105" ht="11.45" customHeight="1" x14ac:dyDescent="0.25">
      <c r="A12" s="10" t="s">
        <v>33</v>
      </c>
      <c r="B12" s="14">
        <f>IF(B4=0,0,B4/TrAvia_act!B24)</f>
        <v>83.548519255530849</v>
      </c>
      <c r="C12" s="14">
        <f>IF(C4=0,0,C4/TrAvia_act!C24)</f>
        <v>85.314962825278812</v>
      </c>
      <c r="D12" s="14">
        <f>IF(D4=0,0,D4/TrAvia_act!D24)</f>
        <v>86.819525153577956</v>
      </c>
      <c r="E12" s="14">
        <f>IF(E4=0,0,E4/TrAvia_act!E24)</f>
        <v>88.978181650445137</v>
      </c>
      <c r="F12" s="14">
        <f>IF(F4=0,0,F4/TrAvia_act!F24)</f>
        <v>89.810680864795088</v>
      </c>
      <c r="G12" s="14">
        <f>IF(G4=0,0,G4/TrAvia_act!G24)</f>
        <v>91.46979797465778</v>
      </c>
      <c r="H12" s="14">
        <f>IF(H4=0,0,H4/TrAvia_act!H24)</f>
        <v>93.745849382388101</v>
      </c>
      <c r="I12" s="14">
        <f>IF(I4=0,0,I4/TrAvia_act!I24)</f>
        <v>95.977623612976828</v>
      </c>
      <c r="J12" s="14">
        <f>IF(J4=0,0,J4/TrAvia_act!J24)</f>
        <v>108.83632428833027</v>
      </c>
      <c r="K12" s="14">
        <f>IF(K4=0,0,K4/TrAvia_act!K24)</f>
        <v>126.66119427269768</v>
      </c>
      <c r="L12" s="14">
        <f>IF(L4=0,0,L4/TrAvia_act!L24)</f>
        <v>103.40050130775937</v>
      </c>
      <c r="M12" s="14">
        <f>IF(M4=0,0,M4/TrAvia_act!M24)</f>
        <v>115.17443187074096</v>
      </c>
      <c r="N12" s="14">
        <f>IF(N4=0,0,N4/TrAvia_act!N24)</f>
        <v>114.55453097493503</v>
      </c>
      <c r="O12" s="14">
        <f>IF(O4=0,0,O4/TrAvia_act!O24)</f>
        <v>118.21035206018479</v>
      </c>
      <c r="P12" s="14">
        <f>IF(P4=0,0,P4/TrAvia_act!P24)</f>
        <v>123.77277517166361</v>
      </c>
      <c r="Q12" s="14">
        <f>IF(Q4=0,0,Q4/TrAvia_act!Q24)</f>
        <v>126.76500863065546</v>
      </c>
      <c r="R12" s="14">
        <f>IF(R4=0,0,R4/TrAvia_act!R24)</f>
        <v>129.82984364377975</v>
      </c>
      <c r="S12" s="14">
        <f>IF(S4=0,0,S4/TrAvia_act!S24)</f>
        <v>132.28734615757341</v>
      </c>
      <c r="T12" s="14">
        <f>IF(T4=0,0,T4/TrAvia_act!T24)</f>
        <v>142.71310774284052</v>
      </c>
      <c r="U12" s="14">
        <f>IF(U4=0,0,U4/TrAvia_act!U24)</f>
        <v>144.19503868407634</v>
      </c>
      <c r="V12" s="14">
        <f>IF(V4=0,0,V4/TrAvia_act!V24)</f>
        <v>163.73696024241744</v>
      </c>
      <c r="W12" s="14">
        <f>IF(W4=0,0,W4/TrAvia_act!W24)</f>
        <v>148.37257021486411</v>
      </c>
      <c r="X12" s="14">
        <f>IF(X4=0,0,X4/TrAvia_act!X24)</f>
        <v>158.28099766255843</v>
      </c>
      <c r="Y12" s="14">
        <f>IF(Y4=0,0,Y4/TrAvia_act!Y24)</f>
        <v>166.18204351418342</v>
      </c>
      <c r="DA12" s="189" t="s">
        <v>366</v>
      </c>
    </row>
    <row r="13" spans="1:105" ht="11.45" customHeight="1" x14ac:dyDescent="0.25">
      <c r="A13" s="83" t="s">
        <v>27</v>
      </c>
      <c r="B13" s="87">
        <f>IF(B5=0,0,B5/TrAvia_act!B25)</f>
        <v>72.673140954495011</v>
      </c>
      <c r="C13" s="87">
        <f>IF(C5=0,0,C5/TrAvia_act!C25)</f>
        <v>73.162971175166291</v>
      </c>
      <c r="D13" s="87">
        <f>IF(D5=0,0,D5/TrAvia_act!D25)</f>
        <v>73.867109634551497</v>
      </c>
      <c r="E13" s="87">
        <f>IF(E5=0,0,E5/TrAvia_act!E25)</f>
        <v>75.268879668049792</v>
      </c>
      <c r="F13" s="87">
        <f>IF(F5=0,0,F5/TrAvia_act!F25)</f>
        <v>78.83328623905058</v>
      </c>
      <c r="G13" s="87">
        <f>IF(G5=0,0,G5/TrAvia_act!G25)</f>
        <v>78.952408725067073</v>
      </c>
      <c r="H13" s="87">
        <f>IF(H5=0,0,H5/TrAvia_act!H25)</f>
        <v>79.913983142424897</v>
      </c>
      <c r="I13" s="87">
        <f>IF(I5=0,0,I5/TrAvia_act!I25)</f>
        <v>80.826499329373448</v>
      </c>
      <c r="J13" s="87">
        <f>IF(J5=0,0,J5/TrAvia_act!J25)</f>
        <v>99.451643353642837</v>
      </c>
      <c r="K13" s="87">
        <f>IF(K5=0,0,K5/TrAvia_act!K25)</f>
        <v>126.21789945565162</v>
      </c>
      <c r="L13" s="87">
        <f>IF(L5=0,0,L5/TrAvia_act!L25)</f>
        <v>75.329596567711576</v>
      </c>
      <c r="M13" s="87">
        <f>IF(M5=0,0,M5/TrAvia_act!M25)</f>
        <v>91.845375399955358</v>
      </c>
      <c r="N13" s="87">
        <f>IF(N5=0,0,N5/TrAvia_act!N25)</f>
        <v>78.542755344418055</v>
      </c>
      <c r="O13" s="87">
        <f>IF(O5=0,0,O5/TrAvia_act!O25)</f>
        <v>72.667015981137013</v>
      </c>
      <c r="P13" s="87">
        <f>IF(P5=0,0,P5/TrAvia_act!P25)</f>
        <v>75.966992899635386</v>
      </c>
      <c r="Q13" s="87">
        <f>IF(Q5=0,0,Q5/TrAvia_act!Q25)</f>
        <v>77.246965135476358</v>
      </c>
      <c r="R13" s="87">
        <f>IF(R5=0,0,R5/TrAvia_act!R25)</f>
        <v>91.458207234471828</v>
      </c>
      <c r="S13" s="87">
        <f>IF(S5=0,0,S5/TrAvia_act!S25)</f>
        <v>107.11915590321993</v>
      </c>
      <c r="T13" s="87">
        <f>IF(T5=0,0,T5/TrAvia_act!T25)</f>
        <v>112.5576375711575</v>
      </c>
      <c r="U13" s="87">
        <f>IF(U5=0,0,U5/TrAvia_act!U25)</f>
        <v>100.41705225492011</v>
      </c>
      <c r="V13" s="87">
        <f>IF(V5=0,0,V5/TrAvia_act!V25)</f>
        <v>87.350649350649348</v>
      </c>
      <c r="W13" s="87">
        <f>IF(W5=0,0,W5/TrAvia_act!W25)</f>
        <v>115.94916403072752</v>
      </c>
      <c r="X13" s="87">
        <f>IF(X5=0,0,X5/TrAvia_act!X25)</f>
        <v>109.26043603177285</v>
      </c>
      <c r="Y13" s="87">
        <f>IF(Y5=0,0,Y5/TrAvia_act!Y25)</f>
        <v>105.77298705664818</v>
      </c>
      <c r="DA13" s="171" t="s">
        <v>367</v>
      </c>
    </row>
    <row r="14" spans="1:105" ht="11.45" customHeight="1" x14ac:dyDescent="0.25">
      <c r="A14" s="83" t="s">
        <v>181</v>
      </c>
      <c r="B14" s="87">
        <f>IF(B6=0,0,B6/TrAvia_act!B26)</f>
        <v>88.229805711740795</v>
      </c>
      <c r="C14" s="87">
        <f>IF(C6=0,0,C6/TrAvia_act!C26)</f>
        <v>89.315236318407955</v>
      </c>
      <c r="D14" s="87">
        <f>IF(D6=0,0,D6/TrAvia_act!D26)</f>
        <v>90.737477280988728</v>
      </c>
      <c r="E14" s="87">
        <f>IF(E6=0,0,E6/TrAvia_act!E26)</f>
        <v>92.757515870164085</v>
      </c>
      <c r="F14" s="87">
        <f>IF(F6=0,0,F6/TrAvia_act!F26)</f>
        <v>96.089426725464051</v>
      </c>
      <c r="G14" s="87">
        <f>IF(G6=0,0,G6/TrAvia_act!G26)</f>
        <v>97.514844087924189</v>
      </c>
      <c r="H14" s="87">
        <f>IF(H6=0,0,H6/TrAvia_act!H26)</f>
        <v>99.670560590802282</v>
      </c>
      <c r="I14" s="87">
        <f>IF(I6=0,0,I6/TrAvia_act!I26)</f>
        <v>101.88911439620416</v>
      </c>
      <c r="J14" s="87">
        <f>IF(J6=0,0,J6/TrAvia_act!J26)</f>
        <v>111.91734161490683</v>
      </c>
      <c r="K14" s="87">
        <f>IF(K6=0,0,K6/TrAvia_act!K26)</f>
        <v>128.70930484371615</v>
      </c>
      <c r="L14" s="87">
        <f>IF(L6=0,0,L6/TrAvia_act!L26)</f>
        <v>110.85752440379116</v>
      </c>
      <c r="M14" s="87">
        <f>IF(M6=0,0,M6/TrAvia_act!M26)</f>
        <v>124.85686707115279</v>
      </c>
      <c r="N14" s="87">
        <f>IF(N6=0,0,N6/TrAvia_act!N26)</f>
        <v>128.83581976140422</v>
      </c>
      <c r="O14" s="87">
        <f>IF(O6=0,0,O6/TrAvia_act!O26)</f>
        <v>133.65101532616231</v>
      </c>
      <c r="P14" s="87">
        <f>IF(P6=0,0,P6/TrAvia_act!P26)</f>
        <v>138.06522490495234</v>
      </c>
      <c r="Q14" s="87">
        <f>IF(Q6=0,0,Q6/TrAvia_act!Q26)</f>
        <v>139.46806320218431</v>
      </c>
      <c r="R14" s="87">
        <f>IF(R6=0,0,R6/TrAvia_act!R26)</f>
        <v>142.13698224852072</v>
      </c>
      <c r="S14" s="87">
        <f>IF(S6=0,0,S6/TrAvia_act!S26)</f>
        <v>144.40311341203446</v>
      </c>
      <c r="T14" s="87">
        <f>IF(T6=0,0,T6/TrAvia_act!T26)</f>
        <v>154.88594683876241</v>
      </c>
      <c r="U14" s="87">
        <f>IF(U6=0,0,U6/TrAvia_act!U26)</f>
        <v>159.0819343275729</v>
      </c>
      <c r="V14" s="87">
        <f>IF(V6=0,0,V6/TrAvia_act!V26)</f>
        <v>191.51726641923511</v>
      </c>
      <c r="W14" s="87">
        <f>IF(W6=0,0,W6/TrAvia_act!W26)</f>
        <v>161.26962476185216</v>
      </c>
      <c r="X14" s="87">
        <f>IF(X6=0,0,X6/TrAvia_act!X26)</f>
        <v>170.95338593893501</v>
      </c>
      <c r="Y14" s="87">
        <f>IF(Y6=0,0,Y6/TrAvia_act!Y26)</f>
        <v>178.73064331038208</v>
      </c>
      <c r="DA14" s="171" t="s">
        <v>368</v>
      </c>
    </row>
    <row r="15" spans="1:105" ht="11.45" customHeight="1" x14ac:dyDescent="0.25">
      <c r="A15" s="85" t="s">
        <v>182</v>
      </c>
      <c r="B15" s="88">
        <f>IF(B7=0,0,B7/TrAvia_act!B27)</f>
        <v>72.496061053668143</v>
      </c>
      <c r="C15" s="88">
        <f>IF(C7=0,0,C7/TrAvia_act!C27)</f>
        <v>73.653190319031907</v>
      </c>
      <c r="D15" s="88">
        <f>IF(D7=0,0,D7/TrAvia_act!D27)</f>
        <v>74.505466237942116</v>
      </c>
      <c r="E15" s="88">
        <f>IF(E7=0,0,E7/TrAvia_act!E27)</f>
        <v>76.64036016949153</v>
      </c>
      <c r="F15" s="88">
        <f>IF(F7=0,0,F7/TrAvia_act!F27)</f>
        <v>79.663265306122454</v>
      </c>
      <c r="G15" s="88">
        <f>IF(G7=0,0,G7/TrAvia_act!G27)</f>
        <v>82.708003020007553</v>
      </c>
      <c r="H15" s="88">
        <f>IF(H7=0,0,H7/TrAvia_act!H27)</f>
        <v>85.834420880913541</v>
      </c>
      <c r="I15" s="88">
        <f>IF(I7=0,0,I7/TrAvia_act!I27)</f>
        <v>88.267866738312733</v>
      </c>
      <c r="J15" s="88">
        <f>IF(J7=0,0,J7/TrAvia_act!J27)</f>
        <v>107.04236561772989</v>
      </c>
      <c r="K15" s="88">
        <f>IF(K7=0,0,K7/TrAvia_act!K27)</f>
        <v>115.92023215008773</v>
      </c>
      <c r="L15" s="88">
        <f>IF(L7=0,0,L7/TrAvia_act!L27)</f>
        <v>115.46600642398288</v>
      </c>
      <c r="M15" s="88">
        <f>IF(M7=0,0,M7/TrAvia_act!M27)</f>
        <v>101.54999367968651</v>
      </c>
      <c r="N15" s="88">
        <f>IF(N7=0,0,N7/TrAvia_act!N27)</f>
        <v>97.919770773638973</v>
      </c>
      <c r="O15" s="88">
        <f>IF(O7=0,0,O7/TrAvia_act!O27)</f>
        <v>107.23665065202471</v>
      </c>
      <c r="P15" s="88">
        <f>IF(P7=0,0,P7/TrAvia_act!P27)</f>
        <v>113.5681588265048</v>
      </c>
      <c r="Q15" s="88">
        <f>IF(Q7=0,0,Q7/TrAvia_act!Q27)</f>
        <v>119.69955925563174</v>
      </c>
      <c r="R15" s="88">
        <f>IF(R7=0,0,R7/TrAvia_act!R27)</f>
        <v>119.6369817209095</v>
      </c>
      <c r="S15" s="88">
        <f>IF(S7=0,0,S7/TrAvia_act!S27)</f>
        <v>106.7657745653448</v>
      </c>
      <c r="T15" s="88">
        <f>IF(T7=0,0,T7/TrAvia_act!T27)</f>
        <v>125.64673283705542</v>
      </c>
      <c r="U15" s="88">
        <f>IF(U7=0,0,U7/TrAvia_act!U27)</f>
        <v>129.3543056397817</v>
      </c>
      <c r="V15" s="88">
        <f>IF(V7=0,0,V7/TrAvia_act!V27)</f>
        <v>126.18948824343015</v>
      </c>
      <c r="W15" s="88">
        <f>IF(W7=0,0,W7/TrAvia_act!W27)</f>
        <v>124.86948577394936</v>
      </c>
      <c r="X15" s="88">
        <f>IF(X7=0,0,X7/TrAvia_act!X27)</f>
        <v>148.78444950044513</v>
      </c>
      <c r="Y15" s="88">
        <f>IF(Y7=0,0,Y7/TrAvia_act!Y27)</f>
        <v>164.17274860425601</v>
      </c>
      <c r="DA15" s="178" t="s">
        <v>369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69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DA17" s="183"/>
    </row>
    <row r="18" spans="1:105" ht="11.45" customHeight="1" x14ac:dyDescent="0.25">
      <c r="A18" s="10" t="s">
        <v>33</v>
      </c>
      <c r="B18" s="25">
        <f>IF(TrAvia_act!B34=0,0,(TrAvia_act!B34/TrAvia_act!B24)/TrAvia_png!B12)</f>
        <v>0.73621340656107481</v>
      </c>
      <c r="C18" s="25">
        <f>IF(TrAvia_act!C34=0,0,(TrAvia_act!C34/TrAvia_act!C24)/TrAvia_png!C12)</f>
        <v>0.7464424954983121</v>
      </c>
      <c r="D18" s="25">
        <f>IF(TrAvia_act!D34=0,0,(TrAvia_act!D34/TrAvia_act!D24)/TrAvia_png!D12)</f>
        <v>0.74862023200755756</v>
      </c>
      <c r="E18" s="25">
        <f>IF(TrAvia_act!E34=0,0,(TrAvia_act!E34/TrAvia_act!E24)/TrAvia_png!E12)</f>
        <v>0.74571659932460932</v>
      </c>
      <c r="F18" s="25">
        <f>IF(TrAvia_act!F34=0,0,(TrAvia_act!F34/TrAvia_act!F24)/TrAvia_png!F12)</f>
        <v>0.69559645203976816</v>
      </c>
      <c r="G18" s="25">
        <f>IF(TrAvia_act!G34=0,0,(TrAvia_act!G34/TrAvia_act!G24)/TrAvia_png!G12)</f>
        <v>0.69865972952027644</v>
      </c>
      <c r="H18" s="25">
        <f>IF(TrAvia_act!H34=0,0,(TrAvia_act!H34/TrAvia_act!H24)/TrAvia_png!H12)</f>
        <v>0.70087782992414172</v>
      </c>
      <c r="I18" s="25">
        <f>IF(TrAvia_act!I34=0,0,(TrAvia_act!I34/TrAvia_act!I24)/TrAvia_png!I12)</f>
        <v>0.70639579025835786</v>
      </c>
      <c r="J18" s="25">
        <f>IF(TrAvia_act!J34=0,0,(TrAvia_act!J34/TrAvia_act!J24)/TrAvia_png!J12)</f>
        <v>0.65051336856843855</v>
      </c>
      <c r="K18" s="25">
        <f>IF(TrAvia_act!K34=0,0,(TrAvia_act!K34/TrAvia_act!K24)/TrAvia_png!K12)</f>
        <v>0.5385397599901447</v>
      </c>
      <c r="L18" s="25">
        <f>IF(TrAvia_act!L34=0,0,(TrAvia_act!L34/TrAvia_act!L24)/TrAvia_png!L12)</f>
        <v>0.7102320352215219</v>
      </c>
      <c r="M18" s="25">
        <f>IF(TrAvia_act!M34=0,0,(TrAvia_act!M34/TrAvia_act!M24)/TrAvia_png!M12)</f>
        <v>0.69527969154176117</v>
      </c>
      <c r="N18" s="25">
        <f>IF(TrAvia_act!N34=0,0,(TrAvia_act!N34/TrAvia_act!N24)/TrAvia_png!N12)</f>
        <v>0.74944680689136867</v>
      </c>
      <c r="O18" s="25">
        <f>IF(TrAvia_act!O34=0,0,(TrAvia_act!O34/TrAvia_act!O24)/TrAvia_png!O12)</f>
        <v>0.78076518633429715</v>
      </c>
      <c r="P18" s="25">
        <f>IF(TrAvia_act!P34=0,0,(TrAvia_act!P34/TrAvia_act!P24)/TrAvia_png!P12)</f>
        <v>0.79125262022480547</v>
      </c>
      <c r="Q18" s="25">
        <f>IF(TrAvia_act!Q34=0,0,(TrAvia_act!Q34/TrAvia_act!Q24)/TrAvia_png!Q12)</f>
        <v>0.82575082793763266</v>
      </c>
      <c r="R18" s="25">
        <f>IF(TrAvia_act!R34=0,0,(TrAvia_act!R34/TrAvia_act!R24)/TrAvia_png!R12)</f>
        <v>0.84457971187513636</v>
      </c>
      <c r="S18" s="25">
        <f>IF(TrAvia_act!S34=0,0,(TrAvia_act!S34/TrAvia_act!S24)/TrAvia_png!S12)</f>
        <v>0.88740557396879371</v>
      </c>
      <c r="T18" s="25">
        <f>IF(TrAvia_act!T34=0,0,(TrAvia_act!T34/TrAvia_act!T24)/TrAvia_png!T12)</f>
        <v>0.84841033824365708</v>
      </c>
      <c r="U18" s="25">
        <f>IF(TrAvia_act!U34=0,0,(TrAvia_act!U34/TrAvia_act!U24)/TrAvia_png!U12)</f>
        <v>0.88027385373866129</v>
      </c>
      <c r="V18" s="25">
        <f>IF(TrAvia_act!V34=0,0,(TrAvia_act!V34/TrAvia_act!V24)/TrAvia_png!V12)</f>
        <v>0.61228832837053138</v>
      </c>
      <c r="W18" s="25">
        <f>IF(TrAvia_act!W34=0,0,(TrAvia_act!W34/TrAvia_act!W24)/TrAvia_png!W12)</f>
        <v>0.71556400608704118</v>
      </c>
      <c r="X18" s="25">
        <f>IF(TrAvia_act!X34=0,0,(TrAvia_act!X34/TrAvia_act!X24)/TrAvia_png!X12)</f>
        <v>0.86239375877984137</v>
      </c>
      <c r="Y18" s="25">
        <f>IF(TrAvia_act!Y34=0,0,(TrAvia_act!Y34/TrAvia_act!Y24)/TrAvia_png!Y12)</f>
        <v>0.85737833163440558</v>
      </c>
      <c r="DA18" s="190"/>
    </row>
    <row r="19" spans="1:105" ht="11.45" customHeight="1" x14ac:dyDescent="0.25">
      <c r="A19" s="83" t="s">
        <v>27</v>
      </c>
      <c r="B19" s="89">
        <f>IF(TrAvia_act!B35=0,0,(TrAvia_act!B35/TrAvia_act!B25)/TrAvia_png!B13)</f>
        <v>0.53045656207762859</v>
      </c>
      <c r="C19" s="89">
        <f>IF(TrAvia_act!C35=0,0,(TrAvia_act!C35/TrAvia_act!C25)/TrAvia_png!C13)</f>
        <v>0.52850302304789898</v>
      </c>
      <c r="D19" s="89">
        <f>IF(TrAvia_act!D35=0,0,(TrAvia_act!D35/TrAvia_act!D25)/TrAvia_png!D13)</f>
        <v>0.52705316182423312</v>
      </c>
      <c r="E19" s="89">
        <f>IF(TrAvia_act!E35=0,0,(TrAvia_act!E35/TrAvia_act!E25)/TrAvia_png!E13)</f>
        <v>0.52107520479828884</v>
      </c>
      <c r="F19" s="89">
        <f>IF(TrAvia_act!F35=0,0,(TrAvia_act!F35/TrAvia_act!F25)/TrAvia_png!F13)</f>
        <v>0.50150542490617978</v>
      </c>
      <c r="G19" s="89">
        <f>IF(TrAvia_act!G35=0,0,(TrAvia_act!G35/TrAvia_act!G25)/TrAvia_png!G13)</f>
        <v>0.50444479574032408</v>
      </c>
      <c r="H19" s="89">
        <f>IF(TrAvia_act!H35=0,0,(TrAvia_act!H35/TrAvia_act!H25)/TrAvia_png!H13)</f>
        <v>0.50313309642418635</v>
      </c>
      <c r="I19" s="89">
        <f>IF(TrAvia_act!I35=0,0,(TrAvia_act!I35/TrAvia_act!I25)/TrAvia_png!I13)</f>
        <v>0.50807960960900445</v>
      </c>
      <c r="J19" s="89">
        <f>IF(TrAvia_act!J35=0,0,(TrAvia_act!J35/TrAvia_act!J25)/TrAvia_png!J13)</f>
        <v>0.44757660215202216</v>
      </c>
      <c r="K19" s="89">
        <f>IF(TrAvia_act!K35=0,0,(TrAvia_act!K35/TrAvia_act!K25)/TrAvia_png!K13)</f>
        <v>0.301045719134859</v>
      </c>
      <c r="L19" s="89">
        <f>IF(TrAvia_act!L35=0,0,(TrAvia_act!L35/TrAvia_act!L25)/TrAvia_png!L13)</f>
        <v>0.54532293209184746</v>
      </c>
      <c r="M19" s="89">
        <f>IF(TrAvia_act!M35=0,0,(TrAvia_act!M35/TrAvia_act!M25)/TrAvia_png!M13)</f>
        <v>0.48596786868776887</v>
      </c>
      <c r="N19" s="89">
        <f>IF(TrAvia_act!N35=0,0,(TrAvia_act!N35/TrAvia_act!N25)/TrAvia_png!N13)</f>
        <v>0.5788767656519006</v>
      </c>
      <c r="O19" s="89">
        <f>IF(TrAvia_act!O35=0,0,(TrAvia_act!O35/TrAvia_act!O25)/TrAvia_png!O13)</f>
        <v>0.63840718174279842</v>
      </c>
      <c r="P19" s="89">
        <f>IF(TrAvia_act!P35=0,0,(TrAvia_act!P35/TrAvia_act!P25)/TrAvia_png!P13)</f>
        <v>0.60733357920902131</v>
      </c>
      <c r="Q19" s="89">
        <f>IF(TrAvia_act!Q35=0,0,(TrAvia_act!Q35/TrAvia_act!Q25)/TrAvia_png!Q13)</f>
        <v>0.62944738072847783</v>
      </c>
      <c r="R19" s="89">
        <f>IF(TrAvia_act!R35=0,0,(TrAvia_act!R35/TrAvia_act!R25)/TrAvia_png!R13)</f>
        <v>0.68524971696039494</v>
      </c>
      <c r="S19" s="89">
        <f>IF(TrAvia_act!S35=0,0,(TrAvia_act!S35/TrAvia_act!S25)/TrAvia_png!S13)</f>
        <v>0.74919530235459686</v>
      </c>
      <c r="T19" s="89">
        <f>IF(TrAvia_act!T35=0,0,(TrAvia_act!T35/TrAvia_act!T25)/TrAvia_png!T13)</f>
        <v>0.70422543373308633</v>
      </c>
      <c r="U19" s="89">
        <f>IF(TrAvia_act!U35=0,0,(TrAvia_act!U35/TrAvia_act!U25)/TrAvia_png!U13)</f>
        <v>0.78345477556737897</v>
      </c>
      <c r="V19" s="89">
        <f>IF(TrAvia_act!V35=0,0,(TrAvia_act!V35/TrAvia_act!V25)/TrAvia_png!V13)</f>
        <v>0.67360386180019105</v>
      </c>
      <c r="W19" s="89">
        <f>IF(TrAvia_act!W35=0,0,(TrAvia_act!W35/TrAvia_act!W25)/TrAvia_png!W13)</f>
        <v>0.61210153724441774</v>
      </c>
      <c r="X19" s="89">
        <f>IF(TrAvia_act!X35=0,0,(TrAvia_act!X35/TrAvia_act!X25)/TrAvia_png!X13)</f>
        <v>0.71169105977781688</v>
      </c>
      <c r="Y19" s="89">
        <f>IF(TrAvia_act!Y35=0,0,(TrAvia_act!Y35/TrAvia_act!Y25)/TrAvia_png!Y13)</f>
        <v>0.67163665576203802</v>
      </c>
      <c r="DA19" s="191"/>
    </row>
    <row r="20" spans="1:105" ht="11.45" customHeight="1" x14ac:dyDescent="0.25">
      <c r="A20" s="83" t="s">
        <v>181</v>
      </c>
      <c r="B20" s="89">
        <f>IF(TrAvia_act!B36=0,0,(TrAvia_act!B36/TrAvia_act!B26)/TrAvia_png!B14)</f>
        <v>0.75687374122326601</v>
      </c>
      <c r="C20" s="89">
        <f>IF(TrAvia_act!C36=0,0,(TrAvia_act!C36/TrAvia_act!C26)/TrAvia_png!C14)</f>
        <v>0.7558608233317482</v>
      </c>
      <c r="D20" s="89">
        <f>IF(TrAvia_act!D36=0,0,(TrAvia_act!D36/TrAvia_act!D26)/TrAvia_png!D14)</f>
        <v>0.75532532004800934</v>
      </c>
      <c r="E20" s="89">
        <f>IF(TrAvia_act!E36=0,0,(TrAvia_act!E36/TrAvia_act!E26)/TrAvia_png!E14)</f>
        <v>0.75248908071394216</v>
      </c>
      <c r="F20" s="89">
        <f>IF(TrAvia_act!F36=0,0,(TrAvia_act!F36/TrAvia_act!F26)/TrAvia_png!F14)</f>
        <v>0.74136203157418401</v>
      </c>
      <c r="G20" s="89">
        <f>IF(TrAvia_act!G36=0,0,(TrAvia_act!G36/TrAvia_act!G26)/TrAvia_png!G14)</f>
        <v>0.74240211298842695</v>
      </c>
      <c r="H20" s="89">
        <f>IF(TrAvia_act!H36=0,0,(TrAvia_act!H36/TrAvia_act!H26)/TrAvia_png!H14)</f>
        <v>0.74242401789581391</v>
      </c>
      <c r="I20" s="89">
        <f>IF(TrAvia_act!I36=0,0,(TrAvia_act!I36/TrAvia_act!I26)/TrAvia_png!I14)</f>
        <v>0.74506585366969769</v>
      </c>
      <c r="J20" s="89">
        <f>IF(TrAvia_act!J36=0,0,(TrAvia_act!J36/TrAvia_act!J26)/TrAvia_png!J14)</f>
        <v>0.71369464553808903</v>
      </c>
      <c r="K20" s="89">
        <f>IF(TrAvia_act!K36=0,0,(TrAvia_act!K36/TrAvia_act!K26)/TrAvia_png!K14)</f>
        <v>0.60757333572629058</v>
      </c>
      <c r="L20" s="89">
        <f>IF(TrAvia_act!L36=0,0,(TrAvia_act!L36/TrAvia_act!L26)/TrAvia_png!L14)</f>
        <v>0.76591437893460745</v>
      </c>
      <c r="M20" s="89">
        <f>IF(TrAvia_act!M36=0,0,(TrAvia_act!M36/TrAvia_act!M26)/TrAvia_png!M14)</f>
        <v>0.7509488710367378</v>
      </c>
      <c r="N20" s="89">
        <f>IF(TrAvia_act!N36=0,0,(TrAvia_act!N36/TrAvia_act!N26)/TrAvia_png!N14)</f>
        <v>0.79043075614653258</v>
      </c>
      <c r="O20" s="89">
        <f>IF(TrAvia_act!O36=0,0,(TrAvia_act!O36/TrAvia_act!O26)/TrAvia_png!O14)</f>
        <v>0.81270538375308377</v>
      </c>
      <c r="P20" s="89">
        <f>IF(TrAvia_act!P36=0,0,(TrAvia_act!P36/TrAvia_act!P26)/TrAvia_png!P14)</f>
        <v>0.81894869351109623</v>
      </c>
      <c r="Q20" s="89">
        <f>IF(TrAvia_act!Q36=0,0,(TrAvia_act!Q36/TrAvia_act!Q26)/TrAvia_png!Q14)</f>
        <v>0.85076492623535893</v>
      </c>
      <c r="R20" s="89">
        <f>IF(TrAvia_act!R36=0,0,(TrAvia_act!R36/TrAvia_act!R26)/TrAvia_png!R14)</f>
        <v>0.87944762566876822</v>
      </c>
      <c r="S20" s="89">
        <f>IF(TrAvia_act!S36=0,0,(TrAvia_act!S36/TrAvia_act!S26)/TrAvia_png!S14)</f>
        <v>0.91580911336847781</v>
      </c>
      <c r="T20" s="89">
        <f>IF(TrAvia_act!T36=0,0,(TrAvia_act!T36/TrAvia_act!T26)/TrAvia_png!T14)</f>
        <v>0.88132788668233586</v>
      </c>
      <c r="U20" s="89">
        <f>IF(TrAvia_act!U36=0,0,(TrAvia_act!U36/TrAvia_act!U26)/TrAvia_png!U14)</f>
        <v>0.90183532911912334</v>
      </c>
      <c r="V20" s="89">
        <f>IF(TrAvia_act!V36=0,0,(TrAvia_act!V36/TrAvia_act!V26)/TrAvia_png!V14)</f>
        <v>0.59203489119146979</v>
      </c>
      <c r="W20" s="89">
        <f>IF(TrAvia_act!W36=0,0,(TrAvia_act!W36/TrAvia_act!W26)/TrAvia_png!W14)</f>
        <v>0.72042864025591447</v>
      </c>
      <c r="X20" s="89">
        <f>IF(TrAvia_act!X36=0,0,(TrAvia_act!X36/TrAvia_act!X26)/TrAvia_png!X14)</f>
        <v>0.88434542910132763</v>
      </c>
      <c r="Y20" s="89">
        <f>IF(TrAvia_act!Y36=0,0,(TrAvia_act!Y36/TrAvia_act!Y26)/TrAvia_png!Y14)</f>
        <v>0.89328301196984605</v>
      </c>
      <c r="DA20" s="191"/>
    </row>
    <row r="21" spans="1:105" ht="11.45" customHeight="1" x14ac:dyDescent="0.25">
      <c r="A21" s="85" t="s">
        <v>182</v>
      </c>
      <c r="B21" s="90">
        <f>IF(TrAvia_act!B37=0,0,(TrAvia_act!B37/TrAvia_act!B27)/TrAvia_png!B15)</f>
        <v>0.80802366212870869</v>
      </c>
      <c r="C21" s="90">
        <f>IF(TrAvia_act!C37=0,0,(TrAvia_act!C37/TrAvia_act!C27)/TrAvia_png!C15)</f>
        <v>0.8033442493175954</v>
      </c>
      <c r="D21" s="90">
        <f>IF(TrAvia_act!D37=0,0,(TrAvia_act!D37/TrAvia_act!D27)/TrAvia_png!D15)</f>
        <v>0.79754609170004154</v>
      </c>
      <c r="E21" s="90">
        <f>IF(TrAvia_act!E37=0,0,(TrAvia_act!E37/TrAvia_act!E27)/TrAvia_png!E15)</f>
        <v>0.77987449636136197</v>
      </c>
      <c r="F21" s="90">
        <f>IF(TrAvia_act!F37=0,0,(TrAvia_act!F37/TrAvia_act!F27)/TrAvia_png!F15)</f>
        <v>0.75974837396638339</v>
      </c>
      <c r="G21" s="90">
        <f>IF(TrAvia_act!G37=0,0,(TrAvia_act!G37/TrAvia_act!G27)/TrAvia_png!G15)</f>
        <v>0.75110169858987141</v>
      </c>
      <c r="H21" s="90">
        <f>IF(TrAvia_act!H37=0,0,(TrAvia_act!H37/TrAvia_act!H27)/TrAvia_png!H15)</f>
        <v>0.7443596590423156</v>
      </c>
      <c r="I21" s="90">
        <f>IF(TrAvia_act!I37=0,0,(TrAvia_act!I37/TrAvia_act!I27)/TrAvia_png!I15)</f>
        <v>0.74239574106710737</v>
      </c>
      <c r="J21" s="90">
        <f>IF(TrAvia_act!J37=0,0,(TrAvia_act!J37/TrAvia_act!J27)/TrAvia_png!J15)</f>
        <v>0.59397631017541452</v>
      </c>
      <c r="K21" s="90">
        <f>IF(TrAvia_act!K37=0,0,(TrAvia_act!K37/TrAvia_act!K27)/TrAvia_png!K15)</f>
        <v>0.54459144929341807</v>
      </c>
      <c r="L21" s="90">
        <f>IF(TrAvia_act!L37=0,0,(TrAvia_act!L37/TrAvia_act!L27)/TrAvia_png!L15)</f>
        <v>0.61559734897920859</v>
      </c>
      <c r="M21" s="90">
        <f>IF(TrAvia_act!M37=0,0,(TrAvia_act!M37/TrAvia_act!M27)/TrAvia_png!M15)</f>
        <v>0.64040743774288555</v>
      </c>
      <c r="N21" s="90">
        <f>IF(TrAvia_act!N37=0,0,(TrAvia_act!N37/TrAvia_act!N27)/TrAvia_png!N15)</f>
        <v>0.68782188213261541</v>
      </c>
      <c r="O21" s="90">
        <f>IF(TrAvia_act!O37=0,0,(TrAvia_act!O37/TrAvia_act!O27)/TrAvia_png!O15)</f>
        <v>0.71954471153415367</v>
      </c>
      <c r="P21" s="90">
        <f>IF(TrAvia_act!P37=0,0,(TrAvia_act!P37/TrAvia_act!P27)/TrAvia_png!P15)</f>
        <v>0.78092455492001422</v>
      </c>
      <c r="Q21" s="90">
        <f>IF(TrAvia_act!Q37=0,0,(TrAvia_act!Q37/TrAvia_act!Q27)/TrAvia_png!Q15)</f>
        <v>0.82601825088523539</v>
      </c>
      <c r="R21" s="90">
        <f>IF(TrAvia_act!R37=0,0,(TrAvia_act!R37/TrAvia_act!R27)/TrAvia_png!R15)</f>
        <v>0.79889284626270385</v>
      </c>
      <c r="S21" s="90">
        <f>IF(TrAvia_act!S37=0,0,(TrAvia_act!S37/TrAvia_act!S27)/TrAvia_png!S15)</f>
        <v>0.90129982764109828</v>
      </c>
      <c r="T21" s="90">
        <f>IF(TrAvia_act!T37=0,0,(TrAvia_act!T37/TrAvia_act!T27)/TrAvia_png!T15)</f>
        <v>0.83147243476102795</v>
      </c>
      <c r="U21" s="90">
        <f>IF(TrAvia_act!U37=0,0,(TrAvia_act!U37/TrAvia_act!U27)/TrAvia_png!U15)</f>
        <v>0.85037756923469998</v>
      </c>
      <c r="V21" s="90">
        <f>IF(TrAvia_act!V37=0,0,(TrAvia_act!V37/TrAvia_act!V27)/TrAvia_png!V15)</f>
        <v>0.738080780402258</v>
      </c>
      <c r="W21" s="90">
        <f>IF(TrAvia_act!W37=0,0,(TrAvia_act!W37/TrAvia_act!W27)/TrAvia_png!W15)</f>
        <v>0.79685915860987711</v>
      </c>
      <c r="X21" s="90">
        <f>IF(TrAvia_act!X37=0,0,(TrAvia_act!X37/TrAvia_act!X27)/TrAvia_png!X15)</f>
        <v>0.85882895784881208</v>
      </c>
      <c r="Y21" s="90">
        <f>IF(TrAvia_act!Y37=0,0,(TrAvia_act!Y37/TrAvia_act!Y27)/TrAvia_png!Y15)</f>
        <v>0.78517169202138382</v>
      </c>
      <c r="DA21" s="192"/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DA22" s="181"/>
    </row>
    <row r="23" spans="1:105" ht="11.45" customHeight="1" x14ac:dyDescent="0.25">
      <c r="A23" s="53" t="s">
        <v>70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DA23" s="172"/>
    </row>
    <row r="24" spans="1:105" ht="11.45" customHeight="1" x14ac:dyDescent="0.25">
      <c r="A24" s="10" t="s">
        <v>33</v>
      </c>
      <c r="B24" s="23">
        <f>IF(TrAvia_ene!B6=0,0,TrAvia_ene!B6/(B12*TrAvia_act!B14))</f>
        <v>5.6582691849209388E-2</v>
      </c>
      <c r="C24" s="23">
        <f>IF(TrAvia_ene!C6=0,0,TrAvia_ene!C6/(C12*TrAvia_act!C14))</f>
        <v>5.5291649227154342E-2</v>
      </c>
      <c r="D24" s="23">
        <f>IF(TrAvia_ene!D6=0,0,TrAvia_ene!D6/(D12*TrAvia_act!D14))</f>
        <v>5.4166726502774459E-2</v>
      </c>
      <c r="E24" s="23">
        <f>IF(TrAvia_ene!E6=0,0,TrAvia_ene!E6/(E12*TrAvia_act!E14))</f>
        <v>5.2946371699563261E-2</v>
      </c>
      <c r="F24" s="23">
        <f>IF(TrAvia_ene!F6=0,0,TrAvia_ene!F6/(F12*TrAvia_act!F14))</f>
        <v>5.2711309736626986E-2</v>
      </c>
      <c r="G24" s="23">
        <f>IF(TrAvia_ene!G6=0,0,TrAvia_ene!G6/(G12*TrAvia_act!G14))</f>
        <v>3.6549318434954486E-2</v>
      </c>
      <c r="H24" s="23">
        <f>IF(TrAvia_ene!H6=0,0,TrAvia_ene!H6/(H12*TrAvia_act!H14))</f>
        <v>3.5176204947902176E-2</v>
      </c>
      <c r="I24" s="23">
        <f>IF(TrAvia_ene!I6=0,0,TrAvia_ene!I6/(I12*TrAvia_act!I14))</f>
        <v>3.5212145837963664E-2</v>
      </c>
      <c r="J24" s="23">
        <f>IF(TrAvia_ene!J6=0,0,TrAvia_ene!J6/(J12*TrAvia_act!J14))</f>
        <v>2.831927880691432E-2</v>
      </c>
      <c r="K24" s="23">
        <f>IF(TrAvia_ene!K6=0,0,TrAvia_ene!K6/(K12*TrAvia_act!K14))</f>
        <v>2.5817345194716679E-2</v>
      </c>
      <c r="L24" s="23">
        <f>IF(TrAvia_ene!L6=0,0,TrAvia_ene!L6/(L12*TrAvia_act!L14))</f>
        <v>3.6299679978553524E-2</v>
      </c>
      <c r="M24" s="23">
        <f>IF(TrAvia_ene!M6=0,0,TrAvia_ene!M6/(M12*TrAvia_act!M14))</f>
        <v>2.6457702132626298E-2</v>
      </c>
      <c r="N24" s="23">
        <f>IF(TrAvia_ene!N6=0,0,TrAvia_ene!N6/(N12*TrAvia_act!N14))</f>
        <v>2.1808180157591554E-2</v>
      </c>
      <c r="O24" s="23">
        <f>IF(TrAvia_ene!O6=0,0,TrAvia_ene!O6/(O12*TrAvia_act!O14))</f>
        <v>2.5617932386304127E-2</v>
      </c>
      <c r="P24" s="23">
        <f>IF(TrAvia_ene!P6=0,0,TrAvia_ene!P6/(P12*TrAvia_act!P14))</f>
        <v>2.509040732248255E-2</v>
      </c>
      <c r="Q24" s="23">
        <f>IF(TrAvia_ene!Q6=0,0,TrAvia_ene!Q6/(Q12*TrAvia_act!Q14))</f>
        <v>2.6222320935765556E-2</v>
      </c>
      <c r="R24" s="23">
        <f>IF(TrAvia_ene!R6=0,0,TrAvia_ene!R6/(R12*TrAvia_act!R14))</f>
        <v>2.581757868595437E-2</v>
      </c>
      <c r="S24" s="23">
        <f>IF(TrAvia_ene!S6=0,0,TrAvia_ene!S6/(S12*TrAvia_act!S14))</f>
        <v>2.7310114638350636E-2</v>
      </c>
      <c r="T24" s="23">
        <f>IF(TrAvia_ene!T6=0,0,TrAvia_ene!T6/(T12*TrAvia_act!T14))</f>
        <v>1.1665237115574646E-2</v>
      </c>
      <c r="U24" s="23">
        <f>IF(TrAvia_ene!U6=0,0,TrAvia_ene!U6/(U12*TrAvia_act!U14))</f>
        <v>1.2413332159414172E-2</v>
      </c>
      <c r="V24" s="23">
        <f>IF(TrAvia_ene!V6=0,0,TrAvia_ene!V6/(V12*TrAvia_act!V14))</f>
        <v>1.077493606225515E-2</v>
      </c>
      <c r="W24" s="23">
        <f>IF(TrAvia_ene!W6=0,0,TrAvia_ene!W6/(W12*TrAvia_act!W14))</f>
        <v>1.176399481204725E-2</v>
      </c>
      <c r="X24" s="23">
        <f>IF(TrAvia_ene!X6=0,0,TrAvia_ene!X6/(X12*TrAvia_act!X14))</f>
        <v>9.6488630393129007E-3</v>
      </c>
      <c r="Y24" s="23">
        <f>IF(TrAvia_ene!Y6=0,0,TrAvia_ene!Y6/(Y12*TrAvia_act!Y14))</f>
        <v>6.8898141452912159E-3</v>
      </c>
      <c r="DA24" s="189"/>
    </row>
    <row r="25" spans="1:105" ht="11.45" customHeight="1" x14ac:dyDescent="0.25">
      <c r="A25" s="83" t="s">
        <v>27</v>
      </c>
      <c r="B25" s="91">
        <f>IF(TrAvia_ene!B7=0,0,TrAvia_ene!B7/(B13*TrAvia_act!B15))</f>
        <v>6.9981669422955861E-2</v>
      </c>
      <c r="C25" s="91">
        <f>IF(TrAvia_ene!C7=0,0,TrAvia_ene!C7/(C13*TrAvia_act!C15))</f>
        <v>6.8849130628548166E-2</v>
      </c>
      <c r="D25" s="91">
        <f>IF(TrAvia_ene!D7=0,0,TrAvia_ene!D7/(D13*TrAvia_act!D15))</f>
        <v>6.7652321378102634E-2</v>
      </c>
      <c r="E25" s="91">
        <f>IF(TrAvia_ene!E7=0,0,TrAvia_ene!E7/(E13*TrAvia_act!E15))</f>
        <v>6.639109409210045E-2</v>
      </c>
      <c r="F25" s="91">
        <f>IF(TrAvia_ene!F7=0,0,TrAvia_ene!F7/(F13*TrAvia_act!F15))</f>
        <v>6.4688025179400019E-2</v>
      </c>
      <c r="G25" s="91">
        <f>IF(TrAvia_ene!G7=0,0,TrAvia_ene!G7/(G13*TrAvia_act!G15))</f>
        <v>5.1091531232070324E-2</v>
      </c>
      <c r="H25" s="91">
        <f>IF(TrAvia_ene!H7=0,0,TrAvia_ene!H7/(H13*TrAvia_act!H15))</f>
        <v>8.5648294973792467E-3</v>
      </c>
      <c r="I25" s="91">
        <f>IF(TrAvia_ene!I7=0,0,TrAvia_ene!I7/(I13*TrAvia_act!I15))</f>
        <v>0.28889370962752353</v>
      </c>
      <c r="J25" s="91">
        <f>IF(TrAvia_ene!J7=0,0,TrAvia_ene!J7/(J13*TrAvia_act!J15))</f>
        <v>0.19705166171884195</v>
      </c>
      <c r="K25" s="91">
        <f>IF(TrAvia_ene!K7=0,0,TrAvia_ene!K7/(K13*TrAvia_act!K15))</f>
        <v>0.14877681831632783</v>
      </c>
      <c r="L25" s="91">
        <f>IF(TrAvia_ene!L7=0,0,TrAvia_ene!L7/(L13*TrAvia_act!L15))</f>
        <v>0.27752787991078076</v>
      </c>
      <c r="M25" s="91">
        <f>IF(TrAvia_ene!M7=0,0,TrAvia_ene!M7/(M13*TrAvia_act!M15))</f>
        <v>0.17412588785461222</v>
      </c>
      <c r="N25" s="91">
        <f>IF(TrAvia_ene!N7=0,0,TrAvia_ene!N7/(N13*TrAvia_act!N15))</f>
        <v>0.11105805661575319</v>
      </c>
      <c r="O25" s="91">
        <f>IF(TrAvia_ene!O7=0,0,TrAvia_ene!O7/(O13*TrAvia_act!O15))</f>
        <v>0.14650039579576887</v>
      </c>
      <c r="P25" s="91">
        <f>IF(TrAvia_ene!P7=0,0,TrAvia_ene!P7/(P13*TrAvia_act!P15))</f>
        <v>8.1711982281818071E-2</v>
      </c>
      <c r="Q25" s="91">
        <f>IF(TrAvia_ene!Q7=0,0,TrAvia_ene!Q7/(Q13*TrAvia_act!Q15))</f>
        <v>0.10955693596387256</v>
      </c>
      <c r="R25" s="91">
        <f>IF(TrAvia_ene!R7=0,0,TrAvia_ene!R7/(R13*TrAvia_act!R15))</f>
        <v>5.8487941995891767E-2</v>
      </c>
      <c r="S25" s="91">
        <f>IF(TrAvia_ene!S7=0,0,TrAvia_ene!S7/(S13*TrAvia_act!S15))</f>
        <v>7.3276832427676339E-2</v>
      </c>
      <c r="T25" s="91">
        <f>IF(TrAvia_ene!T7=0,0,TrAvia_ene!T7/(T13*TrAvia_act!T15))</f>
        <v>7.6591545537956496E-2</v>
      </c>
      <c r="U25" s="91">
        <f>IF(TrAvia_ene!U7=0,0,TrAvia_ene!U7/(U13*TrAvia_act!U15))</f>
        <v>0.10286796288998967</v>
      </c>
      <c r="V25" s="91">
        <f>IF(TrAvia_ene!V7=0,0,TrAvia_ene!V7/(V13*TrAvia_act!V15))</f>
        <v>0.16118948848822234</v>
      </c>
      <c r="W25" s="91">
        <f>IF(TrAvia_ene!W7=0,0,TrAvia_ene!W7/(W13*TrAvia_act!W15))</f>
        <v>0.12132815878188272</v>
      </c>
      <c r="X25" s="91">
        <f>IF(TrAvia_ene!X7=0,0,TrAvia_ene!X7/(X13*TrAvia_act!X15))</f>
        <v>0.14092159996720313</v>
      </c>
      <c r="Y25" s="91">
        <f>IF(TrAvia_ene!Y7=0,0,TrAvia_ene!Y7/(Y13*TrAvia_act!Y15))</f>
        <v>8.0269622410513969E-2</v>
      </c>
      <c r="DA25" s="171"/>
    </row>
    <row r="26" spans="1:105" ht="11.45" customHeight="1" x14ac:dyDescent="0.25">
      <c r="A26" s="92" t="s">
        <v>181</v>
      </c>
      <c r="B26" s="93">
        <f>IF(TrAvia_ene!B8=0,0,TrAvia_ene!B8/(B14*TrAvia_act!B16))</f>
        <v>5.5698938791079053E-2</v>
      </c>
      <c r="C26" s="93">
        <f>IF(TrAvia_ene!C8=0,0,TrAvia_ene!C8/(C14*TrAvia_act!C16))</f>
        <v>5.5000976601332296E-2</v>
      </c>
      <c r="D26" s="93">
        <f>IF(TrAvia_ene!D8=0,0,TrAvia_ene!D8/(D14*TrAvia_act!D16))</f>
        <v>5.4002859573357369E-2</v>
      </c>
      <c r="E26" s="93">
        <f>IF(TrAvia_ene!E8=0,0,TrAvia_ene!E8/(E14*TrAvia_act!E16))</f>
        <v>5.2940740474277749E-2</v>
      </c>
      <c r="F26" s="93">
        <f>IF(TrAvia_ene!F8=0,0,TrAvia_ene!F8/(F14*TrAvia_act!F16))</f>
        <v>5.108303900238665E-2</v>
      </c>
      <c r="G26" s="93">
        <f>IF(TrAvia_ene!G8=0,0,TrAvia_ene!G8/(G14*TrAvia_act!G16))</f>
        <v>3.4315070088803058E-2</v>
      </c>
      <c r="H26" s="93">
        <f>IF(TrAvia_ene!H8=0,0,TrAvia_ene!H8/(H14*TrAvia_act!H16))</f>
        <v>3.5714610435524395E-2</v>
      </c>
      <c r="I26" s="93">
        <f>IF(TrAvia_ene!I8=0,0,TrAvia_ene!I8/(I14*TrAvia_act!I16))</f>
        <v>2.199519009083116E-2</v>
      </c>
      <c r="J26" s="93">
        <f>IF(TrAvia_ene!J8=0,0,TrAvia_ene!J8/(J14*TrAvia_act!J16))</f>
        <v>1.9128720435602698E-2</v>
      </c>
      <c r="K26" s="93">
        <f>IF(TrAvia_ene!K8=0,0,TrAvia_ene!K8/(K14*TrAvia_act!K16))</f>
        <v>1.7439769430132694E-2</v>
      </c>
      <c r="L26" s="93">
        <f>IF(TrAvia_ene!L8=0,0,TrAvia_ene!L8/(L14*TrAvia_act!L16))</f>
        <v>2.2014912928786063E-2</v>
      </c>
      <c r="M26" s="93">
        <f>IF(TrAvia_ene!M8=0,0,TrAvia_ene!M8/(M14*TrAvia_act!M16))</f>
        <v>1.6783789136093512E-2</v>
      </c>
      <c r="N26" s="93">
        <f>IF(TrAvia_ene!N8=0,0,TrAvia_ene!N8/(N14*TrAvia_act!N16))</f>
        <v>1.6296443111887854E-2</v>
      </c>
      <c r="O26" s="93">
        <f>IF(TrAvia_ene!O8=0,0,TrAvia_ene!O8/(O14*TrAvia_act!O16))</f>
        <v>1.9216728874100794E-2</v>
      </c>
      <c r="P26" s="93">
        <f>IF(TrAvia_ene!P8=0,0,TrAvia_ene!P8/(P14*TrAvia_act!P16))</f>
        <v>2.2231323762397767E-2</v>
      </c>
      <c r="Q26" s="93">
        <f>IF(TrAvia_ene!Q8=0,0,TrAvia_ene!Q8/(Q14*TrAvia_act!Q16))</f>
        <v>2.2993647362160662E-2</v>
      </c>
      <c r="R26" s="93">
        <f>IF(TrAvia_ene!R8=0,0,TrAvia_ene!R8/(R14*TrAvia_act!R16))</f>
        <v>2.4242289348318687E-2</v>
      </c>
      <c r="S26" s="93">
        <f>IF(TrAvia_ene!S8=0,0,TrAvia_ene!S8/(S14*TrAvia_act!S16))</f>
        <v>2.5002091760151411E-2</v>
      </c>
      <c r="T26" s="93">
        <f>IF(TrAvia_ene!T8=0,0,TrAvia_ene!T8/(T14*TrAvia_act!T16))</f>
        <v>9.0146477529148544E-3</v>
      </c>
      <c r="U26" s="93">
        <f>IF(TrAvia_ene!U8=0,0,TrAvia_ene!U8/(U14*TrAvia_act!U16))</f>
        <v>9.4023987098291704E-3</v>
      </c>
      <c r="V26" s="93">
        <f>IF(TrAvia_ene!V8=0,0,TrAvia_ene!V8/(V14*TrAvia_act!V16))</f>
        <v>5.5441069361215666E-3</v>
      </c>
      <c r="W26" s="93">
        <f>IF(TrAvia_ene!W8=0,0,TrAvia_ene!W8/(W14*TrAvia_act!W16))</f>
        <v>7.9940186268292347E-3</v>
      </c>
      <c r="X26" s="93">
        <f>IF(TrAvia_ene!X8=0,0,TrAvia_ene!X8/(X14*TrAvia_act!X16))</f>
        <v>5.798348940732354E-3</v>
      </c>
      <c r="Y26" s="93">
        <f>IF(TrAvia_ene!Y8=0,0,TrAvia_ene!Y8/(Y14*TrAvia_act!Y16))</f>
        <v>5.2600280500888384E-3</v>
      </c>
      <c r="DA26" s="175"/>
    </row>
    <row r="27" spans="1:105" ht="11.45" customHeight="1" x14ac:dyDescent="0.25">
      <c r="A27" s="85" t="s">
        <v>182</v>
      </c>
      <c r="B27" s="94">
        <f>IF(TrAvia_ene!B9=0,0,TrAvia_ene!B9/(B15*TrAvia_act!B17))</f>
        <v>5.2252821631357235E-2</v>
      </c>
      <c r="C27" s="94">
        <f>IF(TrAvia_ene!C9=0,0,TrAvia_ene!C9/(C15*TrAvia_act!C17))</f>
        <v>5.1394976696405109E-2</v>
      </c>
      <c r="D27" s="94">
        <f>IF(TrAvia_ene!D9=0,0,TrAvia_ene!D9/(D15*TrAvia_act!D17))</f>
        <v>5.0652145648608482E-2</v>
      </c>
      <c r="E27" s="94">
        <f>IF(TrAvia_ene!E9=0,0,TrAvia_ene!E9/(E15*TrAvia_act!E17))</f>
        <v>4.9304095589644152E-2</v>
      </c>
      <c r="F27" s="94">
        <f>IF(TrAvia_ene!F9=0,0,TrAvia_ene!F9/(F15*TrAvia_act!F17))</f>
        <v>4.738203074174132E-2</v>
      </c>
      <c r="G27" s="94">
        <f>IF(TrAvia_ene!G9=0,0,TrAvia_ene!G9/(G15*TrAvia_act!G17))</f>
        <v>3.6176250050225185E-2</v>
      </c>
      <c r="H27" s="94">
        <f>IF(TrAvia_ene!H9=0,0,TrAvia_ene!H9/(H15*TrAvia_act!H17))</f>
        <v>3.5596233834016874E-2</v>
      </c>
      <c r="I27" s="94">
        <f>IF(TrAvia_ene!I9=0,0,TrAvia_ene!I9/(I15*TrAvia_act!I17))</f>
        <v>1.8656381443422368E-2</v>
      </c>
      <c r="J27" s="94">
        <f>IF(TrAvia_ene!J9=0,0,TrAvia_ene!J9/(J15*TrAvia_act!J17))</f>
        <v>1.4370082473119338E-2</v>
      </c>
      <c r="K27" s="94">
        <f>IF(TrAvia_ene!K9=0,0,TrAvia_ene!K9/(K15*TrAvia_act!K17))</f>
        <v>1.7352748953508659E-2</v>
      </c>
      <c r="L27" s="94">
        <f>IF(TrAvia_ene!L9=0,0,TrAvia_ene!L9/(L15*TrAvia_act!L17))</f>
        <v>1.9476426608793906E-2</v>
      </c>
      <c r="M27" s="94">
        <f>IF(TrAvia_ene!M9=0,0,TrAvia_ene!M9/(M15*TrAvia_act!M17))</f>
        <v>2.0180755411284845E-2</v>
      </c>
      <c r="N27" s="94">
        <f>IF(TrAvia_ene!N9=0,0,TrAvia_ene!N9/(N15*TrAvia_act!N17))</f>
        <v>1.7930196372554254E-2</v>
      </c>
      <c r="O27" s="94">
        <f>IF(TrAvia_ene!O9=0,0,TrAvia_ene!O9/(O15*TrAvia_act!O17))</f>
        <v>2.0990586346243751E-2</v>
      </c>
      <c r="P27" s="94">
        <f>IF(TrAvia_ene!P9=0,0,TrAvia_ene!P9/(P15*TrAvia_act!P17))</f>
        <v>1.9237768786293359E-2</v>
      </c>
      <c r="Q27" s="94">
        <f>IF(TrAvia_ene!Q9=0,0,TrAvia_ene!Q9/(Q15*TrAvia_act!Q17))</f>
        <v>1.8849847180675457E-2</v>
      </c>
      <c r="R27" s="94">
        <f>IF(TrAvia_ene!R9=0,0,TrAvia_ene!R9/(R15*TrAvia_act!R17))</f>
        <v>1.6958250119398239E-2</v>
      </c>
      <c r="S27" s="94">
        <f>IF(TrAvia_ene!S9=0,0,TrAvia_ene!S9/(S15*TrAvia_act!S17))</f>
        <v>1.7460270897365959E-2</v>
      </c>
      <c r="T27" s="94">
        <f>IF(TrAvia_ene!T9=0,0,TrAvia_ene!T9/(T15*TrAvia_act!T17))</f>
        <v>4.7501147279357192E-3</v>
      </c>
      <c r="U27" s="94">
        <f>IF(TrAvia_ene!U9=0,0,TrAvia_ene!U9/(U15*TrAvia_act!U17))</f>
        <v>4.507426659819706E-3</v>
      </c>
      <c r="V27" s="94">
        <f>IF(TrAvia_ene!V9=0,0,TrAvia_ene!V9/(V15*TrAvia_act!V17))</f>
        <v>6.505622032059899E-3</v>
      </c>
      <c r="W27" s="94">
        <f>IF(TrAvia_ene!W9=0,0,TrAvia_ene!W9/(W15*TrAvia_act!W17))</f>
        <v>5.0212468886184627E-3</v>
      </c>
      <c r="X27" s="94">
        <f>IF(TrAvia_ene!X9=0,0,TrAvia_ene!X9/(X15*TrAvia_act!X17))</f>
        <v>2.9633658643310359E-3</v>
      </c>
      <c r="Y27" s="94">
        <f>IF(TrAvia_ene!Y9=0,0,TrAvia_ene!Y9/(Y15*TrAvia_act!Y17))</f>
        <v>2.3608914586167795E-3</v>
      </c>
      <c r="DA27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A24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999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149</v>
      </c>
      <c r="B3" s="54">
        <f t="shared" ref="B3:Q3" si="0">SUM(B4:B5)</f>
        <v>2634</v>
      </c>
      <c r="C3" s="54">
        <f t="shared" si="0"/>
        <v>2746</v>
      </c>
      <c r="D3" s="54">
        <f t="shared" si="0"/>
        <v>3641</v>
      </c>
      <c r="E3" s="54">
        <f t="shared" si="0"/>
        <v>3521</v>
      </c>
      <c r="F3" s="54">
        <f t="shared" si="0"/>
        <v>6955</v>
      </c>
      <c r="G3" s="54">
        <f t="shared" si="0"/>
        <v>8435</v>
      </c>
      <c r="H3" s="54">
        <f t="shared" si="0"/>
        <v>8157</v>
      </c>
      <c r="I3" s="54">
        <f t="shared" si="0"/>
        <v>8195</v>
      </c>
      <c r="J3" s="54">
        <f t="shared" si="0"/>
        <v>8687</v>
      </c>
      <c r="K3" s="54">
        <f t="shared" si="0"/>
        <v>11765</v>
      </c>
      <c r="L3" s="54">
        <f t="shared" si="0"/>
        <v>14317</v>
      </c>
      <c r="M3" s="54">
        <f t="shared" si="0"/>
        <v>11409</v>
      </c>
      <c r="N3" s="54">
        <f t="shared" si="0"/>
        <v>12520</v>
      </c>
      <c r="O3" s="54">
        <f t="shared" si="0"/>
        <v>12242</v>
      </c>
      <c r="P3" s="54">
        <f t="shared" si="0"/>
        <v>11760</v>
      </c>
      <c r="Q3" s="54">
        <f t="shared" si="0"/>
        <v>13168</v>
      </c>
      <c r="R3" s="54">
        <f t="shared" ref="R3:V3" si="1">SUM(R4:R5)</f>
        <v>13153</v>
      </c>
      <c r="S3" s="54">
        <f t="shared" si="1"/>
        <v>12517</v>
      </c>
      <c r="T3" s="54">
        <f t="shared" si="1"/>
        <v>12261</v>
      </c>
      <c r="U3" s="54">
        <f t="shared" si="1"/>
        <v>13957</v>
      </c>
      <c r="V3" s="54">
        <f t="shared" si="1"/>
        <v>13638</v>
      </c>
      <c r="W3" s="54">
        <f t="shared" ref="W3:Y3" si="2">SUM(W4:W5)</f>
        <v>13522</v>
      </c>
      <c r="X3" s="54">
        <f t="shared" si="2"/>
        <v>10757</v>
      </c>
      <c r="Y3" s="54">
        <f t="shared" si="2"/>
        <v>11947</v>
      </c>
      <c r="Z3" s="54"/>
      <c r="AA3" s="54"/>
      <c r="AB3" s="54"/>
      <c r="AC3" s="54"/>
      <c r="AD3" s="54"/>
      <c r="AE3" s="54"/>
      <c r="AF3" s="54"/>
      <c r="AG3" s="54"/>
      <c r="DA3" s="172" t="s">
        <v>385</v>
      </c>
    </row>
    <row r="4" spans="1:105" ht="11.45" customHeight="1" x14ac:dyDescent="0.25">
      <c r="A4" s="55" t="s">
        <v>30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0</v>
      </c>
      <c r="J4" s="56">
        <v>0</v>
      </c>
      <c r="K4" s="56">
        <v>0</v>
      </c>
      <c r="L4" s="56">
        <v>0</v>
      </c>
      <c r="M4" s="56">
        <v>0</v>
      </c>
      <c r="N4" s="56">
        <v>0</v>
      </c>
      <c r="O4" s="56">
        <v>0</v>
      </c>
      <c r="P4" s="56">
        <v>0</v>
      </c>
      <c r="Q4" s="56">
        <v>0</v>
      </c>
      <c r="R4" s="56">
        <v>0</v>
      </c>
      <c r="S4" s="56">
        <v>0</v>
      </c>
      <c r="T4" s="56">
        <v>0</v>
      </c>
      <c r="U4" s="56">
        <v>0</v>
      </c>
      <c r="V4" s="56">
        <v>0</v>
      </c>
      <c r="W4" s="56">
        <v>0</v>
      </c>
      <c r="X4" s="56">
        <v>0</v>
      </c>
      <c r="Y4" s="56">
        <v>0</v>
      </c>
      <c r="Z4" s="56"/>
      <c r="AA4" s="56"/>
      <c r="AB4" s="56"/>
      <c r="AC4" s="56"/>
      <c r="AD4" s="56"/>
      <c r="AE4" s="56"/>
      <c r="AF4" s="56"/>
      <c r="AG4" s="56"/>
      <c r="DA4" s="181" t="s">
        <v>386</v>
      </c>
    </row>
    <row r="5" spans="1:105" ht="11.45" customHeight="1" x14ac:dyDescent="0.25">
      <c r="A5" s="57" t="s">
        <v>31</v>
      </c>
      <c r="B5" s="58">
        <v>2634</v>
      </c>
      <c r="C5" s="58">
        <v>2746</v>
      </c>
      <c r="D5" s="58">
        <v>3641</v>
      </c>
      <c r="E5" s="58">
        <v>3521</v>
      </c>
      <c r="F5" s="58">
        <v>6955</v>
      </c>
      <c r="G5" s="58">
        <v>8435</v>
      </c>
      <c r="H5" s="58">
        <v>8157</v>
      </c>
      <c r="I5" s="58">
        <v>8195</v>
      </c>
      <c r="J5" s="58">
        <v>8687</v>
      </c>
      <c r="K5" s="58">
        <v>11765</v>
      </c>
      <c r="L5" s="58">
        <v>14317</v>
      </c>
      <c r="M5" s="58">
        <v>11409</v>
      </c>
      <c r="N5" s="58">
        <v>12520</v>
      </c>
      <c r="O5" s="58">
        <v>12242</v>
      </c>
      <c r="P5" s="58">
        <v>11760</v>
      </c>
      <c r="Q5" s="58">
        <v>13168</v>
      </c>
      <c r="R5" s="58">
        <v>13153</v>
      </c>
      <c r="S5" s="58">
        <v>12517</v>
      </c>
      <c r="T5" s="58">
        <v>12261</v>
      </c>
      <c r="U5" s="58">
        <v>13957</v>
      </c>
      <c r="V5" s="58">
        <v>13638</v>
      </c>
      <c r="W5" s="58">
        <v>13522</v>
      </c>
      <c r="X5" s="58">
        <v>10757</v>
      </c>
      <c r="Y5" s="58">
        <v>11947</v>
      </c>
      <c r="Z5" s="58"/>
      <c r="AA5" s="58"/>
      <c r="AB5" s="58"/>
      <c r="AC5" s="58"/>
      <c r="AD5" s="58"/>
      <c r="AE5" s="58"/>
      <c r="AF5" s="58"/>
      <c r="AG5" s="58"/>
      <c r="DA5" s="182" t="s">
        <v>387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53" t="s">
        <v>161</v>
      </c>
      <c r="B7" s="59">
        <f t="shared" ref="B7:Q7" si="3">SUM(B8:B9)</f>
        <v>9.2189999999999994</v>
      </c>
      <c r="C7" s="59">
        <f t="shared" si="3"/>
        <v>8.8949999999999996</v>
      </c>
      <c r="D7" s="59">
        <f t="shared" si="3"/>
        <v>10.345000000000001</v>
      </c>
      <c r="E7" s="59">
        <f t="shared" si="3"/>
        <v>8.2789999999999999</v>
      </c>
      <c r="F7" s="59">
        <f t="shared" si="3"/>
        <v>9.0960000000000001</v>
      </c>
      <c r="G7" s="59">
        <f t="shared" si="3"/>
        <v>10.050000000000001</v>
      </c>
      <c r="H7" s="59">
        <f t="shared" si="3"/>
        <v>9.7620000000000005</v>
      </c>
      <c r="I7" s="59">
        <f t="shared" si="3"/>
        <v>14.115</v>
      </c>
      <c r="J7" s="59">
        <f t="shared" si="3"/>
        <v>13.962</v>
      </c>
      <c r="K7" s="59">
        <f t="shared" si="3"/>
        <v>13.632</v>
      </c>
      <c r="L7" s="59">
        <f t="shared" si="3"/>
        <v>15.585000000000001</v>
      </c>
      <c r="M7" s="59">
        <f t="shared" si="3"/>
        <v>13.045999999999999</v>
      </c>
      <c r="N7" s="59">
        <f t="shared" si="3"/>
        <v>13.276999999999999</v>
      </c>
      <c r="O7" s="59">
        <f t="shared" si="3"/>
        <v>12.196</v>
      </c>
      <c r="P7" s="59">
        <f t="shared" si="3"/>
        <v>10.648</v>
      </c>
      <c r="Q7" s="59">
        <f t="shared" si="3"/>
        <v>13.157</v>
      </c>
      <c r="R7" s="59">
        <f t="shared" ref="R7:V7" si="4">SUM(R8:R9)</f>
        <v>13.064</v>
      </c>
      <c r="S7" s="59">
        <f t="shared" si="4"/>
        <v>10.676</v>
      </c>
      <c r="T7" s="59">
        <f t="shared" si="4"/>
        <v>12.029</v>
      </c>
      <c r="U7" s="59">
        <f t="shared" si="4"/>
        <v>13.339</v>
      </c>
      <c r="V7" s="59">
        <f t="shared" si="4"/>
        <v>12.922000000000001</v>
      </c>
      <c r="W7" s="59">
        <f t="shared" ref="W7:Y7" si="5">SUM(W8:W9)</f>
        <v>14.286</v>
      </c>
      <c r="X7" s="59">
        <f t="shared" si="5"/>
        <v>11.927</v>
      </c>
      <c r="Y7" s="59">
        <f t="shared" si="5"/>
        <v>12.847</v>
      </c>
      <c r="Z7" s="59"/>
      <c r="AA7" s="59"/>
      <c r="AB7" s="59"/>
      <c r="AC7" s="59"/>
      <c r="AD7" s="59"/>
      <c r="AE7" s="59"/>
      <c r="AF7" s="59"/>
      <c r="AG7" s="59"/>
      <c r="DA7" s="172" t="s">
        <v>1000</v>
      </c>
    </row>
    <row r="8" spans="1:105" ht="11.45" customHeight="1" x14ac:dyDescent="0.25">
      <c r="A8" s="55" t="s">
        <v>30</v>
      </c>
      <c r="B8" s="60">
        <v>0</v>
      </c>
      <c r="C8" s="60">
        <v>0</v>
      </c>
      <c r="D8" s="60">
        <v>0</v>
      </c>
      <c r="E8" s="60">
        <v>0</v>
      </c>
      <c r="F8" s="60">
        <v>0</v>
      </c>
      <c r="G8" s="60">
        <v>0</v>
      </c>
      <c r="H8" s="60">
        <v>0</v>
      </c>
      <c r="I8" s="60">
        <v>0</v>
      </c>
      <c r="J8" s="60">
        <v>0</v>
      </c>
      <c r="K8" s="60">
        <v>0</v>
      </c>
      <c r="L8" s="60">
        <v>0</v>
      </c>
      <c r="M8" s="60">
        <v>0</v>
      </c>
      <c r="N8" s="60">
        <v>0</v>
      </c>
      <c r="O8" s="60">
        <v>0</v>
      </c>
      <c r="P8" s="60">
        <v>0</v>
      </c>
      <c r="Q8" s="60">
        <v>0</v>
      </c>
      <c r="R8" s="60">
        <v>0</v>
      </c>
      <c r="S8" s="60">
        <v>0</v>
      </c>
      <c r="T8" s="60">
        <v>0</v>
      </c>
      <c r="U8" s="60">
        <v>0</v>
      </c>
      <c r="V8" s="60">
        <v>0</v>
      </c>
      <c r="W8" s="60">
        <v>0</v>
      </c>
      <c r="X8" s="60">
        <v>0</v>
      </c>
      <c r="Y8" s="60">
        <v>0</v>
      </c>
      <c r="Z8" s="60"/>
      <c r="AA8" s="60"/>
      <c r="AB8" s="60"/>
      <c r="AC8" s="60"/>
      <c r="AD8" s="60"/>
      <c r="AE8" s="60"/>
      <c r="AF8" s="60"/>
      <c r="AG8" s="60"/>
      <c r="DA8" s="181" t="s">
        <v>1001</v>
      </c>
    </row>
    <row r="9" spans="1:105" ht="11.45" customHeight="1" x14ac:dyDescent="0.25">
      <c r="A9" s="57" t="s">
        <v>31</v>
      </c>
      <c r="B9" s="61">
        <v>9.2189999999999994</v>
      </c>
      <c r="C9" s="61">
        <v>8.8949999999999996</v>
      </c>
      <c r="D9" s="61">
        <v>10.345000000000001</v>
      </c>
      <c r="E9" s="61">
        <v>8.2789999999999999</v>
      </c>
      <c r="F9" s="61">
        <v>9.0960000000000001</v>
      </c>
      <c r="G9" s="61">
        <v>10.050000000000001</v>
      </c>
      <c r="H9" s="61">
        <v>9.7620000000000005</v>
      </c>
      <c r="I9" s="61">
        <v>14.115</v>
      </c>
      <c r="J9" s="61">
        <v>13.962</v>
      </c>
      <c r="K9" s="61">
        <v>13.632</v>
      </c>
      <c r="L9" s="61">
        <v>15.585000000000001</v>
      </c>
      <c r="M9" s="61">
        <v>13.045999999999999</v>
      </c>
      <c r="N9" s="61">
        <v>13.276999999999999</v>
      </c>
      <c r="O9" s="61">
        <v>12.196</v>
      </c>
      <c r="P9" s="61">
        <v>10.648</v>
      </c>
      <c r="Q9" s="61">
        <v>13.157</v>
      </c>
      <c r="R9" s="61">
        <v>13.064</v>
      </c>
      <c r="S9" s="61">
        <v>10.676</v>
      </c>
      <c r="T9" s="61">
        <v>12.029</v>
      </c>
      <c r="U9" s="61">
        <v>13.339</v>
      </c>
      <c r="V9" s="61">
        <v>12.922000000000001</v>
      </c>
      <c r="W9" s="61">
        <v>14.286</v>
      </c>
      <c r="X9" s="61">
        <v>11.927</v>
      </c>
      <c r="Y9" s="61">
        <v>12.847</v>
      </c>
      <c r="Z9" s="61"/>
      <c r="AA9" s="61"/>
      <c r="AB9" s="61"/>
      <c r="AC9" s="61"/>
      <c r="AD9" s="61"/>
      <c r="AE9" s="61"/>
      <c r="AF9" s="61"/>
      <c r="AG9" s="61"/>
      <c r="DA9" s="182" t="s">
        <v>1002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143</v>
      </c>
      <c r="B13" s="62">
        <f t="shared" ref="B13:E15" si="6">IF(B3=0,0,B3/B7)</f>
        <v>285.71428571428572</v>
      </c>
      <c r="C13" s="62">
        <f t="shared" si="6"/>
        <v>308.71275997751547</v>
      </c>
      <c r="D13" s="62">
        <f t="shared" si="6"/>
        <v>351.95746737554373</v>
      </c>
      <c r="E13" s="62">
        <f t="shared" si="6"/>
        <v>425.29290977171155</v>
      </c>
      <c r="F13" s="62">
        <f t="shared" ref="F13:V13" si="7">IF(F3=0,0,F3/F7)</f>
        <v>764.62181178540015</v>
      </c>
      <c r="G13" s="62">
        <f t="shared" si="7"/>
        <v>839.30348258706465</v>
      </c>
      <c r="H13" s="62">
        <f t="shared" si="7"/>
        <v>835.5869698832206</v>
      </c>
      <c r="I13" s="62">
        <f t="shared" si="7"/>
        <v>580.58802692171446</v>
      </c>
      <c r="J13" s="62">
        <f t="shared" si="7"/>
        <v>622.18879816645176</v>
      </c>
      <c r="K13" s="62">
        <f t="shared" si="7"/>
        <v>863.04284037558682</v>
      </c>
      <c r="L13" s="62">
        <f t="shared" si="7"/>
        <v>918.63971767725377</v>
      </c>
      <c r="M13" s="62">
        <f t="shared" si="7"/>
        <v>874.52092595431554</v>
      </c>
      <c r="N13" s="62">
        <f t="shared" si="7"/>
        <v>942.98410785569035</v>
      </c>
      <c r="O13" s="62">
        <f t="shared" si="7"/>
        <v>1003.7717284355526</v>
      </c>
      <c r="P13" s="62">
        <f t="shared" si="7"/>
        <v>1104.4327573253192</v>
      </c>
      <c r="Q13" s="62">
        <f t="shared" si="7"/>
        <v>1000.8360568518659</v>
      </c>
      <c r="R13" s="62">
        <f t="shared" si="7"/>
        <v>1006.8126148193509</v>
      </c>
      <c r="S13" s="62">
        <f t="shared" si="7"/>
        <v>1172.4428624953166</v>
      </c>
      <c r="T13" s="62">
        <f t="shared" si="7"/>
        <v>1019.2867237509353</v>
      </c>
      <c r="U13" s="62">
        <f t="shared" si="7"/>
        <v>1046.3303096184122</v>
      </c>
      <c r="V13" s="62">
        <f t="shared" si="7"/>
        <v>1055.4093793530412</v>
      </c>
      <c r="W13" s="62">
        <f t="shared" ref="W13:Y13" si="8">IF(W3=0,0,W3/W7)</f>
        <v>946.52106957860849</v>
      </c>
      <c r="X13" s="62">
        <f t="shared" si="8"/>
        <v>901.90324473882788</v>
      </c>
      <c r="Y13" s="62">
        <f t="shared" si="8"/>
        <v>929.94473417918584</v>
      </c>
      <c r="Z13" s="62"/>
      <c r="AA13" s="62"/>
      <c r="AB13" s="62"/>
      <c r="AC13" s="62"/>
      <c r="AD13" s="62"/>
      <c r="AE13" s="62"/>
      <c r="AF13" s="62"/>
      <c r="AG13" s="62"/>
      <c r="DA13" s="172" t="s">
        <v>1003</v>
      </c>
    </row>
    <row r="14" spans="1:105" ht="11.45" customHeight="1" x14ac:dyDescent="0.25">
      <c r="A14" s="55" t="s">
        <v>30</v>
      </c>
      <c r="B14" s="63">
        <f t="shared" si="6"/>
        <v>0</v>
      </c>
      <c r="C14" s="63">
        <f t="shared" si="6"/>
        <v>0</v>
      </c>
      <c r="D14" s="63">
        <f t="shared" si="6"/>
        <v>0</v>
      </c>
      <c r="E14" s="63">
        <f t="shared" si="6"/>
        <v>0</v>
      </c>
      <c r="F14" s="63">
        <f t="shared" ref="F14:V14" si="9">IF(F4=0,0,F4/F8)</f>
        <v>0</v>
      </c>
      <c r="G14" s="63">
        <f t="shared" si="9"/>
        <v>0</v>
      </c>
      <c r="H14" s="63">
        <f t="shared" si="9"/>
        <v>0</v>
      </c>
      <c r="I14" s="63">
        <f t="shared" si="9"/>
        <v>0</v>
      </c>
      <c r="J14" s="63">
        <f t="shared" si="9"/>
        <v>0</v>
      </c>
      <c r="K14" s="63">
        <f t="shared" si="9"/>
        <v>0</v>
      </c>
      <c r="L14" s="63">
        <f t="shared" si="9"/>
        <v>0</v>
      </c>
      <c r="M14" s="63">
        <f t="shared" si="9"/>
        <v>0</v>
      </c>
      <c r="N14" s="63">
        <f t="shared" si="9"/>
        <v>0</v>
      </c>
      <c r="O14" s="63">
        <f t="shared" si="9"/>
        <v>0</v>
      </c>
      <c r="P14" s="63">
        <f t="shared" si="9"/>
        <v>0</v>
      </c>
      <c r="Q14" s="63">
        <f t="shared" si="9"/>
        <v>0</v>
      </c>
      <c r="R14" s="63">
        <f t="shared" si="9"/>
        <v>0</v>
      </c>
      <c r="S14" s="63">
        <f t="shared" si="9"/>
        <v>0</v>
      </c>
      <c r="T14" s="63">
        <f t="shared" si="9"/>
        <v>0</v>
      </c>
      <c r="U14" s="63">
        <f t="shared" si="9"/>
        <v>0</v>
      </c>
      <c r="V14" s="63">
        <f t="shared" si="9"/>
        <v>0</v>
      </c>
      <c r="W14" s="63">
        <f t="shared" ref="W14:Y14" si="10">IF(W4=0,0,W4/W8)</f>
        <v>0</v>
      </c>
      <c r="X14" s="63">
        <f t="shared" si="10"/>
        <v>0</v>
      </c>
      <c r="Y14" s="63">
        <f t="shared" si="10"/>
        <v>0</v>
      </c>
      <c r="Z14" s="63"/>
      <c r="AA14" s="63"/>
      <c r="AB14" s="63"/>
      <c r="AC14" s="63"/>
      <c r="AD14" s="63"/>
      <c r="AE14" s="63"/>
      <c r="AF14" s="63"/>
      <c r="AG14" s="63"/>
      <c r="DA14" s="181" t="s">
        <v>1004</v>
      </c>
    </row>
    <row r="15" spans="1:105" ht="11.45" customHeight="1" x14ac:dyDescent="0.25">
      <c r="A15" s="57" t="s">
        <v>31</v>
      </c>
      <c r="B15" s="64">
        <f t="shared" si="6"/>
        <v>285.71428571428572</v>
      </c>
      <c r="C15" s="64">
        <f t="shared" si="6"/>
        <v>308.71275997751547</v>
      </c>
      <c r="D15" s="64">
        <f t="shared" si="6"/>
        <v>351.95746737554373</v>
      </c>
      <c r="E15" s="64">
        <f t="shared" si="6"/>
        <v>425.29290977171155</v>
      </c>
      <c r="F15" s="64">
        <f t="shared" ref="F15:V15" si="11">IF(F5=0,0,F5/F9)</f>
        <v>764.62181178540015</v>
      </c>
      <c r="G15" s="64">
        <f t="shared" si="11"/>
        <v>839.30348258706465</v>
      </c>
      <c r="H15" s="64">
        <f t="shared" si="11"/>
        <v>835.5869698832206</v>
      </c>
      <c r="I15" s="64">
        <f t="shared" si="11"/>
        <v>580.58802692171446</v>
      </c>
      <c r="J15" s="64">
        <f t="shared" si="11"/>
        <v>622.18879816645176</v>
      </c>
      <c r="K15" s="64">
        <f t="shared" si="11"/>
        <v>863.04284037558682</v>
      </c>
      <c r="L15" s="64">
        <f t="shared" si="11"/>
        <v>918.63971767725377</v>
      </c>
      <c r="M15" s="64">
        <f t="shared" si="11"/>
        <v>874.52092595431554</v>
      </c>
      <c r="N15" s="64">
        <f t="shared" si="11"/>
        <v>942.98410785569035</v>
      </c>
      <c r="O15" s="64">
        <f t="shared" si="11"/>
        <v>1003.7717284355526</v>
      </c>
      <c r="P15" s="64">
        <f t="shared" si="11"/>
        <v>1104.4327573253192</v>
      </c>
      <c r="Q15" s="64">
        <f t="shared" si="11"/>
        <v>1000.8360568518659</v>
      </c>
      <c r="R15" s="64">
        <f t="shared" si="11"/>
        <v>1006.8126148193509</v>
      </c>
      <c r="S15" s="64">
        <f t="shared" si="11"/>
        <v>1172.4428624953166</v>
      </c>
      <c r="T15" s="64">
        <f t="shared" si="11"/>
        <v>1019.2867237509353</v>
      </c>
      <c r="U15" s="64">
        <f t="shared" si="11"/>
        <v>1046.3303096184122</v>
      </c>
      <c r="V15" s="64">
        <f t="shared" si="11"/>
        <v>1055.4093793530412</v>
      </c>
      <c r="W15" s="64">
        <f t="shared" ref="W15:Y15" si="12">IF(W5=0,0,W5/W9)</f>
        <v>946.52106957860849</v>
      </c>
      <c r="X15" s="64">
        <f t="shared" si="12"/>
        <v>901.90324473882788</v>
      </c>
      <c r="Y15" s="64">
        <f t="shared" si="12"/>
        <v>929.94473417918584</v>
      </c>
      <c r="Z15" s="64"/>
      <c r="AA15" s="64"/>
      <c r="AB15" s="64"/>
      <c r="AC15" s="64"/>
      <c r="AD15" s="64"/>
      <c r="AE15" s="64"/>
      <c r="AF15" s="64"/>
      <c r="AG15" s="64"/>
      <c r="DA15" s="182" t="s">
        <v>1005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65</v>
      </c>
      <c r="B17" s="65">
        <f t="shared" ref="B17:E17" si="13">IF(B3=0,0,B3/B$3)</f>
        <v>1</v>
      </c>
      <c r="C17" s="65">
        <f t="shared" si="13"/>
        <v>1</v>
      </c>
      <c r="D17" s="65">
        <f t="shared" si="13"/>
        <v>1</v>
      </c>
      <c r="E17" s="65">
        <f t="shared" si="13"/>
        <v>1</v>
      </c>
      <c r="F17" s="65">
        <f t="shared" ref="F17:V17" si="14">IF(F3=0,0,F3/F$3)</f>
        <v>1</v>
      </c>
      <c r="G17" s="65">
        <f t="shared" si="14"/>
        <v>1</v>
      </c>
      <c r="H17" s="65">
        <f t="shared" si="14"/>
        <v>1</v>
      </c>
      <c r="I17" s="65">
        <f t="shared" si="14"/>
        <v>1</v>
      </c>
      <c r="J17" s="65">
        <f t="shared" si="14"/>
        <v>1</v>
      </c>
      <c r="K17" s="65">
        <f t="shared" si="14"/>
        <v>1</v>
      </c>
      <c r="L17" s="65">
        <f t="shared" si="14"/>
        <v>1</v>
      </c>
      <c r="M17" s="65">
        <f t="shared" si="14"/>
        <v>1</v>
      </c>
      <c r="N17" s="65">
        <f t="shared" si="14"/>
        <v>1</v>
      </c>
      <c r="O17" s="65">
        <f t="shared" si="14"/>
        <v>1</v>
      </c>
      <c r="P17" s="65">
        <f t="shared" si="14"/>
        <v>1</v>
      </c>
      <c r="Q17" s="65">
        <f t="shared" si="14"/>
        <v>1</v>
      </c>
      <c r="R17" s="65">
        <f t="shared" si="14"/>
        <v>1</v>
      </c>
      <c r="S17" s="65">
        <f t="shared" si="14"/>
        <v>1</v>
      </c>
      <c r="T17" s="65">
        <f t="shared" si="14"/>
        <v>1</v>
      </c>
      <c r="U17" s="65">
        <f t="shared" si="14"/>
        <v>1</v>
      </c>
      <c r="V17" s="65">
        <f t="shared" si="14"/>
        <v>1</v>
      </c>
      <c r="W17" s="65">
        <f t="shared" ref="W17:Y17" si="15">IF(W3=0,0,W3/W$3)</f>
        <v>1</v>
      </c>
      <c r="X17" s="65">
        <f t="shared" si="15"/>
        <v>1</v>
      </c>
      <c r="Y17" s="65">
        <f t="shared" si="15"/>
        <v>1</v>
      </c>
      <c r="Z17" s="65"/>
      <c r="AA17" s="65"/>
      <c r="AB17" s="65"/>
      <c r="AC17" s="65"/>
      <c r="AD17" s="65"/>
      <c r="AE17" s="65"/>
      <c r="AF17" s="65"/>
      <c r="AG17" s="65"/>
      <c r="DA17" s="172"/>
    </row>
    <row r="18" spans="1:105" ht="11.45" customHeight="1" x14ac:dyDescent="0.25">
      <c r="A18" s="55" t="s">
        <v>30</v>
      </c>
      <c r="B18" s="66">
        <f t="shared" ref="B18:E18" si="16">IF(B4=0,0,B4/B$3)</f>
        <v>0</v>
      </c>
      <c r="C18" s="66">
        <f t="shared" si="16"/>
        <v>0</v>
      </c>
      <c r="D18" s="66">
        <f t="shared" si="16"/>
        <v>0</v>
      </c>
      <c r="E18" s="66">
        <f t="shared" si="16"/>
        <v>0</v>
      </c>
      <c r="F18" s="66">
        <f t="shared" ref="F18:V18" si="17">IF(F4=0,0,F4/F$3)</f>
        <v>0</v>
      </c>
      <c r="G18" s="66">
        <f t="shared" si="17"/>
        <v>0</v>
      </c>
      <c r="H18" s="66">
        <f t="shared" si="17"/>
        <v>0</v>
      </c>
      <c r="I18" s="66">
        <f t="shared" si="17"/>
        <v>0</v>
      </c>
      <c r="J18" s="66">
        <f t="shared" si="17"/>
        <v>0</v>
      </c>
      <c r="K18" s="66">
        <f t="shared" si="17"/>
        <v>0</v>
      </c>
      <c r="L18" s="66">
        <f t="shared" si="17"/>
        <v>0</v>
      </c>
      <c r="M18" s="66">
        <f t="shared" si="17"/>
        <v>0</v>
      </c>
      <c r="N18" s="66">
        <f t="shared" si="17"/>
        <v>0</v>
      </c>
      <c r="O18" s="66">
        <f t="shared" si="17"/>
        <v>0</v>
      </c>
      <c r="P18" s="66">
        <f t="shared" si="17"/>
        <v>0</v>
      </c>
      <c r="Q18" s="66">
        <f t="shared" si="17"/>
        <v>0</v>
      </c>
      <c r="R18" s="66">
        <f t="shared" si="17"/>
        <v>0</v>
      </c>
      <c r="S18" s="66">
        <f t="shared" si="17"/>
        <v>0</v>
      </c>
      <c r="T18" s="66">
        <f t="shared" si="17"/>
        <v>0</v>
      </c>
      <c r="U18" s="66">
        <f t="shared" si="17"/>
        <v>0</v>
      </c>
      <c r="V18" s="66">
        <f t="shared" si="17"/>
        <v>0</v>
      </c>
      <c r="W18" s="66">
        <f t="shared" ref="W18:Y18" si="18">IF(W4=0,0,W4/W$3)</f>
        <v>0</v>
      </c>
      <c r="X18" s="66">
        <f t="shared" si="18"/>
        <v>0</v>
      </c>
      <c r="Y18" s="66">
        <f t="shared" si="18"/>
        <v>0</v>
      </c>
      <c r="Z18" s="66"/>
      <c r="AA18" s="66"/>
      <c r="AB18" s="66"/>
      <c r="AC18" s="66"/>
      <c r="AD18" s="66"/>
      <c r="AE18" s="66"/>
      <c r="AF18" s="66"/>
      <c r="AG18" s="66"/>
      <c r="DA18" s="181"/>
    </row>
    <row r="19" spans="1:105" ht="11.45" customHeight="1" x14ac:dyDescent="0.25">
      <c r="A19" s="57" t="s">
        <v>31</v>
      </c>
      <c r="B19" s="67">
        <f t="shared" ref="B19:E19" si="19">IF(B5=0,0,B5/B$3)</f>
        <v>1</v>
      </c>
      <c r="C19" s="67">
        <f t="shared" si="19"/>
        <v>1</v>
      </c>
      <c r="D19" s="67">
        <f t="shared" si="19"/>
        <v>1</v>
      </c>
      <c r="E19" s="67">
        <f t="shared" si="19"/>
        <v>1</v>
      </c>
      <c r="F19" s="67">
        <f t="shared" ref="F19:V19" si="20">IF(F5=0,0,F5/F$3)</f>
        <v>1</v>
      </c>
      <c r="G19" s="67">
        <f t="shared" si="20"/>
        <v>1</v>
      </c>
      <c r="H19" s="67">
        <f t="shared" si="20"/>
        <v>1</v>
      </c>
      <c r="I19" s="67">
        <f t="shared" si="20"/>
        <v>1</v>
      </c>
      <c r="J19" s="67">
        <f t="shared" si="20"/>
        <v>1</v>
      </c>
      <c r="K19" s="67">
        <f t="shared" si="20"/>
        <v>1</v>
      </c>
      <c r="L19" s="67">
        <f t="shared" si="20"/>
        <v>1</v>
      </c>
      <c r="M19" s="67">
        <f t="shared" si="20"/>
        <v>1</v>
      </c>
      <c r="N19" s="67">
        <f t="shared" si="20"/>
        <v>1</v>
      </c>
      <c r="O19" s="67">
        <f t="shared" si="20"/>
        <v>1</v>
      </c>
      <c r="P19" s="67">
        <f t="shared" si="20"/>
        <v>1</v>
      </c>
      <c r="Q19" s="67">
        <f t="shared" si="20"/>
        <v>1</v>
      </c>
      <c r="R19" s="67">
        <f t="shared" si="20"/>
        <v>1</v>
      </c>
      <c r="S19" s="67">
        <f t="shared" si="20"/>
        <v>1</v>
      </c>
      <c r="T19" s="67">
        <f t="shared" si="20"/>
        <v>1</v>
      </c>
      <c r="U19" s="67">
        <f t="shared" si="20"/>
        <v>1</v>
      </c>
      <c r="V19" s="67">
        <f t="shared" si="20"/>
        <v>1</v>
      </c>
      <c r="W19" s="67">
        <f t="shared" ref="W19:Y19" si="21">IF(W5=0,0,W5/W$3)</f>
        <v>1</v>
      </c>
      <c r="X19" s="67">
        <f t="shared" si="21"/>
        <v>1</v>
      </c>
      <c r="Y19" s="67">
        <f t="shared" si="21"/>
        <v>1</v>
      </c>
      <c r="Z19" s="67"/>
      <c r="AA19" s="67"/>
      <c r="AB19" s="67"/>
      <c r="AC19" s="67"/>
      <c r="AD19" s="67"/>
      <c r="AE19" s="67"/>
      <c r="AF19" s="67"/>
      <c r="AG19" s="67"/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66</v>
      </c>
      <c r="B21" s="65">
        <f t="shared" ref="B21:E21" si="22">IF(B7=0,0,B7/B$7)</f>
        <v>1</v>
      </c>
      <c r="C21" s="65">
        <f t="shared" si="22"/>
        <v>1</v>
      </c>
      <c r="D21" s="65">
        <f t="shared" si="22"/>
        <v>1</v>
      </c>
      <c r="E21" s="65">
        <f t="shared" si="22"/>
        <v>1</v>
      </c>
      <c r="F21" s="65">
        <f t="shared" ref="F21:V21" si="23">IF(F7=0,0,F7/F$7)</f>
        <v>1</v>
      </c>
      <c r="G21" s="65">
        <f t="shared" si="23"/>
        <v>1</v>
      </c>
      <c r="H21" s="65">
        <f t="shared" si="23"/>
        <v>1</v>
      </c>
      <c r="I21" s="65">
        <f t="shared" si="23"/>
        <v>1</v>
      </c>
      <c r="J21" s="65">
        <f t="shared" si="23"/>
        <v>1</v>
      </c>
      <c r="K21" s="65">
        <f t="shared" si="23"/>
        <v>1</v>
      </c>
      <c r="L21" s="65">
        <f t="shared" si="23"/>
        <v>1</v>
      </c>
      <c r="M21" s="65">
        <f t="shared" si="23"/>
        <v>1</v>
      </c>
      <c r="N21" s="65">
        <f t="shared" si="23"/>
        <v>1</v>
      </c>
      <c r="O21" s="65">
        <f t="shared" si="23"/>
        <v>1</v>
      </c>
      <c r="P21" s="65">
        <f t="shared" si="23"/>
        <v>1</v>
      </c>
      <c r="Q21" s="65">
        <f t="shared" si="23"/>
        <v>1</v>
      </c>
      <c r="R21" s="65">
        <f t="shared" si="23"/>
        <v>1</v>
      </c>
      <c r="S21" s="65">
        <f t="shared" si="23"/>
        <v>1</v>
      </c>
      <c r="T21" s="65">
        <f t="shared" si="23"/>
        <v>1</v>
      </c>
      <c r="U21" s="65">
        <f t="shared" si="23"/>
        <v>1</v>
      </c>
      <c r="V21" s="65">
        <f t="shared" si="23"/>
        <v>1</v>
      </c>
      <c r="W21" s="65">
        <f t="shared" ref="W21:Y21" si="24">IF(W7=0,0,W7/W$7)</f>
        <v>1</v>
      </c>
      <c r="X21" s="65">
        <f t="shared" si="24"/>
        <v>1</v>
      </c>
      <c r="Y21" s="65">
        <f t="shared" si="24"/>
        <v>1</v>
      </c>
      <c r="Z21" s="65"/>
      <c r="AA21" s="65"/>
      <c r="AB21" s="65"/>
      <c r="AC21" s="65"/>
      <c r="AD21" s="65"/>
      <c r="AE21" s="65"/>
      <c r="AF21" s="65"/>
      <c r="AG21" s="65"/>
      <c r="DA21" s="172"/>
    </row>
    <row r="22" spans="1:105" ht="11.45" customHeight="1" x14ac:dyDescent="0.25">
      <c r="A22" s="55" t="s">
        <v>30</v>
      </c>
      <c r="B22" s="66">
        <f t="shared" ref="B22:E22" si="25">IF(B8=0,0,B8/B$7)</f>
        <v>0</v>
      </c>
      <c r="C22" s="66">
        <f t="shared" si="25"/>
        <v>0</v>
      </c>
      <c r="D22" s="66">
        <f t="shared" si="25"/>
        <v>0</v>
      </c>
      <c r="E22" s="66">
        <f t="shared" si="25"/>
        <v>0</v>
      </c>
      <c r="F22" s="66">
        <f t="shared" ref="F22:V22" si="26">IF(F8=0,0,F8/F$7)</f>
        <v>0</v>
      </c>
      <c r="G22" s="66">
        <f t="shared" si="26"/>
        <v>0</v>
      </c>
      <c r="H22" s="66">
        <f t="shared" si="26"/>
        <v>0</v>
      </c>
      <c r="I22" s="66">
        <f t="shared" si="26"/>
        <v>0</v>
      </c>
      <c r="J22" s="66">
        <f t="shared" si="26"/>
        <v>0</v>
      </c>
      <c r="K22" s="66">
        <f t="shared" si="26"/>
        <v>0</v>
      </c>
      <c r="L22" s="66">
        <f t="shared" si="26"/>
        <v>0</v>
      </c>
      <c r="M22" s="66">
        <f t="shared" si="26"/>
        <v>0</v>
      </c>
      <c r="N22" s="66">
        <f t="shared" si="26"/>
        <v>0</v>
      </c>
      <c r="O22" s="66">
        <f t="shared" si="26"/>
        <v>0</v>
      </c>
      <c r="P22" s="66">
        <f t="shared" si="26"/>
        <v>0</v>
      </c>
      <c r="Q22" s="66">
        <f t="shared" si="26"/>
        <v>0</v>
      </c>
      <c r="R22" s="66">
        <f t="shared" si="26"/>
        <v>0</v>
      </c>
      <c r="S22" s="66">
        <f t="shared" si="26"/>
        <v>0</v>
      </c>
      <c r="T22" s="66">
        <f t="shared" si="26"/>
        <v>0</v>
      </c>
      <c r="U22" s="66">
        <f t="shared" si="26"/>
        <v>0</v>
      </c>
      <c r="V22" s="66">
        <f t="shared" si="26"/>
        <v>0</v>
      </c>
      <c r="W22" s="66">
        <f t="shared" ref="W22:Y22" si="27">IF(W8=0,0,W8/W$7)</f>
        <v>0</v>
      </c>
      <c r="X22" s="66">
        <f t="shared" si="27"/>
        <v>0</v>
      </c>
      <c r="Y22" s="66">
        <f t="shared" si="27"/>
        <v>0</v>
      </c>
      <c r="Z22" s="66"/>
      <c r="AA22" s="66"/>
      <c r="AB22" s="66"/>
      <c r="AC22" s="66"/>
      <c r="AD22" s="66"/>
      <c r="AE22" s="66"/>
      <c r="AF22" s="66"/>
      <c r="AG22" s="66"/>
      <c r="DA22" s="181"/>
    </row>
    <row r="23" spans="1:105" ht="11.45" customHeight="1" x14ac:dyDescent="0.25">
      <c r="A23" s="57" t="s">
        <v>31</v>
      </c>
      <c r="B23" s="67">
        <f t="shared" ref="B23:E23" si="28">IF(B9=0,0,B9/B$7)</f>
        <v>1</v>
      </c>
      <c r="C23" s="67">
        <f t="shared" si="28"/>
        <v>1</v>
      </c>
      <c r="D23" s="67">
        <f t="shared" si="28"/>
        <v>1</v>
      </c>
      <c r="E23" s="67">
        <f t="shared" si="28"/>
        <v>1</v>
      </c>
      <c r="F23" s="67">
        <f t="shared" ref="F23:V23" si="29">IF(F9=0,0,F9/F$7)</f>
        <v>1</v>
      </c>
      <c r="G23" s="67">
        <f t="shared" si="29"/>
        <v>1</v>
      </c>
      <c r="H23" s="67">
        <f t="shared" si="29"/>
        <v>1</v>
      </c>
      <c r="I23" s="67">
        <f t="shared" si="29"/>
        <v>1</v>
      </c>
      <c r="J23" s="67">
        <f t="shared" si="29"/>
        <v>1</v>
      </c>
      <c r="K23" s="67">
        <f t="shared" si="29"/>
        <v>1</v>
      </c>
      <c r="L23" s="67">
        <f t="shared" si="29"/>
        <v>1</v>
      </c>
      <c r="M23" s="67">
        <f t="shared" si="29"/>
        <v>1</v>
      </c>
      <c r="N23" s="67">
        <f t="shared" si="29"/>
        <v>1</v>
      </c>
      <c r="O23" s="67">
        <f t="shared" si="29"/>
        <v>1</v>
      </c>
      <c r="P23" s="67">
        <f t="shared" si="29"/>
        <v>1</v>
      </c>
      <c r="Q23" s="67">
        <f t="shared" si="29"/>
        <v>1</v>
      </c>
      <c r="R23" s="67">
        <f t="shared" si="29"/>
        <v>1</v>
      </c>
      <c r="S23" s="67">
        <f t="shared" si="29"/>
        <v>1</v>
      </c>
      <c r="T23" s="67">
        <f t="shared" si="29"/>
        <v>1</v>
      </c>
      <c r="U23" s="67">
        <f t="shared" si="29"/>
        <v>1</v>
      </c>
      <c r="V23" s="67">
        <f t="shared" si="29"/>
        <v>1</v>
      </c>
      <c r="W23" s="67">
        <f t="shared" ref="W23:Y23" si="30">IF(W9=0,0,W9/W$7)</f>
        <v>1</v>
      </c>
      <c r="X23" s="67">
        <f t="shared" si="30"/>
        <v>1</v>
      </c>
      <c r="Y23" s="67">
        <f t="shared" si="30"/>
        <v>1</v>
      </c>
      <c r="Z23" s="67"/>
      <c r="AA23" s="67"/>
      <c r="AB23" s="67"/>
      <c r="AC23" s="67"/>
      <c r="AD23" s="67"/>
      <c r="AE23" s="67"/>
      <c r="AF23" s="67"/>
      <c r="AG23" s="67"/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DA29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1006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32</v>
      </c>
      <c r="B3" s="62">
        <f>SUM(B4,B10)</f>
        <v>113.29423903697335</v>
      </c>
      <c r="C3" s="62">
        <f t="shared" ref="C3:V3" si="0">SUM(C4,C10)</f>
        <v>101.16079105760963</v>
      </c>
      <c r="D3" s="62">
        <f t="shared" si="0"/>
        <v>103.20533104041272</v>
      </c>
      <c r="E3" s="62">
        <f t="shared" si="0"/>
        <v>68.352966466036108</v>
      </c>
      <c r="F3" s="62">
        <f t="shared" si="0"/>
        <v>41.769389509888214</v>
      </c>
      <c r="G3" s="62">
        <f t="shared" si="0"/>
        <v>42.046431642304384</v>
      </c>
      <c r="H3" s="62">
        <f t="shared" si="0"/>
        <v>41.019346517626836</v>
      </c>
      <c r="I3" s="62">
        <f t="shared" si="0"/>
        <v>85.366723989681859</v>
      </c>
      <c r="J3" s="62">
        <f t="shared" si="0"/>
        <v>78.790885640584676</v>
      </c>
      <c r="K3" s="62">
        <f t="shared" si="0"/>
        <v>55.460017196904552</v>
      </c>
      <c r="L3" s="62">
        <f t="shared" si="0"/>
        <v>59.568185726569219</v>
      </c>
      <c r="M3" s="62">
        <f t="shared" si="0"/>
        <v>52.378933791917447</v>
      </c>
      <c r="N3" s="62">
        <f t="shared" si="0"/>
        <v>42.568787618228718</v>
      </c>
      <c r="O3" s="62">
        <f t="shared" si="0"/>
        <v>41.555288048151333</v>
      </c>
      <c r="P3" s="62">
        <f t="shared" si="0"/>
        <v>37.501117798796223</v>
      </c>
      <c r="Q3" s="62">
        <f t="shared" si="0"/>
        <v>43.582373172828888</v>
      </c>
      <c r="R3" s="62">
        <f t="shared" si="0"/>
        <v>40.541702493551163</v>
      </c>
      <c r="S3" s="62">
        <f t="shared" si="0"/>
        <v>40.392691315563198</v>
      </c>
      <c r="T3" s="62">
        <f t="shared" si="0"/>
        <v>40.351160791057609</v>
      </c>
      <c r="U3" s="62">
        <f t="shared" si="0"/>
        <v>43.588564058469473</v>
      </c>
      <c r="V3" s="62">
        <f t="shared" si="0"/>
        <v>41.860275150472908</v>
      </c>
      <c r="W3" s="62">
        <f t="shared" ref="W3:Y3" si="1">SUM(W4,W10)</f>
        <v>51.607136715391228</v>
      </c>
      <c r="X3" s="62">
        <f t="shared" si="1"/>
        <v>45.215563198624253</v>
      </c>
      <c r="Y3" s="62">
        <f t="shared" si="1"/>
        <v>47.231728288907988</v>
      </c>
      <c r="Z3" s="62"/>
      <c r="AA3" s="62"/>
      <c r="AB3" s="62"/>
      <c r="AC3" s="62"/>
      <c r="AD3" s="62"/>
      <c r="AE3" s="62"/>
      <c r="AF3" s="62"/>
      <c r="AG3" s="62"/>
      <c r="DA3" s="172" t="s">
        <v>1007</v>
      </c>
    </row>
    <row r="4" spans="1:105" ht="11.45" customHeight="1" x14ac:dyDescent="0.25">
      <c r="A4" s="70" t="s">
        <v>30</v>
      </c>
      <c r="B4" s="71">
        <f>SUM(B5:B9)</f>
        <v>0</v>
      </c>
      <c r="C4" s="71">
        <f t="shared" ref="C4:V4" si="2">SUM(C5:C9)</f>
        <v>0</v>
      </c>
      <c r="D4" s="71">
        <f t="shared" si="2"/>
        <v>0</v>
      </c>
      <c r="E4" s="71">
        <f t="shared" si="2"/>
        <v>0</v>
      </c>
      <c r="F4" s="71">
        <f t="shared" si="2"/>
        <v>0</v>
      </c>
      <c r="G4" s="71">
        <f t="shared" si="2"/>
        <v>0</v>
      </c>
      <c r="H4" s="71">
        <f t="shared" si="2"/>
        <v>0</v>
      </c>
      <c r="I4" s="71">
        <f t="shared" si="2"/>
        <v>0</v>
      </c>
      <c r="J4" s="71">
        <f t="shared" si="2"/>
        <v>0</v>
      </c>
      <c r="K4" s="71">
        <f t="shared" si="2"/>
        <v>0</v>
      </c>
      <c r="L4" s="71">
        <f t="shared" si="2"/>
        <v>0</v>
      </c>
      <c r="M4" s="71">
        <f t="shared" si="2"/>
        <v>0</v>
      </c>
      <c r="N4" s="71">
        <f t="shared" si="2"/>
        <v>0</v>
      </c>
      <c r="O4" s="71">
        <f t="shared" si="2"/>
        <v>0</v>
      </c>
      <c r="P4" s="71">
        <f t="shared" si="2"/>
        <v>0</v>
      </c>
      <c r="Q4" s="71">
        <f t="shared" si="2"/>
        <v>0</v>
      </c>
      <c r="R4" s="71">
        <f t="shared" si="2"/>
        <v>0</v>
      </c>
      <c r="S4" s="71">
        <f t="shared" si="2"/>
        <v>0</v>
      </c>
      <c r="T4" s="71">
        <f t="shared" si="2"/>
        <v>0</v>
      </c>
      <c r="U4" s="71">
        <f t="shared" si="2"/>
        <v>0</v>
      </c>
      <c r="V4" s="71">
        <f t="shared" si="2"/>
        <v>0</v>
      </c>
      <c r="W4" s="71">
        <f t="shared" ref="W4:Y4" si="3">SUM(W5:W9)</f>
        <v>0</v>
      </c>
      <c r="X4" s="71">
        <f t="shared" si="3"/>
        <v>0</v>
      </c>
      <c r="Y4" s="71">
        <f t="shared" si="3"/>
        <v>0</v>
      </c>
      <c r="Z4" s="71"/>
      <c r="AA4" s="71"/>
      <c r="AB4" s="71"/>
      <c r="AC4" s="71"/>
      <c r="AD4" s="71"/>
      <c r="AE4" s="71"/>
      <c r="AF4" s="71"/>
      <c r="AG4" s="71"/>
      <c r="DA4" s="186" t="s">
        <v>1008</v>
      </c>
    </row>
    <row r="5" spans="1:105" ht="11.45" customHeight="1" x14ac:dyDescent="0.25">
      <c r="A5" s="72" t="s">
        <v>144</v>
      </c>
      <c r="B5" s="73">
        <v>0</v>
      </c>
      <c r="C5" s="73">
        <v>0</v>
      </c>
      <c r="D5" s="73">
        <v>0</v>
      </c>
      <c r="E5" s="73">
        <v>0</v>
      </c>
      <c r="F5" s="73">
        <v>0</v>
      </c>
      <c r="G5" s="73">
        <v>0</v>
      </c>
      <c r="H5" s="73">
        <v>0</v>
      </c>
      <c r="I5" s="73">
        <v>0</v>
      </c>
      <c r="J5" s="73">
        <v>0</v>
      </c>
      <c r="K5" s="73">
        <v>0</v>
      </c>
      <c r="L5" s="73">
        <v>0</v>
      </c>
      <c r="M5" s="73">
        <v>0</v>
      </c>
      <c r="N5" s="73">
        <v>0</v>
      </c>
      <c r="O5" s="73">
        <v>0</v>
      </c>
      <c r="P5" s="73">
        <v>0</v>
      </c>
      <c r="Q5" s="73">
        <v>0</v>
      </c>
      <c r="R5" s="73">
        <v>0</v>
      </c>
      <c r="S5" s="73">
        <v>0</v>
      </c>
      <c r="T5" s="73">
        <v>0</v>
      </c>
      <c r="U5" s="73">
        <v>0</v>
      </c>
      <c r="V5" s="73">
        <v>0</v>
      </c>
      <c r="W5" s="73">
        <v>0</v>
      </c>
      <c r="X5" s="73">
        <v>0</v>
      </c>
      <c r="Y5" s="73">
        <v>0</v>
      </c>
      <c r="Z5" s="73"/>
      <c r="AA5" s="73"/>
      <c r="AB5" s="73"/>
      <c r="AC5" s="73"/>
      <c r="AD5" s="73"/>
      <c r="AE5" s="73"/>
      <c r="AF5" s="73"/>
      <c r="AG5" s="73"/>
      <c r="DA5" s="187" t="s">
        <v>1009</v>
      </c>
    </row>
    <row r="6" spans="1:105" ht="11.45" customHeight="1" x14ac:dyDescent="0.25">
      <c r="A6" s="72" t="s">
        <v>145</v>
      </c>
      <c r="B6" s="73">
        <v>0</v>
      </c>
      <c r="C6" s="73">
        <v>0</v>
      </c>
      <c r="D6" s="73">
        <v>0</v>
      </c>
      <c r="E6" s="73">
        <v>0</v>
      </c>
      <c r="F6" s="73">
        <v>0</v>
      </c>
      <c r="G6" s="73">
        <v>0</v>
      </c>
      <c r="H6" s="73">
        <v>0</v>
      </c>
      <c r="I6" s="73">
        <v>0</v>
      </c>
      <c r="J6" s="73">
        <v>0</v>
      </c>
      <c r="K6" s="73">
        <v>0</v>
      </c>
      <c r="L6" s="73">
        <v>0</v>
      </c>
      <c r="M6" s="73">
        <v>0</v>
      </c>
      <c r="N6" s="73">
        <v>0</v>
      </c>
      <c r="O6" s="73">
        <v>0</v>
      </c>
      <c r="P6" s="73">
        <v>0</v>
      </c>
      <c r="Q6" s="73">
        <v>0</v>
      </c>
      <c r="R6" s="73">
        <v>0</v>
      </c>
      <c r="S6" s="73">
        <v>0</v>
      </c>
      <c r="T6" s="73">
        <v>0</v>
      </c>
      <c r="U6" s="73">
        <v>0</v>
      </c>
      <c r="V6" s="73">
        <v>0</v>
      </c>
      <c r="W6" s="73">
        <v>0</v>
      </c>
      <c r="X6" s="73">
        <v>0</v>
      </c>
      <c r="Y6" s="73">
        <v>0</v>
      </c>
      <c r="Z6" s="73"/>
      <c r="AA6" s="73"/>
      <c r="AB6" s="73"/>
      <c r="AC6" s="73"/>
      <c r="AD6" s="73"/>
      <c r="AE6" s="73"/>
      <c r="AF6" s="73"/>
      <c r="AG6" s="73"/>
      <c r="DA6" s="187" t="s">
        <v>1010</v>
      </c>
    </row>
    <row r="7" spans="1:105" ht="11.45" customHeight="1" x14ac:dyDescent="0.25">
      <c r="A7" s="72" t="s">
        <v>146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X7" s="73">
        <v>0</v>
      </c>
      <c r="Y7" s="73">
        <v>0</v>
      </c>
      <c r="Z7" s="73"/>
      <c r="AA7" s="73"/>
      <c r="AB7" s="73"/>
      <c r="AC7" s="73"/>
      <c r="AD7" s="73"/>
      <c r="AE7" s="73"/>
      <c r="AF7" s="73"/>
      <c r="AG7" s="73"/>
      <c r="DA7" s="187" t="s">
        <v>1011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0</v>
      </c>
      <c r="Z8" s="73"/>
      <c r="AA8" s="73"/>
      <c r="AB8" s="73"/>
      <c r="AC8" s="73"/>
      <c r="AD8" s="73"/>
      <c r="AE8" s="73"/>
      <c r="AF8" s="73"/>
      <c r="AG8" s="73"/>
      <c r="DA8" s="187" t="s">
        <v>1012</v>
      </c>
    </row>
    <row r="9" spans="1:105" ht="11.45" customHeight="1" x14ac:dyDescent="0.25">
      <c r="A9" s="74" t="s">
        <v>147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>
        <v>0</v>
      </c>
      <c r="Y9" s="75">
        <v>0</v>
      </c>
      <c r="Z9" s="75"/>
      <c r="AA9" s="75"/>
      <c r="AB9" s="75"/>
      <c r="AC9" s="75"/>
      <c r="AD9" s="75"/>
      <c r="AE9" s="75"/>
      <c r="AF9" s="75"/>
      <c r="AG9" s="75"/>
      <c r="DA9" s="188" t="s">
        <v>1013</v>
      </c>
    </row>
    <row r="10" spans="1:105" ht="11.45" customHeight="1" x14ac:dyDescent="0.25">
      <c r="A10" s="70" t="s">
        <v>31</v>
      </c>
      <c r="B10" s="71">
        <f>SUM(B11:B15)</f>
        <v>113.29423903697335</v>
      </c>
      <c r="C10" s="71">
        <f t="shared" ref="C10:V10" si="4">SUM(C11:C15)</f>
        <v>101.16079105760963</v>
      </c>
      <c r="D10" s="71">
        <f t="shared" si="4"/>
        <v>103.20533104041272</v>
      </c>
      <c r="E10" s="71">
        <f t="shared" si="4"/>
        <v>68.352966466036108</v>
      </c>
      <c r="F10" s="71">
        <f t="shared" si="4"/>
        <v>41.769389509888214</v>
      </c>
      <c r="G10" s="71">
        <f t="shared" si="4"/>
        <v>42.046431642304384</v>
      </c>
      <c r="H10" s="71">
        <f t="shared" si="4"/>
        <v>41.019346517626836</v>
      </c>
      <c r="I10" s="71">
        <f t="shared" si="4"/>
        <v>85.366723989681859</v>
      </c>
      <c r="J10" s="71">
        <f t="shared" si="4"/>
        <v>78.790885640584676</v>
      </c>
      <c r="K10" s="71">
        <f t="shared" si="4"/>
        <v>55.460017196904552</v>
      </c>
      <c r="L10" s="71">
        <f t="shared" si="4"/>
        <v>59.568185726569219</v>
      </c>
      <c r="M10" s="71">
        <f t="shared" si="4"/>
        <v>52.378933791917447</v>
      </c>
      <c r="N10" s="71">
        <f t="shared" si="4"/>
        <v>42.568787618228718</v>
      </c>
      <c r="O10" s="71">
        <f t="shared" si="4"/>
        <v>41.555288048151333</v>
      </c>
      <c r="P10" s="71">
        <f t="shared" si="4"/>
        <v>37.501117798796223</v>
      </c>
      <c r="Q10" s="71">
        <f t="shared" si="4"/>
        <v>43.582373172828888</v>
      </c>
      <c r="R10" s="71">
        <f t="shared" si="4"/>
        <v>40.541702493551163</v>
      </c>
      <c r="S10" s="71">
        <f t="shared" si="4"/>
        <v>40.392691315563198</v>
      </c>
      <c r="T10" s="71">
        <f t="shared" si="4"/>
        <v>40.351160791057609</v>
      </c>
      <c r="U10" s="71">
        <f t="shared" si="4"/>
        <v>43.588564058469473</v>
      </c>
      <c r="V10" s="71">
        <f t="shared" si="4"/>
        <v>41.860275150472908</v>
      </c>
      <c r="W10" s="71">
        <f t="shared" ref="W10:Y10" si="5">SUM(W11:W15)</f>
        <v>51.607136715391228</v>
      </c>
      <c r="X10" s="71">
        <f t="shared" si="5"/>
        <v>45.215563198624253</v>
      </c>
      <c r="Y10" s="71">
        <f t="shared" si="5"/>
        <v>47.231728288907988</v>
      </c>
      <c r="Z10" s="71"/>
      <c r="AA10" s="71"/>
      <c r="AB10" s="71"/>
      <c r="AC10" s="71"/>
      <c r="AD10" s="71"/>
      <c r="AE10" s="71"/>
      <c r="AF10" s="71"/>
      <c r="AG10" s="71"/>
      <c r="DA10" s="186" t="s">
        <v>1014</v>
      </c>
    </row>
    <row r="11" spans="1:105" ht="11.45" customHeight="1" x14ac:dyDescent="0.25">
      <c r="A11" s="72" t="s">
        <v>144</v>
      </c>
      <c r="B11" s="73">
        <v>54.433018056749788</v>
      </c>
      <c r="C11" s="73">
        <v>13.351504729148751</v>
      </c>
      <c r="D11" s="73">
        <v>30.811092003439381</v>
      </c>
      <c r="E11" s="73">
        <v>13.351504729148751</v>
      </c>
      <c r="F11" s="73">
        <v>20.540756663800519</v>
      </c>
      <c r="G11" s="73">
        <v>41.08151332760103</v>
      </c>
      <c r="H11" s="73">
        <v>40.054428202923482</v>
      </c>
      <c r="I11" s="73">
        <v>84.217024935511603</v>
      </c>
      <c r="J11" s="73">
        <v>71.8926053310404</v>
      </c>
      <c r="K11" s="73">
        <v>55.460017196904552</v>
      </c>
      <c r="L11" s="73">
        <v>59.568185726569219</v>
      </c>
      <c r="M11" s="73">
        <v>52.378933791917447</v>
      </c>
      <c r="N11" s="73">
        <v>42.568787618228718</v>
      </c>
      <c r="O11" s="73">
        <v>41.555288048151333</v>
      </c>
      <c r="P11" s="73">
        <v>37.501117798796223</v>
      </c>
      <c r="Q11" s="73">
        <v>43.582373172828888</v>
      </c>
      <c r="R11" s="73">
        <v>40.541702493551163</v>
      </c>
      <c r="S11" s="73">
        <v>40.392691315563198</v>
      </c>
      <c r="T11" s="73">
        <v>40.351160791057609</v>
      </c>
      <c r="U11" s="73">
        <v>43.588564058469473</v>
      </c>
      <c r="V11" s="73">
        <v>41.860275150472908</v>
      </c>
      <c r="W11" s="73">
        <v>51.607136715391228</v>
      </c>
      <c r="X11" s="73">
        <v>45.215563198624253</v>
      </c>
      <c r="Y11" s="73">
        <v>47.231728288907988</v>
      </c>
      <c r="Z11" s="73"/>
      <c r="AA11" s="73"/>
      <c r="AB11" s="73"/>
      <c r="AC11" s="73"/>
      <c r="AD11" s="73"/>
      <c r="AE11" s="73"/>
      <c r="AF11" s="73"/>
      <c r="AG11" s="73"/>
      <c r="DA11" s="187" t="s">
        <v>1015</v>
      </c>
    </row>
    <row r="12" spans="1:105" ht="11.45" customHeight="1" x14ac:dyDescent="0.25">
      <c r="A12" s="72" t="s">
        <v>145</v>
      </c>
      <c r="B12" s="73">
        <v>58.861220980223564</v>
      </c>
      <c r="C12" s="73">
        <v>87.809286328460871</v>
      </c>
      <c r="D12" s="73">
        <v>72.370335339638856</v>
      </c>
      <c r="E12" s="73">
        <v>55.001461736887357</v>
      </c>
      <c r="F12" s="73">
        <v>21.228632846087695</v>
      </c>
      <c r="G12" s="73">
        <v>0.96491831470335399</v>
      </c>
      <c r="H12" s="73">
        <v>0.96491831470335399</v>
      </c>
      <c r="I12" s="73">
        <v>1.1496990541702559</v>
      </c>
      <c r="J12" s="73">
        <v>6.8982803095442762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>
        <v>0</v>
      </c>
      <c r="Y12" s="73">
        <v>0</v>
      </c>
      <c r="Z12" s="73"/>
      <c r="AA12" s="73"/>
      <c r="AB12" s="73"/>
      <c r="AC12" s="73"/>
      <c r="AD12" s="73"/>
      <c r="AE12" s="73"/>
      <c r="AF12" s="73"/>
      <c r="AG12" s="73"/>
      <c r="DA12" s="187" t="s">
        <v>1016</v>
      </c>
    </row>
    <row r="13" spans="1:105" ht="11.45" customHeight="1" x14ac:dyDescent="0.25">
      <c r="A13" s="72" t="s">
        <v>146</v>
      </c>
      <c r="B13" s="73">
        <v>0</v>
      </c>
      <c r="C13" s="73">
        <v>0</v>
      </c>
      <c r="D13" s="73">
        <v>2.3903697334479789E-2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0</v>
      </c>
      <c r="Z13" s="73"/>
      <c r="AA13" s="73"/>
      <c r="AB13" s="73"/>
      <c r="AC13" s="73"/>
      <c r="AD13" s="73"/>
      <c r="AE13" s="73"/>
      <c r="AF13" s="73"/>
      <c r="AG13" s="73"/>
      <c r="DA13" s="187" t="s">
        <v>1017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0</v>
      </c>
      <c r="Z14" s="73"/>
      <c r="AA14" s="73"/>
      <c r="AB14" s="73"/>
      <c r="AC14" s="73"/>
      <c r="AD14" s="73"/>
      <c r="AE14" s="73"/>
      <c r="AF14" s="73"/>
      <c r="AG14" s="73"/>
      <c r="DA14" s="187" t="s">
        <v>1018</v>
      </c>
    </row>
    <row r="15" spans="1:105" ht="11.45" customHeight="1" x14ac:dyDescent="0.25">
      <c r="A15" s="74" t="s">
        <v>147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>
        <v>0</v>
      </c>
      <c r="Y15" s="75">
        <v>0</v>
      </c>
      <c r="Z15" s="75"/>
      <c r="AA15" s="75"/>
      <c r="AB15" s="75"/>
      <c r="AC15" s="75"/>
      <c r="AD15" s="75"/>
      <c r="AE15" s="75"/>
      <c r="AF15" s="75"/>
      <c r="AG15" s="75"/>
      <c r="DA15" s="188" t="s">
        <v>1019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DA18" s="181"/>
    </row>
    <row r="19" spans="1:105" ht="11.45" customHeight="1" x14ac:dyDescent="0.25">
      <c r="A19" s="53" t="s">
        <v>62</v>
      </c>
      <c r="B19" s="62">
        <f>IF(B3=0,0,B3/TrNavi_act!B7*100)</f>
        <v>1228.9211306754894</v>
      </c>
      <c r="C19" s="62">
        <f>IF(C3=0,0,C3/TrNavi_act!C7*100)</f>
        <v>1137.2770214458644</v>
      </c>
      <c r="D19" s="62">
        <f>IF(D3=0,0,D3/TrNavi_act!D7*100)</f>
        <v>997.63490614222053</v>
      </c>
      <c r="E19" s="62">
        <f>IF(E3=0,0,E3/TrNavi_act!E7*100)</f>
        <v>825.61863106699002</v>
      </c>
      <c r="F19" s="62">
        <f>IF(F3=0,0,F3/TrNavi_act!F7*100)</f>
        <v>459.20612917643149</v>
      </c>
      <c r="G19" s="62">
        <f>IF(G3=0,0,G3/TrNavi_act!G7*100)</f>
        <v>418.37245415228239</v>
      </c>
      <c r="H19" s="62">
        <f>IF(H3=0,0,H3/TrNavi_act!H7*100)</f>
        <v>420.19408438462233</v>
      </c>
      <c r="I19" s="62">
        <f>IF(I3=0,0,I3/TrNavi_act!I7*100)</f>
        <v>604.79436053618031</v>
      </c>
      <c r="J19" s="62">
        <f>IF(J3=0,0,J3/TrNavi_act!J7*100)</f>
        <v>564.32377625400852</v>
      </c>
      <c r="K19" s="62">
        <f>IF(K3=0,0,K3/TrNavi_act!K7*100)</f>
        <v>406.83698061109561</v>
      </c>
      <c r="L19" s="62">
        <f>IF(L3=0,0,L3/TrNavi_act!L7*100)</f>
        <v>382.21485868828495</v>
      </c>
      <c r="M19" s="62">
        <f>IF(M3=0,0,M3/TrNavi_act!M7*100)</f>
        <v>401.49420352535225</v>
      </c>
      <c r="N19" s="62">
        <f>IF(N3=0,0,N3/TrNavi_act!N7*100)</f>
        <v>320.6205288711962</v>
      </c>
      <c r="O19" s="62">
        <f>IF(O3=0,0,O3/TrNavi_act!O7*100)</f>
        <v>340.72882951911555</v>
      </c>
      <c r="P19" s="62">
        <f>IF(P3=0,0,P3/TrNavi_act!P7*100)</f>
        <v>352.18931065736501</v>
      </c>
      <c r="Q19" s="62">
        <f>IF(Q3=0,0,Q3/TrNavi_act!Q7*100)</f>
        <v>331.24856101564859</v>
      </c>
      <c r="R19" s="62">
        <f>IF(R3=0,0,R3/TrNavi_act!R7*100)</f>
        <v>310.33146428009155</v>
      </c>
      <c r="S19" s="62">
        <f>IF(S3=0,0,S3/TrNavi_act!S7*100)</f>
        <v>378.35042446200072</v>
      </c>
      <c r="T19" s="62">
        <f>IF(T3=0,0,T3/TrNavi_act!T7*100)</f>
        <v>335.44900483047309</v>
      </c>
      <c r="U19" s="62">
        <f>IF(U3=0,0,U3/TrNavi_act!U7*100)</f>
        <v>326.77535091438244</v>
      </c>
      <c r="V19" s="62">
        <f>IF(V3=0,0,V3/TrNavi_act!V7*100)</f>
        <v>323.94579128983827</v>
      </c>
      <c r="W19" s="62">
        <f>IF(W3=0,0,W3/TrNavi_act!W7*100)</f>
        <v>361.24273215309557</v>
      </c>
      <c r="X19" s="62">
        <f>IF(X3=0,0,X3/TrNavi_act!X7*100)</f>
        <v>379.10256727277817</v>
      </c>
      <c r="Y19" s="62">
        <f>IF(Y3=0,0,Y3/TrNavi_act!Y7*100)</f>
        <v>367.64792005065766</v>
      </c>
      <c r="Z19" s="62"/>
      <c r="AA19" s="62"/>
      <c r="AB19" s="62"/>
      <c r="AC19" s="62"/>
      <c r="AD19" s="62"/>
      <c r="AE19" s="62"/>
      <c r="AF19" s="62"/>
      <c r="AG19" s="62"/>
      <c r="DA19" s="172" t="s">
        <v>1020</v>
      </c>
    </row>
    <row r="20" spans="1:105" ht="11.45" customHeight="1" x14ac:dyDescent="0.25">
      <c r="A20" s="55" t="s">
        <v>30</v>
      </c>
      <c r="B20" s="63">
        <f>IF(B4=0,0,B4/TrNavi_act!B8*100)</f>
        <v>0</v>
      </c>
      <c r="C20" s="63">
        <f>IF(C4=0,0,C4/TrNavi_act!C8*100)</f>
        <v>0</v>
      </c>
      <c r="D20" s="63">
        <f>IF(D4=0,0,D4/TrNavi_act!D8*100)</f>
        <v>0</v>
      </c>
      <c r="E20" s="63">
        <f>IF(E4=0,0,E4/TrNavi_act!E8*100)</f>
        <v>0</v>
      </c>
      <c r="F20" s="63">
        <f>IF(F4=0,0,F4/TrNavi_act!F8*100)</f>
        <v>0</v>
      </c>
      <c r="G20" s="63">
        <f>IF(G4=0,0,G4/TrNavi_act!G8*100)</f>
        <v>0</v>
      </c>
      <c r="H20" s="63">
        <f>IF(H4=0,0,H4/TrNavi_act!H8*100)</f>
        <v>0</v>
      </c>
      <c r="I20" s="63">
        <f>IF(I4=0,0,I4/TrNavi_act!I8*100)</f>
        <v>0</v>
      </c>
      <c r="J20" s="63">
        <f>IF(J4=0,0,J4/TrNavi_act!J8*100)</f>
        <v>0</v>
      </c>
      <c r="K20" s="63">
        <f>IF(K4=0,0,K4/TrNavi_act!K8*100)</f>
        <v>0</v>
      </c>
      <c r="L20" s="63">
        <f>IF(L4=0,0,L4/TrNavi_act!L8*100)</f>
        <v>0</v>
      </c>
      <c r="M20" s="63">
        <f>IF(M4=0,0,M4/TrNavi_act!M8*100)</f>
        <v>0</v>
      </c>
      <c r="N20" s="63">
        <f>IF(N4=0,0,N4/TrNavi_act!N8*100)</f>
        <v>0</v>
      </c>
      <c r="O20" s="63">
        <f>IF(O4=0,0,O4/TrNavi_act!O8*100)</f>
        <v>0</v>
      </c>
      <c r="P20" s="63">
        <f>IF(P4=0,0,P4/TrNavi_act!P8*100)</f>
        <v>0</v>
      </c>
      <c r="Q20" s="63">
        <f>IF(Q4=0,0,Q4/TrNavi_act!Q8*100)</f>
        <v>0</v>
      </c>
      <c r="R20" s="63">
        <f>IF(R4=0,0,R4/TrNavi_act!R8*100)</f>
        <v>0</v>
      </c>
      <c r="S20" s="63">
        <f>IF(S4=0,0,S4/TrNavi_act!S8*100)</f>
        <v>0</v>
      </c>
      <c r="T20" s="63">
        <f>IF(T4=0,0,T4/TrNavi_act!T8*100)</f>
        <v>0</v>
      </c>
      <c r="U20" s="63">
        <f>IF(U4=0,0,U4/TrNavi_act!U8*100)</f>
        <v>0</v>
      </c>
      <c r="V20" s="63">
        <f>IF(V4=0,0,V4/TrNavi_act!V8*100)</f>
        <v>0</v>
      </c>
      <c r="W20" s="63">
        <f>IF(W4=0,0,W4/TrNavi_act!W8*100)</f>
        <v>0</v>
      </c>
      <c r="X20" s="63">
        <f>IF(X4=0,0,X4/TrNavi_act!X8*100)</f>
        <v>0</v>
      </c>
      <c r="Y20" s="63">
        <f>IF(Y4=0,0,Y4/TrNavi_act!Y8*100)</f>
        <v>0</v>
      </c>
      <c r="Z20" s="63"/>
      <c r="AA20" s="63"/>
      <c r="AB20" s="63"/>
      <c r="AC20" s="63"/>
      <c r="AD20" s="63"/>
      <c r="AE20" s="63"/>
      <c r="AF20" s="63"/>
      <c r="AG20" s="63"/>
      <c r="DA20" s="181" t="s">
        <v>1021</v>
      </c>
    </row>
    <row r="21" spans="1:105" ht="11.45" customHeight="1" x14ac:dyDescent="0.25">
      <c r="A21" s="57" t="s">
        <v>31</v>
      </c>
      <c r="B21" s="64">
        <f>IF(B10=0,0,B10/TrNavi_act!B9*100)</f>
        <v>1228.9211306754894</v>
      </c>
      <c r="C21" s="64">
        <f>IF(C10=0,0,C10/TrNavi_act!C9*100)</f>
        <v>1137.2770214458644</v>
      </c>
      <c r="D21" s="64">
        <f>IF(D10=0,0,D10/TrNavi_act!D9*100)</f>
        <v>997.63490614222053</v>
      </c>
      <c r="E21" s="64">
        <f>IF(E10=0,0,E10/TrNavi_act!E9*100)</f>
        <v>825.61863106699002</v>
      </c>
      <c r="F21" s="64">
        <f>IF(F10=0,0,F10/TrNavi_act!F9*100)</f>
        <v>459.20612917643149</v>
      </c>
      <c r="G21" s="64">
        <f>IF(G10=0,0,G10/TrNavi_act!G9*100)</f>
        <v>418.37245415228239</v>
      </c>
      <c r="H21" s="64">
        <f>IF(H10=0,0,H10/TrNavi_act!H9*100)</f>
        <v>420.19408438462233</v>
      </c>
      <c r="I21" s="64">
        <f>IF(I10=0,0,I10/TrNavi_act!I9*100)</f>
        <v>604.79436053618031</v>
      </c>
      <c r="J21" s="64">
        <f>IF(J10=0,0,J10/TrNavi_act!J9*100)</f>
        <v>564.32377625400852</v>
      </c>
      <c r="K21" s="64">
        <f>IF(K10=0,0,K10/TrNavi_act!K9*100)</f>
        <v>406.83698061109561</v>
      </c>
      <c r="L21" s="64">
        <f>IF(L10=0,0,L10/TrNavi_act!L9*100)</f>
        <v>382.21485868828495</v>
      </c>
      <c r="M21" s="64">
        <f>IF(M10=0,0,M10/TrNavi_act!M9*100)</f>
        <v>401.49420352535225</v>
      </c>
      <c r="N21" s="64">
        <f>IF(N10=0,0,N10/TrNavi_act!N9*100)</f>
        <v>320.6205288711962</v>
      </c>
      <c r="O21" s="64">
        <f>IF(O10=0,0,O10/TrNavi_act!O9*100)</f>
        <v>340.72882951911555</v>
      </c>
      <c r="P21" s="64">
        <f>IF(P10=0,0,P10/TrNavi_act!P9*100)</f>
        <v>352.18931065736501</v>
      </c>
      <c r="Q21" s="64">
        <f>IF(Q10=0,0,Q10/TrNavi_act!Q9*100)</f>
        <v>331.24856101564859</v>
      </c>
      <c r="R21" s="64">
        <f>IF(R10=0,0,R10/TrNavi_act!R9*100)</f>
        <v>310.33146428009155</v>
      </c>
      <c r="S21" s="64">
        <f>IF(S10=0,0,S10/TrNavi_act!S9*100)</f>
        <v>378.35042446200072</v>
      </c>
      <c r="T21" s="64">
        <f>IF(T10=0,0,T10/TrNavi_act!T9*100)</f>
        <v>335.44900483047309</v>
      </c>
      <c r="U21" s="64">
        <f>IF(U10=0,0,U10/TrNavi_act!U9*100)</f>
        <v>326.77535091438244</v>
      </c>
      <c r="V21" s="64">
        <f>IF(V10=0,0,V10/TrNavi_act!V9*100)</f>
        <v>323.94579128983827</v>
      </c>
      <c r="W21" s="64">
        <f>IF(W10=0,0,W10/TrNavi_act!W9*100)</f>
        <v>361.24273215309557</v>
      </c>
      <c r="X21" s="64">
        <f>IF(X10=0,0,X10/TrNavi_act!X9*100)</f>
        <v>379.10256727277817</v>
      </c>
      <c r="Y21" s="64">
        <f>IF(Y10=0,0,Y10/TrNavi_act!Y9*100)</f>
        <v>367.64792005065766</v>
      </c>
      <c r="Z21" s="64"/>
      <c r="AA21" s="64"/>
      <c r="AB21" s="64"/>
      <c r="AC21" s="64"/>
      <c r="AD21" s="64"/>
      <c r="AE21" s="64"/>
      <c r="AF21" s="64"/>
      <c r="AG21" s="64"/>
      <c r="DA21" s="182" t="s">
        <v>1022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DA22" s="181"/>
    </row>
    <row r="23" spans="1:105" ht="11.45" customHeight="1" x14ac:dyDescent="0.25">
      <c r="A23" s="53" t="s">
        <v>162</v>
      </c>
      <c r="B23" s="62">
        <f>IF(B3=0,0,B3/TrNavi_act!B3*1000)</f>
        <v>43.01223957364212</v>
      </c>
      <c r="C23" s="62">
        <f>IF(C3=0,0,C3/TrNavi_act!C3*1000)</f>
        <v>36.839326677935041</v>
      </c>
      <c r="D23" s="62">
        <f>IF(D3=0,0,D3/TrNavi_act!D3*1000)</f>
        <v>28.345325745787616</v>
      </c>
      <c r="E23" s="62">
        <f>IF(E3=0,0,E3/TrNavi_act!E3*1000)</f>
        <v>19.412941342242576</v>
      </c>
      <c r="F23" s="62">
        <f>IF(F3=0,0,F3/TrNavi_act!F3*1000)</f>
        <v>6.0056634809328848</v>
      </c>
      <c r="G23" s="62">
        <f>IF(G3=0,0,G3/TrNavi_act!G3*1000)</f>
        <v>4.9847577524960744</v>
      </c>
      <c r="H23" s="62">
        <f>IF(H3=0,0,H3/TrNavi_act!H3*1000)</f>
        <v>5.0287294982992314</v>
      </c>
      <c r="I23" s="62">
        <f>IF(I3=0,0,I3/TrNavi_act!I3*1000)</f>
        <v>10.416927881596321</v>
      </c>
      <c r="J23" s="62">
        <f>IF(J3=0,0,J3/TrNavi_act!J3*1000)</f>
        <v>9.0699764752601215</v>
      </c>
      <c r="K23" s="62">
        <f>IF(K3=0,0,K3/TrNavi_act!K3*1000)</f>
        <v>4.713983612146583</v>
      </c>
      <c r="L23" s="62">
        <f>IF(L3=0,0,L3/TrNavi_act!L3*1000)</f>
        <v>4.1606611529349173</v>
      </c>
      <c r="M23" s="62">
        <f>IF(M3=0,0,M3/TrNavi_act!M3*1000)</f>
        <v>4.5910188265332144</v>
      </c>
      <c r="N23" s="62">
        <f>IF(N3=0,0,N3/TrNavi_act!N3*1000)</f>
        <v>3.4000629088042107</v>
      </c>
      <c r="O23" s="62">
        <f>IF(O3=0,0,O3/TrNavi_act!O3*1000)</f>
        <v>3.3944852187674672</v>
      </c>
      <c r="P23" s="62">
        <f>IF(P3=0,0,P3/TrNavi_act!P3*1000)</f>
        <v>3.188870561122128</v>
      </c>
      <c r="Q23" s="62">
        <f>IF(Q3=0,0,Q3/TrNavi_act!Q3*1000)</f>
        <v>3.3097184973290465</v>
      </c>
      <c r="R23" s="62">
        <f>IF(R3=0,0,R3/TrNavi_act!R3*1000)</f>
        <v>3.0823160110660046</v>
      </c>
      <c r="S23" s="62">
        <f>IF(S3=0,0,S3/TrNavi_act!S3*1000)</f>
        <v>3.2270265491382282</v>
      </c>
      <c r="T23" s="62">
        <f>IF(T3=0,0,T3/TrNavi_act!T3*1000)</f>
        <v>3.2910171104361479</v>
      </c>
      <c r="U23" s="62">
        <f>IF(U3=0,0,U3/TrNavi_act!U3*1000)</f>
        <v>3.1230611204749925</v>
      </c>
      <c r="V23" s="62">
        <f>IF(V3=0,0,V3/TrNavi_act!V3*1000)</f>
        <v>3.0693851848125027</v>
      </c>
      <c r="W23" s="62">
        <f>IF(W3=0,0,W3/TrNavi_act!W3*1000)</f>
        <v>3.8165313352604073</v>
      </c>
      <c r="X23" s="62">
        <f>IF(X3=0,0,X3/TrNavi_act!X3*1000)</f>
        <v>4.2033618293784745</v>
      </c>
      <c r="Y23" s="62">
        <f>IF(Y3=0,0,Y3/TrNavi_act!Y3*1000)</f>
        <v>3.9534383769070049</v>
      </c>
      <c r="Z23" s="62"/>
      <c r="AA23" s="62"/>
      <c r="AB23" s="62"/>
      <c r="AC23" s="62"/>
      <c r="AD23" s="62"/>
      <c r="AE23" s="62"/>
      <c r="AF23" s="62"/>
      <c r="AG23" s="62"/>
      <c r="DA23" s="172" t="s">
        <v>429</v>
      </c>
    </row>
    <row r="24" spans="1:105" ht="11.45" customHeight="1" x14ac:dyDescent="0.25">
      <c r="A24" s="55" t="s">
        <v>30</v>
      </c>
      <c r="B24" s="63">
        <f>IF(B4=0,0,B4/TrNavi_act!B4*1000)</f>
        <v>0</v>
      </c>
      <c r="C24" s="63">
        <f>IF(C4=0,0,C4/TrNavi_act!C4*1000)</f>
        <v>0</v>
      </c>
      <c r="D24" s="63">
        <f>IF(D4=0,0,D4/TrNavi_act!D4*1000)</f>
        <v>0</v>
      </c>
      <c r="E24" s="63">
        <f>IF(E4=0,0,E4/TrNavi_act!E4*1000)</f>
        <v>0</v>
      </c>
      <c r="F24" s="63">
        <f>IF(F4=0,0,F4/TrNavi_act!F4*1000)</f>
        <v>0</v>
      </c>
      <c r="G24" s="63">
        <f>IF(G4=0,0,G4/TrNavi_act!G4*1000)</f>
        <v>0</v>
      </c>
      <c r="H24" s="63">
        <f>IF(H4=0,0,H4/TrNavi_act!H4*1000)</f>
        <v>0</v>
      </c>
      <c r="I24" s="63">
        <f>IF(I4=0,0,I4/TrNavi_act!I4*1000)</f>
        <v>0</v>
      </c>
      <c r="J24" s="63">
        <f>IF(J4=0,0,J4/TrNavi_act!J4*1000)</f>
        <v>0</v>
      </c>
      <c r="K24" s="63">
        <f>IF(K4=0,0,K4/TrNavi_act!K4*1000)</f>
        <v>0</v>
      </c>
      <c r="L24" s="63">
        <f>IF(L4=0,0,L4/TrNavi_act!L4*1000)</f>
        <v>0</v>
      </c>
      <c r="M24" s="63">
        <f>IF(M4=0,0,M4/TrNavi_act!M4*1000)</f>
        <v>0</v>
      </c>
      <c r="N24" s="63">
        <f>IF(N4=0,0,N4/TrNavi_act!N4*1000)</f>
        <v>0</v>
      </c>
      <c r="O24" s="63">
        <f>IF(O4=0,0,O4/TrNavi_act!O4*1000)</f>
        <v>0</v>
      </c>
      <c r="P24" s="63">
        <f>IF(P4=0,0,P4/TrNavi_act!P4*1000)</f>
        <v>0</v>
      </c>
      <c r="Q24" s="63">
        <f>IF(Q4=0,0,Q4/TrNavi_act!Q4*1000)</f>
        <v>0</v>
      </c>
      <c r="R24" s="63">
        <f>IF(R4=0,0,R4/TrNavi_act!R4*1000)</f>
        <v>0</v>
      </c>
      <c r="S24" s="63">
        <f>IF(S4=0,0,S4/TrNavi_act!S4*1000)</f>
        <v>0</v>
      </c>
      <c r="T24" s="63">
        <f>IF(T4=0,0,T4/TrNavi_act!T4*1000)</f>
        <v>0</v>
      </c>
      <c r="U24" s="63">
        <f>IF(U4=0,0,U4/TrNavi_act!U4*1000)</f>
        <v>0</v>
      </c>
      <c r="V24" s="63">
        <f>IF(V4=0,0,V4/TrNavi_act!V4*1000)</f>
        <v>0</v>
      </c>
      <c r="W24" s="63">
        <f>IF(W4=0,0,W4/TrNavi_act!W4*1000)</f>
        <v>0</v>
      </c>
      <c r="X24" s="63">
        <f>IF(X4=0,0,X4/TrNavi_act!X4*1000)</f>
        <v>0</v>
      </c>
      <c r="Y24" s="63">
        <f>IF(Y4=0,0,Y4/TrNavi_act!Y4*1000)</f>
        <v>0</v>
      </c>
      <c r="Z24" s="63"/>
      <c r="AA24" s="63"/>
      <c r="AB24" s="63"/>
      <c r="AC24" s="63"/>
      <c r="AD24" s="63"/>
      <c r="AE24" s="63"/>
      <c r="AF24" s="63"/>
      <c r="AG24" s="63"/>
      <c r="DA24" s="181" t="s">
        <v>430</v>
      </c>
    </row>
    <row r="25" spans="1:105" ht="11.45" customHeight="1" x14ac:dyDescent="0.25">
      <c r="A25" s="57" t="s">
        <v>31</v>
      </c>
      <c r="B25" s="64">
        <f>IF(B10=0,0,B10/TrNavi_act!B5*1000)</f>
        <v>43.01223957364212</v>
      </c>
      <c r="C25" s="64">
        <f>IF(C10=0,0,C10/TrNavi_act!C5*1000)</f>
        <v>36.839326677935041</v>
      </c>
      <c r="D25" s="64">
        <f>IF(D10=0,0,D10/TrNavi_act!D5*1000)</f>
        <v>28.345325745787616</v>
      </c>
      <c r="E25" s="64">
        <f>IF(E10=0,0,E10/TrNavi_act!E5*1000)</f>
        <v>19.412941342242576</v>
      </c>
      <c r="F25" s="64">
        <f>IF(F10=0,0,F10/TrNavi_act!F5*1000)</f>
        <v>6.0056634809328848</v>
      </c>
      <c r="G25" s="64">
        <f>IF(G10=0,0,G10/TrNavi_act!G5*1000)</f>
        <v>4.9847577524960744</v>
      </c>
      <c r="H25" s="64">
        <f>IF(H10=0,0,H10/TrNavi_act!H5*1000)</f>
        <v>5.0287294982992314</v>
      </c>
      <c r="I25" s="64">
        <f>IF(I10=0,0,I10/TrNavi_act!I5*1000)</f>
        <v>10.416927881596321</v>
      </c>
      <c r="J25" s="64">
        <f>IF(J10=0,0,J10/TrNavi_act!J5*1000)</f>
        <v>9.0699764752601215</v>
      </c>
      <c r="K25" s="64">
        <f>IF(K10=0,0,K10/TrNavi_act!K5*1000)</f>
        <v>4.713983612146583</v>
      </c>
      <c r="L25" s="64">
        <f>IF(L10=0,0,L10/TrNavi_act!L5*1000)</f>
        <v>4.1606611529349173</v>
      </c>
      <c r="M25" s="64">
        <f>IF(M10=0,0,M10/TrNavi_act!M5*1000)</f>
        <v>4.5910188265332144</v>
      </c>
      <c r="N25" s="64">
        <f>IF(N10=0,0,N10/TrNavi_act!N5*1000)</f>
        <v>3.4000629088042107</v>
      </c>
      <c r="O25" s="64">
        <f>IF(O10=0,0,O10/TrNavi_act!O5*1000)</f>
        <v>3.3944852187674672</v>
      </c>
      <c r="P25" s="64">
        <f>IF(P10=0,0,P10/TrNavi_act!P5*1000)</f>
        <v>3.188870561122128</v>
      </c>
      <c r="Q25" s="64">
        <f>IF(Q10=0,0,Q10/TrNavi_act!Q5*1000)</f>
        <v>3.3097184973290465</v>
      </c>
      <c r="R25" s="64">
        <f>IF(R10=0,0,R10/TrNavi_act!R5*1000)</f>
        <v>3.0823160110660046</v>
      </c>
      <c r="S25" s="64">
        <f>IF(S10=0,0,S10/TrNavi_act!S5*1000)</f>
        <v>3.2270265491382282</v>
      </c>
      <c r="T25" s="64">
        <f>IF(T10=0,0,T10/TrNavi_act!T5*1000)</f>
        <v>3.2910171104361479</v>
      </c>
      <c r="U25" s="64">
        <f>IF(U10=0,0,U10/TrNavi_act!U5*1000)</f>
        <v>3.1230611204749925</v>
      </c>
      <c r="V25" s="64">
        <f>IF(V10=0,0,V10/TrNavi_act!V5*1000)</f>
        <v>3.0693851848125027</v>
      </c>
      <c r="W25" s="64">
        <f>IF(W10=0,0,W10/TrNavi_act!W5*1000)</f>
        <v>3.8165313352604073</v>
      </c>
      <c r="X25" s="64">
        <f>IF(X10=0,0,X10/TrNavi_act!X5*1000)</f>
        <v>4.2033618293784745</v>
      </c>
      <c r="Y25" s="64">
        <f>IF(Y10=0,0,Y10/TrNavi_act!Y5*1000)</f>
        <v>3.9534383769070049</v>
      </c>
      <c r="Z25" s="64"/>
      <c r="AA25" s="64"/>
      <c r="AB25" s="64"/>
      <c r="AC25" s="64"/>
      <c r="AD25" s="64"/>
      <c r="AE25" s="64"/>
      <c r="AF25" s="64"/>
      <c r="AG25" s="64"/>
      <c r="DA25" s="182" t="s">
        <v>431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DA26" s="181"/>
    </row>
    <row r="27" spans="1:105" ht="11.45" customHeight="1" x14ac:dyDescent="0.25">
      <c r="A27" s="53" t="s">
        <v>40</v>
      </c>
      <c r="B27" s="76">
        <f t="shared" ref="B27:U27" si="6">IF(B3=0,0,B3/B$3)</f>
        <v>1</v>
      </c>
      <c r="C27" s="76">
        <f t="shared" si="6"/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ref="V27:W27" si="7">IF(V3=0,0,V3/V$3)</f>
        <v>1</v>
      </c>
      <c r="W27" s="76">
        <f t="shared" si="7"/>
        <v>1</v>
      </c>
      <c r="X27" s="76">
        <f t="shared" ref="X27:Y27" si="8">IF(X3=0,0,X3/X$3)</f>
        <v>1</v>
      </c>
      <c r="Y27" s="76">
        <f t="shared" si="8"/>
        <v>1</v>
      </c>
      <c r="Z27" s="76"/>
      <c r="AA27" s="76"/>
      <c r="AB27" s="76"/>
      <c r="AC27" s="76"/>
      <c r="AD27" s="76"/>
      <c r="AE27" s="76"/>
      <c r="AF27" s="76"/>
      <c r="AG27" s="76"/>
      <c r="DA27" s="183"/>
    </row>
    <row r="28" spans="1:105" ht="11.45" customHeight="1" x14ac:dyDescent="0.25">
      <c r="A28" s="55" t="s">
        <v>30</v>
      </c>
      <c r="B28" s="77">
        <f t="shared" ref="B28:U28" si="9">IF(B4=0,0,B4/B$3)</f>
        <v>0</v>
      </c>
      <c r="C28" s="77">
        <f t="shared" si="9"/>
        <v>0</v>
      </c>
      <c r="D28" s="77">
        <f t="shared" si="9"/>
        <v>0</v>
      </c>
      <c r="E28" s="77">
        <f t="shared" si="9"/>
        <v>0</v>
      </c>
      <c r="F28" s="77">
        <f t="shared" si="9"/>
        <v>0</v>
      </c>
      <c r="G28" s="77">
        <f t="shared" si="9"/>
        <v>0</v>
      </c>
      <c r="H28" s="77">
        <f t="shared" si="9"/>
        <v>0</v>
      </c>
      <c r="I28" s="77">
        <f t="shared" si="9"/>
        <v>0</v>
      </c>
      <c r="J28" s="77">
        <f t="shared" si="9"/>
        <v>0</v>
      </c>
      <c r="K28" s="77">
        <f t="shared" si="9"/>
        <v>0</v>
      </c>
      <c r="L28" s="77">
        <f t="shared" si="9"/>
        <v>0</v>
      </c>
      <c r="M28" s="77">
        <f t="shared" si="9"/>
        <v>0</v>
      </c>
      <c r="N28" s="77">
        <f t="shared" si="9"/>
        <v>0</v>
      </c>
      <c r="O28" s="77">
        <f t="shared" si="9"/>
        <v>0</v>
      </c>
      <c r="P28" s="77">
        <f t="shared" si="9"/>
        <v>0</v>
      </c>
      <c r="Q28" s="77">
        <f t="shared" si="9"/>
        <v>0</v>
      </c>
      <c r="R28" s="77">
        <f t="shared" si="9"/>
        <v>0</v>
      </c>
      <c r="S28" s="77">
        <f t="shared" si="9"/>
        <v>0</v>
      </c>
      <c r="T28" s="77">
        <f t="shared" si="9"/>
        <v>0</v>
      </c>
      <c r="U28" s="77">
        <f t="shared" si="9"/>
        <v>0</v>
      </c>
      <c r="V28" s="77">
        <f t="shared" ref="V28:W28" si="10">IF(V4=0,0,V4/V$3)</f>
        <v>0</v>
      </c>
      <c r="W28" s="77">
        <f t="shared" si="10"/>
        <v>0</v>
      </c>
      <c r="X28" s="77">
        <f t="shared" ref="X28:Y28" si="11">IF(X4=0,0,X4/X$3)</f>
        <v>0</v>
      </c>
      <c r="Y28" s="77">
        <f t="shared" si="11"/>
        <v>0</v>
      </c>
      <c r="Z28" s="77"/>
      <c r="AA28" s="77"/>
      <c r="AB28" s="77"/>
      <c r="AC28" s="77"/>
      <c r="AD28" s="77"/>
      <c r="AE28" s="77"/>
      <c r="AF28" s="77"/>
      <c r="AG28" s="77"/>
      <c r="DA28" s="184"/>
    </row>
    <row r="29" spans="1:105" ht="11.45" customHeight="1" x14ac:dyDescent="0.25">
      <c r="A29" s="57" t="s">
        <v>31</v>
      </c>
      <c r="B29" s="78">
        <f t="shared" ref="B29:U29" si="12">IF(B10=0,0,B10/B$3)</f>
        <v>1</v>
      </c>
      <c r="C29" s="78">
        <f t="shared" si="12"/>
        <v>1</v>
      </c>
      <c r="D29" s="78">
        <f t="shared" si="12"/>
        <v>1</v>
      </c>
      <c r="E29" s="78">
        <f t="shared" si="12"/>
        <v>1</v>
      </c>
      <c r="F29" s="78">
        <f t="shared" si="12"/>
        <v>1</v>
      </c>
      <c r="G29" s="78">
        <f t="shared" si="12"/>
        <v>1</v>
      </c>
      <c r="H29" s="78">
        <f t="shared" si="12"/>
        <v>1</v>
      </c>
      <c r="I29" s="78">
        <f t="shared" si="12"/>
        <v>1</v>
      </c>
      <c r="J29" s="78">
        <f t="shared" si="12"/>
        <v>1</v>
      </c>
      <c r="K29" s="78">
        <f t="shared" si="12"/>
        <v>1</v>
      </c>
      <c r="L29" s="78">
        <f t="shared" si="12"/>
        <v>1</v>
      </c>
      <c r="M29" s="78">
        <f t="shared" si="12"/>
        <v>1</v>
      </c>
      <c r="N29" s="78">
        <f t="shared" si="12"/>
        <v>1</v>
      </c>
      <c r="O29" s="78">
        <f t="shared" si="12"/>
        <v>1</v>
      </c>
      <c r="P29" s="78">
        <f t="shared" si="12"/>
        <v>1</v>
      </c>
      <c r="Q29" s="78">
        <f t="shared" si="12"/>
        <v>1</v>
      </c>
      <c r="R29" s="78">
        <f t="shared" si="12"/>
        <v>1</v>
      </c>
      <c r="S29" s="78">
        <f t="shared" si="12"/>
        <v>1</v>
      </c>
      <c r="T29" s="78">
        <f t="shared" si="12"/>
        <v>1</v>
      </c>
      <c r="U29" s="78">
        <f t="shared" si="12"/>
        <v>1</v>
      </c>
      <c r="V29" s="78">
        <f t="shared" ref="V29:W29" si="13">IF(V10=0,0,V10/V$3)</f>
        <v>1</v>
      </c>
      <c r="W29" s="78">
        <f t="shared" si="13"/>
        <v>1</v>
      </c>
      <c r="X29" s="78">
        <f t="shared" ref="X29:Y29" si="14">IF(X10=0,0,X10/X$3)</f>
        <v>1</v>
      </c>
      <c r="Y29" s="78">
        <f t="shared" si="14"/>
        <v>1</v>
      </c>
      <c r="Z29" s="78"/>
      <c r="AA29" s="78"/>
      <c r="AB29" s="78"/>
      <c r="AC29" s="78"/>
      <c r="AD29" s="78"/>
      <c r="AE29" s="78"/>
      <c r="AF29" s="78"/>
      <c r="AG29" s="78"/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DA23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1023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44</v>
      </c>
      <c r="B3" s="54">
        <f t="shared" ref="B3" si="0">SUM(B4:B5)</f>
        <v>359.61870240000007</v>
      </c>
      <c r="C3" s="54">
        <f t="shared" ref="C3:V3" si="1">SUM(C4:C5)</f>
        <v>325.97525736000006</v>
      </c>
      <c r="D3" s="54">
        <f t="shared" si="1"/>
        <v>330.11100396000001</v>
      </c>
      <c r="E3" s="54">
        <f t="shared" si="1"/>
        <v>219.65877216000001</v>
      </c>
      <c r="F3" s="54">
        <f t="shared" si="1"/>
        <v>132.5191806</v>
      </c>
      <c r="G3" s="54">
        <f t="shared" si="1"/>
        <v>130.57895736</v>
      </c>
      <c r="H3" s="54">
        <f t="shared" si="1"/>
        <v>127.39250916000003</v>
      </c>
      <c r="I3" s="54">
        <f t="shared" si="1"/>
        <v>264.31383779999999</v>
      </c>
      <c r="J3" s="54">
        <f t="shared" si="1"/>
        <v>241.26533567999996</v>
      </c>
      <c r="K3" s="54">
        <f t="shared" si="1"/>
        <v>172.06019999999998</v>
      </c>
      <c r="L3" s="54">
        <f t="shared" si="1"/>
        <v>184.80545928000001</v>
      </c>
      <c r="M3" s="54">
        <f t="shared" si="1"/>
        <v>162.50138891999998</v>
      </c>
      <c r="N3" s="54">
        <f t="shared" si="1"/>
        <v>132.06620699999999</v>
      </c>
      <c r="O3" s="54">
        <f t="shared" si="1"/>
        <v>128.92190687999999</v>
      </c>
      <c r="P3" s="54">
        <f t="shared" si="1"/>
        <v>116.34417288000003</v>
      </c>
      <c r="Q3" s="54">
        <f t="shared" si="1"/>
        <v>135.21077388</v>
      </c>
      <c r="R3" s="54">
        <f t="shared" si="1"/>
        <v>125.77734000000001</v>
      </c>
      <c r="S3" s="54">
        <f t="shared" si="1"/>
        <v>125.31504492000001</v>
      </c>
      <c r="T3" s="54">
        <f t="shared" si="1"/>
        <v>125.18619984</v>
      </c>
      <c r="U3" s="54">
        <f t="shared" si="1"/>
        <v>135.2299806</v>
      </c>
      <c r="V3" s="54">
        <f t="shared" si="1"/>
        <v>129.86810459999998</v>
      </c>
      <c r="W3" s="54">
        <f t="shared" ref="W3:Y3" si="2">SUM(W4:W5)</f>
        <v>160.10695115999999</v>
      </c>
      <c r="X3" s="54">
        <f t="shared" si="2"/>
        <v>140.27761332000003</v>
      </c>
      <c r="Y3" s="54">
        <f t="shared" si="2"/>
        <v>146.53260179999998</v>
      </c>
      <c r="Z3" s="54"/>
      <c r="AA3" s="54"/>
      <c r="AB3" s="54"/>
      <c r="AC3" s="54"/>
      <c r="AD3" s="54"/>
      <c r="AE3" s="54"/>
      <c r="AF3" s="54"/>
      <c r="AG3" s="54"/>
      <c r="DA3" s="172" t="s">
        <v>1024</v>
      </c>
    </row>
    <row r="4" spans="1:105" ht="11.45" customHeight="1" x14ac:dyDescent="0.25">
      <c r="A4" s="55" t="s">
        <v>30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0</v>
      </c>
      <c r="J4" s="56">
        <v>0</v>
      </c>
      <c r="K4" s="56">
        <v>0</v>
      </c>
      <c r="L4" s="56">
        <v>0</v>
      </c>
      <c r="M4" s="56">
        <v>0</v>
      </c>
      <c r="N4" s="56">
        <v>0</v>
      </c>
      <c r="O4" s="56">
        <v>0</v>
      </c>
      <c r="P4" s="56">
        <v>0</v>
      </c>
      <c r="Q4" s="56">
        <v>0</v>
      </c>
      <c r="R4" s="56">
        <v>0</v>
      </c>
      <c r="S4" s="56">
        <v>0</v>
      </c>
      <c r="T4" s="56">
        <v>0</v>
      </c>
      <c r="U4" s="56">
        <v>0</v>
      </c>
      <c r="V4" s="56">
        <v>0</v>
      </c>
      <c r="W4" s="56">
        <v>0</v>
      </c>
      <c r="X4" s="56">
        <v>0</v>
      </c>
      <c r="Y4" s="56">
        <v>0</v>
      </c>
      <c r="Z4" s="56"/>
      <c r="AA4" s="56"/>
      <c r="AB4" s="56"/>
      <c r="AC4" s="56"/>
      <c r="AD4" s="56"/>
      <c r="AE4" s="56"/>
      <c r="AF4" s="56"/>
      <c r="AG4" s="56"/>
      <c r="DA4" s="181" t="s">
        <v>1025</v>
      </c>
    </row>
    <row r="5" spans="1:105" ht="11.45" customHeight="1" x14ac:dyDescent="0.25">
      <c r="A5" s="57" t="s">
        <v>31</v>
      </c>
      <c r="B5" s="58">
        <v>359.61870240000007</v>
      </c>
      <c r="C5" s="58">
        <v>325.97525736000006</v>
      </c>
      <c r="D5" s="58">
        <v>330.11100396000001</v>
      </c>
      <c r="E5" s="58">
        <v>219.65877216000001</v>
      </c>
      <c r="F5" s="58">
        <v>132.5191806</v>
      </c>
      <c r="G5" s="58">
        <v>130.57895736</v>
      </c>
      <c r="H5" s="58">
        <v>127.39250916000003</v>
      </c>
      <c r="I5" s="58">
        <v>264.31383779999999</v>
      </c>
      <c r="J5" s="58">
        <v>241.26533567999996</v>
      </c>
      <c r="K5" s="58">
        <v>172.06019999999998</v>
      </c>
      <c r="L5" s="58">
        <v>184.80545928000001</v>
      </c>
      <c r="M5" s="58">
        <v>162.50138891999998</v>
      </c>
      <c r="N5" s="58">
        <v>132.06620699999999</v>
      </c>
      <c r="O5" s="58">
        <v>128.92190687999999</v>
      </c>
      <c r="P5" s="58">
        <v>116.34417288000003</v>
      </c>
      <c r="Q5" s="58">
        <v>135.21077388</v>
      </c>
      <c r="R5" s="58">
        <v>125.77734000000001</v>
      </c>
      <c r="S5" s="58">
        <v>125.31504492000001</v>
      </c>
      <c r="T5" s="58">
        <v>125.18619984</v>
      </c>
      <c r="U5" s="58">
        <v>135.2299806</v>
      </c>
      <c r="V5" s="58">
        <v>129.86810459999998</v>
      </c>
      <c r="W5" s="58">
        <v>160.10695115999999</v>
      </c>
      <c r="X5" s="58">
        <v>140.27761332000003</v>
      </c>
      <c r="Y5" s="58">
        <v>146.53260179999998</v>
      </c>
      <c r="Z5" s="58"/>
      <c r="AA5" s="58"/>
      <c r="AB5" s="58"/>
      <c r="AC5" s="58"/>
      <c r="AD5" s="58"/>
      <c r="AE5" s="58"/>
      <c r="AF5" s="58"/>
      <c r="AG5" s="58"/>
      <c r="DA5" s="182" t="s">
        <v>1026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DA8" s="181"/>
    </row>
    <row r="9" spans="1:105" ht="11.45" customHeight="1" x14ac:dyDescent="0.25">
      <c r="A9" s="53" t="s">
        <v>148</v>
      </c>
      <c r="B9" s="79">
        <f>IF(B3=0,0,B3/TrNavi_ene!B3)</f>
        <v>3.1742011372938319</v>
      </c>
      <c r="C9" s="79">
        <f>IF(C3=0,0,C3/TrNavi_ene!C3)</f>
        <v>3.2223478479360823</v>
      </c>
      <c r="D9" s="79">
        <f>IF(D3=0,0,D3/TrNavi_ene!D3)</f>
        <v>3.198584807898504</v>
      </c>
      <c r="E9" s="79">
        <f>IF(E3=0,0,E3/TrNavi_ene!E3)</f>
        <v>3.2135953056133446</v>
      </c>
      <c r="F9" s="79">
        <f>IF(F3=0,0,F3/TrNavi_ene!F3)</f>
        <v>3.1726386752343667</v>
      </c>
      <c r="G9" s="79">
        <f>IF(G3=0,0,G3/TrNavi_ene!G3)</f>
        <v>3.1055895175803685</v>
      </c>
      <c r="H9" s="79">
        <f>IF(H3=0,0,H3/TrNavi_ene!H3)</f>
        <v>3.105668909309828</v>
      </c>
      <c r="I9" s="79">
        <f>IF(I3=0,0,I3/TrNavi_ene!I3)</f>
        <v>3.0962162473512183</v>
      </c>
      <c r="J9" s="79">
        <f>IF(J3=0,0,J3/TrNavi_ene!J3)</f>
        <v>3.0620970143750452</v>
      </c>
      <c r="K9" s="79">
        <f>IF(K3=0,0,K3/TrNavi_ene!K3)</f>
        <v>3.1024188000000001</v>
      </c>
      <c r="L9" s="79">
        <f>IF(L3=0,0,L3/TrNavi_ene!L3)</f>
        <v>3.1024188000000001</v>
      </c>
      <c r="M9" s="79">
        <f>IF(M3=0,0,M3/TrNavi_ene!M3)</f>
        <v>3.1024188000000001</v>
      </c>
      <c r="N9" s="79">
        <f>IF(N3=0,0,N3/TrNavi_ene!N3)</f>
        <v>3.1024187999999997</v>
      </c>
      <c r="O9" s="79">
        <f>IF(O3=0,0,O3/TrNavi_ene!O3)</f>
        <v>3.1024187999999997</v>
      </c>
      <c r="P9" s="79">
        <f>IF(P3=0,0,P3/TrNavi_ene!P3)</f>
        <v>3.1024188000000001</v>
      </c>
      <c r="Q9" s="79">
        <f>IF(Q3=0,0,Q3/TrNavi_ene!Q3)</f>
        <v>3.1024188000000001</v>
      </c>
      <c r="R9" s="79">
        <f>IF(R3=0,0,R3/TrNavi_ene!R3)</f>
        <v>3.1024188000000001</v>
      </c>
      <c r="S9" s="79">
        <f>IF(S3=0,0,S3/TrNavi_ene!S3)</f>
        <v>3.1024188000000001</v>
      </c>
      <c r="T9" s="79">
        <f>IF(T3=0,0,T3/TrNavi_ene!T3)</f>
        <v>3.1024188000000001</v>
      </c>
      <c r="U9" s="79">
        <f>IF(U3=0,0,U3/TrNavi_ene!U3)</f>
        <v>3.1024188000000001</v>
      </c>
      <c r="V9" s="79">
        <f>IF(V3=0,0,V3/TrNavi_ene!V3)</f>
        <v>3.1024188000000001</v>
      </c>
      <c r="W9" s="79">
        <f>IF(W3=0,0,W3/TrNavi_ene!W3)</f>
        <v>3.1024188000000001</v>
      </c>
      <c r="X9" s="79">
        <f>IF(X3=0,0,X3/TrNavi_ene!X3)</f>
        <v>3.1024188000000001</v>
      </c>
      <c r="Y9" s="79">
        <f>IF(Y3=0,0,Y3/TrNavi_ene!Y3)</f>
        <v>3.1024188000000001</v>
      </c>
      <c r="Z9" s="79"/>
      <c r="AA9" s="79"/>
      <c r="AB9" s="79"/>
      <c r="AC9" s="79"/>
      <c r="AD9" s="79"/>
      <c r="AE9" s="79"/>
      <c r="AF9" s="79"/>
      <c r="AG9" s="79"/>
      <c r="DA9" s="172"/>
    </row>
    <row r="10" spans="1:105" ht="11.45" customHeight="1" x14ac:dyDescent="0.25">
      <c r="A10" s="55" t="s">
        <v>30</v>
      </c>
      <c r="B10" s="80">
        <f>IF(B4=0,0,B4/TrNavi_ene!B4)</f>
        <v>0</v>
      </c>
      <c r="C10" s="80">
        <f>IF(C4=0,0,C4/TrNavi_ene!C4)</f>
        <v>0</v>
      </c>
      <c r="D10" s="80">
        <f>IF(D4=0,0,D4/TrNavi_ene!D4)</f>
        <v>0</v>
      </c>
      <c r="E10" s="80">
        <f>IF(E4=0,0,E4/TrNavi_ene!E4)</f>
        <v>0</v>
      </c>
      <c r="F10" s="80">
        <f>IF(F4=0,0,F4/TrNavi_ene!F4)</f>
        <v>0</v>
      </c>
      <c r="G10" s="80">
        <f>IF(G4=0,0,G4/TrNavi_ene!G4)</f>
        <v>0</v>
      </c>
      <c r="H10" s="80">
        <f>IF(H4=0,0,H4/TrNavi_ene!H4)</f>
        <v>0</v>
      </c>
      <c r="I10" s="80">
        <f>IF(I4=0,0,I4/TrNavi_ene!I4)</f>
        <v>0</v>
      </c>
      <c r="J10" s="80">
        <f>IF(J4=0,0,J4/TrNavi_ene!J4)</f>
        <v>0</v>
      </c>
      <c r="K10" s="80">
        <f>IF(K4=0,0,K4/TrNavi_ene!K4)</f>
        <v>0</v>
      </c>
      <c r="L10" s="80">
        <f>IF(L4=0,0,L4/TrNavi_ene!L4)</f>
        <v>0</v>
      </c>
      <c r="M10" s="80">
        <f>IF(M4=0,0,M4/TrNavi_ene!M4)</f>
        <v>0</v>
      </c>
      <c r="N10" s="80">
        <f>IF(N4=0,0,N4/TrNavi_ene!N4)</f>
        <v>0</v>
      </c>
      <c r="O10" s="80">
        <f>IF(O4=0,0,O4/TrNavi_ene!O4)</f>
        <v>0</v>
      </c>
      <c r="P10" s="80">
        <f>IF(P4=0,0,P4/TrNavi_ene!P4)</f>
        <v>0</v>
      </c>
      <c r="Q10" s="80">
        <f>IF(Q4=0,0,Q4/TrNavi_ene!Q4)</f>
        <v>0</v>
      </c>
      <c r="R10" s="80">
        <f>IF(R4=0,0,R4/TrNavi_ene!R4)</f>
        <v>0</v>
      </c>
      <c r="S10" s="80">
        <f>IF(S4=0,0,S4/TrNavi_ene!S4)</f>
        <v>0</v>
      </c>
      <c r="T10" s="80">
        <f>IF(T4=0,0,T4/TrNavi_ene!T4)</f>
        <v>0</v>
      </c>
      <c r="U10" s="80">
        <f>IF(U4=0,0,U4/TrNavi_ene!U4)</f>
        <v>0</v>
      </c>
      <c r="V10" s="80">
        <f>IF(V4=0,0,V4/TrNavi_ene!V4)</f>
        <v>0</v>
      </c>
      <c r="W10" s="80">
        <f>IF(W4=0,0,W4/TrNavi_ene!W4)</f>
        <v>0</v>
      </c>
      <c r="X10" s="80">
        <f>IF(X4=0,0,X4/TrNavi_ene!X4)</f>
        <v>0</v>
      </c>
      <c r="Y10" s="80">
        <f>IF(Y4=0,0,Y4/TrNavi_ene!Y4)</f>
        <v>0</v>
      </c>
      <c r="Z10" s="80"/>
      <c r="AA10" s="80"/>
      <c r="AB10" s="80"/>
      <c r="AC10" s="80"/>
      <c r="AD10" s="80"/>
      <c r="AE10" s="80"/>
      <c r="AF10" s="80"/>
      <c r="AG10" s="80"/>
      <c r="DA10" s="181"/>
    </row>
    <row r="11" spans="1:105" ht="11.45" customHeight="1" x14ac:dyDescent="0.25">
      <c r="A11" s="57" t="s">
        <v>31</v>
      </c>
      <c r="B11" s="81">
        <f>IF(B5=0,0,B5/TrNavi_ene!B10)</f>
        <v>3.1742011372938319</v>
      </c>
      <c r="C11" s="81">
        <f>IF(C5=0,0,C5/TrNavi_ene!C10)</f>
        <v>3.2223478479360823</v>
      </c>
      <c r="D11" s="81">
        <f>IF(D5=0,0,D5/TrNavi_ene!D10)</f>
        <v>3.198584807898504</v>
      </c>
      <c r="E11" s="81">
        <f>IF(E5=0,0,E5/TrNavi_ene!E10)</f>
        <v>3.2135953056133446</v>
      </c>
      <c r="F11" s="81">
        <f>IF(F5=0,0,F5/TrNavi_ene!F10)</f>
        <v>3.1726386752343667</v>
      </c>
      <c r="G11" s="81">
        <f>IF(G5=0,0,G5/TrNavi_ene!G10)</f>
        <v>3.1055895175803685</v>
      </c>
      <c r="H11" s="81">
        <f>IF(H5=0,0,H5/TrNavi_ene!H10)</f>
        <v>3.105668909309828</v>
      </c>
      <c r="I11" s="81">
        <f>IF(I5=0,0,I5/TrNavi_ene!I10)</f>
        <v>3.0962162473512183</v>
      </c>
      <c r="J11" s="81">
        <f>IF(J5=0,0,J5/TrNavi_ene!J10)</f>
        <v>3.0620970143750452</v>
      </c>
      <c r="K11" s="81">
        <f>IF(K5=0,0,K5/TrNavi_ene!K10)</f>
        <v>3.1024188000000001</v>
      </c>
      <c r="L11" s="81">
        <f>IF(L5=0,0,L5/TrNavi_ene!L10)</f>
        <v>3.1024188000000001</v>
      </c>
      <c r="M11" s="81">
        <f>IF(M5=0,0,M5/TrNavi_ene!M10)</f>
        <v>3.1024188000000001</v>
      </c>
      <c r="N11" s="81">
        <f>IF(N5=0,0,N5/TrNavi_ene!N10)</f>
        <v>3.1024187999999997</v>
      </c>
      <c r="O11" s="81">
        <f>IF(O5=0,0,O5/TrNavi_ene!O10)</f>
        <v>3.1024187999999997</v>
      </c>
      <c r="P11" s="81">
        <f>IF(P5=0,0,P5/TrNavi_ene!P10)</f>
        <v>3.1024188000000001</v>
      </c>
      <c r="Q11" s="81">
        <f>IF(Q5=0,0,Q5/TrNavi_ene!Q10)</f>
        <v>3.1024188000000001</v>
      </c>
      <c r="R11" s="81">
        <f>IF(R5=0,0,R5/TrNavi_ene!R10)</f>
        <v>3.1024188000000001</v>
      </c>
      <c r="S11" s="81">
        <f>IF(S5=0,0,S5/TrNavi_ene!S10)</f>
        <v>3.1024188000000001</v>
      </c>
      <c r="T11" s="81">
        <f>IF(T5=0,0,T5/TrNavi_ene!T10)</f>
        <v>3.1024188000000001</v>
      </c>
      <c r="U11" s="81">
        <f>IF(U5=0,0,U5/TrNavi_ene!U10)</f>
        <v>3.1024188000000001</v>
      </c>
      <c r="V11" s="81">
        <f>IF(V5=0,0,V5/TrNavi_ene!V10)</f>
        <v>3.1024188000000001</v>
      </c>
      <c r="W11" s="81">
        <f>IF(W5=0,0,W5/TrNavi_ene!W10)</f>
        <v>3.1024188000000001</v>
      </c>
      <c r="X11" s="81">
        <f>IF(X5=0,0,X5/TrNavi_ene!X10)</f>
        <v>3.1024188000000001</v>
      </c>
      <c r="Y11" s="81">
        <f>IF(Y5=0,0,Y5/TrNavi_ene!Y10)</f>
        <v>3.1024188000000001</v>
      </c>
      <c r="Z11" s="81"/>
      <c r="AA11" s="81"/>
      <c r="AB11" s="81"/>
      <c r="AC11" s="81"/>
      <c r="AD11" s="81"/>
      <c r="AE11" s="81"/>
      <c r="AF11" s="81"/>
      <c r="AG11" s="81"/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129</v>
      </c>
      <c r="B13" s="54">
        <f>IF(B3=0,0,B3/TrNavi_act!B7*1000)</f>
        <v>39008.428506345605</v>
      </c>
      <c r="C13" s="54">
        <f>IF(C3=0,0,C3/TrNavi_act!C7*1000)</f>
        <v>36647.021625632384</v>
      </c>
      <c r="D13" s="54">
        <f>IF(D3=0,0,D3/TrNavi_act!D7*1000)</f>
        <v>31910.198546157564</v>
      </c>
      <c r="E13" s="54">
        <f>IF(E3=0,0,E3/TrNavi_act!E7*1000)</f>
        <v>26532.041570237954</v>
      </c>
      <c r="F13" s="54">
        <f>IF(F3=0,0,F3/TrNavi_act!F7*1000)</f>
        <v>14568.951253298152</v>
      </c>
      <c r="G13" s="54">
        <f>IF(G3=0,0,G3/TrNavi_act!G7*1000)</f>
        <v>12992.931080597014</v>
      </c>
      <c r="H13" s="54">
        <f>IF(H3=0,0,H3/TrNavi_act!H7*1000)</f>
        <v>13049.83703749232</v>
      </c>
      <c r="I13" s="54">
        <f>IF(I3=0,0,I3/TrNavi_act!I7*1000)</f>
        <v>18725.741253985121</v>
      </c>
      <c r="J13" s="54">
        <f>IF(J3=0,0,J3/TrNavi_act!J7*1000)</f>
        <v>17280.141504082509</v>
      </c>
      <c r="K13" s="54">
        <f>IF(K3=0,0,K3/TrNavi_act!K7*1000)</f>
        <v>12621.786971830985</v>
      </c>
      <c r="L13" s="54">
        <f>IF(L3=0,0,L3/TrNavi_act!L7*1000)</f>
        <v>11857.905632338787</v>
      </c>
      <c r="M13" s="54">
        <f>IF(M3=0,0,M3/TrNavi_act!M7*1000)</f>
        <v>12456.03165108079</v>
      </c>
      <c r="N13" s="54">
        <f>IF(N3=0,0,N3/TrNavi_act!N7*1000)</f>
        <v>9946.9915643594177</v>
      </c>
      <c r="O13" s="54">
        <f>IF(O3=0,0,O3/TrNavi_act!O7*1000)</f>
        <v>10570.835264020991</v>
      </c>
      <c r="P13" s="54">
        <f>IF(P3=0,0,P3/TrNavi_act!P7*1000)</f>
        <v>10926.387385424496</v>
      </c>
      <c r="Q13" s="54">
        <f>IF(Q3=0,0,Q3/TrNavi_act!Q7*1000)</f>
        <v>10276.717631678954</v>
      </c>
      <c r="R13" s="54">
        <f>IF(R3=0,0,R3/TrNavi_act!R7*1000)</f>
        <v>9627.781690140846</v>
      </c>
      <c r="S13" s="54">
        <f>IF(S3=0,0,S3/TrNavi_act!S7*1000)</f>
        <v>11738.014698388912</v>
      </c>
      <c r="T13" s="54">
        <f>IF(T3=0,0,T3/TrNavi_act!T7*1000)</f>
        <v>10407.032990273505</v>
      </c>
      <c r="U13" s="54">
        <f>IF(U3=0,0,U3/TrNavi_act!U7*1000)</f>
        <v>10137.939920533772</v>
      </c>
      <c r="V13" s="54">
        <f>IF(V3=0,0,V3/TrNavi_act!V7*1000)</f>
        <v>10050.155130784706</v>
      </c>
      <c r="W13" s="54">
        <f>IF(W3=0,0,W3/TrNavi_act!W7*1000)</f>
        <v>11207.262435951281</v>
      </c>
      <c r="X13" s="54">
        <f>IF(X3=0,0,X3/TrNavi_act!X7*1000)</f>
        <v>11761.349318353317</v>
      </c>
      <c r="Y13" s="54">
        <f>IF(Y3=0,0,Y3/TrNavi_act!Y7*1000)</f>
        <v>11405.978189460573</v>
      </c>
      <c r="Z13" s="62"/>
      <c r="AA13" s="62"/>
      <c r="AB13" s="62"/>
      <c r="AC13" s="62"/>
      <c r="AD13" s="62"/>
      <c r="AE13" s="62"/>
      <c r="AF13" s="62"/>
      <c r="AG13" s="62"/>
      <c r="DA13" s="172" t="s">
        <v>1027</v>
      </c>
    </row>
    <row r="14" spans="1:105" ht="11.45" customHeight="1" x14ac:dyDescent="0.25">
      <c r="A14" s="55" t="s">
        <v>30</v>
      </c>
      <c r="B14" s="56">
        <f>IF(B4=0,0,B4/TrNavi_act!B8*1000)</f>
        <v>0</v>
      </c>
      <c r="C14" s="56">
        <f>IF(C4=0,0,C4/TrNavi_act!C8*1000)</f>
        <v>0</v>
      </c>
      <c r="D14" s="56">
        <f>IF(D4=0,0,D4/TrNavi_act!D8*1000)</f>
        <v>0</v>
      </c>
      <c r="E14" s="56">
        <f>IF(E4=0,0,E4/TrNavi_act!E8*1000)</f>
        <v>0</v>
      </c>
      <c r="F14" s="56">
        <f>IF(F4=0,0,F4/TrNavi_act!F8*1000)</f>
        <v>0</v>
      </c>
      <c r="G14" s="56">
        <f>IF(G4=0,0,G4/TrNavi_act!G8*1000)</f>
        <v>0</v>
      </c>
      <c r="H14" s="56">
        <f>IF(H4=0,0,H4/TrNavi_act!H8*1000)</f>
        <v>0</v>
      </c>
      <c r="I14" s="56">
        <f>IF(I4=0,0,I4/TrNavi_act!I8*1000)</f>
        <v>0</v>
      </c>
      <c r="J14" s="56">
        <f>IF(J4=0,0,J4/TrNavi_act!J8*1000)</f>
        <v>0</v>
      </c>
      <c r="K14" s="56">
        <f>IF(K4=0,0,K4/TrNavi_act!K8*1000)</f>
        <v>0</v>
      </c>
      <c r="L14" s="56">
        <f>IF(L4=0,0,L4/TrNavi_act!L8*1000)</f>
        <v>0</v>
      </c>
      <c r="M14" s="56">
        <f>IF(M4=0,0,M4/TrNavi_act!M8*1000)</f>
        <v>0</v>
      </c>
      <c r="N14" s="56">
        <f>IF(N4=0,0,N4/TrNavi_act!N8*1000)</f>
        <v>0</v>
      </c>
      <c r="O14" s="56">
        <f>IF(O4=0,0,O4/TrNavi_act!O8*1000)</f>
        <v>0</v>
      </c>
      <c r="P14" s="56">
        <f>IF(P4=0,0,P4/TrNavi_act!P8*1000)</f>
        <v>0</v>
      </c>
      <c r="Q14" s="56">
        <f>IF(Q4=0,0,Q4/TrNavi_act!Q8*1000)</f>
        <v>0</v>
      </c>
      <c r="R14" s="56">
        <f>IF(R4=0,0,R4/TrNavi_act!R8*1000)</f>
        <v>0</v>
      </c>
      <c r="S14" s="56">
        <f>IF(S4=0,0,S4/TrNavi_act!S8*1000)</f>
        <v>0</v>
      </c>
      <c r="T14" s="56">
        <f>IF(T4=0,0,T4/TrNavi_act!T8*1000)</f>
        <v>0</v>
      </c>
      <c r="U14" s="56">
        <f>IF(U4=0,0,U4/TrNavi_act!U8*1000)</f>
        <v>0</v>
      </c>
      <c r="V14" s="56">
        <f>IF(V4=0,0,V4/TrNavi_act!V8*1000)</f>
        <v>0</v>
      </c>
      <c r="W14" s="56">
        <f>IF(W4=0,0,W4/TrNavi_act!W8*1000)</f>
        <v>0</v>
      </c>
      <c r="X14" s="56">
        <f>IF(X4=0,0,X4/TrNavi_act!X8*1000)</f>
        <v>0</v>
      </c>
      <c r="Y14" s="56">
        <f>IF(Y4=0,0,Y4/TrNavi_act!Y8*1000)</f>
        <v>0</v>
      </c>
      <c r="Z14" s="63"/>
      <c r="AA14" s="63"/>
      <c r="AB14" s="63"/>
      <c r="AC14" s="63"/>
      <c r="AD14" s="63"/>
      <c r="AE14" s="63"/>
      <c r="AF14" s="63"/>
      <c r="AG14" s="63"/>
      <c r="DA14" s="181" t="s">
        <v>1028</v>
      </c>
    </row>
    <row r="15" spans="1:105" ht="11.45" customHeight="1" x14ac:dyDescent="0.25">
      <c r="A15" s="57" t="s">
        <v>31</v>
      </c>
      <c r="B15" s="58">
        <f>IF(B5=0,0,B5/TrNavi_act!B9*1000)</f>
        <v>39008.428506345605</v>
      </c>
      <c r="C15" s="58">
        <f>IF(C5=0,0,C5/TrNavi_act!C9*1000)</f>
        <v>36647.021625632384</v>
      </c>
      <c r="D15" s="58">
        <f>IF(D5=0,0,D5/TrNavi_act!D9*1000)</f>
        <v>31910.198546157564</v>
      </c>
      <c r="E15" s="58">
        <f>IF(E5=0,0,E5/TrNavi_act!E9*1000)</f>
        <v>26532.041570237954</v>
      </c>
      <c r="F15" s="58">
        <f>IF(F5=0,0,F5/TrNavi_act!F9*1000)</f>
        <v>14568.951253298152</v>
      </c>
      <c r="G15" s="58">
        <f>IF(G5=0,0,G5/TrNavi_act!G9*1000)</f>
        <v>12992.931080597014</v>
      </c>
      <c r="H15" s="58">
        <f>IF(H5=0,0,H5/TrNavi_act!H9*1000)</f>
        <v>13049.83703749232</v>
      </c>
      <c r="I15" s="58">
        <f>IF(I5=0,0,I5/TrNavi_act!I9*1000)</f>
        <v>18725.741253985121</v>
      </c>
      <c r="J15" s="58">
        <f>IF(J5=0,0,J5/TrNavi_act!J9*1000)</f>
        <v>17280.141504082509</v>
      </c>
      <c r="K15" s="58">
        <f>IF(K5=0,0,K5/TrNavi_act!K9*1000)</f>
        <v>12621.786971830985</v>
      </c>
      <c r="L15" s="58">
        <f>IF(L5=0,0,L5/TrNavi_act!L9*1000)</f>
        <v>11857.905632338787</v>
      </c>
      <c r="M15" s="58">
        <f>IF(M5=0,0,M5/TrNavi_act!M9*1000)</f>
        <v>12456.03165108079</v>
      </c>
      <c r="N15" s="58">
        <f>IF(N5=0,0,N5/TrNavi_act!N9*1000)</f>
        <v>9946.9915643594177</v>
      </c>
      <c r="O15" s="58">
        <f>IF(O5=0,0,O5/TrNavi_act!O9*1000)</f>
        <v>10570.835264020991</v>
      </c>
      <c r="P15" s="58">
        <f>IF(P5=0,0,P5/TrNavi_act!P9*1000)</f>
        <v>10926.387385424496</v>
      </c>
      <c r="Q15" s="58">
        <f>IF(Q5=0,0,Q5/TrNavi_act!Q9*1000)</f>
        <v>10276.717631678954</v>
      </c>
      <c r="R15" s="58">
        <f>IF(R5=0,0,R5/TrNavi_act!R9*1000)</f>
        <v>9627.781690140846</v>
      </c>
      <c r="S15" s="58">
        <f>IF(S5=0,0,S5/TrNavi_act!S9*1000)</f>
        <v>11738.014698388912</v>
      </c>
      <c r="T15" s="58">
        <f>IF(T5=0,0,T5/TrNavi_act!T9*1000)</f>
        <v>10407.032990273505</v>
      </c>
      <c r="U15" s="58">
        <f>IF(U5=0,0,U5/TrNavi_act!U9*1000)</f>
        <v>10137.939920533772</v>
      </c>
      <c r="V15" s="58">
        <f>IF(V5=0,0,V5/TrNavi_act!V9*1000)</f>
        <v>10050.155130784706</v>
      </c>
      <c r="W15" s="58">
        <f>IF(W5=0,0,W5/TrNavi_act!W9*1000)</f>
        <v>11207.262435951281</v>
      </c>
      <c r="X15" s="58">
        <f>IF(X5=0,0,X5/TrNavi_act!X9*1000)</f>
        <v>11761.349318353317</v>
      </c>
      <c r="Y15" s="58">
        <f>IF(Y5=0,0,Y5/TrNavi_act!Y9*1000)</f>
        <v>11405.978189460573</v>
      </c>
      <c r="Z15" s="64"/>
      <c r="AA15" s="64"/>
      <c r="AB15" s="64"/>
      <c r="AC15" s="64"/>
      <c r="AD15" s="64"/>
      <c r="AE15" s="64"/>
      <c r="AF15" s="64"/>
      <c r="AG15" s="64"/>
      <c r="DA15" s="182" t="s">
        <v>1029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163</v>
      </c>
      <c r="B17" s="62">
        <f>IF(B3=0,0,B3/TrNavi_act!B3*1000)</f>
        <v>136.52949977220959</v>
      </c>
      <c r="C17" s="62">
        <f>IF(C3=0,0,C3/TrNavi_act!C3*1000)</f>
        <v>118.70912504005828</v>
      </c>
      <c r="D17" s="62">
        <f>IF(D3=0,0,D3/TrNavi_act!D3*1000)</f>
        <v>90.664928305410612</v>
      </c>
      <c r="E17" s="62">
        <f>IF(E3=0,0,E3/TrNavi_act!E3*1000)</f>
        <v>62.385337165577965</v>
      </c>
      <c r="F17" s="62">
        <f>IF(F3=0,0,F3/TrNavi_act!F3*1000)</f>
        <v>19.053800230050321</v>
      </c>
      <c r="G17" s="62">
        <f>IF(G3=0,0,G3/TrNavi_act!G3*1000)</f>
        <v>15.480611423829282</v>
      </c>
      <c r="H17" s="62">
        <f>IF(H3=0,0,H3/TrNavi_act!H3*1000)</f>
        <v>15.617568856197137</v>
      </c>
      <c r="I17" s="62">
        <f>IF(I3=0,0,I3/TrNavi_act!I3*1000)</f>
        <v>32.253061354484444</v>
      </c>
      <c r="J17" s="62">
        <f>IF(J3=0,0,J3/TrNavi_act!J3*1000)</f>
        <v>27.773147885345917</v>
      </c>
      <c r="K17" s="62">
        <f>IF(K3=0,0,K3/TrNavi_act!K3*1000)</f>
        <v>14.624751381215468</v>
      </c>
      <c r="L17" s="62">
        <f>IF(L3=0,0,L3/TrNavi_act!L3*1000)</f>
        <v>12.908113381294966</v>
      </c>
      <c r="M17" s="62">
        <f>IF(M3=0,0,M3/TrNavi_act!M3*1000)</f>
        <v>14.243263118590585</v>
      </c>
      <c r="N17" s="62">
        <f>IF(N3=0,0,N3/TrNavi_act!N3*1000)</f>
        <v>10.548419089456869</v>
      </c>
      <c r="O17" s="62">
        <f>IF(O3=0,0,O3/TrNavi_act!O3*1000)</f>
        <v>10.531114759026304</v>
      </c>
      <c r="P17" s="62">
        <f>IF(P3=0,0,P3/TrNavi_act!P3*1000)</f>
        <v>9.8932119795918396</v>
      </c>
      <c r="Q17" s="62">
        <f>IF(Q3=0,0,Q3/TrNavi_act!Q3*1000)</f>
        <v>10.268132888821386</v>
      </c>
      <c r="R17" s="62">
        <f>IF(R3=0,0,R3/TrNavi_act!R3*1000)</f>
        <v>9.5626351402721834</v>
      </c>
      <c r="S17" s="62">
        <f>IF(S3=0,0,S3/TrNavi_act!S3*1000)</f>
        <v>10.011587834145562</v>
      </c>
      <c r="T17" s="62">
        <f>IF(T3=0,0,T3/TrNavi_act!T3*1000)</f>
        <v>10.210113354538782</v>
      </c>
      <c r="U17" s="62">
        <f>IF(U3=0,0,U3/TrNavi_act!U3*1000)</f>
        <v>9.6890435337106826</v>
      </c>
      <c r="V17" s="62">
        <f>IF(V3=0,0,V3/TrNavi_act!V3*1000)</f>
        <v>9.5225183018037818</v>
      </c>
      <c r="W17" s="62">
        <f>IF(W3=0,0,W3/TrNavi_act!W3*1000)</f>
        <v>11.840478565300989</v>
      </c>
      <c r="X17" s="62">
        <f>IF(X3=0,0,X3/TrNavi_act!X3*1000)</f>
        <v>13.040588762666173</v>
      </c>
      <c r="Y17" s="62">
        <f>IF(Y3=0,0,Y3/TrNavi_act!Y3*1000)</f>
        <v>12.265221545157779</v>
      </c>
      <c r="Z17" s="62"/>
      <c r="AA17" s="62"/>
      <c r="AB17" s="62"/>
      <c r="AC17" s="62"/>
      <c r="AD17" s="62"/>
      <c r="AE17" s="62"/>
      <c r="AF17" s="62"/>
      <c r="AG17" s="62"/>
      <c r="DA17" s="172" t="s">
        <v>449</v>
      </c>
    </row>
    <row r="18" spans="1:105" ht="11.45" customHeight="1" x14ac:dyDescent="0.25">
      <c r="A18" s="55" t="s">
        <v>30</v>
      </c>
      <c r="B18" s="63">
        <f>IF(B4=0,0,B4/TrNavi_act!B4*1000)</f>
        <v>0</v>
      </c>
      <c r="C18" s="63">
        <f>IF(C4=0,0,C4/TrNavi_act!C4*1000)</f>
        <v>0</v>
      </c>
      <c r="D18" s="63">
        <f>IF(D4=0,0,D4/TrNavi_act!D4*1000)</f>
        <v>0</v>
      </c>
      <c r="E18" s="63">
        <f>IF(E4=0,0,E4/TrNavi_act!E4*1000)</f>
        <v>0</v>
      </c>
      <c r="F18" s="63">
        <f>IF(F4=0,0,F4/TrNavi_act!F4*1000)</f>
        <v>0</v>
      </c>
      <c r="G18" s="63">
        <f>IF(G4=0,0,G4/TrNavi_act!G4*1000)</f>
        <v>0</v>
      </c>
      <c r="H18" s="63">
        <f>IF(H4=0,0,H4/TrNavi_act!H4*1000)</f>
        <v>0</v>
      </c>
      <c r="I18" s="63">
        <f>IF(I4=0,0,I4/TrNavi_act!I4*1000)</f>
        <v>0</v>
      </c>
      <c r="J18" s="63">
        <f>IF(J4=0,0,J4/TrNavi_act!J4*1000)</f>
        <v>0</v>
      </c>
      <c r="K18" s="63">
        <f>IF(K4=0,0,K4/TrNavi_act!K4*1000)</f>
        <v>0</v>
      </c>
      <c r="L18" s="63">
        <f>IF(L4=0,0,L4/TrNavi_act!L4*1000)</f>
        <v>0</v>
      </c>
      <c r="M18" s="63">
        <f>IF(M4=0,0,M4/TrNavi_act!M4*1000)</f>
        <v>0</v>
      </c>
      <c r="N18" s="63">
        <f>IF(N4=0,0,N4/TrNavi_act!N4*1000)</f>
        <v>0</v>
      </c>
      <c r="O18" s="63">
        <f>IF(O4=0,0,O4/TrNavi_act!O4*1000)</f>
        <v>0</v>
      </c>
      <c r="P18" s="63">
        <f>IF(P4=0,0,P4/TrNavi_act!P4*1000)</f>
        <v>0</v>
      </c>
      <c r="Q18" s="63">
        <f>IF(Q4=0,0,Q4/TrNavi_act!Q4*1000)</f>
        <v>0</v>
      </c>
      <c r="R18" s="63">
        <f>IF(R4=0,0,R4/TrNavi_act!R4*1000)</f>
        <v>0</v>
      </c>
      <c r="S18" s="63">
        <f>IF(S4=0,0,S4/TrNavi_act!S4*1000)</f>
        <v>0</v>
      </c>
      <c r="T18" s="63">
        <f>IF(T4=0,0,T4/TrNavi_act!T4*1000)</f>
        <v>0</v>
      </c>
      <c r="U18" s="63">
        <f>IF(U4=0,0,U4/TrNavi_act!U4*1000)</f>
        <v>0</v>
      </c>
      <c r="V18" s="63">
        <f>IF(V4=0,0,V4/TrNavi_act!V4*1000)</f>
        <v>0</v>
      </c>
      <c r="W18" s="63">
        <f>IF(W4=0,0,W4/TrNavi_act!W4*1000)</f>
        <v>0</v>
      </c>
      <c r="X18" s="63">
        <f>IF(X4=0,0,X4/TrNavi_act!X4*1000)</f>
        <v>0</v>
      </c>
      <c r="Y18" s="63">
        <f>IF(Y4=0,0,Y4/TrNavi_act!Y4*1000)</f>
        <v>0</v>
      </c>
      <c r="Z18" s="63"/>
      <c r="AA18" s="63"/>
      <c r="AB18" s="63"/>
      <c r="AC18" s="63"/>
      <c r="AD18" s="63"/>
      <c r="AE18" s="63"/>
      <c r="AF18" s="63"/>
      <c r="AG18" s="63"/>
      <c r="DA18" s="181" t="s">
        <v>450</v>
      </c>
    </row>
    <row r="19" spans="1:105" ht="11.45" customHeight="1" x14ac:dyDescent="0.25">
      <c r="A19" s="57" t="s">
        <v>31</v>
      </c>
      <c r="B19" s="64">
        <f>IF(B5=0,0,B5/TrNavi_act!B5*1000)</f>
        <v>136.52949977220959</v>
      </c>
      <c r="C19" s="64">
        <f>IF(C5=0,0,C5/TrNavi_act!C5*1000)</f>
        <v>118.70912504005828</v>
      </c>
      <c r="D19" s="64">
        <f>IF(D5=0,0,D5/TrNavi_act!D5*1000)</f>
        <v>90.664928305410612</v>
      </c>
      <c r="E19" s="64">
        <f>IF(E5=0,0,E5/TrNavi_act!E5*1000)</f>
        <v>62.385337165577965</v>
      </c>
      <c r="F19" s="64">
        <f>IF(F5=0,0,F5/TrNavi_act!F5*1000)</f>
        <v>19.053800230050321</v>
      </c>
      <c r="G19" s="64">
        <f>IF(G5=0,0,G5/TrNavi_act!G5*1000)</f>
        <v>15.480611423829282</v>
      </c>
      <c r="H19" s="64">
        <f>IF(H5=0,0,H5/TrNavi_act!H5*1000)</f>
        <v>15.617568856197137</v>
      </c>
      <c r="I19" s="64">
        <f>IF(I5=0,0,I5/TrNavi_act!I5*1000)</f>
        <v>32.253061354484444</v>
      </c>
      <c r="J19" s="64">
        <f>IF(J5=0,0,J5/TrNavi_act!J5*1000)</f>
        <v>27.773147885345917</v>
      </c>
      <c r="K19" s="64">
        <f>IF(K5=0,0,K5/TrNavi_act!K5*1000)</f>
        <v>14.624751381215468</v>
      </c>
      <c r="L19" s="64">
        <f>IF(L5=0,0,L5/TrNavi_act!L5*1000)</f>
        <v>12.908113381294966</v>
      </c>
      <c r="M19" s="64">
        <f>IF(M5=0,0,M5/TrNavi_act!M5*1000)</f>
        <v>14.243263118590585</v>
      </c>
      <c r="N19" s="64">
        <f>IF(N5=0,0,N5/TrNavi_act!N5*1000)</f>
        <v>10.548419089456869</v>
      </c>
      <c r="O19" s="64">
        <f>IF(O5=0,0,O5/TrNavi_act!O5*1000)</f>
        <v>10.531114759026304</v>
      </c>
      <c r="P19" s="64">
        <f>IF(P5=0,0,P5/TrNavi_act!P5*1000)</f>
        <v>9.8932119795918396</v>
      </c>
      <c r="Q19" s="64">
        <f>IF(Q5=0,0,Q5/TrNavi_act!Q5*1000)</f>
        <v>10.268132888821386</v>
      </c>
      <c r="R19" s="64">
        <f>IF(R5=0,0,R5/TrNavi_act!R5*1000)</f>
        <v>9.5626351402721834</v>
      </c>
      <c r="S19" s="64">
        <f>IF(S5=0,0,S5/TrNavi_act!S5*1000)</f>
        <v>10.011587834145562</v>
      </c>
      <c r="T19" s="64">
        <f>IF(T5=0,0,T5/TrNavi_act!T5*1000)</f>
        <v>10.210113354538782</v>
      </c>
      <c r="U19" s="64">
        <f>IF(U5=0,0,U5/TrNavi_act!U5*1000)</f>
        <v>9.6890435337106826</v>
      </c>
      <c r="V19" s="64">
        <f>IF(V5=0,0,V5/TrNavi_act!V5*1000)</f>
        <v>9.5225183018037818</v>
      </c>
      <c r="W19" s="64">
        <f>IF(W5=0,0,W5/TrNavi_act!W5*1000)</f>
        <v>11.840478565300989</v>
      </c>
      <c r="X19" s="64">
        <f>IF(X5=0,0,X5/TrNavi_act!X5*1000)</f>
        <v>13.040588762666173</v>
      </c>
      <c r="Y19" s="64">
        <f>IF(Y5=0,0,Y5/TrNavi_act!Y5*1000)</f>
        <v>12.265221545157779</v>
      </c>
      <c r="Z19" s="64"/>
      <c r="AA19" s="64"/>
      <c r="AB19" s="64"/>
      <c r="AC19" s="64"/>
      <c r="AD19" s="64"/>
      <c r="AE19" s="64"/>
      <c r="AF19" s="64"/>
      <c r="AG19" s="64"/>
      <c r="DA19" s="182" t="s">
        <v>451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41</v>
      </c>
      <c r="B21" s="76">
        <f t="shared" ref="B21:U21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ref="V21:W21" si="4">IF(V3=0,0,V3/V$3)</f>
        <v>1</v>
      </c>
      <c r="W21" s="76">
        <f t="shared" si="4"/>
        <v>1</v>
      </c>
      <c r="X21" s="76">
        <f t="shared" ref="X21:Y21" si="5">IF(X3=0,0,X3/X$3)</f>
        <v>1</v>
      </c>
      <c r="Y21" s="76">
        <f t="shared" si="5"/>
        <v>1</v>
      </c>
      <c r="Z21" s="76"/>
      <c r="AA21" s="76"/>
      <c r="AB21" s="76"/>
      <c r="AC21" s="76"/>
      <c r="AD21" s="76"/>
      <c r="AE21" s="76"/>
      <c r="AF21" s="76"/>
      <c r="AG21" s="76"/>
      <c r="DA21" s="183"/>
    </row>
    <row r="22" spans="1:105" ht="11.45" customHeight="1" x14ac:dyDescent="0.25">
      <c r="A22" s="55" t="s">
        <v>30</v>
      </c>
      <c r="B22" s="77">
        <f t="shared" ref="B22:U22" si="6">IF(B4=0,0,B4/B$3)</f>
        <v>0</v>
      </c>
      <c r="C22" s="77">
        <f t="shared" si="6"/>
        <v>0</v>
      </c>
      <c r="D22" s="77">
        <f t="shared" si="6"/>
        <v>0</v>
      </c>
      <c r="E22" s="77">
        <f t="shared" si="6"/>
        <v>0</v>
      </c>
      <c r="F22" s="77">
        <f t="shared" si="6"/>
        <v>0</v>
      </c>
      <c r="G22" s="77">
        <f t="shared" si="6"/>
        <v>0</v>
      </c>
      <c r="H22" s="77">
        <f t="shared" si="6"/>
        <v>0</v>
      </c>
      <c r="I22" s="77">
        <f t="shared" si="6"/>
        <v>0</v>
      </c>
      <c r="J22" s="77">
        <f t="shared" si="6"/>
        <v>0</v>
      </c>
      <c r="K22" s="77">
        <f t="shared" si="6"/>
        <v>0</v>
      </c>
      <c r="L22" s="77">
        <f t="shared" si="6"/>
        <v>0</v>
      </c>
      <c r="M22" s="77">
        <f t="shared" si="6"/>
        <v>0</v>
      </c>
      <c r="N22" s="77">
        <f t="shared" si="6"/>
        <v>0</v>
      </c>
      <c r="O22" s="77">
        <f t="shared" si="6"/>
        <v>0</v>
      </c>
      <c r="P22" s="77">
        <f t="shared" si="6"/>
        <v>0</v>
      </c>
      <c r="Q22" s="77">
        <f t="shared" si="6"/>
        <v>0</v>
      </c>
      <c r="R22" s="77">
        <f t="shared" si="6"/>
        <v>0</v>
      </c>
      <c r="S22" s="77">
        <f t="shared" si="6"/>
        <v>0</v>
      </c>
      <c r="T22" s="77">
        <f t="shared" si="6"/>
        <v>0</v>
      </c>
      <c r="U22" s="77">
        <f t="shared" si="6"/>
        <v>0</v>
      </c>
      <c r="V22" s="77">
        <f t="shared" ref="V22:W22" si="7">IF(V4=0,0,V4/V$3)</f>
        <v>0</v>
      </c>
      <c r="W22" s="77">
        <f t="shared" si="7"/>
        <v>0</v>
      </c>
      <c r="X22" s="77">
        <f t="shared" ref="X22:Y22" si="8">IF(X4=0,0,X4/X$3)</f>
        <v>0</v>
      </c>
      <c r="Y22" s="77">
        <f t="shared" si="8"/>
        <v>0</v>
      </c>
      <c r="Z22" s="77"/>
      <c r="AA22" s="77"/>
      <c r="AB22" s="77"/>
      <c r="AC22" s="77"/>
      <c r="AD22" s="77"/>
      <c r="AE22" s="77"/>
      <c r="AF22" s="77"/>
      <c r="AG22" s="77"/>
      <c r="DA22" s="184"/>
    </row>
    <row r="23" spans="1:105" ht="11.45" customHeight="1" x14ac:dyDescent="0.25">
      <c r="A23" s="57" t="s">
        <v>31</v>
      </c>
      <c r="B23" s="78">
        <f t="shared" ref="B23:U23" si="9">IF(B5=0,0,B5/B$3)</f>
        <v>1</v>
      </c>
      <c r="C23" s="78">
        <f t="shared" si="9"/>
        <v>1</v>
      </c>
      <c r="D23" s="78">
        <f t="shared" si="9"/>
        <v>1</v>
      </c>
      <c r="E23" s="78">
        <f t="shared" si="9"/>
        <v>1</v>
      </c>
      <c r="F23" s="78">
        <f t="shared" si="9"/>
        <v>1</v>
      </c>
      <c r="G23" s="78">
        <f t="shared" si="9"/>
        <v>1</v>
      </c>
      <c r="H23" s="78">
        <f t="shared" si="9"/>
        <v>1</v>
      </c>
      <c r="I23" s="78">
        <f t="shared" si="9"/>
        <v>1</v>
      </c>
      <c r="J23" s="78">
        <f t="shared" si="9"/>
        <v>1</v>
      </c>
      <c r="K23" s="78">
        <f t="shared" si="9"/>
        <v>1</v>
      </c>
      <c r="L23" s="78">
        <f t="shared" si="9"/>
        <v>1</v>
      </c>
      <c r="M23" s="78">
        <f t="shared" si="9"/>
        <v>1</v>
      </c>
      <c r="N23" s="78">
        <f t="shared" si="9"/>
        <v>1</v>
      </c>
      <c r="O23" s="78">
        <f t="shared" si="9"/>
        <v>1</v>
      </c>
      <c r="P23" s="78">
        <f t="shared" si="9"/>
        <v>1</v>
      </c>
      <c r="Q23" s="78">
        <f t="shared" si="9"/>
        <v>1</v>
      </c>
      <c r="R23" s="78">
        <f t="shared" si="9"/>
        <v>1</v>
      </c>
      <c r="S23" s="78">
        <f t="shared" si="9"/>
        <v>1</v>
      </c>
      <c r="T23" s="78">
        <f t="shared" si="9"/>
        <v>1</v>
      </c>
      <c r="U23" s="78">
        <f t="shared" si="9"/>
        <v>1</v>
      </c>
      <c r="V23" s="78">
        <f t="shared" ref="V23:W23" si="10">IF(V5=0,0,V5/V$3)</f>
        <v>1</v>
      </c>
      <c r="W23" s="78">
        <f t="shared" si="10"/>
        <v>1</v>
      </c>
      <c r="X23" s="78">
        <f t="shared" ref="X23:Y23" si="11">IF(X5=0,0,X5/X$3)</f>
        <v>1</v>
      </c>
      <c r="Y23" s="78">
        <f t="shared" si="11"/>
        <v>1</v>
      </c>
      <c r="Z23" s="78"/>
      <c r="AA23" s="78"/>
      <c r="AB23" s="78"/>
      <c r="AC23" s="78"/>
      <c r="AD23" s="78"/>
      <c r="AE23" s="78"/>
      <c r="AF23" s="78"/>
      <c r="AG23" s="78"/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25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164</v>
      </c>
      <c r="B3" s="54">
        <f t="shared" ref="B3:Q3" si="0">SUM(B4:B5)</f>
        <v>0</v>
      </c>
      <c r="C3" s="54">
        <f t="shared" si="0"/>
        <v>0</v>
      </c>
      <c r="D3" s="54">
        <f t="shared" si="0"/>
        <v>0</v>
      </c>
      <c r="E3" s="54">
        <f t="shared" si="0"/>
        <v>0</v>
      </c>
      <c r="F3" s="54">
        <f t="shared" si="0"/>
        <v>0</v>
      </c>
      <c r="G3" s="54">
        <f t="shared" si="0"/>
        <v>0</v>
      </c>
      <c r="H3" s="54">
        <f t="shared" si="0"/>
        <v>0</v>
      </c>
      <c r="I3" s="54">
        <f t="shared" si="0"/>
        <v>85261.918619999997</v>
      </c>
      <c r="J3" s="54">
        <f t="shared" si="0"/>
        <v>104396.89372399999</v>
      </c>
      <c r="K3" s="54">
        <f t="shared" si="0"/>
        <v>63048.293743999995</v>
      </c>
      <c r="L3" s="54">
        <f t="shared" si="0"/>
        <v>80331.733506000004</v>
      </c>
      <c r="M3" s="54">
        <f t="shared" si="0"/>
        <v>80424.612057999999</v>
      </c>
      <c r="N3" s="54">
        <f t="shared" si="0"/>
        <v>91672.594737000007</v>
      </c>
      <c r="O3" s="54">
        <f t="shared" si="0"/>
        <v>108033.278964</v>
      </c>
      <c r="P3" s="54">
        <f t="shared" si="0"/>
        <v>90164.729099999997</v>
      </c>
      <c r="Q3" s="54">
        <f t="shared" si="0"/>
        <v>98934.049174</v>
      </c>
      <c r="R3" s="54">
        <f t="shared" ref="R3:W3" si="1">SUM(R4:R5)</f>
        <v>96261.249467000001</v>
      </c>
      <c r="S3" s="54">
        <f t="shared" si="1"/>
        <v>91632.773577</v>
      </c>
      <c r="T3" s="54">
        <f t="shared" si="1"/>
        <v>102288.705162</v>
      </c>
      <c r="U3" s="54">
        <f t="shared" si="1"/>
        <v>111195.10837099999</v>
      </c>
      <c r="V3" s="54">
        <f t="shared" si="1"/>
        <v>93609.529555999994</v>
      </c>
      <c r="W3" s="54">
        <f t="shared" si="1"/>
        <v>110027.25537499999</v>
      </c>
      <c r="X3" s="54">
        <f t="shared" ref="X3:Y3" si="2">SUM(X4:X5)</f>
        <v>120398.55906299999</v>
      </c>
      <c r="Y3" s="54">
        <f t="shared" si="2"/>
        <v>174212.75916299998</v>
      </c>
      <c r="DA3" s="172" t="s">
        <v>388</v>
      </c>
    </row>
    <row r="4" spans="1:105" ht="11.45" customHeight="1" x14ac:dyDescent="0.25">
      <c r="A4" s="55" t="s">
        <v>166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9689.2467199999992</v>
      </c>
      <c r="J4" s="56">
        <v>11405.927935</v>
      </c>
      <c r="K4" s="56">
        <v>18991.729664999999</v>
      </c>
      <c r="L4" s="56">
        <v>17284.489803</v>
      </c>
      <c r="M4" s="56">
        <v>15223.862709000001</v>
      </c>
      <c r="N4" s="56">
        <v>13400.720387000001</v>
      </c>
      <c r="O4" s="56">
        <v>14547.731978</v>
      </c>
      <c r="P4" s="56">
        <v>17673.512666000002</v>
      </c>
      <c r="Q4" s="56">
        <v>19863.921924999999</v>
      </c>
      <c r="R4" s="56">
        <v>20106.713795</v>
      </c>
      <c r="S4" s="56">
        <v>22362.324690999998</v>
      </c>
      <c r="T4" s="56">
        <v>26745.469137</v>
      </c>
      <c r="U4" s="56">
        <v>21818.116918</v>
      </c>
      <c r="V4" s="56">
        <v>20703.574361999999</v>
      </c>
      <c r="W4" s="56">
        <v>22040.858505</v>
      </c>
      <c r="X4" s="56">
        <v>28389.171838999999</v>
      </c>
      <c r="Y4" s="56">
        <v>40021.564794999998</v>
      </c>
      <c r="DA4" s="181" t="s">
        <v>389</v>
      </c>
    </row>
    <row r="5" spans="1:105" ht="11.45" customHeight="1" x14ac:dyDescent="0.25">
      <c r="A5" s="57" t="s">
        <v>167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75572.671900000001</v>
      </c>
      <c r="J5" s="58">
        <v>92990.965788999994</v>
      </c>
      <c r="K5" s="58">
        <v>44056.564078999996</v>
      </c>
      <c r="L5" s="58">
        <v>63047.243703</v>
      </c>
      <c r="M5" s="58">
        <v>65200.749348999998</v>
      </c>
      <c r="N5" s="58">
        <v>78271.874349999998</v>
      </c>
      <c r="O5" s="58">
        <v>93485.546986000001</v>
      </c>
      <c r="P5" s="58">
        <v>72491.216434000002</v>
      </c>
      <c r="Q5" s="58">
        <v>79070.127248999997</v>
      </c>
      <c r="R5" s="58">
        <v>76154.535671999998</v>
      </c>
      <c r="S5" s="58">
        <v>69270.448885999998</v>
      </c>
      <c r="T5" s="58">
        <v>75543.236025000006</v>
      </c>
      <c r="U5" s="58">
        <v>89376.991452999995</v>
      </c>
      <c r="V5" s="58">
        <v>72905.955193999995</v>
      </c>
      <c r="W5" s="58">
        <v>87986.396869999997</v>
      </c>
      <c r="X5" s="58">
        <v>92009.387223999991</v>
      </c>
      <c r="Y5" s="58">
        <v>134191.194368</v>
      </c>
      <c r="DA5" s="182" t="s">
        <v>390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DA6" s="181"/>
    </row>
    <row r="7" spans="1:105" ht="11.45" customHeight="1" x14ac:dyDescent="0.25">
      <c r="A7" s="53" t="s">
        <v>64</v>
      </c>
      <c r="B7" s="59">
        <f t="shared" ref="B7:W7" si="3">SUM(B8:B9)</f>
        <v>0</v>
      </c>
      <c r="C7" s="59">
        <f t="shared" si="3"/>
        <v>0</v>
      </c>
      <c r="D7" s="59">
        <f t="shared" si="3"/>
        <v>0</v>
      </c>
      <c r="E7" s="59">
        <f t="shared" si="3"/>
        <v>0</v>
      </c>
      <c r="F7" s="59">
        <f t="shared" si="3"/>
        <v>0</v>
      </c>
      <c r="G7" s="59">
        <f t="shared" si="3"/>
        <v>0</v>
      </c>
      <c r="H7" s="59">
        <f t="shared" si="3"/>
        <v>0</v>
      </c>
      <c r="I7" s="59">
        <f t="shared" si="3"/>
        <v>4.1433580000000001</v>
      </c>
      <c r="J7" s="59">
        <f t="shared" si="3"/>
        <v>4.7281709999999997</v>
      </c>
      <c r="K7" s="59">
        <f t="shared" si="3"/>
        <v>4.3679509999999997</v>
      </c>
      <c r="L7" s="59">
        <f t="shared" si="3"/>
        <v>4.5695149999999991</v>
      </c>
      <c r="M7" s="59">
        <f t="shared" si="3"/>
        <v>5.4507659999999998</v>
      </c>
      <c r="N7" s="59">
        <f t="shared" si="3"/>
        <v>5.2633399999999995</v>
      </c>
      <c r="O7" s="59">
        <f t="shared" si="3"/>
        <v>5.8334849999999996</v>
      </c>
      <c r="P7" s="59">
        <f t="shared" si="3"/>
        <v>5.4690589999999997</v>
      </c>
      <c r="Q7" s="59">
        <f t="shared" si="3"/>
        <v>5.639354</v>
      </c>
      <c r="R7" s="59">
        <f t="shared" si="3"/>
        <v>5.4081790000000005</v>
      </c>
      <c r="S7" s="59">
        <f t="shared" si="3"/>
        <v>5.3952640000000001</v>
      </c>
      <c r="T7" s="59">
        <f t="shared" si="3"/>
        <v>6.2686849999999996</v>
      </c>
      <c r="U7" s="59">
        <f t="shared" si="3"/>
        <v>5.9914329999999998</v>
      </c>
      <c r="V7" s="59">
        <f t="shared" si="3"/>
        <v>5.2792829999999995</v>
      </c>
      <c r="W7" s="59">
        <f t="shared" si="3"/>
        <v>5.6696179999999998</v>
      </c>
      <c r="X7" s="59">
        <f t="shared" ref="X7:Y7" si="4">SUM(X8:X9)</f>
        <v>7.3413769999999996</v>
      </c>
      <c r="Y7" s="59">
        <f t="shared" si="4"/>
        <v>9.6545190000000005</v>
      </c>
      <c r="DA7" s="172" t="s">
        <v>963</v>
      </c>
    </row>
    <row r="8" spans="1:105" ht="11.45" customHeight="1" x14ac:dyDescent="0.25">
      <c r="A8" s="55" t="s">
        <v>166</v>
      </c>
      <c r="B8" s="60">
        <v>0</v>
      </c>
      <c r="C8" s="60">
        <v>0</v>
      </c>
      <c r="D8" s="60">
        <v>0</v>
      </c>
      <c r="E8" s="60">
        <v>0</v>
      </c>
      <c r="F8" s="60">
        <v>0</v>
      </c>
      <c r="G8" s="60">
        <v>0</v>
      </c>
      <c r="H8" s="60">
        <v>0</v>
      </c>
      <c r="I8" s="60">
        <v>1.347475</v>
      </c>
      <c r="J8" s="60">
        <v>1.53051</v>
      </c>
      <c r="K8" s="60">
        <v>2.610169</v>
      </c>
      <c r="L8" s="60">
        <v>2.3616509999999997</v>
      </c>
      <c r="M8" s="60">
        <v>2.5820149999999997</v>
      </c>
      <c r="N8" s="60">
        <v>2.1852499999999999</v>
      </c>
      <c r="O8" s="60">
        <v>2.2882690000000001</v>
      </c>
      <c r="P8" s="60">
        <v>2.743865</v>
      </c>
      <c r="Q8" s="60">
        <v>2.835896</v>
      </c>
      <c r="R8" s="60">
        <v>2.7585980000000001</v>
      </c>
      <c r="S8" s="60">
        <v>3.0092819999999998</v>
      </c>
      <c r="T8" s="60">
        <v>3.64778</v>
      </c>
      <c r="U8" s="60">
        <v>3.038767</v>
      </c>
      <c r="V8" s="60">
        <v>2.7066309999999998</v>
      </c>
      <c r="W8" s="60">
        <v>2.9208600000000002</v>
      </c>
      <c r="X8" s="60">
        <v>3.9423299999999997</v>
      </c>
      <c r="Y8" s="60">
        <v>5.171386</v>
      </c>
      <c r="DA8" s="181" t="s">
        <v>964</v>
      </c>
    </row>
    <row r="9" spans="1:105" ht="11.45" customHeight="1" x14ac:dyDescent="0.25">
      <c r="A9" s="57" t="s">
        <v>167</v>
      </c>
      <c r="B9" s="61">
        <v>0</v>
      </c>
      <c r="C9" s="61">
        <v>0</v>
      </c>
      <c r="D9" s="61">
        <v>0</v>
      </c>
      <c r="E9" s="61">
        <v>0</v>
      </c>
      <c r="F9" s="61">
        <v>0</v>
      </c>
      <c r="G9" s="61">
        <v>0</v>
      </c>
      <c r="H9" s="61">
        <v>0</v>
      </c>
      <c r="I9" s="61">
        <v>2.7958829999999999</v>
      </c>
      <c r="J9" s="61">
        <v>3.1976610000000001</v>
      </c>
      <c r="K9" s="61">
        <v>1.757782</v>
      </c>
      <c r="L9" s="61">
        <v>2.2078639999999998</v>
      </c>
      <c r="M9" s="61">
        <v>2.8687510000000001</v>
      </c>
      <c r="N9" s="61">
        <v>3.07809</v>
      </c>
      <c r="O9" s="61">
        <v>3.5452159999999999</v>
      </c>
      <c r="P9" s="61">
        <v>2.7251940000000001</v>
      </c>
      <c r="Q9" s="61">
        <v>2.803458</v>
      </c>
      <c r="R9" s="61">
        <v>2.649581</v>
      </c>
      <c r="S9" s="61">
        <v>2.3859820000000003</v>
      </c>
      <c r="T9" s="61">
        <v>2.620905</v>
      </c>
      <c r="U9" s="61">
        <v>2.9526659999999998</v>
      </c>
      <c r="V9" s="61">
        <v>2.5726520000000002</v>
      </c>
      <c r="W9" s="61">
        <v>2.748758</v>
      </c>
      <c r="X9" s="61">
        <v>3.3990470000000004</v>
      </c>
      <c r="Y9" s="61">
        <v>4.4831330000000005</v>
      </c>
      <c r="DA9" s="182" t="s">
        <v>965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DA12" s="181"/>
    </row>
    <row r="13" spans="1:105" ht="11.45" customHeight="1" x14ac:dyDescent="0.25">
      <c r="A13" s="53" t="s">
        <v>143</v>
      </c>
      <c r="B13" s="62">
        <f t="shared" ref="B13:W15" si="5">IF(B3=0,0,B3/B7)</f>
        <v>0</v>
      </c>
      <c r="C13" s="62">
        <f t="shared" si="5"/>
        <v>0</v>
      </c>
      <c r="D13" s="62">
        <f t="shared" si="5"/>
        <v>0</v>
      </c>
      <c r="E13" s="62">
        <f t="shared" si="5"/>
        <v>0</v>
      </c>
      <c r="F13" s="62">
        <f t="shared" si="5"/>
        <v>0</v>
      </c>
      <c r="G13" s="62">
        <f t="shared" si="5"/>
        <v>0</v>
      </c>
      <c r="H13" s="62">
        <f t="shared" si="5"/>
        <v>0</v>
      </c>
      <c r="I13" s="62">
        <f t="shared" si="5"/>
        <v>20577.975308916099</v>
      </c>
      <c r="J13" s="62">
        <f t="shared" si="5"/>
        <v>22079.762708243845</v>
      </c>
      <c r="K13" s="62">
        <f t="shared" si="5"/>
        <v>14434.295106332465</v>
      </c>
      <c r="L13" s="62">
        <f t="shared" si="5"/>
        <v>17579.925551398785</v>
      </c>
      <c r="M13" s="62">
        <f t="shared" si="5"/>
        <v>14754.735767046321</v>
      </c>
      <c r="N13" s="62">
        <f t="shared" si="5"/>
        <v>17417.190365243365</v>
      </c>
      <c r="O13" s="62">
        <f t="shared" si="5"/>
        <v>18519.509172304377</v>
      </c>
      <c r="P13" s="62">
        <f t="shared" si="5"/>
        <v>16486.333224783277</v>
      </c>
      <c r="Q13" s="62">
        <f t="shared" si="5"/>
        <v>17543.507496426009</v>
      </c>
      <c r="R13" s="62">
        <f t="shared" si="5"/>
        <v>17799.198115853782</v>
      </c>
      <c r="S13" s="62">
        <f t="shared" si="5"/>
        <v>16983.927677496413</v>
      </c>
      <c r="T13" s="62">
        <f t="shared" si="5"/>
        <v>16317.410296098784</v>
      </c>
      <c r="U13" s="62">
        <f t="shared" si="5"/>
        <v>18559.017245290066</v>
      </c>
      <c r="V13" s="62">
        <f t="shared" si="5"/>
        <v>17731.485422546964</v>
      </c>
      <c r="W13" s="62">
        <f t="shared" si="5"/>
        <v>19406.46713323543</v>
      </c>
      <c r="X13" s="62">
        <f t="shared" ref="X13:Y13" si="6">IF(X3=0,0,X3/X7)</f>
        <v>16399.996766682871</v>
      </c>
      <c r="Y13" s="62">
        <f t="shared" si="6"/>
        <v>18044.685515974434</v>
      </c>
      <c r="DA13" s="172" t="s">
        <v>966</v>
      </c>
    </row>
    <row r="14" spans="1:105" ht="11.45" customHeight="1" x14ac:dyDescent="0.25">
      <c r="A14" s="55" t="s">
        <v>166</v>
      </c>
      <c r="B14" s="63">
        <f t="shared" si="5"/>
        <v>0</v>
      </c>
      <c r="C14" s="63">
        <f t="shared" si="5"/>
        <v>0</v>
      </c>
      <c r="D14" s="63">
        <f t="shared" si="5"/>
        <v>0</v>
      </c>
      <c r="E14" s="63">
        <f t="shared" si="5"/>
        <v>0</v>
      </c>
      <c r="F14" s="63">
        <f t="shared" si="5"/>
        <v>0</v>
      </c>
      <c r="G14" s="63">
        <f t="shared" si="5"/>
        <v>0</v>
      </c>
      <c r="H14" s="63">
        <f t="shared" si="5"/>
        <v>0</v>
      </c>
      <c r="I14" s="63">
        <f t="shared" si="5"/>
        <v>7190.6690068461376</v>
      </c>
      <c r="J14" s="63">
        <f t="shared" si="5"/>
        <v>7452.3707358984911</v>
      </c>
      <c r="K14" s="63">
        <f t="shared" si="5"/>
        <v>7276.0536444191921</v>
      </c>
      <c r="L14" s="63">
        <f t="shared" si="5"/>
        <v>7318.816286995836</v>
      </c>
      <c r="M14" s="63">
        <f t="shared" si="5"/>
        <v>5896.1170670968222</v>
      </c>
      <c r="N14" s="63">
        <f t="shared" si="5"/>
        <v>6132.3511666857348</v>
      </c>
      <c r="O14" s="63">
        <f t="shared" si="5"/>
        <v>6357.5270119028837</v>
      </c>
      <c r="P14" s="63">
        <f t="shared" si="5"/>
        <v>6441.1013901923025</v>
      </c>
      <c r="Q14" s="63">
        <f t="shared" si="5"/>
        <v>7004.4606448896575</v>
      </c>
      <c r="R14" s="63">
        <f t="shared" si="5"/>
        <v>7288.7437006044374</v>
      </c>
      <c r="S14" s="63">
        <f t="shared" si="5"/>
        <v>7431.1163563268583</v>
      </c>
      <c r="T14" s="63">
        <f t="shared" si="5"/>
        <v>7331.9852449983273</v>
      </c>
      <c r="U14" s="63">
        <f t="shared" si="5"/>
        <v>7179.9242646770881</v>
      </c>
      <c r="V14" s="63">
        <f t="shared" si="5"/>
        <v>7649.2046244944368</v>
      </c>
      <c r="W14" s="63">
        <f t="shared" si="5"/>
        <v>7546.0167570510048</v>
      </c>
      <c r="X14" s="63">
        <f t="shared" ref="X14:Y14" si="7">IF(X4=0,0,X4/X8)</f>
        <v>7201.1150357783345</v>
      </c>
      <c r="Y14" s="63">
        <f t="shared" si="7"/>
        <v>7739.040325939699</v>
      </c>
      <c r="DA14" s="181" t="s">
        <v>967</v>
      </c>
    </row>
    <row r="15" spans="1:105" ht="11.45" customHeight="1" x14ac:dyDescent="0.25">
      <c r="A15" s="57" t="s">
        <v>167</v>
      </c>
      <c r="B15" s="64">
        <f t="shared" si="5"/>
        <v>0</v>
      </c>
      <c r="C15" s="64">
        <f t="shared" si="5"/>
        <v>0</v>
      </c>
      <c r="D15" s="64">
        <f t="shared" si="5"/>
        <v>0</v>
      </c>
      <c r="E15" s="64">
        <f t="shared" si="5"/>
        <v>0</v>
      </c>
      <c r="F15" s="64">
        <f t="shared" si="5"/>
        <v>0</v>
      </c>
      <c r="G15" s="64">
        <f t="shared" si="5"/>
        <v>0</v>
      </c>
      <c r="H15" s="64">
        <f t="shared" si="5"/>
        <v>0</v>
      </c>
      <c r="I15" s="64">
        <f t="shared" si="5"/>
        <v>27029.983693881328</v>
      </c>
      <c r="J15" s="64">
        <f t="shared" si="5"/>
        <v>29080.933153639486</v>
      </c>
      <c r="K15" s="64">
        <f t="shared" si="5"/>
        <v>25063.72467063606</v>
      </c>
      <c r="L15" s="64">
        <f t="shared" si="5"/>
        <v>28555.764169803941</v>
      </c>
      <c r="M15" s="64">
        <f t="shared" si="5"/>
        <v>22727.92213370906</v>
      </c>
      <c r="N15" s="64">
        <f t="shared" si="5"/>
        <v>25428.715323463577</v>
      </c>
      <c r="O15" s="64">
        <f t="shared" si="5"/>
        <v>26369.49257421833</v>
      </c>
      <c r="P15" s="64">
        <f t="shared" si="5"/>
        <v>26600.387507825129</v>
      </c>
      <c r="Q15" s="64">
        <f t="shared" si="5"/>
        <v>28204.498604580484</v>
      </c>
      <c r="R15" s="64">
        <f t="shared" si="5"/>
        <v>28742.105137378323</v>
      </c>
      <c r="S15" s="64">
        <f t="shared" si="5"/>
        <v>29032.2596255965</v>
      </c>
      <c r="T15" s="64">
        <f t="shared" si="5"/>
        <v>28823.340039032322</v>
      </c>
      <c r="U15" s="64">
        <f t="shared" si="5"/>
        <v>30269.929430893979</v>
      </c>
      <c r="V15" s="64">
        <f t="shared" si="5"/>
        <v>28338.832921825411</v>
      </c>
      <c r="W15" s="64">
        <f t="shared" si="5"/>
        <v>32009.510066000716</v>
      </c>
      <c r="X15" s="64">
        <f t="shared" ref="X15:Y15" si="8">IF(X5=0,0,X5/X9)</f>
        <v>27069.171807274211</v>
      </c>
      <c r="Y15" s="64">
        <f t="shared" si="8"/>
        <v>29932.458922811344</v>
      </c>
      <c r="DA15" s="182" t="s">
        <v>968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65</v>
      </c>
      <c r="B17" s="65">
        <f t="shared" ref="B17:W19" si="9">IF(B3=0,0,B3/B$3)</f>
        <v>0</v>
      </c>
      <c r="C17" s="65">
        <f t="shared" si="9"/>
        <v>0</v>
      </c>
      <c r="D17" s="65">
        <f t="shared" si="9"/>
        <v>0</v>
      </c>
      <c r="E17" s="65">
        <f t="shared" si="9"/>
        <v>0</v>
      </c>
      <c r="F17" s="65">
        <f t="shared" si="9"/>
        <v>0</v>
      </c>
      <c r="G17" s="65">
        <f t="shared" si="9"/>
        <v>0</v>
      </c>
      <c r="H17" s="65">
        <f t="shared" si="9"/>
        <v>0</v>
      </c>
      <c r="I17" s="65">
        <f t="shared" si="9"/>
        <v>1</v>
      </c>
      <c r="J17" s="65">
        <f t="shared" si="9"/>
        <v>1</v>
      </c>
      <c r="K17" s="65">
        <f t="shared" si="9"/>
        <v>1</v>
      </c>
      <c r="L17" s="65">
        <f t="shared" si="9"/>
        <v>1</v>
      </c>
      <c r="M17" s="65">
        <f t="shared" si="9"/>
        <v>1</v>
      </c>
      <c r="N17" s="65">
        <f t="shared" si="9"/>
        <v>1</v>
      </c>
      <c r="O17" s="65">
        <f t="shared" si="9"/>
        <v>1</v>
      </c>
      <c r="P17" s="65">
        <f t="shared" si="9"/>
        <v>1</v>
      </c>
      <c r="Q17" s="65">
        <f t="shared" si="9"/>
        <v>1</v>
      </c>
      <c r="R17" s="65">
        <f t="shared" si="9"/>
        <v>1</v>
      </c>
      <c r="S17" s="65">
        <f t="shared" si="9"/>
        <v>1</v>
      </c>
      <c r="T17" s="65">
        <f t="shared" si="9"/>
        <v>1</v>
      </c>
      <c r="U17" s="65">
        <f t="shared" si="9"/>
        <v>1</v>
      </c>
      <c r="V17" s="65">
        <f t="shared" si="9"/>
        <v>1</v>
      </c>
      <c r="W17" s="65">
        <f t="shared" si="9"/>
        <v>1</v>
      </c>
      <c r="X17" s="65">
        <f t="shared" ref="X17:Y17" si="10">IF(X3=0,0,X3/X$3)</f>
        <v>1</v>
      </c>
      <c r="Y17" s="65">
        <f t="shared" si="10"/>
        <v>1</v>
      </c>
      <c r="DA17" s="172"/>
    </row>
    <row r="18" spans="1:105" ht="11.45" customHeight="1" x14ac:dyDescent="0.25">
      <c r="A18" s="55" t="s">
        <v>166</v>
      </c>
      <c r="B18" s="66">
        <f t="shared" si="9"/>
        <v>0</v>
      </c>
      <c r="C18" s="66">
        <f t="shared" si="9"/>
        <v>0</v>
      </c>
      <c r="D18" s="66">
        <f t="shared" si="9"/>
        <v>0</v>
      </c>
      <c r="E18" s="66">
        <f t="shared" si="9"/>
        <v>0</v>
      </c>
      <c r="F18" s="66">
        <f t="shared" si="9"/>
        <v>0</v>
      </c>
      <c r="G18" s="66">
        <f t="shared" si="9"/>
        <v>0</v>
      </c>
      <c r="H18" s="66">
        <f t="shared" si="9"/>
        <v>0</v>
      </c>
      <c r="I18" s="66">
        <f t="shared" si="9"/>
        <v>0.11364096512047267</v>
      </c>
      <c r="J18" s="66">
        <f t="shared" si="9"/>
        <v>0.10925543402808996</v>
      </c>
      <c r="K18" s="66">
        <f t="shared" si="9"/>
        <v>0.30122511708427241</v>
      </c>
      <c r="L18" s="66">
        <f t="shared" si="9"/>
        <v>0.21516390906352115</v>
      </c>
      <c r="M18" s="66">
        <f t="shared" si="9"/>
        <v>0.18929357965719465</v>
      </c>
      <c r="N18" s="66">
        <f t="shared" si="9"/>
        <v>0.14618022349476853</v>
      </c>
      <c r="O18" s="66">
        <f t="shared" si="9"/>
        <v>0.13465972816439045</v>
      </c>
      <c r="P18" s="66">
        <f t="shared" si="9"/>
        <v>0.19601359469952651</v>
      </c>
      <c r="Q18" s="66">
        <f t="shared" si="9"/>
        <v>0.20077942923436176</v>
      </c>
      <c r="R18" s="66">
        <f t="shared" si="9"/>
        <v>0.20887650956466053</v>
      </c>
      <c r="S18" s="66">
        <f t="shared" si="9"/>
        <v>0.24404286608446593</v>
      </c>
      <c r="T18" s="66">
        <f t="shared" si="9"/>
        <v>0.26147040472006949</v>
      </c>
      <c r="U18" s="66">
        <f t="shared" si="9"/>
        <v>0.19621471877345845</v>
      </c>
      <c r="V18" s="66">
        <f t="shared" si="9"/>
        <v>0.22116951618279962</v>
      </c>
      <c r="W18" s="66">
        <f t="shared" si="9"/>
        <v>0.20032180599142752</v>
      </c>
      <c r="X18" s="66">
        <f t="shared" ref="X18:Y18" si="11">IF(X4=0,0,X4/X$3)</f>
        <v>0.23579328573313757</v>
      </c>
      <c r="Y18" s="66">
        <f t="shared" si="11"/>
        <v>0.22972809217466283</v>
      </c>
      <c r="DA18" s="181"/>
    </row>
    <row r="19" spans="1:105" ht="11.45" customHeight="1" x14ac:dyDescent="0.25">
      <c r="A19" s="57" t="s">
        <v>167</v>
      </c>
      <c r="B19" s="67">
        <f t="shared" si="9"/>
        <v>0</v>
      </c>
      <c r="C19" s="67">
        <f t="shared" si="9"/>
        <v>0</v>
      </c>
      <c r="D19" s="67">
        <f t="shared" si="9"/>
        <v>0</v>
      </c>
      <c r="E19" s="67">
        <f t="shared" si="9"/>
        <v>0</v>
      </c>
      <c r="F19" s="67">
        <f t="shared" si="9"/>
        <v>0</v>
      </c>
      <c r="G19" s="67">
        <f t="shared" si="9"/>
        <v>0</v>
      </c>
      <c r="H19" s="67">
        <f t="shared" si="9"/>
        <v>0</v>
      </c>
      <c r="I19" s="67">
        <f t="shared" si="9"/>
        <v>0.88635903487952739</v>
      </c>
      <c r="J19" s="67">
        <f t="shared" si="9"/>
        <v>0.8907445659719101</v>
      </c>
      <c r="K19" s="67">
        <f t="shared" si="9"/>
        <v>0.69877488291572754</v>
      </c>
      <c r="L19" s="67">
        <f t="shared" si="9"/>
        <v>0.78483609093647877</v>
      </c>
      <c r="M19" s="67">
        <f t="shared" si="9"/>
        <v>0.81070642034280538</v>
      </c>
      <c r="N19" s="67">
        <f t="shared" si="9"/>
        <v>0.85381977650523144</v>
      </c>
      <c r="O19" s="67">
        <f t="shared" si="9"/>
        <v>0.86534027183560958</v>
      </c>
      <c r="P19" s="67">
        <f t="shared" si="9"/>
        <v>0.80398640530047361</v>
      </c>
      <c r="Q19" s="67">
        <f t="shared" si="9"/>
        <v>0.79922057076563824</v>
      </c>
      <c r="R19" s="67">
        <f t="shared" si="9"/>
        <v>0.79112349043533947</v>
      </c>
      <c r="S19" s="67">
        <f t="shared" si="9"/>
        <v>0.7559571339155341</v>
      </c>
      <c r="T19" s="67">
        <f t="shared" si="9"/>
        <v>0.73852959527993056</v>
      </c>
      <c r="U19" s="67">
        <f t="shared" si="9"/>
        <v>0.80378528122654158</v>
      </c>
      <c r="V19" s="67">
        <f t="shared" si="9"/>
        <v>0.77883048381720044</v>
      </c>
      <c r="W19" s="67">
        <f t="shared" si="9"/>
        <v>0.79967819400857254</v>
      </c>
      <c r="X19" s="67">
        <f t="shared" ref="X19:Y19" si="12">IF(X5=0,0,X5/X$3)</f>
        <v>0.76420671426686237</v>
      </c>
      <c r="Y19" s="67">
        <f t="shared" si="12"/>
        <v>0.77027190782533728</v>
      </c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DA20" s="181"/>
    </row>
    <row r="21" spans="1:105" ht="11.45" customHeight="1" x14ac:dyDescent="0.25">
      <c r="A21" s="53" t="s">
        <v>66</v>
      </c>
      <c r="B21" s="65">
        <f t="shared" ref="B21:W23" si="13">IF(B7=0,0,B7/B$7)</f>
        <v>0</v>
      </c>
      <c r="C21" s="65">
        <f t="shared" si="13"/>
        <v>0</v>
      </c>
      <c r="D21" s="65">
        <f t="shared" si="13"/>
        <v>0</v>
      </c>
      <c r="E21" s="65">
        <f t="shared" si="13"/>
        <v>0</v>
      </c>
      <c r="F21" s="65">
        <f t="shared" si="13"/>
        <v>0</v>
      </c>
      <c r="G21" s="65">
        <f t="shared" si="13"/>
        <v>0</v>
      </c>
      <c r="H21" s="65">
        <f t="shared" si="13"/>
        <v>0</v>
      </c>
      <c r="I21" s="65">
        <f t="shared" si="13"/>
        <v>1</v>
      </c>
      <c r="J21" s="65">
        <f t="shared" si="13"/>
        <v>1</v>
      </c>
      <c r="K21" s="65">
        <f t="shared" si="13"/>
        <v>1</v>
      </c>
      <c r="L21" s="65">
        <f t="shared" si="13"/>
        <v>1</v>
      </c>
      <c r="M21" s="65">
        <f t="shared" si="13"/>
        <v>1</v>
      </c>
      <c r="N21" s="65">
        <f t="shared" si="13"/>
        <v>1</v>
      </c>
      <c r="O21" s="65">
        <f t="shared" si="13"/>
        <v>1</v>
      </c>
      <c r="P21" s="65">
        <f t="shared" si="13"/>
        <v>1</v>
      </c>
      <c r="Q21" s="65">
        <f t="shared" si="13"/>
        <v>1</v>
      </c>
      <c r="R21" s="65">
        <f t="shared" si="13"/>
        <v>1</v>
      </c>
      <c r="S21" s="65">
        <f t="shared" si="13"/>
        <v>1</v>
      </c>
      <c r="T21" s="65">
        <f t="shared" si="13"/>
        <v>1</v>
      </c>
      <c r="U21" s="65">
        <f t="shared" si="13"/>
        <v>1</v>
      </c>
      <c r="V21" s="65">
        <f t="shared" si="13"/>
        <v>1</v>
      </c>
      <c r="W21" s="65">
        <f t="shared" si="13"/>
        <v>1</v>
      </c>
      <c r="X21" s="65">
        <f t="shared" ref="X21:Y21" si="14">IF(X7=0,0,X7/X$7)</f>
        <v>1</v>
      </c>
      <c r="Y21" s="65">
        <f t="shared" si="14"/>
        <v>1</v>
      </c>
      <c r="DA21" s="172"/>
    </row>
    <row r="22" spans="1:105" ht="11.45" customHeight="1" x14ac:dyDescent="0.25">
      <c r="A22" s="55" t="s">
        <v>166</v>
      </c>
      <c r="B22" s="66">
        <f t="shared" si="13"/>
        <v>0</v>
      </c>
      <c r="C22" s="66">
        <f t="shared" si="13"/>
        <v>0</v>
      </c>
      <c r="D22" s="66">
        <f t="shared" si="13"/>
        <v>0</v>
      </c>
      <c r="E22" s="66">
        <f t="shared" si="13"/>
        <v>0</v>
      </c>
      <c r="F22" s="66">
        <f t="shared" si="13"/>
        <v>0</v>
      </c>
      <c r="G22" s="66">
        <f t="shared" si="13"/>
        <v>0</v>
      </c>
      <c r="H22" s="66">
        <f t="shared" si="13"/>
        <v>0</v>
      </c>
      <c r="I22" s="66">
        <f t="shared" si="13"/>
        <v>0.3252132690440942</v>
      </c>
      <c r="J22" s="66">
        <f t="shared" si="13"/>
        <v>0.32370022150214112</v>
      </c>
      <c r="K22" s="66">
        <f t="shared" si="13"/>
        <v>0.59757286654543518</v>
      </c>
      <c r="L22" s="66">
        <f t="shared" si="13"/>
        <v>0.51682749701007658</v>
      </c>
      <c r="M22" s="66">
        <f t="shared" si="13"/>
        <v>0.47369764176264395</v>
      </c>
      <c r="N22" s="66">
        <f t="shared" si="13"/>
        <v>0.41518313466354068</v>
      </c>
      <c r="O22" s="66">
        <f t="shared" si="13"/>
        <v>0.39226448683762799</v>
      </c>
      <c r="P22" s="66">
        <f t="shared" si="13"/>
        <v>0.50170696640866375</v>
      </c>
      <c r="Q22" s="66">
        <f t="shared" si="13"/>
        <v>0.50287603863846819</v>
      </c>
      <c r="R22" s="66">
        <f t="shared" si="13"/>
        <v>0.51007890086478269</v>
      </c>
      <c r="S22" s="66">
        <f t="shared" si="13"/>
        <v>0.55776362380042932</v>
      </c>
      <c r="T22" s="66">
        <f t="shared" si="13"/>
        <v>0.58190513640420605</v>
      </c>
      <c r="U22" s="66">
        <f t="shared" si="13"/>
        <v>0.50718534280530214</v>
      </c>
      <c r="V22" s="66">
        <f t="shared" si="13"/>
        <v>0.51268912842899306</v>
      </c>
      <c r="W22" s="66">
        <f t="shared" si="13"/>
        <v>0.51517756575487106</v>
      </c>
      <c r="X22" s="66">
        <f t="shared" ref="X22:Y22" si="15">IF(X8=0,0,X8/X$7)</f>
        <v>0.53700143719631888</v>
      </c>
      <c r="Y22" s="66">
        <f t="shared" si="15"/>
        <v>0.53564408542776698</v>
      </c>
      <c r="DA22" s="181"/>
    </row>
    <row r="23" spans="1:105" ht="11.45" customHeight="1" x14ac:dyDescent="0.25">
      <c r="A23" s="57" t="s">
        <v>167</v>
      </c>
      <c r="B23" s="67">
        <f t="shared" si="13"/>
        <v>0</v>
      </c>
      <c r="C23" s="67">
        <f t="shared" si="13"/>
        <v>0</v>
      </c>
      <c r="D23" s="67">
        <f t="shared" si="13"/>
        <v>0</v>
      </c>
      <c r="E23" s="67">
        <f t="shared" si="13"/>
        <v>0</v>
      </c>
      <c r="F23" s="67">
        <f t="shared" si="13"/>
        <v>0</v>
      </c>
      <c r="G23" s="67">
        <f t="shared" si="13"/>
        <v>0</v>
      </c>
      <c r="H23" s="67">
        <f t="shared" si="13"/>
        <v>0</v>
      </c>
      <c r="I23" s="67">
        <f t="shared" si="13"/>
        <v>0.6747867309559058</v>
      </c>
      <c r="J23" s="67">
        <f t="shared" si="13"/>
        <v>0.67629977849785894</v>
      </c>
      <c r="K23" s="67">
        <f t="shared" si="13"/>
        <v>0.40242713345456488</v>
      </c>
      <c r="L23" s="67">
        <f t="shared" si="13"/>
        <v>0.48317250298992348</v>
      </c>
      <c r="M23" s="67">
        <f t="shared" si="13"/>
        <v>0.52630235823735605</v>
      </c>
      <c r="N23" s="67">
        <f t="shared" si="13"/>
        <v>0.58481686533645938</v>
      </c>
      <c r="O23" s="67">
        <f t="shared" si="13"/>
        <v>0.60773551316237207</v>
      </c>
      <c r="P23" s="67">
        <f t="shared" si="13"/>
        <v>0.49829303359133631</v>
      </c>
      <c r="Q23" s="67">
        <f t="shared" si="13"/>
        <v>0.49712396136153186</v>
      </c>
      <c r="R23" s="67">
        <f t="shared" si="13"/>
        <v>0.4899210991352172</v>
      </c>
      <c r="S23" s="67">
        <f t="shared" si="13"/>
        <v>0.44223637619957062</v>
      </c>
      <c r="T23" s="67">
        <f t="shared" si="13"/>
        <v>0.41809486359579406</v>
      </c>
      <c r="U23" s="67">
        <f t="shared" si="13"/>
        <v>0.4928146571946978</v>
      </c>
      <c r="V23" s="67">
        <f t="shared" si="13"/>
        <v>0.487310871571007</v>
      </c>
      <c r="W23" s="67">
        <f t="shared" si="13"/>
        <v>0.48482243424512905</v>
      </c>
      <c r="X23" s="67">
        <f t="shared" ref="X23:Y23" si="16">IF(X9=0,0,X9/X$7)</f>
        <v>0.46299856280368118</v>
      </c>
      <c r="Y23" s="67">
        <f t="shared" si="16"/>
        <v>0.46435591457223296</v>
      </c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  <row r="25" spans="1:105" ht="11.45" customHeight="1" x14ac:dyDescent="0.25">
      <c r="A25" s="18" t="s">
        <v>168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29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61</v>
      </c>
      <c r="B3" s="62">
        <f>SUM(B4,B10)</f>
        <v>0</v>
      </c>
      <c r="C3" s="62">
        <f t="shared" ref="C3:W3" si="0">SUM(C4,C10)</f>
        <v>0</v>
      </c>
      <c r="D3" s="62">
        <f t="shared" si="0"/>
        <v>0</v>
      </c>
      <c r="E3" s="62">
        <f t="shared" si="0"/>
        <v>0</v>
      </c>
      <c r="F3" s="62">
        <f t="shared" si="0"/>
        <v>0</v>
      </c>
      <c r="G3" s="62">
        <f t="shared" si="0"/>
        <v>0</v>
      </c>
      <c r="H3" s="62">
        <f t="shared" si="0"/>
        <v>0</v>
      </c>
      <c r="I3" s="62">
        <f t="shared" si="0"/>
        <v>34.889681857265685</v>
      </c>
      <c r="J3" s="62">
        <f t="shared" si="0"/>
        <v>69.503267411865863</v>
      </c>
      <c r="K3" s="62">
        <f t="shared" si="0"/>
        <v>15.686500429922614</v>
      </c>
      <c r="L3" s="62">
        <f t="shared" si="0"/>
        <v>15.896646603611348</v>
      </c>
      <c r="M3" s="62">
        <f t="shared" si="0"/>
        <v>9.2433361994840926</v>
      </c>
      <c r="N3" s="62">
        <f t="shared" si="0"/>
        <v>14.189595872742911</v>
      </c>
      <c r="O3" s="62">
        <f t="shared" si="0"/>
        <v>41.555288048151333</v>
      </c>
      <c r="P3" s="62">
        <f t="shared" si="0"/>
        <v>80.069905417024927</v>
      </c>
      <c r="Q3" s="62">
        <f t="shared" si="0"/>
        <v>44.595872742906273</v>
      </c>
      <c r="R3" s="62">
        <f t="shared" si="0"/>
        <v>31.419862424763537</v>
      </c>
      <c r="S3" s="62">
        <f t="shared" si="0"/>
        <v>27.899828030954431</v>
      </c>
      <c r="T3" s="62">
        <f t="shared" si="0"/>
        <v>18.094754944110061</v>
      </c>
      <c r="U3" s="62">
        <f t="shared" si="0"/>
        <v>34.201461736887353</v>
      </c>
      <c r="V3" s="62">
        <f t="shared" si="0"/>
        <v>43.104729148753222</v>
      </c>
      <c r="W3" s="62">
        <f t="shared" si="0"/>
        <v>33.949957007738597</v>
      </c>
      <c r="X3" s="62">
        <f t="shared" ref="X3:Y3" si="1">SUM(X4,X10)</f>
        <v>17.110662080825449</v>
      </c>
      <c r="Y3" s="62">
        <f t="shared" si="1"/>
        <v>21.980137575236451</v>
      </c>
      <c r="DA3" s="172" t="s">
        <v>970</v>
      </c>
    </row>
    <row r="4" spans="1:105" ht="11.45" customHeight="1" x14ac:dyDescent="0.25">
      <c r="A4" s="70" t="s">
        <v>166</v>
      </c>
      <c r="B4" s="71">
        <f>SUM(B5:B9)</f>
        <v>0</v>
      </c>
      <c r="C4" s="71">
        <f t="shared" ref="C4:W4" si="2">SUM(C5:C9)</f>
        <v>0</v>
      </c>
      <c r="D4" s="71">
        <f t="shared" si="2"/>
        <v>0</v>
      </c>
      <c r="E4" s="71">
        <f t="shared" si="2"/>
        <v>0</v>
      </c>
      <c r="F4" s="71">
        <f t="shared" si="2"/>
        <v>0</v>
      </c>
      <c r="G4" s="71">
        <f t="shared" si="2"/>
        <v>0</v>
      </c>
      <c r="H4" s="71">
        <f t="shared" si="2"/>
        <v>0</v>
      </c>
      <c r="I4" s="71">
        <f t="shared" si="2"/>
        <v>11.854152342648899</v>
      </c>
      <c r="J4" s="71">
        <f t="shared" si="2"/>
        <v>23.35908251293742</v>
      </c>
      <c r="K4" s="71">
        <f t="shared" si="2"/>
        <v>8.5103188096359013</v>
      </c>
      <c r="L4" s="71">
        <f t="shared" si="2"/>
        <v>7.6422674461692299</v>
      </c>
      <c r="M4" s="71">
        <f t="shared" si="2"/>
        <v>4.1784988868049862</v>
      </c>
      <c r="N4" s="71">
        <f t="shared" si="2"/>
        <v>5.7229650274029815</v>
      </c>
      <c r="O4" s="71">
        <f t="shared" si="2"/>
        <v>15.959211609067909</v>
      </c>
      <c r="P4" s="71">
        <f t="shared" si="2"/>
        <v>36.963624162574739</v>
      </c>
      <c r="Q4" s="71">
        <f t="shared" si="2"/>
        <v>20.887959009968611</v>
      </c>
      <c r="R4" s="71">
        <f t="shared" si="2"/>
        <v>14.855175685770449</v>
      </c>
      <c r="S4" s="71">
        <f t="shared" si="2"/>
        <v>14.093448680983226</v>
      </c>
      <c r="T4" s="71">
        <f t="shared" si="2"/>
        <v>9.3507493654090368</v>
      </c>
      <c r="U4" s="71">
        <f t="shared" si="2"/>
        <v>15.887423460534267</v>
      </c>
      <c r="V4" s="71">
        <f t="shared" si="2"/>
        <v>18.888096165531991</v>
      </c>
      <c r="W4" s="71">
        <f t="shared" si="2"/>
        <v>14.399271907973375</v>
      </c>
      <c r="X4" s="71">
        <f t="shared" ref="X4:Y4" si="3">SUM(X5:X9)</f>
        <v>8.3186219948930891</v>
      </c>
      <c r="Y4" s="71">
        <f t="shared" si="3"/>
        <v>10.754499583499888</v>
      </c>
      <c r="DA4" s="186" t="s">
        <v>971</v>
      </c>
    </row>
    <row r="5" spans="1:105" ht="11.45" customHeight="1" x14ac:dyDescent="0.25">
      <c r="A5" s="72" t="s">
        <v>144</v>
      </c>
      <c r="B5" s="73">
        <v>0</v>
      </c>
      <c r="C5" s="73">
        <v>0</v>
      </c>
      <c r="D5" s="73">
        <v>0</v>
      </c>
      <c r="E5" s="73">
        <v>0</v>
      </c>
      <c r="F5" s="73">
        <v>0</v>
      </c>
      <c r="G5" s="73">
        <v>0</v>
      </c>
      <c r="H5" s="73">
        <v>0</v>
      </c>
      <c r="I5" s="73">
        <v>11.854152342648899</v>
      </c>
      <c r="J5" s="73">
        <v>13.257647933774166</v>
      </c>
      <c r="K5" s="73">
        <v>5.2732874404147951</v>
      </c>
      <c r="L5" s="73">
        <v>7.6422674461692299</v>
      </c>
      <c r="M5" s="73">
        <v>4.1784988868049862</v>
      </c>
      <c r="N5" s="73">
        <v>5.7229650274029815</v>
      </c>
      <c r="O5" s="73">
        <v>15.959211609067909</v>
      </c>
      <c r="P5" s="73">
        <v>36.963624162574739</v>
      </c>
      <c r="Q5" s="73">
        <v>20.887959009968611</v>
      </c>
      <c r="R5" s="73">
        <v>14.855175685770449</v>
      </c>
      <c r="S5" s="73">
        <v>14.093448680983226</v>
      </c>
      <c r="T5" s="73">
        <v>9.3507493654090368</v>
      </c>
      <c r="U5" s="73">
        <v>15.887423460534267</v>
      </c>
      <c r="V5" s="73">
        <v>18.888096165531991</v>
      </c>
      <c r="W5" s="73">
        <v>14.399271907973375</v>
      </c>
      <c r="X5" s="73">
        <v>8.3186219948930891</v>
      </c>
      <c r="Y5" s="73">
        <v>10.754499583499888</v>
      </c>
      <c r="DA5" s="187" t="s">
        <v>972</v>
      </c>
    </row>
    <row r="6" spans="1:105" ht="11.45" customHeight="1" x14ac:dyDescent="0.25">
      <c r="A6" s="72" t="s">
        <v>145</v>
      </c>
      <c r="B6" s="73">
        <v>0</v>
      </c>
      <c r="C6" s="73">
        <v>0</v>
      </c>
      <c r="D6" s="73">
        <v>0</v>
      </c>
      <c r="E6" s="73">
        <v>0</v>
      </c>
      <c r="F6" s="73">
        <v>0</v>
      </c>
      <c r="G6" s="73">
        <v>0</v>
      </c>
      <c r="H6" s="73">
        <v>0</v>
      </c>
      <c r="I6" s="73">
        <v>0</v>
      </c>
      <c r="J6" s="73">
        <v>10.101434579163254</v>
      </c>
      <c r="K6" s="73">
        <v>3.2370313692211052</v>
      </c>
      <c r="L6" s="73">
        <v>0</v>
      </c>
      <c r="M6" s="73">
        <v>0</v>
      </c>
      <c r="N6" s="73">
        <v>0</v>
      </c>
      <c r="O6" s="73">
        <v>0</v>
      </c>
      <c r="P6" s="73">
        <v>0</v>
      </c>
      <c r="Q6" s="73">
        <v>0</v>
      </c>
      <c r="R6" s="73">
        <v>0</v>
      </c>
      <c r="S6" s="73">
        <v>0</v>
      </c>
      <c r="T6" s="73">
        <v>0</v>
      </c>
      <c r="U6" s="73">
        <v>0</v>
      </c>
      <c r="V6" s="73">
        <v>0</v>
      </c>
      <c r="W6" s="73">
        <v>0</v>
      </c>
      <c r="X6" s="73">
        <v>0</v>
      </c>
      <c r="Y6" s="73">
        <v>0</v>
      </c>
      <c r="DA6" s="187" t="s">
        <v>973</v>
      </c>
    </row>
    <row r="7" spans="1:105" ht="11.45" customHeight="1" x14ac:dyDescent="0.25">
      <c r="A7" s="72" t="s">
        <v>146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X7" s="73">
        <v>0</v>
      </c>
      <c r="Y7" s="73">
        <v>0</v>
      </c>
      <c r="DA7" s="187" t="s">
        <v>974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0</v>
      </c>
      <c r="DA8" s="187" t="s">
        <v>975</v>
      </c>
    </row>
    <row r="9" spans="1:105" ht="11.45" customHeight="1" x14ac:dyDescent="0.25">
      <c r="A9" s="74" t="s">
        <v>147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>
        <v>0</v>
      </c>
      <c r="Y9" s="75">
        <v>0</v>
      </c>
      <c r="DA9" s="188" t="s">
        <v>976</v>
      </c>
    </row>
    <row r="10" spans="1:105" ht="11.45" customHeight="1" x14ac:dyDescent="0.25">
      <c r="A10" s="70" t="s">
        <v>167</v>
      </c>
      <c r="B10" s="71">
        <f>SUM(B11:B15)</f>
        <v>0</v>
      </c>
      <c r="C10" s="71">
        <f t="shared" ref="C10:W10" si="4">SUM(C11:C15)</f>
        <v>0</v>
      </c>
      <c r="D10" s="71">
        <f t="shared" si="4"/>
        <v>0</v>
      </c>
      <c r="E10" s="71">
        <f t="shared" si="4"/>
        <v>0</v>
      </c>
      <c r="F10" s="71">
        <f t="shared" si="4"/>
        <v>0</v>
      </c>
      <c r="G10" s="71">
        <f t="shared" si="4"/>
        <v>0</v>
      </c>
      <c r="H10" s="71">
        <f t="shared" si="4"/>
        <v>0</v>
      </c>
      <c r="I10" s="71">
        <f t="shared" si="4"/>
        <v>23.035529514616787</v>
      </c>
      <c r="J10" s="71">
        <f t="shared" si="4"/>
        <v>46.144184898928444</v>
      </c>
      <c r="K10" s="71">
        <f t="shared" si="4"/>
        <v>7.1761816202867115</v>
      </c>
      <c r="L10" s="71">
        <f t="shared" si="4"/>
        <v>8.2543791574421181</v>
      </c>
      <c r="M10" s="71">
        <f t="shared" si="4"/>
        <v>5.0648373126791064</v>
      </c>
      <c r="N10" s="71">
        <f t="shared" si="4"/>
        <v>8.4666308453399299</v>
      </c>
      <c r="O10" s="71">
        <f t="shared" si="4"/>
        <v>25.596076439083422</v>
      </c>
      <c r="P10" s="71">
        <f t="shared" si="4"/>
        <v>43.106281254450188</v>
      </c>
      <c r="Q10" s="71">
        <f t="shared" si="4"/>
        <v>23.707913732937662</v>
      </c>
      <c r="R10" s="71">
        <f t="shared" si="4"/>
        <v>16.564686738993089</v>
      </c>
      <c r="S10" s="71">
        <f t="shared" si="4"/>
        <v>13.806379349971206</v>
      </c>
      <c r="T10" s="71">
        <f t="shared" si="4"/>
        <v>8.7440055787010245</v>
      </c>
      <c r="U10" s="71">
        <f t="shared" si="4"/>
        <v>18.314038276353084</v>
      </c>
      <c r="V10" s="71">
        <f t="shared" si="4"/>
        <v>24.216632983221231</v>
      </c>
      <c r="W10" s="71">
        <f t="shared" si="4"/>
        <v>19.550685099765222</v>
      </c>
      <c r="X10" s="71">
        <f t="shared" ref="X10:Y10" si="5">SUM(X11:X15)</f>
        <v>8.79204008593236</v>
      </c>
      <c r="Y10" s="71">
        <f t="shared" si="5"/>
        <v>11.225637991736564</v>
      </c>
      <c r="DA10" s="186" t="s">
        <v>977</v>
      </c>
    </row>
    <row r="11" spans="1:105" ht="11.45" customHeight="1" x14ac:dyDescent="0.25">
      <c r="A11" s="72" t="s">
        <v>144</v>
      </c>
      <c r="B11" s="73">
        <v>0</v>
      </c>
      <c r="C11" s="73">
        <v>0</v>
      </c>
      <c r="D11" s="73">
        <v>0</v>
      </c>
      <c r="E11" s="73">
        <v>0</v>
      </c>
      <c r="F11" s="73">
        <v>0</v>
      </c>
      <c r="G11" s="73">
        <v>0</v>
      </c>
      <c r="H11" s="73">
        <v>0</v>
      </c>
      <c r="I11" s="73">
        <v>8.68660432115162</v>
      </c>
      <c r="J11" s="73">
        <v>5.2290244651940219</v>
      </c>
      <c r="K11" s="73">
        <v>0.88896535408219424</v>
      </c>
      <c r="L11" s="73">
        <v>3.6551530181471907</v>
      </c>
      <c r="M11" s="73">
        <v>5.0648373126791064</v>
      </c>
      <c r="N11" s="73">
        <v>8.4666308453399299</v>
      </c>
      <c r="O11" s="73">
        <v>25.596076439083422</v>
      </c>
      <c r="P11" s="73">
        <v>43.106281254450188</v>
      </c>
      <c r="Q11" s="73">
        <v>23.707913732937662</v>
      </c>
      <c r="R11" s="73">
        <v>16.564686738993089</v>
      </c>
      <c r="S11" s="73">
        <v>13.806379349971206</v>
      </c>
      <c r="T11" s="73">
        <v>8.7440055787010245</v>
      </c>
      <c r="U11" s="73">
        <v>18.314038276353084</v>
      </c>
      <c r="V11" s="73">
        <v>24.216632983221231</v>
      </c>
      <c r="W11" s="73">
        <v>19.550685099765222</v>
      </c>
      <c r="X11" s="73">
        <v>8.79204008593236</v>
      </c>
      <c r="Y11" s="73">
        <v>11.225637991736564</v>
      </c>
      <c r="DA11" s="187" t="s">
        <v>978</v>
      </c>
    </row>
    <row r="12" spans="1:105" ht="11.45" customHeight="1" x14ac:dyDescent="0.25">
      <c r="A12" s="72" t="s">
        <v>145</v>
      </c>
      <c r="B12" s="73">
        <v>0</v>
      </c>
      <c r="C12" s="73">
        <v>0</v>
      </c>
      <c r="D12" s="73">
        <v>0</v>
      </c>
      <c r="E12" s="73">
        <v>0</v>
      </c>
      <c r="F12" s="73">
        <v>0</v>
      </c>
      <c r="G12" s="73">
        <v>0</v>
      </c>
      <c r="H12" s="73">
        <v>0</v>
      </c>
      <c r="I12" s="73">
        <v>14.348925193465167</v>
      </c>
      <c r="J12" s="73">
        <v>40.915160433734421</v>
      </c>
      <c r="K12" s="73">
        <v>6.287216266204517</v>
      </c>
      <c r="L12" s="73">
        <v>4.5992261392949274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>
        <v>0</v>
      </c>
      <c r="Y12" s="73">
        <v>0</v>
      </c>
      <c r="DA12" s="187" t="s">
        <v>979</v>
      </c>
    </row>
    <row r="13" spans="1:105" ht="11.45" customHeight="1" x14ac:dyDescent="0.25">
      <c r="A13" s="72" t="s">
        <v>146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0</v>
      </c>
      <c r="DA13" s="187" t="s">
        <v>980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0</v>
      </c>
      <c r="DA14" s="187" t="s">
        <v>981</v>
      </c>
    </row>
    <row r="15" spans="1:105" ht="11.45" customHeight="1" x14ac:dyDescent="0.25">
      <c r="A15" s="74" t="s">
        <v>147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>
        <v>0</v>
      </c>
      <c r="Y15" s="75">
        <v>0</v>
      </c>
      <c r="DA15" s="188" t="s">
        <v>982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DA18" s="181"/>
    </row>
    <row r="19" spans="1:105" ht="11.45" customHeight="1" x14ac:dyDescent="0.25">
      <c r="A19" s="53" t="s">
        <v>62</v>
      </c>
      <c r="B19" s="62">
        <f>IF(B3=0,0,B3/MBunk_act!B7*100)</f>
        <v>0</v>
      </c>
      <c r="C19" s="62">
        <f>IF(C3=0,0,C3/MBunk_act!C7*100)</f>
        <v>0</v>
      </c>
      <c r="D19" s="62">
        <f>IF(D3=0,0,D3/MBunk_act!D7*100)</f>
        <v>0</v>
      </c>
      <c r="E19" s="62">
        <f>IF(E3=0,0,E3/MBunk_act!E7*100)</f>
        <v>0</v>
      </c>
      <c r="F19" s="62">
        <f>IF(F3=0,0,F3/MBunk_act!F7*100)</f>
        <v>0</v>
      </c>
      <c r="G19" s="62">
        <f>IF(G3=0,0,G3/MBunk_act!G7*100)</f>
        <v>0</v>
      </c>
      <c r="H19" s="62">
        <f>IF(H3=0,0,H3/MBunk_act!H7*100)</f>
        <v>0</v>
      </c>
      <c r="I19" s="62">
        <f>IF(I3=0,0,I3/MBunk_act!I7*100)</f>
        <v>842.06293198091214</v>
      </c>
      <c r="J19" s="62">
        <f>IF(J3=0,0,J3/MBunk_act!J7*100)</f>
        <v>1469.982101152134</v>
      </c>
      <c r="K19" s="62">
        <f>IF(K3=0,0,K3/MBunk_act!K7*100)</f>
        <v>359.1272070113107</v>
      </c>
      <c r="L19" s="62">
        <f>IF(L3=0,0,L3/MBunk_act!L7*100)</f>
        <v>347.88476684311905</v>
      </c>
      <c r="M19" s="62">
        <f>IF(M3=0,0,M3/MBunk_act!M7*100)</f>
        <v>169.5786647139887</v>
      </c>
      <c r="N19" s="62">
        <f>IF(N3=0,0,N3/MBunk_act!N7*100)</f>
        <v>269.5929936645345</v>
      </c>
      <c r="O19" s="62">
        <f>IF(O3=0,0,O3/MBunk_act!O7*100)</f>
        <v>712.35784523576103</v>
      </c>
      <c r="P19" s="62">
        <f>IF(P3=0,0,P3/MBunk_act!P7*100)</f>
        <v>1464.0526901798817</v>
      </c>
      <c r="Q19" s="62">
        <f>IF(Q3=0,0,Q3/MBunk_act!Q7*100)</f>
        <v>790.79754069182877</v>
      </c>
      <c r="R19" s="62">
        <f>IF(R3=0,0,R3/MBunk_act!R7*100)</f>
        <v>580.96935076970522</v>
      </c>
      <c r="S19" s="62">
        <f>IF(S3=0,0,S3/MBunk_act!S7*100)</f>
        <v>517.11701282744332</v>
      </c>
      <c r="T19" s="62">
        <f>IF(T3=0,0,T3/MBunk_act!T7*100)</f>
        <v>288.65312173302794</v>
      </c>
      <c r="U19" s="62">
        <f>IF(U3=0,0,U3/MBunk_act!U7*100)</f>
        <v>570.83942584165345</v>
      </c>
      <c r="V19" s="62">
        <f>IF(V3=0,0,V3/MBunk_act!V7*100)</f>
        <v>816.48832140185004</v>
      </c>
      <c r="W19" s="62">
        <f>IF(W3=0,0,W3/MBunk_act!W7*100)</f>
        <v>598.80501662966708</v>
      </c>
      <c r="X19" s="62">
        <f>IF(X3=0,0,X3/MBunk_act!X7*100)</f>
        <v>233.07156247152884</v>
      </c>
      <c r="Y19" s="62">
        <f>IF(Y3=0,0,Y3/MBunk_act!Y7*100)</f>
        <v>227.66683223924932</v>
      </c>
      <c r="DA19" s="172" t="s">
        <v>983</v>
      </c>
    </row>
    <row r="20" spans="1:105" ht="11.45" customHeight="1" x14ac:dyDescent="0.25">
      <c r="A20" s="55" t="s">
        <v>166</v>
      </c>
      <c r="B20" s="63">
        <f>IF(B4=0,0,B4/MBunk_act!B8*100)</f>
        <v>0</v>
      </c>
      <c r="C20" s="63">
        <f>IF(C4=0,0,C4/MBunk_act!C8*100)</f>
        <v>0</v>
      </c>
      <c r="D20" s="63">
        <f>IF(D4=0,0,D4/MBunk_act!D8*100)</f>
        <v>0</v>
      </c>
      <c r="E20" s="63">
        <f>IF(E4=0,0,E4/MBunk_act!E8*100)</f>
        <v>0</v>
      </c>
      <c r="F20" s="63">
        <f>IF(F4=0,0,F4/MBunk_act!F8*100)</f>
        <v>0</v>
      </c>
      <c r="G20" s="63">
        <f>IF(G4=0,0,G4/MBunk_act!G8*100)</f>
        <v>0</v>
      </c>
      <c r="H20" s="63">
        <f>IF(H4=0,0,H4/MBunk_act!H8*100)</f>
        <v>0</v>
      </c>
      <c r="I20" s="63">
        <f>IF(I4=0,0,I4/MBunk_act!I8*100)</f>
        <v>879.7307811016085</v>
      </c>
      <c r="J20" s="63">
        <f>IF(J4=0,0,J4/MBunk_act!J8*100)</f>
        <v>1526.2286762541517</v>
      </c>
      <c r="K20" s="63">
        <f>IF(K4=0,0,K4/MBunk_act!K8*100)</f>
        <v>326.04474306590498</v>
      </c>
      <c r="L20" s="63">
        <f>IF(L4=0,0,L4/MBunk_act!L8*100)</f>
        <v>323.59850994788098</v>
      </c>
      <c r="M20" s="63">
        <f>IF(M4=0,0,M4/MBunk_act!M8*100)</f>
        <v>161.83092998317156</v>
      </c>
      <c r="N20" s="63">
        <f>IF(N4=0,0,N4/MBunk_act!N8*100)</f>
        <v>261.89063161665632</v>
      </c>
      <c r="O20" s="63">
        <f>IF(O4=0,0,O4/MBunk_act!O8*100)</f>
        <v>697.43599240595881</v>
      </c>
      <c r="P20" s="63">
        <f>IF(P4=0,0,P4/MBunk_act!P8*100)</f>
        <v>1347.1371281959841</v>
      </c>
      <c r="Q20" s="63">
        <f>IF(Q4=0,0,Q4/MBunk_act!Q8*100)</f>
        <v>736.55588956607062</v>
      </c>
      <c r="R20" s="63">
        <f>IF(R4=0,0,R4/MBunk_act!R8*100)</f>
        <v>538.50454780908444</v>
      </c>
      <c r="S20" s="63">
        <f>IF(S4=0,0,S4/MBunk_act!S8*100)</f>
        <v>468.33260162999767</v>
      </c>
      <c r="T20" s="63">
        <f>IF(T4=0,0,T4/MBunk_act!T8*100)</f>
        <v>256.34082552700647</v>
      </c>
      <c r="U20" s="63">
        <f>IF(U4=0,0,U4/MBunk_act!U8*100)</f>
        <v>522.82466739089455</v>
      </c>
      <c r="V20" s="63">
        <f>IF(V4=0,0,V4/MBunk_act!V8*100)</f>
        <v>697.84526097321691</v>
      </c>
      <c r="W20" s="63">
        <f>IF(W4=0,0,W4/MBunk_act!W8*100)</f>
        <v>492.98055736917803</v>
      </c>
      <c r="X20" s="63">
        <f>IF(X4=0,0,X4/MBunk_act!X8*100)</f>
        <v>211.00775416804504</v>
      </c>
      <c r="Y20" s="63">
        <f>IF(Y4=0,0,Y4/MBunk_act!Y8*100)</f>
        <v>207.96164864699497</v>
      </c>
      <c r="DA20" s="181" t="s">
        <v>984</v>
      </c>
    </row>
    <row r="21" spans="1:105" ht="11.45" customHeight="1" x14ac:dyDescent="0.25">
      <c r="A21" s="57" t="s">
        <v>167</v>
      </c>
      <c r="B21" s="64">
        <f>IF(B10=0,0,B10/MBunk_act!B9*100)</f>
        <v>0</v>
      </c>
      <c r="C21" s="64">
        <f>IF(C10=0,0,C10/MBunk_act!C9*100)</f>
        <v>0</v>
      </c>
      <c r="D21" s="64">
        <f>IF(D10=0,0,D10/MBunk_act!D9*100)</f>
        <v>0</v>
      </c>
      <c r="E21" s="64">
        <f>IF(E10=0,0,E10/MBunk_act!E9*100)</f>
        <v>0</v>
      </c>
      <c r="F21" s="64">
        <f>IF(F10=0,0,F10/MBunk_act!F9*100)</f>
        <v>0</v>
      </c>
      <c r="G21" s="64">
        <f>IF(G10=0,0,G10/MBunk_act!G9*100)</f>
        <v>0</v>
      </c>
      <c r="H21" s="64">
        <f>IF(H10=0,0,H10/MBunk_act!H9*100)</f>
        <v>0</v>
      </c>
      <c r="I21" s="64">
        <f>IF(I10=0,0,I10/MBunk_act!I9*100)</f>
        <v>823.90892303493342</v>
      </c>
      <c r="J21" s="64">
        <f>IF(J10=0,0,J10/MBunk_act!J9*100)</f>
        <v>1443.0605651733702</v>
      </c>
      <c r="K21" s="64">
        <f>IF(K10=0,0,K10/MBunk_act!K9*100)</f>
        <v>408.25208247022164</v>
      </c>
      <c r="L21" s="64">
        <f>IF(L10=0,0,L10/MBunk_act!L9*100)</f>
        <v>373.86266352647255</v>
      </c>
      <c r="M21" s="64">
        <f>IF(M10=0,0,M10/MBunk_act!M9*100)</f>
        <v>176.55200164388984</v>
      </c>
      <c r="N21" s="64">
        <f>IF(N10=0,0,N10/MBunk_act!N9*100)</f>
        <v>275.06118551893968</v>
      </c>
      <c r="O21" s="64">
        <f>IF(O10=0,0,O10/MBunk_act!O9*100)</f>
        <v>721.98919442661384</v>
      </c>
      <c r="P21" s="64">
        <f>IF(P10=0,0,P10/MBunk_act!P9*100)</f>
        <v>1581.7692705345082</v>
      </c>
      <c r="Q21" s="64">
        <f>IF(Q10=0,0,Q10/MBunk_act!Q9*100)</f>
        <v>845.66680624206469</v>
      </c>
      <c r="R21" s="64">
        <f>IF(R10=0,0,R10/MBunk_act!R9*100)</f>
        <v>625.18136788394429</v>
      </c>
      <c r="S21" s="64">
        <f>IF(S10=0,0,S10/MBunk_act!S9*100)</f>
        <v>578.64557863266373</v>
      </c>
      <c r="T21" s="64">
        <f>IF(T10=0,0,T10/MBunk_act!T9*100)</f>
        <v>333.62543009765801</v>
      </c>
      <c r="U21" s="64">
        <f>IF(U10=0,0,U10/MBunk_act!U9*100)</f>
        <v>620.25431512921148</v>
      </c>
      <c r="V21" s="64">
        <f>IF(V10=0,0,V10/MBunk_act!V9*100)</f>
        <v>941.31009492233022</v>
      </c>
      <c r="W21" s="64">
        <f>IF(W10=0,0,W10/MBunk_act!W9*100)</f>
        <v>711.25523235458422</v>
      </c>
      <c r="X21" s="64">
        <f>IF(X10=0,0,X10/MBunk_act!X9*100)</f>
        <v>258.66191570555981</v>
      </c>
      <c r="Y21" s="64">
        <f>IF(Y10=0,0,Y10/MBunk_act!Y9*100)</f>
        <v>250.39716626155331</v>
      </c>
      <c r="DA21" s="182" t="s">
        <v>985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DA22" s="181"/>
    </row>
    <row r="23" spans="1:105" ht="11.45" customHeight="1" x14ac:dyDescent="0.25">
      <c r="A23" s="53" t="s">
        <v>63</v>
      </c>
      <c r="B23" s="62">
        <f>IF(B3=0,0,B3/MBunk_act!B3*1000)</f>
        <v>0</v>
      </c>
      <c r="C23" s="62">
        <f>IF(C3=0,0,C3/MBunk_act!C3*1000)</f>
        <v>0</v>
      </c>
      <c r="D23" s="62">
        <f>IF(D3=0,0,D3/MBunk_act!D3*1000)</f>
        <v>0</v>
      </c>
      <c r="E23" s="62">
        <f>IF(E3=0,0,E3/MBunk_act!E3*1000)</f>
        <v>0</v>
      </c>
      <c r="F23" s="62">
        <f>IF(F3=0,0,F3/MBunk_act!F3*1000)</f>
        <v>0</v>
      </c>
      <c r="G23" s="62">
        <f>IF(G3=0,0,G3/MBunk_act!G3*1000)</f>
        <v>0</v>
      </c>
      <c r="H23" s="62">
        <f>IF(H3=0,0,H3/MBunk_act!H3*1000)</f>
        <v>0</v>
      </c>
      <c r="I23" s="62">
        <f>IF(I3=0,0,I3/MBunk_act!I3*1000)</f>
        <v>0.40920592008683193</v>
      </c>
      <c r="J23" s="62">
        <f>IF(J3=0,0,J3/MBunk_act!J3*1000)</f>
        <v>0.66575991806437851</v>
      </c>
      <c r="K23" s="62">
        <f>IF(K3=0,0,K3/MBunk_act!K3*1000)</f>
        <v>0.24880134732298639</v>
      </c>
      <c r="L23" s="62">
        <f>IF(L3=0,0,L3/MBunk_act!L3*1000)</f>
        <v>0.19788750858244608</v>
      </c>
      <c r="M23" s="62">
        <f>IF(M3=0,0,M3/MBunk_act!M3*1000)</f>
        <v>0.1149316852510032</v>
      </c>
      <c r="N23" s="62">
        <f>IF(N3=0,0,N3/MBunk_act!N3*1000)</f>
        <v>0.1547855813774173</v>
      </c>
      <c r="O23" s="62">
        <f>IF(O3=0,0,O3/MBunk_act!O3*1000)</f>
        <v>0.38465265931619858</v>
      </c>
      <c r="P23" s="62">
        <f>IF(P3=0,0,P3/MBunk_act!P3*1000)</f>
        <v>0.88804021501823516</v>
      </c>
      <c r="Q23" s="62">
        <f>IF(Q3=0,0,Q3/MBunk_act!Q3*1000)</f>
        <v>0.45076364623945997</v>
      </c>
      <c r="R23" s="62">
        <f>IF(R3=0,0,R3/MBunk_act!R3*1000)</f>
        <v>0.32640198001517529</v>
      </c>
      <c r="S23" s="62">
        <f>IF(S3=0,0,S3/MBunk_act!S3*1000)</f>
        <v>0.30447433753066427</v>
      </c>
      <c r="T23" s="62">
        <f>IF(T3=0,0,T3/MBunk_act!T3*1000)</f>
        <v>0.17689885618800674</v>
      </c>
      <c r="U23" s="62">
        <f>IF(U3=0,0,U3/MBunk_act!U3*1000)</f>
        <v>0.30758063225924415</v>
      </c>
      <c r="V23" s="62">
        <f>IF(V3=0,0,V3/MBunk_act!V3*1000)</f>
        <v>0.46047372904450606</v>
      </c>
      <c r="W23" s="62">
        <f>IF(W3=0,0,W3/MBunk_act!W3*1000)</f>
        <v>0.3085595191121398</v>
      </c>
      <c r="X23" s="62">
        <f>IF(X3=0,0,X3/MBunk_act!X3*1000)</f>
        <v>0.14211683440390754</v>
      </c>
      <c r="Y23" s="62">
        <f>IF(Y3=0,0,Y3/MBunk_act!Y3*1000)</f>
        <v>0.12616835690358943</v>
      </c>
      <c r="DA23" s="172" t="s">
        <v>432</v>
      </c>
    </row>
    <row r="24" spans="1:105" ht="11.45" customHeight="1" x14ac:dyDescent="0.25">
      <c r="A24" s="55" t="s">
        <v>166</v>
      </c>
      <c r="B24" s="63">
        <f>IF(B4=0,0,B4/MBunk_act!B4*1000)</f>
        <v>0</v>
      </c>
      <c r="C24" s="63">
        <f>IF(C4=0,0,C4/MBunk_act!C4*1000)</f>
        <v>0</v>
      </c>
      <c r="D24" s="63">
        <f>IF(D4=0,0,D4/MBunk_act!D4*1000)</f>
        <v>0</v>
      </c>
      <c r="E24" s="63">
        <f>IF(E4=0,0,E4/MBunk_act!E4*1000)</f>
        <v>0</v>
      </c>
      <c r="F24" s="63">
        <f>IF(F4=0,0,F4/MBunk_act!F4*1000)</f>
        <v>0</v>
      </c>
      <c r="G24" s="63">
        <f>IF(G4=0,0,G4/MBunk_act!G4*1000)</f>
        <v>0</v>
      </c>
      <c r="H24" s="63">
        <f>IF(H4=0,0,H4/MBunk_act!H4*1000)</f>
        <v>0</v>
      </c>
      <c r="I24" s="63">
        <f>IF(I4=0,0,I4/MBunk_act!I4*1000)</f>
        <v>1.2234338421974769</v>
      </c>
      <c r="J24" s="63">
        <f>IF(J4=0,0,J4/MBunk_act!J4*1000)</f>
        <v>2.0479773891309807</v>
      </c>
      <c r="K24" s="63">
        <f>IF(K4=0,0,K4/MBunk_act!K4*1000)</f>
        <v>0.44810656847752167</v>
      </c>
      <c r="L24" s="63">
        <f>IF(L4=0,0,L4/MBunk_act!L4*1000)</f>
        <v>0.44214596631268754</v>
      </c>
      <c r="M24" s="63">
        <f>IF(M4=0,0,M4/MBunk_act!M4*1000)</f>
        <v>0.27447034741943338</v>
      </c>
      <c r="N24" s="63">
        <f>IF(N4=0,0,N4/MBunk_act!N4*1000)</f>
        <v>0.42706398328815315</v>
      </c>
      <c r="O24" s="63">
        <f>IF(O4=0,0,O4/MBunk_act!O4*1000)</f>
        <v>1.0970240332446624</v>
      </c>
      <c r="P24" s="63">
        <f>IF(P4=0,0,P4/MBunk_act!P4*1000)</f>
        <v>2.0914701486414029</v>
      </c>
      <c r="Q24" s="63">
        <f>IF(Q4=0,0,Q4/MBunk_act!Q4*1000)</f>
        <v>1.0515526132671613</v>
      </c>
      <c r="R24" s="63">
        <f>IF(R4=0,0,R4/MBunk_act!R4*1000)</f>
        <v>0.73881668766104047</v>
      </c>
      <c r="S24" s="63">
        <f>IF(S4=0,0,S4/MBunk_act!S4*1000)</f>
        <v>0.63023182409364242</v>
      </c>
      <c r="T24" s="63">
        <f>IF(T4=0,0,T4/MBunk_act!T4*1000)</f>
        <v>0.34961994188664647</v>
      </c>
      <c r="U24" s="63">
        <f>IF(U4=0,0,U4/MBunk_act!U4*1000)</f>
        <v>0.7281757412999792</v>
      </c>
      <c r="V24" s="63">
        <f>IF(V4=0,0,V4/MBunk_act!V4*1000)</f>
        <v>0.91231088097521007</v>
      </c>
      <c r="W24" s="63">
        <f>IF(W4=0,0,W4/MBunk_act!W4*1000)</f>
        <v>0.65329904934088123</v>
      </c>
      <c r="X24" s="63">
        <f>IF(X4=0,0,X4/MBunk_act!X4*1000)</f>
        <v>0.29302094622800062</v>
      </c>
      <c r="Y24" s="63">
        <f>IF(Y4=0,0,Y4/MBunk_act!Y4*1000)</f>
        <v>0.26871761857855886</v>
      </c>
      <c r="DA24" s="181" t="s">
        <v>433</v>
      </c>
    </row>
    <row r="25" spans="1:105" ht="11.45" customHeight="1" x14ac:dyDescent="0.25">
      <c r="A25" s="57" t="s">
        <v>167</v>
      </c>
      <c r="B25" s="64">
        <f>IF(B10=0,0,B10/MBunk_act!B5*1000)</f>
        <v>0</v>
      </c>
      <c r="C25" s="64">
        <f>IF(C10=0,0,C10/MBunk_act!C5*1000)</f>
        <v>0</v>
      </c>
      <c r="D25" s="64">
        <f>IF(D10=0,0,D10/MBunk_act!D5*1000)</f>
        <v>0</v>
      </c>
      <c r="E25" s="64">
        <f>IF(E10=0,0,E10/MBunk_act!E5*1000)</f>
        <v>0</v>
      </c>
      <c r="F25" s="64">
        <f>IF(F10=0,0,F10/MBunk_act!F5*1000)</f>
        <v>0</v>
      </c>
      <c r="G25" s="64">
        <f>IF(G10=0,0,G10/MBunk_act!G5*1000)</f>
        <v>0</v>
      </c>
      <c r="H25" s="64">
        <f>IF(H10=0,0,H10/MBunk_act!H5*1000)</f>
        <v>0</v>
      </c>
      <c r="I25" s="64">
        <f>IF(I10=0,0,I10/MBunk_act!I5*1000)</f>
        <v>0.30481295599946606</v>
      </c>
      <c r="J25" s="64">
        <f>IF(J10=0,0,J10/MBunk_act!J5*1000)</f>
        <v>0.49622223521832576</v>
      </c>
      <c r="K25" s="64">
        <f>IF(K10=0,0,K10/MBunk_act!K5*1000)</f>
        <v>0.16288563963859612</v>
      </c>
      <c r="L25" s="64">
        <f>IF(L10=0,0,L10/MBunk_act!L5*1000)</f>
        <v>0.13092371169033909</v>
      </c>
      <c r="M25" s="64">
        <f>IF(M10=0,0,M10/MBunk_act!M5*1000)</f>
        <v>7.7680661085174893E-2</v>
      </c>
      <c r="N25" s="64">
        <f>IF(N10=0,0,N10/MBunk_act!N5*1000)</f>
        <v>0.10816951702830827</v>
      </c>
      <c r="O25" s="64">
        <f>IF(O10=0,0,O10/MBunk_act!O5*1000)</f>
        <v>0.27379715115660158</v>
      </c>
      <c r="P25" s="64">
        <f>IF(P10=0,0,P10/MBunk_act!P5*1000)</f>
        <v>0.59464143899001232</v>
      </c>
      <c r="Q25" s="64">
        <f>IF(Q10=0,0,Q10/MBunk_act!Q5*1000)</f>
        <v>0.29983401516832009</v>
      </c>
      <c r="R25" s="64">
        <f>IF(R10=0,0,R10/MBunk_act!R5*1000)</f>
        <v>0.21751411905835419</v>
      </c>
      <c r="S25" s="64">
        <f>IF(S10=0,0,S10/MBunk_act!S5*1000)</f>
        <v>0.1993112441452875</v>
      </c>
      <c r="T25" s="64">
        <f>IF(T10=0,0,T10/MBunk_act!T5*1000)</f>
        <v>0.11574835867247353</v>
      </c>
      <c r="U25" s="64">
        <f>IF(U10=0,0,U10/MBunk_act!U5*1000)</f>
        <v>0.20490775062599584</v>
      </c>
      <c r="V25" s="64">
        <f>IF(V10=0,0,V10/MBunk_act!V5*1000)</f>
        <v>0.33216261852384599</v>
      </c>
      <c r="W25" s="64">
        <f>IF(W10=0,0,W10/MBunk_act!W5*1000)</f>
        <v>0.22220122422618785</v>
      </c>
      <c r="X25" s="64">
        <f>IF(X10=0,0,X10/MBunk_act!X5*1000)</f>
        <v>9.5555903057237393E-2</v>
      </c>
      <c r="Y25" s="64">
        <f>IF(Y10=0,0,Y10/MBunk_act!Y5*1000)</f>
        <v>8.3654058260722169E-2</v>
      </c>
      <c r="DA25" s="182" t="s">
        <v>434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DA26" s="181"/>
    </row>
    <row r="27" spans="1:105" ht="11.45" customHeight="1" x14ac:dyDescent="0.25">
      <c r="A27" s="53" t="s">
        <v>40</v>
      </c>
      <c r="B27" s="76">
        <f>IF(B3=0,0,B3/B$3)</f>
        <v>0</v>
      </c>
      <c r="C27" s="76">
        <f t="shared" ref="C27:W28" si="6">IF(C3=0,0,C3/C$3)</f>
        <v>0</v>
      </c>
      <c r="D27" s="76">
        <f t="shared" si="6"/>
        <v>0</v>
      </c>
      <c r="E27" s="76">
        <f t="shared" si="6"/>
        <v>0</v>
      </c>
      <c r="F27" s="76">
        <f t="shared" si="6"/>
        <v>0</v>
      </c>
      <c r="G27" s="76">
        <f t="shared" si="6"/>
        <v>0</v>
      </c>
      <c r="H27" s="76">
        <f t="shared" si="6"/>
        <v>0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si="6"/>
        <v>1</v>
      </c>
      <c r="W27" s="76">
        <f t="shared" si="6"/>
        <v>1</v>
      </c>
      <c r="X27" s="76">
        <f t="shared" ref="X27:Y27" si="7">IF(X3=0,0,X3/X$3)</f>
        <v>1</v>
      </c>
      <c r="Y27" s="76">
        <f t="shared" si="7"/>
        <v>1</v>
      </c>
      <c r="DA27" s="183"/>
    </row>
    <row r="28" spans="1:105" ht="11.45" customHeight="1" x14ac:dyDescent="0.25">
      <c r="A28" s="55" t="s">
        <v>166</v>
      </c>
      <c r="B28" s="77">
        <f>IF(B4=0,0,B4/B$3)</f>
        <v>0</v>
      </c>
      <c r="C28" s="77">
        <f t="shared" si="6"/>
        <v>0</v>
      </c>
      <c r="D28" s="77">
        <f t="shared" si="6"/>
        <v>0</v>
      </c>
      <c r="E28" s="77">
        <f t="shared" si="6"/>
        <v>0</v>
      </c>
      <c r="F28" s="77">
        <f t="shared" si="6"/>
        <v>0</v>
      </c>
      <c r="G28" s="77">
        <f t="shared" si="6"/>
        <v>0</v>
      </c>
      <c r="H28" s="77">
        <f t="shared" si="6"/>
        <v>0</v>
      </c>
      <c r="I28" s="77">
        <f t="shared" si="6"/>
        <v>0.3397609754982705</v>
      </c>
      <c r="J28" s="77">
        <f t="shared" si="6"/>
        <v>0.33608610620440366</v>
      </c>
      <c r="K28" s="77">
        <f t="shared" si="6"/>
        <v>0.54252501044797319</v>
      </c>
      <c r="L28" s="77">
        <f t="shared" si="6"/>
        <v>0.48074714351598435</v>
      </c>
      <c r="M28" s="77">
        <f t="shared" si="6"/>
        <v>0.45205527491666969</v>
      </c>
      <c r="N28" s="77">
        <f t="shared" si="6"/>
        <v>0.40332121356580308</v>
      </c>
      <c r="O28" s="77">
        <f t="shared" si="6"/>
        <v>0.38404767139564766</v>
      </c>
      <c r="P28" s="77">
        <f t="shared" si="6"/>
        <v>0.46164191115324232</v>
      </c>
      <c r="Q28" s="77">
        <f t="shared" si="6"/>
        <v>0.46838323201761295</v>
      </c>
      <c r="R28" s="77">
        <f t="shared" si="6"/>
        <v>0.47279569480426353</v>
      </c>
      <c r="S28" s="77">
        <f t="shared" si="6"/>
        <v>0.50514464337725529</v>
      </c>
      <c r="T28" s="77">
        <f t="shared" si="6"/>
        <v>0.51676573649607538</v>
      </c>
      <c r="U28" s="77">
        <f t="shared" si="6"/>
        <v>0.46452469145197911</v>
      </c>
      <c r="V28" s="77">
        <f t="shared" si="6"/>
        <v>0.4381908096522239</v>
      </c>
      <c r="W28" s="77">
        <f t="shared" si="6"/>
        <v>0.42413225750745981</v>
      </c>
      <c r="X28" s="77">
        <f t="shared" ref="X28:Y28" si="8">IF(X4=0,0,X4/X$3)</f>
        <v>0.48616599145015571</v>
      </c>
      <c r="Y28" s="77">
        <f t="shared" si="8"/>
        <v>0.48928263286287443</v>
      </c>
      <c r="DA28" s="184"/>
    </row>
    <row r="29" spans="1:105" ht="11.45" customHeight="1" x14ac:dyDescent="0.25">
      <c r="A29" s="57" t="s">
        <v>167</v>
      </c>
      <c r="B29" s="78">
        <f>IF(B10=0,0,B10/B$3)</f>
        <v>0</v>
      </c>
      <c r="C29" s="78">
        <f t="shared" ref="C29:W29" si="9">IF(C10=0,0,C10/C$3)</f>
        <v>0</v>
      </c>
      <c r="D29" s="78">
        <f t="shared" si="9"/>
        <v>0</v>
      </c>
      <c r="E29" s="78">
        <f t="shared" si="9"/>
        <v>0</v>
      </c>
      <c r="F29" s="78">
        <f t="shared" si="9"/>
        <v>0</v>
      </c>
      <c r="G29" s="78">
        <f t="shared" si="9"/>
        <v>0</v>
      </c>
      <c r="H29" s="78">
        <f t="shared" si="9"/>
        <v>0</v>
      </c>
      <c r="I29" s="78">
        <f t="shared" si="9"/>
        <v>0.66023902450172955</v>
      </c>
      <c r="J29" s="78">
        <f t="shared" si="9"/>
        <v>0.66391389379559629</v>
      </c>
      <c r="K29" s="78">
        <f t="shared" si="9"/>
        <v>0.45747498955202681</v>
      </c>
      <c r="L29" s="78">
        <f t="shared" si="9"/>
        <v>0.51925285648401565</v>
      </c>
      <c r="M29" s="78">
        <f t="shared" si="9"/>
        <v>0.54794472508333036</v>
      </c>
      <c r="N29" s="78">
        <f t="shared" si="9"/>
        <v>0.59667878643419692</v>
      </c>
      <c r="O29" s="78">
        <f t="shared" si="9"/>
        <v>0.61595232860435223</v>
      </c>
      <c r="P29" s="78">
        <f t="shared" si="9"/>
        <v>0.53835808884675762</v>
      </c>
      <c r="Q29" s="78">
        <f t="shared" si="9"/>
        <v>0.531616767982387</v>
      </c>
      <c r="R29" s="78">
        <f t="shared" si="9"/>
        <v>0.52720430519573647</v>
      </c>
      <c r="S29" s="78">
        <f t="shared" si="9"/>
        <v>0.49485535662274477</v>
      </c>
      <c r="T29" s="78">
        <f t="shared" si="9"/>
        <v>0.48323426350392462</v>
      </c>
      <c r="U29" s="78">
        <f t="shared" si="9"/>
        <v>0.53547530854802083</v>
      </c>
      <c r="V29" s="78">
        <f t="shared" si="9"/>
        <v>0.5618091903477761</v>
      </c>
      <c r="W29" s="78">
        <f t="shared" si="9"/>
        <v>0.57586774249254025</v>
      </c>
      <c r="X29" s="78">
        <f t="shared" ref="X29:Y29" si="10">IF(X10=0,0,X10/X$3)</f>
        <v>0.51383400854984429</v>
      </c>
      <c r="Y29" s="78">
        <f t="shared" si="10"/>
        <v>0.51071736713712557</v>
      </c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23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986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44</v>
      </c>
      <c r="B3" s="62">
        <f t="shared" ref="B3" si="0">SUM(B4:B5)</f>
        <v>0</v>
      </c>
      <c r="C3" s="62">
        <f t="shared" ref="C3:W3" si="1">SUM(C4:C5)</f>
        <v>0</v>
      </c>
      <c r="D3" s="62">
        <f t="shared" si="1"/>
        <v>0</v>
      </c>
      <c r="E3" s="62">
        <f t="shared" si="1"/>
        <v>0</v>
      </c>
      <c r="F3" s="62">
        <f t="shared" si="1"/>
        <v>0</v>
      </c>
      <c r="G3" s="62">
        <f t="shared" si="1"/>
        <v>0</v>
      </c>
      <c r="H3" s="62">
        <f t="shared" si="1"/>
        <v>0</v>
      </c>
      <c r="I3" s="62">
        <f t="shared" si="1"/>
        <v>110.08075464000001</v>
      </c>
      <c r="J3" s="62">
        <f t="shared" si="1"/>
        <v>222.53275980000001</v>
      </c>
      <c r="K3" s="62">
        <f t="shared" si="1"/>
        <v>49.837844879999999</v>
      </c>
      <c r="L3" s="62">
        <f t="shared" si="1"/>
        <v>49.809343679999998</v>
      </c>
      <c r="M3" s="62">
        <f t="shared" si="1"/>
        <v>28.6767</v>
      </c>
      <c r="N3" s="62">
        <f t="shared" si="1"/>
        <v>44.022069000000023</v>
      </c>
      <c r="O3" s="62">
        <f t="shared" si="1"/>
        <v>128.92190687999997</v>
      </c>
      <c r="P3" s="62">
        <f t="shared" si="1"/>
        <v>248.41037987999997</v>
      </c>
      <c r="Q3" s="62">
        <f t="shared" si="1"/>
        <v>138.35507399999997</v>
      </c>
      <c r="R3" s="62">
        <f t="shared" si="1"/>
        <v>97.477571879999999</v>
      </c>
      <c r="S3" s="62">
        <f t="shared" si="1"/>
        <v>86.556951000000026</v>
      </c>
      <c r="T3" s="62">
        <f t="shared" si="1"/>
        <v>56.137507920000004</v>
      </c>
      <c r="U3" s="62">
        <f t="shared" si="1"/>
        <v>106.10725787999998</v>
      </c>
      <c r="V3" s="62">
        <f t="shared" si="1"/>
        <v>133.72892208000002</v>
      </c>
      <c r="W3" s="62">
        <f t="shared" si="1"/>
        <v>105.32698487999997</v>
      </c>
      <c r="X3" s="62">
        <f t="shared" ref="X3:Y3" si="2">SUM(X4:X5)</f>
        <v>53.084439719999992</v>
      </c>
      <c r="Y3" s="62">
        <f t="shared" si="2"/>
        <v>68.191592039999989</v>
      </c>
      <c r="DA3" s="172" t="s">
        <v>987</v>
      </c>
    </row>
    <row r="4" spans="1:105" ht="11.45" customHeight="1" x14ac:dyDescent="0.25">
      <c r="A4" s="55" t="s">
        <v>166</v>
      </c>
      <c r="B4" s="63">
        <v>0</v>
      </c>
      <c r="C4" s="63">
        <v>0</v>
      </c>
      <c r="D4" s="63">
        <v>0</v>
      </c>
      <c r="E4" s="63">
        <v>0</v>
      </c>
      <c r="F4" s="63">
        <v>0</v>
      </c>
      <c r="G4" s="63">
        <v>0</v>
      </c>
      <c r="H4" s="63">
        <v>0</v>
      </c>
      <c r="I4" s="63">
        <v>36.776545085897986</v>
      </c>
      <c r="J4" s="63">
        <v>73.836771104118128</v>
      </c>
      <c r="K4" s="63">
        <v>26.800819210707395</v>
      </c>
      <c r="L4" s="63">
        <v>23.70951419962341</v>
      </c>
      <c r="M4" s="63">
        <v>12.963453502202862</v>
      </c>
      <c r="N4" s="63">
        <v>17.755034292757529</v>
      </c>
      <c r="O4" s="63">
        <v>49.512158129150528</v>
      </c>
      <c r="P4" s="63">
        <v>114.67664251810612</v>
      </c>
      <c r="Q4" s="63">
        <v>64.803196726156003</v>
      </c>
      <c r="R4" s="63">
        <v>46.086976324837146</v>
      </c>
      <c r="S4" s="63">
        <v>43.723780144717566</v>
      </c>
      <c r="T4" s="63">
        <v>29.009940625333069</v>
      </c>
      <c r="U4" s="63">
        <v>49.289441227522573</v>
      </c>
      <c r="V4" s="63">
        <v>58.598784640154364</v>
      </c>
      <c r="W4" s="63">
        <v>44.672571873608469</v>
      </c>
      <c r="X4" s="63">
        <v>25.807849267049825</v>
      </c>
      <c r="Y4" s="63">
        <v>33.364961692442222</v>
      </c>
      <c r="DA4" s="181" t="s">
        <v>988</v>
      </c>
    </row>
    <row r="5" spans="1:105" ht="11.45" customHeight="1" x14ac:dyDescent="0.25">
      <c r="A5" s="57" t="s">
        <v>167</v>
      </c>
      <c r="B5" s="64">
        <v>0</v>
      </c>
      <c r="C5" s="64">
        <v>0</v>
      </c>
      <c r="D5" s="64">
        <v>0</v>
      </c>
      <c r="E5" s="64">
        <v>0</v>
      </c>
      <c r="F5" s="64">
        <v>0</v>
      </c>
      <c r="G5" s="64">
        <v>0</v>
      </c>
      <c r="H5" s="64">
        <v>0</v>
      </c>
      <c r="I5" s="64">
        <v>73.304209554102016</v>
      </c>
      <c r="J5" s="64">
        <v>148.69598869588188</v>
      </c>
      <c r="K5" s="64">
        <v>23.037025669292603</v>
      </c>
      <c r="L5" s="64">
        <v>26.099829480376588</v>
      </c>
      <c r="M5" s="64">
        <v>15.713246497797138</v>
      </c>
      <c r="N5" s="64">
        <v>26.267034707242495</v>
      </c>
      <c r="O5" s="64">
        <v>79.409748750849445</v>
      </c>
      <c r="P5" s="64">
        <v>133.73373736189384</v>
      </c>
      <c r="Q5" s="64">
        <v>73.551877273843971</v>
      </c>
      <c r="R5" s="64">
        <v>51.390595555162847</v>
      </c>
      <c r="S5" s="64">
        <v>42.833170855282454</v>
      </c>
      <c r="T5" s="64">
        <v>27.127567294666939</v>
      </c>
      <c r="U5" s="64">
        <v>56.817816652477404</v>
      </c>
      <c r="V5" s="64">
        <v>75.13013743984564</v>
      </c>
      <c r="W5" s="64">
        <v>60.654413006391508</v>
      </c>
      <c r="X5" s="64">
        <v>27.276590452950167</v>
      </c>
      <c r="Y5" s="64">
        <v>34.82663034755776</v>
      </c>
      <c r="DA5" s="182" t="s">
        <v>989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DA8" s="181"/>
    </row>
    <row r="9" spans="1:105" ht="11.45" customHeight="1" x14ac:dyDescent="0.25">
      <c r="A9" s="53" t="s">
        <v>148</v>
      </c>
      <c r="B9" s="79">
        <f>IF(B3=0,0,B3/MBunk_ene!B3)</f>
        <v>0</v>
      </c>
      <c r="C9" s="79">
        <f>IF(C3=0,0,C3/MBunk_ene!C3)</f>
        <v>0</v>
      </c>
      <c r="D9" s="79">
        <f>IF(D3=0,0,D3/MBunk_ene!D3)</f>
        <v>0</v>
      </c>
      <c r="E9" s="79">
        <f>IF(E3=0,0,E3/MBunk_ene!E3)</f>
        <v>0</v>
      </c>
      <c r="F9" s="79">
        <f>IF(F3=0,0,F3/MBunk_ene!F3)</f>
        <v>0</v>
      </c>
      <c r="G9" s="79">
        <f>IF(G3=0,0,G3/MBunk_ene!G3)</f>
        <v>0</v>
      </c>
      <c r="H9" s="79">
        <f>IF(H3=0,0,H3/MBunk_ene!H3)</f>
        <v>0</v>
      </c>
      <c r="I9" s="79">
        <f>IF(I3=0,0,I3/MBunk_ene!I3)</f>
        <v>3.1551091549169854</v>
      </c>
      <c r="J9" s="79">
        <f>IF(J3=0,0,J3/MBunk_ene!J3)</f>
        <v>3.2017596882360149</v>
      </c>
      <c r="K9" s="79">
        <f>IF(K3=0,0,K3/MBunk_ene!K3)</f>
        <v>3.1771168529681968</v>
      </c>
      <c r="L9" s="79">
        <f>IF(L3=0,0,L3/MBunk_ene!L3)</f>
        <v>3.1333239595755042</v>
      </c>
      <c r="M9" s="79">
        <f>IF(M3=0,0,M3/MBunk_ene!M3)</f>
        <v>3.1024188000000001</v>
      </c>
      <c r="N9" s="79">
        <f>IF(N3=0,0,N3/MBunk_ene!N3)</f>
        <v>3.1024188000000006</v>
      </c>
      <c r="O9" s="79">
        <f>IF(O3=0,0,O3/MBunk_ene!O3)</f>
        <v>3.1024187999999993</v>
      </c>
      <c r="P9" s="79">
        <f>IF(P3=0,0,P3/MBunk_ene!P3)</f>
        <v>3.1024187999999997</v>
      </c>
      <c r="Q9" s="79">
        <f>IF(Q3=0,0,Q3/MBunk_ene!Q3)</f>
        <v>3.1024187999999997</v>
      </c>
      <c r="R9" s="79">
        <f>IF(R3=0,0,R3/MBunk_ene!R3)</f>
        <v>3.1024188000000006</v>
      </c>
      <c r="S9" s="79">
        <f>IF(S3=0,0,S3/MBunk_ene!S3)</f>
        <v>3.1024188000000006</v>
      </c>
      <c r="T9" s="79">
        <f>IF(T3=0,0,T3/MBunk_ene!T3)</f>
        <v>3.1024188000000001</v>
      </c>
      <c r="U9" s="79">
        <f>IF(U3=0,0,U3/MBunk_ene!U3)</f>
        <v>3.1024188000000001</v>
      </c>
      <c r="V9" s="79">
        <f>IF(V3=0,0,V3/MBunk_ene!V3)</f>
        <v>3.1024188000000006</v>
      </c>
      <c r="W9" s="79">
        <f>IF(W3=0,0,W3/MBunk_ene!W3)</f>
        <v>3.1024188000000001</v>
      </c>
      <c r="X9" s="79">
        <f>IF(X3=0,0,X3/MBunk_ene!X3)</f>
        <v>3.1024188000000001</v>
      </c>
      <c r="Y9" s="79">
        <f>IF(Y3=0,0,Y3/MBunk_ene!Y3)</f>
        <v>3.1024188000000001</v>
      </c>
      <c r="DA9" s="172"/>
    </row>
    <row r="10" spans="1:105" ht="11.45" customHeight="1" x14ac:dyDescent="0.25">
      <c r="A10" s="55" t="s">
        <v>166</v>
      </c>
      <c r="B10" s="80">
        <f>IF(B4=0,0,B4/MBunk_ene!B4)</f>
        <v>0</v>
      </c>
      <c r="C10" s="80">
        <f>IF(C4=0,0,C4/MBunk_ene!C4)</f>
        <v>0</v>
      </c>
      <c r="D10" s="80">
        <f>IF(D4=0,0,D4/MBunk_ene!D4)</f>
        <v>0</v>
      </c>
      <c r="E10" s="80">
        <f>IF(E4=0,0,E4/MBunk_ene!E4)</f>
        <v>0</v>
      </c>
      <c r="F10" s="80">
        <f>IF(F4=0,0,F4/MBunk_ene!F4)</f>
        <v>0</v>
      </c>
      <c r="G10" s="80">
        <f>IF(G4=0,0,G4/MBunk_ene!G4)</f>
        <v>0</v>
      </c>
      <c r="H10" s="80">
        <f>IF(H4=0,0,H4/MBunk_ene!H4)</f>
        <v>0</v>
      </c>
      <c r="I10" s="80">
        <f>IF(I4=0,0,I4/MBunk_ene!I4)</f>
        <v>3.1024188000000001</v>
      </c>
      <c r="J10" s="80">
        <f>IF(J4=0,0,J4/MBunk_ene!J4)</f>
        <v>3.1609448300558749</v>
      </c>
      <c r="K10" s="80">
        <f>IF(K4=0,0,K4/MBunk_ene!K4)</f>
        <v>3.1492144783532523</v>
      </c>
      <c r="L10" s="80">
        <f>IF(L4=0,0,L4/MBunk_ene!L4)</f>
        <v>3.1024188000000006</v>
      </c>
      <c r="M10" s="80">
        <f>IF(M4=0,0,M4/MBunk_ene!M4)</f>
        <v>3.1024188000000001</v>
      </c>
      <c r="N10" s="80">
        <f>IF(N4=0,0,N4/MBunk_ene!N4)</f>
        <v>3.1024188000000006</v>
      </c>
      <c r="O10" s="80">
        <f>IF(O4=0,0,O4/MBunk_ene!O4)</f>
        <v>3.1024187999999997</v>
      </c>
      <c r="P10" s="80">
        <f>IF(P4=0,0,P4/MBunk_ene!P4)</f>
        <v>3.1024187999999997</v>
      </c>
      <c r="Q10" s="80">
        <f>IF(Q4=0,0,Q4/MBunk_ene!Q4)</f>
        <v>3.1024187999999997</v>
      </c>
      <c r="R10" s="80">
        <f>IF(R4=0,0,R4/MBunk_ene!R4)</f>
        <v>3.1024188000000006</v>
      </c>
      <c r="S10" s="80">
        <f>IF(S4=0,0,S4/MBunk_ene!S4)</f>
        <v>3.1024188000000001</v>
      </c>
      <c r="T10" s="80">
        <f>IF(T4=0,0,T4/MBunk_ene!T4)</f>
        <v>3.1024188000000006</v>
      </c>
      <c r="U10" s="80">
        <f>IF(U4=0,0,U4/MBunk_ene!U4)</f>
        <v>3.1024188000000006</v>
      </c>
      <c r="V10" s="80">
        <f>IF(V4=0,0,V4/MBunk_ene!V4)</f>
        <v>3.1024188000000001</v>
      </c>
      <c r="W10" s="80">
        <f>IF(W4=0,0,W4/MBunk_ene!W4)</f>
        <v>3.1024188000000001</v>
      </c>
      <c r="X10" s="80">
        <f>IF(X4=0,0,X4/MBunk_ene!X4)</f>
        <v>3.1024188000000001</v>
      </c>
      <c r="Y10" s="80">
        <f>IF(Y4=0,0,Y4/MBunk_ene!Y4)</f>
        <v>3.1024188000000001</v>
      </c>
      <c r="DA10" s="181"/>
    </row>
    <row r="11" spans="1:105" ht="11.45" customHeight="1" x14ac:dyDescent="0.25">
      <c r="A11" s="57" t="s">
        <v>167</v>
      </c>
      <c r="B11" s="81">
        <f>IF(B5=0,0,B5/MBunk_ene!B10)</f>
        <v>0</v>
      </c>
      <c r="C11" s="81">
        <f>IF(C5=0,0,C5/MBunk_ene!C10)</f>
        <v>0</v>
      </c>
      <c r="D11" s="81">
        <f>IF(D5=0,0,D5/MBunk_ene!D10)</f>
        <v>0</v>
      </c>
      <c r="E11" s="81">
        <f>IF(E5=0,0,E5/MBunk_ene!E10)</f>
        <v>0</v>
      </c>
      <c r="F11" s="81">
        <f>IF(F5=0,0,F5/MBunk_ene!F10)</f>
        <v>0</v>
      </c>
      <c r="G11" s="81">
        <f>IF(G5=0,0,G5/MBunk_ene!G10)</f>
        <v>0</v>
      </c>
      <c r="H11" s="81">
        <f>IF(H5=0,0,H5/MBunk_ene!H10)</f>
        <v>0</v>
      </c>
      <c r="I11" s="81">
        <f>IF(I5=0,0,I5/MBunk_ene!I10)</f>
        <v>3.1822237690515482</v>
      </c>
      <c r="J11" s="81">
        <f>IF(J5=0,0,J5/MBunk_ene!J10)</f>
        <v>3.2224209620687194</v>
      </c>
      <c r="K11" s="81">
        <f>IF(K5=0,0,K5/MBunk_ene!K10)</f>
        <v>3.2102066096220403</v>
      </c>
      <c r="L11" s="81">
        <f>IF(L5=0,0,L5/MBunk_ene!L10)</f>
        <v>3.1619373162480762</v>
      </c>
      <c r="M11" s="81">
        <f>IF(M5=0,0,M5/MBunk_ene!M10)</f>
        <v>3.1024188000000001</v>
      </c>
      <c r="N11" s="81">
        <f>IF(N5=0,0,N5/MBunk_ene!N10)</f>
        <v>3.1024188000000006</v>
      </c>
      <c r="O11" s="81">
        <f>IF(O5=0,0,O5/MBunk_ene!O10)</f>
        <v>3.1024187999999993</v>
      </c>
      <c r="P11" s="81">
        <f>IF(P5=0,0,P5/MBunk_ene!P10)</f>
        <v>3.1024188000000001</v>
      </c>
      <c r="Q11" s="81">
        <f>IF(Q5=0,0,Q5/MBunk_ene!Q10)</f>
        <v>3.1024187999999997</v>
      </c>
      <c r="R11" s="81">
        <f>IF(R5=0,0,R5/MBunk_ene!R10)</f>
        <v>3.1024187999999997</v>
      </c>
      <c r="S11" s="81">
        <f>IF(S5=0,0,S5/MBunk_ene!S10)</f>
        <v>3.1024188000000006</v>
      </c>
      <c r="T11" s="81">
        <f>IF(T5=0,0,T5/MBunk_ene!T10)</f>
        <v>3.1024188000000001</v>
      </c>
      <c r="U11" s="81">
        <f>IF(U5=0,0,U5/MBunk_ene!U10)</f>
        <v>3.1024188000000001</v>
      </c>
      <c r="V11" s="81">
        <f>IF(V5=0,0,V5/MBunk_ene!V10)</f>
        <v>3.1024188000000001</v>
      </c>
      <c r="W11" s="81">
        <f>IF(W5=0,0,W5/MBunk_ene!W10)</f>
        <v>3.1024188000000006</v>
      </c>
      <c r="X11" s="81">
        <f>IF(X5=0,0,X5/MBunk_ene!X10)</f>
        <v>3.1024187999999997</v>
      </c>
      <c r="Y11" s="81">
        <f>IF(Y5=0,0,Y5/MBunk_ene!Y10)</f>
        <v>3.1024188000000001</v>
      </c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DA12" s="181"/>
    </row>
    <row r="13" spans="1:105" ht="11.45" customHeight="1" x14ac:dyDescent="0.25">
      <c r="A13" s="53" t="s">
        <v>49</v>
      </c>
      <c r="B13" s="62">
        <f>IF(B3=0,0,B3/MBunk_act!B7*100)</f>
        <v>0</v>
      </c>
      <c r="C13" s="62">
        <f>IF(C3=0,0,C3/MBunk_act!C7*100)</f>
        <v>0</v>
      </c>
      <c r="D13" s="62">
        <f>IF(D3=0,0,D3/MBunk_act!D7*100)</f>
        <v>0</v>
      </c>
      <c r="E13" s="62">
        <f>IF(E3=0,0,E3/MBunk_act!E7*100)</f>
        <v>0</v>
      </c>
      <c r="F13" s="62">
        <f>IF(F3=0,0,F3/MBunk_act!F7*100)</f>
        <v>0</v>
      </c>
      <c r="G13" s="62">
        <f>IF(G3=0,0,G3/MBunk_act!G7*100)</f>
        <v>0</v>
      </c>
      <c r="H13" s="62">
        <f>IF(H3=0,0,H3/MBunk_act!H7*100)</f>
        <v>0</v>
      </c>
      <c r="I13" s="62">
        <f>IF(I3=0,0,I3/MBunk_act!I7*100)</f>
        <v>2656.8004657092147</v>
      </c>
      <c r="J13" s="62">
        <f>IF(J3=0,0,J3/MBunk_act!J7*100)</f>
        <v>4706.5294338973781</v>
      </c>
      <c r="K13" s="62">
        <f>IF(K3=0,0,K3/MBunk_act!K7*100)</f>
        <v>1140.9891017550335</v>
      </c>
      <c r="L13" s="62">
        <f>IF(L3=0,0,L3/MBunk_act!L7*100)</f>
        <v>1090.0356751208828</v>
      </c>
      <c r="M13" s="62">
        <f>IF(M3=0,0,M3/MBunk_act!M7*100)</f>
        <v>526.10403748757517</v>
      </c>
      <c r="N13" s="62">
        <f>IF(N3=0,0,N3/MBunk_act!N7*100)</f>
        <v>836.39037189313308</v>
      </c>
      <c r="O13" s="62">
        <f>IF(O3=0,0,O3/MBunk_act!O7*100)</f>
        <v>2210.0323713869147</v>
      </c>
      <c r="P13" s="62">
        <f>IF(P3=0,0,P3/MBunk_act!P7*100)</f>
        <v>4542.1045902046399</v>
      </c>
      <c r="Q13" s="62">
        <f>IF(Q3=0,0,Q3/MBunk_act!Q7*100)</f>
        <v>2453.3851572360945</v>
      </c>
      <c r="R13" s="62">
        <f>IF(R3=0,0,R3/MBunk_act!R7*100)</f>
        <v>1802.4102360517284</v>
      </c>
      <c r="S13" s="62">
        <f>IF(S3=0,0,S3/MBunk_act!S7*100)</f>
        <v>1604.3135423957015</v>
      </c>
      <c r="T13" s="62">
        <f>IF(T3=0,0,T3/MBunk_act!T7*100)</f>
        <v>895.52287154323449</v>
      </c>
      <c r="U13" s="62">
        <f>IF(U3=0,0,U3/MBunk_act!U7*100)</f>
        <v>1770.9829665123514</v>
      </c>
      <c r="V13" s="62">
        <f>IF(V3=0,0,V3/MBunk_act!V7*100)</f>
        <v>2533.0887182975421</v>
      </c>
      <c r="W13" s="62">
        <f>IF(W3=0,0,W3/MBunk_act!W7*100)</f>
        <v>1857.7439411261917</v>
      </c>
      <c r="X13" s="62">
        <f>IF(X3=0,0,X3/MBunk_act!X7*100)</f>
        <v>723.08559715704553</v>
      </c>
      <c r="Y13" s="62">
        <f>IF(Y3=0,0,Y3/MBunk_act!Y7*100)</f>
        <v>706.31786047549326</v>
      </c>
      <c r="DA13" s="172" t="s">
        <v>990</v>
      </c>
    </row>
    <row r="14" spans="1:105" ht="11.45" customHeight="1" x14ac:dyDescent="0.25">
      <c r="A14" s="55" t="s">
        <v>166</v>
      </c>
      <c r="B14" s="63">
        <f>IF(B4=0,0,B4/MBunk_act!B8*100)</f>
        <v>0</v>
      </c>
      <c r="C14" s="63">
        <f>IF(C4=0,0,C4/MBunk_act!C8*100)</f>
        <v>0</v>
      </c>
      <c r="D14" s="63">
        <f>IF(D4=0,0,D4/MBunk_act!D8*100)</f>
        <v>0</v>
      </c>
      <c r="E14" s="63">
        <f>IF(E4=0,0,E4/MBunk_act!E8*100)</f>
        <v>0</v>
      </c>
      <c r="F14" s="63">
        <f>IF(F4=0,0,F4/MBunk_act!F8*100)</f>
        <v>0</v>
      </c>
      <c r="G14" s="63">
        <f>IF(G4=0,0,G4/MBunk_act!G8*100)</f>
        <v>0</v>
      </c>
      <c r="H14" s="63">
        <f>IF(H4=0,0,H4/MBunk_act!H8*100)</f>
        <v>0</v>
      </c>
      <c r="I14" s="63">
        <f>IF(I4=0,0,I4/MBunk_act!I8*100)</f>
        <v>2729.293314228315</v>
      </c>
      <c r="J14" s="63">
        <f>IF(J4=0,0,J4/MBunk_act!J8*100)</f>
        <v>4824.3246436885829</v>
      </c>
      <c r="K14" s="63">
        <f>IF(K4=0,0,K4/MBunk_act!K8*100)</f>
        <v>1026.7848254541141</v>
      </c>
      <c r="L14" s="63">
        <f>IF(L4=0,0,L4/MBunk_act!L8*100)</f>
        <v>1003.938100914293</v>
      </c>
      <c r="M14" s="63">
        <f>IF(M4=0,0,M4/MBunk_act!M8*100)</f>
        <v>502.06731960127513</v>
      </c>
      <c r="N14" s="63">
        <f>IF(N4=0,0,N4/MBunk_act!N8*100)</f>
        <v>812.49441907138907</v>
      </c>
      <c r="O14" s="63">
        <f>IF(O4=0,0,O4/MBunk_act!O8*100)</f>
        <v>2163.7385346369038</v>
      </c>
      <c r="P14" s="63">
        <f>IF(P4=0,0,P4/MBunk_act!P8*100)</f>
        <v>4179.3835526932316</v>
      </c>
      <c r="Q14" s="63">
        <f>IF(Q4=0,0,Q4/MBunk_act!Q8*100)</f>
        <v>2285.1048390405008</v>
      </c>
      <c r="R14" s="63">
        <f>IF(R4=0,0,R4/MBunk_act!R8*100)</f>
        <v>1670.6666330084029</v>
      </c>
      <c r="S14" s="63">
        <f>IF(S4=0,0,S4/MBunk_act!S8*100)</f>
        <v>1452.9638679498155</v>
      </c>
      <c r="T14" s="63">
        <f>IF(T4=0,0,T4/MBunk_act!T8*100)</f>
        <v>795.27659632250493</v>
      </c>
      <c r="U14" s="63">
        <f>IF(U4=0,0,U4/MBunk_act!U8*100)</f>
        <v>1622.0210772172586</v>
      </c>
      <c r="V14" s="63">
        <f>IF(V4=0,0,V4/MBunk_act!V8*100)</f>
        <v>2165.0082571342145</v>
      </c>
      <c r="W14" s="63">
        <f>IF(W4=0,0,W4/MBunk_act!W8*100)</f>
        <v>1529.4321492166166</v>
      </c>
      <c r="X14" s="63">
        <f>IF(X4=0,0,X4/MBunk_act!X8*100)</f>
        <v>654.63442347672128</v>
      </c>
      <c r="Y14" s="63">
        <f>IF(Y4=0,0,Y4/MBunk_act!Y8*100)</f>
        <v>645.18412844143177</v>
      </c>
      <c r="DA14" s="181" t="s">
        <v>991</v>
      </c>
    </row>
    <row r="15" spans="1:105" ht="11.45" customHeight="1" x14ac:dyDescent="0.25">
      <c r="A15" s="57" t="s">
        <v>167</v>
      </c>
      <c r="B15" s="64">
        <f>IF(B5=0,0,B5/MBunk_act!B9*100)</f>
        <v>0</v>
      </c>
      <c r="C15" s="64">
        <f>IF(C5=0,0,C5/MBunk_act!C9*100)</f>
        <v>0</v>
      </c>
      <c r="D15" s="64">
        <f>IF(D5=0,0,D5/MBunk_act!D9*100)</f>
        <v>0</v>
      </c>
      <c r="E15" s="64">
        <f>IF(E5=0,0,E5/MBunk_act!E9*100)</f>
        <v>0</v>
      </c>
      <c r="F15" s="64">
        <f>IF(F5=0,0,F5/MBunk_act!F9*100)</f>
        <v>0</v>
      </c>
      <c r="G15" s="64">
        <f>IF(G5=0,0,G5/MBunk_act!G9*100)</f>
        <v>0</v>
      </c>
      <c r="H15" s="64">
        <f>IF(H5=0,0,H5/MBunk_act!H9*100)</f>
        <v>0</v>
      </c>
      <c r="I15" s="64">
        <f>IF(I5=0,0,I5/MBunk_act!I9*100)</f>
        <v>2621.8625584154279</v>
      </c>
      <c r="J15" s="64">
        <f>IF(J5=0,0,J5/MBunk_act!J9*100)</f>
        <v>4650.1486147494024</v>
      </c>
      <c r="K15" s="64">
        <f>IF(K5=0,0,K5/MBunk_act!K9*100)</f>
        <v>1310.5735335378679</v>
      </c>
      <c r="L15" s="64">
        <f>IF(L5=0,0,L5/MBunk_act!L9*100)</f>
        <v>1182.1303069562523</v>
      </c>
      <c r="M15" s="64">
        <f>IF(M5=0,0,M5/MBunk_act!M9*100)</f>
        <v>547.7382490776348</v>
      </c>
      <c r="N15" s="64">
        <f>IF(N5=0,0,N5/MBunk_act!N9*100)</f>
        <v>853.35499310424632</v>
      </c>
      <c r="O15" s="64">
        <f>IF(O5=0,0,O5/MBunk_act!O9*100)</f>
        <v>2239.9128501859818</v>
      </c>
      <c r="P15" s="64">
        <f>IF(P5=0,0,P5/MBunk_act!P9*100)</f>
        <v>4907.3107221685441</v>
      </c>
      <c r="Q15" s="64">
        <f>IF(Q5=0,0,Q5/MBunk_act!Q9*100)</f>
        <v>2623.6125982213384</v>
      </c>
      <c r="R15" s="64">
        <f>IF(R5=0,0,R5/MBunk_act!R9*100)</f>
        <v>1939.5744291328647</v>
      </c>
      <c r="S15" s="64">
        <f>IF(S5=0,0,S5/MBunk_act!S9*100)</f>
        <v>1795.2009216868546</v>
      </c>
      <c r="T15" s="64">
        <f>IF(T5=0,0,T5/MBunk_act!T9*100)</f>
        <v>1035.0458064930601</v>
      </c>
      <c r="U15" s="64">
        <f>IF(U5=0,0,U5/MBunk_act!U9*100)</f>
        <v>1924.2886480379905</v>
      </c>
      <c r="V15" s="64">
        <f>IF(V5=0,0,V5/MBunk_act!V9*100)</f>
        <v>2920.3381351168227</v>
      </c>
      <c r="W15" s="64">
        <f>IF(W5=0,0,W5/MBunk_act!W9*100)</f>
        <v>2206.6116044552305</v>
      </c>
      <c r="X15" s="64">
        <f>IF(X5=0,0,X5/MBunk_act!X9*100)</f>
        <v>802.47759012894392</v>
      </c>
      <c r="Y15" s="64">
        <f>IF(Y5=0,0,Y5/MBunk_act!Y9*100)</f>
        <v>776.83687607656861</v>
      </c>
      <c r="DA15" s="182" t="s">
        <v>992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50</v>
      </c>
      <c r="B17" s="62">
        <f>IF(B3=0,0,B3/MBunk_act!B3*1000)</f>
        <v>0</v>
      </c>
      <c r="C17" s="62">
        <f>IF(C3=0,0,C3/MBunk_act!C3*1000)</f>
        <v>0</v>
      </c>
      <c r="D17" s="62">
        <f>IF(D3=0,0,D3/MBunk_act!D3*1000)</f>
        <v>0</v>
      </c>
      <c r="E17" s="62">
        <f>IF(E3=0,0,E3/MBunk_act!E3*1000)</f>
        <v>0</v>
      </c>
      <c r="F17" s="62">
        <f>IF(F3=0,0,F3/MBunk_act!F3*1000)</f>
        <v>0</v>
      </c>
      <c r="G17" s="62">
        <f>IF(G3=0,0,G3/MBunk_act!G3*1000)</f>
        <v>0</v>
      </c>
      <c r="H17" s="62">
        <f>IF(H3=0,0,H3/MBunk_act!H3*1000)</f>
        <v>0</v>
      </c>
      <c r="I17" s="62">
        <f>IF(I3=0,0,I3/MBunk_act!I3*1000)</f>
        <v>1.2910893447121918</v>
      </c>
      <c r="J17" s="62">
        <f>IF(J3=0,0,J3/MBunk_act!J3*1000)</f>
        <v>2.1316032677018391</v>
      </c>
      <c r="K17" s="62">
        <f>IF(K3=0,0,K3/MBunk_act!K3*1000)</f>
        <v>0.7904709536210538</v>
      </c>
      <c r="L17" s="62">
        <f>IF(L3=0,0,L3/MBunk_act!L3*1000)</f>
        <v>0.6200456719420816</v>
      </c>
      <c r="M17" s="62">
        <f>IF(M3=0,0,M3/MBunk_act!M3*1000)</f>
        <v>0.35656622103839508</v>
      </c>
      <c r="N17" s="62">
        <f>IF(N3=0,0,N3/MBunk_act!N3*1000)</f>
        <v>0.48020969763422938</v>
      </c>
      <c r="O17" s="62">
        <f>IF(O3=0,0,O3/MBunk_act!O3*1000)</f>
        <v>1.1933536417325692</v>
      </c>
      <c r="P17" s="62">
        <f>IF(P3=0,0,P3/MBunk_act!P3*1000)</f>
        <v>2.7550726582286154</v>
      </c>
      <c r="Q17" s="62">
        <f>IF(Q3=0,0,Q3/MBunk_act!Q3*1000)</f>
        <v>1.3984576104498498</v>
      </c>
      <c r="R17" s="62">
        <f>IF(R3=0,0,R3/MBunk_act!R3*1000)</f>
        <v>1.0126356391563043</v>
      </c>
      <c r="S17" s="62">
        <f>IF(S3=0,0,S3/MBunk_act!S3*1000)</f>
        <v>0.94460690887267862</v>
      </c>
      <c r="T17" s="62">
        <f>IF(T3=0,0,T3/MBunk_act!T3*1000)</f>
        <v>0.54881433713616845</v>
      </c>
      <c r="U17" s="62">
        <f>IF(U3=0,0,U3/MBunk_act!U3*1000)</f>
        <v>0.95424393603696567</v>
      </c>
      <c r="V17" s="62">
        <f>IF(V3=0,0,V3/MBunk_act!V3*1000)</f>
        <v>1.4285823538937821</v>
      </c>
      <c r="W17" s="62">
        <f>IF(W3=0,0,W3/MBunk_act!W3*1000)</f>
        <v>0.9572808530124618</v>
      </c>
      <c r="X17" s="62">
        <f>IF(X3=0,0,X3/MBunk_act!X3*1000)</f>
        <v>0.44090593885116952</v>
      </c>
      <c r="Y17" s="62">
        <f>IF(Y3=0,0,Y3/MBunk_act!Y3*1000)</f>
        <v>0.39142708242280566</v>
      </c>
      <c r="DA17" s="172" t="s">
        <v>452</v>
      </c>
    </row>
    <row r="18" spans="1:105" ht="11.45" customHeight="1" x14ac:dyDescent="0.25">
      <c r="A18" s="55" t="s">
        <v>166</v>
      </c>
      <c r="B18" s="63">
        <f>IF(B4=0,0,B4/MBunk_act!B4*1000)</f>
        <v>0</v>
      </c>
      <c r="C18" s="63">
        <f>IF(C4=0,0,C4/MBunk_act!C4*1000)</f>
        <v>0</v>
      </c>
      <c r="D18" s="63">
        <f>IF(D4=0,0,D4/MBunk_act!D4*1000)</f>
        <v>0</v>
      </c>
      <c r="E18" s="63">
        <f>IF(E4=0,0,E4/MBunk_act!E4*1000)</f>
        <v>0</v>
      </c>
      <c r="F18" s="63">
        <f>IF(F4=0,0,F4/MBunk_act!F4*1000)</f>
        <v>0</v>
      </c>
      <c r="G18" s="63">
        <f>IF(G4=0,0,G4/MBunk_act!G4*1000)</f>
        <v>0</v>
      </c>
      <c r="H18" s="63">
        <f>IF(H4=0,0,H4/MBunk_act!H4*1000)</f>
        <v>0</v>
      </c>
      <c r="I18" s="63">
        <f>IF(I4=0,0,I4/MBunk_act!I4*1000)</f>
        <v>3.7956041525896853</v>
      </c>
      <c r="J18" s="63">
        <f>IF(J4=0,0,J4/MBunk_act!J4*1000)</f>
        <v>6.4735435402449024</v>
      </c>
      <c r="K18" s="63">
        <f>IF(K4=0,0,K4/MBunk_act!K4*1000)</f>
        <v>1.4111836932946042</v>
      </c>
      <c r="L18" s="63">
        <f>IF(L4=0,0,L4/MBunk_act!L4*1000)</f>
        <v>1.3717219582326488</v>
      </c>
      <c r="M18" s="63">
        <f>IF(M4=0,0,M4/MBunk_act!M4*1000)</f>
        <v>0.85152196587658158</v>
      </c>
      <c r="N18" s="63">
        <f>IF(N4=0,0,N4/MBunk_act!N4*1000)</f>
        <v>1.3249313305560524</v>
      </c>
      <c r="O18" s="63">
        <f>IF(O4=0,0,O4/MBunk_act!O4*1000)</f>
        <v>3.4034279847900653</v>
      </c>
      <c r="P18" s="63">
        <f>IF(P4=0,0,P4/MBunk_act!P4*1000)</f>
        <v>6.4886163087838824</v>
      </c>
      <c r="Q18" s="63">
        <f>IF(Q4=0,0,Q4/MBunk_act!Q4*1000)</f>
        <v>3.2623565965891705</v>
      </c>
      <c r="R18" s="63">
        <f>IF(R4=0,0,R4/MBunk_act!R4*1000)</f>
        <v>2.292118781553341</v>
      </c>
      <c r="S18" s="63">
        <f>IF(S4=0,0,S4/MBunk_act!S4*1000)</f>
        <v>1.9552430594264092</v>
      </c>
      <c r="T18" s="63">
        <f>IF(T4=0,0,T4/MBunk_act!T4*1000)</f>
        <v>1.0846674805640397</v>
      </c>
      <c r="U18" s="63">
        <f>IF(U4=0,0,U4/MBunk_act!U4*1000)</f>
        <v>2.2591061095129925</v>
      </c>
      <c r="V18" s="63">
        <f>IF(V4=0,0,V4/MBunk_act!V4*1000)</f>
        <v>2.8303704285820541</v>
      </c>
      <c r="W18" s="63">
        <f>IF(W4=0,0,W4/MBunk_act!W4*1000)</f>
        <v>2.0268072526972776</v>
      </c>
      <c r="X18" s="63">
        <f>IF(X4=0,0,X4/MBunk_act!X4*1000)</f>
        <v>0.90907369237153834</v>
      </c>
      <c r="Y18" s="63">
        <f>IF(Y4=0,0,Y4/MBunk_act!Y4*1000)</f>
        <v>0.83367459176935022</v>
      </c>
      <c r="DA18" s="181" t="s">
        <v>453</v>
      </c>
    </row>
    <row r="19" spans="1:105" ht="11.45" customHeight="1" x14ac:dyDescent="0.25">
      <c r="A19" s="57" t="s">
        <v>167</v>
      </c>
      <c r="B19" s="64">
        <f>IF(B5=0,0,B5/MBunk_act!B5*1000)</f>
        <v>0</v>
      </c>
      <c r="C19" s="64">
        <f>IF(C5=0,0,C5/MBunk_act!C5*1000)</f>
        <v>0</v>
      </c>
      <c r="D19" s="64">
        <f>IF(D5=0,0,D5/MBunk_act!D5*1000)</f>
        <v>0</v>
      </c>
      <c r="E19" s="64">
        <f>IF(E5=0,0,E5/MBunk_act!E5*1000)</f>
        <v>0</v>
      </c>
      <c r="F19" s="64">
        <f>IF(F5=0,0,F5/MBunk_act!F5*1000)</f>
        <v>0</v>
      </c>
      <c r="G19" s="64">
        <f>IF(G5=0,0,G5/MBunk_act!G5*1000)</f>
        <v>0</v>
      </c>
      <c r="H19" s="64">
        <f>IF(H5=0,0,H5/MBunk_act!H5*1000)</f>
        <v>0</v>
      </c>
      <c r="I19" s="64">
        <f>IF(I5=0,0,I5/MBunk_act!I5*1000)</f>
        <v>0.96998303369636474</v>
      </c>
      <c r="J19" s="64">
        <f>IF(J5=0,0,J5/MBunk_act!J5*1000)</f>
        <v>1.5990369326121281</v>
      </c>
      <c r="K19" s="64">
        <f>IF(K5=0,0,K5/MBunk_act!K5*1000)</f>
        <v>0.52289655698033499</v>
      </c>
      <c r="L19" s="64">
        <f>IF(L5=0,0,L5/MBunk_act!L5*1000)</f>
        <v>0.41397256957538764</v>
      </c>
      <c r="M19" s="64">
        <f>IF(M5=0,0,M5/MBunk_act!M5*1000)</f>
        <v>0.240997943347075</v>
      </c>
      <c r="N19" s="64">
        <f>IF(N5=0,0,N5/MBunk_act!N5*1000)</f>
        <v>0.33558714321554373</v>
      </c>
      <c r="O19" s="64">
        <f>IF(O5=0,0,O5/MBunk_act!O5*1000)</f>
        <v>0.84943342913468234</v>
      </c>
      <c r="P19" s="64">
        <f>IF(P5=0,0,P5/MBunk_act!P5*1000)</f>
        <v>1.8448267795816671</v>
      </c>
      <c r="Q19" s="64">
        <f>IF(Q5=0,0,Q5/MBunk_act!Q5*1000)</f>
        <v>0.93021068553768116</v>
      </c>
      <c r="R19" s="64">
        <f>IF(R5=0,0,R5/MBunk_act!R5*1000)</f>
        <v>0.67481989223207628</v>
      </c>
      <c r="S19" s="64">
        <f>IF(S5=0,0,S5/MBunk_act!S5*1000)</f>
        <v>0.61834695088772995</v>
      </c>
      <c r="T19" s="64">
        <f>IF(T5=0,0,T5/MBunk_act!T5*1000)</f>
        <v>0.35909988401462495</v>
      </c>
      <c r="U19" s="64">
        <f>IF(U5=0,0,U5/MBunk_act!U5*1000)</f>
        <v>0.6357096578078012</v>
      </c>
      <c r="V19" s="64">
        <f>IF(V5=0,0,V5/MBunk_act!V5*1000)</f>
        <v>1.0305075523656082</v>
      </c>
      <c r="W19" s="64">
        <f>IF(W5=0,0,W5/MBunk_act!W5*1000)</f>
        <v>0.68936125542234072</v>
      </c>
      <c r="X19" s="64">
        <f>IF(X5=0,0,X5/MBunk_act!X5*1000)</f>
        <v>0.29645443009575079</v>
      </c>
      <c r="Y19" s="64">
        <f>IF(Y5=0,0,Y5/MBunk_act!Y5*1000)</f>
        <v>0.25952992304435973</v>
      </c>
      <c r="DA19" s="182" t="s">
        <v>454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DA20" s="181"/>
    </row>
    <row r="21" spans="1:105" ht="11.45" customHeight="1" x14ac:dyDescent="0.25">
      <c r="A21" s="53" t="s">
        <v>41</v>
      </c>
      <c r="B21" s="76">
        <f t="shared" ref="B21:W23" si="3">IF(B3=0,0,B3/B$3)</f>
        <v>0</v>
      </c>
      <c r="C21" s="76">
        <f t="shared" si="3"/>
        <v>0</v>
      </c>
      <c r="D21" s="76">
        <f t="shared" si="3"/>
        <v>0</v>
      </c>
      <c r="E21" s="76">
        <f t="shared" si="3"/>
        <v>0</v>
      </c>
      <c r="F21" s="76">
        <f t="shared" si="3"/>
        <v>0</v>
      </c>
      <c r="G21" s="76">
        <f t="shared" si="3"/>
        <v>0</v>
      </c>
      <c r="H21" s="76">
        <f t="shared" si="3"/>
        <v>0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si="3"/>
        <v>1</v>
      </c>
      <c r="W21" s="76">
        <f t="shared" si="3"/>
        <v>1</v>
      </c>
      <c r="X21" s="76">
        <f t="shared" ref="X21:Y21" si="4">IF(X3=0,0,X3/X$3)</f>
        <v>1</v>
      </c>
      <c r="Y21" s="76">
        <f t="shared" si="4"/>
        <v>1</v>
      </c>
      <c r="DA21" s="183"/>
    </row>
    <row r="22" spans="1:105" ht="11.45" customHeight="1" x14ac:dyDescent="0.25">
      <c r="A22" s="55" t="s">
        <v>166</v>
      </c>
      <c r="B22" s="77">
        <f t="shared" si="3"/>
        <v>0</v>
      </c>
      <c r="C22" s="77">
        <f t="shared" si="3"/>
        <v>0</v>
      </c>
      <c r="D22" s="77">
        <f t="shared" si="3"/>
        <v>0</v>
      </c>
      <c r="E22" s="77">
        <f t="shared" si="3"/>
        <v>0</v>
      </c>
      <c r="F22" s="77">
        <f t="shared" si="3"/>
        <v>0</v>
      </c>
      <c r="G22" s="77">
        <f t="shared" si="3"/>
        <v>0</v>
      </c>
      <c r="H22" s="77">
        <f t="shared" si="3"/>
        <v>0</v>
      </c>
      <c r="I22" s="77">
        <f t="shared" si="3"/>
        <v>0.33408696375828173</v>
      </c>
      <c r="J22" s="77">
        <f t="shared" si="3"/>
        <v>0.33180180379050028</v>
      </c>
      <c r="K22" s="77">
        <f t="shared" si="3"/>
        <v>0.53776039624583771</v>
      </c>
      <c r="L22" s="77">
        <f t="shared" si="3"/>
        <v>0.47600535256888998</v>
      </c>
      <c r="M22" s="77">
        <f t="shared" si="3"/>
        <v>0.45205527491666969</v>
      </c>
      <c r="N22" s="77">
        <f t="shared" si="3"/>
        <v>0.40332121356580308</v>
      </c>
      <c r="O22" s="77">
        <f t="shared" si="3"/>
        <v>0.38404767139564777</v>
      </c>
      <c r="P22" s="77">
        <f t="shared" si="3"/>
        <v>0.46164191115324232</v>
      </c>
      <c r="Q22" s="77">
        <f t="shared" si="3"/>
        <v>0.468383232017613</v>
      </c>
      <c r="R22" s="77">
        <f t="shared" si="3"/>
        <v>0.47279569480426359</v>
      </c>
      <c r="S22" s="77">
        <f t="shared" si="3"/>
        <v>0.50514464337725518</v>
      </c>
      <c r="T22" s="77">
        <f t="shared" si="3"/>
        <v>0.51676573649607538</v>
      </c>
      <c r="U22" s="77">
        <f t="shared" si="3"/>
        <v>0.46452469145197917</v>
      </c>
      <c r="V22" s="77">
        <f t="shared" si="3"/>
        <v>0.43819080965222384</v>
      </c>
      <c r="W22" s="77">
        <f t="shared" si="3"/>
        <v>0.42413225750745975</v>
      </c>
      <c r="X22" s="77">
        <f t="shared" ref="X22:Y22" si="5">IF(X4=0,0,X4/X$3)</f>
        <v>0.48616599145015577</v>
      </c>
      <c r="Y22" s="77">
        <f t="shared" si="5"/>
        <v>0.48928263286287438</v>
      </c>
      <c r="DA22" s="184"/>
    </row>
    <row r="23" spans="1:105" ht="11.45" customHeight="1" x14ac:dyDescent="0.25">
      <c r="A23" s="57" t="s">
        <v>167</v>
      </c>
      <c r="B23" s="78">
        <f t="shared" si="3"/>
        <v>0</v>
      </c>
      <c r="C23" s="78">
        <f t="shared" si="3"/>
        <v>0</v>
      </c>
      <c r="D23" s="78">
        <f t="shared" si="3"/>
        <v>0</v>
      </c>
      <c r="E23" s="78">
        <f t="shared" si="3"/>
        <v>0</v>
      </c>
      <c r="F23" s="78">
        <f t="shared" si="3"/>
        <v>0</v>
      </c>
      <c r="G23" s="78">
        <f t="shared" si="3"/>
        <v>0</v>
      </c>
      <c r="H23" s="78">
        <f t="shared" si="3"/>
        <v>0</v>
      </c>
      <c r="I23" s="78">
        <f t="shared" si="3"/>
        <v>0.66591303624171816</v>
      </c>
      <c r="J23" s="78">
        <f t="shared" si="3"/>
        <v>0.66819819620949972</v>
      </c>
      <c r="K23" s="78">
        <f t="shared" si="3"/>
        <v>0.46223960375416223</v>
      </c>
      <c r="L23" s="78">
        <f t="shared" si="3"/>
        <v>0.52399464743111002</v>
      </c>
      <c r="M23" s="78">
        <f t="shared" si="3"/>
        <v>0.54794472508333036</v>
      </c>
      <c r="N23" s="78">
        <f t="shared" si="3"/>
        <v>0.59667878643419692</v>
      </c>
      <c r="O23" s="78">
        <f t="shared" si="3"/>
        <v>0.61595232860435234</v>
      </c>
      <c r="P23" s="78">
        <f t="shared" si="3"/>
        <v>0.53835808884675762</v>
      </c>
      <c r="Q23" s="78">
        <f t="shared" si="3"/>
        <v>0.531616767982387</v>
      </c>
      <c r="R23" s="78">
        <f t="shared" si="3"/>
        <v>0.52720430519573636</v>
      </c>
      <c r="S23" s="78">
        <f t="shared" si="3"/>
        <v>0.49485535662274471</v>
      </c>
      <c r="T23" s="78">
        <f t="shared" si="3"/>
        <v>0.48323426350392462</v>
      </c>
      <c r="U23" s="78">
        <f t="shared" si="3"/>
        <v>0.53547530854802083</v>
      </c>
      <c r="V23" s="78">
        <f t="shared" si="3"/>
        <v>0.56180919034777599</v>
      </c>
      <c r="W23" s="78">
        <f t="shared" si="3"/>
        <v>0.57586774249254025</v>
      </c>
      <c r="X23" s="78">
        <f t="shared" ref="X23:Y23" si="6">IF(X5=0,0,X5/X$3)</f>
        <v>0.51383400854984429</v>
      </c>
      <c r="Y23" s="78">
        <f t="shared" si="6"/>
        <v>0.51071736713712557</v>
      </c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index</vt:lpstr>
      <vt:lpstr>Transport</vt:lpstr>
      <vt:lpstr>TrRoad_act</vt:lpstr>
      <vt:lpstr>TrRoad_ene</vt:lpstr>
      <vt:lpstr>TrRoad_emi</vt:lpstr>
      <vt:lpstr>TrRoad_tech</vt:lpstr>
      <vt:lpstr>TrRail_act</vt:lpstr>
      <vt:lpstr>TrRail_ene</vt:lpstr>
      <vt:lpstr>TrRail_emi</vt:lpstr>
      <vt:lpstr>TrAvia_act</vt:lpstr>
      <vt:lpstr>TrAvia_ene</vt:lpstr>
      <vt:lpstr>TrAvia_emi</vt:lpstr>
      <vt:lpstr>TrAvia_png</vt:lpstr>
      <vt:lpstr>TrNavi_act</vt:lpstr>
      <vt:lpstr>TrNavi_ene</vt:lpstr>
      <vt:lpstr>TrNavi_emi</vt:lpstr>
      <vt:lpstr>MBunk_act</vt:lpstr>
      <vt:lpstr>MBunk_ene</vt:lpstr>
      <vt:lpstr>MBunk_emi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2025-11-06T10:30:26Z</dcterms:created>
  <dcterms:modified xsi:type="dcterms:W3CDTF">2025-11-06T10:30:26Z</dcterms:modified>
</cp:coreProperties>
</file>