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RO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88" i="59"/>
  <c r="AA117" i="59"/>
  <c r="AA84" i="59"/>
  <c r="AA82" i="59"/>
  <c r="AA81" i="59"/>
  <c r="AA79" i="59"/>
  <c r="AA110" i="59"/>
  <c r="AA109" i="59"/>
  <c r="AA74" i="59"/>
  <c r="AA105" i="59"/>
  <c r="AA70" i="59"/>
  <c r="AA101" i="59"/>
  <c r="AA66" i="59"/>
  <c r="AA89" i="59"/>
  <c r="AA97" i="59"/>
  <c r="AA94" i="59"/>
  <c r="AA93" i="59"/>
  <c r="AA5" i="59"/>
  <c r="Z115" i="59"/>
  <c r="Z107" i="59"/>
  <c r="Z103" i="59"/>
  <c r="Z99" i="59"/>
  <c r="Z54" i="55"/>
  <c r="Y75" i="57"/>
  <c r="F75" i="57"/>
  <c r="T75" i="57"/>
  <c r="D75" i="57"/>
  <c r="U75" i="57"/>
  <c r="K75" i="57"/>
  <c r="J75" i="57"/>
  <c r="E75" i="57"/>
  <c r="Q54" i="57"/>
  <c r="R54" i="57"/>
  <c r="S54" i="57"/>
  <c r="P54" i="57"/>
  <c r="K54" i="57"/>
  <c r="U39" i="57"/>
  <c r="E39" i="57"/>
  <c r="Q39" i="57"/>
  <c r="O39" i="57"/>
  <c r="I39" i="57"/>
  <c r="Y16" i="57"/>
  <c r="O16" i="57"/>
  <c r="G16" i="57"/>
  <c r="E16" i="57"/>
  <c r="Q75" i="57"/>
  <c r="O75" i="57"/>
  <c r="L54" i="57"/>
  <c r="I54" i="57"/>
  <c r="S16" i="57"/>
  <c r="M16" i="57"/>
  <c r="AA80" i="59" l="1"/>
  <c r="AA98" i="59"/>
  <c r="AA102" i="59"/>
  <c r="AA106" i="59"/>
  <c r="AA113" i="59"/>
  <c r="AA114" i="59"/>
  <c r="H39" i="57"/>
  <c r="J54" i="57"/>
  <c r="Z111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<sst xmlns="http://schemas.openxmlformats.org/spreadsheetml/2006/main" count="722" uniqueCount="281">
  <si>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</si>
  <si>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</si>
  <si>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</si>
  <si>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</si>
  <si>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</si>
  <si>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</si>
  <si>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</si>
  <si>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</si>
  <si>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</si>
  <si>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</si>
  <si>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</si>
  <si>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</si>
  <si>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</si>
  <si>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</si>
  <si>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</si>
  <si>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</si>
  <si>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</si>
  <si>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</si>
  <si>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</si>
  <si>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</si>
  <si>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</si>
  <si>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</si>
  <si>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</si>
  <si>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</si>
  <si>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</si>
  <si>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</si>
  <si>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</si>
  <si>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</si>
  <si>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</si>
  <si>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</si>
  <si>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</si>
  <si>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</si>
  <si>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</si>
  <si>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</si>
  <si>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</si>
  <si>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</si>
  <si>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</si>
  <si>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</si>
  <si>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</si>
  <si>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</si>
  <si>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</si>
  <si>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</si>
  <si>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</si>
  <si>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</si>
  <si>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</si>
  <si>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</si>
  <si>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</si>
  <si>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</si>
  <si>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</si>
  <si>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</si>
  <si>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</si>
  <si>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</si>
  <si>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</si>
  <si>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</si>
  <si>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</si>
  <si>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</si>
  <si>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</si>
  <si>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</si>
  <si>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</si>
  <si>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</si>
  <si>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</si>
  <si>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</si>
  <si>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</si>
  <si>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</si>
  <si>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</si>
  <si>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</si>
  <si>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</si>
  <si>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</si>
  <si>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</si>
  <si>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</si>
  <si>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</si>
  <si>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</si>
  <si>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</si>
  <si>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</si>
  <si>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</si>
  <si>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</si>
  <si>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</si>
  <si>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</si>
  <si>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</si>
  <si>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</si>
  <si>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</si>
  <si>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</si>
  <si>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</si>
  <si>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</si>
  <si>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</si>
  <si>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</si>
  <si>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</si>
  <si>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</si>
  <si>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</si>
  <si>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</si>
  <si>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</si>
  <si>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</si>
  <si>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</si>
  <si>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</si>
  <si>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</si>
  <si>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</si>
  <si>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</si>
  <si>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</si>
  <si>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</si>
  <si>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</si>
  <si>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</si>
  <si>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</si>
  <si>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</si>
  <si>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</si>
  <si>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</si>
  <si>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</si>
  <si>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</si>
  <si>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</si>
  <si>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</si>
  <si>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</si>
  <si>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</si>
  <si>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</si>
  <si>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</si>
  <si>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</si>
  <si>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</si>
  <si>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</si>
  <si>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</si>
  <si>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</si>
  <si>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</si>
  <si>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</si>
  <si>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</si>
  <si>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</si>
  <si>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</si>
  <si>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</si>
  <si>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</si>
  <si>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</si>
  <si>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</si>
  <si>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</si>
  <si>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</si>
  <si>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</si>
  <si>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</si>
  <si>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</si>
  <si>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</si>
  <si>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</si>
  <si>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</si>
  <si>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</si>
  <si>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</si>
  <si>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</si>
  <si>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</si>
  <si>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</si>
  <si>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</si>
  <si>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</si>
  <si>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</si>
  <si>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</si>
  <si>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</si>
  <si>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</si>
  <si>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</si>
  <si>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</si>
  <si>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</si>
  <si>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</si>
  <si>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</si>
  <si>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</si>
  <si>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</si>
  <si>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</si>
  <si>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</si>
  <si>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</si>
  <si>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</si>
  <si>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</si>
  <si>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</si>
  <si>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</si>
  <si>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</si>
  <si>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</si>
  <si>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</si>
  <si>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</si>
  <si>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</si>
  <si>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</si>
  <si>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</si>
  <si>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</si>
  <si>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</si>
  <si>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</si>
  <si>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</si>
  <si>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</si>
  <si>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</si>
  <si>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</si>
  <si>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</si>
  <si>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</si>
  <si>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</si>
  <si>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</si>
  <si>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</si>
  <si>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</si>
  <si>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</si>
  <si>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</si>
  <si>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</si>
  <si>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</si>
  <si>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</si>
  <si>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</si>
  <si>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</si>
  <si>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</si>
  <si>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</si>
  <si>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</si>
  <si>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</si>
  <si>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</si>
  <si>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</si>
  <si>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</si>
  <si>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</si>
  <si>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</si>
  <si>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</si>
  <si>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</si>
  <si>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</si>
  <si>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</si>
  <si>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</si>
  <si>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</si>
  <si>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</si>
  <si>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</si>
  <si>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</si>
  <si>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</si>
  <si>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</si>
  <si>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</si>
  <si>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</si>
  <si>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</si>
  <si>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</si>
  <si>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</si>
  <si>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</si>
  <si>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</si>
  <si>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</si>
  <si>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</si>
  <si>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</si>
  <si>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</si>
  <si>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</si>
  <si>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</si>
  <si>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</si>
  <si>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</si>
  <si>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</si>
  <si>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</si>
  <si>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</si>
  <si>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</si>
  <si>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</si>
  <si>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</si>
  <si>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</si>
  <si>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</si>
  <si>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</si>
  <si>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</si>
  <si>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</si>
  <si>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</si>
  <si>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</si>
  <si>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</si>
  <si>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</si>
  <si>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</si>
  <si>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</si>
  <si>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</si>
  <si>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</si>
  <si>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</si>
  <si>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</si>
  <si>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</si>
  <si>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</si>
  <si>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</si>
  <si>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</si>
  <si>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</si>
  <si>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</si>
  <si>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</si>
  <si>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</si>
  <si>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</si>
  <si>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</si>
  <si>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</si>
  <si>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</si>
  <si>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</si>
  <si>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</si>
  <si>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</si>
  <si>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</si>
  <si>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</si>
  <si>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</si>
  <si>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</si>
  <si>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</si>
  <si>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</si>
  <si>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</si>
  <si>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</si>
  <si>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</si>
  <si>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</si>
  <si>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</si>
  <si>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</si>
  <si>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</si>
  <si>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</si>
  <si>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</si>
  <si>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</si>
  <si>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</si>
  <si>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</si>
  <si>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</si>
  <si>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</si>
  <si>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</si>
  <si>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RO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</si>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</sst>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45967.47928240741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40594.9</v>
      </c>
      <c r="E2" s="19">
        <v>45143.6</v>
      </c>
      <c r="F2" s="19">
        <v>48695.7</v>
      </c>
      <c r="G2" s="19">
        <v>51108.5</v>
      </c>
      <c r="H2" s="19">
        <v>60402</v>
      </c>
      <c r="I2" s="19">
        <v>79223.899999999994</v>
      </c>
      <c r="J2" s="19">
        <v>97215.6</v>
      </c>
      <c r="K2" s="19">
        <v>127632</v>
      </c>
      <c r="L2" s="19">
        <v>146589.70000000001</v>
      </c>
      <c r="M2" s="19">
        <v>125219.8</v>
      </c>
      <c r="N2" s="19">
        <v>128305.3</v>
      </c>
      <c r="O2" s="19">
        <v>138528.20000000001</v>
      </c>
      <c r="P2" s="19">
        <v>139307.70000000001</v>
      </c>
      <c r="Q2" s="19">
        <v>142936</v>
      </c>
      <c r="R2" s="19">
        <v>150528.79999999999</v>
      </c>
      <c r="S2" s="19">
        <v>160289</v>
      </c>
      <c r="T2" s="19">
        <v>167497.1</v>
      </c>
      <c r="U2" s="19">
        <v>186399.2</v>
      </c>
      <c r="V2" s="19">
        <v>206201.2</v>
      </c>
      <c r="W2" s="19">
        <v>224767.4</v>
      </c>
      <c r="X2" s="19">
        <v>221075.5</v>
      </c>
      <c r="Y2" s="19">
        <v>242260.4</v>
      </c>
      <c r="Z2" s="19">
        <v>281761.40000000002</v>
      </c>
      <c r="AA2" s="19">
        <v>324368.59999999998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27935.3</v>
      </c>
      <c r="E3" s="23">
        <v>31223.1</v>
      </c>
      <c r="F3" s="23">
        <v>33447.699999999997</v>
      </c>
      <c r="G3" s="23">
        <v>35016.5</v>
      </c>
      <c r="H3" s="23">
        <v>42398.8</v>
      </c>
      <c r="I3" s="23">
        <v>56343.6</v>
      </c>
      <c r="J3" s="23">
        <v>66836.600000000006</v>
      </c>
      <c r="K3" s="23">
        <v>85967.7</v>
      </c>
      <c r="L3" s="23">
        <v>93656.5</v>
      </c>
      <c r="M3" s="23">
        <v>79041</v>
      </c>
      <c r="N3" s="23">
        <v>82706</v>
      </c>
      <c r="O3" s="23">
        <v>89298.2</v>
      </c>
      <c r="P3" s="23">
        <v>90111.5</v>
      </c>
      <c r="Q3" s="23">
        <v>87723.4</v>
      </c>
      <c r="R3" s="23">
        <v>91849.2</v>
      </c>
      <c r="S3" s="23">
        <v>98393</v>
      </c>
      <c r="T3" s="23">
        <v>103992.7</v>
      </c>
      <c r="U3" s="23">
        <v>117064.7</v>
      </c>
      <c r="V3" s="23">
        <v>131623.29999999999</v>
      </c>
      <c r="W3" s="23">
        <v>140242.79999999999</v>
      </c>
      <c r="X3" s="23">
        <v>135501.4</v>
      </c>
      <c r="Y3" s="23">
        <v>149094.5</v>
      </c>
      <c r="Z3" s="23">
        <v>178064.2</v>
      </c>
      <c r="AA3" s="23">
        <v>200697.5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36656.5</v>
      </c>
      <c r="E4" s="27">
        <v>40955.699999999997</v>
      </c>
      <c r="F4" s="27">
        <v>43982.8</v>
      </c>
      <c r="G4" s="27">
        <v>45599.199999999997</v>
      </c>
      <c r="H4" s="27">
        <v>54181.4</v>
      </c>
      <c r="I4" s="27">
        <v>70256.2</v>
      </c>
      <c r="J4" s="27">
        <v>86573</v>
      </c>
      <c r="K4" s="27">
        <v>113758.6</v>
      </c>
      <c r="L4" s="27">
        <v>131496.4</v>
      </c>
      <c r="M4" s="27">
        <v>113851.4</v>
      </c>
      <c r="N4" s="27">
        <v>114808.6</v>
      </c>
      <c r="O4" s="27">
        <v>122591</v>
      </c>
      <c r="P4" s="27">
        <v>123151.9</v>
      </c>
      <c r="Q4" s="27">
        <v>125977.2</v>
      </c>
      <c r="R4" s="27">
        <v>133119.6</v>
      </c>
      <c r="S4" s="27">
        <v>140803.79999999999</v>
      </c>
      <c r="T4" s="27">
        <v>149958.39999999999</v>
      </c>
      <c r="U4" s="27">
        <v>168623.9</v>
      </c>
      <c r="V4" s="27">
        <v>186523.9</v>
      </c>
      <c r="W4" s="27">
        <v>203517.6</v>
      </c>
      <c r="X4" s="27">
        <v>200437.6</v>
      </c>
      <c r="Y4" s="27">
        <v>218993.9</v>
      </c>
      <c r="Z4" s="27">
        <v>258682.9</v>
      </c>
      <c r="AA4" s="27">
        <v>296141.59999999998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4406.1000000000004</v>
      </c>
      <c r="E6" s="19">
        <v>5936.2</v>
      </c>
      <c r="F6" s="19">
        <v>5523.3</v>
      </c>
      <c r="G6" s="19">
        <v>6089.3</v>
      </c>
      <c r="H6" s="19">
        <v>7674.4</v>
      </c>
      <c r="I6" s="19">
        <v>6723</v>
      </c>
      <c r="J6" s="19">
        <v>7603</v>
      </c>
      <c r="K6" s="19">
        <v>7021.7</v>
      </c>
      <c r="L6" s="19">
        <v>9238</v>
      </c>
      <c r="M6" s="19">
        <v>7658.6</v>
      </c>
      <c r="N6" s="19">
        <v>6642.7</v>
      </c>
      <c r="O6" s="19">
        <v>8243.7000000000007</v>
      </c>
      <c r="P6" s="19">
        <v>6325.7</v>
      </c>
      <c r="Q6" s="19">
        <v>7875.4</v>
      </c>
      <c r="R6" s="19">
        <v>7448.7</v>
      </c>
      <c r="S6" s="19">
        <v>7094.3</v>
      </c>
      <c r="T6" s="19">
        <v>7189.3</v>
      </c>
      <c r="U6" s="19">
        <v>8274</v>
      </c>
      <c r="V6" s="19">
        <v>9268.7999999999993</v>
      </c>
      <c r="W6" s="19">
        <v>9663.2000000000007</v>
      </c>
      <c r="X6" s="19">
        <v>8986.2000000000007</v>
      </c>
      <c r="Y6" s="19">
        <v>11157.7</v>
      </c>
      <c r="Z6" s="19">
        <v>10743.3</v>
      </c>
      <c r="AA6" s="19">
        <v>12576.6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10166.4</v>
      </c>
      <c r="E7" s="23">
        <v>12026.6</v>
      </c>
      <c r="F7" s="23">
        <v>13224</v>
      </c>
      <c r="G7" s="23">
        <v>13153.4</v>
      </c>
      <c r="H7" s="23">
        <v>15375.4</v>
      </c>
      <c r="I7" s="23">
        <v>20000.900000000001</v>
      </c>
      <c r="J7" s="23">
        <v>24313.5</v>
      </c>
      <c r="K7" s="23">
        <v>31530.2</v>
      </c>
      <c r="L7" s="23">
        <v>37263.300000000003</v>
      </c>
      <c r="M7" s="23">
        <v>32229.1</v>
      </c>
      <c r="N7" s="23">
        <v>38910.1</v>
      </c>
      <c r="O7" s="23">
        <v>46578.400000000001</v>
      </c>
      <c r="P7" s="23">
        <v>37443.4</v>
      </c>
      <c r="Q7" s="23">
        <v>36022.6</v>
      </c>
      <c r="R7" s="23">
        <v>39429.800000000003</v>
      </c>
      <c r="S7" s="23">
        <v>39895.199999999997</v>
      </c>
      <c r="T7" s="23">
        <v>40352.199999999997</v>
      </c>
      <c r="U7" s="23">
        <v>44160.9</v>
      </c>
      <c r="V7" s="23">
        <v>47339.4</v>
      </c>
      <c r="W7" s="23">
        <v>47894.5</v>
      </c>
      <c r="X7" s="23">
        <v>44251.199999999997</v>
      </c>
      <c r="Y7" s="23">
        <v>47663.4</v>
      </c>
      <c r="Z7" s="23">
        <v>57880.5</v>
      </c>
      <c r="AA7" s="23">
        <v>61943.199999999997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2119</v>
      </c>
      <c r="E8" s="23">
        <v>2571.6</v>
      </c>
      <c r="F8" s="23">
        <v>3004.8</v>
      </c>
      <c r="G8" s="23">
        <v>3226.1</v>
      </c>
      <c r="H8" s="23">
        <v>3853.5</v>
      </c>
      <c r="I8" s="23">
        <v>5561.4</v>
      </c>
      <c r="J8" s="23">
        <v>7746.5</v>
      </c>
      <c r="K8" s="23">
        <v>12224.8</v>
      </c>
      <c r="L8" s="23">
        <v>16644.2</v>
      </c>
      <c r="M8" s="23">
        <v>13379.9</v>
      </c>
      <c r="N8" s="23">
        <v>10240.200000000001</v>
      </c>
      <c r="O8" s="23">
        <v>9123.6</v>
      </c>
      <c r="P8" s="23">
        <v>10517</v>
      </c>
      <c r="Q8" s="23">
        <v>9820.7000000000007</v>
      </c>
      <c r="R8" s="23">
        <v>9597.4</v>
      </c>
      <c r="S8" s="23">
        <v>9492.7000000000007</v>
      </c>
      <c r="T8" s="23">
        <v>10100.299999999999</v>
      </c>
      <c r="U8" s="23">
        <v>10105.700000000001</v>
      </c>
      <c r="V8" s="23">
        <v>12277.2</v>
      </c>
      <c r="W8" s="23">
        <v>14204.3</v>
      </c>
      <c r="X8" s="23">
        <v>14305.8</v>
      </c>
      <c r="Y8" s="23">
        <v>15517.8</v>
      </c>
      <c r="Z8" s="23">
        <v>19139.7</v>
      </c>
      <c r="AA8" s="23">
        <v>24622.1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7437.4</v>
      </c>
      <c r="E9" s="23">
        <v>7612.3</v>
      </c>
      <c r="F9" s="23">
        <v>8009.8</v>
      </c>
      <c r="G9" s="23">
        <v>8939.6</v>
      </c>
      <c r="H9" s="23">
        <v>10535.8</v>
      </c>
      <c r="I9" s="23">
        <v>14866.1</v>
      </c>
      <c r="J9" s="23">
        <v>18718</v>
      </c>
      <c r="K9" s="23">
        <v>25018.6</v>
      </c>
      <c r="L9" s="23">
        <v>26420.7</v>
      </c>
      <c r="M9" s="23">
        <v>22992.6</v>
      </c>
      <c r="N9" s="23">
        <v>15424.3</v>
      </c>
      <c r="O9" s="23">
        <v>13265.8</v>
      </c>
      <c r="P9" s="23">
        <v>22740.2</v>
      </c>
      <c r="Q9" s="23">
        <v>20202.7</v>
      </c>
      <c r="R9" s="23">
        <v>21197</v>
      </c>
      <c r="S9" s="23">
        <v>25496.6</v>
      </c>
      <c r="T9" s="23">
        <v>28691.7</v>
      </c>
      <c r="U9" s="23">
        <v>32795.5</v>
      </c>
      <c r="V9" s="23">
        <v>36908.300000000003</v>
      </c>
      <c r="W9" s="23">
        <v>40216.400000000001</v>
      </c>
      <c r="X9" s="23">
        <v>41074.5</v>
      </c>
      <c r="Y9" s="23">
        <v>48606.6</v>
      </c>
      <c r="Z9" s="23">
        <v>58872.6</v>
      </c>
      <c r="AA9" s="23">
        <v>66122.399999999994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1988.4</v>
      </c>
      <c r="E10" s="23">
        <v>2101.4</v>
      </c>
      <c r="F10" s="23">
        <v>2177</v>
      </c>
      <c r="G10" s="23">
        <v>2248.5</v>
      </c>
      <c r="H10" s="23">
        <v>2585.8000000000002</v>
      </c>
      <c r="I10" s="23">
        <v>3167.9</v>
      </c>
      <c r="J10" s="23">
        <v>3998.2</v>
      </c>
      <c r="K10" s="23">
        <v>5846.2</v>
      </c>
      <c r="L10" s="23">
        <v>6355.7</v>
      </c>
      <c r="M10" s="23">
        <v>5088</v>
      </c>
      <c r="N10" s="23">
        <v>5190.3</v>
      </c>
      <c r="O10" s="23">
        <v>5494.8</v>
      </c>
      <c r="P10" s="23">
        <v>5948.6</v>
      </c>
      <c r="Q10" s="23">
        <v>7340.6</v>
      </c>
      <c r="R10" s="23">
        <v>7323.3</v>
      </c>
      <c r="S10" s="23">
        <v>8081.3</v>
      </c>
      <c r="T10" s="23">
        <v>8691.7000000000007</v>
      </c>
      <c r="U10" s="23">
        <v>10334.5</v>
      </c>
      <c r="V10" s="23">
        <v>10997</v>
      </c>
      <c r="W10" s="23">
        <v>12755.1</v>
      </c>
      <c r="X10" s="23">
        <v>13974.6</v>
      </c>
      <c r="Y10" s="23">
        <v>15489.9</v>
      </c>
      <c r="Z10" s="23">
        <v>19490.2</v>
      </c>
      <c r="AA10" s="23">
        <v>22534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1645.7</v>
      </c>
      <c r="E11" s="23">
        <v>1589</v>
      </c>
      <c r="F11" s="23">
        <v>1257.0999999999999</v>
      </c>
      <c r="G11" s="23">
        <v>1006.3</v>
      </c>
      <c r="H11" s="23">
        <v>1385</v>
      </c>
      <c r="I11" s="23">
        <v>1631.2</v>
      </c>
      <c r="J11" s="23">
        <v>1781.7</v>
      </c>
      <c r="K11" s="23">
        <v>2425.1999999999998</v>
      </c>
      <c r="L11" s="23">
        <v>3065</v>
      </c>
      <c r="M11" s="23">
        <v>2528.6999999999998</v>
      </c>
      <c r="N11" s="23">
        <v>2959.4</v>
      </c>
      <c r="O11" s="23">
        <v>3567.2</v>
      </c>
      <c r="P11" s="23">
        <v>3724.8</v>
      </c>
      <c r="Q11" s="23">
        <v>5315.6</v>
      </c>
      <c r="R11" s="23">
        <v>4917.3</v>
      </c>
      <c r="S11" s="23">
        <v>4877.2</v>
      </c>
      <c r="T11" s="23">
        <v>5497</v>
      </c>
      <c r="U11" s="23">
        <v>4617.3</v>
      </c>
      <c r="V11" s="23">
        <v>5006.3</v>
      </c>
      <c r="W11" s="23">
        <v>5110.8</v>
      </c>
      <c r="X11" s="23">
        <v>6565.6</v>
      </c>
      <c r="Y11" s="23">
        <v>6807.9</v>
      </c>
      <c r="Z11" s="23">
        <v>8176.3</v>
      </c>
      <c r="AA11" s="23">
        <v>8951.7000000000007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2974.6</v>
      </c>
      <c r="E12" s="23">
        <v>3155.7</v>
      </c>
      <c r="F12" s="23">
        <v>3734.7</v>
      </c>
      <c r="G12" s="23">
        <v>3492.3</v>
      </c>
      <c r="H12" s="23">
        <v>3981.7</v>
      </c>
      <c r="I12" s="23">
        <v>5975.2</v>
      </c>
      <c r="J12" s="23">
        <v>6870.3</v>
      </c>
      <c r="K12" s="23">
        <v>10641.5</v>
      </c>
      <c r="L12" s="23">
        <v>9733.7000000000007</v>
      </c>
      <c r="M12" s="23">
        <v>10008.9</v>
      </c>
      <c r="N12" s="23">
        <v>11116.1</v>
      </c>
      <c r="O12" s="23">
        <v>11229.8</v>
      </c>
      <c r="P12" s="23">
        <v>11492.3</v>
      </c>
      <c r="Q12" s="23">
        <v>11590.9</v>
      </c>
      <c r="R12" s="23">
        <v>12424.7</v>
      </c>
      <c r="S12" s="23">
        <v>13739.5</v>
      </c>
      <c r="T12" s="23">
        <v>14016.2</v>
      </c>
      <c r="U12" s="23">
        <v>15410</v>
      </c>
      <c r="V12" s="23">
        <v>15829.7</v>
      </c>
      <c r="W12" s="23">
        <v>17850.099999999999</v>
      </c>
      <c r="X12" s="23">
        <v>17114.3</v>
      </c>
      <c r="Y12" s="23">
        <v>18644</v>
      </c>
      <c r="Z12" s="23">
        <v>21050</v>
      </c>
      <c r="AA12" s="23">
        <v>23447.8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990.7</v>
      </c>
      <c r="E13" s="23">
        <v>1020.2</v>
      </c>
      <c r="F13" s="23">
        <v>1436.4</v>
      </c>
      <c r="G13" s="23">
        <v>1613.3</v>
      </c>
      <c r="H13" s="23">
        <v>1740.2</v>
      </c>
      <c r="I13" s="23">
        <v>2378.1999999999998</v>
      </c>
      <c r="J13" s="23">
        <v>3542.9</v>
      </c>
      <c r="K13" s="23">
        <v>4791</v>
      </c>
      <c r="L13" s="23">
        <v>5877.5</v>
      </c>
      <c r="M13" s="23">
        <v>5470.5</v>
      </c>
      <c r="N13" s="23">
        <v>6126.7</v>
      </c>
      <c r="O13" s="23">
        <v>7069.3</v>
      </c>
      <c r="P13" s="23">
        <v>6941.4</v>
      </c>
      <c r="Q13" s="23">
        <v>9064.7000000000007</v>
      </c>
      <c r="R13" s="23">
        <v>9362.9</v>
      </c>
      <c r="S13" s="23">
        <v>11316.1</v>
      </c>
      <c r="T13" s="23">
        <v>11533.8</v>
      </c>
      <c r="U13" s="23">
        <v>14137.1</v>
      </c>
      <c r="V13" s="23">
        <v>14863.7</v>
      </c>
      <c r="W13" s="23">
        <v>17331.7</v>
      </c>
      <c r="X13" s="23">
        <v>16162.1</v>
      </c>
      <c r="Y13" s="23">
        <v>17165.7</v>
      </c>
      <c r="Z13" s="23">
        <v>21759.599999999999</v>
      </c>
      <c r="AA13" s="23">
        <v>27660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3815.2999999999956</v>
      </c>
      <c r="E14" s="23">
        <v>4005.3000000000029</v>
      </c>
      <c r="F14" s="23">
        <v>4602.5000000000073</v>
      </c>
      <c r="G14" s="23">
        <v>4719.1999999999898</v>
      </c>
      <c r="H14" s="23">
        <v>5766.3000000000029</v>
      </c>
      <c r="I14" s="23">
        <v>8231.1000000000058</v>
      </c>
      <c r="J14" s="23">
        <v>9685.1000000000058</v>
      </c>
      <c r="K14" s="23">
        <v>11232.800000000017</v>
      </c>
      <c r="L14" s="23">
        <v>13638.100000000006</v>
      </c>
      <c r="M14" s="23">
        <v>11150</v>
      </c>
      <c r="N14" s="23">
        <v>14656</v>
      </c>
      <c r="O14" s="23">
        <v>13604.699999999997</v>
      </c>
      <c r="P14" s="23">
        <v>14022.099999999991</v>
      </c>
      <c r="Q14" s="23">
        <v>15208.800000000003</v>
      </c>
      <c r="R14" s="23">
        <v>17316.10000000002</v>
      </c>
      <c r="S14" s="23">
        <v>15732.799999999988</v>
      </c>
      <c r="T14" s="23">
        <v>18899.099999999991</v>
      </c>
      <c r="U14" s="23">
        <v>22948.199999999983</v>
      </c>
      <c r="V14" s="23">
        <v>27337.899999999965</v>
      </c>
      <c r="W14" s="23">
        <v>31271.299999999988</v>
      </c>
      <c r="X14" s="23">
        <v>32305.299999999988</v>
      </c>
      <c r="Y14" s="23">
        <v>31724.299999999988</v>
      </c>
      <c r="Z14" s="23">
        <v>34231.999999999971</v>
      </c>
      <c r="AA14" s="23">
        <v>39173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1112.9000000000001</v>
      </c>
      <c r="E15" s="23">
        <v>937.4</v>
      </c>
      <c r="F15" s="23">
        <v>1013.2</v>
      </c>
      <c r="G15" s="23">
        <v>1111.2</v>
      </c>
      <c r="H15" s="23">
        <v>1283.3</v>
      </c>
      <c r="I15" s="23">
        <v>1721.2</v>
      </c>
      <c r="J15" s="23">
        <v>2313.8000000000002</v>
      </c>
      <c r="K15" s="23">
        <v>3026.6</v>
      </c>
      <c r="L15" s="23">
        <v>3260.2</v>
      </c>
      <c r="M15" s="23">
        <v>3345.1</v>
      </c>
      <c r="N15" s="23">
        <v>3542.8</v>
      </c>
      <c r="O15" s="23">
        <v>4413.7</v>
      </c>
      <c r="P15" s="23">
        <v>3996.4</v>
      </c>
      <c r="Q15" s="23">
        <v>3535.2</v>
      </c>
      <c r="R15" s="23">
        <v>4102.3999999999996</v>
      </c>
      <c r="S15" s="23">
        <v>5078.1000000000004</v>
      </c>
      <c r="T15" s="23">
        <v>4987.1000000000004</v>
      </c>
      <c r="U15" s="23">
        <v>5840.7</v>
      </c>
      <c r="V15" s="23">
        <v>6695.6</v>
      </c>
      <c r="W15" s="23">
        <v>7220.2</v>
      </c>
      <c r="X15" s="23">
        <v>5698</v>
      </c>
      <c r="Y15" s="23">
        <v>6216.6</v>
      </c>
      <c r="Z15" s="23">
        <v>7338.7</v>
      </c>
      <c r="AA15" s="23">
        <v>9110.7999999999993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36656.5</v>
      </c>
      <c r="E16" s="30">
        <f t="shared" ref="E16:Y16" si="0">SUM(E6:E15)</f>
        <v>40955.699999999997</v>
      </c>
      <c r="F16" s="30">
        <f t="shared" si="0"/>
        <v>43982.8</v>
      </c>
      <c r="G16" s="30">
        <f t="shared" si="0"/>
        <v>45599.199999999997</v>
      </c>
      <c r="H16" s="30">
        <f t="shared" si="0"/>
        <v>54181.4</v>
      </c>
      <c r="I16" s="30">
        <f t="shared" si="0"/>
        <v>70256.2</v>
      </c>
      <c r="J16" s="30">
        <f t="shared" si="0"/>
        <v>86573</v>
      </c>
      <c r="K16" s="30">
        <f t="shared" si="0"/>
        <v>113758.6</v>
      </c>
      <c r="L16" s="30">
        <f t="shared" si="0"/>
        <v>131496.4</v>
      </c>
      <c r="M16" s="30">
        <f t="shared" si="0"/>
        <v>113851.4</v>
      </c>
      <c r="N16" s="30">
        <f t="shared" si="0"/>
        <v>114808.6</v>
      </c>
      <c r="O16" s="30">
        <f t="shared" si="0"/>
        <v>122591</v>
      </c>
      <c r="P16" s="30">
        <f t="shared" si="0"/>
        <v>123151.9</v>
      </c>
      <c r="Q16" s="30">
        <f t="shared" si="0"/>
        <v>125977.2</v>
      </c>
      <c r="R16" s="30">
        <f t="shared" si="0"/>
        <v>133119.6</v>
      </c>
      <c r="S16" s="30">
        <f t="shared" si="0"/>
        <v>140803.79999999999</v>
      </c>
      <c r="T16" s="30">
        <f t="shared" si="0"/>
        <v>149958.39999999999</v>
      </c>
      <c r="U16" s="30">
        <f t="shared" si="0"/>
        <v>168623.9</v>
      </c>
      <c r="V16" s="30">
        <f t="shared" si="0"/>
        <v>186523.9</v>
      </c>
      <c r="W16" s="30">
        <f t="shared" si="0"/>
        <v>203517.6</v>
      </c>
      <c r="X16" s="30">
        <f t="shared" si="0"/>
        <v>200437.6</v>
      </c>
      <c r="Y16" s="30">
        <f t="shared" si="0"/>
        <v>218993.9</v>
      </c>
      <c r="Z16" s="30">
        <f t="shared" ref="Z16:AA16" si="1">SUM(Z6:Z15)</f>
        <v>258682.9</v>
      </c>
      <c r="AA16" s="30">
        <f t="shared" si="1"/>
        <v>296141.59999999998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4406.1000000000004</v>
      </c>
      <c r="E18" s="19">
        <v>5936.2</v>
      </c>
      <c r="F18" s="19">
        <v>5523.3</v>
      </c>
      <c r="G18" s="19">
        <v>6089.3</v>
      </c>
      <c r="H18" s="19">
        <v>7674.4</v>
      </c>
      <c r="I18" s="19">
        <v>6723</v>
      </c>
      <c r="J18" s="19">
        <v>7603</v>
      </c>
      <c r="K18" s="19">
        <v>7021.7</v>
      </c>
      <c r="L18" s="19">
        <v>9238</v>
      </c>
      <c r="M18" s="19">
        <v>7658.6</v>
      </c>
      <c r="N18" s="19">
        <v>6642.7</v>
      </c>
      <c r="O18" s="19">
        <v>8243.7000000000007</v>
      </c>
      <c r="P18" s="19">
        <v>6325.7</v>
      </c>
      <c r="Q18" s="19">
        <v>7875.4</v>
      </c>
      <c r="R18" s="19">
        <v>7448.7</v>
      </c>
      <c r="S18" s="19">
        <v>7094.3</v>
      </c>
      <c r="T18" s="19">
        <v>7189.3</v>
      </c>
      <c r="U18" s="19">
        <v>8274</v>
      </c>
      <c r="V18" s="19">
        <v>9268.7999999999993</v>
      </c>
      <c r="W18" s="19">
        <v>9663.2000000000007</v>
      </c>
      <c r="X18" s="19">
        <v>8986.2000000000007</v>
      </c>
      <c r="Y18" s="19">
        <v>11157.7</v>
      </c>
      <c r="Z18" s="19">
        <v>10743.3</v>
      </c>
      <c r="AA18" s="19">
        <v>12576.6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832.53920783685749</v>
      </c>
      <c r="E19" s="23">
        <v>829.20000000000016</v>
      </c>
      <c r="F19" s="23">
        <v>883.59999999999991</v>
      </c>
      <c r="G19" s="23">
        <v>743.66896465384104</v>
      </c>
      <c r="H19" s="23">
        <v>815.89999999999964</v>
      </c>
      <c r="I19" s="23">
        <v>1063.700000000001</v>
      </c>
      <c r="J19" s="23">
        <v>1375.3999999999999</v>
      </c>
      <c r="K19" s="23">
        <v>1614.0000000000002</v>
      </c>
      <c r="L19" s="23">
        <v>1419.4278674362913</v>
      </c>
      <c r="M19" s="23">
        <v>1614.5</v>
      </c>
      <c r="N19" s="23">
        <v>1908.7786492472201</v>
      </c>
      <c r="O19" s="23">
        <v>1187.7888815044321</v>
      </c>
      <c r="P19" s="23">
        <v>2226.1</v>
      </c>
      <c r="Q19" s="23">
        <v>1548.7782709952573</v>
      </c>
      <c r="R19" s="23">
        <v>1219.9826857029325</v>
      </c>
      <c r="S19" s="23">
        <v>1477.9999999999993</v>
      </c>
      <c r="T19" s="23">
        <v>1119.2999999999995</v>
      </c>
      <c r="U19" s="23">
        <v>1228.3</v>
      </c>
      <c r="V19" s="23">
        <v>1508.6819555077145</v>
      </c>
      <c r="W19" s="23">
        <v>2012.5786082501611</v>
      </c>
      <c r="X19" s="23">
        <v>1831.6803372836962</v>
      </c>
      <c r="Y19" s="23">
        <v>1539.7156305199694</v>
      </c>
      <c r="Z19" s="23">
        <v>5017.6739306403433</v>
      </c>
      <c r="AA19" s="23">
        <v>3760.382094697547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8043</v>
      </c>
      <c r="E20" s="23">
        <v>9941</v>
      </c>
      <c r="F20" s="23">
        <v>10620.2</v>
      </c>
      <c r="G20" s="23">
        <v>10757.2</v>
      </c>
      <c r="H20" s="23">
        <v>12830.6</v>
      </c>
      <c r="I20" s="23">
        <v>16849.3</v>
      </c>
      <c r="J20" s="23">
        <v>20517.7</v>
      </c>
      <c r="K20" s="23">
        <v>26838.5</v>
      </c>
      <c r="L20" s="23">
        <v>32169.8</v>
      </c>
      <c r="M20" s="23">
        <v>26303.599999999999</v>
      </c>
      <c r="N20" s="23">
        <v>29970</v>
      </c>
      <c r="O20" s="23">
        <v>35895.4</v>
      </c>
      <c r="P20" s="23">
        <v>29642.400000000001</v>
      </c>
      <c r="Q20" s="23">
        <v>28894.9</v>
      </c>
      <c r="R20" s="23">
        <v>32383.7</v>
      </c>
      <c r="S20" s="23">
        <v>32391.200000000001</v>
      </c>
      <c r="T20" s="23">
        <v>33707.599999999999</v>
      </c>
      <c r="U20" s="23">
        <v>36964.400000000001</v>
      </c>
      <c r="V20" s="23">
        <v>38978.5</v>
      </c>
      <c r="W20" s="23">
        <v>38486.300000000003</v>
      </c>
      <c r="X20" s="23">
        <v>34935.699999999997</v>
      </c>
      <c r="Y20" s="23">
        <v>37812.699999999997</v>
      </c>
      <c r="Z20" s="23">
        <v>38633.1</v>
      </c>
      <c r="AA20" s="23">
        <v>40941.699999999997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1021.5481090754954</v>
      </c>
      <c r="E21" s="23">
        <v>962.20000000000027</v>
      </c>
      <c r="F21" s="23">
        <v>1441.0999999999997</v>
      </c>
      <c r="G21" s="23">
        <v>1396.64171430956</v>
      </c>
      <c r="H21" s="23">
        <v>1454.3999999999994</v>
      </c>
      <c r="I21" s="23">
        <v>1696.3000000000013</v>
      </c>
      <c r="J21" s="23">
        <v>1942.9999999999995</v>
      </c>
      <c r="K21" s="23">
        <v>2456.1000000000004</v>
      </c>
      <c r="L21" s="23">
        <v>2902.0569756940376</v>
      </c>
      <c r="M21" s="23">
        <v>3516.3</v>
      </c>
      <c r="N21" s="23">
        <v>5388.8397228249914</v>
      </c>
      <c r="O21" s="23">
        <v>7610.1287641227727</v>
      </c>
      <c r="P21" s="23">
        <v>4328.8999999999996</v>
      </c>
      <c r="Q21" s="23">
        <v>4248.9403883386158</v>
      </c>
      <c r="R21" s="23">
        <v>4508.6360123186978</v>
      </c>
      <c r="S21" s="23">
        <v>4659.9999999999982</v>
      </c>
      <c r="T21" s="23">
        <v>4122.7999999999984</v>
      </c>
      <c r="U21" s="23">
        <v>4575.1000000000004</v>
      </c>
      <c r="V21" s="23">
        <v>5254.9371486664286</v>
      </c>
      <c r="W21" s="23">
        <v>5533.441184911193</v>
      </c>
      <c r="X21" s="23">
        <v>5528.4406533127221</v>
      </c>
      <c r="Y21" s="23">
        <v>6002.460934359332</v>
      </c>
      <c r="Z21" s="23">
        <v>11877.638289648008</v>
      </c>
      <c r="AA21" s="23">
        <v>14271.432045653664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269.31268308764652</v>
      </c>
      <c r="E22" s="23">
        <v>294.20000000000005</v>
      </c>
      <c r="F22" s="23">
        <v>279.09999999999997</v>
      </c>
      <c r="G22" s="23">
        <v>255.88932103659795</v>
      </c>
      <c r="H22" s="23">
        <v>274.49999999999989</v>
      </c>
      <c r="I22" s="23">
        <v>391.60000000000031</v>
      </c>
      <c r="J22" s="23">
        <v>477.39999999999992</v>
      </c>
      <c r="K22" s="23">
        <v>621.60000000000014</v>
      </c>
      <c r="L22" s="23">
        <v>772.01515686967514</v>
      </c>
      <c r="M22" s="23">
        <v>794.7</v>
      </c>
      <c r="N22" s="23">
        <v>1642.4816279277866</v>
      </c>
      <c r="O22" s="23">
        <v>1885.0823543727943</v>
      </c>
      <c r="P22" s="23">
        <v>1246</v>
      </c>
      <c r="Q22" s="23">
        <v>1329.9813406661237</v>
      </c>
      <c r="R22" s="23">
        <v>1317.4813019783719</v>
      </c>
      <c r="S22" s="23">
        <v>1365.9999999999993</v>
      </c>
      <c r="T22" s="23">
        <v>1402.4999999999995</v>
      </c>
      <c r="U22" s="23">
        <v>1393.1</v>
      </c>
      <c r="V22" s="23">
        <v>1597.2808958258586</v>
      </c>
      <c r="W22" s="23">
        <v>1862.1802068386417</v>
      </c>
      <c r="X22" s="23">
        <v>1955.379009403581</v>
      </c>
      <c r="Y22" s="23">
        <v>2308.5234351207046</v>
      </c>
      <c r="Z22" s="23">
        <v>2352.0877797116509</v>
      </c>
      <c r="AA22" s="23">
        <v>2969.6858596487882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2119</v>
      </c>
      <c r="E23" s="23">
        <v>2571.6</v>
      </c>
      <c r="F23" s="23">
        <v>3004.8</v>
      </c>
      <c r="G23" s="23">
        <v>3226.1</v>
      </c>
      <c r="H23" s="23">
        <v>3853.5</v>
      </c>
      <c r="I23" s="23">
        <v>5561.4</v>
      </c>
      <c r="J23" s="23">
        <v>7746.5</v>
      </c>
      <c r="K23" s="23">
        <v>12224.8</v>
      </c>
      <c r="L23" s="23">
        <v>16644.2</v>
      </c>
      <c r="M23" s="23">
        <v>13379.9</v>
      </c>
      <c r="N23" s="23">
        <v>10240.200000000001</v>
      </c>
      <c r="O23" s="23">
        <v>9123.6</v>
      </c>
      <c r="P23" s="23">
        <v>10517</v>
      </c>
      <c r="Q23" s="23">
        <v>9820.7000000000007</v>
      </c>
      <c r="R23" s="23">
        <v>9597.4</v>
      </c>
      <c r="S23" s="23">
        <v>9492.7000000000007</v>
      </c>
      <c r="T23" s="23">
        <v>10100.299999999999</v>
      </c>
      <c r="U23" s="23">
        <v>10105.700000000001</v>
      </c>
      <c r="V23" s="23">
        <v>12277.2</v>
      </c>
      <c r="W23" s="23">
        <v>14204.3</v>
      </c>
      <c r="X23" s="23">
        <v>14305.8</v>
      </c>
      <c r="Y23" s="23">
        <v>15517.8</v>
      </c>
      <c r="Z23" s="23">
        <v>19139.7</v>
      </c>
      <c r="AA23" s="23">
        <v>24622.1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4254.7999999999993</v>
      </c>
      <c r="E24" s="23">
        <v>4033.6</v>
      </c>
      <c r="F24" s="23">
        <v>4080.3</v>
      </c>
      <c r="G24" s="23">
        <v>4612.8</v>
      </c>
      <c r="H24" s="23">
        <v>5455.2999999999993</v>
      </c>
      <c r="I24" s="23">
        <v>7680.3</v>
      </c>
      <c r="J24" s="23">
        <v>9816.2000000000007</v>
      </c>
      <c r="K24" s="23">
        <v>12982.299999999997</v>
      </c>
      <c r="L24" s="23">
        <v>14142.400000000001</v>
      </c>
      <c r="M24" s="23">
        <v>10612.8</v>
      </c>
      <c r="N24" s="23">
        <v>6066.2999999999993</v>
      </c>
      <c r="O24" s="23">
        <v>5883.2999999999993</v>
      </c>
      <c r="P24" s="23">
        <v>12152.1</v>
      </c>
      <c r="Q24" s="23">
        <v>8573.2000000000007</v>
      </c>
      <c r="R24" s="23">
        <v>10346</v>
      </c>
      <c r="S24" s="23">
        <v>12829.199999999997</v>
      </c>
      <c r="T24" s="23">
        <v>15226.300000000001</v>
      </c>
      <c r="U24" s="23">
        <v>17771.400000000001</v>
      </c>
      <c r="V24" s="23">
        <v>20150.100000000002</v>
      </c>
      <c r="W24" s="23">
        <v>21261.4</v>
      </c>
      <c r="X24" s="23">
        <v>24332.6</v>
      </c>
      <c r="Y24" s="23">
        <v>30900.799999999999</v>
      </c>
      <c r="Z24" s="23">
        <v>35176.699999999997</v>
      </c>
      <c r="AA24" s="23">
        <v>39473.799999999996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2325.4</v>
      </c>
      <c r="E25" s="23">
        <v>2793.8</v>
      </c>
      <c r="F25" s="23">
        <v>3054.7</v>
      </c>
      <c r="G25" s="23">
        <v>3493.9</v>
      </c>
      <c r="H25" s="23">
        <v>4137.8999999999996</v>
      </c>
      <c r="I25" s="23">
        <v>5774.5</v>
      </c>
      <c r="J25" s="23">
        <v>7013.8</v>
      </c>
      <c r="K25" s="23">
        <v>10167.6</v>
      </c>
      <c r="L25" s="23">
        <v>10315.9</v>
      </c>
      <c r="M25" s="23">
        <v>10492.8</v>
      </c>
      <c r="N25" s="23">
        <v>7849.7</v>
      </c>
      <c r="O25" s="23">
        <v>6129.5</v>
      </c>
      <c r="P25" s="23">
        <v>8693.7000000000007</v>
      </c>
      <c r="Q25" s="23">
        <v>9482.2000000000007</v>
      </c>
      <c r="R25" s="23">
        <v>9236.7000000000007</v>
      </c>
      <c r="S25" s="23">
        <v>10337.200000000001</v>
      </c>
      <c r="T25" s="23">
        <v>10615.5</v>
      </c>
      <c r="U25" s="23">
        <v>11786.9</v>
      </c>
      <c r="V25" s="23">
        <v>12911.3</v>
      </c>
      <c r="W25" s="23">
        <v>14001.1</v>
      </c>
      <c r="X25" s="23">
        <v>13809.1</v>
      </c>
      <c r="Y25" s="23">
        <v>14776.1</v>
      </c>
      <c r="Z25" s="23">
        <v>19653.5</v>
      </c>
      <c r="AA25" s="23">
        <v>21589.1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857.2</v>
      </c>
      <c r="E26" s="23">
        <v>784.9</v>
      </c>
      <c r="F26" s="23">
        <v>874.8</v>
      </c>
      <c r="G26" s="23">
        <v>832.9</v>
      </c>
      <c r="H26" s="23">
        <v>942.6</v>
      </c>
      <c r="I26" s="23">
        <v>1411.3</v>
      </c>
      <c r="J26" s="23">
        <v>1888</v>
      </c>
      <c r="K26" s="23">
        <v>1868.7</v>
      </c>
      <c r="L26" s="23">
        <v>1962.4</v>
      </c>
      <c r="M26" s="23">
        <v>1887</v>
      </c>
      <c r="N26" s="23">
        <v>1508.3</v>
      </c>
      <c r="O26" s="23">
        <v>1253</v>
      </c>
      <c r="P26" s="23">
        <v>1894.4</v>
      </c>
      <c r="Q26" s="23">
        <v>2147.3000000000002</v>
      </c>
      <c r="R26" s="23">
        <v>1614.3</v>
      </c>
      <c r="S26" s="23">
        <v>2330.1999999999998</v>
      </c>
      <c r="T26" s="23">
        <v>2849.9</v>
      </c>
      <c r="U26" s="23">
        <v>3237.2</v>
      </c>
      <c r="V26" s="23">
        <v>3846.9</v>
      </c>
      <c r="W26" s="23">
        <v>4953.8999999999996</v>
      </c>
      <c r="X26" s="23">
        <v>2932.8</v>
      </c>
      <c r="Y26" s="23">
        <v>2929.7</v>
      </c>
      <c r="Z26" s="23">
        <v>4042.4</v>
      </c>
      <c r="AA26" s="23">
        <v>5059.5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1988.4</v>
      </c>
      <c r="E27" s="23">
        <v>2101.4</v>
      </c>
      <c r="F27" s="23">
        <v>2177</v>
      </c>
      <c r="G27" s="23">
        <v>2248.5</v>
      </c>
      <c r="H27" s="23">
        <v>2585.8000000000002</v>
      </c>
      <c r="I27" s="23">
        <v>3167.9</v>
      </c>
      <c r="J27" s="23">
        <v>3998.2</v>
      </c>
      <c r="K27" s="23">
        <v>5846.2</v>
      </c>
      <c r="L27" s="23">
        <v>6355.7</v>
      </c>
      <c r="M27" s="23">
        <v>5088</v>
      </c>
      <c r="N27" s="23">
        <v>5190.3</v>
      </c>
      <c r="O27" s="23">
        <v>5494.8</v>
      </c>
      <c r="P27" s="23">
        <v>5948.6</v>
      </c>
      <c r="Q27" s="23">
        <v>7340.6</v>
      </c>
      <c r="R27" s="23">
        <v>7323.3</v>
      </c>
      <c r="S27" s="23">
        <v>8081.3</v>
      </c>
      <c r="T27" s="23">
        <v>8691.7000000000007</v>
      </c>
      <c r="U27" s="23">
        <v>10334.5</v>
      </c>
      <c r="V27" s="23">
        <v>10997</v>
      </c>
      <c r="W27" s="23">
        <v>12755.1</v>
      </c>
      <c r="X27" s="23">
        <v>13974.6</v>
      </c>
      <c r="Y27" s="23">
        <v>15489.9</v>
      </c>
      <c r="Z27" s="23">
        <v>19490.2</v>
      </c>
      <c r="AA27" s="23">
        <v>22534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1645.7</v>
      </c>
      <c r="E28" s="23">
        <v>1589</v>
      </c>
      <c r="F28" s="23">
        <v>1257.0999999999999</v>
      </c>
      <c r="G28" s="23">
        <v>1006.3</v>
      </c>
      <c r="H28" s="23">
        <v>1385</v>
      </c>
      <c r="I28" s="23">
        <v>1631.2</v>
      </c>
      <c r="J28" s="23">
        <v>1781.7</v>
      </c>
      <c r="K28" s="23">
        <v>2425.1999999999998</v>
      </c>
      <c r="L28" s="23">
        <v>3065</v>
      </c>
      <c r="M28" s="23">
        <v>2528.6999999999998</v>
      </c>
      <c r="N28" s="23">
        <v>2959.4</v>
      </c>
      <c r="O28" s="23">
        <v>3567.2</v>
      </c>
      <c r="P28" s="23">
        <v>3724.8</v>
      </c>
      <c r="Q28" s="23">
        <v>5315.6</v>
      </c>
      <c r="R28" s="23">
        <v>4917.3</v>
      </c>
      <c r="S28" s="23">
        <v>4877.2</v>
      </c>
      <c r="T28" s="23">
        <v>5497</v>
      </c>
      <c r="U28" s="23">
        <v>4617.3</v>
      </c>
      <c r="V28" s="23">
        <v>5006.3</v>
      </c>
      <c r="W28" s="23">
        <v>5110.8</v>
      </c>
      <c r="X28" s="23">
        <v>6565.6</v>
      </c>
      <c r="Y28" s="23">
        <v>6807.9</v>
      </c>
      <c r="Z28" s="23">
        <v>8176.3</v>
      </c>
      <c r="AA28" s="23">
        <v>8951.7000000000007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2974.6</v>
      </c>
      <c r="E29" s="23">
        <v>3155.7</v>
      </c>
      <c r="F29" s="23">
        <v>3734.7</v>
      </c>
      <c r="G29" s="23">
        <v>3492.3</v>
      </c>
      <c r="H29" s="23">
        <v>3981.7</v>
      </c>
      <c r="I29" s="23">
        <v>5975.2</v>
      </c>
      <c r="J29" s="23">
        <v>6870.3</v>
      </c>
      <c r="K29" s="23">
        <v>10641.5</v>
      </c>
      <c r="L29" s="23">
        <v>9733.7000000000007</v>
      </c>
      <c r="M29" s="23">
        <v>10008.9</v>
      </c>
      <c r="N29" s="23">
        <v>11116.1</v>
      </c>
      <c r="O29" s="23">
        <v>11229.8</v>
      </c>
      <c r="P29" s="23">
        <v>11492.3</v>
      </c>
      <c r="Q29" s="23">
        <v>11590.9</v>
      </c>
      <c r="R29" s="23">
        <v>12424.7</v>
      </c>
      <c r="S29" s="23">
        <v>13739.5</v>
      </c>
      <c r="T29" s="23">
        <v>14016.2</v>
      </c>
      <c r="U29" s="23">
        <v>15410</v>
      </c>
      <c r="V29" s="23">
        <v>15829.7</v>
      </c>
      <c r="W29" s="23">
        <v>17850.099999999999</v>
      </c>
      <c r="X29" s="23">
        <v>17114.3</v>
      </c>
      <c r="Y29" s="23">
        <v>18644</v>
      </c>
      <c r="Z29" s="23">
        <v>21050</v>
      </c>
      <c r="AA29" s="23">
        <v>23447.8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694</v>
      </c>
      <c r="E30" s="23">
        <v>667.80000000000007</v>
      </c>
      <c r="F30" s="23">
        <v>940.10000000000014</v>
      </c>
      <c r="G30" s="23">
        <v>1059.6999999999998</v>
      </c>
      <c r="H30" s="23">
        <v>1158.7</v>
      </c>
      <c r="I30" s="23">
        <v>1540.4999999999998</v>
      </c>
      <c r="J30" s="23">
        <v>2360.1999999999998</v>
      </c>
      <c r="K30" s="23">
        <v>3149.5</v>
      </c>
      <c r="L30" s="23">
        <v>4142.8999999999996</v>
      </c>
      <c r="M30" s="23">
        <v>3730.6</v>
      </c>
      <c r="N30" s="23">
        <v>3515.7999999999997</v>
      </c>
      <c r="O30" s="23">
        <v>4625</v>
      </c>
      <c r="P30" s="23">
        <v>4821.7</v>
      </c>
      <c r="Q30" s="23">
        <v>6393.1</v>
      </c>
      <c r="R30" s="23">
        <v>6390.2</v>
      </c>
      <c r="S30" s="23">
        <v>7959.8</v>
      </c>
      <c r="T30" s="23">
        <v>8071.4999999999991</v>
      </c>
      <c r="U30" s="23">
        <v>9420.6</v>
      </c>
      <c r="V30" s="23">
        <v>9688.9000000000015</v>
      </c>
      <c r="W30" s="23">
        <v>11467.6</v>
      </c>
      <c r="X30" s="23">
        <v>10877.5</v>
      </c>
      <c r="Y30" s="23">
        <v>11275.300000000001</v>
      </c>
      <c r="Z30" s="23">
        <v>14925.699999999999</v>
      </c>
      <c r="AA30" s="23">
        <v>19240.2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296.7</v>
      </c>
      <c r="E31" s="23">
        <v>352.4</v>
      </c>
      <c r="F31" s="23">
        <v>496.3</v>
      </c>
      <c r="G31" s="23">
        <v>553.6</v>
      </c>
      <c r="H31" s="23">
        <v>581.5</v>
      </c>
      <c r="I31" s="23">
        <v>837.7</v>
      </c>
      <c r="J31" s="23">
        <v>1182.7</v>
      </c>
      <c r="K31" s="23">
        <v>1641.5</v>
      </c>
      <c r="L31" s="23">
        <v>1734.6</v>
      </c>
      <c r="M31" s="23">
        <v>1739.9</v>
      </c>
      <c r="N31" s="23">
        <v>2610.9</v>
      </c>
      <c r="O31" s="23">
        <v>2444.3000000000002</v>
      </c>
      <c r="P31" s="23">
        <v>2119.6999999999998</v>
      </c>
      <c r="Q31" s="23">
        <v>2671.6</v>
      </c>
      <c r="R31" s="23">
        <v>2972.7</v>
      </c>
      <c r="S31" s="23">
        <v>3356.3</v>
      </c>
      <c r="T31" s="23">
        <v>3462.3</v>
      </c>
      <c r="U31" s="23">
        <v>4716.5</v>
      </c>
      <c r="V31" s="23">
        <v>5174.8</v>
      </c>
      <c r="W31" s="23">
        <v>5864.1</v>
      </c>
      <c r="X31" s="23">
        <v>5284.6</v>
      </c>
      <c r="Y31" s="23">
        <v>5890.4</v>
      </c>
      <c r="Z31" s="23">
        <v>6833.9</v>
      </c>
      <c r="AA31" s="23">
        <v>8419.7999999999993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1912.3999999999955</v>
      </c>
      <c r="E32" s="23">
        <v>1746.700000000003</v>
      </c>
      <c r="F32" s="23">
        <v>1937.8000000000075</v>
      </c>
      <c r="G32" s="23">
        <v>2907.6999999999898</v>
      </c>
      <c r="H32" s="23">
        <v>3163.6000000000031</v>
      </c>
      <c r="I32" s="23">
        <v>4841.3000000000056</v>
      </c>
      <c r="J32" s="23">
        <v>5890.5000000000055</v>
      </c>
      <c r="K32" s="23">
        <v>5752.5000000000173</v>
      </c>
      <c r="L32" s="23">
        <v>5684.0000000000064</v>
      </c>
      <c r="M32" s="23">
        <v>4439.6000000000004</v>
      </c>
      <c r="N32" s="23">
        <v>5068.6000000000004</v>
      </c>
      <c r="O32" s="23">
        <v>5185.5999999999967</v>
      </c>
      <c r="P32" s="23">
        <v>5593.0999999999913</v>
      </c>
      <c r="Q32" s="23">
        <v>6201.3000000000029</v>
      </c>
      <c r="R32" s="23">
        <v>5666.6000000000204</v>
      </c>
      <c r="S32" s="23">
        <v>6374.4999999999891</v>
      </c>
      <c r="T32" s="23">
        <v>8065.5999999999913</v>
      </c>
      <c r="U32" s="23">
        <v>9487.2999999999829</v>
      </c>
      <c r="V32" s="23">
        <v>11096.999999999965</v>
      </c>
      <c r="W32" s="23">
        <v>12015.999999999989</v>
      </c>
      <c r="X32" s="23">
        <v>12548.299999999988</v>
      </c>
      <c r="Y32" s="23">
        <v>13038.69999999999</v>
      </c>
      <c r="Z32" s="23">
        <v>14046.199999999972</v>
      </c>
      <c r="AA32" s="23">
        <v>16081.900000000001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1111.2</v>
      </c>
      <c r="E33" s="23">
        <v>1348.6</v>
      </c>
      <c r="F33" s="23">
        <v>1417.2</v>
      </c>
      <c r="G33" s="23">
        <v>1122.4000000000001</v>
      </c>
      <c r="H33" s="23">
        <v>1629.9</v>
      </c>
      <c r="I33" s="23">
        <v>2056.9</v>
      </c>
      <c r="J33" s="23">
        <v>2352.9</v>
      </c>
      <c r="K33" s="23">
        <v>2902.4</v>
      </c>
      <c r="L33" s="23">
        <v>4109.8999999999996</v>
      </c>
      <c r="M33" s="23">
        <v>4119.8</v>
      </c>
      <c r="N33" s="23">
        <v>5029.8999999999996</v>
      </c>
      <c r="O33" s="23">
        <v>4979.6000000000004</v>
      </c>
      <c r="P33" s="23">
        <v>4753.8999999999996</v>
      </c>
      <c r="Q33" s="23">
        <v>5580.1</v>
      </c>
      <c r="R33" s="23">
        <v>5076.7</v>
      </c>
      <c r="S33" s="23">
        <v>4986.7</v>
      </c>
      <c r="T33" s="23">
        <v>5515.7</v>
      </c>
      <c r="U33" s="23">
        <v>6513</v>
      </c>
      <c r="V33" s="23">
        <v>7270.5</v>
      </c>
      <c r="W33" s="23">
        <v>9049.7999999999993</v>
      </c>
      <c r="X33" s="23">
        <v>8687.7000000000007</v>
      </c>
      <c r="Y33" s="23">
        <v>7203.4</v>
      </c>
      <c r="Z33" s="23">
        <v>7999.3</v>
      </c>
      <c r="AA33" s="23">
        <v>9261.2999999999993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791.7</v>
      </c>
      <c r="E34" s="23">
        <v>910</v>
      </c>
      <c r="F34" s="23">
        <v>1247.5</v>
      </c>
      <c r="G34" s="23">
        <v>689.1</v>
      </c>
      <c r="H34" s="23">
        <v>972.8</v>
      </c>
      <c r="I34" s="23">
        <v>1332.9</v>
      </c>
      <c r="J34" s="23">
        <v>1441.7</v>
      </c>
      <c r="K34" s="23">
        <v>2577.9</v>
      </c>
      <c r="L34" s="23">
        <v>3844.2</v>
      </c>
      <c r="M34" s="23">
        <v>2590.6</v>
      </c>
      <c r="N34" s="23">
        <v>4557.5</v>
      </c>
      <c r="O34" s="23">
        <v>3439.5</v>
      </c>
      <c r="P34" s="23">
        <v>3675.1</v>
      </c>
      <c r="Q34" s="23">
        <v>3427.4</v>
      </c>
      <c r="R34" s="23">
        <v>6572.8</v>
      </c>
      <c r="S34" s="23">
        <v>4371.6000000000004</v>
      </c>
      <c r="T34" s="23">
        <v>5317.8</v>
      </c>
      <c r="U34" s="23">
        <v>6947.9</v>
      </c>
      <c r="V34" s="23">
        <v>8970.4</v>
      </c>
      <c r="W34" s="23">
        <v>10205.5</v>
      </c>
      <c r="X34" s="23">
        <v>11069.3</v>
      </c>
      <c r="Y34" s="23">
        <v>11482.2</v>
      </c>
      <c r="Z34" s="23">
        <v>12186.5</v>
      </c>
      <c r="AA34" s="23">
        <v>13829.8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502.30000000000007</v>
      </c>
      <c r="E35" s="23">
        <v>396.9</v>
      </c>
      <c r="F35" s="23">
        <v>389.5</v>
      </c>
      <c r="G35" s="23">
        <v>416.90000000000009</v>
      </c>
      <c r="H35" s="23">
        <v>479.59999999999991</v>
      </c>
      <c r="I35" s="23">
        <v>661.90000000000009</v>
      </c>
      <c r="J35" s="23">
        <v>891.30000000000018</v>
      </c>
      <c r="K35" s="23">
        <v>1004.3999999999999</v>
      </c>
      <c r="L35" s="23">
        <v>1011.5</v>
      </c>
      <c r="M35" s="23">
        <v>1768</v>
      </c>
      <c r="N35" s="23">
        <v>1997.8000000000002</v>
      </c>
      <c r="O35" s="23">
        <v>2438</v>
      </c>
      <c r="P35" s="23">
        <v>1919.8000000000002</v>
      </c>
      <c r="Q35" s="23">
        <v>2084.3999999999996</v>
      </c>
      <c r="R35" s="23">
        <v>2303.6999999999998</v>
      </c>
      <c r="S35" s="23">
        <v>2582.9000000000005</v>
      </c>
      <c r="T35" s="23">
        <v>2869.5000000000005</v>
      </c>
      <c r="U35" s="23">
        <v>3119.7999999999997</v>
      </c>
      <c r="V35" s="23">
        <v>3714.9000000000005</v>
      </c>
      <c r="W35" s="23">
        <v>4326.1000000000004</v>
      </c>
      <c r="X35" s="23">
        <v>2982</v>
      </c>
      <c r="Y35" s="23">
        <v>3405.7000000000003</v>
      </c>
      <c r="Z35" s="23">
        <v>4022.3999999999996</v>
      </c>
      <c r="AA35" s="23">
        <v>4912.9999999999991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610.6</v>
      </c>
      <c r="E36" s="23">
        <v>540.5</v>
      </c>
      <c r="F36" s="23">
        <v>623.70000000000005</v>
      </c>
      <c r="G36" s="23">
        <v>694.3</v>
      </c>
      <c r="H36" s="23">
        <v>803.7</v>
      </c>
      <c r="I36" s="23">
        <v>1059.3</v>
      </c>
      <c r="J36" s="23">
        <v>1422.5</v>
      </c>
      <c r="K36" s="23">
        <v>2022.2</v>
      </c>
      <c r="L36" s="23">
        <v>2248.6999999999998</v>
      </c>
      <c r="M36" s="23">
        <v>1577.1</v>
      </c>
      <c r="N36" s="23">
        <v>1545</v>
      </c>
      <c r="O36" s="23">
        <v>1975.7</v>
      </c>
      <c r="P36" s="23">
        <v>2076.6</v>
      </c>
      <c r="Q36" s="23">
        <v>1450.8</v>
      </c>
      <c r="R36" s="23">
        <v>1798.7</v>
      </c>
      <c r="S36" s="23">
        <v>2495.1999999999998</v>
      </c>
      <c r="T36" s="23">
        <v>2117.6</v>
      </c>
      <c r="U36" s="23">
        <v>2720.9</v>
      </c>
      <c r="V36" s="23">
        <v>2980.7</v>
      </c>
      <c r="W36" s="23">
        <v>2894.1</v>
      </c>
      <c r="X36" s="23">
        <v>2716</v>
      </c>
      <c r="Y36" s="23">
        <v>2810.9</v>
      </c>
      <c r="Z36" s="23">
        <v>3316.3</v>
      </c>
      <c r="AA36" s="23">
        <v>4197.8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36656.499999999993</v>
      </c>
      <c r="E39" s="30">
        <f t="shared" ref="E39:Y39" si="2">SUM(E18:E38)</f>
        <v>40955.700000000012</v>
      </c>
      <c r="F39" s="30">
        <f t="shared" si="2"/>
        <v>43982.799999999996</v>
      </c>
      <c r="G39" s="30">
        <f t="shared" si="2"/>
        <v>45599.199999999997</v>
      </c>
      <c r="H39" s="30">
        <f t="shared" si="2"/>
        <v>54181.4</v>
      </c>
      <c r="I39" s="30">
        <f t="shared" si="2"/>
        <v>70256.2</v>
      </c>
      <c r="J39" s="30">
        <f t="shared" si="2"/>
        <v>86572.999999999985</v>
      </c>
      <c r="K39" s="30">
        <f t="shared" si="2"/>
        <v>113758.59999999998</v>
      </c>
      <c r="L39" s="30">
        <f t="shared" si="2"/>
        <v>131496.39999999997</v>
      </c>
      <c r="M39" s="30">
        <f t="shared" si="2"/>
        <v>113851.40000000001</v>
      </c>
      <c r="N39" s="30">
        <f t="shared" si="2"/>
        <v>114808.6</v>
      </c>
      <c r="O39" s="30">
        <f t="shared" si="2"/>
        <v>122591</v>
      </c>
      <c r="P39" s="30">
        <f t="shared" si="2"/>
        <v>123151.9</v>
      </c>
      <c r="Q39" s="30">
        <f t="shared" si="2"/>
        <v>125977.20000000003</v>
      </c>
      <c r="R39" s="30">
        <f t="shared" si="2"/>
        <v>133119.60000000003</v>
      </c>
      <c r="S39" s="30">
        <f t="shared" si="2"/>
        <v>140803.79999999999</v>
      </c>
      <c r="T39" s="30">
        <f t="shared" si="2"/>
        <v>149958.39999999999</v>
      </c>
      <c r="U39" s="30">
        <f t="shared" si="2"/>
        <v>168623.89999999997</v>
      </c>
      <c r="V39" s="30">
        <f t="shared" si="2"/>
        <v>186523.89999999997</v>
      </c>
      <c r="W39" s="30">
        <f t="shared" si="2"/>
        <v>203517.6</v>
      </c>
      <c r="X39" s="30">
        <f t="shared" si="2"/>
        <v>200437.6</v>
      </c>
      <c r="Y39" s="30">
        <f t="shared" si="2"/>
        <v>218993.9</v>
      </c>
      <c r="Z39" s="30">
        <f t="shared" ref="Z39:AA39" si="3">SUM(Z18:Z38)</f>
        <v>258682.89999999997</v>
      </c>
      <c r="AA39" s="30">
        <f t="shared" si="3"/>
        <v>296141.59999999998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2469.1999999999998</v>
      </c>
      <c r="E41" s="19">
        <v>3327.6</v>
      </c>
      <c r="F41" s="19">
        <v>3185.5</v>
      </c>
      <c r="G41" s="19">
        <v>3244.9</v>
      </c>
      <c r="H41" s="19">
        <v>3768.2</v>
      </c>
      <c r="I41" s="19">
        <v>4857.3</v>
      </c>
      <c r="J41" s="19">
        <v>5709.7</v>
      </c>
      <c r="K41" s="19">
        <v>7551.2</v>
      </c>
      <c r="L41" s="19">
        <v>9650.9</v>
      </c>
      <c r="M41" s="19">
        <v>6803.8</v>
      </c>
      <c r="N41" s="19">
        <v>7862.2</v>
      </c>
      <c r="O41" s="19">
        <v>8903.7999999999993</v>
      </c>
      <c r="P41" s="19">
        <v>8475.5</v>
      </c>
      <c r="Q41" s="19">
        <v>7175.6</v>
      </c>
      <c r="R41" s="19">
        <v>7105.8</v>
      </c>
      <c r="S41" s="19">
        <v>7688.7</v>
      </c>
      <c r="T41" s="19">
        <v>7172.2</v>
      </c>
      <c r="U41" s="19">
        <v>8516.1</v>
      </c>
      <c r="V41" s="19">
        <v>9963.5</v>
      </c>
      <c r="W41" s="19">
        <v>10083.200000000001</v>
      </c>
      <c r="X41" s="19">
        <v>9628</v>
      </c>
      <c r="Y41" s="19">
        <v>8033.3</v>
      </c>
      <c r="Z41" s="19">
        <v>7927.2</v>
      </c>
      <c r="AA41" s="19">
        <v>9626.6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929.5</v>
      </c>
      <c r="E42" s="23">
        <v>1215</v>
      </c>
      <c r="F42" s="23">
        <v>1345.4</v>
      </c>
      <c r="G42" s="23">
        <v>1391</v>
      </c>
      <c r="H42" s="23">
        <v>1558.3</v>
      </c>
      <c r="I42" s="23">
        <v>1817.6</v>
      </c>
      <c r="J42" s="23">
        <v>2040.1</v>
      </c>
      <c r="K42" s="23">
        <v>2554.1999999999998</v>
      </c>
      <c r="L42" s="23">
        <v>2903.9</v>
      </c>
      <c r="M42" s="23">
        <v>2069.4</v>
      </c>
      <c r="N42" s="23">
        <v>3202.8</v>
      </c>
      <c r="O42" s="23">
        <v>4177.6000000000004</v>
      </c>
      <c r="P42" s="23">
        <v>3075.9</v>
      </c>
      <c r="Q42" s="23">
        <v>3060.4</v>
      </c>
      <c r="R42" s="23">
        <v>2955.6</v>
      </c>
      <c r="S42" s="23">
        <v>3039.1</v>
      </c>
      <c r="T42" s="23">
        <v>3060.9</v>
      </c>
      <c r="U42" s="23">
        <v>3197.8</v>
      </c>
      <c r="V42" s="23">
        <v>3174.4</v>
      </c>
      <c r="W42" s="23">
        <v>3197.2</v>
      </c>
      <c r="X42" s="23">
        <v>2803.4</v>
      </c>
      <c r="Y42" s="23">
        <v>2810.4</v>
      </c>
      <c r="Z42" s="23">
        <v>3266.3</v>
      </c>
      <c r="AA42" s="23">
        <v>3176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554.20000000000005</v>
      </c>
      <c r="E43" s="23">
        <v>700.9</v>
      </c>
      <c r="F43" s="23">
        <v>815.4</v>
      </c>
      <c r="G43" s="23">
        <v>797.4</v>
      </c>
      <c r="H43" s="23">
        <v>948.7</v>
      </c>
      <c r="I43" s="23">
        <v>1185.4000000000001</v>
      </c>
      <c r="J43" s="23">
        <v>1402.6</v>
      </c>
      <c r="K43" s="23">
        <v>1901.3</v>
      </c>
      <c r="L43" s="23">
        <v>2234.1999999999998</v>
      </c>
      <c r="M43" s="23">
        <v>2026.1</v>
      </c>
      <c r="N43" s="23">
        <v>2487.6999999999998</v>
      </c>
      <c r="O43" s="23">
        <v>2461.6999999999998</v>
      </c>
      <c r="P43" s="23">
        <v>1657.4</v>
      </c>
      <c r="Q43" s="23">
        <v>1678.3</v>
      </c>
      <c r="R43" s="23">
        <v>1505</v>
      </c>
      <c r="S43" s="23">
        <v>1652.2</v>
      </c>
      <c r="T43" s="23">
        <v>1623.7</v>
      </c>
      <c r="U43" s="23">
        <v>1915.6</v>
      </c>
      <c r="V43" s="23">
        <v>2042.9</v>
      </c>
      <c r="W43" s="23">
        <v>2045.6</v>
      </c>
      <c r="X43" s="23">
        <v>1993.6</v>
      </c>
      <c r="Y43" s="23">
        <v>2309.8000000000002</v>
      </c>
      <c r="Z43" s="23">
        <v>2157.6</v>
      </c>
      <c r="AA43" s="23">
        <v>2053.5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354.3</v>
      </c>
      <c r="E44" s="23">
        <v>340.7</v>
      </c>
      <c r="F44" s="23">
        <v>565.70000000000005</v>
      </c>
      <c r="G44" s="23">
        <v>423.2</v>
      </c>
      <c r="H44" s="23">
        <v>540.70000000000005</v>
      </c>
      <c r="I44" s="23">
        <v>998</v>
      </c>
      <c r="J44" s="23">
        <v>1065.2</v>
      </c>
      <c r="K44" s="23">
        <v>974</v>
      </c>
      <c r="L44" s="23">
        <v>1120.8</v>
      </c>
      <c r="M44" s="23">
        <v>1038.9000000000001</v>
      </c>
      <c r="N44" s="23">
        <v>348.2</v>
      </c>
      <c r="O44" s="23">
        <v>2627.2</v>
      </c>
      <c r="P44" s="23">
        <v>914</v>
      </c>
      <c r="Q44" s="23">
        <v>2298</v>
      </c>
      <c r="R44" s="23">
        <v>4951</v>
      </c>
      <c r="S44" s="23">
        <v>2740.2</v>
      </c>
      <c r="T44" s="23">
        <v>3258.5</v>
      </c>
      <c r="U44" s="23">
        <v>2224.1</v>
      </c>
      <c r="V44" s="23">
        <v>2089.3000000000002</v>
      </c>
      <c r="W44" s="23">
        <v>1058.3</v>
      </c>
      <c r="X44" s="23">
        <v>557.9</v>
      </c>
      <c r="Y44" s="23">
        <v>1807.5</v>
      </c>
      <c r="Z44" s="23">
        <v>1282.0999999999999</v>
      </c>
      <c r="AA44" s="23">
        <v>295.8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275.5</v>
      </c>
      <c r="E45" s="23">
        <v>350.4</v>
      </c>
      <c r="F45" s="23">
        <v>346.7</v>
      </c>
      <c r="G45" s="23">
        <v>363</v>
      </c>
      <c r="H45" s="23">
        <v>434.3</v>
      </c>
      <c r="I45" s="23">
        <v>497.5</v>
      </c>
      <c r="J45" s="23">
        <v>623.9</v>
      </c>
      <c r="K45" s="23">
        <v>807.4</v>
      </c>
      <c r="L45" s="23">
        <v>1044.5999999999999</v>
      </c>
      <c r="M45" s="23">
        <v>729.5</v>
      </c>
      <c r="N45" s="23">
        <v>347.7</v>
      </c>
      <c r="O45" s="23">
        <v>592.79999999999995</v>
      </c>
      <c r="P45" s="23">
        <v>1000.9</v>
      </c>
      <c r="Q45" s="23">
        <v>733.2</v>
      </c>
      <c r="R45" s="23">
        <v>945.5</v>
      </c>
      <c r="S45" s="23">
        <v>1164.2</v>
      </c>
      <c r="T45" s="23">
        <v>839.1</v>
      </c>
      <c r="U45" s="23">
        <v>1054</v>
      </c>
      <c r="V45" s="23">
        <v>1047.5</v>
      </c>
      <c r="W45" s="23">
        <v>1000.2</v>
      </c>
      <c r="X45" s="23">
        <v>1035.7</v>
      </c>
      <c r="Y45" s="23">
        <v>1177.7</v>
      </c>
      <c r="Z45" s="23">
        <v>1276.8</v>
      </c>
      <c r="AA45" s="23">
        <v>1112.0999999999999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121.2</v>
      </c>
      <c r="E46" s="23">
        <v>119.4</v>
      </c>
      <c r="F46" s="23">
        <v>132</v>
      </c>
      <c r="G46" s="23">
        <v>128.19999999999999</v>
      </c>
      <c r="H46" s="23">
        <v>148</v>
      </c>
      <c r="I46" s="23">
        <v>184.4</v>
      </c>
      <c r="J46" s="23">
        <v>243.4</v>
      </c>
      <c r="K46" s="23">
        <v>242.8</v>
      </c>
      <c r="L46" s="23">
        <v>267</v>
      </c>
      <c r="M46" s="23">
        <v>369.3</v>
      </c>
      <c r="N46" s="23">
        <v>68.900000000000006</v>
      </c>
      <c r="O46" s="23">
        <v>345.2</v>
      </c>
      <c r="P46" s="23">
        <v>268.89999999999998</v>
      </c>
      <c r="Q46" s="23">
        <v>271.7</v>
      </c>
      <c r="R46" s="23">
        <v>341.3</v>
      </c>
      <c r="S46" s="23">
        <v>273.2</v>
      </c>
      <c r="T46" s="23">
        <v>279.2</v>
      </c>
      <c r="U46" s="23">
        <v>360.7</v>
      </c>
      <c r="V46" s="23">
        <v>269.39999999999998</v>
      </c>
      <c r="W46" s="23">
        <v>294.39999999999998</v>
      </c>
      <c r="X46" s="23">
        <v>332.7</v>
      </c>
      <c r="Y46" s="23">
        <v>303.3</v>
      </c>
      <c r="Z46" s="23">
        <v>457.6</v>
      </c>
      <c r="AA46" s="23">
        <v>683.9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621.5</v>
      </c>
      <c r="E47" s="23">
        <v>728.1</v>
      </c>
      <c r="F47" s="23">
        <v>795.1</v>
      </c>
      <c r="G47" s="23">
        <v>835.7</v>
      </c>
      <c r="H47" s="23">
        <v>1033.5</v>
      </c>
      <c r="I47" s="23">
        <v>1311.3</v>
      </c>
      <c r="J47" s="23">
        <v>1743.7</v>
      </c>
      <c r="K47" s="23">
        <v>2524.3000000000002</v>
      </c>
      <c r="L47" s="23">
        <v>3143.9</v>
      </c>
      <c r="M47" s="23">
        <v>2277.9</v>
      </c>
      <c r="N47" s="23">
        <v>1121.0999999999999</v>
      </c>
      <c r="O47" s="23">
        <v>1173.8</v>
      </c>
      <c r="P47" s="23">
        <v>1986.4</v>
      </c>
      <c r="Q47" s="23">
        <v>2220.6</v>
      </c>
      <c r="R47" s="23">
        <v>2253.6999999999998</v>
      </c>
      <c r="S47" s="23">
        <v>2475.6</v>
      </c>
      <c r="T47" s="23">
        <v>2776.2</v>
      </c>
      <c r="U47" s="23">
        <v>2934.8</v>
      </c>
      <c r="V47" s="23">
        <v>3141.6</v>
      </c>
      <c r="W47" s="23">
        <v>3334.8</v>
      </c>
      <c r="X47" s="23">
        <v>2843</v>
      </c>
      <c r="Y47" s="23">
        <v>4000.1</v>
      </c>
      <c r="Z47" s="23">
        <v>4452.3</v>
      </c>
      <c r="AA47" s="23">
        <v>4704.1000000000004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739.3</v>
      </c>
      <c r="E48" s="23">
        <v>859.9</v>
      </c>
      <c r="F48" s="23">
        <v>899.9</v>
      </c>
      <c r="G48" s="23">
        <v>894.3</v>
      </c>
      <c r="H48" s="23">
        <v>1153</v>
      </c>
      <c r="I48" s="23">
        <v>1476</v>
      </c>
      <c r="J48" s="23">
        <v>1856.8</v>
      </c>
      <c r="K48" s="23">
        <v>2587.8000000000002</v>
      </c>
      <c r="L48" s="23">
        <v>2929.3</v>
      </c>
      <c r="M48" s="23">
        <v>2126.1</v>
      </c>
      <c r="N48" s="23">
        <v>2532.6999999999998</v>
      </c>
      <c r="O48" s="23">
        <v>2387.4</v>
      </c>
      <c r="P48" s="23">
        <v>3121</v>
      </c>
      <c r="Q48" s="23">
        <v>2850.8</v>
      </c>
      <c r="R48" s="23">
        <v>2755</v>
      </c>
      <c r="S48" s="23">
        <v>2736.7</v>
      </c>
      <c r="T48" s="23">
        <v>2680.5</v>
      </c>
      <c r="U48" s="23">
        <v>3297.5</v>
      </c>
      <c r="V48" s="23">
        <v>3478.9</v>
      </c>
      <c r="W48" s="23">
        <v>3346.9</v>
      </c>
      <c r="X48" s="23">
        <v>2430.9</v>
      </c>
      <c r="Y48" s="23">
        <v>4177.1000000000004</v>
      </c>
      <c r="Z48" s="23">
        <v>3947.6</v>
      </c>
      <c r="AA48" s="23">
        <v>3033.8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314</v>
      </c>
      <c r="E49" s="23">
        <v>278.10000000000002</v>
      </c>
      <c r="F49" s="23">
        <v>300.3</v>
      </c>
      <c r="G49" s="23">
        <v>336</v>
      </c>
      <c r="H49" s="23">
        <v>406.2</v>
      </c>
      <c r="I49" s="23">
        <v>511.4</v>
      </c>
      <c r="J49" s="23">
        <v>678.5</v>
      </c>
      <c r="K49" s="23">
        <v>1074.5999999999999</v>
      </c>
      <c r="L49" s="23">
        <v>1299.5</v>
      </c>
      <c r="M49" s="23">
        <v>1130.4000000000001</v>
      </c>
      <c r="N49" s="23">
        <v>2299.4</v>
      </c>
      <c r="O49" s="23">
        <v>2288.5</v>
      </c>
      <c r="P49" s="23">
        <v>630.20000000000005</v>
      </c>
      <c r="Q49" s="23">
        <v>983.6</v>
      </c>
      <c r="R49" s="23">
        <v>891</v>
      </c>
      <c r="S49" s="23">
        <v>775.8</v>
      </c>
      <c r="T49" s="23">
        <v>873.5</v>
      </c>
      <c r="U49" s="23">
        <v>839.5</v>
      </c>
      <c r="V49" s="23">
        <v>942.7</v>
      </c>
      <c r="W49" s="23">
        <v>928.8</v>
      </c>
      <c r="X49" s="23">
        <v>1029.8</v>
      </c>
      <c r="Y49" s="23">
        <v>1039.5</v>
      </c>
      <c r="Z49" s="23">
        <v>967.2</v>
      </c>
      <c r="AA49" s="23">
        <v>1173.5999999999999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237.2</v>
      </c>
      <c r="E50" s="23">
        <v>306.60000000000002</v>
      </c>
      <c r="F50" s="23">
        <v>370.5</v>
      </c>
      <c r="G50" s="23">
        <v>357.3</v>
      </c>
      <c r="H50" s="23">
        <v>408.6</v>
      </c>
      <c r="I50" s="23">
        <v>715</v>
      </c>
      <c r="J50" s="23">
        <v>1028.0999999999999</v>
      </c>
      <c r="K50" s="23">
        <v>1323.4</v>
      </c>
      <c r="L50" s="23">
        <v>1261.9000000000001</v>
      </c>
      <c r="M50" s="23">
        <v>1066</v>
      </c>
      <c r="N50" s="23">
        <v>2395.9</v>
      </c>
      <c r="O50" s="23">
        <v>2491.6999999999998</v>
      </c>
      <c r="P50" s="23">
        <v>1997.9</v>
      </c>
      <c r="Q50" s="23">
        <v>1204.5</v>
      </c>
      <c r="R50" s="23">
        <v>1441.5</v>
      </c>
      <c r="S50" s="23">
        <v>2087</v>
      </c>
      <c r="T50" s="23">
        <v>2108.5</v>
      </c>
      <c r="U50" s="23">
        <v>2043.7</v>
      </c>
      <c r="V50" s="23">
        <v>2009.6</v>
      </c>
      <c r="W50" s="23">
        <v>2274.5</v>
      </c>
      <c r="X50" s="23">
        <v>2379.1</v>
      </c>
      <c r="Y50" s="23">
        <v>2354.6999999999998</v>
      </c>
      <c r="Z50" s="23">
        <v>2492.6999999999998</v>
      </c>
      <c r="AA50" s="23">
        <v>2512.3000000000002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393.9</v>
      </c>
      <c r="E51" s="23">
        <v>471.6</v>
      </c>
      <c r="F51" s="23">
        <v>459.3</v>
      </c>
      <c r="G51" s="23">
        <v>444.8</v>
      </c>
      <c r="H51" s="23">
        <v>504</v>
      </c>
      <c r="I51" s="23">
        <v>632.29999999999995</v>
      </c>
      <c r="J51" s="23">
        <v>733</v>
      </c>
      <c r="K51" s="23">
        <v>923.8</v>
      </c>
      <c r="L51" s="23">
        <v>1241.8</v>
      </c>
      <c r="M51" s="23">
        <v>980.6</v>
      </c>
      <c r="N51" s="23">
        <v>1009.1</v>
      </c>
      <c r="O51" s="23">
        <v>1140.2</v>
      </c>
      <c r="P51" s="23">
        <v>1334.8</v>
      </c>
      <c r="Q51" s="23">
        <v>1188.0999999999999</v>
      </c>
      <c r="R51" s="23">
        <v>1689.6</v>
      </c>
      <c r="S51" s="23">
        <v>1329.7</v>
      </c>
      <c r="T51" s="23">
        <v>1661.8</v>
      </c>
      <c r="U51" s="23">
        <v>1645</v>
      </c>
      <c r="V51" s="23">
        <v>1797.5</v>
      </c>
      <c r="W51" s="23">
        <v>1775.4</v>
      </c>
      <c r="X51" s="23">
        <v>1693.1</v>
      </c>
      <c r="Y51" s="23">
        <v>2039.5</v>
      </c>
      <c r="Z51" s="23">
        <v>1669</v>
      </c>
      <c r="AA51" s="23">
        <v>1930.6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432.5</v>
      </c>
      <c r="E52" s="23">
        <v>604</v>
      </c>
      <c r="F52" s="23">
        <v>720.4</v>
      </c>
      <c r="G52" s="23">
        <v>841</v>
      </c>
      <c r="H52" s="23">
        <v>1115.3</v>
      </c>
      <c r="I52" s="23">
        <v>1669.1</v>
      </c>
      <c r="J52" s="23">
        <v>2209.1</v>
      </c>
      <c r="K52" s="23">
        <v>2762.2</v>
      </c>
      <c r="L52" s="23">
        <v>3507.3</v>
      </c>
      <c r="M52" s="23">
        <v>4326.5</v>
      </c>
      <c r="N52" s="23">
        <v>4124.3</v>
      </c>
      <c r="O52" s="23">
        <v>5083.3</v>
      </c>
      <c r="P52" s="23">
        <v>3012.4</v>
      </c>
      <c r="Q52" s="23">
        <v>2915.4</v>
      </c>
      <c r="R52" s="23">
        <v>3280.3</v>
      </c>
      <c r="S52" s="23">
        <v>3949.5</v>
      </c>
      <c r="T52" s="23">
        <v>4815.3999999999996</v>
      </c>
      <c r="U52" s="23">
        <v>5985.4</v>
      </c>
      <c r="V52" s="23">
        <v>6147.7</v>
      </c>
      <c r="W52" s="23">
        <v>6112.6</v>
      </c>
      <c r="X52" s="23">
        <v>5382</v>
      </c>
      <c r="Y52" s="23">
        <v>4928.3</v>
      </c>
      <c r="Z52" s="23">
        <v>5430.4</v>
      </c>
      <c r="AA52" s="23">
        <v>6812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600.70000000000073</v>
      </c>
      <c r="E53" s="23">
        <v>638.70000000000073</v>
      </c>
      <c r="F53" s="23">
        <v>684.00000000000364</v>
      </c>
      <c r="G53" s="23">
        <v>700.40000000000327</v>
      </c>
      <c r="H53" s="23">
        <v>811.79999999999927</v>
      </c>
      <c r="I53" s="23">
        <v>994.00000000000182</v>
      </c>
      <c r="J53" s="23">
        <v>1183.6000000000022</v>
      </c>
      <c r="K53" s="23">
        <v>1611.5000000000036</v>
      </c>
      <c r="L53" s="23">
        <v>1564.7000000000007</v>
      </c>
      <c r="M53" s="23">
        <v>1359.0999999999985</v>
      </c>
      <c r="N53" s="23">
        <v>2169.9999999999964</v>
      </c>
      <c r="O53" s="23">
        <v>2222.1999999999971</v>
      </c>
      <c r="P53" s="23">
        <v>2167.0999999999985</v>
      </c>
      <c r="Q53" s="23">
        <v>2314.7000000000044</v>
      </c>
      <c r="R53" s="23">
        <v>2268.4000000000015</v>
      </c>
      <c r="S53" s="23">
        <v>2479.2999999999993</v>
      </c>
      <c r="T53" s="23">
        <v>2558.0999999999985</v>
      </c>
      <c r="U53" s="23">
        <v>2950.1999999999971</v>
      </c>
      <c r="V53" s="23">
        <v>2873.5</v>
      </c>
      <c r="W53" s="23">
        <v>3034.3999999999942</v>
      </c>
      <c r="X53" s="23">
        <v>2826.4999999999964</v>
      </c>
      <c r="Y53" s="23">
        <v>2831.5</v>
      </c>
      <c r="Z53" s="23">
        <v>3306.2999999999956</v>
      </c>
      <c r="AA53" s="23">
        <v>3827.4000000000015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8043</v>
      </c>
      <c r="E54" s="30">
        <f t="shared" ref="E54:Y54" si="4">SUM(E41:E53)</f>
        <v>9941</v>
      </c>
      <c r="F54" s="30">
        <f t="shared" si="4"/>
        <v>10620.2</v>
      </c>
      <c r="G54" s="30">
        <f t="shared" si="4"/>
        <v>10757.2</v>
      </c>
      <c r="H54" s="30">
        <f t="shared" si="4"/>
        <v>12830.6</v>
      </c>
      <c r="I54" s="30">
        <f t="shared" si="4"/>
        <v>16849.3</v>
      </c>
      <c r="J54" s="30">
        <f t="shared" si="4"/>
        <v>20517.7</v>
      </c>
      <c r="K54" s="30">
        <f t="shared" si="4"/>
        <v>26838.5</v>
      </c>
      <c r="L54" s="30">
        <f t="shared" si="4"/>
        <v>32169.8</v>
      </c>
      <c r="M54" s="30">
        <f t="shared" si="4"/>
        <v>26303.599999999999</v>
      </c>
      <c r="N54" s="30">
        <f t="shared" si="4"/>
        <v>29970</v>
      </c>
      <c r="O54" s="30">
        <f t="shared" si="4"/>
        <v>35895.4</v>
      </c>
      <c r="P54" s="30">
        <f t="shared" si="4"/>
        <v>29642.400000000001</v>
      </c>
      <c r="Q54" s="30">
        <f t="shared" si="4"/>
        <v>28894.9</v>
      </c>
      <c r="R54" s="30">
        <f t="shared" si="4"/>
        <v>32383.7</v>
      </c>
      <c r="S54" s="30">
        <f t="shared" si="4"/>
        <v>32391.200000000001</v>
      </c>
      <c r="T54" s="30">
        <f t="shared" si="4"/>
        <v>33707.599999999999</v>
      </c>
      <c r="U54" s="30">
        <f t="shared" si="4"/>
        <v>36964.400000000001</v>
      </c>
      <c r="V54" s="30">
        <f t="shared" si="4"/>
        <v>38978.5</v>
      </c>
      <c r="W54" s="30">
        <f t="shared" si="4"/>
        <v>38486.300000000003</v>
      </c>
      <c r="X54" s="30">
        <f t="shared" si="4"/>
        <v>34935.699999999997</v>
      </c>
      <c r="Y54" s="30">
        <f t="shared" si="4"/>
        <v>37812.699999999997</v>
      </c>
      <c r="Z54" s="30">
        <f t="shared" ref="Z54:AA54" si="5">SUM(Z41:Z53)</f>
        <v>38633.1</v>
      </c>
      <c r="AA54" s="30">
        <f t="shared" si="5"/>
        <v>40941.699999999997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2469.1999999999998</v>
      </c>
      <c r="E56" s="19">
        <v>3327.6</v>
      </c>
      <c r="F56" s="19">
        <v>3185.5</v>
      </c>
      <c r="G56" s="19">
        <v>3244.9</v>
      </c>
      <c r="H56" s="19">
        <v>3768.2</v>
      </c>
      <c r="I56" s="19">
        <v>4857.3</v>
      </c>
      <c r="J56" s="19">
        <v>5709.7</v>
      </c>
      <c r="K56" s="19">
        <v>7551.2</v>
      </c>
      <c r="L56" s="19">
        <v>9650.9</v>
      </c>
      <c r="M56" s="19">
        <v>6803.8</v>
      </c>
      <c r="N56" s="19">
        <v>7862.2</v>
      </c>
      <c r="O56" s="19">
        <v>8903.7999999999993</v>
      </c>
      <c r="P56" s="19">
        <v>8475.5</v>
      </c>
      <c r="Q56" s="19">
        <v>7175.6</v>
      </c>
      <c r="R56" s="19">
        <v>7105.8</v>
      </c>
      <c r="S56" s="19">
        <v>7688.7</v>
      </c>
      <c r="T56" s="19">
        <v>7172.2</v>
      </c>
      <c r="U56" s="19">
        <v>8516.1</v>
      </c>
      <c r="V56" s="19">
        <v>9963.5</v>
      </c>
      <c r="W56" s="19">
        <v>10083.200000000001</v>
      </c>
      <c r="X56" s="19">
        <v>9628</v>
      </c>
      <c r="Y56" s="19">
        <v>8033.3</v>
      </c>
      <c r="Z56" s="19">
        <v>7927.2</v>
      </c>
      <c r="AA56" s="19">
        <v>9626.6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929.5</v>
      </c>
      <c r="E57" s="23">
        <v>1215</v>
      </c>
      <c r="F57" s="23">
        <v>1345.4</v>
      </c>
      <c r="G57" s="23">
        <v>1391</v>
      </c>
      <c r="H57" s="23">
        <v>1558.3</v>
      </c>
      <c r="I57" s="23">
        <v>1817.6</v>
      </c>
      <c r="J57" s="23">
        <v>2040.1</v>
      </c>
      <c r="K57" s="23">
        <v>2554.1999999999998</v>
      </c>
      <c r="L57" s="23">
        <v>2903.9</v>
      </c>
      <c r="M57" s="23">
        <v>2069.4</v>
      </c>
      <c r="N57" s="23">
        <v>3202.8</v>
      </c>
      <c r="O57" s="23">
        <v>4177.6000000000004</v>
      </c>
      <c r="P57" s="23">
        <v>3075.9</v>
      </c>
      <c r="Q57" s="23">
        <v>3060.4</v>
      </c>
      <c r="R57" s="23">
        <v>2955.6</v>
      </c>
      <c r="S57" s="23">
        <v>3039.1</v>
      </c>
      <c r="T57" s="23">
        <v>3060.9</v>
      </c>
      <c r="U57" s="23">
        <v>3197.8</v>
      </c>
      <c r="V57" s="23">
        <v>3174.4</v>
      </c>
      <c r="W57" s="23">
        <v>3197.2</v>
      </c>
      <c r="X57" s="23">
        <v>2803.4</v>
      </c>
      <c r="Y57" s="23">
        <v>2810.4</v>
      </c>
      <c r="Z57" s="23">
        <v>3266.3</v>
      </c>
      <c r="AA57" s="23">
        <v>3176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318.10000000000002</v>
      </c>
      <c r="E58" s="23">
        <v>415.2</v>
      </c>
      <c r="F58" s="23">
        <v>468</v>
      </c>
      <c r="G58" s="23">
        <v>466.7</v>
      </c>
      <c r="H58" s="23">
        <v>598.6</v>
      </c>
      <c r="I58" s="23">
        <v>727.1</v>
      </c>
      <c r="J58" s="23">
        <v>853.1</v>
      </c>
      <c r="K58" s="23">
        <v>1097.0999999999999</v>
      </c>
      <c r="L58" s="23">
        <v>1159.0999999999999</v>
      </c>
      <c r="M58" s="23">
        <v>1075.7</v>
      </c>
      <c r="N58" s="23">
        <v>1709.5</v>
      </c>
      <c r="O58" s="23">
        <v>1601</v>
      </c>
      <c r="P58" s="23">
        <v>1012.6</v>
      </c>
      <c r="Q58" s="23">
        <v>1044.5</v>
      </c>
      <c r="R58" s="23">
        <v>953.6</v>
      </c>
      <c r="S58" s="23">
        <v>971.7</v>
      </c>
      <c r="T58" s="23">
        <v>869.2</v>
      </c>
      <c r="U58" s="23">
        <v>1044.0999999999999</v>
      </c>
      <c r="V58" s="23">
        <v>1143</v>
      </c>
      <c r="W58" s="23">
        <v>1041.5</v>
      </c>
      <c r="X58" s="23">
        <v>1085.5999999999999</v>
      </c>
      <c r="Y58" s="23">
        <v>1499.3</v>
      </c>
      <c r="Z58" s="23">
        <v>1211.5999999999999</v>
      </c>
      <c r="AA58" s="23">
        <v>1084.4000000000001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145.30000000000001</v>
      </c>
      <c r="E59" s="23">
        <v>171</v>
      </c>
      <c r="F59" s="23">
        <v>216.7</v>
      </c>
      <c r="G59" s="23">
        <v>199.6</v>
      </c>
      <c r="H59" s="23">
        <v>199.3</v>
      </c>
      <c r="I59" s="23">
        <v>220.1</v>
      </c>
      <c r="J59" s="23">
        <v>257.3</v>
      </c>
      <c r="K59" s="23">
        <v>461.2</v>
      </c>
      <c r="L59" s="23">
        <v>591.1</v>
      </c>
      <c r="M59" s="23">
        <v>423.3</v>
      </c>
      <c r="N59" s="23">
        <v>306</v>
      </c>
      <c r="O59" s="23">
        <v>234.7</v>
      </c>
      <c r="P59" s="23">
        <v>194.2</v>
      </c>
      <c r="Q59" s="23">
        <v>198.6</v>
      </c>
      <c r="R59" s="23">
        <v>194</v>
      </c>
      <c r="S59" s="23">
        <v>251</v>
      </c>
      <c r="T59" s="23">
        <v>302.39999999999998</v>
      </c>
      <c r="U59" s="23">
        <v>353.6</v>
      </c>
      <c r="V59" s="23">
        <v>327.7</v>
      </c>
      <c r="W59" s="23">
        <v>352.6</v>
      </c>
      <c r="X59" s="23">
        <v>351.1</v>
      </c>
      <c r="Y59" s="23">
        <v>423.2</v>
      </c>
      <c r="Z59" s="23">
        <v>452.3</v>
      </c>
      <c r="AA59" s="23">
        <v>410.7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90.800000000000011</v>
      </c>
      <c r="E60" s="23">
        <v>114.69999999999993</v>
      </c>
      <c r="F60" s="23">
        <v>130.69999999999993</v>
      </c>
      <c r="G60" s="23">
        <v>131.10000000000002</v>
      </c>
      <c r="H60" s="23">
        <v>150.79999999999995</v>
      </c>
      <c r="I60" s="23">
        <v>238.20000000000005</v>
      </c>
      <c r="J60" s="23">
        <v>292.19999999999982</v>
      </c>
      <c r="K60" s="23">
        <v>343</v>
      </c>
      <c r="L60" s="23">
        <v>484</v>
      </c>
      <c r="M60" s="23">
        <v>527.09999999999991</v>
      </c>
      <c r="N60" s="23">
        <v>472.19999999999982</v>
      </c>
      <c r="O60" s="23">
        <v>625.99999999999977</v>
      </c>
      <c r="P60" s="23">
        <v>450.60000000000014</v>
      </c>
      <c r="Q60" s="23">
        <v>435.20000000000005</v>
      </c>
      <c r="R60" s="23">
        <v>357.40000000000009</v>
      </c>
      <c r="S60" s="23">
        <v>429.5</v>
      </c>
      <c r="T60" s="23">
        <v>452.10000000000014</v>
      </c>
      <c r="U60" s="23">
        <v>517.90000000000009</v>
      </c>
      <c r="V60" s="23">
        <v>572.20000000000005</v>
      </c>
      <c r="W60" s="23">
        <v>651.5</v>
      </c>
      <c r="X60" s="23">
        <v>556.90000000000009</v>
      </c>
      <c r="Y60" s="23">
        <v>387.30000000000018</v>
      </c>
      <c r="Z60" s="23">
        <v>493.70000000000005</v>
      </c>
      <c r="AA60" s="23">
        <v>558.39999999999986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354.3</v>
      </c>
      <c r="E61" s="23">
        <v>340.7</v>
      </c>
      <c r="F61" s="23">
        <v>565.70000000000005</v>
      </c>
      <c r="G61" s="23">
        <v>423.2</v>
      </c>
      <c r="H61" s="23">
        <v>540.70000000000005</v>
      </c>
      <c r="I61" s="23">
        <v>998</v>
      </c>
      <c r="J61" s="23">
        <v>1065.2</v>
      </c>
      <c r="K61" s="23">
        <v>974</v>
      </c>
      <c r="L61" s="23">
        <v>1120.8</v>
      </c>
      <c r="M61" s="23">
        <v>1038.9000000000001</v>
      </c>
      <c r="N61" s="23">
        <v>348.2</v>
      </c>
      <c r="O61" s="23">
        <v>2627.2</v>
      </c>
      <c r="P61" s="23">
        <v>914</v>
      </c>
      <c r="Q61" s="23">
        <v>2298</v>
      </c>
      <c r="R61" s="23">
        <v>4951</v>
      </c>
      <c r="S61" s="23">
        <v>2740.2</v>
      </c>
      <c r="T61" s="23">
        <v>3258.5</v>
      </c>
      <c r="U61" s="23">
        <v>2224.1</v>
      </c>
      <c r="V61" s="23">
        <v>2089.3000000000002</v>
      </c>
      <c r="W61" s="23">
        <v>1058.3</v>
      </c>
      <c r="X61" s="23">
        <v>557.9</v>
      </c>
      <c r="Y61" s="23">
        <v>1807.5</v>
      </c>
      <c r="Z61" s="23">
        <v>1282.0999999999999</v>
      </c>
      <c r="AA61" s="23">
        <v>295.8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275.5</v>
      </c>
      <c r="E62" s="23">
        <v>350.4</v>
      </c>
      <c r="F62" s="23">
        <v>346.7</v>
      </c>
      <c r="G62" s="23">
        <v>363</v>
      </c>
      <c r="H62" s="23">
        <v>434.3</v>
      </c>
      <c r="I62" s="23">
        <v>497.5</v>
      </c>
      <c r="J62" s="23">
        <v>623.9</v>
      </c>
      <c r="K62" s="23">
        <v>807.4</v>
      </c>
      <c r="L62" s="23">
        <v>1044.5999999999999</v>
      </c>
      <c r="M62" s="23">
        <v>729.5</v>
      </c>
      <c r="N62" s="23">
        <v>347.7</v>
      </c>
      <c r="O62" s="23">
        <v>592.79999999999995</v>
      </c>
      <c r="P62" s="23">
        <v>1000.9</v>
      </c>
      <c r="Q62" s="23">
        <v>733.2</v>
      </c>
      <c r="R62" s="23">
        <v>945.5</v>
      </c>
      <c r="S62" s="23">
        <v>1164.2</v>
      </c>
      <c r="T62" s="23">
        <v>839.1</v>
      </c>
      <c r="U62" s="23">
        <v>1054</v>
      </c>
      <c r="V62" s="23">
        <v>1047.5</v>
      </c>
      <c r="W62" s="23">
        <v>1000.2</v>
      </c>
      <c r="X62" s="23">
        <v>1035.7</v>
      </c>
      <c r="Y62" s="23">
        <v>1177.7</v>
      </c>
      <c r="Z62" s="23">
        <v>1276.8</v>
      </c>
      <c r="AA62" s="23">
        <v>1112.0999999999999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121.2</v>
      </c>
      <c r="E63" s="23">
        <v>119.4</v>
      </c>
      <c r="F63" s="23">
        <v>132</v>
      </c>
      <c r="G63" s="23">
        <v>128.19999999999999</v>
      </c>
      <c r="H63" s="23">
        <v>148</v>
      </c>
      <c r="I63" s="23">
        <v>184.4</v>
      </c>
      <c r="J63" s="23">
        <v>243.4</v>
      </c>
      <c r="K63" s="23">
        <v>242.8</v>
      </c>
      <c r="L63" s="23">
        <v>267</v>
      </c>
      <c r="M63" s="23">
        <v>369.3</v>
      </c>
      <c r="N63" s="23">
        <v>68.900000000000006</v>
      </c>
      <c r="O63" s="23">
        <v>345.2</v>
      </c>
      <c r="P63" s="23">
        <v>268.89999999999998</v>
      </c>
      <c r="Q63" s="23">
        <v>271.7</v>
      </c>
      <c r="R63" s="23">
        <v>341.3</v>
      </c>
      <c r="S63" s="23">
        <v>273.2</v>
      </c>
      <c r="T63" s="23">
        <v>279.2</v>
      </c>
      <c r="U63" s="23">
        <v>360.7</v>
      </c>
      <c r="V63" s="23">
        <v>269.39999999999998</v>
      </c>
      <c r="W63" s="23">
        <v>294.39999999999998</v>
      </c>
      <c r="X63" s="23">
        <v>332.7</v>
      </c>
      <c r="Y63" s="23">
        <v>303.3</v>
      </c>
      <c r="Z63" s="23">
        <v>457.6</v>
      </c>
      <c r="AA63" s="23">
        <v>683.9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191.5</v>
      </c>
      <c r="E64" s="23">
        <v>246.2</v>
      </c>
      <c r="F64" s="23">
        <v>291.7</v>
      </c>
      <c r="G64" s="23">
        <v>347.3</v>
      </c>
      <c r="H64" s="23">
        <v>419.1</v>
      </c>
      <c r="I64" s="23">
        <v>550.79999999999995</v>
      </c>
      <c r="J64" s="23">
        <v>715</v>
      </c>
      <c r="K64" s="23">
        <v>1015.3</v>
      </c>
      <c r="L64" s="23">
        <v>1221.9000000000001</v>
      </c>
      <c r="M64" s="23">
        <v>1161.0999999999999</v>
      </c>
      <c r="N64" s="23">
        <v>535</v>
      </c>
      <c r="O64" s="23">
        <v>536.5</v>
      </c>
      <c r="P64" s="23">
        <v>782.1</v>
      </c>
      <c r="Q64" s="23">
        <v>1263.2</v>
      </c>
      <c r="R64" s="23">
        <v>1085.7</v>
      </c>
      <c r="S64" s="23">
        <v>1278.0999999999999</v>
      </c>
      <c r="T64" s="23">
        <v>1409.2</v>
      </c>
      <c r="U64" s="23">
        <v>1573.4</v>
      </c>
      <c r="V64" s="23">
        <v>1723.8</v>
      </c>
      <c r="W64" s="23">
        <v>1934.4</v>
      </c>
      <c r="X64" s="23">
        <v>1477.4</v>
      </c>
      <c r="Y64" s="23">
        <v>2357.9</v>
      </c>
      <c r="Z64" s="23">
        <v>2667.4</v>
      </c>
      <c r="AA64" s="23">
        <v>2689.3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430</v>
      </c>
      <c r="E65" s="23">
        <v>481.90000000000003</v>
      </c>
      <c r="F65" s="23">
        <v>503.40000000000003</v>
      </c>
      <c r="G65" s="23">
        <v>488.40000000000003</v>
      </c>
      <c r="H65" s="23">
        <v>614.4</v>
      </c>
      <c r="I65" s="23">
        <v>760.5</v>
      </c>
      <c r="J65" s="23">
        <v>1028.7</v>
      </c>
      <c r="K65" s="23">
        <v>1509.0000000000002</v>
      </c>
      <c r="L65" s="23">
        <v>1922</v>
      </c>
      <c r="M65" s="23">
        <v>1116.8000000000002</v>
      </c>
      <c r="N65" s="23">
        <v>586.09999999999991</v>
      </c>
      <c r="O65" s="23">
        <v>637.29999999999995</v>
      </c>
      <c r="P65" s="23">
        <v>1204.3000000000002</v>
      </c>
      <c r="Q65" s="23">
        <v>957.39999999999986</v>
      </c>
      <c r="R65" s="23">
        <v>1167.9999999999998</v>
      </c>
      <c r="S65" s="23">
        <v>1197.5</v>
      </c>
      <c r="T65" s="23">
        <v>1366.9999999999998</v>
      </c>
      <c r="U65" s="23">
        <v>1361.4</v>
      </c>
      <c r="V65" s="23">
        <v>1417.8</v>
      </c>
      <c r="W65" s="23">
        <v>1400.4</v>
      </c>
      <c r="X65" s="23">
        <v>1365.6</v>
      </c>
      <c r="Y65" s="23">
        <v>1642.1999999999998</v>
      </c>
      <c r="Z65" s="23">
        <v>1784.9</v>
      </c>
      <c r="AA65" s="23">
        <v>2014.8000000000002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394.7</v>
      </c>
      <c r="E66" s="23">
        <v>447.3</v>
      </c>
      <c r="F66" s="23">
        <v>435.1</v>
      </c>
      <c r="G66" s="23">
        <v>377</v>
      </c>
      <c r="H66" s="23">
        <v>528.20000000000005</v>
      </c>
      <c r="I66" s="23">
        <v>603.1</v>
      </c>
      <c r="J66" s="23">
        <v>719.7</v>
      </c>
      <c r="K66" s="23">
        <v>969.9</v>
      </c>
      <c r="L66" s="23">
        <v>1071</v>
      </c>
      <c r="M66" s="23">
        <v>578.20000000000005</v>
      </c>
      <c r="N66" s="23">
        <v>1921.3</v>
      </c>
      <c r="O66" s="23">
        <v>1745.2</v>
      </c>
      <c r="P66" s="23">
        <v>1555.3</v>
      </c>
      <c r="Q66" s="23">
        <v>1302.0999999999999</v>
      </c>
      <c r="R66" s="23">
        <v>1125.5</v>
      </c>
      <c r="S66" s="23">
        <v>1236.2</v>
      </c>
      <c r="T66" s="23">
        <v>1191.5</v>
      </c>
      <c r="U66" s="23">
        <v>1520.2</v>
      </c>
      <c r="V66" s="23">
        <v>1630.9</v>
      </c>
      <c r="W66" s="23">
        <v>1275.5999999999999</v>
      </c>
      <c r="X66" s="23">
        <v>774.3</v>
      </c>
      <c r="Y66" s="23">
        <v>1824</v>
      </c>
      <c r="Z66" s="23">
        <v>1520</v>
      </c>
      <c r="AA66" s="23">
        <v>726.3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344.59999999999997</v>
      </c>
      <c r="E67" s="23">
        <v>412.59999999999997</v>
      </c>
      <c r="F67" s="23">
        <v>464.79999999999995</v>
      </c>
      <c r="G67" s="23">
        <v>517.29999999999995</v>
      </c>
      <c r="H67" s="23">
        <v>624.79999999999995</v>
      </c>
      <c r="I67" s="23">
        <v>872.9</v>
      </c>
      <c r="J67" s="23">
        <v>1137.0999999999999</v>
      </c>
      <c r="K67" s="23">
        <v>1617.9</v>
      </c>
      <c r="L67" s="23">
        <v>1858.3000000000002</v>
      </c>
      <c r="M67" s="23">
        <v>1547.8999999999999</v>
      </c>
      <c r="N67" s="23">
        <v>611.39999999999986</v>
      </c>
      <c r="O67" s="23">
        <v>642.20000000000005</v>
      </c>
      <c r="P67" s="23">
        <v>1565.7</v>
      </c>
      <c r="Q67" s="23">
        <v>1548.7000000000003</v>
      </c>
      <c r="R67" s="23">
        <v>1629.5</v>
      </c>
      <c r="S67" s="23">
        <v>1500.4999999999998</v>
      </c>
      <c r="T67" s="23">
        <v>1489</v>
      </c>
      <c r="U67" s="23">
        <v>1777.3</v>
      </c>
      <c r="V67" s="23">
        <v>1848</v>
      </c>
      <c r="W67" s="23">
        <v>2071.3000000000002</v>
      </c>
      <c r="X67" s="23">
        <v>1656.6000000000001</v>
      </c>
      <c r="Y67" s="23">
        <v>2353.1000000000004</v>
      </c>
      <c r="Z67" s="23">
        <v>2427.6</v>
      </c>
      <c r="AA67" s="23">
        <v>2307.5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314</v>
      </c>
      <c r="E68" s="23">
        <v>278.10000000000002</v>
      </c>
      <c r="F68" s="23">
        <v>300.3</v>
      </c>
      <c r="G68" s="23">
        <v>336</v>
      </c>
      <c r="H68" s="23">
        <v>406.2</v>
      </c>
      <c r="I68" s="23">
        <v>511.4</v>
      </c>
      <c r="J68" s="23">
        <v>678.5</v>
      </c>
      <c r="K68" s="23">
        <v>1074.5999999999999</v>
      </c>
      <c r="L68" s="23">
        <v>1299.5</v>
      </c>
      <c r="M68" s="23">
        <v>1130.4000000000001</v>
      </c>
      <c r="N68" s="23">
        <v>2299.4</v>
      </c>
      <c r="O68" s="23">
        <v>2288.5</v>
      </c>
      <c r="P68" s="23">
        <v>630.20000000000005</v>
      </c>
      <c r="Q68" s="23">
        <v>983.6</v>
      </c>
      <c r="R68" s="23">
        <v>891</v>
      </c>
      <c r="S68" s="23">
        <v>775.8</v>
      </c>
      <c r="T68" s="23">
        <v>873.5</v>
      </c>
      <c r="U68" s="23">
        <v>839.5</v>
      </c>
      <c r="V68" s="23">
        <v>942.7</v>
      </c>
      <c r="W68" s="23">
        <v>928.8</v>
      </c>
      <c r="X68" s="23">
        <v>1029.8</v>
      </c>
      <c r="Y68" s="23">
        <v>1039.5</v>
      </c>
      <c r="Z68" s="23">
        <v>967.2</v>
      </c>
      <c r="AA68" s="23">
        <v>1173.5999999999999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237.2</v>
      </c>
      <c r="E69" s="23">
        <v>306.60000000000002</v>
      </c>
      <c r="F69" s="23">
        <v>370.5</v>
      </c>
      <c r="G69" s="23">
        <v>357.3</v>
      </c>
      <c r="H69" s="23">
        <v>408.6</v>
      </c>
      <c r="I69" s="23">
        <v>715</v>
      </c>
      <c r="J69" s="23">
        <v>1028.0999999999999</v>
      </c>
      <c r="K69" s="23">
        <v>1323.4</v>
      </c>
      <c r="L69" s="23">
        <v>1261.9000000000001</v>
      </c>
      <c r="M69" s="23">
        <v>1066</v>
      </c>
      <c r="N69" s="23">
        <v>2395.9</v>
      </c>
      <c r="O69" s="23">
        <v>2491.6999999999998</v>
      </c>
      <c r="P69" s="23">
        <v>1997.9</v>
      </c>
      <c r="Q69" s="23">
        <v>1204.5</v>
      </c>
      <c r="R69" s="23">
        <v>1441.5</v>
      </c>
      <c r="S69" s="23">
        <v>2087</v>
      </c>
      <c r="T69" s="23">
        <v>2108.5</v>
      </c>
      <c r="U69" s="23">
        <v>2043.7</v>
      </c>
      <c r="V69" s="23">
        <v>2009.6</v>
      </c>
      <c r="W69" s="23">
        <v>2274.5</v>
      </c>
      <c r="X69" s="23">
        <v>2379.1</v>
      </c>
      <c r="Y69" s="23">
        <v>2354.6999999999998</v>
      </c>
      <c r="Z69" s="23">
        <v>2492.6999999999998</v>
      </c>
      <c r="AA69" s="23">
        <v>2512.3000000000002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393.9</v>
      </c>
      <c r="E70" s="23">
        <v>471.6</v>
      </c>
      <c r="F70" s="23">
        <v>459.3</v>
      </c>
      <c r="G70" s="23">
        <v>444.8</v>
      </c>
      <c r="H70" s="23">
        <v>504</v>
      </c>
      <c r="I70" s="23">
        <v>632.29999999999995</v>
      </c>
      <c r="J70" s="23">
        <v>733</v>
      </c>
      <c r="K70" s="23">
        <v>923.8</v>
      </c>
      <c r="L70" s="23">
        <v>1241.8</v>
      </c>
      <c r="M70" s="23">
        <v>980.6</v>
      </c>
      <c r="N70" s="23">
        <v>1009.1</v>
      </c>
      <c r="O70" s="23">
        <v>1140.2</v>
      </c>
      <c r="P70" s="23">
        <v>1334.8</v>
      </c>
      <c r="Q70" s="23">
        <v>1188.0999999999999</v>
      </c>
      <c r="R70" s="23">
        <v>1689.6</v>
      </c>
      <c r="S70" s="23">
        <v>1329.7</v>
      </c>
      <c r="T70" s="23">
        <v>1661.8</v>
      </c>
      <c r="U70" s="23">
        <v>1645</v>
      </c>
      <c r="V70" s="23">
        <v>1797.5</v>
      </c>
      <c r="W70" s="23">
        <v>1775.4</v>
      </c>
      <c r="X70" s="23">
        <v>1693.1</v>
      </c>
      <c r="Y70" s="23">
        <v>2039.5</v>
      </c>
      <c r="Z70" s="23">
        <v>1669</v>
      </c>
      <c r="AA70" s="23">
        <v>1930.6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261.5</v>
      </c>
      <c r="E71" s="23">
        <v>396.9</v>
      </c>
      <c r="F71" s="23">
        <v>512.79999999999995</v>
      </c>
      <c r="G71" s="23">
        <v>605.79999999999995</v>
      </c>
      <c r="H71" s="23">
        <v>854.9</v>
      </c>
      <c r="I71" s="23">
        <v>1317.4</v>
      </c>
      <c r="J71" s="23">
        <v>1768.8</v>
      </c>
      <c r="K71" s="23">
        <v>2224.5</v>
      </c>
      <c r="L71" s="23">
        <v>2949.8</v>
      </c>
      <c r="M71" s="23">
        <v>3637.5</v>
      </c>
      <c r="N71" s="23">
        <v>3486.8</v>
      </c>
      <c r="O71" s="23">
        <v>4334.8</v>
      </c>
      <c r="P71" s="23">
        <v>2397.5</v>
      </c>
      <c r="Q71" s="23">
        <v>2231.1999999999998</v>
      </c>
      <c r="R71" s="23">
        <v>2524.3000000000002</v>
      </c>
      <c r="S71" s="23">
        <v>3267.6</v>
      </c>
      <c r="T71" s="23">
        <v>4089.7</v>
      </c>
      <c r="U71" s="23">
        <v>5307.1</v>
      </c>
      <c r="V71" s="23">
        <v>5349.3</v>
      </c>
      <c r="W71" s="23">
        <v>5234.6000000000004</v>
      </c>
      <c r="X71" s="23">
        <v>4655</v>
      </c>
      <c r="Y71" s="23">
        <v>4010.8</v>
      </c>
      <c r="Z71" s="23">
        <v>4559.8999999999996</v>
      </c>
      <c r="AA71" s="23">
        <v>5872.8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171</v>
      </c>
      <c r="E72" s="23">
        <v>207.10000000000002</v>
      </c>
      <c r="F72" s="23">
        <v>207.60000000000002</v>
      </c>
      <c r="G72" s="23">
        <v>235.20000000000005</v>
      </c>
      <c r="H72" s="23">
        <v>260.39999999999998</v>
      </c>
      <c r="I72" s="23">
        <v>351.69999999999982</v>
      </c>
      <c r="J72" s="23">
        <v>440.29999999999995</v>
      </c>
      <c r="K72" s="23">
        <v>537.69999999999982</v>
      </c>
      <c r="L72" s="23">
        <v>557.5</v>
      </c>
      <c r="M72" s="23">
        <v>689</v>
      </c>
      <c r="N72" s="23">
        <v>637.5</v>
      </c>
      <c r="O72" s="23">
        <v>748.5</v>
      </c>
      <c r="P72" s="23">
        <v>614.90000000000009</v>
      </c>
      <c r="Q72" s="23">
        <v>684.20000000000027</v>
      </c>
      <c r="R72" s="23">
        <v>756</v>
      </c>
      <c r="S72" s="23">
        <v>681.90000000000009</v>
      </c>
      <c r="T72" s="23">
        <v>725.69999999999982</v>
      </c>
      <c r="U72" s="23">
        <v>678.29999999999927</v>
      </c>
      <c r="V72" s="23">
        <v>798.39999999999964</v>
      </c>
      <c r="W72" s="23">
        <v>878</v>
      </c>
      <c r="X72" s="23">
        <v>727</v>
      </c>
      <c r="Y72" s="23">
        <v>917.5</v>
      </c>
      <c r="Z72" s="23">
        <v>870.5</v>
      </c>
      <c r="AA72" s="23">
        <v>939.19999999999982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495.2</v>
      </c>
      <c r="E73" s="23">
        <v>522.4</v>
      </c>
      <c r="F73" s="23">
        <v>565</v>
      </c>
      <c r="G73" s="23">
        <v>575.9</v>
      </c>
      <c r="H73" s="23">
        <v>666.6</v>
      </c>
      <c r="I73" s="23">
        <v>808.9</v>
      </c>
      <c r="J73" s="23">
        <v>949.9</v>
      </c>
      <c r="K73" s="23">
        <v>1271.7</v>
      </c>
      <c r="L73" s="23">
        <v>1382.9</v>
      </c>
      <c r="M73" s="23">
        <v>1050.0999999999999</v>
      </c>
      <c r="N73" s="23">
        <v>969.2</v>
      </c>
      <c r="O73" s="23">
        <v>905.2</v>
      </c>
      <c r="P73" s="23">
        <v>738.3</v>
      </c>
      <c r="Q73" s="23">
        <v>1000.2</v>
      </c>
      <c r="R73" s="23">
        <v>1105.5</v>
      </c>
      <c r="S73" s="23">
        <v>1214</v>
      </c>
      <c r="T73" s="23">
        <v>1274</v>
      </c>
      <c r="U73" s="23">
        <v>1400.3</v>
      </c>
      <c r="V73" s="23">
        <v>1422.3</v>
      </c>
      <c r="W73" s="23">
        <v>1677.2</v>
      </c>
      <c r="X73" s="23">
        <v>1549.7</v>
      </c>
      <c r="Y73" s="23">
        <v>1693.2</v>
      </c>
      <c r="Z73" s="23">
        <v>1772.8</v>
      </c>
      <c r="AA73" s="23">
        <v>1912.8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105.50000000000074</v>
      </c>
      <c r="E74" s="23">
        <v>116.30000000000075</v>
      </c>
      <c r="F74" s="23">
        <v>119.00000000000364</v>
      </c>
      <c r="G74" s="23">
        <v>124.5000000000033</v>
      </c>
      <c r="H74" s="23">
        <v>145.19999999999925</v>
      </c>
      <c r="I74" s="23">
        <v>185.10000000000184</v>
      </c>
      <c r="J74" s="23">
        <v>233.70000000000221</v>
      </c>
      <c r="K74" s="23">
        <v>339.80000000000359</v>
      </c>
      <c r="L74" s="23">
        <v>181.80000000000064</v>
      </c>
      <c r="M74" s="23">
        <v>308.99999999999864</v>
      </c>
      <c r="N74" s="23">
        <v>1200.7999999999963</v>
      </c>
      <c r="O74" s="23">
        <v>1316.999999999997</v>
      </c>
      <c r="P74" s="23">
        <v>1428.7999999999986</v>
      </c>
      <c r="Q74" s="23">
        <v>1314.5000000000043</v>
      </c>
      <c r="R74" s="23">
        <v>1162.9000000000015</v>
      </c>
      <c r="S74" s="23">
        <v>1265.2999999999993</v>
      </c>
      <c r="T74" s="23">
        <v>1284.0999999999985</v>
      </c>
      <c r="U74" s="23">
        <v>1549.8999999999971</v>
      </c>
      <c r="V74" s="23">
        <v>1451.2</v>
      </c>
      <c r="W74" s="23">
        <v>1357.1999999999941</v>
      </c>
      <c r="X74" s="23">
        <v>1276.7999999999963</v>
      </c>
      <c r="Y74" s="23">
        <v>1138.3</v>
      </c>
      <c r="Z74" s="23">
        <v>1533.4999999999957</v>
      </c>
      <c r="AA74" s="23">
        <v>1914.6000000000015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8043</v>
      </c>
      <c r="E75" s="30">
        <f t="shared" ref="E75:Y75" si="6">SUM(E56:E74)</f>
        <v>9941</v>
      </c>
      <c r="F75" s="30">
        <f t="shared" si="6"/>
        <v>10620.2</v>
      </c>
      <c r="G75" s="30">
        <f t="shared" si="6"/>
        <v>10757.200000000003</v>
      </c>
      <c r="H75" s="30">
        <f t="shared" si="6"/>
        <v>12830.6</v>
      </c>
      <c r="I75" s="30">
        <f t="shared" si="6"/>
        <v>16849.3</v>
      </c>
      <c r="J75" s="30">
        <f t="shared" si="6"/>
        <v>20517.7</v>
      </c>
      <c r="K75" s="30">
        <f t="shared" si="6"/>
        <v>26838.500000000007</v>
      </c>
      <c r="L75" s="30">
        <f t="shared" si="6"/>
        <v>32169.8</v>
      </c>
      <c r="M75" s="30">
        <f t="shared" si="6"/>
        <v>26303.600000000002</v>
      </c>
      <c r="N75" s="30">
        <f t="shared" si="6"/>
        <v>29970</v>
      </c>
      <c r="O75" s="30">
        <f t="shared" si="6"/>
        <v>35895.4</v>
      </c>
      <c r="P75" s="30">
        <f t="shared" si="6"/>
        <v>29642.400000000001</v>
      </c>
      <c r="Q75" s="30">
        <f t="shared" si="6"/>
        <v>28894.900000000005</v>
      </c>
      <c r="R75" s="30">
        <f t="shared" si="6"/>
        <v>32383.7</v>
      </c>
      <c r="S75" s="30">
        <f t="shared" si="6"/>
        <v>32391.200000000001</v>
      </c>
      <c r="T75" s="30">
        <f t="shared" si="6"/>
        <v>33707.600000000006</v>
      </c>
      <c r="U75" s="30">
        <f t="shared" si="6"/>
        <v>36964.400000000009</v>
      </c>
      <c r="V75" s="30">
        <f t="shared" si="6"/>
        <v>38978.500000000007</v>
      </c>
      <c r="W75" s="30">
        <f t="shared" si="6"/>
        <v>38486.300000000003</v>
      </c>
      <c r="X75" s="30">
        <f t="shared" si="6"/>
        <v>34935.69999999999</v>
      </c>
      <c r="Y75" s="30">
        <f t="shared" si="6"/>
        <v>37812.700000000004</v>
      </c>
      <c r="Z75" s="30">
        <f t="shared" ref="Z75:AA75" si="7">SUM(Z56:Z74)</f>
        <v>38633.1</v>
      </c>
      <c r="AA75" s="30">
        <f t="shared" si="7"/>
        <v>40941.699999999997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140756.1534257489</v>
      </c>
      <c r="E2" s="19">
        <v>148103.40413086084</v>
      </c>
      <c r="F2" s="19">
        <v>156550.37554134481</v>
      </c>
      <c r="G2" s="19">
        <v>160212.46845224619</v>
      </c>
      <c r="H2" s="19">
        <v>176922.51618113639</v>
      </c>
      <c r="I2" s="19">
        <v>185179.13448572173</v>
      </c>
      <c r="J2" s="19">
        <v>200048.10133333332</v>
      </c>
      <c r="K2" s="19">
        <v>214518.36769281694</v>
      </c>
      <c r="L2" s="19">
        <v>234485.33238018234</v>
      </c>
      <c r="M2" s="19">
        <v>221550.10714443348</v>
      </c>
      <c r="N2" s="19">
        <v>212896.90238883684</v>
      </c>
      <c r="O2" s="19">
        <v>222466.18579697006</v>
      </c>
      <c r="P2" s="19">
        <v>226703.17526921927</v>
      </c>
      <c r="Q2" s="19">
        <v>227335.02554946489</v>
      </c>
      <c r="R2" s="19">
        <v>236690.20725050577</v>
      </c>
      <c r="S2" s="19">
        <v>244163.42502999998</v>
      </c>
      <c r="T2" s="19">
        <v>251145.07787719506</v>
      </c>
      <c r="U2" s="19">
        <v>271730.18928147608</v>
      </c>
      <c r="V2" s="19">
        <v>288360.99914070102</v>
      </c>
      <c r="W2" s="19">
        <v>299674.78393887141</v>
      </c>
      <c r="X2" s="19">
        <v>288663.45812653756</v>
      </c>
      <c r="Y2" s="19">
        <v>304672.10976280307</v>
      </c>
      <c r="Z2" s="19">
        <v>316751.799098155</v>
      </c>
      <c r="AA2" s="19">
        <v>324368.59999999998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61040.679055758141</v>
      </c>
      <c r="E3" s="23">
        <v>66128.85730100896</v>
      </c>
      <c r="F3" s="23">
        <v>70821.694822621052</v>
      </c>
      <c r="G3" s="23">
        <v>76756.524631772321</v>
      </c>
      <c r="H3" s="23">
        <v>88915.111658598267</v>
      </c>
      <c r="I3" s="23">
        <v>98895.75594611335</v>
      </c>
      <c r="J3" s="23">
        <v>108990.27551490159</v>
      </c>
      <c r="K3" s="23">
        <v>124075.12740169345</v>
      </c>
      <c r="L3" s="23">
        <v>134873.0940606638</v>
      </c>
      <c r="M3" s="23">
        <v>126307.18557112817</v>
      </c>
      <c r="N3" s="23">
        <v>120006.80830773168</v>
      </c>
      <c r="O3" s="23">
        <v>125396.00126566597</v>
      </c>
      <c r="P3" s="23">
        <v>127760.72884332752</v>
      </c>
      <c r="Q3" s="23">
        <v>121437.00425605536</v>
      </c>
      <c r="R3" s="23">
        <v>126370.3406827492</v>
      </c>
      <c r="S3" s="23">
        <v>133837.11039000002</v>
      </c>
      <c r="T3" s="23">
        <v>141926.60591870928</v>
      </c>
      <c r="U3" s="23">
        <v>158348.16714498805</v>
      </c>
      <c r="V3" s="23">
        <v>174635.40285307399</v>
      </c>
      <c r="W3" s="23">
        <v>180129.42394833005</v>
      </c>
      <c r="X3" s="23">
        <v>173366.69612844969</v>
      </c>
      <c r="Y3" s="23">
        <v>185446.84181000193</v>
      </c>
      <c r="Z3" s="23">
        <v>194887.606927849</v>
      </c>
      <c r="AA3" s="23">
        <v>200697.5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131667.13625809335</v>
      </c>
      <c r="E4" s="27">
        <v>139255.95839462336</v>
      </c>
      <c r="F4" s="27">
        <v>146295.91526629176</v>
      </c>
      <c r="G4" s="27">
        <v>149630.62932202008</v>
      </c>
      <c r="H4" s="27">
        <v>165504.8985114301</v>
      </c>
      <c r="I4" s="27">
        <v>172154.22761666868</v>
      </c>
      <c r="J4" s="27">
        <v>186778.02582808104</v>
      </c>
      <c r="K4" s="27">
        <v>199889.80968774235</v>
      </c>
      <c r="L4" s="27">
        <v>218861.83491583989</v>
      </c>
      <c r="M4" s="27">
        <v>209141.82387303037</v>
      </c>
      <c r="N4" s="27">
        <v>198310.47010092335</v>
      </c>
      <c r="O4" s="27">
        <v>206814.78610377081</v>
      </c>
      <c r="P4" s="27">
        <v>210955.32342206134</v>
      </c>
      <c r="Q4" s="27">
        <v>211807.79084524704</v>
      </c>
      <c r="R4" s="27">
        <v>220634.4777599209</v>
      </c>
      <c r="S4" s="27">
        <v>226527.96951600001</v>
      </c>
      <c r="T4" s="27">
        <v>232904.13095205917</v>
      </c>
      <c r="U4" s="27">
        <v>252478.38769834992</v>
      </c>
      <c r="V4" s="27">
        <v>266982.84737984661</v>
      </c>
      <c r="W4" s="27">
        <v>277136.7262533328</v>
      </c>
      <c r="X4" s="27">
        <v>267408.59078862262</v>
      </c>
      <c r="Y4" s="27">
        <v>281191.55136476824</v>
      </c>
      <c r="Z4" s="27">
        <v>289974.44497878366</v>
      </c>
      <c r="AA4" s="27">
        <v>296141.59999999998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15826.349189551242</v>
      </c>
      <c r="E6" s="19">
        <v>20184.033485501732</v>
      </c>
      <c r="F6" s="19">
        <v>18371.641386867352</v>
      </c>
      <c r="G6" s="19">
        <v>19981.617904054827</v>
      </c>
      <c r="H6" s="19">
        <v>23442.561342750818</v>
      </c>
      <c r="I6" s="19">
        <v>16473.889454124528</v>
      </c>
      <c r="J6" s="19">
        <v>16403.189566849942</v>
      </c>
      <c r="K6" s="19">
        <v>12338.111375178847</v>
      </c>
      <c r="L6" s="19">
        <v>15375.672877375571</v>
      </c>
      <c r="M6" s="19">
        <v>14068.633080612013</v>
      </c>
      <c r="N6" s="19">
        <v>11474.026856345286</v>
      </c>
      <c r="O6" s="19">
        <v>13907.375355480057</v>
      </c>
      <c r="P6" s="19">
        <v>10835.724738074958</v>
      </c>
      <c r="Q6" s="19">
        <v>13241.055334002174</v>
      </c>
      <c r="R6" s="19">
        <v>12345.590239831872</v>
      </c>
      <c r="S6" s="19">
        <v>11413.451726000001</v>
      </c>
      <c r="T6" s="19">
        <v>11165.881128723961</v>
      </c>
      <c r="U6" s="19">
        <v>12388.553341585312</v>
      </c>
      <c r="V6" s="19">
        <v>13266.98946244595</v>
      </c>
      <c r="W6" s="19">
        <v>13158.702800795634</v>
      </c>
      <c r="X6" s="19">
        <v>11988.704108135005</v>
      </c>
      <c r="Y6" s="19">
        <v>14326.65920220917</v>
      </c>
      <c r="Z6" s="19">
        <v>12042.861954696527</v>
      </c>
      <c r="AA6" s="19">
        <v>12576.6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36516.873516409913</v>
      </c>
      <c r="E7" s="23">
        <v>40892.371738946655</v>
      </c>
      <c r="F7" s="23">
        <v>43985.766787958979</v>
      </c>
      <c r="G7" s="23">
        <v>43161.974765440158</v>
      </c>
      <c r="H7" s="23">
        <v>46966.376220855171</v>
      </c>
      <c r="I7" s="23">
        <v>49009.759866577311</v>
      </c>
      <c r="J7" s="23">
        <v>52455.471463054855</v>
      </c>
      <c r="K7" s="23">
        <v>55402.982081499365</v>
      </c>
      <c r="L7" s="23">
        <v>62020.817398950981</v>
      </c>
      <c r="M7" s="23">
        <v>59203.951429550129</v>
      </c>
      <c r="N7" s="23">
        <v>67209.949626368907</v>
      </c>
      <c r="O7" s="23">
        <v>78579.192869426624</v>
      </c>
      <c r="P7" s="23">
        <v>64139.364126916531</v>
      </c>
      <c r="Q7" s="23">
        <v>60565.462055848177</v>
      </c>
      <c r="R7" s="23">
        <v>65351.558532163028</v>
      </c>
      <c r="S7" s="23">
        <v>64184.195663999999</v>
      </c>
      <c r="T7" s="23">
        <v>62672.008190295986</v>
      </c>
      <c r="U7" s="23">
        <v>66121.545233552664</v>
      </c>
      <c r="V7" s="23">
        <v>67759.723044894039</v>
      </c>
      <c r="W7" s="23">
        <v>65219.543349274201</v>
      </c>
      <c r="X7" s="23">
        <v>59036.583119661664</v>
      </c>
      <c r="Y7" s="23">
        <v>61200.542066785856</v>
      </c>
      <c r="Z7" s="23">
        <v>64882.007518063569</v>
      </c>
      <c r="AA7" s="23">
        <v>61943.199999999997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7611.2739004242021</v>
      </c>
      <c r="E8" s="23">
        <v>8743.8530560486925</v>
      </c>
      <c r="F8" s="23">
        <v>9994.5880251405888</v>
      </c>
      <c r="G8" s="23">
        <v>10586.224610426696</v>
      </c>
      <c r="H8" s="23">
        <v>11771.071371610846</v>
      </c>
      <c r="I8" s="23">
        <v>13627.530687218226</v>
      </c>
      <c r="J8" s="23">
        <v>16712.785476733272</v>
      </c>
      <c r="K8" s="23">
        <v>21480.687574132528</v>
      </c>
      <c r="L8" s="23">
        <v>27702.508606366584</v>
      </c>
      <c r="M8" s="23">
        <v>24578.500477277918</v>
      </c>
      <c r="N8" s="23">
        <v>17688.037968649347</v>
      </c>
      <c r="O8" s="23">
        <v>15391.793708317604</v>
      </c>
      <c r="P8" s="23">
        <v>18015.289544293017</v>
      </c>
      <c r="Q8" s="23">
        <v>16511.724117966725</v>
      </c>
      <c r="R8" s="23">
        <v>15906.878753039107</v>
      </c>
      <c r="S8" s="23">
        <v>15272.045614000002</v>
      </c>
      <c r="T8" s="23">
        <v>15687.027828084876</v>
      </c>
      <c r="U8" s="23">
        <v>15131.134095245188</v>
      </c>
      <c r="V8" s="23">
        <v>17573.092852185982</v>
      </c>
      <c r="W8" s="23">
        <v>19342.470630157855</v>
      </c>
      <c r="X8" s="23">
        <v>19085.709558006467</v>
      </c>
      <c r="Y8" s="23">
        <v>19925.094971906525</v>
      </c>
      <c r="Z8" s="23">
        <v>21454.931441391858</v>
      </c>
      <c r="AA8" s="23">
        <v>24622.1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26714.529734315696</v>
      </c>
      <c r="E9" s="23">
        <v>25883.042704370615</v>
      </c>
      <c r="F9" s="23">
        <v>26642.256111478666</v>
      </c>
      <c r="G9" s="23">
        <v>29334.680737537739</v>
      </c>
      <c r="H9" s="23">
        <v>32183.120217209693</v>
      </c>
      <c r="I9" s="23">
        <v>36427.560317411968</v>
      </c>
      <c r="J9" s="23">
        <v>40383.388440391587</v>
      </c>
      <c r="K9" s="23">
        <v>43961.187924726131</v>
      </c>
      <c r="L9" s="23">
        <v>43974.457717176527</v>
      </c>
      <c r="M9" s="23">
        <v>42236.760369947478</v>
      </c>
      <c r="N9" s="23">
        <v>26642.605031135925</v>
      </c>
      <c r="O9" s="23">
        <v>22379.812461725596</v>
      </c>
      <c r="P9" s="23">
        <v>38953.245915672916</v>
      </c>
      <c r="Q9" s="23">
        <v>33967.172282835883</v>
      </c>
      <c r="R9" s="23">
        <v>35132.234660238188</v>
      </c>
      <c r="S9" s="23">
        <v>41019.440011999999</v>
      </c>
      <c r="T9" s="23">
        <v>44561.79483134787</v>
      </c>
      <c r="U9" s="23">
        <v>49104.278597288016</v>
      </c>
      <c r="V9" s="23">
        <v>52829.063867684483</v>
      </c>
      <c r="W9" s="23">
        <v>54764.017646112836</v>
      </c>
      <c r="X9" s="23">
        <v>54798.471755535291</v>
      </c>
      <c r="Y9" s="23">
        <v>62411.62544055676</v>
      </c>
      <c r="Z9" s="23">
        <v>65994.116771761634</v>
      </c>
      <c r="AA9" s="23">
        <v>66122.399999999994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7142.1694306764912</v>
      </c>
      <c r="E10" s="23">
        <v>7145.0975314904044</v>
      </c>
      <c r="F10" s="23">
        <v>7241.1535312603373</v>
      </c>
      <c r="G10" s="23">
        <v>7378.2976462429642</v>
      </c>
      <c r="H10" s="23">
        <v>7898.6989367357801</v>
      </c>
      <c r="I10" s="23">
        <v>7762.5515992445471</v>
      </c>
      <c r="J10" s="23">
        <v>8625.9677135577313</v>
      </c>
      <c r="K10" s="23">
        <v>10272.593064581308</v>
      </c>
      <c r="L10" s="23">
        <v>10578.389706293128</v>
      </c>
      <c r="M10" s="23">
        <v>9346.5130851792655</v>
      </c>
      <c r="N10" s="23">
        <v>8965.2764075585146</v>
      </c>
      <c r="O10" s="23">
        <v>9269.8965395746818</v>
      </c>
      <c r="P10" s="23">
        <v>10189.764322827939</v>
      </c>
      <c r="Q10" s="23">
        <v>12341.886226068056</v>
      </c>
      <c r="R10" s="23">
        <v>12137.750346149092</v>
      </c>
      <c r="S10" s="23">
        <v>13001.357066000002</v>
      </c>
      <c r="T10" s="23">
        <v>13499.296038074646</v>
      </c>
      <c r="U10" s="23">
        <v>15473.713380301353</v>
      </c>
      <c r="V10" s="23">
        <v>15740.665794765033</v>
      </c>
      <c r="W10" s="23">
        <v>17369.046495408187</v>
      </c>
      <c r="X10" s="23">
        <v>18643.847725350362</v>
      </c>
      <c r="Y10" s="23">
        <v>19889.270940812155</v>
      </c>
      <c r="Z10" s="23">
        <v>21847.82963050704</v>
      </c>
      <c r="AA10" s="23">
        <v>22534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5911.2191873185984</v>
      </c>
      <c r="E11" s="23">
        <v>5402.8552286752893</v>
      </c>
      <c r="F11" s="23">
        <v>4181.375334932186</v>
      </c>
      <c r="G11" s="23">
        <v>3302.104034429306</v>
      </c>
      <c r="H11" s="23">
        <v>4230.6821979190408</v>
      </c>
      <c r="I11" s="23">
        <v>3997.056147191422</v>
      </c>
      <c r="J11" s="23">
        <v>3843.951446962586</v>
      </c>
      <c r="K11" s="23">
        <v>4261.4164243820924</v>
      </c>
      <c r="L11" s="23">
        <v>5101.3679767434651</v>
      </c>
      <c r="M11" s="23">
        <v>4645.1508723452844</v>
      </c>
      <c r="N11" s="23">
        <v>5111.8122267554227</v>
      </c>
      <c r="O11" s="23">
        <v>6017.9760748290755</v>
      </c>
      <c r="P11" s="23">
        <v>6380.4650085178882</v>
      </c>
      <c r="Q11" s="23">
        <v>8937.2163615082354</v>
      </c>
      <c r="R11" s="23">
        <v>8150.0088453455319</v>
      </c>
      <c r="S11" s="23">
        <v>7846.5369040000005</v>
      </c>
      <c r="T11" s="23">
        <v>8537.5277933311463</v>
      </c>
      <c r="U11" s="23">
        <v>6913.4236577352985</v>
      </c>
      <c r="V11" s="23">
        <v>7165.8175109877402</v>
      </c>
      <c r="W11" s="23">
        <v>6959.5473833001824</v>
      </c>
      <c r="X11" s="23">
        <v>8759.3238178953488</v>
      </c>
      <c r="Y11" s="23">
        <v>8741.4487916613452</v>
      </c>
      <c r="Z11" s="23">
        <v>9165.3451174392612</v>
      </c>
      <c r="AA11" s="23">
        <v>8951.7000000000007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10684.51880330431</v>
      </c>
      <c r="E12" s="23">
        <v>10729.886875475524</v>
      </c>
      <c r="F12" s="23">
        <v>12422.386813595765</v>
      </c>
      <c r="G12" s="23">
        <v>11459.741547687037</v>
      </c>
      <c r="H12" s="23">
        <v>12162.676756284653</v>
      </c>
      <c r="I12" s="23">
        <v>14641.496990374069</v>
      </c>
      <c r="J12" s="23">
        <v>14822.416583076307</v>
      </c>
      <c r="K12" s="23">
        <v>18698.607488067806</v>
      </c>
      <c r="L12" s="23">
        <v>16200.7130424887</v>
      </c>
      <c r="M12" s="23">
        <v>18386.068163964377</v>
      </c>
      <c r="N12" s="23">
        <v>19200.992057118317</v>
      </c>
      <c r="O12" s="23">
        <v>18945.017864183548</v>
      </c>
      <c r="P12" s="23">
        <v>19685.947706558774</v>
      </c>
      <c r="Q12" s="23">
        <v>19487.994041050079</v>
      </c>
      <c r="R12" s="23">
        <v>20592.889370338322</v>
      </c>
      <c r="S12" s="23">
        <v>22104.382390000002</v>
      </c>
      <c r="T12" s="23">
        <v>21768.90977931381</v>
      </c>
      <c r="U12" s="23">
        <v>23073.193980400003</v>
      </c>
      <c r="V12" s="23">
        <v>22657.999211729748</v>
      </c>
      <c r="W12" s="23">
        <v>24307.078489991112</v>
      </c>
      <c r="X12" s="23">
        <v>22832.596505514553</v>
      </c>
      <c r="Y12" s="23">
        <v>23939.184076107776</v>
      </c>
      <c r="Z12" s="23">
        <v>23596.310644435314</v>
      </c>
      <c r="AA12" s="23">
        <v>23447.8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3558.513002902434</v>
      </c>
      <c r="E13" s="23">
        <v>3468.8438667681121</v>
      </c>
      <c r="F13" s="23">
        <v>4777.7643235196829</v>
      </c>
      <c r="G13" s="23">
        <v>5293.9326629681</v>
      </c>
      <c r="H13" s="23">
        <v>5315.6918128654979</v>
      </c>
      <c r="I13" s="23">
        <v>5827.4883087608132</v>
      </c>
      <c r="J13" s="23">
        <v>7643.6749067989822</v>
      </c>
      <c r="K13" s="23">
        <v>8418.4587206063861</v>
      </c>
      <c r="L13" s="23">
        <v>9782.4764382739686</v>
      </c>
      <c r="M13" s="23">
        <v>10049.154841287966</v>
      </c>
      <c r="N13" s="23">
        <v>10582.732976164914</v>
      </c>
      <c r="O13" s="23">
        <v>11926.126448135565</v>
      </c>
      <c r="P13" s="23">
        <v>11890.399433560477</v>
      </c>
      <c r="Q13" s="23">
        <v>15240.647368531061</v>
      </c>
      <c r="R13" s="23">
        <v>15518.214837021471</v>
      </c>
      <c r="S13" s="23">
        <v>18205.568002000004</v>
      </c>
      <c r="T13" s="23">
        <v>17913.432429092736</v>
      </c>
      <c r="U13" s="23">
        <v>21167.297249858075</v>
      </c>
      <c r="V13" s="23">
        <v>21275.305462730656</v>
      </c>
      <c r="W13" s="23">
        <v>23601.155862711079</v>
      </c>
      <c r="X13" s="23">
        <v>21562.243736628247</v>
      </c>
      <c r="Y13" s="23">
        <v>22041.024034286809</v>
      </c>
      <c r="Z13" s="23">
        <v>24391.747320601167</v>
      </c>
      <c r="AA13" s="23">
        <v>27660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13704.244130386232</v>
      </c>
      <c r="E14" s="23">
        <v>13618.663340096382</v>
      </c>
      <c r="F14" s="23">
        <v>15308.869603870351</v>
      </c>
      <c r="G14" s="23">
        <v>15485.729264909816</v>
      </c>
      <c r="H14" s="23">
        <v>17613.994771018468</v>
      </c>
      <c r="I14" s="23">
        <v>20169.304103204595</v>
      </c>
      <c r="J14" s="23">
        <v>20895.242834920224</v>
      </c>
      <c r="K14" s="23">
        <v>19737.604491093207</v>
      </c>
      <c r="L14" s="23">
        <v>22699.173443270825</v>
      </c>
      <c r="M14" s="23">
        <v>20482.236812057548</v>
      </c>
      <c r="N14" s="23">
        <v>25315.50989907666</v>
      </c>
      <c r="O14" s="23">
        <v>22951.547181326281</v>
      </c>
      <c r="P14" s="23">
        <v>24019.41537691651</v>
      </c>
      <c r="Q14" s="23">
        <v>25570.836067218464</v>
      </c>
      <c r="R14" s="23">
        <v>28699.971156302836</v>
      </c>
      <c r="S14" s="23">
        <v>25311.243295999982</v>
      </c>
      <c r="T14" s="23">
        <v>29352.663547197488</v>
      </c>
      <c r="U14" s="23">
        <v>34360.043484816029</v>
      </c>
      <c r="V14" s="23">
        <v>39130.37623267313</v>
      </c>
      <c r="W14" s="23">
        <v>42583.175645181756</v>
      </c>
      <c r="X14" s="23">
        <v>43099.272531719034</v>
      </c>
      <c r="Y14" s="23">
        <v>40734.491385199835</v>
      </c>
      <c r="Z14" s="23">
        <v>38372.86964277002</v>
      </c>
      <c r="AA14" s="23">
        <v>39173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3997.4453628041979</v>
      </c>
      <c r="E15" s="23">
        <v>3187.3105672499787</v>
      </c>
      <c r="F15" s="23">
        <v>3370.1133476678797</v>
      </c>
      <c r="G15" s="23">
        <v>3646.3261483234078</v>
      </c>
      <c r="H15" s="23">
        <v>3920.0248841801476</v>
      </c>
      <c r="I15" s="23">
        <v>4217.5901425612283</v>
      </c>
      <c r="J15" s="23">
        <v>4991.9373957355519</v>
      </c>
      <c r="K15" s="23">
        <v>5318.1605434746998</v>
      </c>
      <c r="L15" s="23">
        <v>5426.257708900177</v>
      </c>
      <c r="M15" s="23">
        <v>6144.8547408084041</v>
      </c>
      <c r="N15" s="23">
        <v>6119.5270517500549</v>
      </c>
      <c r="O15" s="23">
        <v>7446.0476007717789</v>
      </c>
      <c r="P15" s="23">
        <v>6845.7072487223177</v>
      </c>
      <c r="Q15" s="23">
        <v>5943.7969902182094</v>
      </c>
      <c r="R15" s="23">
        <v>6799.3810194914904</v>
      </c>
      <c r="S15" s="23">
        <v>8169.7488420000009</v>
      </c>
      <c r="T15" s="23">
        <v>7745.5893865966455</v>
      </c>
      <c r="U15" s="23">
        <v>8745.2046775679628</v>
      </c>
      <c r="V15" s="23">
        <v>9583.813939749818</v>
      </c>
      <c r="W15" s="23">
        <v>9831.9879503999327</v>
      </c>
      <c r="X15" s="23">
        <v>7601.8379301766317</v>
      </c>
      <c r="Y15" s="23">
        <v>7982.2104552419878</v>
      </c>
      <c r="Z15" s="23">
        <v>8226.4249371172173</v>
      </c>
      <c r="AA15" s="23">
        <v>9110.7999999999993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131667.13625809329</v>
      </c>
      <c r="E16" s="30">
        <f t="shared" ref="E16:S16" si="0">SUM(E6:E15)</f>
        <v>139255.95839462342</v>
      </c>
      <c r="F16" s="30">
        <f t="shared" si="0"/>
        <v>146295.91526629179</v>
      </c>
      <c r="G16" s="30">
        <f t="shared" si="0"/>
        <v>149630.62932202005</v>
      </c>
      <c r="H16" s="30">
        <f t="shared" si="0"/>
        <v>165504.8985114301</v>
      </c>
      <c r="I16" s="30">
        <f t="shared" si="0"/>
        <v>172154.22761666871</v>
      </c>
      <c r="J16" s="30">
        <f t="shared" si="0"/>
        <v>186778.02582808104</v>
      </c>
      <c r="K16" s="30">
        <f t="shared" si="0"/>
        <v>199889.80968774232</v>
      </c>
      <c r="L16" s="30">
        <f t="shared" si="0"/>
        <v>218861.83491583989</v>
      </c>
      <c r="M16" s="30">
        <f t="shared" si="0"/>
        <v>209141.82387303037</v>
      </c>
      <c r="N16" s="30">
        <f t="shared" si="0"/>
        <v>198310.47010092332</v>
      </c>
      <c r="O16" s="30">
        <f t="shared" si="0"/>
        <v>206814.78610377084</v>
      </c>
      <c r="P16" s="30">
        <f t="shared" si="0"/>
        <v>210955.32342206134</v>
      </c>
      <c r="Q16" s="30">
        <f t="shared" si="0"/>
        <v>211807.7908452471</v>
      </c>
      <c r="R16" s="30">
        <f t="shared" si="0"/>
        <v>220634.47775992096</v>
      </c>
      <c r="S16" s="30">
        <f t="shared" si="0"/>
        <v>226527.96951600001</v>
      </c>
      <c r="T16" s="30">
        <f t="shared" ref="T16:Y16" si="1">SUM(T6:T15)</f>
        <v>232904.13095205917</v>
      </c>
      <c r="U16" s="30">
        <f t="shared" si="1"/>
        <v>252478.38769834989</v>
      </c>
      <c r="V16" s="30">
        <f t="shared" si="1"/>
        <v>266982.84737984661</v>
      </c>
      <c r="W16" s="30">
        <f t="shared" si="1"/>
        <v>277136.72625333274</v>
      </c>
      <c r="X16" s="30">
        <f t="shared" si="1"/>
        <v>267408.59078862256</v>
      </c>
      <c r="Y16" s="30">
        <f t="shared" si="1"/>
        <v>281191.55136476824</v>
      </c>
      <c r="Z16" s="30">
        <f t="shared" ref="Z16:AA16" si="2">SUM(Z6:Z15)</f>
        <v>289974.44497878361</v>
      </c>
      <c r="AA16" s="30">
        <f t="shared" si="2"/>
        <v>296141.59999999998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15826.349189551242</v>
      </c>
      <c r="E18" s="19">
        <v>20184.033485501732</v>
      </c>
      <c r="F18" s="19">
        <v>18371.641386867352</v>
      </c>
      <c r="G18" s="19">
        <v>19981.617904054827</v>
      </c>
      <c r="H18" s="19">
        <v>23442.561342750818</v>
      </c>
      <c r="I18" s="19">
        <v>16473.889454124528</v>
      </c>
      <c r="J18" s="19">
        <v>16403.189566849942</v>
      </c>
      <c r="K18" s="19">
        <v>12338.111375178847</v>
      </c>
      <c r="L18" s="19">
        <v>15375.672877375571</v>
      </c>
      <c r="M18" s="19">
        <v>14068.633080612013</v>
      </c>
      <c r="N18" s="19">
        <v>11474.026856345286</v>
      </c>
      <c r="O18" s="19">
        <v>13907.375355480057</v>
      </c>
      <c r="P18" s="19">
        <v>10835.724738074958</v>
      </c>
      <c r="Q18" s="19">
        <v>13241.055334002174</v>
      </c>
      <c r="R18" s="19">
        <v>12345.590239831872</v>
      </c>
      <c r="S18" s="19">
        <v>11413.451726000001</v>
      </c>
      <c r="T18" s="19">
        <v>11165.881128723961</v>
      </c>
      <c r="U18" s="19">
        <v>12388.553341585312</v>
      </c>
      <c r="V18" s="19">
        <v>13266.98946244595</v>
      </c>
      <c r="W18" s="19">
        <v>13158.702800795634</v>
      </c>
      <c r="X18" s="19">
        <v>11988.704108135005</v>
      </c>
      <c r="Y18" s="19">
        <v>14326.65920220917</v>
      </c>
      <c r="Z18" s="19">
        <v>12042.861954696527</v>
      </c>
      <c r="AA18" s="19">
        <v>12576.6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2990.4124321323802</v>
      </c>
      <c r="E19" s="23">
        <v>2819.4131879279739</v>
      </c>
      <c r="F19" s="23">
        <v>2939.036867350314</v>
      </c>
      <c r="G19" s="23">
        <v>2440.2984084898276</v>
      </c>
      <c r="H19" s="23">
        <v>2492.2841915394538</v>
      </c>
      <c r="I19" s="23">
        <v>2606.4667874984789</v>
      </c>
      <c r="J19" s="23">
        <v>2967.3743167493631</v>
      </c>
      <c r="K19" s="23">
        <v>2836.0242903483004</v>
      </c>
      <c r="L19" s="23">
        <v>2362.4873958358121</v>
      </c>
      <c r="M19" s="23">
        <v>2965.7911509477049</v>
      </c>
      <c r="N19" s="23">
        <v>3297.0595517306342</v>
      </c>
      <c r="O19" s="23">
        <v>2003.8363620883777</v>
      </c>
      <c r="P19" s="23">
        <v>3813.2391418228281</v>
      </c>
      <c r="Q19" s="23">
        <v>2603.9894845148715</v>
      </c>
      <c r="R19" s="23">
        <v>2022.0181155608357</v>
      </c>
      <c r="S19" s="23">
        <v>2377.835959999999</v>
      </c>
      <c r="T19" s="23">
        <v>1738.4127449655352</v>
      </c>
      <c r="U19" s="23">
        <v>1839.1177265493397</v>
      </c>
      <c r="V19" s="23">
        <v>2159.4669866544968</v>
      </c>
      <c r="W19" s="23">
        <v>2740.5956380084003</v>
      </c>
      <c r="X19" s="23">
        <v>2443.688498406797</v>
      </c>
      <c r="Y19" s="23">
        <v>1977.0186603667614</v>
      </c>
      <c r="Z19" s="23">
        <v>5624.6362365736013</v>
      </c>
      <c r="AA19" s="23">
        <v>3760.382094697547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28889.79517749498</v>
      </c>
      <c r="E20" s="23">
        <v>33800.996745287004</v>
      </c>
      <c r="F20" s="23">
        <v>35324.987934171353</v>
      </c>
      <c r="G20" s="23">
        <v>35299.009757689491</v>
      </c>
      <c r="H20" s="23">
        <v>39192.917695754542</v>
      </c>
      <c r="I20" s="23">
        <v>41287.149424271956</v>
      </c>
      <c r="J20" s="23">
        <v>44266.174217513755</v>
      </c>
      <c r="K20" s="23">
        <v>47159.00738321738</v>
      </c>
      <c r="L20" s="23">
        <v>53543.225950486754</v>
      </c>
      <c r="M20" s="23">
        <v>48318.974368577299</v>
      </c>
      <c r="N20" s="23">
        <v>51767.592226755427</v>
      </c>
      <c r="O20" s="23">
        <v>60556.643416802988</v>
      </c>
      <c r="P20" s="23">
        <v>50776.496984667807</v>
      </c>
      <c r="Q20" s="23">
        <v>48581.528528133102</v>
      </c>
      <c r="R20" s="23">
        <v>53673.243740470607</v>
      </c>
      <c r="S20" s="23">
        <v>52111.610384000007</v>
      </c>
      <c r="T20" s="23">
        <v>52352.114216206828</v>
      </c>
      <c r="U20" s="23">
        <v>55346.318726093312</v>
      </c>
      <c r="V20" s="23">
        <v>55792.265316108831</v>
      </c>
      <c r="W20" s="23">
        <v>52408.082581573501</v>
      </c>
      <c r="X20" s="23">
        <v>46608.552014263209</v>
      </c>
      <c r="Y20" s="23">
        <v>48552.091059570936</v>
      </c>
      <c r="Z20" s="23">
        <v>43306.348159502799</v>
      </c>
      <c r="AA20" s="23">
        <v>40941.699999999997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3669.3168761840561</v>
      </c>
      <c r="E21" s="23">
        <v>3271.6345506805314</v>
      </c>
      <c r="F21" s="23">
        <v>4793.397498346013</v>
      </c>
      <c r="G21" s="23">
        <v>4582.9834437780582</v>
      </c>
      <c r="H21" s="23">
        <v>4442.6745044429244</v>
      </c>
      <c r="I21" s="23">
        <v>4156.5757371755844</v>
      </c>
      <c r="J21" s="23">
        <v>4191.950194448169</v>
      </c>
      <c r="K21" s="23">
        <v>4315.7120567066049</v>
      </c>
      <c r="L21" s="23">
        <v>4830.1665652497722</v>
      </c>
      <c r="M21" s="23">
        <v>6459.3443320392789</v>
      </c>
      <c r="N21" s="23">
        <v>9308.2167950132098</v>
      </c>
      <c r="O21" s="23">
        <v>12838.521201182835</v>
      </c>
      <c r="P21" s="23">
        <v>7415.269269591141</v>
      </c>
      <c r="Q21" s="23">
        <v>7143.8218748086829</v>
      </c>
      <c r="R21" s="23">
        <v>7472.6828505156882</v>
      </c>
      <c r="S21" s="23">
        <v>7497.1011999999973</v>
      </c>
      <c r="T21" s="23">
        <v>6403.2235012453402</v>
      </c>
      <c r="U21" s="23">
        <v>6850.2381427467926</v>
      </c>
      <c r="V21" s="23">
        <v>7521.7067772714145</v>
      </c>
      <c r="W21" s="23">
        <v>7535.0720276853244</v>
      </c>
      <c r="X21" s="23">
        <v>7375.6247548408446</v>
      </c>
      <c r="Y21" s="23">
        <v>7707.2525862086422</v>
      </c>
      <c r="Z21" s="23">
        <v>13314.415335143645</v>
      </c>
      <c r="AA21" s="23">
        <v>14271.432045653664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967.34903059849853</v>
      </c>
      <c r="E22" s="23">
        <v>1000.3272550511456</v>
      </c>
      <c r="F22" s="23">
        <v>928.34448809129992</v>
      </c>
      <c r="G22" s="23">
        <v>839.6831554827844</v>
      </c>
      <c r="H22" s="23">
        <v>838.49982911824986</v>
      </c>
      <c r="I22" s="23">
        <v>959.56791763129104</v>
      </c>
      <c r="J22" s="23">
        <v>1029.9727343435698</v>
      </c>
      <c r="K22" s="23">
        <v>1092.2383512270778</v>
      </c>
      <c r="L22" s="23">
        <v>1284.9374873786437</v>
      </c>
      <c r="M22" s="23">
        <v>1459.8415779858417</v>
      </c>
      <c r="N22" s="23">
        <v>2837.0810528696388</v>
      </c>
      <c r="O22" s="23">
        <v>3180.1918893524171</v>
      </c>
      <c r="P22" s="23">
        <v>2134.3587308347533</v>
      </c>
      <c r="Q22" s="23">
        <v>2236.1221683915155</v>
      </c>
      <c r="R22" s="23">
        <v>2183.6138256159029</v>
      </c>
      <c r="S22" s="23">
        <v>2197.6481199999989</v>
      </c>
      <c r="T22" s="23">
        <v>2178.2577278782842</v>
      </c>
      <c r="U22" s="23">
        <v>2085.8706381632214</v>
      </c>
      <c r="V22" s="23">
        <v>2286.2839648593017</v>
      </c>
      <c r="W22" s="23">
        <v>2535.7931020069777</v>
      </c>
      <c r="X22" s="23">
        <v>2608.7178521508163</v>
      </c>
      <c r="Y22" s="23">
        <v>2964.1797606395194</v>
      </c>
      <c r="Z22" s="23">
        <v>2636.6077868435273</v>
      </c>
      <c r="AA22" s="23">
        <v>2969.6858596487882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7611.2739004242021</v>
      </c>
      <c r="E23" s="23">
        <v>8743.8530560486925</v>
      </c>
      <c r="F23" s="23">
        <v>9994.5880251405888</v>
      </c>
      <c r="G23" s="23">
        <v>10586.224610426696</v>
      </c>
      <c r="H23" s="23">
        <v>11771.071371610846</v>
      </c>
      <c r="I23" s="23">
        <v>13627.530687218226</v>
      </c>
      <c r="J23" s="23">
        <v>16712.785476733272</v>
      </c>
      <c r="K23" s="23">
        <v>21480.687574132528</v>
      </c>
      <c r="L23" s="23">
        <v>27702.508606366584</v>
      </c>
      <c r="M23" s="23">
        <v>24578.500477277918</v>
      </c>
      <c r="N23" s="23">
        <v>17688.037968649347</v>
      </c>
      <c r="O23" s="23">
        <v>15391.793708317604</v>
      </c>
      <c r="P23" s="23">
        <v>18015.289544293017</v>
      </c>
      <c r="Q23" s="23">
        <v>16511.724117966725</v>
      </c>
      <c r="R23" s="23">
        <v>15906.878753039107</v>
      </c>
      <c r="S23" s="23">
        <v>15272.045614000002</v>
      </c>
      <c r="T23" s="23">
        <v>15687.027828084876</v>
      </c>
      <c r="U23" s="23">
        <v>15131.134095245188</v>
      </c>
      <c r="V23" s="23">
        <v>17573.092852185982</v>
      </c>
      <c r="W23" s="23">
        <v>19342.470630157855</v>
      </c>
      <c r="X23" s="23">
        <v>19085.709558006467</v>
      </c>
      <c r="Y23" s="23">
        <v>19925.094971906525</v>
      </c>
      <c r="Z23" s="23">
        <v>21454.931441391858</v>
      </c>
      <c r="AA23" s="23">
        <v>24622.1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15282.892020540297</v>
      </c>
      <c r="E24" s="23">
        <v>13714.887885704624</v>
      </c>
      <c r="F24" s="23">
        <v>13571.924094442607</v>
      </c>
      <c r="G24" s="23">
        <v>15136.585004487233</v>
      </c>
      <c r="H24" s="23">
        <v>16664.00042910306</v>
      </c>
      <c r="I24" s="23">
        <v>18819.636051541365</v>
      </c>
      <c r="J24" s="23">
        <v>21178.086206249165</v>
      </c>
      <c r="K24" s="23">
        <v>22811.721279175174</v>
      </c>
      <c r="L24" s="23">
        <v>23538.527397812981</v>
      </c>
      <c r="M24" s="23">
        <v>19495.415501255993</v>
      </c>
      <c r="N24" s="23">
        <v>10478.403227399613</v>
      </c>
      <c r="O24" s="23">
        <v>9925.3079841449598</v>
      </c>
      <c r="P24" s="23">
        <v>20816.164312180583</v>
      </c>
      <c r="Q24" s="23">
        <v>14414.279349552715</v>
      </c>
      <c r="R24" s="23">
        <v>17147.619936539337</v>
      </c>
      <c r="S24" s="23">
        <v>20639.873543999998</v>
      </c>
      <c r="T24" s="23">
        <v>23648.346268800808</v>
      </c>
      <c r="U24" s="23">
        <v>26608.887703003289</v>
      </c>
      <c r="V24" s="23">
        <v>28842.046906528591</v>
      </c>
      <c r="W24" s="23">
        <v>28952.359852723352</v>
      </c>
      <c r="X24" s="23">
        <v>32462.702986980679</v>
      </c>
      <c r="Y24" s="23">
        <v>39677.104660962839</v>
      </c>
      <c r="Z24" s="23">
        <v>39431.845161335281</v>
      </c>
      <c r="AA24" s="23">
        <v>39473.799999999996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8352.6457423532047</v>
      </c>
      <c r="E25" s="23">
        <v>9499.368746301463</v>
      </c>
      <c r="F25" s="23">
        <v>10160.56577489249</v>
      </c>
      <c r="G25" s="23">
        <v>11464.991837317453</v>
      </c>
      <c r="H25" s="23">
        <v>12639.812178172704</v>
      </c>
      <c r="I25" s="23">
        <v>14149.706180699402</v>
      </c>
      <c r="J25" s="23">
        <v>15132.012492959639</v>
      </c>
      <c r="K25" s="23">
        <v>17865.898745071485</v>
      </c>
      <c r="L25" s="23">
        <v>17169.723298952009</v>
      </c>
      <c r="M25" s="23">
        <v>19274.978871888557</v>
      </c>
      <c r="N25" s="23">
        <v>13558.894517929999</v>
      </c>
      <c r="O25" s="23">
        <v>10340.654953651272</v>
      </c>
      <c r="P25" s="23">
        <v>14892.03410775128</v>
      </c>
      <c r="Q25" s="23">
        <v>15942.597822088455</v>
      </c>
      <c r="R25" s="23">
        <v>15309.049011002598</v>
      </c>
      <c r="S25" s="23">
        <v>16630.694104000002</v>
      </c>
      <c r="T25" s="23">
        <v>16487.197796999597</v>
      </c>
      <c r="U25" s="23">
        <v>17648.37314260719</v>
      </c>
      <c r="V25" s="23">
        <v>18480.718220964787</v>
      </c>
      <c r="W25" s="23">
        <v>19065.766390452412</v>
      </c>
      <c r="X25" s="23">
        <v>18423.050221411395</v>
      </c>
      <c r="Y25" s="23">
        <v>18972.740711594943</v>
      </c>
      <c r="Z25" s="23">
        <v>22030.883194793798</v>
      </c>
      <c r="AA25" s="23">
        <v>21589.1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3078.9919714221928</v>
      </c>
      <c r="E26" s="23">
        <v>2668.7860723645276</v>
      </c>
      <c r="F26" s="23">
        <v>2909.7662421435657</v>
      </c>
      <c r="G26" s="23">
        <v>2733.1038957330506</v>
      </c>
      <c r="H26" s="23">
        <v>2879.307609933926</v>
      </c>
      <c r="I26" s="23">
        <v>3458.2180851711951</v>
      </c>
      <c r="J26" s="23">
        <v>4073.2897411827821</v>
      </c>
      <c r="K26" s="23">
        <v>3283.5679004794724</v>
      </c>
      <c r="L26" s="23">
        <v>3266.2070204115416</v>
      </c>
      <c r="M26" s="23">
        <v>3466.3659968029233</v>
      </c>
      <c r="N26" s="23">
        <v>2605.3072858063133</v>
      </c>
      <c r="O26" s="23">
        <v>2113.8495239293652</v>
      </c>
      <c r="P26" s="23">
        <v>3245.0474957410565</v>
      </c>
      <c r="Q26" s="23">
        <v>3610.2951111947168</v>
      </c>
      <c r="R26" s="23">
        <v>2675.5657126962542</v>
      </c>
      <c r="S26" s="23">
        <v>3748.8723639999998</v>
      </c>
      <c r="T26" s="23">
        <v>4426.2507655474683</v>
      </c>
      <c r="U26" s="23">
        <v>4847.0177516775402</v>
      </c>
      <c r="V26" s="23">
        <v>5506.2987401911068</v>
      </c>
      <c r="W26" s="23">
        <v>6745.891402937069</v>
      </c>
      <c r="X26" s="23">
        <v>3912.7185471432131</v>
      </c>
      <c r="Y26" s="23">
        <v>3761.7800679989782</v>
      </c>
      <c r="Z26" s="23">
        <v>4531.3884156325566</v>
      </c>
      <c r="AA26" s="23">
        <v>5059.5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7142.1694306764912</v>
      </c>
      <c r="E27" s="23">
        <v>7145.0975314904044</v>
      </c>
      <c r="F27" s="23">
        <v>7241.1535312603373</v>
      </c>
      <c r="G27" s="23">
        <v>7378.2976462429642</v>
      </c>
      <c r="H27" s="23">
        <v>7898.6989367357801</v>
      </c>
      <c r="I27" s="23">
        <v>7762.5515992445471</v>
      </c>
      <c r="J27" s="23">
        <v>8625.9677135577313</v>
      </c>
      <c r="K27" s="23">
        <v>10272.593064581308</v>
      </c>
      <c r="L27" s="23">
        <v>10578.389706293128</v>
      </c>
      <c r="M27" s="23">
        <v>9346.5130851792655</v>
      </c>
      <c r="N27" s="23">
        <v>8965.2764075585146</v>
      </c>
      <c r="O27" s="23">
        <v>9269.8965395746818</v>
      </c>
      <c r="P27" s="23">
        <v>10189.764322827939</v>
      </c>
      <c r="Q27" s="23">
        <v>12341.886226068056</v>
      </c>
      <c r="R27" s="23">
        <v>12137.750346149092</v>
      </c>
      <c r="S27" s="23">
        <v>13001.357066000002</v>
      </c>
      <c r="T27" s="23">
        <v>13499.296038074646</v>
      </c>
      <c r="U27" s="23">
        <v>15473.713380301353</v>
      </c>
      <c r="V27" s="23">
        <v>15740.665794765033</v>
      </c>
      <c r="W27" s="23">
        <v>17369.046495408187</v>
      </c>
      <c r="X27" s="23">
        <v>18643.847725350362</v>
      </c>
      <c r="Y27" s="23">
        <v>19889.270940812155</v>
      </c>
      <c r="Z27" s="23">
        <v>21847.82963050704</v>
      </c>
      <c r="AA27" s="23">
        <v>22534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5911.2191873185984</v>
      </c>
      <c r="E28" s="23">
        <v>5402.8552286752893</v>
      </c>
      <c r="F28" s="23">
        <v>4181.375334932186</v>
      </c>
      <c r="G28" s="23">
        <v>3302.104034429306</v>
      </c>
      <c r="H28" s="23">
        <v>4230.6821979190408</v>
      </c>
      <c r="I28" s="23">
        <v>3997.056147191422</v>
      </c>
      <c r="J28" s="23">
        <v>3843.951446962586</v>
      </c>
      <c r="K28" s="23">
        <v>4261.4164243820924</v>
      </c>
      <c r="L28" s="23">
        <v>5101.3679767434651</v>
      </c>
      <c r="M28" s="23">
        <v>4645.1508723452844</v>
      </c>
      <c r="N28" s="23">
        <v>5111.8122267554227</v>
      </c>
      <c r="O28" s="23">
        <v>6017.9760748290755</v>
      </c>
      <c r="P28" s="23">
        <v>6380.4650085178882</v>
      </c>
      <c r="Q28" s="23">
        <v>8937.2163615082354</v>
      </c>
      <c r="R28" s="23">
        <v>8150.0088453455319</v>
      </c>
      <c r="S28" s="23">
        <v>7846.5369040000005</v>
      </c>
      <c r="T28" s="23">
        <v>8537.5277933311463</v>
      </c>
      <c r="U28" s="23">
        <v>6913.4236577352985</v>
      </c>
      <c r="V28" s="23">
        <v>7165.8175109877402</v>
      </c>
      <c r="W28" s="23">
        <v>6959.5473833001824</v>
      </c>
      <c r="X28" s="23">
        <v>8759.3238178953488</v>
      </c>
      <c r="Y28" s="23">
        <v>8741.4487916613452</v>
      </c>
      <c r="Z28" s="23">
        <v>9165.3451174392612</v>
      </c>
      <c r="AA28" s="23">
        <v>8951.7000000000007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10684.51880330431</v>
      </c>
      <c r="E29" s="23">
        <v>10729.886875475524</v>
      </c>
      <c r="F29" s="23">
        <v>12422.386813595765</v>
      </c>
      <c r="G29" s="23">
        <v>11459.741547687037</v>
      </c>
      <c r="H29" s="23">
        <v>12162.676756284653</v>
      </c>
      <c r="I29" s="23">
        <v>14641.496990374069</v>
      </c>
      <c r="J29" s="23">
        <v>14822.416583076307</v>
      </c>
      <c r="K29" s="23">
        <v>18698.607488067806</v>
      </c>
      <c r="L29" s="23">
        <v>16200.7130424887</v>
      </c>
      <c r="M29" s="23">
        <v>18386.068163964377</v>
      </c>
      <c r="N29" s="23">
        <v>19200.992057118317</v>
      </c>
      <c r="O29" s="23">
        <v>18945.017864183548</v>
      </c>
      <c r="P29" s="23">
        <v>19685.947706558774</v>
      </c>
      <c r="Q29" s="23">
        <v>19487.994041050079</v>
      </c>
      <c r="R29" s="23">
        <v>20592.889370338322</v>
      </c>
      <c r="S29" s="23">
        <v>22104.382390000002</v>
      </c>
      <c r="T29" s="23">
        <v>21768.90977931381</v>
      </c>
      <c r="U29" s="23">
        <v>23073.193980400003</v>
      </c>
      <c r="V29" s="23">
        <v>22657.999211729748</v>
      </c>
      <c r="W29" s="23">
        <v>24307.078489991112</v>
      </c>
      <c r="X29" s="23">
        <v>22832.596505514553</v>
      </c>
      <c r="Y29" s="23">
        <v>23939.184076107776</v>
      </c>
      <c r="Z29" s="23">
        <v>23596.310644435314</v>
      </c>
      <c r="AA29" s="23">
        <v>23447.8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2492.7909801294936</v>
      </c>
      <c r="E30" s="23">
        <v>2270.6272635049454</v>
      </c>
      <c r="F30" s="23">
        <v>3126.967586007278</v>
      </c>
      <c r="G30" s="23">
        <v>3477.3324508444152</v>
      </c>
      <c r="H30" s="23">
        <v>3539.4162185767455</v>
      </c>
      <c r="I30" s="23">
        <v>3774.8068874131832</v>
      </c>
      <c r="J30" s="23">
        <v>5092.0436690358056</v>
      </c>
      <c r="K30" s="23">
        <v>5534.1130746294739</v>
      </c>
      <c r="L30" s="23">
        <v>6895.4183983199018</v>
      </c>
      <c r="M30" s="23">
        <v>6853.00741265129</v>
      </c>
      <c r="N30" s="23">
        <v>6072.889581275499</v>
      </c>
      <c r="O30" s="23">
        <v>7802.5171972652151</v>
      </c>
      <c r="P30" s="23">
        <v>8259.4201384156731</v>
      </c>
      <c r="Q30" s="23">
        <v>10748.836993144387</v>
      </c>
      <c r="R30" s="23">
        <v>10591.216017637122</v>
      </c>
      <c r="S30" s="23">
        <v>12805.885436000002</v>
      </c>
      <c r="T30" s="23">
        <v>12536.04795049524</v>
      </c>
      <c r="U30" s="23">
        <v>14105.342713287235</v>
      </c>
      <c r="V30" s="23">
        <v>13868.303793661811</v>
      </c>
      <c r="W30" s="23">
        <v>15615.81466164459</v>
      </c>
      <c r="X30" s="23">
        <v>14511.932622937225</v>
      </c>
      <c r="Y30" s="23">
        <v>14477.659419295111</v>
      </c>
      <c r="Z30" s="23">
        <v>16731.185452999911</v>
      </c>
      <c r="AA30" s="23">
        <v>19240.2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1065.7220227729404</v>
      </c>
      <c r="E31" s="23">
        <v>1198.2166032631667</v>
      </c>
      <c r="F31" s="23">
        <v>1650.7967375124049</v>
      </c>
      <c r="G31" s="23">
        <v>1816.6002121236847</v>
      </c>
      <c r="H31" s="23">
        <v>1776.2755942887525</v>
      </c>
      <c r="I31" s="23">
        <v>2052.68142134763</v>
      </c>
      <c r="J31" s="23">
        <v>2551.6312377631762</v>
      </c>
      <c r="K31" s="23">
        <v>2884.3456459769113</v>
      </c>
      <c r="L31" s="23">
        <v>2887.0580399540663</v>
      </c>
      <c r="M31" s="23">
        <v>3196.1474286366752</v>
      </c>
      <c r="N31" s="23">
        <v>4509.8433948894144</v>
      </c>
      <c r="O31" s="23">
        <v>4123.6092508703496</v>
      </c>
      <c r="P31" s="23">
        <v>3630.9792951448039</v>
      </c>
      <c r="Q31" s="23">
        <v>4491.8103753866735</v>
      </c>
      <c r="R31" s="23">
        <v>4926.9988193843492</v>
      </c>
      <c r="S31" s="23">
        <v>5399.6825660000004</v>
      </c>
      <c r="T31" s="23">
        <v>5377.3844785974943</v>
      </c>
      <c r="U31" s="23">
        <v>7061.9545365708382</v>
      </c>
      <c r="V31" s="23">
        <v>7407.0016690688453</v>
      </c>
      <c r="W31" s="23">
        <v>7985.341201066487</v>
      </c>
      <c r="X31" s="23">
        <v>7050.3111136910202</v>
      </c>
      <c r="Y31" s="23">
        <v>7563.3646149916995</v>
      </c>
      <c r="Z31" s="23">
        <v>7660.5618676012582</v>
      </c>
      <c r="AA31" s="23">
        <v>8419.7999999999993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6869.1836749274235</v>
      </c>
      <c r="E32" s="23">
        <v>5939.0605587961891</v>
      </c>
      <c r="F32" s="23">
        <v>6445.5247188223866</v>
      </c>
      <c r="G32" s="23">
        <v>9541.4169739740228</v>
      </c>
      <c r="H32" s="23">
        <v>9663.6723475355157</v>
      </c>
      <c r="I32" s="23">
        <v>11863.013686487158</v>
      </c>
      <c r="J32" s="23">
        <v>12708.534544723092</v>
      </c>
      <c r="K32" s="23">
        <v>10107.949027403127</v>
      </c>
      <c r="L32" s="23">
        <v>9460.4161761206797</v>
      </c>
      <c r="M32" s="23">
        <v>8155.4204978305561</v>
      </c>
      <c r="N32" s="23">
        <v>8755.0623276787646</v>
      </c>
      <c r="O32" s="23">
        <v>8748.2666331110213</v>
      </c>
      <c r="P32" s="23">
        <v>9580.8040268313307</v>
      </c>
      <c r="Q32" s="23">
        <v>10426.360114120898</v>
      </c>
      <c r="R32" s="23">
        <v>9391.9102196398744</v>
      </c>
      <c r="S32" s="23">
        <v>10255.423089999984</v>
      </c>
      <c r="T32" s="23">
        <v>12526.884513351213</v>
      </c>
      <c r="U32" s="23">
        <v>14205.211761859089</v>
      </c>
      <c r="V32" s="23">
        <v>15883.801793626173</v>
      </c>
      <c r="W32" s="23">
        <v>16362.589292818133</v>
      </c>
      <c r="X32" s="23">
        <v>16740.986819802623</v>
      </c>
      <c r="Y32" s="23">
        <v>16741.892266313356</v>
      </c>
      <c r="Z32" s="23">
        <v>15745.296844364211</v>
      </c>
      <c r="AA32" s="23">
        <v>16081.900000000001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3991.3391024782322</v>
      </c>
      <c r="E33" s="23">
        <v>4585.4566150984865</v>
      </c>
      <c r="F33" s="23">
        <v>4713.9011412504133</v>
      </c>
      <c r="G33" s="23">
        <v>3683.0781757363147</v>
      </c>
      <c r="H33" s="23">
        <v>4978.7645591250866</v>
      </c>
      <c r="I33" s="23">
        <v>5040.1819452906057</v>
      </c>
      <c r="J33" s="23">
        <v>5076.2941906933092</v>
      </c>
      <c r="K33" s="23">
        <v>5099.9237300538452</v>
      </c>
      <c r="L33" s="23">
        <v>6840.493392371277</v>
      </c>
      <c r="M33" s="23">
        <v>7567.9568805663403</v>
      </c>
      <c r="N33" s="23">
        <v>8688.2152866652359</v>
      </c>
      <c r="O33" s="23">
        <v>8400.7382995679709</v>
      </c>
      <c r="P33" s="23">
        <v>8143.2808752129467</v>
      </c>
      <c r="Q33" s="23">
        <v>9381.9250919655551</v>
      </c>
      <c r="R33" s="23">
        <v>8414.2008633123169</v>
      </c>
      <c r="S33" s="23">
        <v>8022.7026940000005</v>
      </c>
      <c r="T33" s="23">
        <v>8566.5712297028567</v>
      </c>
      <c r="U33" s="23">
        <v>9751.8307848374589</v>
      </c>
      <c r="V33" s="23">
        <v>10406.702797202797</v>
      </c>
      <c r="W33" s="23">
        <v>12323.415494519446</v>
      </c>
      <c r="X33" s="23">
        <v>11590.468126710342</v>
      </c>
      <c r="Y33" s="23">
        <v>9249.2769026944188</v>
      </c>
      <c r="Z33" s="23">
        <v>8966.9343343482851</v>
      </c>
      <c r="AA33" s="23">
        <v>9261.2999999999993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2843.7213529805763</v>
      </c>
      <c r="E34" s="23">
        <v>3094.1461662017073</v>
      </c>
      <c r="F34" s="23">
        <v>4149.4437437975521</v>
      </c>
      <c r="G34" s="23">
        <v>2261.2341151994783</v>
      </c>
      <c r="H34" s="23">
        <v>2971.5578643578647</v>
      </c>
      <c r="I34" s="23">
        <v>3266.1084714268309</v>
      </c>
      <c r="J34" s="23">
        <v>3110.4140995038224</v>
      </c>
      <c r="K34" s="23">
        <v>4529.7317336362348</v>
      </c>
      <c r="L34" s="23">
        <v>6398.2638747788669</v>
      </c>
      <c r="M34" s="23">
        <v>4758.8594336606529</v>
      </c>
      <c r="N34" s="23">
        <v>7872.2322847326614</v>
      </c>
      <c r="O34" s="23">
        <v>5802.542248647288</v>
      </c>
      <c r="P34" s="23">
        <v>6295.3304748722321</v>
      </c>
      <c r="Q34" s="23">
        <v>5762.5508611320129</v>
      </c>
      <c r="R34" s="23">
        <v>10893.860073350643</v>
      </c>
      <c r="S34" s="23">
        <v>7033.1175120000016</v>
      </c>
      <c r="T34" s="23">
        <v>8259.2078041434179</v>
      </c>
      <c r="U34" s="23">
        <v>10403.00093811948</v>
      </c>
      <c r="V34" s="23">
        <v>12839.87164184416</v>
      </c>
      <c r="W34" s="23">
        <v>13897.170857844176</v>
      </c>
      <c r="X34" s="23">
        <v>14767.81758520607</v>
      </c>
      <c r="Y34" s="23">
        <v>14743.322216192058</v>
      </c>
      <c r="Z34" s="23">
        <v>13660.638464057527</v>
      </c>
      <c r="AA34" s="23">
        <v>13829.8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1804.2203304309</v>
      </c>
      <c r="E35" s="23">
        <v>1349.5237509510523</v>
      </c>
      <c r="F35" s="23">
        <v>1295.5577861395964</v>
      </c>
      <c r="G35" s="23">
        <v>1368.02859182508</v>
      </c>
      <c r="H35" s="23">
        <v>1465.0073517126148</v>
      </c>
      <c r="I35" s="23">
        <v>1621.9050170586086</v>
      </c>
      <c r="J35" s="23">
        <v>1922.946581735283</v>
      </c>
      <c r="K35" s="23">
        <v>1764.8716215773434</v>
      </c>
      <c r="L35" s="23">
        <v>1683.534652031326</v>
      </c>
      <c r="M35" s="23">
        <v>3247.7663393468829</v>
      </c>
      <c r="N35" s="23">
        <v>3450.8273523727726</v>
      </c>
      <c r="O35" s="23">
        <v>4112.9809571746155</v>
      </c>
      <c r="P35" s="23">
        <v>3288.5568952299836</v>
      </c>
      <c r="Q35" s="23">
        <v>3504.5401805869069</v>
      </c>
      <c r="R35" s="23">
        <v>3818.1879033255041</v>
      </c>
      <c r="S35" s="23">
        <v>4155.4211780000014</v>
      </c>
      <c r="T35" s="23">
        <v>4456.6920143648767</v>
      </c>
      <c r="U35" s="23">
        <v>4671.2362478943496</v>
      </c>
      <c r="V35" s="23">
        <v>5317.3592216943371</v>
      </c>
      <c r="W35" s="23">
        <v>5890.9951347919941</v>
      </c>
      <c r="X35" s="23">
        <v>3978.3574425740112</v>
      </c>
      <c r="Y35" s="23">
        <v>4372.9714228706425</v>
      </c>
      <c r="Z35" s="23">
        <v>4508.9691181081516</v>
      </c>
      <c r="AA35" s="23">
        <v>4912.9999999999991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2193.2250323732978</v>
      </c>
      <c r="E36" s="23">
        <v>1837.7868162989262</v>
      </c>
      <c r="F36" s="23">
        <v>2074.5555615282833</v>
      </c>
      <c r="G36" s="23">
        <v>2278.2975564983276</v>
      </c>
      <c r="H36" s="23">
        <v>2455.0175324675329</v>
      </c>
      <c r="I36" s="23">
        <v>2595.6851255026195</v>
      </c>
      <c r="J36" s="23">
        <v>3068.9908140002685</v>
      </c>
      <c r="K36" s="23">
        <v>3553.288921897356</v>
      </c>
      <c r="L36" s="23">
        <v>3742.723056868851</v>
      </c>
      <c r="M36" s="23">
        <v>2897.0884014615208</v>
      </c>
      <c r="N36" s="23">
        <v>2668.6996993772818</v>
      </c>
      <c r="O36" s="23">
        <v>3333.0666435971648</v>
      </c>
      <c r="P36" s="23">
        <v>3557.150353492334</v>
      </c>
      <c r="Q36" s="23">
        <v>2439.2568096313016</v>
      </c>
      <c r="R36" s="23">
        <v>2981.1931161659872</v>
      </c>
      <c r="S36" s="23">
        <v>4014.3276639999999</v>
      </c>
      <c r="T36" s="23">
        <v>3288.8973722317692</v>
      </c>
      <c r="U36" s="23">
        <v>4073.9684296736127</v>
      </c>
      <c r="V36" s="23">
        <v>4266.454718055481</v>
      </c>
      <c r="W36" s="23">
        <v>3940.9928156079395</v>
      </c>
      <c r="X36" s="23">
        <v>3623.4804876026205</v>
      </c>
      <c r="Y36" s="23">
        <v>3609.2390323713448</v>
      </c>
      <c r="Z36" s="23">
        <v>3717.4558190090656</v>
      </c>
      <c r="AA36" s="23">
        <v>4197.8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131667.13625809329</v>
      </c>
      <c r="E39" s="30">
        <f t="shared" ref="E39:S39" si="3">SUM(E18:E38)</f>
        <v>139255.95839462336</v>
      </c>
      <c r="F39" s="30">
        <f t="shared" si="3"/>
        <v>146295.91526629176</v>
      </c>
      <c r="G39" s="30">
        <f t="shared" si="3"/>
        <v>149630.62932202002</v>
      </c>
      <c r="H39" s="30">
        <f t="shared" si="3"/>
        <v>165504.89851143013</v>
      </c>
      <c r="I39" s="30">
        <f t="shared" si="3"/>
        <v>172154.22761666865</v>
      </c>
      <c r="J39" s="30">
        <f t="shared" si="3"/>
        <v>186778.02582808101</v>
      </c>
      <c r="K39" s="30">
        <f t="shared" si="3"/>
        <v>199889.80968774238</v>
      </c>
      <c r="L39" s="30">
        <f t="shared" si="3"/>
        <v>218861.83491583992</v>
      </c>
      <c r="M39" s="30">
        <f t="shared" si="3"/>
        <v>209141.8238730304</v>
      </c>
      <c r="N39" s="30">
        <f t="shared" si="3"/>
        <v>198310.47010092341</v>
      </c>
      <c r="O39" s="30">
        <f t="shared" si="3"/>
        <v>206814.78610377084</v>
      </c>
      <c r="P39" s="30">
        <f t="shared" si="3"/>
        <v>210955.32342206137</v>
      </c>
      <c r="Q39" s="30">
        <f t="shared" si="3"/>
        <v>211807.79084524713</v>
      </c>
      <c r="R39" s="30">
        <f t="shared" si="3"/>
        <v>220634.4777599209</v>
      </c>
      <c r="S39" s="30">
        <f t="shared" si="3"/>
        <v>226527.96951600004</v>
      </c>
      <c r="T39" s="30">
        <f t="shared" ref="T39:Y39" si="4">SUM(T18:T38)</f>
        <v>232904.13095205917</v>
      </c>
      <c r="U39" s="30">
        <f t="shared" si="4"/>
        <v>252478.38769834992</v>
      </c>
      <c r="V39" s="30">
        <f t="shared" si="4"/>
        <v>266982.84737984661</v>
      </c>
      <c r="W39" s="30">
        <f t="shared" si="4"/>
        <v>277136.72625333274</v>
      </c>
      <c r="X39" s="30">
        <f t="shared" si="4"/>
        <v>267408.59078862256</v>
      </c>
      <c r="Y39" s="30">
        <f t="shared" si="4"/>
        <v>281191.55136476824</v>
      </c>
      <c r="Z39" s="30">
        <f t="shared" ref="Z39:AA39" si="5">SUM(Z18:Z38)</f>
        <v>289974.44497878361</v>
      </c>
      <c r="AA39" s="30">
        <f t="shared" si="5"/>
        <v>296141.59999999998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8869.1635275731187</v>
      </c>
      <c r="E41" s="19">
        <v>11314.37448643165</v>
      </c>
      <c r="F41" s="19">
        <v>10595.633704101885</v>
      </c>
      <c r="G41" s="19">
        <v>10647.915513584076</v>
      </c>
      <c r="H41" s="19">
        <v>11510.510222526013</v>
      </c>
      <c r="I41" s="19">
        <v>11902.219730108443</v>
      </c>
      <c r="J41" s="19">
        <v>12318.465272897949</v>
      </c>
      <c r="K41" s="19">
        <v>13268.517113555194</v>
      </c>
      <c r="L41" s="19">
        <v>16062.90120938124</v>
      </c>
      <c r="M41" s="19">
        <v>12498.389490751313</v>
      </c>
      <c r="N41" s="19">
        <v>13580.485939445996</v>
      </c>
      <c r="O41" s="19">
        <v>15020.984350488652</v>
      </c>
      <c r="P41" s="19">
        <v>14518.264384582624</v>
      </c>
      <c r="Q41" s="19">
        <v>12064.468681548367</v>
      </c>
      <c r="R41" s="19">
        <v>11777.262492273459</v>
      </c>
      <c r="S41" s="19">
        <v>12369.734334000001</v>
      </c>
      <c r="T41" s="19">
        <v>11139.322692255711</v>
      </c>
      <c r="U41" s="19">
        <v>12751.046544872452</v>
      </c>
      <c r="V41" s="19">
        <v>14261.355246534637</v>
      </c>
      <c r="W41" s="19">
        <v>13730.630855304924</v>
      </c>
      <c r="X41" s="19">
        <v>12844.944821295299</v>
      </c>
      <c r="Y41" s="19">
        <v>10314.881325820457</v>
      </c>
      <c r="Z41" s="19">
        <v>8886.1127667728088</v>
      </c>
      <c r="AA41" s="19">
        <v>9626.6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3338.6876311676715</v>
      </c>
      <c r="E42" s="23">
        <v>4131.1951559726094</v>
      </c>
      <c r="F42" s="23">
        <v>4475.0794492226269</v>
      </c>
      <c r="G42" s="23">
        <v>4564.4705474422781</v>
      </c>
      <c r="H42" s="23">
        <v>4760.0520353915099</v>
      </c>
      <c r="I42" s="23">
        <v>4453.8065553795532</v>
      </c>
      <c r="J42" s="23">
        <v>4401.4398310312463</v>
      </c>
      <c r="K42" s="23">
        <v>4488.0875107853954</v>
      </c>
      <c r="L42" s="23">
        <v>4833.2340840669976</v>
      </c>
      <c r="M42" s="23">
        <v>3801.4296734414252</v>
      </c>
      <c r="N42" s="23">
        <v>5532.2403865149245</v>
      </c>
      <c r="O42" s="23">
        <v>7047.7396417935497</v>
      </c>
      <c r="P42" s="23">
        <v>5268.9197593696772</v>
      </c>
      <c r="Q42" s="23">
        <v>5145.5069893821592</v>
      </c>
      <c r="R42" s="23">
        <v>4898.6570157003343</v>
      </c>
      <c r="S42" s="23">
        <v>4889.3648620000004</v>
      </c>
      <c r="T42" s="23">
        <v>4753.960127816501</v>
      </c>
      <c r="U42" s="23">
        <v>4788.0246405271346</v>
      </c>
      <c r="V42" s="23">
        <v>4543.7091478496059</v>
      </c>
      <c r="W42" s="23">
        <v>4353.7342282788104</v>
      </c>
      <c r="X42" s="23">
        <v>3740.0829156646491</v>
      </c>
      <c r="Y42" s="23">
        <v>3608.5970246456395</v>
      </c>
      <c r="Z42" s="23">
        <v>3661.4075751980554</v>
      </c>
      <c r="AA42" s="23">
        <v>3176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1990.6408662647916</v>
      </c>
      <c r="E43" s="23">
        <v>2383.1725800997547</v>
      </c>
      <c r="F43" s="23">
        <v>2712.1895219980152</v>
      </c>
      <c r="G43" s="23">
        <v>2616.6130945582117</v>
      </c>
      <c r="H43" s="23">
        <v>2897.9409394698873</v>
      </c>
      <c r="I43" s="23">
        <v>2904.6777567929817</v>
      </c>
      <c r="J43" s="23">
        <v>3026.0573045460642</v>
      </c>
      <c r="K43" s="23">
        <v>3340.8506711519349</v>
      </c>
      <c r="L43" s="23">
        <v>3718.5893421338492</v>
      </c>
      <c r="M43" s="23">
        <v>3721.8887896780088</v>
      </c>
      <c r="N43" s="23">
        <v>4297.0383444277431</v>
      </c>
      <c r="O43" s="23">
        <v>4152.9635858395195</v>
      </c>
      <c r="P43" s="23">
        <v>2839.0739650766614</v>
      </c>
      <c r="Q43" s="23">
        <v>2821.7567573781457</v>
      </c>
      <c r="R43" s="23">
        <v>2494.410207277373</v>
      </c>
      <c r="S43" s="23">
        <v>2658.0924040000004</v>
      </c>
      <c r="T43" s="23">
        <v>2521.8089645318869</v>
      </c>
      <c r="U43" s="23">
        <v>2868.2031400943702</v>
      </c>
      <c r="V43" s="23">
        <v>2924.1253207352447</v>
      </c>
      <c r="W43" s="23">
        <v>2785.5619721528633</v>
      </c>
      <c r="X43" s="23">
        <v>2659.7093888382124</v>
      </c>
      <c r="Y43" s="23">
        <v>2965.8188896692636</v>
      </c>
      <c r="Z43" s="23">
        <v>2418.5938169327142</v>
      </c>
      <c r="AA43" s="23">
        <v>2053.5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1272.6164902880109</v>
      </c>
      <c r="E44" s="23">
        <v>1158.4347239834303</v>
      </c>
      <c r="F44" s="23">
        <v>1881.6355317565335</v>
      </c>
      <c r="G44" s="23">
        <v>1388.7016072448398</v>
      </c>
      <c r="H44" s="23">
        <v>1651.6461114908486</v>
      </c>
      <c r="I44" s="23">
        <v>2445.4769708785184</v>
      </c>
      <c r="J44" s="23">
        <v>2298.1293603325739</v>
      </c>
      <c r="K44" s="23">
        <v>1711.45455935517</v>
      </c>
      <c r="L44" s="23">
        <v>1865.4529293096493</v>
      </c>
      <c r="M44" s="23">
        <v>1908.430118748573</v>
      </c>
      <c r="N44" s="23">
        <v>601.45063774962421</v>
      </c>
      <c r="O44" s="23">
        <v>4432.1671741957125</v>
      </c>
      <c r="P44" s="23">
        <v>1565.6531942078366</v>
      </c>
      <c r="Q44" s="23">
        <v>3863.6698018560323</v>
      </c>
      <c r="R44" s="23">
        <v>8205.8637450035039</v>
      </c>
      <c r="S44" s="23">
        <v>4408.4885640000002</v>
      </c>
      <c r="T44" s="23">
        <v>5060.8576158940405</v>
      </c>
      <c r="U44" s="23">
        <v>3330.116205827881</v>
      </c>
      <c r="V44" s="23">
        <v>2990.5404242068366</v>
      </c>
      <c r="W44" s="23">
        <v>1441.1225240170977</v>
      </c>
      <c r="X44" s="23">
        <v>744.30771871631146</v>
      </c>
      <c r="Y44" s="23">
        <v>2320.8579284254884</v>
      </c>
      <c r="Z44" s="23">
        <v>1437.1890678019247</v>
      </c>
      <c r="AA44" s="23">
        <v>295.8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989.57336459031046</v>
      </c>
      <c r="E45" s="23">
        <v>1191.4162820187673</v>
      </c>
      <c r="F45" s="23">
        <v>1153.1961089976844</v>
      </c>
      <c r="G45" s="23">
        <v>1191.1594599004652</v>
      </c>
      <c r="H45" s="23">
        <v>1326.6319700767071</v>
      </c>
      <c r="I45" s="23">
        <v>1219.0629188497624</v>
      </c>
      <c r="J45" s="23">
        <v>1346.0410325868313</v>
      </c>
      <c r="K45" s="23">
        <v>1418.7150012560207</v>
      </c>
      <c r="L45" s="23">
        <v>1738.6260973919161</v>
      </c>
      <c r="M45" s="23">
        <v>1340.0710093628684</v>
      </c>
      <c r="N45" s="23">
        <v>600.58698088898439</v>
      </c>
      <c r="O45" s="23">
        <v>1000.0718258462311</v>
      </c>
      <c r="P45" s="23">
        <v>1714.5101554514481</v>
      </c>
      <c r="Q45" s="23">
        <v>1232.7426887383999</v>
      </c>
      <c r="R45" s="23">
        <v>1567.0862797214327</v>
      </c>
      <c r="S45" s="23">
        <v>1872.9882440000001</v>
      </c>
      <c r="T45" s="23">
        <v>1303.2271368717782</v>
      </c>
      <c r="U45" s="23">
        <v>1578.1405876276187</v>
      </c>
      <c r="V45" s="23">
        <v>1499.3495880709622</v>
      </c>
      <c r="W45" s="23">
        <v>1362.0058098099794</v>
      </c>
      <c r="X45" s="23">
        <v>1381.752113773945</v>
      </c>
      <c r="Y45" s="23">
        <v>1512.1849971268039</v>
      </c>
      <c r="Z45" s="23">
        <v>1431.2479539579576</v>
      </c>
      <c r="AA45" s="23">
        <v>1112.0999999999999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435.34044206296051</v>
      </c>
      <c r="E46" s="23">
        <v>405.97917829064164</v>
      </c>
      <c r="F46" s="23">
        <v>439.05937810122396</v>
      </c>
      <c r="G46" s="23">
        <v>420.67945663702375</v>
      </c>
      <c r="H46" s="23">
        <v>452.08733956102384</v>
      </c>
      <c r="I46" s="23">
        <v>451.8496527354697</v>
      </c>
      <c r="J46" s="23">
        <v>525.12644226900909</v>
      </c>
      <c r="K46" s="23">
        <v>426.6336416955188</v>
      </c>
      <c r="L46" s="23">
        <v>444.39322994796248</v>
      </c>
      <c r="M46" s="23">
        <v>678.39372687828279</v>
      </c>
      <c r="N46" s="23">
        <v>119.01191539617781</v>
      </c>
      <c r="O46" s="23">
        <v>582.36301329642208</v>
      </c>
      <c r="P46" s="23">
        <v>460.61722529812607</v>
      </c>
      <c r="Q46" s="23">
        <v>456.81422330908788</v>
      </c>
      <c r="R46" s="23">
        <v>565.67588288622414</v>
      </c>
      <c r="S46" s="23">
        <v>439.52962400000001</v>
      </c>
      <c r="T46" s="23">
        <v>433.63248315409419</v>
      </c>
      <c r="U46" s="23">
        <v>540.07145157237392</v>
      </c>
      <c r="V46" s="23">
        <v>385.60838093204501</v>
      </c>
      <c r="W46" s="23">
        <v>400.89433154174952</v>
      </c>
      <c r="X46" s="23">
        <v>443.86301849241232</v>
      </c>
      <c r="Y46" s="23">
        <v>389.4418864129741</v>
      </c>
      <c r="Z46" s="23">
        <v>512.95352735836582</v>
      </c>
      <c r="AA46" s="23">
        <v>683.9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2232.3769368162539</v>
      </c>
      <c r="E47" s="23">
        <v>2475.6569490235861</v>
      </c>
      <c r="F47" s="23">
        <v>2644.667511577903</v>
      </c>
      <c r="G47" s="23">
        <v>2742.2919025862775</v>
      </c>
      <c r="H47" s="23">
        <v>3156.9747664616089</v>
      </c>
      <c r="I47" s="23">
        <v>3213.180312538077</v>
      </c>
      <c r="J47" s="23">
        <v>3761.9678610701362</v>
      </c>
      <c r="K47" s="23">
        <v>4435.5490186655607</v>
      </c>
      <c r="L47" s="23">
        <v>5232.6886727842675</v>
      </c>
      <c r="M47" s="23">
        <v>4184.4383169673447</v>
      </c>
      <c r="N47" s="23">
        <v>1936.4914129267768</v>
      </c>
      <c r="O47" s="23">
        <v>1980.2366888972776</v>
      </c>
      <c r="P47" s="23">
        <v>3402.6405962521299</v>
      </c>
      <c r="Q47" s="23">
        <v>3733.5357536995234</v>
      </c>
      <c r="R47" s="23">
        <v>3735.3171323196111</v>
      </c>
      <c r="S47" s="23">
        <v>3982.7947920000001</v>
      </c>
      <c r="T47" s="23">
        <v>4311.7854574942558</v>
      </c>
      <c r="U47" s="23">
        <v>4394.2381371627471</v>
      </c>
      <c r="V47" s="23">
        <v>4496.7605402231356</v>
      </c>
      <c r="W47" s="23">
        <v>4541.1087528037588</v>
      </c>
      <c r="X47" s="23">
        <v>3792.9142217430967</v>
      </c>
      <c r="Y47" s="23">
        <v>5136.1902071893755</v>
      </c>
      <c r="Z47" s="23">
        <v>4990.8719183952189</v>
      </c>
      <c r="AA47" s="23">
        <v>4704.1000000000004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2655.504858227283</v>
      </c>
      <c r="E48" s="23">
        <v>2923.7981190295036</v>
      </c>
      <c r="F48" s="23">
        <v>2993.2540481309957</v>
      </c>
      <c r="G48" s="23">
        <v>2934.5837603002369</v>
      </c>
      <c r="H48" s="23">
        <v>3522.0047467152735</v>
      </c>
      <c r="I48" s="23">
        <v>3616.7575240648225</v>
      </c>
      <c r="J48" s="23">
        <v>4005.9769022395071</v>
      </c>
      <c r="K48" s="23">
        <v>4547.1274216625352</v>
      </c>
      <c r="L48" s="23">
        <v>4875.509694706242</v>
      </c>
      <c r="M48" s="23">
        <v>3905.5859808175383</v>
      </c>
      <c r="N48" s="23">
        <v>4374.7674618853343</v>
      </c>
      <c r="O48" s="23">
        <v>4027.6172014596705</v>
      </c>
      <c r="P48" s="23">
        <v>5346.1746379897786</v>
      </c>
      <c r="Q48" s="23">
        <v>4793.1026419195723</v>
      </c>
      <c r="R48" s="23">
        <v>4566.1794824246927</v>
      </c>
      <c r="S48" s="23">
        <v>4402.8576940000003</v>
      </c>
      <c r="T48" s="23">
        <v>4163.1514007684436</v>
      </c>
      <c r="U48" s="23">
        <v>4937.3041629051922</v>
      </c>
      <c r="V48" s="23">
        <v>4979.5582643819289</v>
      </c>
      <c r="W48" s="23">
        <v>4557.5857277074783</v>
      </c>
      <c r="X48" s="23">
        <v>3243.1217663156153</v>
      </c>
      <c r="Y48" s="23">
        <v>5363.4609420891338</v>
      </c>
      <c r="Z48" s="23">
        <v>4425.1209453668807</v>
      </c>
      <c r="AA48" s="23">
        <v>3033.8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1127.8622013842376</v>
      </c>
      <c r="E49" s="23">
        <v>945.58466903373062</v>
      </c>
      <c r="F49" s="23">
        <v>998.8600851802845</v>
      </c>
      <c r="G49" s="23">
        <v>1102.5608223872075</v>
      </c>
      <c r="H49" s="23">
        <v>1240.7964684438371</v>
      </c>
      <c r="I49" s="23">
        <v>1253.1231692457657</v>
      </c>
      <c r="J49" s="23">
        <v>1463.8385007375623</v>
      </c>
      <c r="K49" s="23">
        <v>1888.2228639456525</v>
      </c>
      <c r="L49" s="23">
        <v>2162.8801584920498</v>
      </c>
      <c r="M49" s="23">
        <v>2076.5130486412427</v>
      </c>
      <c r="N49" s="23">
        <v>3971.7851707107584</v>
      </c>
      <c r="O49" s="23">
        <v>3860.7698607440961</v>
      </c>
      <c r="P49" s="23">
        <v>1079.512738500852</v>
      </c>
      <c r="Q49" s="23">
        <v>1653.7448290276734</v>
      </c>
      <c r="R49" s="23">
        <v>1476.7571393250093</v>
      </c>
      <c r="S49" s="23">
        <v>1248.122556</v>
      </c>
      <c r="T49" s="23">
        <v>1356.654634796208</v>
      </c>
      <c r="U49" s="23">
        <v>1256.9725078874631</v>
      </c>
      <c r="V49" s="23">
        <v>1349.3430612644354</v>
      </c>
      <c r="W49" s="23">
        <v>1264.7780405434</v>
      </c>
      <c r="X49" s="23">
        <v>1373.8807828178124</v>
      </c>
      <c r="Y49" s="23">
        <v>1334.7340617417956</v>
      </c>
      <c r="Z49" s="23">
        <v>1084.1972282801823</v>
      </c>
      <c r="AA49" s="23">
        <v>1173.5999999999999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852.00291136414387</v>
      </c>
      <c r="E50" s="23">
        <v>1042.4892467664215</v>
      </c>
      <c r="F50" s="23">
        <v>1232.3598453522991</v>
      </c>
      <c r="G50" s="23">
        <v>1172.4553030921109</v>
      </c>
      <c r="H50" s="23">
        <v>1248.1276144907727</v>
      </c>
      <c r="I50" s="23">
        <v>1752.0200743267942</v>
      </c>
      <c r="J50" s="23">
        <v>2218.0874909481026</v>
      </c>
      <c r="K50" s="23">
        <v>2325.399346869232</v>
      </c>
      <c r="L50" s="23">
        <v>2100.2989395930108</v>
      </c>
      <c r="M50" s="23">
        <v>1958.2120575473853</v>
      </c>
      <c r="N50" s="23">
        <v>4138.4709448142585</v>
      </c>
      <c r="O50" s="23">
        <v>4203.5745082001595</v>
      </c>
      <c r="P50" s="23">
        <v>3422.3397338160139</v>
      </c>
      <c r="Q50" s="23">
        <v>2025.1480749937298</v>
      </c>
      <c r="R50" s="23">
        <v>2389.1643280998892</v>
      </c>
      <c r="S50" s="23">
        <v>3357.6073400000005</v>
      </c>
      <c r="T50" s="23">
        <v>3274.7639352808296</v>
      </c>
      <c r="U50" s="23">
        <v>3060.0056156874425</v>
      </c>
      <c r="V50" s="23">
        <v>2876.4610331144681</v>
      </c>
      <c r="W50" s="23">
        <v>3097.2627618604261</v>
      </c>
      <c r="X50" s="23">
        <v>3174.0141487685546</v>
      </c>
      <c r="Y50" s="23">
        <v>3023.4711834376194</v>
      </c>
      <c r="Z50" s="23">
        <v>2794.2291469541046</v>
      </c>
      <c r="AA50" s="23">
        <v>2512.3000000000002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1414.8564367046215</v>
      </c>
      <c r="E51" s="23">
        <v>1603.5157494293685</v>
      </c>
      <c r="F51" s="23">
        <v>1527.7270633476678</v>
      </c>
      <c r="G51" s="23">
        <v>1459.580517255446</v>
      </c>
      <c r="H51" s="23">
        <v>1539.5406698564595</v>
      </c>
      <c r="I51" s="23">
        <v>1549.3738363592054</v>
      </c>
      <c r="J51" s="23">
        <v>1581.4202226096288</v>
      </c>
      <c r="K51" s="23">
        <v>1623.2461210803963</v>
      </c>
      <c r="L51" s="23">
        <v>2066.8446177879396</v>
      </c>
      <c r="M51" s="23">
        <v>1801.334656314227</v>
      </c>
      <c r="N51" s="23">
        <v>1743.0322761434402</v>
      </c>
      <c r="O51" s="23">
        <v>1923.5524558533618</v>
      </c>
      <c r="P51" s="23">
        <v>2286.4703321976149</v>
      </c>
      <c r="Q51" s="23">
        <v>1997.5744523869241</v>
      </c>
      <c r="R51" s="23">
        <v>2800.3690938311288</v>
      </c>
      <c r="S51" s="23">
        <v>2139.2479540000004</v>
      </c>
      <c r="T51" s="23">
        <v>2580.9830247330724</v>
      </c>
      <c r="U51" s="23">
        <v>2463.0372548837122</v>
      </c>
      <c r="V51" s="23">
        <v>2572.869579529885</v>
      </c>
      <c r="W51" s="23">
        <v>2417.6215904185538</v>
      </c>
      <c r="X51" s="23">
        <v>2258.8051596318105</v>
      </c>
      <c r="Y51" s="23">
        <v>2618.749513152854</v>
      </c>
      <c r="Z51" s="23">
        <v>1870.8903784115221</v>
      </c>
      <c r="AA51" s="23">
        <v>1930.6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1553.5044652824292</v>
      </c>
      <c r="E52" s="23">
        <v>2053.697015808606</v>
      </c>
      <c r="F52" s="23">
        <v>2396.1998180615283</v>
      </c>
      <c r="G52" s="23">
        <v>2759.6834869870281</v>
      </c>
      <c r="H52" s="23">
        <v>3406.844660894661</v>
      </c>
      <c r="I52" s="23">
        <v>4089.9254630193732</v>
      </c>
      <c r="J52" s="23">
        <v>4766.0510419739849</v>
      </c>
      <c r="K52" s="23">
        <v>4853.5726733581623</v>
      </c>
      <c r="L52" s="23">
        <v>5837.5294958670002</v>
      </c>
      <c r="M52" s="23">
        <v>7947.6589746517475</v>
      </c>
      <c r="N52" s="23">
        <v>7123.9599806742544</v>
      </c>
      <c r="O52" s="23">
        <v>8575.683387861247</v>
      </c>
      <c r="P52" s="23">
        <v>5160.1462606473597</v>
      </c>
      <c r="Q52" s="23">
        <v>4901.71581389516</v>
      </c>
      <c r="R52" s="23">
        <v>5436.819802612602</v>
      </c>
      <c r="S52" s="23">
        <v>6354.0345900000002</v>
      </c>
      <c r="T52" s="23">
        <v>7478.9178344563943</v>
      </c>
      <c r="U52" s="23">
        <v>8961.8621187726276</v>
      </c>
      <c r="V52" s="23">
        <v>8799.5718019893593</v>
      </c>
      <c r="W52" s="23">
        <v>8323.7319666511503</v>
      </c>
      <c r="X52" s="23">
        <v>7180.2547806617467</v>
      </c>
      <c r="Y52" s="23">
        <v>6328.0133491891211</v>
      </c>
      <c r="Z52" s="23">
        <v>6087.2876638262005</v>
      </c>
      <c r="AA52" s="23">
        <v>6812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2157.6650457691476</v>
      </c>
      <c r="E53" s="23">
        <v>2171.6825893989371</v>
      </c>
      <c r="F53" s="23">
        <v>2275.1258683427181</v>
      </c>
      <c r="G53" s="23">
        <v>2298.3142857142966</v>
      </c>
      <c r="H53" s="23">
        <v>2479.7601503759379</v>
      </c>
      <c r="I53" s="23">
        <v>2435.675459973198</v>
      </c>
      <c r="J53" s="23">
        <v>2553.5729542711597</v>
      </c>
      <c r="K53" s="23">
        <v>2831.6314398366148</v>
      </c>
      <c r="L53" s="23">
        <v>2604.277479024634</v>
      </c>
      <c r="M53" s="23">
        <v>2496.628524777344</v>
      </c>
      <c r="N53" s="23">
        <v>3748.2707751771468</v>
      </c>
      <c r="O53" s="23">
        <v>3748.9197223270785</v>
      </c>
      <c r="P53" s="23">
        <v>3712.1740012776809</v>
      </c>
      <c r="Q53" s="23">
        <v>3891.7478199983352</v>
      </c>
      <c r="R53" s="23">
        <v>3759.6811389953464</v>
      </c>
      <c r="S53" s="23">
        <v>3988.747425999999</v>
      </c>
      <c r="T53" s="23">
        <v>3973.0489081536098</v>
      </c>
      <c r="U53" s="23">
        <v>4417.2963582722923</v>
      </c>
      <c r="V53" s="23">
        <v>4113.0129272762861</v>
      </c>
      <c r="W53" s="23">
        <v>4132.0440204832967</v>
      </c>
      <c r="X53" s="23">
        <v>3770.9011775437389</v>
      </c>
      <c r="Y53" s="23">
        <v>3635.6897506704126</v>
      </c>
      <c r="Z53" s="23">
        <v>3706.2461702468586</v>
      </c>
      <c r="AA53" s="23">
        <v>3827.4000000000015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28889.795177494972</v>
      </c>
      <c r="E54" s="30">
        <f t="shared" ref="E54:S54" si="6">SUM(E41:E53)</f>
        <v>33800.996745287004</v>
      </c>
      <c r="F54" s="30">
        <f t="shared" si="6"/>
        <v>35324.98793417136</v>
      </c>
      <c r="G54" s="30">
        <f t="shared" si="6"/>
        <v>35299.009757689499</v>
      </c>
      <c r="H54" s="30">
        <f t="shared" si="6"/>
        <v>39192.917695754535</v>
      </c>
      <c r="I54" s="30">
        <f t="shared" si="6"/>
        <v>41287.149424271964</v>
      </c>
      <c r="J54" s="30">
        <f t="shared" si="6"/>
        <v>44266.174217513762</v>
      </c>
      <c r="K54" s="30">
        <f t="shared" si="6"/>
        <v>47159.007383217395</v>
      </c>
      <c r="L54" s="30">
        <f t="shared" si="6"/>
        <v>53543.225950486754</v>
      </c>
      <c r="M54" s="30">
        <f t="shared" si="6"/>
        <v>48318.974368577299</v>
      </c>
      <c r="N54" s="30">
        <f t="shared" si="6"/>
        <v>51767.592226755427</v>
      </c>
      <c r="O54" s="30">
        <f t="shared" si="6"/>
        <v>60556.643416802981</v>
      </c>
      <c r="P54" s="30">
        <f t="shared" si="6"/>
        <v>50776.4969846678</v>
      </c>
      <c r="Q54" s="30">
        <f t="shared" si="6"/>
        <v>48581.528528133109</v>
      </c>
      <c r="R54" s="30">
        <f t="shared" si="6"/>
        <v>53673.243740470607</v>
      </c>
      <c r="S54" s="30">
        <f t="shared" si="6"/>
        <v>52111.610384000007</v>
      </c>
      <c r="T54" s="30">
        <f t="shared" ref="T54:Y54" si="7">SUM(T41:T53)</f>
        <v>52352.114216206828</v>
      </c>
      <c r="U54" s="30">
        <f t="shared" si="7"/>
        <v>55346.318726093312</v>
      </c>
      <c r="V54" s="30">
        <f t="shared" si="7"/>
        <v>55792.265316108831</v>
      </c>
      <c r="W54" s="30">
        <f t="shared" si="7"/>
        <v>52408.082581573486</v>
      </c>
      <c r="X54" s="30">
        <f t="shared" si="7"/>
        <v>46608.552014263201</v>
      </c>
      <c r="Y54" s="30">
        <f t="shared" si="7"/>
        <v>48552.091059570943</v>
      </c>
      <c r="Z54" s="30">
        <f t="shared" ref="Z54:AA54" si="8">SUM(Z41:Z53)</f>
        <v>43306.348159502799</v>
      </c>
      <c r="AA54" s="30">
        <f t="shared" si="8"/>
        <v>40941.699999999997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8869.1635275731187</v>
      </c>
      <c r="E56" s="19">
        <v>11314.37448643165</v>
      </c>
      <c r="F56" s="19">
        <v>10595.633704101885</v>
      </c>
      <c r="G56" s="19">
        <v>10647.915513584076</v>
      </c>
      <c r="H56" s="19">
        <v>11510.510222526013</v>
      </c>
      <c r="I56" s="19">
        <v>11902.219730108443</v>
      </c>
      <c r="J56" s="19">
        <v>12318.465272897949</v>
      </c>
      <c r="K56" s="19">
        <v>13268.517113555194</v>
      </c>
      <c r="L56" s="19">
        <v>16062.90120938124</v>
      </c>
      <c r="M56" s="19">
        <v>12498.389490751313</v>
      </c>
      <c r="N56" s="19">
        <v>13580.485939445996</v>
      </c>
      <c r="O56" s="19">
        <v>15020.984350488652</v>
      </c>
      <c r="P56" s="19">
        <v>14518.264384582624</v>
      </c>
      <c r="Q56" s="19">
        <v>12064.468681548367</v>
      </c>
      <c r="R56" s="19">
        <v>11777.262492273459</v>
      </c>
      <c r="S56" s="19">
        <v>12369.734334000001</v>
      </c>
      <c r="T56" s="19">
        <v>11139.322692255711</v>
      </c>
      <c r="U56" s="19">
        <v>12751.046544872452</v>
      </c>
      <c r="V56" s="19">
        <v>14261.355246534637</v>
      </c>
      <c r="W56" s="19">
        <v>13730.630855304924</v>
      </c>
      <c r="X56" s="19">
        <v>12844.944821295299</v>
      </c>
      <c r="Y56" s="19">
        <v>10314.881325820457</v>
      </c>
      <c r="Z56" s="19">
        <v>8886.1127667728088</v>
      </c>
      <c r="AA56" s="19">
        <v>9626.6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3338.6876311676715</v>
      </c>
      <c r="E57" s="23">
        <v>4131.1951559726094</v>
      </c>
      <c r="F57" s="23">
        <v>4475.0794492226269</v>
      </c>
      <c r="G57" s="23">
        <v>4564.4705474422781</v>
      </c>
      <c r="H57" s="23">
        <v>4760.0520353915099</v>
      </c>
      <c r="I57" s="23">
        <v>4453.8065553795532</v>
      </c>
      <c r="J57" s="23">
        <v>4401.4398310312463</v>
      </c>
      <c r="K57" s="23">
        <v>4488.0875107853954</v>
      </c>
      <c r="L57" s="23">
        <v>4833.2340840669976</v>
      </c>
      <c r="M57" s="23">
        <v>3801.4296734414252</v>
      </c>
      <c r="N57" s="23">
        <v>5532.2403865149245</v>
      </c>
      <c r="O57" s="23">
        <v>7047.7396417935497</v>
      </c>
      <c r="P57" s="23">
        <v>5268.9197593696772</v>
      </c>
      <c r="Q57" s="23">
        <v>5145.5069893821592</v>
      </c>
      <c r="R57" s="23">
        <v>4898.6570157003343</v>
      </c>
      <c r="S57" s="23">
        <v>4889.3648620000004</v>
      </c>
      <c r="T57" s="23">
        <v>4753.960127816501</v>
      </c>
      <c r="U57" s="23">
        <v>4788.0246405271346</v>
      </c>
      <c r="V57" s="23">
        <v>4543.7091478496059</v>
      </c>
      <c r="W57" s="23">
        <v>4353.7342282788104</v>
      </c>
      <c r="X57" s="23">
        <v>3740.0829156646491</v>
      </c>
      <c r="Y57" s="23">
        <v>3608.5970246456395</v>
      </c>
      <c r="Z57" s="23">
        <v>3661.4075751980554</v>
      </c>
      <c r="AA57" s="23">
        <v>3176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1142.5890645233312</v>
      </c>
      <c r="E58" s="23">
        <v>1411.7466903373065</v>
      </c>
      <c r="F58" s="23">
        <v>1556.6650678134304</v>
      </c>
      <c r="G58" s="23">
        <v>1531.4438565717551</v>
      </c>
      <c r="H58" s="23">
        <v>1828.510009873168</v>
      </c>
      <c r="I58" s="23">
        <v>1781.6696448154014</v>
      </c>
      <c r="J58" s="23">
        <v>1840.531503285504</v>
      </c>
      <c r="K58" s="23">
        <v>1927.7585185508797</v>
      </c>
      <c r="L58" s="23">
        <v>1929.1992240924469</v>
      </c>
      <c r="M58" s="23">
        <v>1976.0306850879199</v>
      </c>
      <c r="N58" s="23">
        <v>2952.8428065278076</v>
      </c>
      <c r="O58" s="23">
        <v>2700.9362233127804</v>
      </c>
      <c r="P58" s="23">
        <v>1734.5518867120957</v>
      </c>
      <c r="Q58" s="23">
        <v>1756.1371227322131</v>
      </c>
      <c r="R58" s="23">
        <v>1580.5113446243872</v>
      </c>
      <c r="S58" s="23">
        <v>1563.2903940000001</v>
      </c>
      <c r="T58" s="23">
        <v>1349.9761975556544</v>
      </c>
      <c r="U58" s="23">
        <v>1563.3174454857653</v>
      </c>
      <c r="V58" s="23">
        <v>1636.0444669833983</v>
      </c>
      <c r="W58" s="23">
        <v>1418.2454018367262</v>
      </c>
      <c r="X58" s="23">
        <v>1448.3248959283524</v>
      </c>
      <c r="Y58" s="23">
        <v>1925.1243663006003</v>
      </c>
      <c r="Z58" s="23">
        <v>1358.1610440284001</v>
      </c>
      <c r="AA58" s="23">
        <v>1084.4000000000001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521.90566197812018</v>
      </c>
      <c r="E59" s="23">
        <v>581.42746639614506</v>
      </c>
      <c r="F59" s="23">
        <v>720.78914571617599</v>
      </c>
      <c r="G59" s="23">
        <v>654.97363139430536</v>
      </c>
      <c r="H59" s="23">
        <v>608.79058631427063</v>
      </c>
      <c r="I59" s="23">
        <v>539.32813756549285</v>
      </c>
      <c r="J59" s="23">
        <v>555.11517500335265</v>
      </c>
      <c r="K59" s="23">
        <v>810.39306239692439</v>
      </c>
      <c r="L59" s="23">
        <v>983.82336412824213</v>
      </c>
      <c r="M59" s="23">
        <v>777.59021009362868</v>
      </c>
      <c r="N59" s="23">
        <v>528.55799871161696</v>
      </c>
      <c r="O59" s="23">
        <v>395.94611593473428</v>
      </c>
      <c r="P59" s="23">
        <v>332.65847955706982</v>
      </c>
      <c r="Q59" s="23">
        <v>333.90984449460746</v>
      </c>
      <c r="R59" s="23">
        <v>321.53859150286399</v>
      </c>
      <c r="S59" s="23">
        <v>403.81382000000002</v>
      </c>
      <c r="T59" s="23">
        <v>469.66498175429115</v>
      </c>
      <c r="U59" s="23">
        <v>529.44071326862047</v>
      </c>
      <c r="V59" s="23">
        <v>469.05666826811864</v>
      </c>
      <c r="W59" s="23">
        <v>480.14721909517971</v>
      </c>
      <c r="X59" s="23">
        <v>468.41089808441836</v>
      </c>
      <c r="Y59" s="23">
        <v>543.39533903716006</v>
      </c>
      <c r="Z59" s="23">
        <v>507.0124135143987</v>
      </c>
      <c r="AA59" s="23">
        <v>410.7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326.1461397633401</v>
      </c>
      <c r="E60" s="23">
        <v>389.99842336630292</v>
      </c>
      <c r="F60" s="23">
        <v>434.73530846840862</v>
      </c>
      <c r="G60" s="23">
        <v>430.19560659215153</v>
      </c>
      <c r="H60" s="23">
        <v>460.64034328244844</v>
      </c>
      <c r="I60" s="23">
        <v>583.67997441208729</v>
      </c>
      <c r="J60" s="23">
        <v>630.4106262572077</v>
      </c>
      <c r="K60" s="23">
        <v>602.6990902041307</v>
      </c>
      <c r="L60" s="23">
        <v>805.56675391316048</v>
      </c>
      <c r="M60" s="23">
        <v>968.26789449646026</v>
      </c>
      <c r="N60" s="23">
        <v>815.63753918831844</v>
      </c>
      <c r="O60" s="23">
        <v>1056.0812465920051</v>
      </c>
      <c r="P60" s="23">
        <v>771.86359880749603</v>
      </c>
      <c r="Q60" s="23">
        <v>731.70979015132525</v>
      </c>
      <c r="R60" s="23">
        <v>592.36027115012178</v>
      </c>
      <c r="S60" s="23">
        <v>690.98819000000003</v>
      </c>
      <c r="T60" s="23">
        <v>702.16778522194147</v>
      </c>
      <c r="U60" s="23">
        <v>775.44498133998468</v>
      </c>
      <c r="V60" s="23">
        <v>819.02418548372759</v>
      </c>
      <c r="W60" s="23">
        <v>887.16935122095731</v>
      </c>
      <c r="X60" s="23">
        <v>742.97359482544175</v>
      </c>
      <c r="Y60" s="23">
        <v>497.29918433150323</v>
      </c>
      <c r="Z60" s="23">
        <v>553.42035938991523</v>
      </c>
      <c r="AA60" s="23">
        <v>558.39999999999986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1272.6164902880109</v>
      </c>
      <c r="E61" s="23">
        <v>1158.4347239834303</v>
      </c>
      <c r="F61" s="23">
        <v>1881.6355317565335</v>
      </c>
      <c r="G61" s="23">
        <v>1388.7016072448398</v>
      </c>
      <c r="H61" s="23">
        <v>1651.6461114908486</v>
      </c>
      <c r="I61" s="23">
        <v>2445.4769708785184</v>
      </c>
      <c r="J61" s="23">
        <v>2298.1293603325739</v>
      </c>
      <c r="K61" s="23">
        <v>1711.45455935517</v>
      </c>
      <c r="L61" s="23">
        <v>1865.4529293096493</v>
      </c>
      <c r="M61" s="23">
        <v>1908.430118748573</v>
      </c>
      <c r="N61" s="23">
        <v>601.45063774962421</v>
      </c>
      <c r="O61" s="23">
        <v>4432.1671741957125</v>
      </c>
      <c r="P61" s="23">
        <v>1565.6531942078366</v>
      </c>
      <c r="Q61" s="23">
        <v>3863.6698018560323</v>
      </c>
      <c r="R61" s="23">
        <v>8205.8637450035039</v>
      </c>
      <c r="S61" s="23">
        <v>4408.4885640000002</v>
      </c>
      <c r="T61" s="23">
        <v>5060.8576158940405</v>
      </c>
      <c r="U61" s="23">
        <v>3330.116205827881</v>
      </c>
      <c r="V61" s="23">
        <v>2990.5404242068366</v>
      </c>
      <c r="W61" s="23">
        <v>1441.1225240170977</v>
      </c>
      <c r="X61" s="23">
        <v>744.30771871631146</v>
      </c>
      <c r="Y61" s="23">
        <v>2320.8579284254884</v>
      </c>
      <c r="Z61" s="23">
        <v>1437.1890678019247</v>
      </c>
      <c r="AA61" s="23">
        <v>295.8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989.57336459031046</v>
      </c>
      <c r="E62" s="23">
        <v>1191.4162820187673</v>
      </c>
      <c r="F62" s="23">
        <v>1153.1961089976844</v>
      </c>
      <c r="G62" s="23">
        <v>1191.1594599004652</v>
      </c>
      <c r="H62" s="23">
        <v>1326.6319700767071</v>
      </c>
      <c r="I62" s="23">
        <v>1219.0629188497624</v>
      </c>
      <c r="J62" s="23">
        <v>1346.0410325868313</v>
      </c>
      <c r="K62" s="23">
        <v>1418.7150012560207</v>
      </c>
      <c r="L62" s="23">
        <v>1738.6260973919161</v>
      </c>
      <c r="M62" s="23">
        <v>1340.0710093628684</v>
      </c>
      <c r="N62" s="23">
        <v>600.58698088898439</v>
      </c>
      <c r="O62" s="23">
        <v>1000.0718258462311</v>
      </c>
      <c r="P62" s="23">
        <v>1714.5101554514481</v>
      </c>
      <c r="Q62" s="23">
        <v>1232.7426887383999</v>
      </c>
      <c r="R62" s="23">
        <v>1567.0862797214327</v>
      </c>
      <c r="S62" s="23">
        <v>1872.9882440000001</v>
      </c>
      <c r="T62" s="23">
        <v>1303.2271368717782</v>
      </c>
      <c r="U62" s="23">
        <v>1578.1405876276187</v>
      </c>
      <c r="V62" s="23">
        <v>1499.3495880709622</v>
      </c>
      <c r="W62" s="23">
        <v>1362.0058098099794</v>
      </c>
      <c r="X62" s="23">
        <v>1381.752113773945</v>
      </c>
      <c r="Y62" s="23">
        <v>1512.1849971268039</v>
      </c>
      <c r="Z62" s="23">
        <v>1431.2479539579576</v>
      </c>
      <c r="AA62" s="23">
        <v>1112.0999999999999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435.34044206296051</v>
      </c>
      <c r="E63" s="23">
        <v>405.97917829064164</v>
      </c>
      <c r="F63" s="23">
        <v>439.05937810122396</v>
      </c>
      <c r="G63" s="23">
        <v>420.67945663702375</v>
      </c>
      <c r="H63" s="23">
        <v>452.08733956102384</v>
      </c>
      <c r="I63" s="23">
        <v>451.8496527354697</v>
      </c>
      <c r="J63" s="23">
        <v>525.12644226900909</v>
      </c>
      <c r="K63" s="23">
        <v>426.6336416955188</v>
      </c>
      <c r="L63" s="23">
        <v>444.39322994796248</v>
      </c>
      <c r="M63" s="23">
        <v>678.39372687828279</v>
      </c>
      <c r="N63" s="23">
        <v>119.01191539617781</v>
      </c>
      <c r="O63" s="23">
        <v>582.36301329642208</v>
      </c>
      <c r="P63" s="23">
        <v>460.61722529812607</v>
      </c>
      <c r="Q63" s="23">
        <v>456.81422330908788</v>
      </c>
      <c r="R63" s="23">
        <v>565.67588288622414</v>
      </c>
      <c r="S63" s="23">
        <v>439.52962400000001</v>
      </c>
      <c r="T63" s="23">
        <v>433.63248315409419</v>
      </c>
      <c r="U63" s="23">
        <v>540.07145157237392</v>
      </c>
      <c r="V63" s="23">
        <v>385.60838093204501</v>
      </c>
      <c r="W63" s="23">
        <v>400.89433154174952</v>
      </c>
      <c r="X63" s="23">
        <v>443.86301849241232</v>
      </c>
      <c r="Y63" s="23">
        <v>389.4418864129741</v>
      </c>
      <c r="Z63" s="23">
        <v>512.95352735836582</v>
      </c>
      <c r="AA63" s="23">
        <v>683.9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687.85226613083285</v>
      </c>
      <c r="E64" s="23">
        <v>837.11954518556081</v>
      </c>
      <c r="F64" s="23">
        <v>970.25470145550776</v>
      </c>
      <c r="G64" s="23">
        <v>1139.6409929020153</v>
      </c>
      <c r="H64" s="23">
        <v>1280.2013784461155</v>
      </c>
      <c r="I64" s="23">
        <v>1349.6680516632141</v>
      </c>
      <c r="J64" s="23">
        <v>1542.5858924500471</v>
      </c>
      <c r="K64" s="23">
        <v>1784.0244498083202</v>
      </c>
      <c r="L64" s="23">
        <v>2033.7231748067993</v>
      </c>
      <c r="M64" s="23">
        <v>2132.9080863210779</v>
      </c>
      <c r="N64" s="23">
        <v>924.11284088468983</v>
      </c>
      <c r="O64" s="23">
        <v>905.09199488276499</v>
      </c>
      <c r="P64" s="23">
        <v>1339.7126511925044</v>
      </c>
      <c r="Q64" s="23">
        <v>2123.8414681046738</v>
      </c>
      <c r="R64" s="23">
        <v>1799.4559216219559</v>
      </c>
      <c r="S64" s="23">
        <v>2056.2328419999999</v>
      </c>
      <c r="T64" s="23">
        <v>2188.6636649740317</v>
      </c>
      <c r="U64" s="23">
        <v>2355.8314995951569</v>
      </c>
      <c r="V64" s="23">
        <v>2467.3783483691882</v>
      </c>
      <c r="W64" s="23">
        <v>2634.1372110542134</v>
      </c>
      <c r="X64" s="23">
        <v>1971.0346363711753</v>
      </c>
      <c r="Y64" s="23">
        <v>3027.5800328821351</v>
      </c>
      <c r="Z64" s="23">
        <v>2990.0617108297747</v>
      </c>
      <c r="AA64" s="23">
        <v>2689.3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1544.5246706854209</v>
      </c>
      <c r="E65" s="23">
        <v>1638.5374038380253</v>
      </c>
      <c r="F65" s="23">
        <v>1674.4128101223951</v>
      </c>
      <c r="G65" s="23">
        <v>1602.6509096842624</v>
      </c>
      <c r="H65" s="23">
        <v>1876.7733880154933</v>
      </c>
      <c r="I65" s="23">
        <v>1863.5122608748627</v>
      </c>
      <c r="J65" s="23">
        <v>2219.3819686200891</v>
      </c>
      <c r="K65" s="23">
        <v>2651.52456885724</v>
      </c>
      <c r="L65" s="23">
        <v>3198.9654979774677</v>
      </c>
      <c r="M65" s="23">
        <v>2051.5302306462668</v>
      </c>
      <c r="N65" s="23">
        <v>1012.3785720420871</v>
      </c>
      <c r="O65" s="23">
        <v>1075.1446940145127</v>
      </c>
      <c r="P65" s="23">
        <v>2062.9279450596255</v>
      </c>
      <c r="Q65" s="23">
        <v>1609.6942855948498</v>
      </c>
      <c r="R65" s="23">
        <v>1935.861210697655</v>
      </c>
      <c r="S65" s="23">
        <v>1926.5619500000003</v>
      </c>
      <c r="T65" s="23">
        <v>2123.1217925202245</v>
      </c>
      <c r="U65" s="23">
        <v>2038.4066375675905</v>
      </c>
      <c r="V65" s="23">
        <v>2029.3821918539477</v>
      </c>
      <c r="W65" s="23">
        <v>1906.9715417495454</v>
      </c>
      <c r="X65" s="23">
        <v>1821.8795853719214</v>
      </c>
      <c r="Y65" s="23">
        <v>2108.6101743072404</v>
      </c>
      <c r="Z65" s="23">
        <v>2000.8102075654438</v>
      </c>
      <c r="AA65" s="23">
        <v>2014.8000000000002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1417.7299709756644</v>
      </c>
      <c r="E66" s="23">
        <v>1520.8918463099162</v>
      </c>
      <c r="F66" s="23">
        <v>1447.2328440291103</v>
      </c>
      <c r="G66" s="23">
        <v>1237.0994941665988</v>
      </c>
      <c r="H66" s="23">
        <v>1613.4630591630596</v>
      </c>
      <c r="I66" s="23">
        <v>1477.8228067503351</v>
      </c>
      <c r="J66" s="23">
        <v>1552.7259675472715</v>
      </c>
      <c r="K66" s="23">
        <v>1704.2502845159952</v>
      </c>
      <c r="L66" s="23">
        <v>1782.5661021508158</v>
      </c>
      <c r="M66" s="23">
        <v>1062.13715916876</v>
      </c>
      <c r="N66" s="23">
        <v>3318.6878526948681</v>
      </c>
      <c r="O66" s="23">
        <v>2944.2060567929198</v>
      </c>
      <c r="P66" s="23">
        <v>2664.1798828790461</v>
      </c>
      <c r="Q66" s="23">
        <v>2189.2447558732547</v>
      </c>
      <c r="R66" s="23">
        <v>1865.4210553426467</v>
      </c>
      <c r="S66" s="23">
        <v>1988.8232840000003</v>
      </c>
      <c r="T66" s="23">
        <v>1850.5483656092524</v>
      </c>
      <c r="U66" s="23">
        <v>2276.1758266712582</v>
      </c>
      <c r="V66" s="23">
        <v>2334.4050054271429</v>
      </c>
      <c r="W66" s="23">
        <v>1737.027205552499</v>
      </c>
      <c r="X66" s="23">
        <v>1033.0121287005556</v>
      </c>
      <c r="Y66" s="23">
        <v>2342.0441833737709</v>
      </c>
      <c r="Z66" s="23">
        <v>1703.8666118547114</v>
      </c>
      <c r="AA66" s="23">
        <v>726.3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1237.7748872516186</v>
      </c>
      <c r="E67" s="23">
        <v>1402.9062727195872</v>
      </c>
      <c r="F67" s="23">
        <v>1546.0212041018854</v>
      </c>
      <c r="G67" s="23">
        <v>1697.4842661336379</v>
      </c>
      <c r="H67" s="23">
        <v>1908.5416875522139</v>
      </c>
      <c r="I67" s="23">
        <v>2138.9347173144874</v>
      </c>
      <c r="J67" s="23">
        <v>2453.2509346922357</v>
      </c>
      <c r="K67" s="23">
        <v>2842.8771371465396</v>
      </c>
      <c r="L67" s="23">
        <v>3092.9435925554262</v>
      </c>
      <c r="M67" s="23">
        <v>2843.448821648778</v>
      </c>
      <c r="N67" s="23">
        <v>1056.0796091904658</v>
      </c>
      <c r="O67" s="23">
        <v>1083.4111446667507</v>
      </c>
      <c r="P67" s="23">
        <v>2681.994755110733</v>
      </c>
      <c r="Q67" s="23">
        <v>2603.8578860463176</v>
      </c>
      <c r="R67" s="23">
        <v>2700.7584270820457</v>
      </c>
      <c r="S67" s="23">
        <v>2414.0344099999998</v>
      </c>
      <c r="T67" s="23">
        <v>2312.6030351591917</v>
      </c>
      <c r="U67" s="23">
        <v>2661.1283362339341</v>
      </c>
      <c r="V67" s="23">
        <v>2645.1532589547855</v>
      </c>
      <c r="W67" s="23">
        <v>2820.5585221549795</v>
      </c>
      <c r="X67" s="23">
        <v>2210.1096376150595</v>
      </c>
      <c r="Y67" s="23">
        <v>3021.4167587153624</v>
      </c>
      <c r="Z67" s="23">
        <v>2721.2543335121695</v>
      </c>
      <c r="AA67" s="23">
        <v>2307.5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1127.8622013842376</v>
      </c>
      <c r="E68" s="23">
        <v>945.58466903373062</v>
      </c>
      <c r="F68" s="23">
        <v>998.8600851802845</v>
      </c>
      <c r="G68" s="23">
        <v>1102.5608223872075</v>
      </c>
      <c r="H68" s="23">
        <v>1240.7964684438371</v>
      </c>
      <c r="I68" s="23">
        <v>1253.1231692457657</v>
      </c>
      <c r="J68" s="23">
        <v>1463.8385007375623</v>
      </c>
      <c r="K68" s="23">
        <v>1888.2228639456525</v>
      </c>
      <c r="L68" s="23">
        <v>2162.8801584920498</v>
      </c>
      <c r="M68" s="23">
        <v>2076.5130486412427</v>
      </c>
      <c r="N68" s="23">
        <v>3971.7851707107584</v>
      </c>
      <c r="O68" s="23">
        <v>3860.7698607440961</v>
      </c>
      <c r="P68" s="23">
        <v>1079.512738500852</v>
      </c>
      <c r="Q68" s="23">
        <v>1653.7448290276734</v>
      </c>
      <c r="R68" s="23">
        <v>1476.7571393250093</v>
      </c>
      <c r="S68" s="23">
        <v>1248.122556</v>
      </c>
      <c r="T68" s="23">
        <v>1356.654634796208</v>
      </c>
      <c r="U68" s="23">
        <v>1256.9725078874631</v>
      </c>
      <c r="V68" s="23">
        <v>1349.3430612644354</v>
      </c>
      <c r="W68" s="23">
        <v>1264.7780405434</v>
      </c>
      <c r="X68" s="23">
        <v>1373.8807828178124</v>
      </c>
      <c r="Y68" s="23">
        <v>1334.7340617417956</v>
      </c>
      <c r="Z68" s="23">
        <v>1084.1972282801823</v>
      </c>
      <c r="AA68" s="23">
        <v>1173.5999999999999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852.00291136414387</v>
      </c>
      <c r="E69" s="23">
        <v>1042.4892467664215</v>
      </c>
      <c r="F69" s="23">
        <v>1232.3598453522991</v>
      </c>
      <c r="G69" s="23">
        <v>1172.4553030921109</v>
      </c>
      <c r="H69" s="23">
        <v>1248.1276144907727</v>
      </c>
      <c r="I69" s="23">
        <v>1752.0200743267942</v>
      </c>
      <c r="J69" s="23">
        <v>2218.0874909481026</v>
      </c>
      <c r="K69" s="23">
        <v>2325.399346869232</v>
      </c>
      <c r="L69" s="23">
        <v>2100.2989395930108</v>
      </c>
      <c r="M69" s="23">
        <v>1958.2120575473853</v>
      </c>
      <c r="N69" s="23">
        <v>4138.4709448142585</v>
      </c>
      <c r="O69" s="23">
        <v>4203.5745082001595</v>
      </c>
      <c r="P69" s="23">
        <v>3422.3397338160139</v>
      </c>
      <c r="Q69" s="23">
        <v>2025.1480749937298</v>
      </c>
      <c r="R69" s="23">
        <v>2389.1643280998892</v>
      </c>
      <c r="S69" s="23">
        <v>3357.6073400000005</v>
      </c>
      <c r="T69" s="23">
        <v>3274.7639352808296</v>
      </c>
      <c r="U69" s="23">
        <v>3060.0056156874425</v>
      </c>
      <c r="V69" s="23">
        <v>2876.4610331144681</v>
      </c>
      <c r="W69" s="23">
        <v>3097.2627618604261</v>
      </c>
      <c r="X69" s="23">
        <v>3174.0141487685546</v>
      </c>
      <c r="Y69" s="23">
        <v>3023.4711834376194</v>
      </c>
      <c r="Z69" s="23">
        <v>2794.2291469541046</v>
      </c>
      <c r="AA69" s="23">
        <v>2512.3000000000002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1414.8564367046215</v>
      </c>
      <c r="E70" s="23">
        <v>1603.5157494293685</v>
      </c>
      <c r="F70" s="23">
        <v>1527.7270633476678</v>
      </c>
      <c r="G70" s="23">
        <v>1459.580517255446</v>
      </c>
      <c r="H70" s="23">
        <v>1539.5406698564595</v>
      </c>
      <c r="I70" s="23">
        <v>1549.3738363592054</v>
      </c>
      <c r="J70" s="23">
        <v>1581.4202226096288</v>
      </c>
      <c r="K70" s="23">
        <v>1623.2461210803963</v>
      </c>
      <c r="L70" s="23">
        <v>2066.8446177879396</v>
      </c>
      <c r="M70" s="23">
        <v>1801.334656314227</v>
      </c>
      <c r="N70" s="23">
        <v>1743.0322761434402</v>
      </c>
      <c r="O70" s="23">
        <v>1923.5524558533618</v>
      </c>
      <c r="P70" s="23">
        <v>2286.4703321976149</v>
      </c>
      <c r="Q70" s="23">
        <v>1997.5744523869241</v>
      </c>
      <c r="R70" s="23">
        <v>2800.3690938311288</v>
      </c>
      <c r="S70" s="23">
        <v>2139.2479540000004</v>
      </c>
      <c r="T70" s="23">
        <v>2580.9830247330724</v>
      </c>
      <c r="U70" s="23">
        <v>2463.0372548837122</v>
      </c>
      <c r="V70" s="23">
        <v>2572.869579529885</v>
      </c>
      <c r="W70" s="23">
        <v>2417.6215904185538</v>
      </c>
      <c r="X70" s="23">
        <v>2258.8051596318105</v>
      </c>
      <c r="Y70" s="23">
        <v>2618.749513152854</v>
      </c>
      <c r="Z70" s="23">
        <v>1870.8903784115221</v>
      </c>
      <c r="AA70" s="23">
        <v>1930.6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939.28651484706415</v>
      </c>
      <c r="E71" s="23">
        <v>1349.5237509510523</v>
      </c>
      <c r="F71" s="23">
        <v>1705.6791597750578</v>
      </c>
      <c r="G71" s="23">
        <v>1987.8909113159827</v>
      </c>
      <c r="H71" s="23">
        <v>2611.4153148021574</v>
      </c>
      <c r="I71" s="23">
        <v>3228.1276166686976</v>
      </c>
      <c r="J71" s="23">
        <v>3816.1201770148859</v>
      </c>
      <c r="K71" s="23">
        <v>3908.7583853034657</v>
      </c>
      <c r="L71" s="23">
        <v>4909.6297741591752</v>
      </c>
      <c r="M71" s="23">
        <v>6681.9853277003886</v>
      </c>
      <c r="N71" s="23">
        <v>6022.7974833583858</v>
      </c>
      <c r="O71" s="23">
        <v>7312.9408749632985</v>
      </c>
      <c r="P71" s="23">
        <v>4106.841939948893</v>
      </c>
      <c r="Q71" s="23">
        <v>3751.3577292868486</v>
      </c>
      <c r="R71" s="23">
        <v>4183.8137450035038</v>
      </c>
      <c r="S71" s="23">
        <v>5256.9802319999999</v>
      </c>
      <c r="T71" s="23">
        <v>6351.8150657424749</v>
      </c>
      <c r="U71" s="23">
        <v>7946.2522889929187</v>
      </c>
      <c r="V71" s="23">
        <v>7656.7739870816213</v>
      </c>
      <c r="W71" s="23">
        <v>7128.1299860341114</v>
      </c>
      <c r="X71" s="23">
        <v>6210.3467119993375</v>
      </c>
      <c r="Y71" s="23">
        <v>5149.9291725194744</v>
      </c>
      <c r="Z71" s="23">
        <v>5111.4877390765123</v>
      </c>
      <c r="AA71" s="23">
        <v>5872.8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614.21795043536508</v>
      </c>
      <c r="E72" s="23">
        <v>704.17326485755348</v>
      </c>
      <c r="F72" s="23">
        <v>690.52065828647051</v>
      </c>
      <c r="G72" s="23">
        <v>771.79257567104537</v>
      </c>
      <c r="H72" s="23">
        <v>795.42934609250403</v>
      </c>
      <c r="I72" s="23">
        <v>861.79784635067574</v>
      </c>
      <c r="J72" s="23">
        <v>949.93086495909893</v>
      </c>
      <c r="K72" s="23">
        <v>944.8142880546967</v>
      </c>
      <c r="L72" s="23">
        <v>927.89972170782437</v>
      </c>
      <c r="M72" s="23">
        <v>1265.6736469513587</v>
      </c>
      <c r="N72" s="23">
        <v>1101.1624973158687</v>
      </c>
      <c r="O72" s="23">
        <v>1262.7425128979489</v>
      </c>
      <c r="P72" s="23">
        <v>1053.3043206984671</v>
      </c>
      <c r="Q72" s="23">
        <v>1150.3580846083109</v>
      </c>
      <c r="R72" s="23">
        <v>1253.0060576090989</v>
      </c>
      <c r="S72" s="23">
        <v>1097.0543580000003</v>
      </c>
      <c r="T72" s="23">
        <v>1127.1027687139187</v>
      </c>
      <c r="U72" s="23">
        <v>1015.6098297797084</v>
      </c>
      <c r="V72" s="23">
        <v>1142.797814907738</v>
      </c>
      <c r="W72" s="23">
        <v>1195.6019806170384</v>
      </c>
      <c r="X72" s="23">
        <v>969.90806866240985</v>
      </c>
      <c r="Y72" s="23">
        <v>1178.0841766696462</v>
      </c>
      <c r="Z72" s="23">
        <v>975.79992474968833</v>
      </c>
      <c r="AA72" s="23">
        <v>939.19999999999982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1778.7177137753963</v>
      </c>
      <c r="E73" s="23">
        <v>1776.243909037112</v>
      </c>
      <c r="F73" s="23">
        <v>1879.3071865696329</v>
      </c>
      <c r="G73" s="23">
        <v>1889.7761238475973</v>
      </c>
      <c r="H73" s="23">
        <v>2036.2258145363412</v>
      </c>
      <c r="I73" s="23">
        <v>1982.1105428292919</v>
      </c>
      <c r="J73" s="23">
        <v>2049.3739010325871</v>
      </c>
      <c r="K73" s="23">
        <v>2234.5551982874431</v>
      </c>
      <c r="L73" s="23">
        <v>2301.690628071301</v>
      </c>
      <c r="M73" s="23">
        <v>1929.0042041561999</v>
      </c>
      <c r="N73" s="23">
        <v>1674.1124586643764</v>
      </c>
      <c r="O73" s="23">
        <v>1527.1002306950213</v>
      </c>
      <c r="P73" s="23">
        <v>1264.684631601363</v>
      </c>
      <c r="Q73" s="23">
        <v>1681.6547153248057</v>
      </c>
      <c r="R73" s="23">
        <v>1832.2727469402894</v>
      </c>
      <c r="S73" s="23">
        <v>1953.1074800000001</v>
      </c>
      <c r="T73" s="23">
        <v>1978.6811731315045</v>
      </c>
      <c r="U73" s="23">
        <v>2096.6511051754787</v>
      </c>
      <c r="V73" s="23">
        <v>2035.823311802701</v>
      </c>
      <c r="W73" s="23">
        <v>2283.8993643404292</v>
      </c>
      <c r="X73" s="23">
        <v>2067.4917936810684</v>
      </c>
      <c r="Y73" s="23">
        <v>2174.0949623292045</v>
      </c>
      <c r="Z73" s="23">
        <v>1987.2465325631792</v>
      </c>
      <c r="AA73" s="23">
        <v>1912.8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378.94733199375128</v>
      </c>
      <c r="E74" s="23">
        <v>395.43868036182516</v>
      </c>
      <c r="F74" s="23">
        <v>395.81868177308519</v>
      </c>
      <c r="G74" s="23">
        <v>408.53816186669928</v>
      </c>
      <c r="H74" s="23">
        <v>443.53433583959674</v>
      </c>
      <c r="I74" s="23">
        <v>453.56491714390603</v>
      </c>
      <c r="J74" s="23">
        <v>504.19905323857262</v>
      </c>
      <c r="K74" s="23">
        <v>597.07624154917141</v>
      </c>
      <c r="L74" s="23">
        <v>302.58685095333283</v>
      </c>
      <c r="M74" s="23">
        <v>567.62432062114385</v>
      </c>
      <c r="N74" s="23">
        <v>2074.1583165127704</v>
      </c>
      <c r="O74" s="23">
        <v>2221.8194916320572</v>
      </c>
      <c r="P74" s="23">
        <v>2447.4893696763179</v>
      </c>
      <c r="Q74" s="23">
        <v>2210.0931046735295</v>
      </c>
      <c r="R74" s="23">
        <v>1927.4083920550568</v>
      </c>
      <c r="S74" s="23">
        <v>2035.6399459999991</v>
      </c>
      <c r="T74" s="23">
        <v>1994.3677350221051</v>
      </c>
      <c r="U74" s="23">
        <v>2320.645253096814</v>
      </c>
      <c r="V74" s="23">
        <v>2077.189615473585</v>
      </c>
      <c r="W74" s="23">
        <v>1848.1446561428675</v>
      </c>
      <c r="X74" s="23">
        <v>1703.4093838626704</v>
      </c>
      <c r="Y74" s="23">
        <v>1461.594788341208</v>
      </c>
      <c r="Z74" s="23">
        <v>1718.9996376836793</v>
      </c>
      <c r="AA74" s="23">
        <v>1914.6000000000015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28889.795177494969</v>
      </c>
      <c r="E75" s="30">
        <f t="shared" ref="E75:S75" si="9">SUM(E56:E74)</f>
        <v>33800.996745287011</v>
      </c>
      <c r="F75" s="30">
        <f t="shared" si="9"/>
        <v>35324.98793417136</v>
      </c>
      <c r="G75" s="30">
        <f t="shared" si="9"/>
        <v>35299.009757689499</v>
      </c>
      <c r="H75" s="30">
        <f t="shared" si="9"/>
        <v>39192.917695754535</v>
      </c>
      <c r="I75" s="30">
        <f t="shared" si="9"/>
        <v>41287.149424271964</v>
      </c>
      <c r="J75" s="30">
        <f t="shared" si="9"/>
        <v>44266.174217513748</v>
      </c>
      <c r="K75" s="30">
        <f t="shared" si="9"/>
        <v>47159.007383217388</v>
      </c>
      <c r="L75" s="30">
        <f t="shared" si="9"/>
        <v>53543.225950486762</v>
      </c>
      <c r="M75" s="30">
        <f t="shared" si="9"/>
        <v>48318.974368577285</v>
      </c>
      <c r="N75" s="30">
        <f t="shared" si="9"/>
        <v>51767.592226755427</v>
      </c>
      <c r="O75" s="30">
        <f t="shared" si="9"/>
        <v>60556.643416802988</v>
      </c>
      <c r="P75" s="30">
        <f t="shared" si="9"/>
        <v>50776.4969846678</v>
      </c>
      <c r="Q75" s="30">
        <f t="shared" si="9"/>
        <v>48581.528528133109</v>
      </c>
      <c r="R75" s="30">
        <f t="shared" si="9"/>
        <v>53673.243740470614</v>
      </c>
      <c r="S75" s="30">
        <f t="shared" si="9"/>
        <v>52111.610384</v>
      </c>
      <c r="T75" s="30">
        <f t="shared" ref="T75:Y75" si="10">SUM(T56:T74)</f>
        <v>52352.114216206835</v>
      </c>
      <c r="U75" s="30">
        <f t="shared" si="10"/>
        <v>55346.318726093297</v>
      </c>
      <c r="V75" s="30">
        <f t="shared" si="10"/>
        <v>55792.265316108831</v>
      </c>
      <c r="W75" s="30">
        <f t="shared" si="10"/>
        <v>52408.082581573486</v>
      </c>
      <c r="X75" s="30">
        <f t="shared" si="10"/>
        <v>46608.552014263201</v>
      </c>
      <c r="Y75" s="30">
        <f t="shared" si="10"/>
        <v>48552.091059570936</v>
      </c>
      <c r="Z75" s="30">
        <f t="shared" ref="Z75:AA75" si="11">SUM(Z56:Z74)</f>
        <v>43306.348159502792</v>
      </c>
      <c r="AA75" s="30">
        <f t="shared" si="11"/>
        <v>40941.699999999997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22455485</v>
      </c>
      <c r="E3" s="42">
        <v>22430457</v>
      </c>
      <c r="F3" s="42">
        <v>21833483</v>
      </c>
      <c r="G3" s="42">
        <v>21627509</v>
      </c>
      <c r="H3" s="42">
        <v>21521142</v>
      </c>
      <c r="I3" s="42">
        <v>21382354</v>
      </c>
      <c r="J3" s="42">
        <v>21257016</v>
      </c>
      <c r="K3" s="42">
        <v>21130503</v>
      </c>
      <c r="L3" s="42">
        <v>20635460</v>
      </c>
      <c r="M3" s="42">
        <v>20440290</v>
      </c>
      <c r="N3" s="42">
        <v>20294683</v>
      </c>
      <c r="O3" s="42">
        <v>20199059</v>
      </c>
      <c r="P3" s="42">
        <v>20095996</v>
      </c>
      <c r="Q3" s="42">
        <v>20020074</v>
      </c>
      <c r="R3" s="42">
        <v>19947311</v>
      </c>
      <c r="S3" s="42">
        <v>19870647</v>
      </c>
      <c r="T3" s="42">
        <v>19760585</v>
      </c>
      <c r="U3" s="42">
        <v>19643949</v>
      </c>
      <c r="V3" s="42">
        <v>19533481</v>
      </c>
      <c r="W3" s="42">
        <v>19414458</v>
      </c>
      <c r="X3" s="42">
        <v>19328838</v>
      </c>
      <c r="Y3" s="42">
        <v>19201662</v>
      </c>
      <c r="Z3" s="42">
        <v>19042455</v>
      </c>
      <c r="AA3" s="42">
        <v>19054548</v>
      </c>
    </row>
    <row r="4" spans="1:27" x14ac:dyDescent="0.25">
      <c r="A4" s="43" t="s">
        <v>239</v>
      </c>
      <c r="B4" s="44"/>
      <c r="C4" s="44"/>
      <c r="D4" s="45">
        <v>7421700</v>
      </c>
      <c r="E4" s="45">
        <v>7423695</v>
      </c>
      <c r="F4" s="45">
        <v>7328243</v>
      </c>
      <c r="G4" s="45">
        <v>7363172</v>
      </c>
      <c r="H4" s="45">
        <v>7433522</v>
      </c>
      <c r="I4" s="45">
        <v>7494585</v>
      </c>
      <c r="J4" s="45">
        <v>7500658</v>
      </c>
      <c r="K4" s="45">
        <v>7506395</v>
      </c>
      <c r="L4" s="45">
        <v>7487467</v>
      </c>
      <c r="M4" s="45">
        <v>7509291</v>
      </c>
      <c r="N4" s="45">
        <v>7497112</v>
      </c>
      <c r="O4" s="45">
        <v>7517328</v>
      </c>
      <c r="P4" s="45">
        <v>7515331</v>
      </c>
      <c r="Q4" s="45">
        <v>7551895</v>
      </c>
      <c r="R4" s="45">
        <v>7573011</v>
      </c>
      <c r="S4" s="45">
        <v>7564007</v>
      </c>
      <c r="T4" s="45">
        <v>7565308</v>
      </c>
      <c r="U4" s="45">
        <v>7555365</v>
      </c>
      <c r="V4" s="45">
        <v>7576990</v>
      </c>
      <c r="W4" s="45">
        <v>7563092</v>
      </c>
      <c r="X4" s="45">
        <v>7615775</v>
      </c>
      <c r="Y4" s="45">
        <v>7674525</v>
      </c>
      <c r="Z4" s="45">
        <v>7684607</v>
      </c>
      <c r="AA4" s="45">
        <v>7717516</v>
      </c>
    </row>
    <row r="5" spans="1:27" x14ac:dyDescent="0.25">
      <c r="A5" s="46" t="s">
        <v>240</v>
      </c>
      <c r="B5" s="47"/>
      <c r="C5" s="47"/>
      <c r="D5" s="48">
        <f>D3/D4</f>
        <v>3.0256524785426517</v>
      </c>
      <c r="E5" s="48">
        <f t="shared" ref="E5:S5" si="0">E3/E4</f>
        <v>3.0214680155906191</v>
      </c>
      <c r="F5" s="48">
        <f t="shared" si="0"/>
        <v>2.9793612193263788</v>
      </c>
      <c r="G5" s="48">
        <f t="shared" si="0"/>
        <v>2.9372543517929501</v>
      </c>
      <c r="H5" s="48">
        <f t="shared" si="0"/>
        <v>2.8951474146440948</v>
      </c>
      <c r="I5" s="48">
        <f t="shared" si="0"/>
        <v>2.8530404285227267</v>
      </c>
      <c r="J5" s="48">
        <f t="shared" si="0"/>
        <v>2.8340201619644572</v>
      </c>
      <c r="K5" s="48">
        <f t="shared" si="0"/>
        <v>2.8150001432112219</v>
      </c>
      <c r="L5" s="48">
        <f t="shared" si="0"/>
        <v>2.7560001266115766</v>
      </c>
      <c r="M5" s="48">
        <f t="shared" si="0"/>
        <v>2.7219999864168267</v>
      </c>
      <c r="N5" s="48">
        <f t="shared" si="0"/>
        <v>2.7070001088419113</v>
      </c>
      <c r="O5" s="48">
        <f t="shared" si="0"/>
        <v>2.6869998222772771</v>
      </c>
      <c r="P5" s="48">
        <f t="shared" si="0"/>
        <v>2.6740001205535724</v>
      </c>
      <c r="Q5" s="48">
        <f t="shared" si="0"/>
        <v>2.6510000470080688</v>
      </c>
      <c r="R5" s="48">
        <f t="shared" si="0"/>
        <v>2.6340000034332447</v>
      </c>
      <c r="S5" s="48">
        <f t="shared" si="0"/>
        <v>2.6270000807772917</v>
      </c>
      <c r="T5" s="48">
        <f t="shared" ref="T5:Y5" si="1">T3/T4</f>
        <v>2.6120000666198919</v>
      </c>
      <c r="U5" s="48">
        <f t="shared" si="1"/>
        <v>2.6</v>
      </c>
      <c r="V5" s="48">
        <f t="shared" si="1"/>
        <v>2.5780001029432533</v>
      </c>
      <c r="W5" s="48">
        <f t="shared" si="1"/>
        <v>2.5670001105368017</v>
      </c>
      <c r="X5" s="48">
        <f t="shared" si="1"/>
        <v>2.5380001378717201</v>
      </c>
      <c r="Y5" s="48">
        <f t="shared" si="1"/>
        <v>2.5020000586355509</v>
      </c>
      <c r="Z5" s="48">
        <f t="shared" ref="Z5:AA5" si="2">Z3/Z4</f>
        <v>2.4779998508707082</v>
      </c>
      <c r="AA5" s="48">
        <f t="shared" si="2"/>
        <v>2.4690001290570698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3566.66</v>
      </c>
      <c r="E8" s="42">
        <v>3239.99</v>
      </c>
      <c r="F8" s="42">
        <v>3200.03</v>
      </c>
      <c r="G8" s="42">
        <v>3099.03</v>
      </c>
      <c r="H8" s="42">
        <v>3249.54</v>
      </c>
      <c r="I8" s="42">
        <v>3587.95</v>
      </c>
      <c r="J8" s="42">
        <v>3225.52</v>
      </c>
      <c r="K8" s="42">
        <v>3521.91</v>
      </c>
      <c r="L8" s="42">
        <v>3333.89</v>
      </c>
      <c r="M8" s="42">
        <v>2985.92</v>
      </c>
      <c r="N8" s="42">
        <v>2910.46</v>
      </c>
      <c r="O8" s="42">
        <v>3304.58</v>
      </c>
      <c r="P8" s="42">
        <v>3195.55</v>
      </c>
      <c r="Q8" s="42">
        <v>3351.22</v>
      </c>
      <c r="R8" s="42">
        <v>2873.7</v>
      </c>
      <c r="S8" s="42">
        <v>3243.46</v>
      </c>
      <c r="T8" s="42">
        <v>3477.6</v>
      </c>
      <c r="U8" s="42">
        <v>3389.26</v>
      </c>
      <c r="V8" s="42">
        <v>3227.27</v>
      </c>
      <c r="W8" s="42">
        <v>3010.69</v>
      </c>
      <c r="X8" s="42">
        <v>2931.43</v>
      </c>
      <c r="Y8" s="42">
        <v>3028.97</v>
      </c>
      <c r="Z8" s="42">
        <v>2932</v>
      </c>
      <c r="AA8" s="42">
        <v>3393.84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3234.5552380952381</v>
      </c>
      <c r="E9" s="45">
        <f t="shared" si="3"/>
        <v>3234.5552380952381</v>
      </c>
      <c r="F9" s="45">
        <f t="shared" si="3"/>
        <v>3234.5552380952381</v>
      </c>
      <c r="G9" s="45">
        <f t="shared" si="3"/>
        <v>3234.5552380952381</v>
      </c>
      <c r="H9" s="45">
        <f t="shared" si="3"/>
        <v>3234.5552380952381</v>
      </c>
      <c r="I9" s="45">
        <f t="shared" si="3"/>
        <v>3234.5552380952381</v>
      </c>
      <c r="J9" s="45">
        <f t="shared" si="3"/>
        <v>3234.5552380952381</v>
      </c>
      <c r="K9" s="45">
        <f t="shared" si="3"/>
        <v>3234.5552380952381</v>
      </c>
      <c r="L9" s="45">
        <f t="shared" si="3"/>
        <v>3234.5552380952381</v>
      </c>
      <c r="M9" s="45">
        <f t="shared" si="3"/>
        <v>3234.5552380952381</v>
      </c>
      <c r="N9" s="45">
        <f t="shared" si="3"/>
        <v>3234.5552380952381</v>
      </c>
      <c r="O9" s="45">
        <f t="shared" si="3"/>
        <v>3234.5552380952381</v>
      </c>
      <c r="P9" s="45">
        <f t="shared" si="3"/>
        <v>3234.5552380952381</v>
      </c>
      <c r="Q9" s="45">
        <f t="shared" si="3"/>
        <v>3234.5552380952381</v>
      </c>
      <c r="R9" s="45">
        <f t="shared" si="3"/>
        <v>3234.5552380952381</v>
      </c>
      <c r="S9" s="45">
        <f t="shared" si="3"/>
        <v>3234.5552380952381</v>
      </c>
      <c r="T9" s="45">
        <f t="shared" si="3"/>
        <v>3234.5552380952381</v>
      </c>
      <c r="U9" s="45">
        <f t="shared" si="3"/>
        <v>3234.5552380952381</v>
      </c>
      <c r="V9" s="45">
        <f t="shared" si="3"/>
        <v>3234.5552380952381</v>
      </c>
      <c r="W9" s="45">
        <f t="shared" si="3"/>
        <v>3234.5552380952381</v>
      </c>
      <c r="X9" s="45">
        <f>AVERAGE($D8:$X8)</f>
        <v>3234.5552380952381</v>
      </c>
      <c r="Y9" s="45">
        <f t="shared" ref="Y9:AA9" si="4">AVERAGE($D8:$X8)</f>
        <v>3234.5552380952381</v>
      </c>
      <c r="Z9" s="45">
        <f t="shared" si="4"/>
        <v>3234.5552380952381</v>
      </c>
      <c r="AA9" s="45">
        <f t="shared" si="4"/>
        <v>3234.5552380952381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1.1026740115591074</v>
      </c>
      <c r="E10" s="53">
        <f t="shared" si="5"/>
        <v>1.0016802192279028</v>
      </c>
      <c r="F10" s="53">
        <f t="shared" si="5"/>
        <v>0.98932612506083861</v>
      </c>
      <c r="G10" s="53">
        <f t="shared" si="5"/>
        <v>0.95810081197591612</v>
      </c>
      <c r="H10" s="53">
        <f t="shared" si="5"/>
        <v>1.0046327117027645</v>
      </c>
      <c r="I10" s="53">
        <f t="shared" si="5"/>
        <v>1.1092560602281964</v>
      </c>
      <c r="J10" s="53">
        <f t="shared" si="5"/>
        <v>0.99720665209583537</v>
      </c>
      <c r="K10" s="53">
        <f t="shared" si="5"/>
        <v>1.0888390337318767</v>
      </c>
      <c r="L10" s="53">
        <f t="shared" si="5"/>
        <v>1.0307104855514102</v>
      </c>
      <c r="M10" s="53">
        <f t="shared" si="5"/>
        <v>0.92313155293595972</v>
      </c>
      <c r="N10" s="53">
        <f t="shared" si="5"/>
        <v>0.89980222496181861</v>
      </c>
      <c r="O10" s="53">
        <f t="shared" si="5"/>
        <v>1.0216489615264688</v>
      </c>
      <c r="P10" s="53">
        <f t="shared" si="5"/>
        <v>0.98794108147053705</v>
      </c>
      <c r="Q10" s="53">
        <f t="shared" si="5"/>
        <v>1.0360682546183577</v>
      </c>
      <c r="R10" s="53">
        <f t="shared" si="5"/>
        <v>0.88843744764496946</v>
      </c>
      <c r="S10" s="53">
        <f t="shared" si="5"/>
        <v>1.0027530096873554</v>
      </c>
      <c r="T10" s="53">
        <f t="shared" ref="T10:Y10" si="6">IF(T8=0,0,T8/T9)</f>
        <v>1.0751400869715508</v>
      </c>
      <c r="U10" s="53">
        <f t="shared" si="6"/>
        <v>1.047828758675293</v>
      </c>
      <c r="V10" s="53">
        <f t="shared" si="6"/>
        <v>0.99774768474829689</v>
      </c>
      <c r="W10" s="53">
        <f t="shared" si="6"/>
        <v>0.93078948367965808</v>
      </c>
      <c r="X10" s="53">
        <f t="shared" si="6"/>
        <v>0.90628534194588606</v>
      </c>
      <c r="Y10" s="53">
        <f t="shared" si="6"/>
        <v>0.93644095618651324</v>
      </c>
      <c r="Z10" s="53">
        <f t="shared" ref="Z10:AA10" si="7">IF(Z8=0,0,Z8/Z9)</f>
        <v>0.90646156400983069</v>
      </c>
      <c r="AA10" s="53">
        <f t="shared" si="7"/>
        <v>1.0492447184171638</v>
      </c>
    </row>
    <row r="11" spans="1:27" x14ac:dyDescent="0.25">
      <c r="A11" s="43" t="s">
        <v>251</v>
      </c>
      <c r="B11" s="44"/>
      <c r="C11" s="44"/>
      <c r="D11" s="45">
        <v>22.09</v>
      </c>
      <c r="E11" s="45">
        <v>32.08</v>
      </c>
      <c r="F11" s="45">
        <v>45.12</v>
      </c>
      <c r="G11" s="45">
        <v>24.5</v>
      </c>
      <c r="H11" s="45">
        <v>16.989999999999998</v>
      </c>
      <c r="I11" s="45">
        <v>45.29</v>
      </c>
      <c r="J11" s="45">
        <v>53.53</v>
      </c>
      <c r="K11" s="45">
        <v>82.62</v>
      </c>
      <c r="L11" s="45">
        <v>75.849999999999994</v>
      </c>
      <c r="M11" s="45">
        <v>42.39</v>
      </c>
      <c r="N11" s="45">
        <v>37.979999999999997</v>
      </c>
      <c r="O11" s="45">
        <v>30.7</v>
      </c>
      <c r="P11" s="45">
        <v>86.14</v>
      </c>
      <c r="Q11" s="45">
        <v>57.3</v>
      </c>
      <c r="R11" s="45">
        <v>87.55</v>
      </c>
      <c r="S11" s="45">
        <v>38.840000000000003</v>
      </c>
      <c r="T11" s="45">
        <v>63.19</v>
      </c>
      <c r="U11" s="45">
        <v>21.89</v>
      </c>
      <c r="V11" s="45">
        <v>86.26</v>
      </c>
      <c r="W11" s="45">
        <v>86.37</v>
      </c>
      <c r="X11" s="45">
        <v>125.43</v>
      </c>
      <c r="Y11" s="45">
        <v>113.9</v>
      </c>
      <c r="Z11" s="45">
        <v>98.99</v>
      </c>
      <c r="AA11" s="45">
        <v>102.56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55.338571428571434</v>
      </c>
      <c r="E12" s="45">
        <f t="shared" ref="E12" si="9">AVERAGE($D11:$X11)</f>
        <v>55.338571428571434</v>
      </c>
      <c r="F12" s="45">
        <f t="shared" ref="F12" si="10">AVERAGE($D11:$X11)</f>
        <v>55.338571428571434</v>
      </c>
      <c r="G12" s="45">
        <f t="shared" ref="G12" si="11">AVERAGE($D11:$X11)</f>
        <v>55.338571428571434</v>
      </c>
      <c r="H12" s="45">
        <f t="shared" ref="H12" si="12">AVERAGE($D11:$X11)</f>
        <v>55.338571428571434</v>
      </c>
      <c r="I12" s="45">
        <f t="shared" ref="I12" si="13">AVERAGE($D11:$X11)</f>
        <v>55.338571428571434</v>
      </c>
      <c r="J12" s="45">
        <f t="shared" ref="J12" si="14">AVERAGE($D11:$X11)</f>
        <v>55.338571428571434</v>
      </c>
      <c r="K12" s="45">
        <f t="shared" ref="K12" si="15">AVERAGE($D11:$X11)</f>
        <v>55.338571428571434</v>
      </c>
      <c r="L12" s="45">
        <f t="shared" ref="L12" si="16">AVERAGE($D11:$X11)</f>
        <v>55.338571428571434</v>
      </c>
      <c r="M12" s="45">
        <f t="shared" ref="M12" si="17">AVERAGE($D11:$X11)</f>
        <v>55.338571428571434</v>
      </c>
      <c r="N12" s="45">
        <f t="shared" ref="N12" si="18">AVERAGE($D11:$X11)</f>
        <v>55.338571428571434</v>
      </c>
      <c r="O12" s="45">
        <f t="shared" ref="O12" si="19">AVERAGE($D11:$X11)</f>
        <v>55.338571428571434</v>
      </c>
      <c r="P12" s="45">
        <f t="shared" ref="P12" si="20">AVERAGE($D11:$X11)</f>
        <v>55.338571428571434</v>
      </c>
      <c r="Q12" s="45">
        <f t="shared" ref="Q12" si="21">AVERAGE($D11:$X11)</f>
        <v>55.338571428571434</v>
      </c>
      <c r="R12" s="45">
        <f t="shared" ref="R12" si="22">AVERAGE($D11:$X11)</f>
        <v>55.338571428571434</v>
      </c>
      <c r="S12" s="45">
        <f t="shared" ref="S12" si="23">AVERAGE($D11:$X11)</f>
        <v>55.338571428571434</v>
      </c>
      <c r="T12" s="45">
        <f t="shared" ref="T12" si="24">AVERAGE($D11:$X11)</f>
        <v>55.338571428571434</v>
      </c>
      <c r="U12" s="45">
        <f t="shared" ref="U12" si="25">AVERAGE($D11:$X11)</f>
        <v>55.338571428571434</v>
      </c>
      <c r="V12" s="45">
        <f t="shared" ref="V12" si="26">AVERAGE($D11:$X11)</f>
        <v>55.338571428571434</v>
      </c>
      <c r="W12" s="45">
        <f t="shared" ref="W12" si="27">AVERAGE($D11:$X11)</f>
        <v>55.338571428571434</v>
      </c>
      <c r="X12" s="45">
        <f>AVERAGE($D11:$X11)</f>
        <v>55.338571428571434</v>
      </c>
      <c r="Y12" s="45">
        <f t="shared" ref="Y12:AA12" si="28">AVERAGE($D11:$X11)</f>
        <v>55.338571428571434</v>
      </c>
      <c r="Z12" s="45">
        <f t="shared" si="28"/>
        <v>55.338571428571434</v>
      </c>
      <c r="AA12" s="45">
        <f t="shared" si="28"/>
        <v>55.338571428571434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0.3991790794331001</v>
      </c>
      <c r="E13" s="55">
        <f t="shared" si="29"/>
        <v>0.57970415881456994</v>
      </c>
      <c r="F13" s="55">
        <f t="shared" ref="F13" si="30">IF(F11=0,0,F11/F12)</f>
        <v>0.81534450267186398</v>
      </c>
      <c r="G13" s="55">
        <f t="shared" ref="G13" si="31">IF(G11=0,0,G11/G12)</f>
        <v>0.44272917365825948</v>
      </c>
      <c r="H13" s="55">
        <f t="shared" ref="H13" si="32">IF(H11=0,0,H11/H12)</f>
        <v>0.30701912899811545</v>
      </c>
      <c r="I13" s="55">
        <f t="shared" ref="I13" si="33">IF(I11=0,0,I11/I12)</f>
        <v>0.81841650101969687</v>
      </c>
      <c r="J13" s="55">
        <f t="shared" ref="J13" si="34">IF(J11=0,0,J11/J12)</f>
        <v>0.96731806799700537</v>
      </c>
      <c r="K13" s="55">
        <f t="shared" ref="K13" si="35">IF(K11=0,0,K11/K12)</f>
        <v>1.4929911970467511</v>
      </c>
      <c r="L13" s="55">
        <f t="shared" ref="L13" si="36">IF(L11=0,0,L11/L12)</f>
        <v>1.370653380488938</v>
      </c>
      <c r="M13" s="55">
        <f t="shared" ref="M13" si="37">IF(M11=0,0,M11/M12)</f>
        <v>0.7660118233213723</v>
      </c>
      <c r="N13" s="55">
        <f t="shared" ref="N13" si="38">IF(N11=0,0,N11/N12)</f>
        <v>0.68632057206288544</v>
      </c>
      <c r="O13" s="55">
        <f t="shared" ref="O13" si="39">IF(O11=0,0,O11/O12)</f>
        <v>0.55476676046157414</v>
      </c>
      <c r="P13" s="55">
        <f t="shared" ref="P13" si="40">IF(P11=0,0,P11/P12)</f>
        <v>1.5565996334254071</v>
      </c>
      <c r="Q13" s="55">
        <f t="shared" ref="Q13" si="41">IF(Q11=0,0,Q11/Q12)</f>
        <v>1.0354441490048272</v>
      </c>
      <c r="R13" s="55">
        <f t="shared" ref="R13" si="42">IF(R11=0,0,R11/R12)</f>
        <v>1.5820791491339028</v>
      </c>
      <c r="S13" s="55">
        <f t="shared" ref="S13:Y13" si="43">IF(S11=0,0,S11/S12)</f>
        <v>0.7018612695872164</v>
      </c>
      <c r="T13" s="55">
        <f t="shared" si="43"/>
        <v>1.1418798564679762</v>
      </c>
      <c r="U13" s="55">
        <f t="shared" si="43"/>
        <v>0.39556496372976735</v>
      </c>
      <c r="V13" s="55">
        <f t="shared" si="43"/>
        <v>1.5587681028474067</v>
      </c>
      <c r="W13" s="55">
        <f t="shared" si="43"/>
        <v>1.5607558664842398</v>
      </c>
      <c r="X13" s="55">
        <f t="shared" si="43"/>
        <v>2.2665926633451221</v>
      </c>
      <c r="Y13" s="55">
        <f t="shared" si="43"/>
        <v>2.05823889304799</v>
      </c>
      <c r="Z13" s="55">
        <f t="shared" ref="Z13:AA13" si="44">IF(Z11=0,0,Z11/Z12)</f>
        <v>1.788806567364535</v>
      </c>
      <c r="AA13" s="55">
        <f t="shared" si="44"/>
        <v>1.8533185326690242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140756.1534257489</v>
      </c>
      <c r="E16" s="42">
        <v>148103.40413086084</v>
      </c>
      <c r="F16" s="42">
        <v>156550.37554134481</v>
      </c>
      <c r="G16" s="42">
        <v>160212.46845224619</v>
      </c>
      <c r="H16" s="42">
        <v>176922.51618113639</v>
      </c>
      <c r="I16" s="42">
        <v>185179.13448572173</v>
      </c>
      <c r="J16" s="42">
        <v>200048.10133333332</v>
      </c>
      <c r="K16" s="42">
        <v>214518.36769281694</v>
      </c>
      <c r="L16" s="42">
        <v>234485.33238018234</v>
      </c>
      <c r="M16" s="42">
        <v>221550.10714443348</v>
      </c>
      <c r="N16" s="42">
        <v>212896.90238883684</v>
      </c>
      <c r="O16" s="42">
        <v>222466.18579697006</v>
      </c>
      <c r="P16" s="42">
        <v>226703.17526921927</v>
      </c>
      <c r="Q16" s="42">
        <v>227335.02554946489</v>
      </c>
      <c r="R16" s="42">
        <v>236690.20725050577</v>
      </c>
      <c r="S16" s="42">
        <v>244163.42502999998</v>
      </c>
      <c r="T16" s="42">
        <v>251145.07787719506</v>
      </c>
      <c r="U16" s="42">
        <v>271730.18928147608</v>
      </c>
      <c r="V16" s="42">
        <v>288360.99914070102</v>
      </c>
      <c r="W16" s="42">
        <v>299674.78393887141</v>
      </c>
      <c r="X16" s="42">
        <v>288663.45812653756</v>
      </c>
      <c r="Y16" s="42">
        <v>304672.10976280307</v>
      </c>
      <c r="Z16" s="42">
        <v>316751.799098155</v>
      </c>
      <c r="AA16" s="42">
        <v>324368.59999999998</v>
      </c>
    </row>
    <row r="17" spans="1:27" x14ac:dyDescent="0.25">
      <c r="A17" s="46" t="s">
        <v>141</v>
      </c>
      <c r="B17" s="47"/>
      <c r="C17" s="47"/>
      <c r="D17" s="57">
        <v>61040.679055758141</v>
      </c>
      <c r="E17" s="57">
        <v>66128.85730100896</v>
      </c>
      <c r="F17" s="57">
        <v>70821.694822621052</v>
      </c>
      <c r="G17" s="57">
        <v>76756.524631772321</v>
      </c>
      <c r="H17" s="57">
        <v>88915.111658598267</v>
      </c>
      <c r="I17" s="57">
        <v>98895.75594611335</v>
      </c>
      <c r="J17" s="57">
        <v>108990.27551490159</v>
      </c>
      <c r="K17" s="57">
        <v>124075.12740169345</v>
      </c>
      <c r="L17" s="57">
        <v>134873.0940606638</v>
      </c>
      <c r="M17" s="57">
        <v>126307.18557112817</v>
      </c>
      <c r="N17" s="57">
        <v>120006.80830773168</v>
      </c>
      <c r="O17" s="57">
        <v>125396.00126566597</v>
      </c>
      <c r="P17" s="57">
        <v>127760.72884332752</v>
      </c>
      <c r="Q17" s="57">
        <v>121437.00425605536</v>
      </c>
      <c r="R17" s="57">
        <v>126370.3406827492</v>
      </c>
      <c r="S17" s="57">
        <v>133837.11039000002</v>
      </c>
      <c r="T17" s="57">
        <v>141926.60591870928</v>
      </c>
      <c r="U17" s="57">
        <v>158348.16714498805</v>
      </c>
      <c r="V17" s="57">
        <v>174635.40285307399</v>
      </c>
      <c r="W17" s="57">
        <v>180129.42394833005</v>
      </c>
      <c r="X17" s="57">
        <v>173366.69612844969</v>
      </c>
      <c r="Y17" s="57">
        <v>185446.84181000193</v>
      </c>
      <c r="Z17" s="57">
        <v>194887.606927849</v>
      </c>
      <c r="AA17" s="57">
        <v>200697.5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6268.2303867295186</v>
      </c>
      <c r="E20" s="42">
        <f t="shared" ref="E20:S20" si="45">1000000*E16/E$3</f>
        <v>6602.781393658669</v>
      </c>
      <c r="F20" s="42">
        <f t="shared" si="45"/>
        <v>7170.1970565733745</v>
      </c>
      <c r="G20" s="42">
        <f t="shared" si="45"/>
        <v>7407.8095841849463</v>
      </c>
      <c r="H20" s="42">
        <f t="shared" si="45"/>
        <v>8220.870257774257</v>
      </c>
      <c r="I20" s="42">
        <f t="shared" si="45"/>
        <v>8660.3717479245624</v>
      </c>
      <c r="J20" s="42">
        <f t="shared" si="45"/>
        <v>9410.921144027614</v>
      </c>
      <c r="K20" s="42">
        <f t="shared" si="45"/>
        <v>10152.071045957446</v>
      </c>
      <c r="L20" s="42">
        <f t="shared" si="45"/>
        <v>11363.222936643155</v>
      </c>
      <c r="M20" s="42">
        <f t="shared" si="45"/>
        <v>10838.892557025045</v>
      </c>
      <c r="N20" s="42">
        <f t="shared" si="45"/>
        <v>10490.279763859176</v>
      </c>
      <c r="O20" s="42">
        <f t="shared" si="45"/>
        <v>11013.690578208127</v>
      </c>
      <c r="P20" s="42">
        <f t="shared" si="45"/>
        <v>11281.012161289207</v>
      </c>
      <c r="Q20" s="42">
        <f t="shared" si="45"/>
        <v>11355.353908755027</v>
      </c>
      <c r="R20" s="42">
        <f t="shared" si="45"/>
        <v>11865.770140672383</v>
      </c>
      <c r="S20" s="42">
        <f t="shared" si="45"/>
        <v>12287.643428520469</v>
      </c>
      <c r="T20" s="42">
        <f t="shared" ref="T20:Y20" si="46">1000000*T16/T$3</f>
        <v>12709.394882651251</v>
      </c>
      <c r="U20" s="42">
        <f t="shared" si="46"/>
        <v>13832.768008177789</v>
      </c>
      <c r="V20" s="42">
        <f t="shared" si="46"/>
        <v>14762.396888742003</v>
      </c>
      <c r="W20" s="42">
        <f t="shared" si="46"/>
        <v>15435.650273567842</v>
      </c>
      <c r="X20" s="42">
        <f t="shared" si="46"/>
        <v>14934.34101556118</v>
      </c>
      <c r="Y20" s="42">
        <f t="shared" si="46"/>
        <v>15866.96556593919</v>
      </c>
      <c r="Z20" s="42">
        <f t="shared" ref="Z20:AA20" si="47">1000000*Z16/Z$3</f>
        <v>16633.979132320648</v>
      </c>
      <c r="AA20" s="42">
        <f t="shared" si="47"/>
        <v>17023.158985455862</v>
      </c>
    </row>
    <row r="21" spans="1:27" x14ac:dyDescent="0.25">
      <c r="A21" s="46" t="s">
        <v>141</v>
      </c>
      <c r="B21" s="47"/>
      <c r="C21" s="47"/>
      <c r="D21" s="57">
        <f>1000000*D17/D$3</f>
        <v>2718.2970688790797</v>
      </c>
      <c r="E21" s="57">
        <f t="shared" ref="E21:S21" si="48">1000000*E17/E$3</f>
        <v>2948.1725361640629</v>
      </c>
      <c r="F21" s="57">
        <f t="shared" si="48"/>
        <v>3243.7195120275151</v>
      </c>
      <c r="G21" s="57">
        <f t="shared" si="48"/>
        <v>3549.0228963387472</v>
      </c>
      <c r="H21" s="57">
        <f t="shared" si="48"/>
        <v>4131.5238595887831</v>
      </c>
      <c r="I21" s="57">
        <f t="shared" si="48"/>
        <v>4625.1107780795946</v>
      </c>
      <c r="J21" s="57">
        <f t="shared" si="48"/>
        <v>5127.2613011582425</v>
      </c>
      <c r="K21" s="57">
        <f t="shared" si="48"/>
        <v>5871.8492125669445</v>
      </c>
      <c r="L21" s="57">
        <f t="shared" si="48"/>
        <v>6535.9867946081067</v>
      </c>
      <c r="M21" s="57">
        <f t="shared" si="48"/>
        <v>6179.3245385035225</v>
      </c>
      <c r="N21" s="57">
        <f t="shared" si="48"/>
        <v>5913.2142299405068</v>
      </c>
      <c r="O21" s="57">
        <f t="shared" si="48"/>
        <v>6208.0120299498094</v>
      </c>
      <c r="P21" s="57">
        <f t="shared" si="48"/>
        <v>6357.5216099429726</v>
      </c>
      <c r="Q21" s="57">
        <f t="shared" si="48"/>
        <v>6065.7620074758643</v>
      </c>
      <c r="R21" s="57">
        <f t="shared" si="48"/>
        <v>6335.2068197437338</v>
      </c>
      <c r="S21" s="57">
        <f t="shared" si="48"/>
        <v>6735.4178447234262</v>
      </c>
      <c r="T21" s="57">
        <f t="shared" ref="T21:Y21" si="49">1000000*T17/T$3</f>
        <v>7182.307908329095</v>
      </c>
      <c r="U21" s="57">
        <f t="shared" si="49"/>
        <v>8060.9131669496819</v>
      </c>
      <c r="V21" s="57">
        <f t="shared" si="49"/>
        <v>8940.3113993391125</v>
      </c>
      <c r="W21" s="57">
        <f t="shared" si="49"/>
        <v>9278.1072718244341</v>
      </c>
      <c r="X21" s="57">
        <f t="shared" si="49"/>
        <v>8969.3284266984756</v>
      </c>
      <c r="Y21" s="57">
        <f t="shared" si="49"/>
        <v>9657.8536696459887</v>
      </c>
      <c r="Z21" s="57">
        <f t="shared" ref="Z21:AA21" si="50">1000000*Z17/Z$3</f>
        <v>10234.3740304414</v>
      </c>
      <c r="AA21" s="57">
        <f t="shared" si="50"/>
        <v>10532.787237986438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131667.13625809335</v>
      </c>
      <c r="E23" s="60">
        <v>139255.95839462336</v>
      </c>
      <c r="F23" s="60">
        <v>146295.91526629176</v>
      </c>
      <c r="G23" s="60">
        <v>149630.62932202008</v>
      </c>
      <c r="H23" s="60">
        <v>165504.8985114301</v>
      </c>
      <c r="I23" s="60">
        <v>172154.22761666868</v>
      </c>
      <c r="J23" s="60">
        <v>186778.02582808104</v>
      </c>
      <c r="K23" s="60">
        <v>199889.80968774235</v>
      </c>
      <c r="L23" s="60">
        <v>218861.83491583989</v>
      </c>
      <c r="M23" s="60">
        <v>209141.82387303037</v>
      </c>
      <c r="N23" s="60">
        <v>198310.47010092335</v>
      </c>
      <c r="O23" s="60">
        <v>206814.78610377081</v>
      </c>
      <c r="P23" s="60">
        <v>210955.32342206134</v>
      </c>
      <c r="Q23" s="60">
        <v>211807.79084524704</v>
      </c>
      <c r="R23" s="60">
        <v>220634.4777599209</v>
      </c>
      <c r="S23" s="60">
        <v>226527.96951600001</v>
      </c>
      <c r="T23" s="60">
        <v>232904.13095205917</v>
      </c>
      <c r="U23" s="60">
        <v>252478.38769834992</v>
      </c>
      <c r="V23" s="60">
        <v>266982.84737984661</v>
      </c>
      <c r="W23" s="60">
        <v>277136.7262533328</v>
      </c>
      <c r="X23" s="60">
        <v>267408.59078862262</v>
      </c>
      <c r="Y23" s="60">
        <v>281191.55136476824</v>
      </c>
      <c r="Z23" s="60">
        <v>289974.44497878366</v>
      </c>
      <c r="AA23" s="60">
        <v>296141.59999999998</v>
      </c>
    </row>
    <row r="24" spans="1:27" x14ac:dyDescent="0.25">
      <c r="A24" s="61" t="s">
        <v>33</v>
      </c>
      <c r="B24" s="62"/>
      <c r="C24" s="62"/>
      <c r="D24" s="63">
        <v>15826.349189551242</v>
      </c>
      <c r="E24" s="63">
        <v>20184.033485501732</v>
      </c>
      <c r="F24" s="63">
        <v>18371.641386867352</v>
      </c>
      <c r="G24" s="63">
        <v>19981.617904054827</v>
      </c>
      <c r="H24" s="63">
        <v>23442.561342750818</v>
      </c>
      <c r="I24" s="63">
        <v>16473.889454124528</v>
      </c>
      <c r="J24" s="63">
        <v>16403.189566849942</v>
      </c>
      <c r="K24" s="63">
        <v>12338.111375178847</v>
      </c>
      <c r="L24" s="63">
        <v>15375.672877375571</v>
      </c>
      <c r="M24" s="63">
        <v>14068.633080612013</v>
      </c>
      <c r="N24" s="63">
        <v>11474.026856345286</v>
      </c>
      <c r="O24" s="63">
        <v>13907.375355480057</v>
      </c>
      <c r="P24" s="63">
        <v>10835.724738074958</v>
      </c>
      <c r="Q24" s="63">
        <v>13241.055334002174</v>
      </c>
      <c r="R24" s="63">
        <v>12345.590239831872</v>
      </c>
      <c r="S24" s="63">
        <v>11413.451726000001</v>
      </c>
      <c r="T24" s="63">
        <v>11165.881128723961</v>
      </c>
      <c r="U24" s="63">
        <v>12388.553341585312</v>
      </c>
      <c r="V24" s="63">
        <v>13266.98946244595</v>
      </c>
      <c r="W24" s="63">
        <v>13158.702800795634</v>
      </c>
      <c r="X24" s="63">
        <v>11988.704108135005</v>
      </c>
      <c r="Y24" s="63">
        <v>14326.65920220917</v>
      </c>
      <c r="Z24" s="63">
        <v>12042.861954696527</v>
      </c>
      <c r="AA24" s="63">
        <v>12576.6</v>
      </c>
    </row>
    <row r="25" spans="1:27" x14ac:dyDescent="0.25">
      <c r="A25" s="64" t="s">
        <v>56</v>
      </c>
      <c r="B25" s="65"/>
      <c r="C25" s="65"/>
      <c r="D25" s="66">
        <v>2990.4124321323802</v>
      </c>
      <c r="E25" s="66">
        <v>2819.4131879279739</v>
      </c>
      <c r="F25" s="66">
        <v>2939.036867350314</v>
      </c>
      <c r="G25" s="66">
        <v>2440.2984084898276</v>
      </c>
      <c r="H25" s="66">
        <v>2492.2841915394538</v>
      </c>
      <c r="I25" s="66">
        <v>2606.4667874984789</v>
      </c>
      <c r="J25" s="66">
        <v>2967.3743167493631</v>
      </c>
      <c r="K25" s="66">
        <v>2836.0242903483004</v>
      </c>
      <c r="L25" s="66">
        <v>2362.4873958358121</v>
      </c>
      <c r="M25" s="66">
        <v>2965.7911509477049</v>
      </c>
      <c r="N25" s="66">
        <v>3297.0595517306342</v>
      </c>
      <c r="O25" s="66">
        <v>2003.8363620883777</v>
      </c>
      <c r="P25" s="66">
        <v>3813.2391418228281</v>
      </c>
      <c r="Q25" s="66">
        <v>2603.9894845148715</v>
      </c>
      <c r="R25" s="66">
        <v>2022.0181155608357</v>
      </c>
      <c r="S25" s="66">
        <v>2377.835959999999</v>
      </c>
      <c r="T25" s="66">
        <v>1738.4127449655352</v>
      </c>
      <c r="U25" s="66">
        <v>1839.1177265493397</v>
      </c>
      <c r="V25" s="66">
        <v>2159.4669866544968</v>
      </c>
      <c r="W25" s="66">
        <v>2740.5956380084003</v>
      </c>
      <c r="X25" s="66">
        <v>2443.688498406797</v>
      </c>
      <c r="Y25" s="66">
        <v>1977.0186603667614</v>
      </c>
      <c r="Z25" s="66">
        <v>5624.6362365736013</v>
      </c>
      <c r="AA25" s="66">
        <v>3760.382094697547</v>
      </c>
    </row>
    <row r="26" spans="1:27" x14ac:dyDescent="0.25">
      <c r="A26" s="67" t="s">
        <v>146</v>
      </c>
      <c r="B26" s="44"/>
      <c r="C26" s="44"/>
      <c r="D26" s="45">
        <v>73058.936014300212</v>
      </c>
      <c r="E26" s="45">
        <v>70831.466049539275</v>
      </c>
      <c r="F26" s="45">
        <v>75268.082236189264</v>
      </c>
      <c r="G26" s="45">
        <v>77149.033359447858</v>
      </c>
      <c r="H26" s="45">
        <v>84606.923741171122</v>
      </c>
      <c r="I26" s="45">
        <v>94456.18044352383</v>
      </c>
      <c r="J26" s="45">
        <v>102740.75110902511</v>
      </c>
      <c r="K26" s="45">
        <v>112357.34324970789</v>
      </c>
      <c r="L26" s="45">
        <v>115350.36037147875</v>
      </c>
      <c r="M26" s="45">
        <v>113318.2047841973</v>
      </c>
      <c r="N26" s="45">
        <v>106849.69501894222</v>
      </c>
      <c r="O26" s="45">
        <v>104338.435551531</v>
      </c>
      <c r="P26" s="45">
        <v>122546.7931132879</v>
      </c>
      <c r="Q26" s="45">
        <v>125935.76461049504</v>
      </c>
      <c r="R26" s="45">
        <v>131141.47245255788</v>
      </c>
      <c r="S26" s="45">
        <v>139891.56457800002</v>
      </c>
      <c r="T26" s="45">
        <v>147551.8392678547</v>
      </c>
      <c r="U26" s="45">
        <v>163243.67091922677</v>
      </c>
      <c r="V26" s="45">
        <v>172746.51560065348</v>
      </c>
      <c r="W26" s="45">
        <v>183799.94723125492</v>
      </c>
      <c r="X26" s="45">
        <v>181609.72123883295</v>
      </c>
      <c r="Y26" s="45">
        <v>190165.02967284739</v>
      </c>
      <c r="Z26" s="45">
        <v>195950.25148915887</v>
      </c>
      <c r="AA26" s="45">
        <v>201883.98585964879</v>
      </c>
    </row>
    <row r="27" spans="1:27" x14ac:dyDescent="0.25">
      <c r="A27" s="68" t="s">
        <v>148</v>
      </c>
      <c r="B27" s="69"/>
      <c r="C27" s="69"/>
      <c r="D27" s="70">
        <v>26940.102174592532</v>
      </c>
      <c r="E27" s="70">
        <v>27136.341909713425</v>
      </c>
      <c r="F27" s="70">
        <v>29674.759407046</v>
      </c>
      <c r="G27" s="70">
        <v>31051.853589785402</v>
      </c>
      <c r="H27" s="70">
        <v>34598.121910837712</v>
      </c>
      <c r="I27" s="70">
        <v>39399.133386133799</v>
      </c>
      <c r="J27" s="70">
        <v>42023.491650797936</v>
      </c>
      <c r="K27" s="70">
        <v>42651.942758221507</v>
      </c>
      <c r="L27" s="70">
        <v>44818.638414665693</v>
      </c>
      <c r="M27" s="70">
        <v>46471.348020095917</v>
      </c>
      <c r="N27" s="70">
        <v>44930.539055185742</v>
      </c>
      <c r="O27" s="70">
        <v>39519.032616081538</v>
      </c>
      <c r="P27" s="70">
        <v>45445.053875638827</v>
      </c>
      <c r="Q27" s="70">
        <v>48628.269181088537</v>
      </c>
      <c r="R27" s="70">
        <v>50502.773783327189</v>
      </c>
      <c r="S27" s="70">
        <v>49846.230941999995</v>
      </c>
      <c r="T27" s="70">
        <v>54722.804124109432</v>
      </c>
      <c r="U27" s="70">
        <v>61526.670626995103</v>
      </c>
      <c r="V27" s="70">
        <v>68434.75241552337</v>
      </c>
      <c r="W27" s="70">
        <v>74285.828573363237</v>
      </c>
      <c r="X27" s="70">
        <v>69413.398742847654</v>
      </c>
      <c r="Y27" s="70">
        <v>67841.983587664392</v>
      </c>
      <c r="Z27" s="70">
        <v>69444.11037130453</v>
      </c>
      <c r="AA27" s="70">
        <v>70734.600000000006</v>
      </c>
    </row>
    <row r="28" spans="1:27" x14ac:dyDescent="0.25">
      <c r="A28" s="68" t="s">
        <v>150</v>
      </c>
      <c r="B28" s="71"/>
      <c r="C28" s="71"/>
      <c r="D28" s="70">
        <v>29489.645456575137</v>
      </c>
      <c r="E28" s="70">
        <v>28584.470318708256</v>
      </c>
      <c r="F28" s="70">
        <v>30697.235564836257</v>
      </c>
      <c r="G28" s="70">
        <v>29712.373447825739</v>
      </c>
      <c r="H28" s="70">
        <v>32062.767236272506</v>
      </c>
      <c r="I28" s="70">
        <v>34824.278171073471</v>
      </c>
      <c r="J28" s="70">
        <v>38005.001464395871</v>
      </c>
      <c r="K28" s="70">
        <v>45204.364619534943</v>
      </c>
      <c r="L28" s="70">
        <v>45405.670220668115</v>
      </c>
      <c r="M28" s="70">
        <v>45323.975364238409</v>
      </c>
      <c r="N28" s="70">
        <v>46529.513366974454</v>
      </c>
      <c r="O28" s="70">
        <v>49492.083570320036</v>
      </c>
      <c r="P28" s="70">
        <v>51703.726824957419</v>
      </c>
      <c r="Q28" s="70">
        <v>58447.000806788739</v>
      </c>
      <c r="R28" s="70">
        <v>59380.056515020406</v>
      </c>
      <c r="S28" s="70">
        <v>65172.172026000007</v>
      </c>
      <c r="T28" s="70">
        <v>65008.063412044103</v>
      </c>
      <c r="U28" s="70">
        <v>70701.596697968329</v>
      </c>
      <c r="V28" s="70">
        <v>71106.242698268659</v>
      </c>
      <c r="W28" s="70">
        <v>76177.8210470185</v>
      </c>
      <c r="X28" s="70">
        <v>75421.49227299112</v>
      </c>
      <c r="Y28" s="70">
        <v>78220.166875239447</v>
      </c>
      <c r="Z28" s="70">
        <v>82718.688531991836</v>
      </c>
      <c r="AA28" s="70">
        <v>86791.3</v>
      </c>
    </row>
    <row r="29" spans="1:27" x14ac:dyDescent="0.25">
      <c r="A29" s="68" t="s">
        <v>152</v>
      </c>
      <c r="B29" s="71"/>
      <c r="C29" s="71"/>
      <c r="D29" s="70">
        <v>16629.188383132547</v>
      </c>
      <c r="E29" s="70">
        <v>15110.653821117594</v>
      </c>
      <c r="F29" s="70">
        <v>14896.087264306992</v>
      </c>
      <c r="G29" s="70">
        <v>16384.806321836717</v>
      </c>
      <c r="H29" s="70">
        <v>17946.034594060908</v>
      </c>
      <c r="I29" s="70">
        <v>20232.768886316564</v>
      </c>
      <c r="J29" s="70">
        <v>22712.257993831307</v>
      </c>
      <c r="K29" s="70">
        <v>24501.035871951422</v>
      </c>
      <c r="L29" s="70">
        <v>25126.051736144957</v>
      </c>
      <c r="M29" s="70">
        <v>21522.881399862978</v>
      </c>
      <c r="N29" s="70">
        <v>15389.642596782021</v>
      </c>
      <c r="O29" s="70">
        <v>15327.319365129435</v>
      </c>
      <c r="P29" s="70">
        <v>25398.012412691653</v>
      </c>
      <c r="Q29" s="70">
        <v>18860.494622617756</v>
      </c>
      <c r="R29" s="70">
        <v>21258.642154210298</v>
      </c>
      <c r="S29" s="70">
        <v>24873.161609999996</v>
      </c>
      <c r="T29" s="70">
        <v>27820.971731701196</v>
      </c>
      <c r="U29" s="70">
        <v>31015.403594263324</v>
      </c>
      <c r="V29" s="70">
        <v>33205.520486861482</v>
      </c>
      <c r="W29" s="70">
        <v>33336.297610873196</v>
      </c>
      <c r="X29" s="70">
        <v>36774.830222994169</v>
      </c>
      <c r="Y29" s="70">
        <v>44102.879209943567</v>
      </c>
      <c r="Z29" s="70">
        <v>43787.452585862484</v>
      </c>
      <c r="AA29" s="70">
        <v>44358.085859648781</v>
      </c>
    </row>
    <row r="30" spans="1:27" x14ac:dyDescent="0.25">
      <c r="A30" s="64" t="s">
        <v>154</v>
      </c>
      <c r="B30" s="65"/>
      <c r="C30" s="65"/>
      <c r="D30" s="66">
        <v>4941.9333664720671</v>
      </c>
      <c r="E30" s="66">
        <v>4430.0692746639616</v>
      </c>
      <c r="F30" s="66">
        <v>6675.033030102546</v>
      </c>
      <c r="G30" s="66">
        <v>5971.6850510228978</v>
      </c>
      <c r="H30" s="66">
        <v>6094.3206159337733</v>
      </c>
      <c r="I30" s="66">
        <v>6602.0527080541033</v>
      </c>
      <c r="J30" s="66">
        <v>6490.0795547807429</v>
      </c>
      <c r="K30" s="66">
        <v>6027.1666160617751</v>
      </c>
      <c r="L30" s="66">
        <v>6695.6194945594216</v>
      </c>
      <c r="M30" s="66">
        <v>8367.7744507878524</v>
      </c>
      <c r="N30" s="66">
        <v>9909.6674327628334</v>
      </c>
      <c r="O30" s="66">
        <v>17270.688375378548</v>
      </c>
      <c r="P30" s="66">
        <v>8980.9224637989773</v>
      </c>
      <c r="Q30" s="66">
        <v>11007.491676664715</v>
      </c>
      <c r="R30" s="66">
        <v>15678.546595519192</v>
      </c>
      <c r="S30" s="66">
        <v>11905.589763999997</v>
      </c>
      <c r="T30" s="66">
        <v>11464.08111713938</v>
      </c>
      <c r="U30" s="66">
        <v>10180.354348574674</v>
      </c>
      <c r="V30" s="66">
        <v>10512.247201478251</v>
      </c>
      <c r="W30" s="66">
        <v>8976.1945517024214</v>
      </c>
      <c r="X30" s="66">
        <v>8119.9324735571563</v>
      </c>
      <c r="Y30" s="66">
        <v>10028.110514634131</v>
      </c>
      <c r="Z30" s="66">
        <v>14751.60440294557</v>
      </c>
      <c r="AA30" s="66">
        <v>14567.232045653664</v>
      </c>
    </row>
    <row r="31" spans="1:27" x14ac:dyDescent="0.25">
      <c r="A31" s="64" t="s">
        <v>37</v>
      </c>
      <c r="B31" s="65"/>
      <c r="C31" s="65"/>
      <c r="D31" s="66">
        <v>7611.2739004242021</v>
      </c>
      <c r="E31" s="66">
        <v>8743.8530560486925</v>
      </c>
      <c r="F31" s="66">
        <v>9994.5880251405888</v>
      </c>
      <c r="G31" s="66">
        <v>10586.224610426696</v>
      </c>
      <c r="H31" s="66">
        <v>11771.071371610846</v>
      </c>
      <c r="I31" s="66">
        <v>13627.530687218226</v>
      </c>
      <c r="J31" s="66">
        <v>16712.785476733272</v>
      </c>
      <c r="K31" s="66">
        <v>21480.687574132528</v>
      </c>
      <c r="L31" s="66">
        <v>27702.508606366584</v>
      </c>
      <c r="M31" s="66">
        <v>24578.500477277918</v>
      </c>
      <c r="N31" s="66">
        <v>17688.037968649347</v>
      </c>
      <c r="O31" s="66">
        <v>15391.793708317604</v>
      </c>
      <c r="P31" s="66">
        <v>18015.289544293017</v>
      </c>
      <c r="Q31" s="66">
        <v>16511.724117966725</v>
      </c>
      <c r="R31" s="66">
        <v>15906.878753039107</v>
      </c>
      <c r="S31" s="66">
        <v>15272.045614000002</v>
      </c>
      <c r="T31" s="66">
        <v>15687.027828084876</v>
      </c>
      <c r="U31" s="66">
        <v>15131.134095245188</v>
      </c>
      <c r="V31" s="66">
        <v>17573.092852185982</v>
      </c>
      <c r="W31" s="66">
        <v>19342.470630157855</v>
      </c>
      <c r="X31" s="66">
        <v>19085.709558006467</v>
      </c>
      <c r="Y31" s="66">
        <v>19925.094971906525</v>
      </c>
      <c r="Z31" s="66">
        <v>21454.931441391858</v>
      </c>
      <c r="AA31" s="66">
        <v>24622.1</v>
      </c>
    </row>
    <row r="32" spans="1:27" x14ac:dyDescent="0.25">
      <c r="A32" s="64" t="s">
        <v>58</v>
      </c>
      <c r="B32" s="65"/>
      <c r="C32" s="65"/>
      <c r="D32" s="66">
        <v>27238.231355213218</v>
      </c>
      <c r="E32" s="66">
        <v>32247.123340941747</v>
      </c>
      <c r="F32" s="66">
        <v>33047.533720641739</v>
      </c>
      <c r="G32" s="66">
        <v>33501.769988577951</v>
      </c>
      <c r="H32" s="66">
        <v>37097.737248424099</v>
      </c>
      <c r="I32" s="66">
        <v>38388.107536249532</v>
      </c>
      <c r="J32" s="66">
        <v>41463.845803942604</v>
      </c>
      <c r="K32" s="66">
        <v>44850.476582313044</v>
      </c>
      <c r="L32" s="66">
        <v>51375.186170223773</v>
      </c>
      <c r="M32" s="66">
        <v>45842.919929207579</v>
      </c>
      <c r="N32" s="66">
        <v>49091.983272493038</v>
      </c>
      <c r="O32" s="66">
        <v>53902.65675097522</v>
      </c>
      <c r="P32" s="66">
        <v>46763.354420783653</v>
      </c>
      <c r="Q32" s="66">
        <v>42507.765621603539</v>
      </c>
      <c r="R32" s="66">
        <v>43539.97160341205</v>
      </c>
      <c r="S32" s="66">
        <v>45667.481874000012</v>
      </c>
      <c r="T32" s="66">
        <v>45296.888865290683</v>
      </c>
      <c r="U32" s="66">
        <v>49695.557267168617</v>
      </c>
      <c r="V32" s="66">
        <v>50724.535276428403</v>
      </c>
      <c r="W32" s="66">
        <v>49118.815401413536</v>
      </c>
      <c r="X32" s="66">
        <v>44160.834911684222</v>
      </c>
      <c r="Y32" s="66">
        <v>44769.638342804239</v>
      </c>
      <c r="Z32" s="66">
        <v>40150.159454017194</v>
      </c>
      <c r="AA32" s="66">
        <v>38731.299999999996</v>
      </c>
    </row>
    <row r="33" spans="1:27" x14ac:dyDescent="0.25">
      <c r="A33" s="72" t="s">
        <v>158</v>
      </c>
      <c r="B33" s="65"/>
      <c r="C33" s="65"/>
      <c r="D33" s="66">
        <v>1417.7299709756644</v>
      </c>
      <c r="E33" s="66">
        <v>1520.8918463099162</v>
      </c>
      <c r="F33" s="66">
        <v>1447.2328440291103</v>
      </c>
      <c r="G33" s="66">
        <v>1237.0994941665988</v>
      </c>
      <c r="H33" s="66">
        <v>1613.4630591630596</v>
      </c>
      <c r="I33" s="66">
        <v>1477.8228067503351</v>
      </c>
      <c r="J33" s="66">
        <v>1552.7259675472715</v>
      </c>
      <c r="K33" s="66">
        <v>1704.2502845159952</v>
      </c>
      <c r="L33" s="66">
        <v>1782.5661021508158</v>
      </c>
      <c r="M33" s="66">
        <v>1062.13715916876</v>
      </c>
      <c r="N33" s="66">
        <v>3318.6878526948681</v>
      </c>
      <c r="O33" s="66">
        <v>2944.2060567929198</v>
      </c>
      <c r="P33" s="66">
        <v>2664.1798828790461</v>
      </c>
      <c r="Q33" s="66">
        <v>2189.2447558732547</v>
      </c>
      <c r="R33" s="66">
        <v>1865.4210553426467</v>
      </c>
      <c r="S33" s="66">
        <v>1988.8232840000003</v>
      </c>
      <c r="T33" s="66">
        <v>1850.5483656092524</v>
      </c>
      <c r="U33" s="66">
        <v>2276.1758266712582</v>
      </c>
      <c r="V33" s="66">
        <v>2334.4050054271429</v>
      </c>
      <c r="W33" s="66">
        <v>1737.027205552499</v>
      </c>
      <c r="X33" s="66">
        <v>1033.0121287005556</v>
      </c>
      <c r="Y33" s="66">
        <v>2342.0441833737709</v>
      </c>
      <c r="Z33" s="66">
        <v>1703.8666118547114</v>
      </c>
      <c r="AA33" s="66">
        <v>726.3</v>
      </c>
    </row>
    <row r="34" spans="1:27" x14ac:dyDescent="0.25">
      <c r="A34" s="73" t="s">
        <v>5</v>
      </c>
      <c r="B34" s="65"/>
      <c r="C34" s="65"/>
      <c r="D34" s="66">
        <v>1188.5279142404856</v>
      </c>
      <c r="E34" s="66">
        <v>1275.0117800190837</v>
      </c>
      <c r="F34" s="66">
        <v>1213.2611066622997</v>
      </c>
      <c r="G34" s="66">
        <v>1037.0996675043318</v>
      </c>
      <c r="H34" s="66">
        <v>1352.6171581824176</v>
      </c>
      <c r="I34" s="66">
        <v>1238.9056407654555</v>
      </c>
      <c r="J34" s="66">
        <v>1301.6993315913162</v>
      </c>
      <c r="K34" s="66">
        <v>1428.7269631505299</v>
      </c>
      <c r="L34" s="66">
        <v>1494.3815922344413</v>
      </c>
      <c r="M34" s="66">
        <v>728.93138251415678</v>
      </c>
      <c r="N34" s="66">
        <v>2398.6628159059351</v>
      </c>
      <c r="O34" s="66">
        <v>1910.3631026106027</v>
      </c>
      <c r="P34" s="66">
        <v>2006.5836671825109</v>
      </c>
      <c r="Q34" s="66">
        <v>1527.5140666664911</v>
      </c>
      <c r="R34" s="66">
        <v>1458.296533198016</v>
      </c>
      <c r="S34" s="66">
        <v>1353.3413501486373</v>
      </c>
      <c r="T34" s="66">
        <v>1101.4897245529239</v>
      </c>
      <c r="U34" s="66">
        <v>1388.6172443937044</v>
      </c>
      <c r="V34" s="66">
        <v>1495.2697409364887</v>
      </c>
      <c r="W34" s="66">
        <v>910.45767381630651</v>
      </c>
      <c r="X34" s="66">
        <v>273.17462223585039</v>
      </c>
      <c r="Y34" s="66">
        <v>1232.3686054248574</v>
      </c>
      <c r="Z34" s="66">
        <v>960.07224307801459</v>
      </c>
      <c r="AA34" s="66">
        <v>352.04868235294111</v>
      </c>
    </row>
    <row r="35" spans="1:27" x14ac:dyDescent="0.25">
      <c r="A35" s="74" t="s">
        <v>264</v>
      </c>
      <c r="B35" s="44"/>
      <c r="C35" s="44"/>
      <c r="D35" s="45">
        <v>901.03792451500817</v>
      </c>
      <c r="E35" s="45">
        <v>973.7998214665522</v>
      </c>
      <c r="F35" s="45">
        <v>1042.6503924084532</v>
      </c>
      <c r="G35" s="45">
        <v>872.59831717274096</v>
      </c>
      <c r="H35" s="45">
        <v>1103.6415748424317</v>
      </c>
      <c r="I35" s="45">
        <v>946.07869445783183</v>
      </c>
      <c r="J35" s="45">
        <v>967.0804348175601</v>
      </c>
      <c r="K35" s="45">
        <v>1057.1248224200428</v>
      </c>
      <c r="L35" s="45">
        <v>1054.2328909374353</v>
      </c>
      <c r="M35" s="45">
        <v>504.32716621957439</v>
      </c>
      <c r="N35" s="45">
        <v>1365.4881489527238</v>
      </c>
      <c r="O35" s="45">
        <v>1008.5764169209514</v>
      </c>
      <c r="P35" s="45">
        <v>1107.812565747842</v>
      </c>
      <c r="Q35" s="45">
        <v>991.16163844572577</v>
      </c>
      <c r="R35" s="45">
        <v>906.73599351893029</v>
      </c>
      <c r="S35" s="45">
        <v>959.17796030741818</v>
      </c>
      <c r="T35" s="45">
        <v>792.92987183323464</v>
      </c>
      <c r="U35" s="45">
        <v>1012.5515467447151</v>
      </c>
      <c r="V35" s="45">
        <v>973.30263928491229</v>
      </c>
      <c r="W35" s="45">
        <v>655.03402413139054</v>
      </c>
      <c r="X35" s="45">
        <v>215.67836641930495</v>
      </c>
      <c r="Y35" s="45">
        <v>947.65033024541492</v>
      </c>
      <c r="Z35" s="45">
        <v>640.44722687826152</v>
      </c>
      <c r="AA35" s="45">
        <v>204.06929277419849</v>
      </c>
    </row>
    <row r="36" spans="1:27" x14ac:dyDescent="0.25">
      <c r="A36" s="74" t="s">
        <v>15</v>
      </c>
      <c r="B36" s="44"/>
      <c r="C36" s="44"/>
      <c r="D36" s="45">
        <v>287.48998972547747</v>
      </c>
      <c r="E36" s="45">
        <v>301.21195855253154</v>
      </c>
      <c r="F36" s="45">
        <v>170.61071425384648</v>
      </c>
      <c r="G36" s="45">
        <v>164.50135033159086</v>
      </c>
      <c r="H36" s="45">
        <v>248.97558333998586</v>
      </c>
      <c r="I36" s="45">
        <v>292.82694630762364</v>
      </c>
      <c r="J36" s="45">
        <v>334.61889677375609</v>
      </c>
      <c r="K36" s="45">
        <v>371.60214073048701</v>
      </c>
      <c r="L36" s="45">
        <v>440.14870129700603</v>
      </c>
      <c r="M36" s="45">
        <v>224.60421629458239</v>
      </c>
      <c r="N36" s="45">
        <v>1033.1746669532113</v>
      </c>
      <c r="O36" s="45">
        <v>901.78668568965134</v>
      </c>
      <c r="P36" s="45">
        <v>898.77110143466894</v>
      </c>
      <c r="Q36" s="45">
        <v>536.35242822076532</v>
      </c>
      <c r="R36" s="45">
        <v>551.56053967908576</v>
      </c>
      <c r="S36" s="45">
        <v>394.1633898412191</v>
      </c>
      <c r="T36" s="45">
        <v>308.55985271968927</v>
      </c>
      <c r="U36" s="45">
        <v>376.06569764898927</v>
      </c>
      <c r="V36" s="45">
        <v>521.9671016515764</v>
      </c>
      <c r="W36" s="45">
        <v>255.42364968491597</v>
      </c>
      <c r="X36" s="45">
        <v>57.496255816545442</v>
      </c>
      <c r="Y36" s="45">
        <v>284.71827517944246</v>
      </c>
      <c r="Z36" s="45">
        <v>319.62501619975308</v>
      </c>
      <c r="AA36" s="45">
        <v>147.97938957874263</v>
      </c>
    </row>
    <row r="37" spans="1:27" x14ac:dyDescent="0.25">
      <c r="A37" s="73" t="s">
        <v>263</v>
      </c>
      <c r="B37" s="65"/>
      <c r="C37" s="65"/>
      <c r="D37" s="66">
        <v>229.20205673517876</v>
      </c>
      <c r="E37" s="66">
        <v>245.88006629083247</v>
      </c>
      <c r="F37" s="66">
        <v>233.97173736681066</v>
      </c>
      <c r="G37" s="66">
        <v>199.99982666226694</v>
      </c>
      <c r="H37" s="66">
        <v>260.845900980642</v>
      </c>
      <c r="I37" s="66">
        <v>238.9171659848796</v>
      </c>
      <c r="J37" s="66">
        <v>251.0266359559553</v>
      </c>
      <c r="K37" s="66">
        <v>275.52332136546528</v>
      </c>
      <c r="L37" s="66">
        <v>288.18450991637451</v>
      </c>
      <c r="M37" s="66">
        <v>333.2057766546032</v>
      </c>
      <c r="N37" s="66">
        <v>920.02503678893299</v>
      </c>
      <c r="O37" s="66">
        <v>1033.842954182317</v>
      </c>
      <c r="P37" s="66">
        <v>657.59621569653518</v>
      </c>
      <c r="Q37" s="66">
        <v>661.73068920676371</v>
      </c>
      <c r="R37" s="66">
        <v>407.12452214463065</v>
      </c>
      <c r="S37" s="66">
        <v>635.48193385136301</v>
      </c>
      <c r="T37" s="66">
        <v>749.0586410563285</v>
      </c>
      <c r="U37" s="66">
        <v>887.5585822775538</v>
      </c>
      <c r="V37" s="66">
        <v>839.13526449065421</v>
      </c>
      <c r="W37" s="66">
        <v>826.56953173619252</v>
      </c>
      <c r="X37" s="66">
        <v>759.83750646470526</v>
      </c>
      <c r="Y37" s="66">
        <v>1109.6755779489135</v>
      </c>
      <c r="Z37" s="66">
        <v>743.79436877669684</v>
      </c>
      <c r="AA37" s="66">
        <v>374.25131764705884</v>
      </c>
    </row>
    <row r="38" spans="1:27" x14ac:dyDescent="0.25">
      <c r="A38" s="74" t="s">
        <v>14</v>
      </c>
      <c r="B38" s="44"/>
      <c r="C38" s="44"/>
      <c r="D38" s="45">
        <v>42.471370281859869</v>
      </c>
      <c r="E38" s="45">
        <v>45.561822128114386</v>
      </c>
      <c r="F38" s="45">
        <v>43.355196871890463</v>
      </c>
      <c r="G38" s="45">
        <v>37.060167851352432</v>
      </c>
      <c r="H38" s="45">
        <v>48.335006259801304</v>
      </c>
      <c r="I38" s="45">
        <v>44.271589739530349</v>
      </c>
      <c r="J38" s="45">
        <v>46.515486632885235</v>
      </c>
      <c r="K38" s="45">
        <v>7.1513069143778445</v>
      </c>
      <c r="L38" s="45">
        <v>2.250166431382878</v>
      </c>
      <c r="M38" s="45">
        <v>18.146323883748295</v>
      </c>
      <c r="N38" s="45">
        <v>181.99651069290991</v>
      </c>
      <c r="O38" s="45">
        <v>197.67298787867691</v>
      </c>
      <c r="P38" s="45">
        <v>126.51924313930706</v>
      </c>
      <c r="Q38" s="45">
        <v>123.13720439164491</v>
      </c>
      <c r="R38" s="45">
        <v>77.424904428926098</v>
      </c>
      <c r="S38" s="45">
        <v>122.70929634902896</v>
      </c>
      <c r="T38" s="45">
        <v>145.81172821126572</v>
      </c>
      <c r="U38" s="45">
        <v>157.51171645551074</v>
      </c>
      <c r="V38" s="45">
        <v>144.015979670359</v>
      </c>
      <c r="W38" s="45">
        <v>135.31390634723854</v>
      </c>
      <c r="X38" s="45">
        <v>133.94622824376748</v>
      </c>
      <c r="Y38" s="45">
        <v>290.02563816886709</v>
      </c>
      <c r="Z38" s="45">
        <v>78.707082565900791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37.381083581974799</v>
      </c>
      <c r="E39" s="45">
        <v>40.101138009327492</v>
      </c>
      <c r="F39" s="45">
        <v>38.158981620456899</v>
      </c>
      <c r="G39" s="45">
        <v>32.618425608111913</v>
      </c>
      <c r="H39" s="45">
        <v>42.541949952215802</v>
      </c>
      <c r="I39" s="45">
        <v>38.965542796887881</v>
      </c>
      <c r="J39" s="45">
        <v>40.940503735590127</v>
      </c>
      <c r="K39" s="45">
        <v>44.935723751579154</v>
      </c>
      <c r="L39" s="45">
        <v>47.000665725531505</v>
      </c>
      <c r="M39" s="45">
        <v>107.58529553499316</v>
      </c>
      <c r="N39" s="45">
        <v>677.98604277163963</v>
      </c>
      <c r="O39" s="45">
        <v>790.69195151470763</v>
      </c>
      <c r="P39" s="45">
        <v>506.07697255722826</v>
      </c>
      <c r="Q39" s="45">
        <v>492.54881756657966</v>
      </c>
      <c r="R39" s="45">
        <v>309.69961771570439</v>
      </c>
      <c r="S39" s="45">
        <v>490.83718539611584</v>
      </c>
      <c r="T39" s="45">
        <v>583.24691284506275</v>
      </c>
      <c r="U39" s="45">
        <v>630.04686582204283</v>
      </c>
      <c r="V39" s="45">
        <v>576.06391868143601</v>
      </c>
      <c r="W39" s="45">
        <v>541.25562538895406</v>
      </c>
      <c r="X39" s="45">
        <v>535.78491297506991</v>
      </c>
      <c r="Y39" s="45">
        <v>660.10255267546836</v>
      </c>
      <c r="Z39" s="45">
        <v>464.82833026360311</v>
      </c>
      <c r="AA39" s="45">
        <v>335.11797647058825</v>
      </c>
    </row>
    <row r="40" spans="1:27" x14ac:dyDescent="0.25">
      <c r="A40" s="75" t="s">
        <v>267</v>
      </c>
      <c r="B40" s="76"/>
      <c r="C40" s="76"/>
      <c r="D40" s="45">
        <v>36.993968638385716</v>
      </c>
      <c r="E40" s="45">
        <v>39.986395148630471</v>
      </c>
      <c r="F40" s="45">
        <v>37.614721811802021</v>
      </c>
      <c r="G40" s="45">
        <v>31.572915368645052</v>
      </c>
      <c r="H40" s="45">
        <v>41.540588367852209</v>
      </c>
      <c r="I40" s="45">
        <v>38.0339924712246</v>
      </c>
      <c r="J40" s="45">
        <v>39.594900170186946</v>
      </c>
      <c r="K40" s="45">
        <v>43.452476211373408</v>
      </c>
      <c r="L40" s="45">
        <v>45.282246592334985</v>
      </c>
      <c r="M40" s="45">
        <v>103.09679951693654</v>
      </c>
      <c r="N40" s="45">
        <v>637.6790885682791</v>
      </c>
      <c r="O40" s="45">
        <v>734.27951564898285</v>
      </c>
      <c r="P40" s="45">
        <v>478.92070967792239</v>
      </c>
      <c r="Q40" s="45">
        <v>469.81272104917804</v>
      </c>
      <c r="R40" s="45">
        <v>301.88388035938323</v>
      </c>
      <c r="S40" s="45">
        <v>477.21313454411541</v>
      </c>
      <c r="T40" s="45">
        <v>560.65991280642049</v>
      </c>
      <c r="U40" s="45">
        <v>605.4735193104475</v>
      </c>
      <c r="V40" s="45">
        <v>552.9861695740592</v>
      </c>
      <c r="W40" s="45">
        <v>522.77971762500988</v>
      </c>
      <c r="X40" s="45">
        <v>507.6952696177654</v>
      </c>
      <c r="Y40" s="45">
        <v>615.26647978943652</v>
      </c>
      <c r="Z40" s="45">
        <v>415.63609468592654</v>
      </c>
      <c r="AA40" s="45">
        <v>296.54219900831288</v>
      </c>
    </row>
    <row r="41" spans="1:27" x14ac:dyDescent="0.25">
      <c r="A41" s="75" t="s">
        <v>268</v>
      </c>
      <c r="B41" s="76"/>
      <c r="C41" s="76"/>
      <c r="D41" s="45">
        <v>0.38711494358908283</v>
      </c>
      <c r="E41" s="45">
        <v>0.11474286069702089</v>
      </c>
      <c r="F41" s="45">
        <v>0.54425980865487844</v>
      </c>
      <c r="G41" s="45">
        <v>1.0455102394668607</v>
      </c>
      <c r="H41" s="45">
        <v>1.0013615843635932</v>
      </c>
      <c r="I41" s="45">
        <v>0.93155032566328089</v>
      </c>
      <c r="J41" s="45">
        <v>1.3456035654031808</v>
      </c>
      <c r="K41" s="45">
        <v>1.4832475402057455</v>
      </c>
      <c r="L41" s="45">
        <v>1.7184191331965195</v>
      </c>
      <c r="M41" s="45">
        <v>4.4884960180566225</v>
      </c>
      <c r="N41" s="45">
        <v>40.306954203360533</v>
      </c>
      <c r="O41" s="45">
        <v>56.412435865724774</v>
      </c>
      <c r="P41" s="45">
        <v>27.156262879305871</v>
      </c>
      <c r="Q41" s="45">
        <v>22.73609651740162</v>
      </c>
      <c r="R41" s="45">
        <v>7.815737356321165</v>
      </c>
      <c r="S41" s="45">
        <v>13.624050852000437</v>
      </c>
      <c r="T41" s="45">
        <v>22.587000038642259</v>
      </c>
      <c r="U41" s="45">
        <v>24.573346511595332</v>
      </c>
      <c r="V41" s="45">
        <v>23.077749107376803</v>
      </c>
      <c r="W41" s="45">
        <v>18.475907763944178</v>
      </c>
      <c r="X41" s="45">
        <v>28.08964335730451</v>
      </c>
      <c r="Y41" s="45">
        <v>44.836072886031843</v>
      </c>
      <c r="Z41" s="45">
        <v>49.19223557767657</v>
      </c>
      <c r="AA41" s="45">
        <v>38.575777462275369</v>
      </c>
    </row>
    <row r="42" spans="1:27" x14ac:dyDescent="0.25">
      <c r="A42" s="74" t="s">
        <v>13</v>
      </c>
      <c r="B42" s="44"/>
      <c r="C42" s="44"/>
      <c r="D42" s="45">
        <v>149.3496028713441</v>
      </c>
      <c r="E42" s="45">
        <v>160.2171061533906</v>
      </c>
      <c r="F42" s="45">
        <v>152.4575588744633</v>
      </c>
      <c r="G42" s="45">
        <v>130.3212332028026</v>
      </c>
      <c r="H42" s="45">
        <v>169.96894476862488</v>
      </c>
      <c r="I42" s="45">
        <v>155.68003344846136</v>
      </c>
      <c r="J42" s="45">
        <v>163.57064558747993</v>
      </c>
      <c r="K42" s="45">
        <v>223.43629069950828</v>
      </c>
      <c r="L42" s="45">
        <v>238.93367775946012</v>
      </c>
      <c r="M42" s="45">
        <v>207.47415723586175</v>
      </c>
      <c r="N42" s="45">
        <v>60.042483324383511</v>
      </c>
      <c r="O42" s="45">
        <v>45.478014788932569</v>
      </c>
      <c r="P42" s="45">
        <v>24.999999999999883</v>
      </c>
      <c r="Q42" s="45">
        <v>46.044667248539099</v>
      </c>
      <c r="R42" s="45">
        <v>20.000000000000171</v>
      </c>
      <c r="S42" s="45">
        <v>21.935452106218236</v>
      </c>
      <c r="T42" s="45">
        <v>20</v>
      </c>
      <c r="U42" s="45">
        <v>100.00000000000023</v>
      </c>
      <c r="V42" s="45">
        <v>119.0553661388592</v>
      </c>
      <c r="W42" s="45">
        <v>149.99999999999989</v>
      </c>
      <c r="X42" s="45">
        <v>90.106365245867892</v>
      </c>
      <c r="Y42" s="45">
        <v>159.54738710457809</v>
      </c>
      <c r="Z42" s="45">
        <v>200.25895594719293</v>
      </c>
      <c r="AA42" s="45">
        <v>39.133341176470594</v>
      </c>
    </row>
    <row r="43" spans="1:27" x14ac:dyDescent="0.25">
      <c r="A43" s="72" t="s">
        <v>265</v>
      </c>
      <c r="B43" s="65"/>
      <c r="C43" s="65"/>
      <c r="D43" s="66">
        <v>1424.913806653271</v>
      </c>
      <c r="E43" s="66">
        <v>1597.3954603094089</v>
      </c>
      <c r="F43" s="66">
        <v>1592.2554870989084</v>
      </c>
      <c r="G43" s="66">
        <v>1611.838916537489</v>
      </c>
      <c r="H43" s="66">
        <v>1778.7193096377309</v>
      </c>
      <c r="I43" s="66">
        <v>1670.9125715852319</v>
      </c>
      <c r="J43" s="66">
        <v>1871.1674748558403</v>
      </c>
      <c r="K43" s="66">
        <v>1845.3486429515397</v>
      </c>
      <c r="L43" s="66">
        <v>2183.0193273398786</v>
      </c>
      <c r="M43" s="66">
        <v>2018.4647362411511</v>
      </c>
      <c r="N43" s="66">
        <v>719.59889628516225</v>
      </c>
      <c r="O43" s="66">
        <v>1582.4348391426533</v>
      </c>
      <c r="P43" s="66">
        <v>2175.1273807495741</v>
      </c>
      <c r="Q43" s="66">
        <v>1689.5569120474879</v>
      </c>
      <c r="R43" s="66">
        <v>2132.762162607657</v>
      </c>
      <c r="S43" s="66">
        <v>2312.5178679999999</v>
      </c>
      <c r="T43" s="66">
        <v>1736.8596200258723</v>
      </c>
      <c r="U43" s="66">
        <v>2118.2120391999924</v>
      </c>
      <c r="V43" s="66">
        <v>1884.9579690030073</v>
      </c>
      <c r="W43" s="66">
        <v>1762.900141351729</v>
      </c>
      <c r="X43" s="66">
        <v>1825.6151322663573</v>
      </c>
      <c r="Y43" s="66">
        <v>1901.626883539778</v>
      </c>
      <c r="Z43" s="66">
        <v>1944.2014813163235</v>
      </c>
      <c r="AA43" s="66">
        <v>1796</v>
      </c>
    </row>
    <row r="44" spans="1:27" x14ac:dyDescent="0.25">
      <c r="A44" s="73" t="s">
        <v>266</v>
      </c>
      <c r="B44" s="65"/>
      <c r="C44" s="65"/>
      <c r="D44" s="66">
        <v>989.57336459031046</v>
      </c>
      <c r="E44" s="66">
        <v>1191.4162820187673</v>
      </c>
      <c r="F44" s="66">
        <v>1153.1961089976844</v>
      </c>
      <c r="G44" s="66">
        <v>1191.1594599004652</v>
      </c>
      <c r="H44" s="66">
        <v>1326.6319700767071</v>
      </c>
      <c r="I44" s="66">
        <v>1219.0629188497624</v>
      </c>
      <c r="J44" s="66">
        <v>1346.0410325868313</v>
      </c>
      <c r="K44" s="66">
        <v>1418.7150012560207</v>
      </c>
      <c r="L44" s="66">
        <v>1738.6260973919161</v>
      </c>
      <c r="M44" s="66">
        <v>1340.0710093628684</v>
      </c>
      <c r="N44" s="66">
        <v>600.58698088898439</v>
      </c>
      <c r="O44" s="66">
        <v>1000.0718258462311</v>
      </c>
      <c r="P44" s="66">
        <v>1714.5101554514481</v>
      </c>
      <c r="Q44" s="66">
        <v>1232.7426887383999</v>
      </c>
      <c r="R44" s="66">
        <v>1567.0862797214327</v>
      </c>
      <c r="S44" s="66">
        <v>1872.9882440000001</v>
      </c>
      <c r="T44" s="66">
        <v>1303.2271368717782</v>
      </c>
      <c r="U44" s="66">
        <v>1578.1405876276187</v>
      </c>
      <c r="V44" s="66">
        <v>1499.3495880709622</v>
      </c>
      <c r="W44" s="66">
        <v>1362.0058098099794</v>
      </c>
      <c r="X44" s="66">
        <v>1381.752113773945</v>
      </c>
      <c r="Y44" s="66">
        <v>1512.1849971268039</v>
      </c>
      <c r="Z44" s="66">
        <v>1431.2479539579576</v>
      </c>
      <c r="AA44" s="66">
        <v>1112.0999999999999</v>
      </c>
    </row>
    <row r="45" spans="1:27" x14ac:dyDescent="0.25">
      <c r="A45" s="74" t="s">
        <v>20</v>
      </c>
      <c r="B45" s="44"/>
      <c r="C45" s="44"/>
      <c r="D45" s="45">
        <v>634.72191865658863</v>
      </c>
      <c r="E45" s="45">
        <v>696.45211684157471</v>
      </c>
      <c r="F45" s="45">
        <v>685.19010324198973</v>
      </c>
      <c r="G45" s="45">
        <v>696.3770490627071</v>
      </c>
      <c r="H45" s="45">
        <v>734.91096435063594</v>
      </c>
      <c r="I45" s="45">
        <v>704.48630973302829</v>
      </c>
      <c r="J45" s="45">
        <v>672.9703985746595</v>
      </c>
      <c r="K45" s="45">
        <v>727.26181806767806</v>
      </c>
      <c r="L45" s="45">
        <v>894.54829961233884</v>
      </c>
      <c r="M45" s="45">
        <v>859.41203365299452</v>
      </c>
      <c r="N45" s="45">
        <v>382.91904127825859</v>
      </c>
      <c r="O45" s="45">
        <v>708.74360372235753</v>
      </c>
      <c r="P45" s="45">
        <v>1023.5237178119054</v>
      </c>
      <c r="Q45" s="45">
        <v>914.95683467794504</v>
      </c>
      <c r="R45" s="45">
        <v>934.67558094594256</v>
      </c>
      <c r="S45" s="45">
        <v>1100.605433980566</v>
      </c>
      <c r="T45" s="45">
        <v>600.34923413605168</v>
      </c>
      <c r="U45" s="45">
        <v>589.22114040507449</v>
      </c>
      <c r="V45" s="45">
        <v>295.16555967355436</v>
      </c>
      <c r="W45" s="45">
        <v>241.68351500921494</v>
      </c>
      <c r="X45" s="45">
        <v>113.72591774315626</v>
      </c>
      <c r="Y45" s="45">
        <v>839.70327425087191</v>
      </c>
      <c r="Z45" s="45">
        <v>290.40202752819459</v>
      </c>
      <c r="AA45" s="45">
        <v>153.52037500875065</v>
      </c>
    </row>
    <row r="46" spans="1:27" x14ac:dyDescent="0.25">
      <c r="A46" s="74" t="s">
        <v>12</v>
      </c>
      <c r="B46" s="44"/>
      <c r="C46" s="44"/>
      <c r="D46" s="45">
        <v>354.85144593372183</v>
      </c>
      <c r="E46" s="45">
        <v>494.96416517719263</v>
      </c>
      <c r="F46" s="45">
        <v>468.00600575569467</v>
      </c>
      <c r="G46" s="45">
        <v>494.78241083775811</v>
      </c>
      <c r="H46" s="45">
        <v>591.72100572607121</v>
      </c>
      <c r="I46" s="45">
        <v>514.57660911673406</v>
      </c>
      <c r="J46" s="45">
        <v>673.07063401217181</v>
      </c>
      <c r="K46" s="45">
        <v>691.45318318834268</v>
      </c>
      <c r="L46" s="45">
        <v>844.07779777957728</v>
      </c>
      <c r="M46" s="45">
        <v>480.65897570987386</v>
      </c>
      <c r="N46" s="45">
        <v>217.6679396107258</v>
      </c>
      <c r="O46" s="45">
        <v>291.32822212387362</v>
      </c>
      <c r="P46" s="45">
        <v>690.98643763954271</v>
      </c>
      <c r="Q46" s="45">
        <v>317.78585406045488</v>
      </c>
      <c r="R46" s="45">
        <v>632.41069877549012</v>
      </c>
      <c r="S46" s="45">
        <v>772.38281001943415</v>
      </c>
      <c r="T46" s="45">
        <v>702.87790273572648</v>
      </c>
      <c r="U46" s="45">
        <v>988.91944722254425</v>
      </c>
      <c r="V46" s="45">
        <v>1204.1840283974079</v>
      </c>
      <c r="W46" s="45">
        <v>1120.3222948007644</v>
      </c>
      <c r="X46" s="45">
        <v>1268.0261960307887</v>
      </c>
      <c r="Y46" s="45">
        <v>672.48172287593195</v>
      </c>
      <c r="Z46" s="45">
        <v>1140.845926429763</v>
      </c>
      <c r="AA46" s="45">
        <v>958.57962499124926</v>
      </c>
    </row>
    <row r="47" spans="1:27" x14ac:dyDescent="0.25">
      <c r="A47" s="73" t="s">
        <v>11</v>
      </c>
      <c r="B47" s="65"/>
      <c r="C47" s="65"/>
      <c r="D47" s="66">
        <v>435.34044206296051</v>
      </c>
      <c r="E47" s="66">
        <v>405.97917829064164</v>
      </c>
      <c r="F47" s="66">
        <v>439.05937810122396</v>
      </c>
      <c r="G47" s="66">
        <v>420.67945663702375</v>
      </c>
      <c r="H47" s="66">
        <v>452.08733956102384</v>
      </c>
      <c r="I47" s="66">
        <v>451.8496527354697</v>
      </c>
      <c r="J47" s="66">
        <v>525.12644226900909</v>
      </c>
      <c r="K47" s="66">
        <v>426.6336416955188</v>
      </c>
      <c r="L47" s="66">
        <v>444.39322994796248</v>
      </c>
      <c r="M47" s="66">
        <v>678.39372687828279</v>
      </c>
      <c r="N47" s="66">
        <v>119.01191539617781</v>
      </c>
      <c r="O47" s="66">
        <v>582.36301329642208</v>
      </c>
      <c r="P47" s="66">
        <v>460.61722529812607</v>
      </c>
      <c r="Q47" s="66">
        <v>456.81422330908788</v>
      </c>
      <c r="R47" s="66">
        <v>565.67588288622414</v>
      </c>
      <c r="S47" s="66">
        <v>439.52962400000001</v>
      </c>
      <c r="T47" s="66">
        <v>433.63248315409419</v>
      </c>
      <c r="U47" s="66">
        <v>540.07145157237392</v>
      </c>
      <c r="V47" s="66">
        <v>385.60838093204501</v>
      </c>
      <c r="W47" s="66">
        <v>400.89433154174952</v>
      </c>
      <c r="X47" s="66">
        <v>443.86301849241232</v>
      </c>
      <c r="Y47" s="66">
        <v>389.4418864129741</v>
      </c>
      <c r="Z47" s="66">
        <v>512.95352735836582</v>
      </c>
      <c r="AA47" s="66">
        <v>683.9</v>
      </c>
    </row>
    <row r="48" spans="1:27" x14ac:dyDescent="0.25">
      <c r="A48" s="72" t="s">
        <v>4</v>
      </c>
      <c r="B48" s="65"/>
      <c r="C48" s="65"/>
      <c r="D48" s="66">
        <v>1544.5246706854209</v>
      </c>
      <c r="E48" s="66">
        <v>1638.5374038380253</v>
      </c>
      <c r="F48" s="66">
        <v>1674.4128101223951</v>
      </c>
      <c r="G48" s="66">
        <v>1602.6509096842624</v>
      </c>
      <c r="H48" s="66">
        <v>1876.7733880154933</v>
      </c>
      <c r="I48" s="66">
        <v>1863.5122608748627</v>
      </c>
      <c r="J48" s="66">
        <v>2219.3819686200891</v>
      </c>
      <c r="K48" s="66">
        <v>2651.52456885724</v>
      </c>
      <c r="L48" s="66">
        <v>3198.9654979774677</v>
      </c>
      <c r="M48" s="66">
        <v>2051.5302306462668</v>
      </c>
      <c r="N48" s="66">
        <v>1012.3785720420871</v>
      </c>
      <c r="O48" s="66">
        <v>1075.1446940145127</v>
      </c>
      <c r="P48" s="66">
        <v>2062.9279450596255</v>
      </c>
      <c r="Q48" s="66">
        <v>1609.6942855948498</v>
      </c>
      <c r="R48" s="66">
        <v>1935.861210697655</v>
      </c>
      <c r="S48" s="66">
        <v>1926.5619500000003</v>
      </c>
      <c r="T48" s="66">
        <v>2123.1217925202245</v>
      </c>
      <c r="U48" s="66">
        <v>2038.4066375675905</v>
      </c>
      <c r="V48" s="66">
        <v>2029.3821918539477</v>
      </c>
      <c r="W48" s="66">
        <v>1906.9715417495454</v>
      </c>
      <c r="X48" s="66">
        <v>1821.8795853719214</v>
      </c>
      <c r="Y48" s="66">
        <v>2108.6101743072404</v>
      </c>
      <c r="Z48" s="66">
        <v>2000.8102075654438</v>
      </c>
      <c r="AA48" s="66">
        <v>2014.8000000000002</v>
      </c>
    </row>
    <row r="49" spans="1:27" x14ac:dyDescent="0.25">
      <c r="A49" s="77" t="s">
        <v>10</v>
      </c>
      <c r="B49" s="44"/>
      <c r="C49" s="44"/>
      <c r="D49" s="45">
        <v>770.86107714579327</v>
      </c>
      <c r="E49" s="45">
        <v>739.17894703610671</v>
      </c>
      <c r="F49" s="45">
        <v>715.77287383133762</v>
      </c>
      <c r="G49" s="45">
        <v>910.22775294872235</v>
      </c>
      <c r="H49" s="45">
        <v>1075.0935793826975</v>
      </c>
      <c r="I49" s="45">
        <v>1326.7234961251947</v>
      </c>
      <c r="J49" s="45">
        <v>1916.8827006615679</v>
      </c>
      <c r="K49" s="45">
        <v>2516.0250625100957</v>
      </c>
      <c r="L49" s="45">
        <v>2433.0556597831064</v>
      </c>
      <c r="M49" s="45">
        <v>1674.7149607923088</v>
      </c>
      <c r="N49" s="45">
        <v>794.88830316574069</v>
      </c>
      <c r="O49" s="45">
        <v>817.42986786937081</v>
      </c>
      <c r="P49" s="45">
        <v>1629.6976714808238</v>
      </c>
      <c r="Q49" s="45">
        <v>1160.7438666166947</v>
      </c>
      <c r="R49" s="45">
        <v>1451.5331699642775</v>
      </c>
      <c r="S49" s="45">
        <v>1363.1159593061968</v>
      </c>
      <c r="T49" s="45">
        <v>1534.5345017389275</v>
      </c>
      <c r="U49" s="45">
        <v>1402.9507176670716</v>
      </c>
      <c r="V49" s="45">
        <v>1467.9210059703</v>
      </c>
      <c r="W49" s="45">
        <v>1422.6312158800138</v>
      </c>
      <c r="X49" s="45">
        <v>1387.9115565640063</v>
      </c>
      <c r="Y49" s="45">
        <v>1277.5296835589102</v>
      </c>
      <c r="Z49" s="45">
        <v>1389.7052180931883</v>
      </c>
      <c r="AA49" s="45">
        <v>1281.2434010652989</v>
      </c>
    </row>
    <row r="50" spans="1:27" x14ac:dyDescent="0.25">
      <c r="A50" s="77" t="s">
        <v>18</v>
      </c>
      <c r="B50" s="44"/>
      <c r="C50" s="44"/>
      <c r="D50" s="45">
        <v>322.47530664015545</v>
      </c>
      <c r="E50" s="45">
        <v>343.30802852755636</v>
      </c>
      <c r="F50" s="45">
        <v>331.73486078218031</v>
      </c>
      <c r="G50" s="45">
        <v>470.56944499925862</v>
      </c>
      <c r="H50" s="45">
        <v>432.88994880650745</v>
      </c>
      <c r="I50" s="45">
        <v>229.68034081538184</v>
      </c>
      <c r="J50" s="45">
        <v>190.06063929386002</v>
      </c>
      <c r="K50" s="45">
        <v>63.106789522198177</v>
      </c>
      <c r="L50" s="45">
        <v>118.0313799231547</v>
      </c>
      <c r="M50" s="45">
        <v>157.67418629412211</v>
      </c>
      <c r="N50" s="45">
        <v>103.37871974210719</v>
      </c>
      <c r="O50" s="45">
        <v>105.61208886850194</v>
      </c>
      <c r="P50" s="45">
        <v>175.35199271855012</v>
      </c>
      <c r="Q50" s="45">
        <v>165.42311435740481</v>
      </c>
      <c r="R50" s="45">
        <v>164.85133278013527</v>
      </c>
      <c r="S50" s="45">
        <v>270.47048574241427</v>
      </c>
      <c r="T50" s="45">
        <v>276.04959547825558</v>
      </c>
      <c r="U50" s="45">
        <v>302.36216173107249</v>
      </c>
      <c r="V50" s="45">
        <v>242.29049897548609</v>
      </c>
      <c r="W50" s="45">
        <v>171.1461745280223</v>
      </c>
      <c r="X50" s="45">
        <v>211.49061223179342</v>
      </c>
      <c r="Y50" s="45">
        <v>339.88948306763285</v>
      </c>
      <c r="Z50" s="45">
        <v>327.63829360080706</v>
      </c>
      <c r="AA50" s="45">
        <v>342.73158413888342</v>
      </c>
    </row>
    <row r="51" spans="1:27" x14ac:dyDescent="0.25">
      <c r="A51" s="77" t="s">
        <v>9</v>
      </c>
      <c r="B51" s="44"/>
      <c r="C51" s="44"/>
      <c r="D51" s="45">
        <v>451.18828689947219</v>
      </c>
      <c r="E51" s="45">
        <v>556.05042827436228</v>
      </c>
      <c r="F51" s="45">
        <v>626.90507550887719</v>
      </c>
      <c r="G51" s="45">
        <v>221.85371173628141</v>
      </c>
      <c r="H51" s="45">
        <v>368.78985982628836</v>
      </c>
      <c r="I51" s="45">
        <v>307.10842393428612</v>
      </c>
      <c r="J51" s="45">
        <v>112.43862866466114</v>
      </c>
      <c r="K51" s="45">
        <v>72.392716824946064</v>
      </c>
      <c r="L51" s="45">
        <v>647.87845827120668</v>
      </c>
      <c r="M51" s="45">
        <v>219.14108355983583</v>
      </c>
      <c r="N51" s="45">
        <v>114.11154913423917</v>
      </c>
      <c r="O51" s="45">
        <v>152.10273727663991</v>
      </c>
      <c r="P51" s="45">
        <v>257.87828086025149</v>
      </c>
      <c r="Q51" s="45">
        <v>283.52730462075027</v>
      </c>
      <c r="R51" s="45">
        <v>319.47670795324223</v>
      </c>
      <c r="S51" s="45">
        <v>292.97550495138915</v>
      </c>
      <c r="T51" s="45">
        <v>312.53769530304146</v>
      </c>
      <c r="U51" s="45">
        <v>333.0937581694464</v>
      </c>
      <c r="V51" s="45">
        <v>319.17068690816154</v>
      </c>
      <c r="W51" s="45">
        <v>313.19415134150933</v>
      </c>
      <c r="X51" s="45">
        <v>222.47741657612164</v>
      </c>
      <c r="Y51" s="45">
        <v>491.1910076806974</v>
      </c>
      <c r="Z51" s="45">
        <v>283.46669587144845</v>
      </c>
      <c r="AA51" s="45">
        <v>390.82501479581782</v>
      </c>
    </row>
    <row r="52" spans="1:27" x14ac:dyDescent="0.25">
      <c r="A52" s="72" t="s">
        <v>3</v>
      </c>
      <c r="B52" s="65"/>
      <c r="C52" s="65"/>
      <c r="D52" s="66">
        <v>848.05180174146028</v>
      </c>
      <c r="E52" s="66">
        <v>971.42588976244792</v>
      </c>
      <c r="F52" s="66">
        <v>1155.5244541845846</v>
      </c>
      <c r="G52" s="66">
        <v>1085.1692379864569</v>
      </c>
      <c r="H52" s="66">
        <v>1069.4309295967191</v>
      </c>
      <c r="I52" s="66">
        <v>1123.00811197758</v>
      </c>
      <c r="J52" s="66">
        <v>1185.5258012605605</v>
      </c>
      <c r="K52" s="66">
        <v>1413.0921526010552</v>
      </c>
      <c r="L52" s="66">
        <v>1789.3901180414027</v>
      </c>
      <c r="M52" s="66">
        <v>1745.8581045900889</v>
      </c>
      <c r="N52" s="66">
        <v>1344.1955378999355</v>
      </c>
      <c r="O52" s="66">
        <v>1452.0273625267394</v>
      </c>
      <c r="P52" s="66">
        <v>1104.5220783645659</v>
      </c>
      <c r="Q52" s="66">
        <v>1065.6196346459328</v>
      </c>
      <c r="R52" s="66">
        <v>913.89886265298583</v>
      </c>
      <c r="S52" s="66">
        <v>1094.8020100000001</v>
      </c>
      <c r="T52" s="66">
        <v>1171.8327669762325</v>
      </c>
      <c r="U52" s="66">
        <v>1304.8856946086053</v>
      </c>
      <c r="V52" s="66">
        <v>1288.0808537518462</v>
      </c>
      <c r="W52" s="66">
        <v>1367.3165703161371</v>
      </c>
      <c r="X52" s="66">
        <v>1211.38449290986</v>
      </c>
      <c r="Y52" s="66">
        <v>1040.6945233686633</v>
      </c>
      <c r="Z52" s="66">
        <v>1060.4327729043139</v>
      </c>
      <c r="AA52" s="66">
        <v>969.09999999999991</v>
      </c>
    </row>
    <row r="53" spans="1:27" x14ac:dyDescent="0.25">
      <c r="A53" s="73" t="s">
        <v>21</v>
      </c>
      <c r="B53" s="65"/>
      <c r="C53" s="65"/>
      <c r="D53" s="66">
        <v>521.90566197812018</v>
      </c>
      <c r="E53" s="66">
        <v>581.42746639614506</v>
      </c>
      <c r="F53" s="66">
        <v>720.78914571617599</v>
      </c>
      <c r="G53" s="66">
        <v>654.97363139430536</v>
      </c>
      <c r="H53" s="66">
        <v>608.79058631427063</v>
      </c>
      <c r="I53" s="66">
        <v>539.32813756549285</v>
      </c>
      <c r="J53" s="66">
        <v>555.11517500335265</v>
      </c>
      <c r="K53" s="66">
        <v>810.39306239692439</v>
      </c>
      <c r="L53" s="66">
        <v>983.82336412824213</v>
      </c>
      <c r="M53" s="66">
        <v>777.59021009362868</v>
      </c>
      <c r="N53" s="66">
        <v>528.55799871161696</v>
      </c>
      <c r="O53" s="66">
        <v>395.94611593473428</v>
      </c>
      <c r="P53" s="66">
        <v>332.65847955706982</v>
      </c>
      <c r="Q53" s="66">
        <v>333.90984449460746</v>
      </c>
      <c r="R53" s="66">
        <v>321.53859150286399</v>
      </c>
      <c r="S53" s="66">
        <v>403.81382000000002</v>
      </c>
      <c r="T53" s="66">
        <v>469.66498175429115</v>
      </c>
      <c r="U53" s="66">
        <v>529.44071326862047</v>
      </c>
      <c r="V53" s="66">
        <v>469.05666826811864</v>
      </c>
      <c r="W53" s="66">
        <v>480.14721909517971</v>
      </c>
      <c r="X53" s="66">
        <v>468.41089808441836</v>
      </c>
      <c r="Y53" s="66">
        <v>543.39533903716006</v>
      </c>
      <c r="Z53" s="66">
        <v>507.0124135143987</v>
      </c>
      <c r="AA53" s="66">
        <v>410.7</v>
      </c>
    </row>
    <row r="54" spans="1:27" x14ac:dyDescent="0.25">
      <c r="A54" s="74" t="s">
        <v>8</v>
      </c>
      <c r="B54" s="44"/>
      <c r="C54" s="44"/>
      <c r="D54" s="45">
        <v>75.578957843832669</v>
      </c>
      <c r="E54" s="45">
        <v>66.280700868099316</v>
      </c>
      <c r="F54" s="45">
        <v>89.683165035001494</v>
      </c>
      <c r="G54" s="45">
        <v>72.039706974463897</v>
      </c>
      <c r="H54" s="45">
        <v>59.029243394794612</v>
      </c>
      <c r="I54" s="45">
        <v>39.324109340677182</v>
      </c>
      <c r="J54" s="45">
        <v>32.385041788839011</v>
      </c>
      <c r="K54" s="45">
        <v>41.238424991558723</v>
      </c>
      <c r="L54" s="45">
        <v>16.594951573082703</v>
      </c>
      <c r="M54" s="45">
        <v>6.0493418464303508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446.32670413428752</v>
      </c>
      <c r="E55" s="45">
        <v>515.14676552804576</v>
      </c>
      <c r="F55" s="45">
        <v>631.10598068117451</v>
      </c>
      <c r="G55" s="45">
        <v>582.93392441984145</v>
      </c>
      <c r="H55" s="45">
        <v>549.76134291947596</v>
      </c>
      <c r="I55" s="45">
        <v>500.00402822481567</v>
      </c>
      <c r="J55" s="45">
        <v>522.73013321451367</v>
      </c>
      <c r="K55" s="45">
        <v>769.15463740536563</v>
      </c>
      <c r="L55" s="45">
        <v>967.22841255515948</v>
      </c>
      <c r="M55" s="45">
        <v>771.54086824719832</v>
      </c>
      <c r="N55" s="45">
        <v>528.55799871161696</v>
      </c>
      <c r="O55" s="45">
        <v>395.94611593473428</v>
      </c>
      <c r="P55" s="45">
        <v>332.65847955706982</v>
      </c>
      <c r="Q55" s="45">
        <v>333.90984449460746</v>
      </c>
      <c r="R55" s="45">
        <v>321.53859150286399</v>
      </c>
      <c r="S55" s="45">
        <v>403.81382000000002</v>
      </c>
      <c r="T55" s="45">
        <v>469.66498175429115</v>
      </c>
      <c r="U55" s="45">
        <v>529.44071326862047</v>
      </c>
      <c r="V55" s="45">
        <v>469.05666826811864</v>
      </c>
      <c r="W55" s="45">
        <v>480.14721909517971</v>
      </c>
      <c r="X55" s="45">
        <v>468.41089808441836</v>
      </c>
      <c r="Y55" s="45">
        <v>543.39533903716006</v>
      </c>
      <c r="Z55" s="45">
        <v>507.0124135143987</v>
      </c>
      <c r="AA55" s="45">
        <v>410.7</v>
      </c>
    </row>
    <row r="56" spans="1:27" x14ac:dyDescent="0.25">
      <c r="A56" s="73" t="s">
        <v>16</v>
      </c>
      <c r="B56" s="65"/>
      <c r="C56" s="65"/>
      <c r="D56" s="66">
        <v>326.1461397633401</v>
      </c>
      <c r="E56" s="66">
        <v>389.99842336630292</v>
      </c>
      <c r="F56" s="66">
        <v>434.73530846840862</v>
      </c>
      <c r="G56" s="66">
        <v>430.19560659215153</v>
      </c>
      <c r="H56" s="66">
        <v>460.64034328244844</v>
      </c>
      <c r="I56" s="66">
        <v>583.67997441208729</v>
      </c>
      <c r="J56" s="66">
        <v>630.4106262572077</v>
      </c>
      <c r="K56" s="66">
        <v>602.6990902041307</v>
      </c>
      <c r="L56" s="66">
        <v>805.56675391316048</v>
      </c>
      <c r="M56" s="66">
        <v>968.26789449646026</v>
      </c>
      <c r="N56" s="66">
        <v>815.63753918831844</v>
      </c>
      <c r="O56" s="66">
        <v>1056.0812465920051</v>
      </c>
      <c r="P56" s="66">
        <v>771.86359880749603</v>
      </c>
      <c r="Q56" s="66">
        <v>731.70979015132525</v>
      </c>
      <c r="R56" s="66">
        <v>592.36027115012178</v>
      </c>
      <c r="S56" s="66">
        <v>690.98819000000003</v>
      </c>
      <c r="T56" s="66">
        <v>702.16778522194147</v>
      </c>
      <c r="U56" s="66">
        <v>775.44498133998468</v>
      </c>
      <c r="V56" s="66">
        <v>819.02418548372759</v>
      </c>
      <c r="W56" s="66">
        <v>887.16935122095731</v>
      </c>
      <c r="X56" s="66">
        <v>742.97359482544175</v>
      </c>
      <c r="Y56" s="66">
        <v>497.29918433150323</v>
      </c>
      <c r="Z56" s="66">
        <v>553.42035938991523</v>
      </c>
      <c r="AA56" s="66">
        <v>558.39999999999986</v>
      </c>
    </row>
    <row r="57" spans="1:27" x14ac:dyDescent="0.25">
      <c r="A57" s="72" t="s">
        <v>2</v>
      </c>
      <c r="B57" s="65"/>
      <c r="C57" s="65"/>
      <c r="D57" s="66">
        <v>8869.1635275731187</v>
      </c>
      <c r="E57" s="66">
        <v>11314.37448643165</v>
      </c>
      <c r="F57" s="66">
        <v>10595.633704101885</v>
      </c>
      <c r="G57" s="66">
        <v>10647.915513584076</v>
      </c>
      <c r="H57" s="66">
        <v>11510.510222526013</v>
      </c>
      <c r="I57" s="66">
        <v>11902.219730108443</v>
      </c>
      <c r="J57" s="66">
        <v>12318.465272897949</v>
      </c>
      <c r="K57" s="66">
        <v>13268.517113555194</v>
      </c>
      <c r="L57" s="66">
        <v>16062.90120938124</v>
      </c>
      <c r="M57" s="66">
        <v>12498.389490751313</v>
      </c>
      <c r="N57" s="66">
        <v>13580.485939445996</v>
      </c>
      <c r="O57" s="66">
        <v>15020.984350488652</v>
      </c>
      <c r="P57" s="66">
        <v>14518.264384582624</v>
      </c>
      <c r="Q57" s="66">
        <v>12064.468681548367</v>
      </c>
      <c r="R57" s="66">
        <v>11777.262492273459</v>
      </c>
      <c r="S57" s="66">
        <v>12369.734334000001</v>
      </c>
      <c r="T57" s="66">
        <v>11139.322692255711</v>
      </c>
      <c r="U57" s="66">
        <v>12751.046544872452</v>
      </c>
      <c r="V57" s="66">
        <v>14261.355246534637</v>
      </c>
      <c r="W57" s="66">
        <v>13730.630855304924</v>
      </c>
      <c r="X57" s="66">
        <v>12844.944821295299</v>
      </c>
      <c r="Y57" s="66">
        <v>10314.881325820457</v>
      </c>
      <c r="Z57" s="66">
        <v>8886.1127667728088</v>
      </c>
      <c r="AA57" s="66">
        <v>9626.6</v>
      </c>
    </row>
    <row r="58" spans="1:27" x14ac:dyDescent="0.25">
      <c r="A58" s="72" t="s">
        <v>269</v>
      </c>
      <c r="B58" s="65"/>
      <c r="C58" s="65"/>
      <c r="D58" s="66">
        <v>1553.5044652824292</v>
      </c>
      <c r="E58" s="66">
        <v>2053.697015808606</v>
      </c>
      <c r="F58" s="66">
        <v>2396.1998180615283</v>
      </c>
      <c r="G58" s="66">
        <v>2759.6834869870281</v>
      </c>
      <c r="H58" s="66">
        <v>3406.844660894661</v>
      </c>
      <c r="I58" s="66">
        <v>4089.9254630193732</v>
      </c>
      <c r="J58" s="66">
        <v>4766.0510419739849</v>
      </c>
      <c r="K58" s="66">
        <v>4853.5726733581623</v>
      </c>
      <c r="L58" s="66">
        <v>5837.5294958670002</v>
      </c>
      <c r="M58" s="66">
        <v>7947.6589746517475</v>
      </c>
      <c r="N58" s="66">
        <v>7123.9599806742544</v>
      </c>
      <c r="O58" s="66">
        <v>8575.683387861247</v>
      </c>
      <c r="P58" s="66">
        <v>5160.1462606473597</v>
      </c>
      <c r="Q58" s="66">
        <v>4901.71581389516</v>
      </c>
      <c r="R58" s="66">
        <v>5436.819802612602</v>
      </c>
      <c r="S58" s="66">
        <v>6354.0345900000002</v>
      </c>
      <c r="T58" s="66">
        <v>7478.9178344563943</v>
      </c>
      <c r="U58" s="66">
        <v>8961.8621187726276</v>
      </c>
      <c r="V58" s="66">
        <v>8799.5718019893593</v>
      </c>
      <c r="W58" s="66">
        <v>8323.7319666511503</v>
      </c>
      <c r="X58" s="66">
        <v>7180.2547806617467</v>
      </c>
      <c r="Y58" s="66">
        <v>6328.0133491891211</v>
      </c>
      <c r="Z58" s="66">
        <v>6087.2876638262005</v>
      </c>
      <c r="AA58" s="66">
        <v>6812</v>
      </c>
    </row>
    <row r="59" spans="1:27" x14ac:dyDescent="0.25">
      <c r="A59" s="72" t="s">
        <v>270</v>
      </c>
      <c r="B59" s="65"/>
      <c r="C59" s="65"/>
      <c r="D59" s="66">
        <v>4632.4964367046214</v>
      </c>
      <c r="E59" s="66">
        <v>4994.4959379491074</v>
      </c>
      <c r="F59" s="66">
        <v>5304.9681979821362</v>
      </c>
      <c r="G59" s="66">
        <v>5432.0809088684018</v>
      </c>
      <c r="H59" s="66">
        <v>5937.0064403432834</v>
      </c>
      <c r="I59" s="66">
        <v>6693.4517972462527</v>
      </c>
      <c r="J59" s="66">
        <v>7716.5971489875301</v>
      </c>
      <c r="K59" s="66">
        <v>8679.7454690418199</v>
      </c>
      <c r="L59" s="66">
        <v>9422.9673084284259</v>
      </c>
      <c r="M59" s="66">
        <v>8679.5085841516338</v>
      </c>
      <c r="N59" s="66">
        <v>10909.368000858922</v>
      </c>
      <c r="O59" s="66">
        <v>11071.307969464367</v>
      </c>
      <c r="P59" s="66">
        <v>9470.3175596252131</v>
      </c>
      <c r="Q59" s="66">
        <v>8280.3252424546445</v>
      </c>
      <c r="R59" s="66">
        <v>9367.0489883380742</v>
      </c>
      <c r="S59" s="66">
        <v>9159.0122600000013</v>
      </c>
      <c r="T59" s="66">
        <v>9525.0046299693022</v>
      </c>
      <c r="U59" s="66">
        <v>9441.1437146925509</v>
      </c>
      <c r="V59" s="66">
        <v>9443.8269328635743</v>
      </c>
      <c r="W59" s="66">
        <v>9600.2209149773589</v>
      </c>
      <c r="X59" s="66">
        <v>9016.8097288332374</v>
      </c>
      <c r="Y59" s="66">
        <v>9998.3715170476316</v>
      </c>
      <c r="Z59" s="66">
        <v>8470.5710871579777</v>
      </c>
      <c r="AA59" s="66">
        <v>7924</v>
      </c>
    </row>
    <row r="60" spans="1:27" x14ac:dyDescent="0.25">
      <c r="A60" s="72" t="s">
        <v>1</v>
      </c>
      <c r="B60" s="65"/>
      <c r="C60" s="65"/>
      <c r="D60" s="66">
        <v>3338.6876311676715</v>
      </c>
      <c r="E60" s="66">
        <v>4131.1951559726094</v>
      </c>
      <c r="F60" s="66">
        <v>4475.0794492226269</v>
      </c>
      <c r="G60" s="66">
        <v>4564.4705474422781</v>
      </c>
      <c r="H60" s="66">
        <v>4760.0520353915099</v>
      </c>
      <c r="I60" s="66">
        <v>4453.8065553795532</v>
      </c>
      <c r="J60" s="66">
        <v>4401.4398310312463</v>
      </c>
      <c r="K60" s="66">
        <v>4488.0875107853954</v>
      </c>
      <c r="L60" s="66">
        <v>4833.2340840669976</v>
      </c>
      <c r="M60" s="66">
        <v>3801.4296734414252</v>
      </c>
      <c r="N60" s="66">
        <v>5532.2403865149245</v>
      </c>
      <c r="O60" s="66">
        <v>7047.7396417935497</v>
      </c>
      <c r="P60" s="66">
        <v>5268.9197593696772</v>
      </c>
      <c r="Q60" s="66">
        <v>5145.5069893821592</v>
      </c>
      <c r="R60" s="66">
        <v>4898.6570157003343</v>
      </c>
      <c r="S60" s="66">
        <v>4889.3648620000004</v>
      </c>
      <c r="T60" s="66">
        <v>4753.960127816501</v>
      </c>
      <c r="U60" s="66">
        <v>4788.0246405271346</v>
      </c>
      <c r="V60" s="66">
        <v>4543.7091478496059</v>
      </c>
      <c r="W60" s="66">
        <v>4353.7342282788104</v>
      </c>
      <c r="X60" s="66">
        <v>3740.0829156646491</v>
      </c>
      <c r="Y60" s="66">
        <v>3608.5970246456395</v>
      </c>
      <c r="Z60" s="66">
        <v>3661.4075751980554</v>
      </c>
      <c r="AA60" s="66">
        <v>3176</v>
      </c>
    </row>
    <row r="61" spans="1:27" x14ac:dyDescent="0.25">
      <c r="A61" s="72" t="s">
        <v>0</v>
      </c>
      <c r="B61" s="65"/>
      <c r="C61" s="65"/>
      <c r="D61" s="66">
        <v>1142.5890645233312</v>
      </c>
      <c r="E61" s="66">
        <v>1411.7466903373065</v>
      </c>
      <c r="F61" s="66">
        <v>1556.6650678134304</v>
      </c>
      <c r="G61" s="66">
        <v>1531.4438565717551</v>
      </c>
      <c r="H61" s="66">
        <v>1828.510009873168</v>
      </c>
      <c r="I61" s="66">
        <v>1781.6696448154014</v>
      </c>
      <c r="J61" s="66">
        <v>1840.531503285504</v>
      </c>
      <c r="K61" s="66">
        <v>1927.7585185508797</v>
      </c>
      <c r="L61" s="66">
        <v>1929.1992240924469</v>
      </c>
      <c r="M61" s="66">
        <v>1976.0306850879199</v>
      </c>
      <c r="N61" s="66">
        <v>2952.8428065278076</v>
      </c>
      <c r="O61" s="66">
        <v>2700.9362233127804</v>
      </c>
      <c r="P61" s="66">
        <v>1734.5518867120957</v>
      </c>
      <c r="Q61" s="66">
        <v>1756.1371227322131</v>
      </c>
      <c r="R61" s="66">
        <v>1580.5113446243872</v>
      </c>
      <c r="S61" s="66">
        <v>1563.2903940000001</v>
      </c>
      <c r="T61" s="66">
        <v>1349.9761975556544</v>
      </c>
      <c r="U61" s="66">
        <v>1563.3174454857653</v>
      </c>
      <c r="V61" s="66">
        <v>1636.0444669833983</v>
      </c>
      <c r="W61" s="66">
        <v>1418.2454018367262</v>
      </c>
      <c r="X61" s="66">
        <v>1448.3248959283524</v>
      </c>
      <c r="Y61" s="66">
        <v>1925.1243663006003</v>
      </c>
      <c r="Z61" s="66">
        <v>1358.1610440284001</v>
      </c>
      <c r="AA61" s="66">
        <v>1084.4000000000001</v>
      </c>
    </row>
    <row r="62" spans="1:27" x14ac:dyDescent="0.25">
      <c r="A62" s="78" t="s">
        <v>271</v>
      </c>
      <c r="B62" s="79"/>
      <c r="C62" s="79"/>
      <c r="D62" s="80">
        <v>2466.569979906229</v>
      </c>
      <c r="E62" s="80">
        <v>2613.3634542226728</v>
      </c>
      <c r="F62" s="80">
        <v>2849.5618880251404</v>
      </c>
      <c r="G62" s="80">
        <v>3029.4171167496124</v>
      </c>
      <c r="H62" s="80">
        <v>3316.4271929824567</v>
      </c>
      <c r="I62" s="80">
        <v>3331.7785944925063</v>
      </c>
      <c r="J62" s="80">
        <v>3591.9597934826343</v>
      </c>
      <c r="K62" s="80">
        <v>4018.5796480957633</v>
      </c>
      <c r="L62" s="80">
        <v>4335.4138028780999</v>
      </c>
      <c r="M62" s="80">
        <v>4061.9122904772776</v>
      </c>
      <c r="N62" s="80">
        <v>2598.2252995490662</v>
      </c>
      <c r="O62" s="80">
        <v>2432.1922255777863</v>
      </c>
      <c r="P62" s="80">
        <v>2604.3972827938674</v>
      </c>
      <c r="Q62" s="80">
        <v>3805.4961834294795</v>
      </c>
      <c r="R62" s="80">
        <v>3631.7286685622453</v>
      </c>
      <c r="S62" s="80">
        <v>4009.340322</v>
      </c>
      <c r="T62" s="80">
        <v>4167.3448381055359</v>
      </c>
      <c r="U62" s="80">
        <v>4452.4826047706356</v>
      </c>
      <c r="V62" s="80">
        <v>4503.2016601718897</v>
      </c>
      <c r="W62" s="80">
        <v>4918.0365753946426</v>
      </c>
      <c r="X62" s="80">
        <v>4038.526430052244</v>
      </c>
      <c r="Y62" s="80">
        <v>5201.6749952113396</v>
      </c>
      <c r="Z62" s="80">
        <v>4977.308243392954</v>
      </c>
      <c r="AA62" s="80">
        <v>4602.1000000000004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0.1201996917327077</v>
      </c>
      <c r="E66" s="83">
        <f t="shared" ref="E66:S66" si="55">E24/E$23</f>
        <v>0.1449419738888604</v>
      </c>
      <c r="F66" s="83">
        <f t="shared" si="55"/>
        <v>0.1255786352847022</v>
      </c>
      <c r="G66" s="83">
        <f t="shared" si="55"/>
        <v>0.13353962350216669</v>
      </c>
      <c r="H66" s="83">
        <f t="shared" si="55"/>
        <v>0.14164270395375533</v>
      </c>
      <c r="I66" s="83">
        <f t="shared" si="55"/>
        <v>9.5692622145803513E-2</v>
      </c>
      <c r="J66" s="83">
        <f t="shared" si="55"/>
        <v>8.7821838217458092E-2</v>
      </c>
      <c r="K66" s="83">
        <f t="shared" si="55"/>
        <v>6.1724564120866465E-2</v>
      </c>
      <c r="L66" s="83">
        <f t="shared" si="55"/>
        <v>7.0252873842934105E-2</v>
      </c>
      <c r="M66" s="83">
        <f t="shared" si="55"/>
        <v>6.7268386686505394E-2</v>
      </c>
      <c r="N66" s="83">
        <f t="shared" si="55"/>
        <v>5.7858906040139844E-2</v>
      </c>
      <c r="O66" s="83">
        <f t="shared" si="55"/>
        <v>6.7245556362212577E-2</v>
      </c>
      <c r="P66" s="83">
        <f t="shared" si="55"/>
        <v>5.1365021570921765E-2</v>
      </c>
      <c r="Q66" s="83">
        <f t="shared" si="55"/>
        <v>6.2514486748395742E-2</v>
      </c>
      <c r="R66" s="83">
        <f t="shared" si="55"/>
        <v>5.5954945778082264E-2</v>
      </c>
      <c r="S66" s="83">
        <f t="shared" si="55"/>
        <v>5.0384293605712345E-2</v>
      </c>
      <c r="T66" s="83">
        <f t="shared" ref="T66:Y66" si="56">T24/T$23</f>
        <v>4.7941962570953012E-2</v>
      </c>
      <c r="U66" s="83">
        <f t="shared" si="56"/>
        <v>4.9067777462150977E-2</v>
      </c>
      <c r="V66" s="83">
        <f t="shared" si="56"/>
        <v>4.9692291443616608E-2</v>
      </c>
      <c r="W66" s="83">
        <f t="shared" si="56"/>
        <v>4.7480905828292001E-2</v>
      </c>
      <c r="X66" s="83">
        <f t="shared" si="56"/>
        <v>4.4832905602541648E-2</v>
      </c>
      <c r="Y66" s="83">
        <f t="shared" si="56"/>
        <v>5.0949820976748668E-2</v>
      </c>
      <c r="Z66" s="83">
        <f t="shared" ref="Z66:AA66" si="57">Z24/Z$23</f>
        <v>4.1530769911733628E-2</v>
      </c>
      <c r="AA66" s="83">
        <f t="shared" si="57"/>
        <v>4.2468197645990975E-2</v>
      </c>
    </row>
    <row r="67" spans="1:27" x14ac:dyDescent="0.25">
      <c r="A67" s="64" t="s">
        <v>56</v>
      </c>
      <c r="B67" s="65"/>
      <c r="C67" s="65"/>
      <c r="D67" s="83">
        <f t="shared" si="51"/>
        <v>2.2711912153011264E-2</v>
      </c>
      <c r="E67" s="83">
        <f t="shared" ref="E67:S67" si="58">E25/E$23</f>
        <v>2.0246266087504308E-2</v>
      </c>
      <c r="F67" s="83">
        <f t="shared" si="58"/>
        <v>2.0089671417008466E-2</v>
      </c>
      <c r="G67" s="83">
        <f t="shared" si="58"/>
        <v>1.630881604619908E-2</v>
      </c>
      <c r="H67" s="83">
        <f t="shared" si="58"/>
        <v>1.5058673271639338E-2</v>
      </c>
      <c r="I67" s="83">
        <f t="shared" si="58"/>
        <v>1.5140300784841777E-2</v>
      </c>
      <c r="J67" s="83">
        <f t="shared" si="58"/>
        <v>1.5887170364894364E-2</v>
      </c>
      <c r="K67" s="83">
        <f t="shared" si="58"/>
        <v>1.4187938318509546E-2</v>
      </c>
      <c r="L67" s="83">
        <f t="shared" si="58"/>
        <v>1.0794423782219828E-2</v>
      </c>
      <c r="M67" s="83">
        <f t="shared" si="58"/>
        <v>1.4180765453916245E-2</v>
      </c>
      <c r="N67" s="83">
        <f t="shared" si="58"/>
        <v>1.6625746235449435E-2</v>
      </c>
      <c r="O67" s="83">
        <f t="shared" si="58"/>
        <v>9.6890381961516926E-3</v>
      </c>
      <c r="P67" s="83">
        <f t="shared" si="58"/>
        <v>1.8076050795805831E-2</v>
      </c>
      <c r="Q67" s="83">
        <f t="shared" si="58"/>
        <v>1.2294115689150557E-2</v>
      </c>
      <c r="R67" s="83">
        <f t="shared" si="58"/>
        <v>9.1645609339491129E-3</v>
      </c>
      <c r="S67" s="83">
        <f t="shared" si="58"/>
        <v>1.0496875794545312E-2</v>
      </c>
      <c r="T67" s="83">
        <f t="shared" ref="T67:Y67" si="59">T25/T$23</f>
        <v>7.4640700354231537E-3</v>
      </c>
      <c r="U67" s="83">
        <f t="shared" si="59"/>
        <v>7.2842580440850915E-3</v>
      </c>
      <c r="V67" s="83">
        <f t="shared" si="59"/>
        <v>8.0884109516673984E-3</v>
      </c>
      <c r="W67" s="83">
        <f t="shared" si="59"/>
        <v>9.8889659088460223E-3</v>
      </c>
      <c r="X67" s="83">
        <f t="shared" si="59"/>
        <v>9.1384068522258107E-3</v>
      </c>
      <c r="Y67" s="83">
        <f t="shared" si="59"/>
        <v>7.0308608163057026E-3</v>
      </c>
      <c r="Z67" s="83">
        <f t="shared" ref="Z67:AA67" si="60">Z25/Z$23</f>
        <v>1.9397006646517195E-2</v>
      </c>
      <c r="AA67" s="83">
        <f t="shared" si="60"/>
        <v>1.2697919153194105E-2</v>
      </c>
    </row>
    <row r="68" spans="1:27" x14ac:dyDescent="0.25">
      <c r="A68" s="64" t="s">
        <v>146</v>
      </c>
      <c r="B68" s="65"/>
      <c r="C68" s="65"/>
      <c r="D68" s="83">
        <f t="shared" si="51"/>
        <v>0.55487601607048254</v>
      </c>
      <c r="E68" s="83">
        <f t="shared" ref="E68:S68" si="61">E26/E$23</f>
        <v>0.50864226469087348</v>
      </c>
      <c r="F68" s="83">
        <f t="shared" si="61"/>
        <v>0.5144920287021294</v>
      </c>
      <c r="G68" s="83">
        <f t="shared" si="61"/>
        <v>0.51559653066362121</v>
      </c>
      <c r="H68" s="83">
        <f t="shared" si="61"/>
        <v>0.51120495225298723</v>
      </c>
      <c r="I68" s="83">
        <f t="shared" si="61"/>
        <v>0.54867186098878118</v>
      </c>
      <c r="J68" s="83">
        <f t="shared" si="61"/>
        <v>0.55006872812539709</v>
      </c>
      <c r="K68" s="83">
        <f t="shared" si="61"/>
        <v>0.56209640413999484</v>
      </c>
      <c r="L68" s="83">
        <f t="shared" si="61"/>
        <v>0.52704648307383073</v>
      </c>
      <c r="M68" s="83">
        <f t="shared" si="61"/>
        <v>0.54182469429449265</v>
      </c>
      <c r="N68" s="83">
        <f t="shared" si="61"/>
        <v>0.53880006922763435</v>
      </c>
      <c r="O68" s="83">
        <f t="shared" si="61"/>
        <v>0.50450181786895276</v>
      </c>
      <c r="P68" s="83">
        <f t="shared" si="61"/>
        <v>0.58091348976345469</v>
      </c>
      <c r="Q68" s="83">
        <f t="shared" si="61"/>
        <v>0.59457569576610803</v>
      </c>
      <c r="R68" s="83">
        <f t="shared" si="61"/>
        <v>0.59438340636524134</v>
      </c>
      <c r="S68" s="83">
        <f t="shared" si="61"/>
        <v>0.61754654348817295</v>
      </c>
      <c r="T68" s="83">
        <f t="shared" ref="T68:Y68" si="62">T26/T$23</f>
        <v>0.63353036575476918</v>
      </c>
      <c r="U68" s="83">
        <f t="shared" si="62"/>
        <v>0.64656492940799015</v>
      </c>
      <c r="V68" s="83">
        <f t="shared" si="62"/>
        <v>0.64703226179500761</v>
      </c>
      <c r="W68" s="83">
        <f t="shared" si="62"/>
        <v>0.66321035727051914</v>
      </c>
      <c r="X68" s="83">
        <f t="shared" si="62"/>
        <v>0.67914692158259515</v>
      </c>
      <c r="Y68" s="83">
        <f t="shared" si="62"/>
        <v>0.67628287105312379</v>
      </c>
      <c r="Z68" s="83">
        <f t="shared" ref="Z68:AA68" si="63">Z26/Z$23</f>
        <v>0.67575006998804954</v>
      </c>
      <c r="AA68" s="83">
        <f t="shared" si="63"/>
        <v>0.68171437535168589</v>
      </c>
    </row>
    <row r="69" spans="1:27" x14ac:dyDescent="0.25">
      <c r="A69" s="68" t="s">
        <v>148</v>
      </c>
      <c r="B69" s="69"/>
      <c r="C69" s="69"/>
      <c r="D69" s="84">
        <f t="shared" si="51"/>
        <v>0.204607641209608</v>
      </c>
      <c r="E69" s="84">
        <f t="shared" ref="E69:S69" si="64">E27/E$23</f>
        <v>0.1948666485983637</v>
      </c>
      <c r="F69" s="84">
        <f t="shared" si="64"/>
        <v>0.20284065589275821</v>
      </c>
      <c r="G69" s="84">
        <f t="shared" si="64"/>
        <v>0.20752337760311565</v>
      </c>
      <c r="H69" s="84">
        <f t="shared" si="64"/>
        <v>0.20904590874359102</v>
      </c>
      <c r="I69" s="84">
        <f t="shared" si="64"/>
        <v>0.22885951702483207</v>
      </c>
      <c r="J69" s="84">
        <f t="shared" si="64"/>
        <v>0.22499162556455257</v>
      </c>
      <c r="K69" s="84">
        <f t="shared" si="64"/>
        <v>0.21337727433354503</v>
      </c>
      <c r="L69" s="84">
        <f t="shared" si="64"/>
        <v>0.20478051110144463</v>
      </c>
      <c r="M69" s="84">
        <f t="shared" si="64"/>
        <v>0.22220016618153138</v>
      </c>
      <c r="N69" s="84">
        <f t="shared" si="64"/>
        <v>0.22656665093033099</v>
      </c>
      <c r="O69" s="84">
        <f t="shared" si="64"/>
        <v>0.19108417420528423</v>
      </c>
      <c r="P69" s="84">
        <f t="shared" si="64"/>
        <v>0.21542501577320358</v>
      </c>
      <c r="Q69" s="84">
        <f t="shared" si="64"/>
        <v>0.22958678237014318</v>
      </c>
      <c r="R69" s="84">
        <f t="shared" si="64"/>
        <v>0.22889792337116413</v>
      </c>
      <c r="S69" s="84">
        <f t="shared" si="64"/>
        <v>0.22004448743570837</v>
      </c>
      <c r="T69" s="84">
        <f t="shared" ref="T69:Y69" si="65">T27/T$23</f>
        <v>0.2349584951559899</v>
      </c>
      <c r="U69" s="84">
        <f t="shared" si="65"/>
        <v>0.24369084097805815</v>
      </c>
      <c r="V69" s="84">
        <f t="shared" si="65"/>
        <v>0.25632640106710169</v>
      </c>
      <c r="W69" s="84">
        <f t="shared" si="65"/>
        <v>0.26804757917742739</v>
      </c>
      <c r="X69" s="84">
        <f t="shared" si="65"/>
        <v>0.25957804324138778</v>
      </c>
      <c r="Y69" s="84">
        <f t="shared" si="65"/>
        <v>0.24126608092736823</v>
      </c>
      <c r="Z69" s="84">
        <f t="shared" ref="Z69:AA69" si="66">Z27/Z$23</f>
        <v>0.23948355302959712</v>
      </c>
      <c r="AA69" s="84">
        <f t="shared" si="66"/>
        <v>0.23885398066330435</v>
      </c>
    </row>
    <row r="70" spans="1:27" x14ac:dyDescent="0.25">
      <c r="A70" s="68" t="s">
        <v>150</v>
      </c>
      <c r="B70" s="71"/>
      <c r="C70" s="71"/>
      <c r="D70" s="84">
        <f t="shared" si="51"/>
        <v>0.22397119201233071</v>
      </c>
      <c r="E70" s="84">
        <f t="shared" ref="E70:S70" si="67">E28/E$23</f>
        <v>0.2052656895133034</v>
      </c>
      <c r="F70" s="84">
        <f t="shared" si="67"/>
        <v>0.20982975163018272</v>
      </c>
      <c r="G70" s="84">
        <f t="shared" si="67"/>
        <v>0.19857146616607313</v>
      </c>
      <c r="H70" s="84">
        <f t="shared" si="67"/>
        <v>0.1937269985640829</v>
      </c>
      <c r="I70" s="84">
        <f t="shared" si="67"/>
        <v>0.20228534990506175</v>
      </c>
      <c r="J70" s="84">
        <f t="shared" si="67"/>
        <v>0.20347683457891025</v>
      </c>
      <c r="K70" s="84">
        <f t="shared" si="67"/>
        <v>0.22614641882020345</v>
      </c>
      <c r="L70" s="84">
        <f t="shared" si="67"/>
        <v>0.20746271380813469</v>
      </c>
      <c r="M70" s="84">
        <f t="shared" si="67"/>
        <v>0.21671406763553192</v>
      </c>
      <c r="N70" s="84">
        <f t="shared" si="67"/>
        <v>0.23462963575899368</v>
      </c>
      <c r="O70" s="84">
        <f t="shared" si="67"/>
        <v>0.23930631123002505</v>
      </c>
      <c r="P70" s="84">
        <f t="shared" si="67"/>
        <v>0.24509325475287028</v>
      </c>
      <c r="Q70" s="84">
        <f t="shared" si="67"/>
        <v>0.27594358344208325</v>
      </c>
      <c r="R70" s="84">
        <f t="shared" si="67"/>
        <v>0.26913317047226704</v>
      </c>
      <c r="S70" s="84">
        <f t="shared" si="67"/>
        <v>0.28770033195126837</v>
      </c>
      <c r="T70" s="84">
        <f t="shared" ref="T70:Y70" si="68">T28/T$23</f>
        <v>0.2791194091161282</v>
      </c>
      <c r="U70" s="84">
        <f t="shared" si="68"/>
        <v>0.28003029226580567</v>
      </c>
      <c r="V70" s="84">
        <f t="shared" si="68"/>
        <v>0.26633262547051612</v>
      </c>
      <c r="W70" s="84">
        <f t="shared" si="68"/>
        <v>0.27487450716793044</v>
      </c>
      <c r="X70" s="84">
        <f t="shared" si="68"/>
        <v>0.28204588360666855</v>
      </c>
      <c r="Y70" s="84">
        <f t="shared" si="68"/>
        <v>0.27817395827007058</v>
      </c>
      <c r="Z70" s="84">
        <f t="shared" ref="Z70:AA70" si="69">Z28/Z$23</f>
        <v>0.28526199451142686</v>
      </c>
      <c r="AA70" s="84">
        <f t="shared" si="69"/>
        <v>0.29307365125331941</v>
      </c>
    </row>
    <row r="71" spans="1:27" x14ac:dyDescent="0.25">
      <c r="A71" s="68" t="s">
        <v>152</v>
      </c>
      <c r="B71" s="71"/>
      <c r="C71" s="71"/>
      <c r="D71" s="84">
        <f t="shared" si="51"/>
        <v>0.1262971828485438</v>
      </c>
      <c r="E71" s="84">
        <f t="shared" ref="E71:S71" si="70">E29/E$23</f>
        <v>0.10850992657920634</v>
      </c>
      <c r="F71" s="84">
        <f t="shared" si="70"/>
        <v>0.10182162117918832</v>
      </c>
      <c r="G71" s="84">
        <f t="shared" si="70"/>
        <v>0.10950168689443239</v>
      </c>
      <c r="H71" s="84">
        <f t="shared" si="70"/>
        <v>0.10843204494531332</v>
      </c>
      <c r="I71" s="84">
        <f t="shared" si="70"/>
        <v>0.11752699405888738</v>
      </c>
      <c r="J71" s="84">
        <f t="shared" si="70"/>
        <v>0.12160026798193434</v>
      </c>
      <c r="K71" s="84">
        <f t="shared" si="70"/>
        <v>0.12257271098624632</v>
      </c>
      <c r="L71" s="84">
        <f t="shared" si="70"/>
        <v>0.11480325816425148</v>
      </c>
      <c r="M71" s="84">
        <f t="shared" si="70"/>
        <v>0.10291046047742933</v>
      </c>
      <c r="N71" s="84">
        <f t="shared" si="70"/>
        <v>7.7603782538309685E-2</v>
      </c>
      <c r="O71" s="84">
        <f t="shared" si="70"/>
        <v>7.4111332433643512E-2</v>
      </c>
      <c r="P71" s="84">
        <f t="shared" si="70"/>
        <v>0.12039521923738082</v>
      </c>
      <c r="Q71" s="84">
        <f t="shared" si="70"/>
        <v>8.904532995388155E-2</v>
      </c>
      <c r="R71" s="84">
        <f t="shared" si="70"/>
        <v>9.6352312521810271E-2</v>
      </c>
      <c r="S71" s="84">
        <f t="shared" si="70"/>
        <v>0.10980172410119611</v>
      </c>
      <c r="T71" s="84">
        <f t="shared" ref="T71:Y71" si="71">T29/T$23</f>
        <v>0.11945246148265118</v>
      </c>
      <c r="U71" s="84">
        <f t="shared" si="71"/>
        <v>0.12284379616412619</v>
      </c>
      <c r="V71" s="84">
        <f t="shared" si="71"/>
        <v>0.12437323525738989</v>
      </c>
      <c r="W71" s="84">
        <f t="shared" si="71"/>
        <v>0.12028827092516144</v>
      </c>
      <c r="X71" s="84">
        <f t="shared" si="71"/>
        <v>0.13752299473453872</v>
      </c>
      <c r="Y71" s="84">
        <f t="shared" si="71"/>
        <v>0.15684283185568504</v>
      </c>
      <c r="Z71" s="84">
        <f t="shared" ref="Z71:AA71" si="72">Z29/Z$23</f>
        <v>0.15100452244702545</v>
      </c>
      <c r="AA71" s="84">
        <f t="shared" si="72"/>
        <v>0.1497867434350621</v>
      </c>
    </row>
    <row r="72" spans="1:27" x14ac:dyDescent="0.25">
      <c r="A72" s="64" t="s">
        <v>154</v>
      </c>
      <c r="B72" s="65"/>
      <c r="C72" s="65"/>
      <c r="D72" s="83">
        <f t="shared" si="51"/>
        <v>3.7533537273757599E-2</v>
      </c>
      <c r="E72" s="83">
        <f t="shared" ref="E72:S72" si="73">E30/E$23</f>
        <v>3.1812421714193635E-2</v>
      </c>
      <c r="F72" s="83">
        <f t="shared" si="73"/>
        <v>4.5626926889602293E-2</v>
      </c>
      <c r="G72" s="83">
        <f t="shared" si="73"/>
        <v>3.9909509691169145E-2</v>
      </c>
      <c r="H72" s="83">
        <f t="shared" si="73"/>
        <v>3.6822599637513977E-2</v>
      </c>
      <c r="I72" s="83">
        <f t="shared" si="73"/>
        <v>3.8349640316441842E-2</v>
      </c>
      <c r="J72" s="83">
        <f t="shared" si="73"/>
        <v>3.4747554087302041E-2</v>
      </c>
      <c r="K72" s="83">
        <f t="shared" si="73"/>
        <v>3.0152445617298386E-2</v>
      </c>
      <c r="L72" s="83">
        <f t="shared" si="73"/>
        <v>3.0592905780645236E-2</v>
      </c>
      <c r="M72" s="83">
        <f t="shared" si="73"/>
        <v>4.0010048185617396E-2</v>
      </c>
      <c r="N72" s="83">
        <f t="shared" si="73"/>
        <v>4.997047018102295E-2</v>
      </c>
      <c r="O72" s="83">
        <f t="shared" si="73"/>
        <v>8.3507996216058047E-2</v>
      </c>
      <c r="P72" s="83">
        <f t="shared" si="73"/>
        <v>4.2572627787309816E-2</v>
      </c>
      <c r="Q72" s="83">
        <f t="shared" si="73"/>
        <v>5.1969248311111979E-2</v>
      </c>
      <c r="R72" s="83">
        <f t="shared" si="73"/>
        <v>7.1061181165799014E-2</v>
      </c>
      <c r="S72" s="83">
        <f t="shared" si="73"/>
        <v>5.2556820199454825E-2</v>
      </c>
      <c r="T72" s="83">
        <f t="shared" ref="T72:Y72" si="74">T30/T$23</f>
        <v>4.9222317656096609E-2</v>
      </c>
      <c r="U72" s="83">
        <f t="shared" si="74"/>
        <v>4.0321686308998905E-2</v>
      </c>
      <c r="V72" s="83">
        <f t="shared" si="74"/>
        <v>3.9374241846039187E-2</v>
      </c>
      <c r="W72" s="83">
        <f t="shared" si="74"/>
        <v>3.2389047359595399E-2</v>
      </c>
      <c r="X72" s="83">
        <f t="shared" si="74"/>
        <v>3.0365264068781119E-2</v>
      </c>
      <c r="Y72" s="83">
        <f t="shared" si="74"/>
        <v>3.5662915425312448E-2</v>
      </c>
      <c r="Z72" s="83">
        <f t="shared" ref="Z72:AA72" si="75">Z30/Z$23</f>
        <v>5.08720842763399E-2</v>
      </c>
      <c r="AA72" s="83">
        <f t="shared" si="75"/>
        <v>4.919009030022687E-2</v>
      </c>
    </row>
    <row r="73" spans="1:27" x14ac:dyDescent="0.25">
      <c r="A73" s="64" t="s">
        <v>37</v>
      </c>
      <c r="B73" s="65"/>
      <c r="C73" s="65"/>
      <c r="D73" s="83">
        <f t="shared" si="51"/>
        <v>5.7806937378091186E-2</v>
      </c>
      <c r="E73" s="83">
        <f t="shared" ref="E73:S73" si="76">E31/E$23</f>
        <v>6.2789794827093667E-2</v>
      </c>
      <c r="F73" s="83">
        <f t="shared" si="76"/>
        <v>6.8317615067708282E-2</v>
      </c>
      <c r="G73" s="83">
        <f t="shared" si="76"/>
        <v>7.0749048228916298E-2</v>
      </c>
      <c r="H73" s="83">
        <f t="shared" si="76"/>
        <v>7.112219322498127E-2</v>
      </c>
      <c r="I73" s="83">
        <f t="shared" si="76"/>
        <v>7.9158850037434419E-2</v>
      </c>
      <c r="J73" s="83">
        <f t="shared" si="76"/>
        <v>8.9479398888799036E-2</v>
      </c>
      <c r="K73" s="83">
        <f t="shared" si="76"/>
        <v>0.10746264458247552</v>
      </c>
      <c r="L73" s="83">
        <f t="shared" si="76"/>
        <v>0.12657532829796103</v>
      </c>
      <c r="M73" s="83">
        <f t="shared" si="76"/>
        <v>0.11752073316621491</v>
      </c>
      <c r="N73" s="83">
        <f t="shared" si="76"/>
        <v>8.9193666676538177E-2</v>
      </c>
      <c r="O73" s="83">
        <f t="shared" si="76"/>
        <v>7.4423081629157117E-2</v>
      </c>
      <c r="P73" s="83">
        <f t="shared" si="76"/>
        <v>8.5398601239607352E-2</v>
      </c>
      <c r="Q73" s="83">
        <f t="shared" si="76"/>
        <v>7.7956169846607165E-2</v>
      </c>
      <c r="R73" s="83">
        <f t="shared" si="76"/>
        <v>7.209607000021033E-2</v>
      </c>
      <c r="S73" s="83">
        <f t="shared" si="76"/>
        <v>6.7417924800325005E-2</v>
      </c>
      <c r="T73" s="83">
        <f t="shared" ref="T73:Y73" si="77">T31/T$23</f>
        <v>6.7354012846229355E-2</v>
      </c>
      <c r="U73" s="83">
        <f t="shared" si="77"/>
        <v>5.9930413185793951E-2</v>
      </c>
      <c r="V73" s="83">
        <f t="shared" si="77"/>
        <v>6.582105563951858E-2</v>
      </c>
      <c r="W73" s="83">
        <f t="shared" si="77"/>
        <v>6.9793963765295966E-2</v>
      </c>
      <c r="X73" s="83">
        <f t="shared" si="77"/>
        <v>7.1372836234319295E-2</v>
      </c>
      <c r="Y73" s="83">
        <f t="shared" si="77"/>
        <v>7.0859507958897477E-2</v>
      </c>
      <c r="Z73" s="83">
        <f t="shared" ref="Z73:AA73" si="78">Z31/Z$23</f>
        <v>7.3989042182533132E-2</v>
      </c>
      <c r="AA73" s="83">
        <f t="shared" si="78"/>
        <v>8.3142996458450955E-2</v>
      </c>
    </row>
    <row r="74" spans="1:27" x14ac:dyDescent="0.25">
      <c r="A74" s="64" t="s">
        <v>58</v>
      </c>
      <c r="B74" s="65"/>
      <c r="C74" s="65"/>
      <c r="D74" s="83">
        <f t="shared" si="51"/>
        <v>0.20687190539194955</v>
      </c>
      <c r="E74" s="83">
        <f t="shared" ref="E74:S74" si="79">E32/E$23</f>
        <v>0.23156727879147468</v>
      </c>
      <c r="F74" s="83">
        <f t="shared" si="79"/>
        <v>0.22589512263884967</v>
      </c>
      <c r="G74" s="83">
        <f t="shared" si="79"/>
        <v>0.22389647186792747</v>
      </c>
      <c r="H74" s="83">
        <f t="shared" si="79"/>
        <v>0.22414887765912289</v>
      </c>
      <c r="I74" s="83">
        <f t="shared" si="79"/>
        <v>0.22298672572669739</v>
      </c>
      <c r="J74" s="83">
        <f t="shared" si="79"/>
        <v>0.22199531031614933</v>
      </c>
      <c r="K74" s="83">
        <f t="shared" si="79"/>
        <v>0.22437600322085535</v>
      </c>
      <c r="L74" s="83">
        <f t="shared" si="79"/>
        <v>0.23473798522240913</v>
      </c>
      <c r="M74" s="83">
        <f t="shared" si="79"/>
        <v>0.21919537221325341</v>
      </c>
      <c r="N74" s="83">
        <f t="shared" si="79"/>
        <v>0.24755114163921524</v>
      </c>
      <c r="O74" s="83">
        <f t="shared" si="79"/>
        <v>0.26063250972746782</v>
      </c>
      <c r="P74" s="83">
        <f t="shared" si="79"/>
        <v>0.22167420884290054</v>
      </c>
      <c r="Q74" s="83">
        <f t="shared" si="79"/>
        <v>0.20069028363862665</v>
      </c>
      <c r="R74" s="83">
        <f t="shared" si="79"/>
        <v>0.19733983575671804</v>
      </c>
      <c r="S74" s="83">
        <f t="shared" si="79"/>
        <v>0.20159754211178965</v>
      </c>
      <c r="T74" s="83">
        <f t="shared" ref="T74:Y74" si="80">T32/T$23</f>
        <v>0.19448727113652856</v>
      </c>
      <c r="U74" s="83">
        <f t="shared" si="80"/>
        <v>0.19683093559098089</v>
      </c>
      <c r="V74" s="83">
        <f t="shared" si="80"/>
        <v>0.18999173832415039</v>
      </c>
      <c r="W74" s="83">
        <f t="shared" si="80"/>
        <v>0.17723675986745133</v>
      </c>
      <c r="X74" s="83">
        <f t="shared" si="80"/>
        <v>0.16514366565953695</v>
      </c>
      <c r="Y74" s="83">
        <f t="shared" si="80"/>
        <v>0.15921402376961183</v>
      </c>
      <c r="Z74" s="83">
        <f t="shared" ref="Z74:AA74" si="81">Z32/Z$23</f>
        <v>0.13846102699482649</v>
      </c>
      <c r="AA74" s="83">
        <f t="shared" si="81"/>
        <v>0.13078642109045133</v>
      </c>
    </row>
    <row r="75" spans="1:27" x14ac:dyDescent="0.25">
      <c r="A75" s="85" t="s">
        <v>158</v>
      </c>
      <c r="B75" s="86"/>
      <c r="C75" s="86"/>
      <c r="D75" s="87">
        <f t="shared" si="51"/>
        <v>1.076753099723105E-2</v>
      </c>
      <c r="E75" s="87">
        <f t="shared" ref="E75:S75" si="82">E33/E$23</f>
        <v>1.0921556706392518E-2</v>
      </c>
      <c r="F75" s="87">
        <f t="shared" si="82"/>
        <v>9.8925034331602373E-3</v>
      </c>
      <c r="G75" s="87">
        <f t="shared" si="82"/>
        <v>8.267688906822928E-3</v>
      </c>
      <c r="H75" s="87">
        <f t="shared" si="82"/>
        <v>9.7487329600194923E-3</v>
      </c>
      <c r="I75" s="87">
        <f t="shared" si="82"/>
        <v>8.5842957632208984E-3</v>
      </c>
      <c r="J75" s="87">
        <f t="shared" si="82"/>
        <v>8.3132154366834937E-3</v>
      </c>
      <c r="K75" s="87">
        <f t="shared" si="82"/>
        <v>8.5259488073868694E-3</v>
      </c>
      <c r="L75" s="87">
        <f t="shared" si="82"/>
        <v>8.144709665055469E-3</v>
      </c>
      <c r="M75" s="87">
        <f t="shared" si="82"/>
        <v>5.0785497587205785E-3</v>
      </c>
      <c r="N75" s="87">
        <f t="shared" si="82"/>
        <v>1.6734809064826155E-2</v>
      </c>
      <c r="O75" s="87">
        <f t="shared" si="82"/>
        <v>1.4235955331141765E-2</v>
      </c>
      <c r="P75" s="87">
        <f t="shared" si="82"/>
        <v>1.2629118998570058E-2</v>
      </c>
      <c r="Q75" s="87">
        <f t="shared" si="82"/>
        <v>1.0335997307449284E-2</v>
      </c>
      <c r="R75" s="87">
        <f t="shared" si="82"/>
        <v>8.4548030492880098E-3</v>
      </c>
      <c r="S75" s="87">
        <f t="shared" si="82"/>
        <v>8.7795925962225463E-3</v>
      </c>
      <c r="T75" s="87">
        <f t="shared" ref="T75:Y75" si="83">T33/T$23</f>
        <v>7.9455368955657045E-3</v>
      </c>
      <c r="U75" s="87">
        <f t="shared" si="83"/>
        <v>9.0153293809477775E-3</v>
      </c>
      <c r="V75" s="87">
        <f t="shared" si="83"/>
        <v>8.7436516178355708E-3</v>
      </c>
      <c r="W75" s="87">
        <f t="shared" si="83"/>
        <v>6.2677625915399937E-3</v>
      </c>
      <c r="X75" s="87">
        <f t="shared" si="83"/>
        <v>3.8630476517379974E-3</v>
      </c>
      <c r="Y75" s="87">
        <f t="shared" si="83"/>
        <v>8.3289991182402788E-3</v>
      </c>
      <c r="Z75" s="87">
        <f t="shared" ref="Z75:AA75" si="84">Z33/Z$23</f>
        <v>5.8759199003876944E-3</v>
      </c>
      <c r="AA75" s="87">
        <f t="shared" si="84"/>
        <v>2.4525429726860396E-3</v>
      </c>
    </row>
    <row r="76" spans="1:27" x14ac:dyDescent="0.25">
      <c r="A76" s="88" t="s">
        <v>5</v>
      </c>
      <c r="B76" s="44"/>
      <c r="C76" s="44"/>
      <c r="D76" s="89">
        <f t="shared" si="51"/>
        <v>9.0267620912688369E-3</v>
      </c>
      <c r="E76" s="89">
        <f t="shared" ref="E76:S76" si="85">E34/E$23</f>
        <v>9.1558867190871425E-3</v>
      </c>
      <c r="F76" s="89">
        <f t="shared" si="85"/>
        <v>8.2931987844902522E-3</v>
      </c>
      <c r="G76" s="89">
        <f t="shared" si="85"/>
        <v>6.9310653320343229E-3</v>
      </c>
      <c r="H76" s="89">
        <f t="shared" si="85"/>
        <v>8.17267144566723E-3</v>
      </c>
      <c r="I76" s="89">
        <f t="shared" si="85"/>
        <v>7.1964868822396522E-3</v>
      </c>
      <c r="J76" s="89">
        <f t="shared" si="85"/>
        <v>6.9692316632014263E-3</v>
      </c>
      <c r="K76" s="89">
        <f t="shared" si="85"/>
        <v>7.1475727821363882E-3</v>
      </c>
      <c r="L76" s="89">
        <f t="shared" si="85"/>
        <v>6.8279679406374524E-3</v>
      </c>
      <c r="M76" s="89">
        <f t="shared" si="85"/>
        <v>3.4853448679719352E-3</v>
      </c>
      <c r="N76" s="89">
        <f t="shared" si="85"/>
        <v>1.2095492561160373E-2</v>
      </c>
      <c r="O76" s="89">
        <f t="shared" si="85"/>
        <v>9.2370721581389453E-3</v>
      </c>
      <c r="P76" s="89">
        <f t="shared" si="85"/>
        <v>9.5118892220032308E-3</v>
      </c>
      <c r="Q76" s="89">
        <f t="shared" si="85"/>
        <v>7.2117935821470209E-3</v>
      </c>
      <c r="R76" s="89">
        <f t="shared" si="85"/>
        <v>6.6095587054387436E-3</v>
      </c>
      <c r="S76" s="89">
        <f t="shared" si="85"/>
        <v>5.9742792602617166E-3</v>
      </c>
      <c r="T76" s="89">
        <f t="shared" ref="T76:Y76" si="86">T34/T$23</f>
        <v>4.7293696339789429E-3</v>
      </c>
      <c r="U76" s="89">
        <f t="shared" si="86"/>
        <v>5.4999449935206465E-3</v>
      </c>
      <c r="V76" s="89">
        <f t="shared" si="86"/>
        <v>5.6006209972324994E-3</v>
      </c>
      <c r="W76" s="89">
        <f t="shared" si="86"/>
        <v>3.2852292300806431E-3</v>
      </c>
      <c r="X76" s="89">
        <f t="shared" si="86"/>
        <v>1.0215626260555916E-3</v>
      </c>
      <c r="Y76" s="89">
        <f t="shared" si="86"/>
        <v>4.3826658355968886E-3</v>
      </c>
      <c r="Z76" s="89">
        <f t="shared" ref="Z76:AA76" si="87">Z34/Z$23</f>
        <v>3.3108856994217522E-3</v>
      </c>
      <c r="AA76" s="89">
        <f t="shared" si="87"/>
        <v>1.1887849675727461E-3</v>
      </c>
    </row>
    <row r="77" spans="1:27" x14ac:dyDescent="0.25">
      <c r="A77" s="88" t="s">
        <v>263</v>
      </c>
      <c r="B77" s="44"/>
      <c r="C77" s="44"/>
      <c r="D77" s="89">
        <f>D37/D$23</f>
        <v>1.7407689059622128E-3</v>
      </c>
      <c r="E77" s="89">
        <f t="shared" ref="E77:S77" si="88">E37/E$23</f>
        <v>1.7656699873053751E-3</v>
      </c>
      <c r="F77" s="89">
        <f t="shared" si="88"/>
        <v>1.5993046486699851E-3</v>
      </c>
      <c r="G77" s="89">
        <f t="shared" si="88"/>
        <v>1.3366235747886038E-3</v>
      </c>
      <c r="H77" s="89">
        <f t="shared" si="88"/>
        <v>1.5760615143522623E-3</v>
      </c>
      <c r="I77" s="89">
        <f t="shared" si="88"/>
        <v>1.3878088809812456E-3</v>
      </c>
      <c r="J77" s="89">
        <f t="shared" si="88"/>
        <v>1.3439837734820668E-3</v>
      </c>
      <c r="K77" s="89">
        <f t="shared" si="88"/>
        <v>1.3783760252504805E-3</v>
      </c>
      <c r="L77" s="89">
        <f t="shared" si="88"/>
        <v>1.3167417244180175E-3</v>
      </c>
      <c r="M77" s="89">
        <f t="shared" si="88"/>
        <v>1.5932048907486426E-3</v>
      </c>
      <c r="N77" s="89">
        <f t="shared" si="88"/>
        <v>4.6393165036657802E-3</v>
      </c>
      <c r="O77" s="89">
        <f t="shared" si="88"/>
        <v>4.9988831730028186E-3</v>
      </c>
      <c r="P77" s="89">
        <f t="shared" si="88"/>
        <v>3.1172297765668278E-3</v>
      </c>
      <c r="Q77" s="89">
        <f t="shared" si="88"/>
        <v>3.1242037253022647E-3</v>
      </c>
      <c r="R77" s="89">
        <f t="shared" si="88"/>
        <v>1.8452443438492657E-3</v>
      </c>
      <c r="S77" s="89">
        <f t="shared" si="88"/>
        <v>2.8053133359608293E-3</v>
      </c>
      <c r="T77" s="89">
        <f t="shared" ref="T77:Y77" si="89">T37/T$23</f>
        <v>3.2161672615867607E-3</v>
      </c>
      <c r="U77" s="89">
        <f t="shared" si="89"/>
        <v>3.5153843874271319E-3</v>
      </c>
      <c r="V77" s="89">
        <f t="shared" si="89"/>
        <v>3.1430306206030709E-3</v>
      </c>
      <c r="W77" s="89">
        <f t="shared" si="89"/>
        <v>2.9825333614593506E-3</v>
      </c>
      <c r="X77" s="89">
        <f t="shared" si="89"/>
        <v>2.8414850256824058E-3</v>
      </c>
      <c r="Y77" s="89">
        <f t="shared" si="89"/>
        <v>3.9463332826433911E-3</v>
      </c>
      <c r="Z77" s="89">
        <f t="shared" ref="Z77:AA77" si="90">Z37/Z$23</f>
        <v>2.5650342009659421E-3</v>
      </c>
      <c r="AA77" s="89">
        <f t="shared" si="90"/>
        <v>1.2637580051132933E-3</v>
      </c>
    </row>
    <row r="78" spans="1:27" x14ac:dyDescent="0.25">
      <c r="A78" s="68" t="s">
        <v>265</v>
      </c>
      <c r="B78" s="44"/>
      <c r="C78" s="44"/>
      <c r="D78" s="89">
        <f>D43/D$23</f>
        <v>1.0822091579938072E-2</v>
      </c>
      <c r="E78" s="89">
        <f t="shared" ref="E78:S78" si="91">E43/E$23</f>
        <v>1.1470930786190934E-2</v>
      </c>
      <c r="F78" s="89">
        <f t="shared" si="91"/>
        <v>1.0883800030921178E-2</v>
      </c>
      <c r="G78" s="89">
        <f t="shared" si="91"/>
        <v>1.0772118809101915E-2</v>
      </c>
      <c r="H78" s="89">
        <f t="shared" si="91"/>
        <v>1.0747230599430802E-2</v>
      </c>
      <c r="I78" s="89">
        <f t="shared" si="91"/>
        <v>9.7059049592776152E-3</v>
      </c>
      <c r="J78" s="89">
        <f t="shared" si="91"/>
        <v>1.0018134984348467E-2</v>
      </c>
      <c r="K78" s="89">
        <f t="shared" si="91"/>
        <v>9.2318295056373761E-3</v>
      </c>
      <c r="L78" s="89">
        <f t="shared" si="91"/>
        <v>9.9744175505945415E-3</v>
      </c>
      <c r="M78" s="89">
        <f t="shared" si="91"/>
        <v>9.6511768849570582E-3</v>
      </c>
      <c r="N78" s="89">
        <f t="shared" si="91"/>
        <v>3.6286480281093928E-3</v>
      </c>
      <c r="O78" s="89">
        <f t="shared" si="91"/>
        <v>7.6514589162336548E-3</v>
      </c>
      <c r="P78" s="89">
        <f t="shared" si="91"/>
        <v>1.0310843762865209E-2</v>
      </c>
      <c r="Q78" s="89">
        <f t="shared" si="91"/>
        <v>7.9768402536331984E-3</v>
      </c>
      <c r="R78" s="89">
        <f t="shared" si="91"/>
        <v>9.6664953921135593E-3</v>
      </c>
      <c r="S78" s="89">
        <f t="shared" si="91"/>
        <v>1.0208531303842651E-2</v>
      </c>
      <c r="T78" s="89">
        <f t="shared" ref="T78:Y78" si="92">T43/T$23</f>
        <v>7.4574015193547014E-3</v>
      </c>
      <c r="U78" s="89">
        <f t="shared" si="92"/>
        <v>8.3896766709819891E-3</v>
      </c>
      <c r="V78" s="89">
        <f t="shared" si="92"/>
        <v>7.060221237063991E-3</v>
      </c>
      <c r="W78" s="89">
        <f t="shared" si="92"/>
        <v>6.3611206106990257E-3</v>
      </c>
      <c r="X78" s="89">
        <f t="shared" si="92"/>
        <v>6.8270623874961585E-3</v>
      </c>
      <c r="Y78" s="89">
        <f t="shared" si="92"/>
        <v>6.7627454463343502E-3</v>
      </c>
      <c r="Z78" s="89">
        <f t="shared" ref="Z78:AA78" si="93">Z43/Z$23</f>
        <v>6.7047338652844847E-3</v>
      </c>
      <c r="AA78" s="89">
        <f t="shared" si="93"/>
        <v>6.0646663623077617E-3</v>
      </c>
    </row>
    <row r="79" spans="1:27" x14ac:dyDescent="0.25">
      <c r="A79" s="88" t="s">
        <v>266</v>
      </c>
      <c r="B79" s="44"/>
      <c r="C79" s="44"/>
      <c r="D79" s="89">
        <f>D44/D$23</f>
        <v>7.5157202678924609E-3</v>
      </c>
      <c r="E79" s="89">
        <f t="shared" ref="E79:S79" si="94">E44/E$23</f>
        <v>8.5555856693940047E-3</v>
      </c>
      <c r="F79" s="89">
        <f t="shared" si="94"/>
        <v>7.8826268450394241E-3</v>
      </c>
      <c r="G79" s="89">
        <f t="shared" si="94"/>
        <v>7.9606659765960822E-3</v>
      </c>
      <c r="H79" s="89">
        <f t="shared" si="94"/>
        <v>8.0156658927233344E-3</v>
      </c>
      <c r="I79" s="89">
        <f t="shared" si="94"/>
        <v>7.081225571550981E-3</v>
      </c>
      <c r="J79" s="89">
        <f t="shared" si="94"/>
        <v>7.2066348630635407E-3</v>
      </c>
      <c r="K79" s="89">
        <f t="shared" si="94"/>
        <v>7.0974853769297432E-3</v>
      </c>
      <c r="L79" s="89">
        <f t="shared" si="94"/>
        <v>7.9439437125274921E-3</v>
      </c>
      <c r="M79" s="89">
        <f t="shared" si="94"/>
        <v>6.4074750068949535E-3</v>
      </c>
      <c r="N79" s="89">
        <f t="shared" si="94"/>
        <v>3.0285187694998458E-3</v>
      </c>
      <c r="O79" s="89">
        <f t="shared" si="94"/>
        <v>4.8355915197689876E-3</v>
      </c>
      <c r="P79" s="89">
        <f t="shared" si="94"/>
        <v>8.127361413019207E-3</v>
      </c>
      <c r="Q79" s="89">
        <f t="shared" si="94"/>
        <v>5.8201007801411695E-3</v>
      </c>
      <c r="R79" s="89">
        <f t="shared" si="94"/>
        <v>7.1026355247461688E-3</v>
      </c>
      <c r="S79" s="89">
        <f t="shared" si="94"/>
        <v>8.2682427604936805E-3</v>
      </c>
      <c r="T79" s="89">
        <f t="shared" ref="T79:Y79" si="95">T44/T$23</f>
        <v>5.5955518330416971E-3</v>
      </c>
      <c r="U79" s="89">
        <f t="shared" si="95"/>
        <v>6.2505967422174435E-3</v>
      </c>
      <c r="V79" s="89">
        <f t="shared" si="95"/>
        <v>5.6159023052809861E-3</v>
      </c>
      <c r="W79" s="89">
        <f t="shared" si="95"/>
        <v>4.9145626717296189E-3</v>
      </c>
      <c r="X79" s="89">
        <f t="shared" si="95"/>
        <v>5.1671941791360506E-3</v>
      </c>
      <c r="Y79" s="89">
        <f t="shared" si="95"/>
        <v>5.3777753626927513E-3</v>
      </c>
      <c r="Z79" s="89">
        <f t="shared" ref="Z79:AA79" si="96">Z44/Z$23</f>
        <v>4.9357727163256634E-3</v>
      </c>
      <c r="AA79" s="89">
        <f t="shared" si="96"/>
        <v>3.7552981411594992E-3</v>
      </c>
    </row>
    <row r="80" spans="1:27" x14ac:dyDescent="0.25">
      <c r="A80" s="88" t="s">
        <v>11</v>
      </c>
      <c r="B80" s="44"/>
      <c r="C80" s="44"/>
      <c r="D80" s="89">
        <f>D47/D$23</f>
        <v>3.3063713120456122E-3</v>
      </c>
      <c r="E80" s="89">
        <f t="shared" ref="E80:S80" si="97">E47/E$23</f>
        <v>2.9153451167969299E-3</v>
      </c>
      <c r="F80" s="89">
        <f t="shared" si="97"/>
        <v>3.0011731858817538E-3</v>
      </c>
      <c r="G80" s="89">
        <f t="shared" si="97"/>
        <v>2.8114528325058332E-3</v>
      </c>
      <c r="H80" s="89">
        <f t="shared" si="97"/>
        <v>2.7315647067074683E-3</v>
      </c>
      <c r="I80" s="89">
        <f t="shared" si="97"/>
        <v>2.6246793877266351E-3</v>
      </c>
      <c r="J80" s="89">
        <f t="shared" si="97"/>
        <v>2.8115001212849272E-3</v>
      </c>
      <c r="K80" s="89">
        <f t="shared" si="97"/>
        <v>2.1343441287076321E-3</v>
      </c>
      <c r="L80" s="89">
        <f t="shared" si="97"/>
        <v>2.0304738380670499E-3</v>
      </c>
      <c r="M80" s="89">
        <f t="shared" si="97"/>
        <v>3.243701878062106E-3</v>
      </c>
      <c r="N80" s="89">
        <f t="shared" si="97"/>
        <v>6.0012925860954667E-4</v>
      </c>
      <c r="O80" s="89">
        <f t="shared" si="97"/>
        <v>2.8158673964646668E-3</v>
      </c>
      <c r="P80" s="89">
        <f t="shared" si="97"/>
        <v>2.1834823498460033E-3</v>
      </c>
      <c r="Q80" s="89">
        <f t="shared" si="97"/>
        <v>2.156739473492029E-3</v>
      </c>
      <c r="R80" s="89">
        <f t="shared" si="97"/>
        <v>2.5638598673673901E-3</v>
      </c>
      <c r="S80" s="89">
        <f t="shared" si="97"/>
        <v>1.940288543348972E-3</v>
      </c>
      <c r="T80" s="89">
        <f t="shared" ref="T80:Y80" si="98">T47/T$23</f>
        <v>1.8618496863130041E-3</v>
      </c>
      <c r="U80" s="89">
        <f t="shared" si="98"/>
        <v>2.1390799287645465E-3</v>
      </c>
      <c r="V80" s="89">
        <f t="shared" si="98"/>
        <v>1.4443189317830047E-3</v>
      </c>
      <c r="W80" s="89">
        <f t="shared" si="98"/>
        <v>1.4465579389694059E-3</v>
      </c>
      <c r="X80" s="89">
        <f t="shared" si="98"/>
        <v>1.6598682083601081E-3</v>
      </c>
      <c r="Y80" s="89">
        <f t="shared" si="98"/>
        <v>1.3849700836415992E-3</v>
      </c>
      <c r="Z80" s="89">
        <f t="shared" ref="Z80:AA80" si="99">Z47/Z$23</f>
        <v>1.7689611489588219E-3</v>
      </c>
      <c r="AA80" s="89">
        <f t="shared" si="99"/>
        <v>2.3093682211482616E-3</v>
      </c>
    </row>
    <row r="81" spans="1:27" x14ac:dyDescent="0.25">
      <c r="A81" s="68" t="s">
        <v>4</v>
      </c>
      <c r="B81" s="44"/>
      <c r="C81" s="44"/>
      <c r="D81" s="89">
        <f>D48/D$23</f>
        <v>1.1730525282010009E-2</v>
      </c>
      <c r="E81" s="89">
        <f t="shared" ref="E81:S81" si="100">E48/E$23</f>
        <v>1.1766371957993639E-2</v>
      </c>
      <c r="F81" s="89">
        <f t="shared" si="100"/>
        <v>1.1445383195249053E-2</v>
      </c>
      <c r="G81" s="89">
        <f t="shared" si="100"/>
        <v>1.0710714223056547E-2</v>
      </c>
      <c r="H81" s="89">
        <f t="shared" si="100"/>
        <v>1.1339684836493703E-2</v>
      </c>
      <c r="I81" s="89">
        <f t="shared" si="100"/>
        <v>1.0824667431486473E-2</v>
      </c>
      <c r="J81" s="89">
        <f t="shared" si="100"/>
        <v>1.1882457579152855E-2</v>
      </c>
      <c r="K81" s="89">
        <f t="shared" si="100"/>
        <v>1.3264931178829558E-2</v>
      </c>
      <c r="L81" s="89">
        <f t="shared" si="100"/>
        <v>1.4616369725711122E-2</v>
      </c>
      <c r="M81" s="89">
        <f t="shared" si="100"/>
        <v>9.8092777076083416E-3</v>
      </c>
      <c r="N81" s="89">
        <f t="shared" si="100"/>
        <v>5.1050182651822245E-3</v>
      </c>
      <c r="O81" s="89">
        <f t="shared" si="100"/>
        <v>5.1985871719783666E-3</v>
      </c>
      <c r="P81" s="89">
        <f t="shared" si="100"/>
        <v>9.778980267458319E-3</v>
      </c>
      <c r="Q81" s="89">
        <f t="shared" si="100"/>
        <v>7.5997878981275977E-3</v>
      </c>
      <c r="R81" s="89">
        <f t="shared" si="100"/>
        <v>8.7740648259159414E-3</v>
      </c>
      <c r="S81" s="89">
        <f t="shared" si="100"/>
        <v>8.5047420595182801E-3</v>
      </c>
      <c r="T81" s="89">
        <f t="shared" ref="T81:Y81" si="101">T48/T$23</f>
        <v>9.1158614655797859E-3</v>
      </c>
      <c r="U81" s="89">
        <f t="shared" si="101"/>
        <v>8.0735886194068587E-3</v>
      </c>
      <c r="V81" s="89">
        <f t="shared" si="101"/>
        <v>7.6011706810762596E-3</v>
      </c>
      <c r="W81" s="89">
        <f t="shared" si="101"/>
        <v>6.8809773700161565E-3</v>
      </c>
      <c r="X81" s="89">
        <f t="shared" si="101"/>
        <v>6.8130929526196678E-3</v>
      </c>
      <c r="Y81" s="89">
        <f t="shared" si="101"/>
        <v>7.4988390087577777E-3</v>
      </c>
      <c r="Z81" s="89">
        <f t="shared" ref="Z81:AA81" si="102">Z48/Z$23</f>
        <v>6.8999535725013132E-3</v>
      </c>
      <c r="AA81" s="89">
        <f t="shared" si="102"/>
        <v>6.8035021084508233E-3</v>
      </c>
    </row>
    <row r="82" spans="1:27" x14ac:dyDescent="0.25">
      <c r="A82" s="68" t="s">
        <v>3</v>
      </c>
      <c r="B82" s="44"/>
      <c r="C82" s="44"/>
      <c r="D82" s="89">
        <f>D52/D$23</f>
        <v>6.4408767885641019E-3</v>
      </c>
      <c r="E82" s="89">
        <f t="shared" ref="E82:S82" si="103">E52/E$23</f>
        <v>6.9758299821514455E-3</v>
      </c>
      <c r="F82" s="89">
        <f t="shared" si="103"/>
        <v>7.8985421573887962E-3</v>
      </c>
      <c r="G82" s="89">
        <f t="shared" si="103"/>
        <v>7.2523202161441438E-3</v>
      </c>
      <c r="H82" s="89">
        <f t="shared" si="103"/>
        <v>6.4616270528262462E-3</v>
      </c>
      <c r="I82" s="89">
        <f t="shared" si="103"/>
        <v>6.5232676973704818E-3</v>
      </c>
      <c r="J82" s="89">
        <f t="shared" si="103"/>
        <v>6.3472445219641205E-3</v>
      </c>
      <c r="K82" s="89">
        <f t="shared" si="103"/>
        <v>7.0693556355299727E-3</v>
      </c>
      <c r="L82" s="89">
        <f t="shared" si="103"/>
        <v>8.1758892258647405E-3</v>
      </c>
      <c r="M82" s="89">
        <f t="shared" si="103"/>
        <v>8.3477234359876119E-3</v>
      </c>
      <c r="N82" s="89">
        <f t="shared" si="103"/>
        <v>6.778237867198101E-3</v>
      </c>
      <c r="O82" s="89">
        <f t="shared" si="103"/>
        <v>7.0209069181261258E-3</v>
      </c>
      <c r="P82" s="89">
        <f t="shared" si="103"/>
        <v>5.2358104097460145E-3</v>
      </c>
      <c r="Q82" s="89">
        <f t="shared" si="103"/>
        <v>5.0310691140936625E-3</v>
      </c>
      <c r="R82" s="89">
        <f t="shared" si="103"/>
        <v>4.1421398501798393E-3</v>
      </c>
      <c r="S82" s="89">
        <f t="shared" si="103"/>
        <v>4.832966155742956E-3</v>
      </c>
      <c r="T82" s="89">
        <f t="shared" ref="T82:Y82" si="104">T52/T$23</f>
        <v>5.0313953736502931E-3</v>
      </c>
      <c r="U82" s="89">
        <f t="shared" si="104"/>
        <v>5.1683065093382384E-3</v>
      </c>
      <c r="V82" s="89">
        <f t="shared" si="104"/>
        <v>4.8245828014533264E-3</v>
      </c>
      <c r="W82" s="89">
        <f t="shared" si="104"/>
        <v>4.9337256335569993E-3</v>
      </c>
      <c r="X82" s="89">
        <f t="shared" si="104"/>
        <v>4.5300881670904064E-3</v>
      </c>
      <c r="Y82" s="89">
        <f t="shared" si="104"/>
        <v>3.7010163296785901E-3</v>
      </c>
      <c r="Z82" s="89">
        <f t="shared" ref="Z82:AA82" si="105">Z52/Z$23</f>
        <v>3.6569869906360256E-3</v>
      </c>
      <c r="AA82" s="89">
        <f t="shared" si="105"/>
        <v>3.2724210310202955E-3</v>
      </c>
    </row>
    <row r="83" spans="1:27" x14ac:dyDescent="0.25">
      <c r="A83" s="88" t="s">
        <v>21</v>
      </c>
      <c r="B83" s="44"/>
      <c r="C83" s="44"/>
      <c r="D83" s="89">
        <f>D53/D$23</f>
        <v>3.9638263336652432E-3</v>
      </c>
      <c r="E83" s="89">
        <f t="shared" ref="E83:S83" si="106">E53/E$23</f>
        <v>4.1752430064679645E-3</v>
      </c>
      <c r="F83" s="89">
        <f t="shared" si="106"/>
        <v>4.9269259801558796E-3</v>
      </c>
      <c r="G83" s="89">
        <f t="shared" si="106"/>
        <v>4.3772697766627485E-3</v>
      </c>
      <c r="H83" s="89">
        <f t="shared" si="106"/>
        <v>3.6783840949108E-3</v>
      </c>
      <c r="I83" s="89">
        <f t="shared" si="106"/>
        <v>3.13281959456959E-3</v>
      </c>
      <c r="J83" s="89">
        <f t="shared" si="106"/>
        <v>2.9720582629688239E-3</v>
      </c>
      <c r="K83" s="89">
        <f t="shared" si="106"/>
        <v>4.0541989792420088E-3</v>
      </c>
      <c r="L83" s="89">
        <f t="shared" si="106"/>
        <v>4.4951800961851437E-3</v>
      </c>
      <c r="M83" s="89">
        <f t="shared" si="106"/>
        <v>3.7180043460159472E-3</v>
      </c>
      <c r="N83" s="89">
        <f t="shared" si="106"/>
        <v>2.6653055607332552E-3</v>
      </c>
      <c r="O83" s="89">
        <f t="shared" si="106"/>
        <v>1.9144961701919392E-3</v>
      </c>
      <c r="P83" s="89">
        <f t="shared" si="106"/>
        <v>1.5769143634811965E-3</v>
      </c>
      <c r="Q83" s="89">
        <f t="shared" si="106"/>
        <v>1.5764757432297273E-3</v>
      </c>
      <c r="R83" s="89">
        <f t="shared" si="106"/>
        <v>1.4573361097839836E-3</v>
      </c>
      <c r="S83" s="89">
        <f t="shared" si="106"/>
        <v>1.7826223439992386E-3</v>
      </c>
      <c r="T83" s="89">
        <f t="shared" ref="T83:Y83" si="107">T53/T$23</f>
        <v>2.0165592591011908E-3</v>
      </c>
      <c r="U83" s="89">
        <f t="shared" si="107"/>
        <v>2.0969743909374648E-3</v>
      </c>
      <c r="V83" s="89">
        <f t="shared" si="107"/>
        <v>1.7568794133084285E-3</v>
      </c>
      <c r="W83" s="89">
        <f t="shared" si="107"/>
        <v>1.7325282923933852E-3</v>
      </c>
      <c r="X83" s="89">
        <f t="shared" si="107"/>
        <v>1.7516673518341869E-3</v>
      </c>
      <c r="Y83" s="89">
        <f t="shared" si="107"/>
        <v>1.9324739182232931E-3</v>
      </c>
      <c r="Z83" s="89">
        <f t="shared" ref="Z83:AA83" si="108">Z53/Z$23</f>
        <v>1.7484727440429963E-3</v>
      </c>
      <c r="AA83" s="89">
        <f t="shared" si="108"/>
        <v>1.3868365673718249E-3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2.4770504548988583E-3</v>
      </c>
      <c r="E84" s="89">
        <f t="shared" ref="E84:S84" si="110">E56/E$23</f>
        <v>2.8005869756834809E-3</v>
      </c>
      <c r="F84" s="89">
        <f t="shared" si="110"/>
        <v>2.9716161772329166E-3</v>
      </c>
      <c r="G84" s="89">
        <f t="shared" si="110"/>
        <v>2.8750504394813949E-3</v>
      </c>
      <c r="H84" s="89">
        <f t="shared" si="110"/>
        <v>2.7832429579154462E-3</v>
      </c>
      <c r="I84" s="89">
        <f t="shared" si="110"/>
        <v>3.3904481028008923E-3</v>
      </c>
      <c r="J84" s="89">
        <f t="shared" si="110"/>
        <v>3.3751862589952966E-3</v>
      </c>
      <c r="K84" s="89">
        <f t="shared" si="110"/>
        <v>3.0151566562879638E-3</v>
      </c>
      <c r="L84" s="89">
        <f t="shared" si="110"/>
        <v>3.6807091296795959E-3</v>
      </c>
      <c r="M84" s="89">
        <f t="shared" si="110"/>
        <v>4.6297190899716647E-3</v>
      </c>
      <c r="N84" s="89">
        <f t="shared" si="110"/>
        <v>4.1129323064648454E-3</v>
      </c>
      <c r="O84" s="89">
        <f t="shared" si="110"/>
        <v>5.1064107479341864E-3</v>
      </c>
      <c r="P84" s="89">
        <f t="shared" si="110"/>
        <v>3.6588960462648171E-3</v>
      </c>
      <c r="Q84" s="89">
        <f t="shared" si="110"/>
        <v>3.4545933708639348E-3</v>
      </c>
      <c r="R84" s="89">
        <f t="shared" si="110"/>
        <v>2.6848037403958552E-3</v>
      </c>
      <c r="S84" s="89">
        <f t="shared" si="110"/>
        <v>3.050343811743717E-3</v>
      </c>
      <c r="T84" s="89">
        <f t="shared" ref="T84:Y84" si="111">T56/T$23</f>
        <v>3.0148361145491027E-3</v>
      </c>
      <c r="U84" s="89">
        <f t="shared" si="111"/>
        <v>3.0713321184007727E-3</v>
      </c>
      <c r="V84" s="89">
        <f t="shared" si="111"/>
        <v>3.0677033881448979E-3</v>
      </c>
      <c r="W84" s="89">
        <f t="shared" si="111"/>
        <v>3.2011973411636141E-3</v>
      </c>
      <c r="X84" s="89">
        <f t="shared" si="111"/>
        <v>2.7784208152562199E-3</v>
      </c>
      <c r="Y84" s="89">
        <f t="shared" si="111"/>
        <v>1.768542411455297E-3</v>
      </c>
      <c r="Z84" s="89">
        <f t="shared" ref="Z84:AA84" si="112">Z56/Z$23</f>
        <v>1.9085142465930297E-3</v>
      </c>
      <c r="AA84" s="89">
        <f t="shared" si="112"/>
        <v>1.8855844636484706E-3</v>
      </c>
    </row>
    <row r="85" spans="1:27" x14ac:dyDescent="0.25">
      <c r="A85" s="68" t="s">
        <v>2</v>
      </c>
      <c r="B85" s="44"/>
      <c r="C85" s="44"/>
      <c r="D85" s="89">
        <f t="shared" si="109"/>
        <v>6.7360495410090968E-2</v>
      </c>
      <c r="E85" s="89">
        <f t="shared" ref="E85:S85" si="113">E57/E$23</f>
        <v>8.1248763908320462E-2</v>
      </c>
      <c r="F85" s="89">
        <f t="shared" si="113"/>
        <v>7.2426039269896408E-2</v>
      </c>
      <c r="G85" s="89">
        <f t="shared" si="113"/>
        <v>7.1161336163792346E-2</v>
      </c>
      <c r="H85" s="89">
        <f t="shared" si="113"/>
        <v>6.954785221496676E-2</v>
      </c>
      <c r="I85" s="89">
        <f t="shared" si="113"/>
        <v>6.9136958731044376E-2</v>
      </c>
      <c r="J85" s="89">
        <f t="shared" si="113"/>
        <v>6.5952433206657959E-2</v>
      </c>
      <c r="K85" s="89">
        <f t="shared" si="113"/>
        <v>6.6379157268109834E-2</v>
      </c>
      <c r="L85" s="89">
        <f t="shared" si="113"/>
        <v>7.3392883759555397E-2</v>
      </c>
      <c r="M85" s="89">
        <f t="shared" si="113"/>
        <v>5.9760354286376806E-2</v>
      </c>
      <c r="N85" s="89">
        <f t="shared" si="113"/>
        <v>6.8480932613062095E-2</v>
      </c>
      <c r="O85" s="89">
        <f t="shared" si="113"/>
        <v>7.2630127823412799E-2</v>
      </c>
      <c r="P85" s="89">
        <f t="shared" si="113"/>
        <v>6.8821512294978807E-2</v>
      </c>
      <c r="Q85" s="89">
        <f t="shared" si="113"/>
        <v>5.6959513308757467E-2</v>
      </c>
      <c r="R85" s="89">
        <f t="shared" si="113"/>
        <v>5.3379066643830062E-2</v>
      </c>
      <c r="S85" s="89">
        <f t="shared" si="113"/>
        <v>5.4605770582896201E-2</v>
      </c>
      <c r="T85" s="89">
        <f t="shared" ref="T85:Y85" si="114">T57/T$23</f>
        <v>4.7827930946182408E-2</v>
      </c>
      <c r="U85" s="89">
        <f t="shared" si="114"/>
        <v>5.0503516998480054E-2</v>
      </c>
      <c r="V85" s="89">
        <f t="shared" si="114"/>
        <v>5.3416747129992462E-2</v>
      </c>
      <c r="W85" s="89">
        <f t="shared" si="114"/>
        <v>4.9544609409702157E-2</v>
      </c>
      <c r="X85" s="89">
        <f t="shared" si="114"/>
        <v>4.8034899639588582E-2</v>
      </c>
      <c r="Y85" s="89">
        <f t="shared" si="114"/>
        <v>3.6682756916973487E-2</v>
      </c>
      <c r="Z85" s="89">
        <f t="shared" ref="Z85:AA85" si="115">Z57/Z$23</f>
        <v>3.0644468575232457E-2</v>
      </c>
      <c r="AA85" s="89">
        <f t="shared" si="115"/>
        <v>3.2506746772489922E-2</v>
      </c>
    </row>
    <row r="86" spans="1:27" x14ac:dyDescent="0.25">
      <c r="A86" s="68" t="s">
        <v>269</v>
      </c>
      <c r="B86" s="44"/>
      <c r="C86" s="44"/>
      <c r="D86" s="89">
        <f t="shared" si="109"/>
        <v>1.1798726010393789E-2</v>
      </c>
      <c r="E86" s="89">
        <f t="shared" ref="E86:S86" si="116">E58/E$23</f>
        <v>1.4747641964366379E-2</v>
      </c>
      <c r="F86" s="89">
        <f t="shared" si="116"/>
        <v>1.6379130023554664E-2</v>
      </c>
      <c r="G86" s="89">
        <f t="shared" si="116"/>
        <v>1.8443306022912685E-2</v>
      </c>
      <c r="H86" s="89">
        <f t="shared" si="116"/>
        <v>2.0584554847235398E-2</v>
      </c>
      <c r="I86" s="89">
        <f t="shared" si="116"/>
        <v>2.3757333872313047E-2</v>
      </c>
      <c r="J86" s="89">
        <f t="shared" si="116"/>
        <v>2.5517193582294709E-2</v>
      </c>
      <c r="K86" s="89">
        <f t="shared" si="116"/>
        <v>2.4281241154514906E-2</v>
      </c>
      <c r="L86" s="89">
        <f t="shared" si="116"/>
        <v>2.667221307959762E-2</v>
      </c>
      <c r="M86" s="89">
        <f t="shared" si="116"/>
        <v>3.8001289400042514E-2</v>
      </c>
      <c r="N86" s="89">
        <f t="shared" si="116"/>
        <v>3.5923267072327333E-2</v>
      </c>
      <c r="O86" s="89">
        <f t="shared" si="116"/>
        <v>4.1465523570245778E-2</v>
      </c>
      <c r="P86" s="89">
        <f t="shared" si="116"/>
        <v>2.4460848756698027E-2</v>
      </c>
      <c r="Q86" s="89">
        <f t="shared" si="116"/>
        <v>2.3142282889284733E-2</v>
      </c>
      <c r="R86" s="89">
        <f t="shared" si="116"/>
        <v>2.4641750726414443E-2</v>
      </c>
      <c r="S86" s="89">
        <f t="shared" si="116"/>
        <v>2.8049669114043798E-2</v>
      </c>
      <c r="T86" s="89">
        <f t="shared" ref="T86:Y86" si="117">T58/T$23</f>
        <v>3.2111572276044553E-2</v>
      </c>
      <c r="U86" s="89">
        <f t="shared" si="117"/>
        <v>3.5495561423973705E-2</v>
      </c>
      <c r="V86" s="89">
        <f t="shared" si="117"/>
        <v>3.295931513334216E-2</v>
      </c>
      <c r="W86" s="89">
        <f t="shared" si="117"/>
        <v>3.0034748837446983E-2</v>
      </c>
      <c r="X86" s="89">
        <f t="shared" si="117"/>
        <v>2.6851249466168025E-2</v>
      </c>
      <c r="Y86" s="89">
        <f t="shared" si="117"/>
        <v>2.2504279799574329E-2</v>
      </c>
      <c r="Z86" s="89">
        <f t="shared" ref="Z86:AA86" si="118">Z58/Z$23</f>
        <v>2.0992496991490351E-2</v>
      </c>
      <c r="AA86" s="89">
        <f t="shared" si="118"/>
        <v>2.3002509610267521E-2</v>
      </c>
    </row>
    <row r="87" spans="1:27" x14ac:dyDescent="0.25">
      <c r="A87" s="68" t="s">
        <v>270</v>
      </c>
      <c r="B87" s="44"/>
      <c r="C87" s="44"/>
      <c r="D87" s="89">
        <f t="shared" si="109"/>
        <v>3.5183391758623971E-2</v>
      </c>
      <c r="E87" s="89">
        <f t="shared" ref="E87:S87" si="119">E59/E$23</f>
        <v>3.5865581591817498E-2</v>
      </c>
      <c r="F87" s="89">
        <f t="shared" si="119"/>
        <v>3.6261902380021277E-2</v>
      </c>
      <c r="G87" s="89">
        <f t="shared" si="119"/>
        <v>3.6303268478394358E-2</v>
      </c>
      <c r="H87" s="89">
        <f t="shared" si="119"/>
        <v>3.5872088945652941E-2</v>
      </c>
      <c r="I87" s="89">
        <f t="shared" si="119"/>
        <v>3.8880554314067658E-2</v>
      </c>
      <c r="J87" s="89">
        <f t="shared" si="119"/>
        <v>4.1314266572718979E-2</v>
      </c>
      <c r="K87" s="89">
        <f t="shared" si="119"/>
        <v>4.3422651122640391E-2</v>
      </c>
      <c r="L87" s="89">
        <f t="shared" si="119"/>
        <v>4.3054410615043455E-2</v>
      </c>
      <c r="M87" s="89">
        <f t="shared" si="119"/>
        <v>4.1500587608057526E-2</v>
      </c>
      <c r="N87" s="89">
        <f t="shared" si="119"/>
        <v>5.5011558367578733E-2</v>
      </c>
      <c r="O87" s="89">
        <f t="shared" si="119"/>
        <v>5.3532477914365655E-2</v>
      </c>
      <c r="P87" s="89">
        <f t="shared" si="119"/>
        <v>4.4892527033687665E-2</v>
      </c>
      <c r="Q87" s="89">
        <f t="shared" si="119"/>
        <v>3.9093582013253192E-2</v>
      </c>
      <c r="R87" s="89">
        <f t="shared" si="119"/>
        <v>4.2455055453892596E-2</v>
      </c>
      <c r="S87" s="89">
        <f t="shared" si="119"/>
        <v>4.0432147427839307E-2</v>
      </c>
      <c r="T87" s="89">
        <f t="shared" ref="T87:Y87" si="120">T59/T$23</f>
        <v>4.0896675344628916E-2</v>
      </c>
      <c r="U87" s="89">
        <f t="shared" si="120"/>
        <v>3.7393868840656631E-2</v>
      </c>
      <c r="V87" s="89">
        <f t="shared" si="120"/>
        <v>3.5372410720556455E-2</v>
      </c>
      <c r="W87" s="89">
        <f t="shared" si="120"/>
        <v>3.4640738687956224E-2</v>
      </c>
      <c r="X87" s="89">
        <f t="shared" si="120"/>
        <v>3.3719222341516759E-2</v>
      </c>
      <c r="Y87" s="89">
        <f t="shared" si="120"/>
        <v>3.5557154788329721E-2</v>
      </c>
      <c r="Z87" s="89">
        <f t="shared" ref="Z87:AA87" si="121">Z59/Z$23</f>
        <v>2.9211439952157636E-2</v>
      </c>
      <c r="AA87" s="89">
        <f t="shared" si="121"/>
        <v>2.6757470075126227E-2</v>
      </c>
    </row>
    <row r="88" spans="1:27" x14ac:dyDescent="0.25">
      <c r="A88" s="68" t="s">
        <v>1</v>
      </c>
      <c r="B88" s="44"/>
      <c r="C88" s="44"/>
      <c r="D88" s="89">
        <f t="shared" si="109"/>
        <v>2.5357030813089081E-2</v>
      </c>
      <c r="E88" s="89">
        <f t="shared" ref="E88:S88" si="122">E60/E$23</f>
        <v>2.9666200309114484E-2</v>
      </c>
      <c r="F88" s="89">
        <f t="shared" si="122"/>
        <v>3.0589230335494787E-2</v>
      </c>
      <c r="G88" s="89">
        <f t="shared" si="122"/>
        <v>3.0504921138967352E-2</v>
      </c>
      <c r="H88" s="89">
        <f t="shared" si="122"/>
        <v>2.876079244906924E-2</v>
      </c>
      <c r="I88" s="89">
        <f t="shared" si="122"/>
        <v>2.5871026329348866E-2</v>
      </c>
      <c r="J88" s="89">
        <f t="shared" si="122"/>
        <v>2.3565083802109199E-2</v>
      </c>
      <c r="K88" s="89">
        <f t="shared" si="122"/>
        <v>2.2452807963529789E-2</v>
      </c>
      <c r="L88" s="89">
        <f t="shared" si="122"/>
        <v>2.208349430098467E-2</v>
      </c>
      <c r="M88" s="89">
        <f t="shared" si="122"/>
        <v>1.8176324577475554E-2</v>
      </c>
      <c r="N88" s="89">
        <f t="shared" si="122"/>
        <v>2.7896864869008074E-2</v>
      </c>
      <c r="O88" s="89">
        <f t="shared" si="122"/>
        <v>3.4077542397076464E-2</v>
      </c>
      <c r="P88" s="89">
        <f t="shared" si="122"/>
        <v>2.4976472145374941E-2</v>
      </c>
      <c r="Q88" s="89">
        <f t="shared" si="122"/>
        <v>2.4293284816617612E-2</v>
      </c>
      <c r="R88" s="89">
        <f t="shared" si="122"/>
        <v>2.2202590752977022E-2</v>
      </c>
      <c r="S88" s="89">
        <f t="shared" si="122"/>
        <v>2.1583934524494367E-2</v>
      </c>
      <c r="T88" s="89">
        <f t="shared" ref="T88:Y88" si="123">T60/T$23</f>
        <v>2.0411660833937948E-2</v>
      </c>
      <c r="U88" s="89">
        <f t="shared" si="123"/>
        <v>1.896409702301987E-2</v>
      </c>
      <c r="V88" s="89">
        <f t="shared" si="123"/>
        <v>1.7018730575545548E-2</v>
      </c>
      <c r="W88" s="89">
        <f t="shared" si="123"/>
        <v>1.570969783448704E-2</v>
      </c>
      <c r="X88" s="89">
        <f t="shared" si="123"/>
        <v>1.3986397761697406E-2</v>
      </c>
      <c r="Y88" s="89">
        <f t="shared" si="123"/>
        <v>1.2833234167709696E-2</v>
      </c>
      <c r="Z88" s="89">
        <f t="shared" ref="Z88:AA88" si="124">Z60/Z$23</f>
        <v>1.2626656033313373E-2</v>
      </c>
      <c r="AA88" s="89">
        <f t="shared" si="124"/>
        <v>1.0724599313301476E-2</v>
      </c>
    </row>
    <row r="89" spans="1:27" x14ac:dyDescent="0.25">
      <c r="A89" s="68" t="s">
        <v>0</v>
      </c>
      <c r="B89" s="44"/>
      <c r="C89" s="44"/>
      <c r="D89" s="89">
        <f t="shared" si="109"/>
        <v>8.677860679552056E-3</v>
      </c>
      <c r="E89" s="89">
        <f t="shared" ref="E89:S89" si="125">E61/E$23</f>
        <v>1.0137783019213444E-2</v>
      </c>
      <c r="F89" s="89">
        <f t="shared" si="125"/>
        <v>1.0640523113580764E-2</v>
      </c>
      <c r="G89" s="89">
        <f t="shared" si="125"/>
        <v>1.0234828681204934E-2</v>
      </c>
      <c r="H89" s="89">
        <f t="shared" si="125"/>
        <v>1.1048071847534395E-2</v>
      </c>
      <c r="I89" s="89">
        <f t="shared" si="125"/>
        <v>1.0349264548893906E-2</v>
      </c>
      <c r="J89" s="89">
        <f t="shared" si="125"/>
        <v>9.8541115590311066E-3</v>
      </c>
      <c r="K89" s="89">
        <f t="shared" si="125"/>
        <v>9.6441060280277689E-3</v>
      </c>
      <c r="L89" s="89">
        <f t="shared" si="125"/>
        <v>8.8146899839083061E-3</v>
      </c>
      <c r="M89" s="89">
        <f t="shared" si="125"/>
        <v>9.4482808292212488E-3</v>
      </c>
      <c r="N89" s="89">
        <f t="shared" si="125"/>
        <v>1.4889999529651959E-2</v>
      </c>
      <c r="O89" s="89">
        <f t="shared" si="125"/>
        <v>1.3059686273870023E-2</v>
      </c>
      <c r="P89" s="89">
        <f t="shared" si="125"/>
        <v>8.2223660373895984E-3</v>
      </c>
      <c r="Q89" s="89">
        <f t="shared" si="125"/>
        <v>8.2911828489599711E-3</v>
      </c>
      <c r="R89" s="89">
        <f t="shared" si="125"/>
        <v>7.1634830633505514E-3</v>
      </c>
      <c r="S89" s="89">
        <f t="shared" si="125"/>
        <v>6.9010921580241443E-3</v>
      </c>
      <c r="T89" s="89">
        <f t="shared" ref="T89:Y89" si="126">T61/T$23</f>
        <v>5.7962741667022324E-3</v>
      </c>
      <c r="U89" s="89">
        <f t="shared" si="126"/>
        <v>6.1918862035571466E-3</v>
      </c>
      <c r="V89" s="89">
        <f t="shared" si="126"/>
        <v>6.1279010357385838E-3</v>
      </c>
      <c r="W89" s="89">
        <f t="shared" si="126"/>
        <v>5.1174935239016181E-3</v>
      </c>
      <c r="X89" s="89">
        <f t="shared" si="126"/>
        <v>5.4161494649706439E-3</v>
      </c>
      <c r="Y89" s="89">
        <f t="shared" si="126"/>
        <v>6.8463094177509051E-3</v>
      </c>
      <c r="Z89" s="89">
        <f t="shared" ref="Z89:AA89" si="127">Z61/Z$23</f>
        <v>4.6837266784932434E-3</v>
      </c>
      <c r="AA89" s="89">
        <f t="shared" si="127"/>
        <v>3.6617618058388292E-3</v>
      </c>
    </row>
    <row r="90" spans="1:27" x14ac:dyDescent="0.25">
      <c r="A90" s="90" t="s">
        <v>272</v>
      </c>
      <c r="B90" s="47"/>
      <c r="C90" s="47"/>
      <c r="D90" s="91">
        <f t="shared" si="109"/>
        <v>1.873337607245645E-2</v>
      </c>
      <c r="E90" s="91">
        <f t="shared" ref="E90:S90" si="128">E62/E$23</f>
        <v>1.8766618565913901E-2</v>
      </c>
      <c r="F90" s="91">
        <f t="shared" si="128"/>
        <v>1.9478068699582563E-2</v>
      </c>
      <c r="G90" s="91">
        <f t="shared" si="128"/>
        <v>2.0245969227530306E-2</v>
      </c>
      <c r="H90" s="91">
        <f t="shared" si="128"/>
        <v>2.0038241905893907E-2</v>
      </c>
      <c r="I90" s="91">
        <f t="shared" si="128"/>
        <v>1.9353452079674108E-2</v>
      </c>
      <c r="J90" s="91">
        <f t="shared" si="128"/>
        <v>1.9231169071188475E-2</v>
      </c>
      <c r="K90" s="91">
        <f t="shared" si="128"/>
        <v>2.0103974556648901E-2</v>
      </c>
      <c r="L90" s="91">
        <f t="shared" si="128"/>
        <v>1.9808907316093825E-2</v>
      </c>
      <c r="M90" s="91">
        <f t="shared" si="128"/>
        <v>1.9421807724806193E-2</v>
      </c>
      <c r="N90" s="91">
        <f t="shared" si="128"/>
        <v>1.310180596227112E-2</v>
      </c>
      <c r="O90" s="91">
        <f t="shared" si="128"/>
        <v>1.1760243411017123E-2</v>
      </c>
      <c r="P90" s="91">
        <f t="shared" si="128"/>
        <v>1.2345729136131883E-2</v>
      </c>
      <c r="Q90" s="91">
        <f t="shared" si="128"/>
        <v>1.7966743188449975E-2</v>
      </c>
      <c r="R90" s="91">
        <f t="shared" si="128"/>
        <v>1.6460385998756006E-2</v>
      </c>
      <c r="S90" s="91">
        <f t="shared" si="128"/>
        <v>1.7699096189165348E-2</v>
      </c>
      <c r="T90" s="91">
        <f t="shared" ref="T90:Y90" si="129">T62/T$23</f>
        <v>1.7892962314881994E-2</v>
      </c>
      <c r="U90" s="91">
        <f t="shared" si="129"/>
        <v>1.7635103920618608E-2</v>
      </c>
      <c r="V90" s="91">
        <f t="shared" si="129"/>
        <v>1.6867007391546073E-2</v>
      </c>
      <c r="W90" s="91">
        <f t="shared" si="129"/>
        <v>1.7745885368145062E-2</v>
      </c>
      <c r="X90" s="91">
        <f t="shared" si="129"/>
        <v>1.510245582665129E-2</v>
      </c>
      <c r="Y90" s="91">
        <f t="shared" si="129"/>
        <v>1.8498688776262717E-2</v>
      </c>
      <c r="Z90" s="91">
        <f t="shared" ref="Z90:AA90" si="130">Z62/Z$23</f>
        <v>1.7164644435329897E-2</v>
      </c>
      <c r="AA90" s="91">
        <f t="shared" si="130"/>
        <v>1.5540201038962444E-2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5.2198433434654357E-2</v>
      </c>
      <c r="F93" s="92">
        <f t="shared" ref="F93:F94" si="132">IF(E16=0,"",F16/E16-1)</f>
        <v>5.7034282635532119E-2</v>
      </c>
      <c r="G93" s="92">
        <f t="shared" ref="G93:G94" si="133">IF(F16=0,"",G16/F16-1)</f>
        <v>2.3392424950997581E-2</v>
      </c>
      <c r="H93" s="92">
        <f t="shared" ref="H93:H94" si="134">IF(G16=0,"",H16/G16-1)</f>
        <v>0.1042992963676288</v>
      </c>
      <c r="I93" s="92">
        <f t="shared" ref="I93:I94" si="135">IF(H16=0,"",I16/H16-1)</f>
        <v>4.6667990501175538E-2</v>
      </c>
      <c r="J93" s="92">
        <f t="shared" ref="J93:J94" si="136">IF(I16=0,"",J16/I16-1)</f>
        <v>8.0295044519489656E-2</v>
      </c>
      <c r="K93" s="92">
        <f t="shared" ref="K93:K94" si="137">IF(J16=0,"",K16/J16-1)</f>
        <v>7.2333935003823457E-2</v>
      </c>
      <c r="L93" s="92">
        <f t="shared" ref="L93:L94" si="138">IF(K16=0,"",L16/K16-1)</f>
        <v>9.3078112154747483E-2</v>
      </c>
      <c r="M93" s="92">
        <f t="shared" ref="M93:M94" si="139">IF(L16=0,"",M16/L16-1)</f>
        <v>-5.5164325650767565E-2</v>
      </c>
      <c r="N93" s="92">
        <f t="shared" ref="N93:N94" si="140">IF(M16=0,"",N16/M16-1)</f>
        <v>-3.9057551662366907E-2</v>
      </c>
      <c r="O93" s="92">
        <f t="shared" ref="O93:O94" si="141">IF(N16=0,"",O16/N16-1)</f>
        <v>4.4947969184895964E-2</v>
      </c>
      <c r="P93" s="92">
        <f t="shared" ref="P93:P94" si="142">IF(O16=0,"",P16/O16-1)</f>
        <v>1.9045543739919291E-2</v>
      </c>
      <c r="Q93" s="92">
        <f t="shared" ref="Q93:Q94" si="143">IF(P16=0,"",Q16/P16-1)</f>
        <v>2.7871258507750074E-3</v>
      </c>
      <c r="R93" s="92">
        <f t="shared" ref="R93:R94" si="144">IF(Q16=0,"",R16/Q16-1)</f>
        <v>4.1151519342123244E-2</v>
      </c>
      <c r="S93" s="92">
        <f t="shared" ref="S93:S94" si="145">IF(R16=0,"",S16/R16-1)</f>
        <v>3.1573835970259534E-2</v>
      </c>
      <c r="T93" s="92">
        <f t="shared" ref="T93:T94" si="146">IF(S16=0,"",T16/S16-1)</f>
        <v>2.85941796824698E-2</v>
      </c>
      <c r="U93" s="92">
        <f t="shared" ref="U93:U94" si="147">IF(T16=0,"",U16/T16-1)</f>
        <v>8.1965020291366208E-2</v>
      </c>
      <c r="V93" s="92">
        <f t="shared" ref="V93:V94" si="148">IF(U16=0,"",V16/U16-1)</f>
        <v>6.1203394084407892E-2</v>
      </c>
      <c r="W93" s="92">
        <f t="shared" ref="W93:W94" si="149">IF(V16=0,"",W16/V16-1)</f>
        <v>3.923479538455199E-2</v>
      </c>
      <c r="X93" s="92">
        <f t="shared" ref="X93:X94" si="150">IF(W16=0,"",X16/W16-1)</f>
        <v>-3.6744252110914921E-2</v>
      </c>
      <c r="Y93" s="92">
        <f t="shared" ref="Y93:Y94" si="151">IF(X16=0,"",Y16/X16-1)</f>
        <v>5.5457839174253953E-2</v>
      </c>
      <c r="Z93" s="92">
        <f t="shared" ref="Z93:Z94" si="152">IF(Y16=0,"",Z16/Y16-1)</f>
        <v>3.9648162559928313E-2</v>
      </c>
      <c r="AA93" s="92">
        <f t="shared" ref="AA93:AA94" si="153">IF(Z16=0,"",AA16/Z16-1)</f>
        <v>2.4046590811895197E-2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8.3357169742541259E-2</v>
      </c>
      <c r="F94" s="93">
        <f t="shared" si="132"/>
        <v>7.0965047834578021E-2</v>
      </c>
      <c r="G94" s="93">
        <f t="shared" si="133"/>
        <v>8.3799601577109417E-2</v>
      </c>
      <c r="H94" s="93">
        <f t="shared" si="134"/>
        <v>0.15840460579937554</v>
      </c>
      <c r="I94" s="93">
        <f t="shared" si="135"/>
        <v>0.11224913404863202</v>
      </c>
      <c r="J94" s="93">
        <f t="shared" si="136"/>
        <v>0.10207232324801252</v>
      </c>
      <c r="K94" s="93">
        <f t="shared" si="137"/>
        <v>0.13840548448498424</v>
      </c>
      <c r="L94" s="93">
        <f t="shared" si="138"/>
        <v>8.7027649175905442E-2</v>
      </c>
      <c r="M94" s="93">
        <f t="shared" si="139"/>
        <v>-6.3510877015120815E-2</v>
      </c>
      <c r="N94" s="93">
        <f t="shared" si="140"/>
        <v>-4.98813843005671E-2</v>
      </c>
      <c r="O94" s="93">
        <f t="shared" si="141"/>
        <v>4.4907393454835187E-2</v>
      </c>
      <c r="P94" s="93">
        <f t="shared" si="142"/>
        <v>1.8858078039120318E-2</v>
      </c>
      <c r="Q94" s="93">
        <f t="shared" si="143"/>
        <v>-4.9496622667415502E-2</v>
      </c>
      <c r="R94" s="93">
        <f t="shared" si="144"/>
        <v>4.062465520222891E-2</v>
      </c>
      <c r="S94" s="93">
        <f t="shared" si="145"/>
        <v>5.9086409571341036E-2</v>
      </c>
      <c r="T94" s="93">
        <f t="shared" si="146"/>
        <v>6.0442843581548944E-2</v>
      </c>
      <c r="U94" s="93">
        <f t="shared" si="147"/>
        <v>0.11570460041639041</v>
      </c>
      <c r="V94" s="93">
        <f t="shared" si="148"/>
        <v>0.10285711544215648</v>
      </c>
      <c r="W94" s="93">
        <f t="shared" si="149"/>
        <v>3.1459950305026796E-2</v>
      </c>
      <c r="X94" s="93">
        <f t="shared" si="150"/>
        <v>-3.75437153555781E-2</v>
      </c>
      <c r="Y94" s="93">
        <f t="shared" si="151"/>
        <v>6.9679736369907541E-2</v>
      </c>
      <c r="Z94" s="93">
        <f t="shared" si="152"/>
        <v>5.0908201108755158E-2</v>
      </c>
      <c r="AA94" s="93">
        <f t="shared" si="153"/>
        <v>2.9811506045645642E-2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5.3372480953704171E-2</v>
      </c>
      <c r="F95" s="92">
        <f t="shared" ref="F95:F96" si="155">IF(E20=0,"",F20/E20-1)</f>
        <v>8.5935854768666609E-2</v>
      </c>
      <c r="G95" s="92">
        <f t="shared" ref="G95:G96" si="156">IF(F20=0,"",G20/F20-1)</f>
        <v>3.3138911767248702E-2</v>
      </c>
      <c r="H95" s="92">
        <f t="shared" ref="H95:H96" si="157">IF(G20=0,"",H20/G20-1)</f>
        <v>0.10975723179023489</v>
      </c>
      <c r="I95" s="92">
        <f t="shared" ref="I95:I96" si="158">IF(H20=0,"",I20/H20-1)</f>
        <v>5.3461674539222903E-2</v>
      </c>
      <c r="J95" s="92">
        <f t="shared" ref="J95:J96" si="159">IF(I20=0,"",J20/I20-1)</f>
        <v>8.6664801228991006E-2</v>
      </c>
      <c r="K95" s="92">
        <f t="shared" ref="K95:K96" si="160">IF(J20=0,"",K20/J20-1)</f>
        <v>7.8754235699890263E-2</v>
      </c>
      <c r="L95" s="92">
        <f t="shared" ref="L95:L96" si="161">IF(K20=0,"",L20/K20-1)</f>
        <v>0.11930096678824853</v>
      </c>
      <c r="M95" s="92">
        <f t="shared" ref="M95:M96" si="162">IF(L20=0,"",M20/L20-1)</f>
        <v>-4.6142752152410371E-2</v>
      </c>
      <c r="N95" s="92">
        <f t="shared" ref="N95:N96" si="163">IF(M20=0,"",N20/M20-1)</f>
        <v>-3.2163137638994366E-2</v>
      </c>
      <c r="O95" s="92">
        <f t="shared" ref="O95:O96" si="164">IF(N20=0,"",O20/N20-1)</f>
        <v>4.9894838472486658E-2</v>
      </c>
      <c r="P95" s="92">
        <f t="shared" ref="P95:P96" si="165">IF(O20=0,"",P20/O20-1)</f>
        <v>2.4271753521931005E-2</v>
      </c>
      <c r="Q95" s="92">
        <f t="shared" ref="Q95:Q96" si="166">IF(P20=0,"",Q20/P20-1)</f>
        <v>6.5899891253484721E-3</v>
      </c>
      <c r="R95" s="92">
        <f t="shared" ref="R95:R96" si="167">IF(Q20=0,"",R20/Q20-1)</f>
        <v>4.4949390042684945E-2</v>
      </c>
      <c r="S95" s="92">
        <f t="shared" ref="S95:S96" si="168">IF(R20=0,"",S20/R20-1)</f>
        <v>3.5553805850496722E-2</v>
      </c>
      <c r="T95" s="92">
        <f t="shared" ref="T95:T96" si="169">IF(S20=0,"",T20/S20-1)</f>
        <v>3.4323217188404698E-2</v>
      </c>
      <c r="U95" s="92">
        <f t="shared" ref="U95:U96" si="170">IF(T20=0,"",U20/T20-1)</f>
        <v>8.8389190508194826E-2</v>
      </c>
      <c r="V95" s="92">
        <f t="shared" ref="V95:V96" si="171">IF(U20=0,"",V20/U20-1)</f>
        <v>6.7204834203438368E-2</v>
      </c>
      <c r="W95" s="92">
        <f t="shared" ref="W95:W96" si="172">IF(V20=0,"",W20/V20-1)</f>
        <v>4.5605966964570088E-2</v>
      </c>
      <c r="X95" s="92">
        <f t="shared" ref="X95:X96" si="173">IF(W20=0,"",X20/W20-1)</f>
        <v>-3.2477365651715329E-2</v>
      </c>
      <c r="Y95" s="92">
        <f t="shared" ref="Y95:Y96" si="174">IF(X20=0,"",Y20/X20-1)</f>
        <v>6.2448322922735056E-2</v>
      </c>
      <c r="Z95" s="92">
        <f t="shared" ref="Z95:Z96" si="175">IF(Y20=0,"",Z20/Y20-1)</f>
        <v>4.8340280515133172E-2</v>
      </c>
      <c r="AA95" s="92">
        <f t="shared" ref="AA95:AA96" si="176">IF(Z20=0,"",AA20/Z20-1)</f>
        <v>2.3396677970998425E-2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8.4565984313029752E-2</v>
      </c>
      <c r="F96" s="93">
        <f t="shared" si="155"/>
        <v>0.1002475168051038</v>
      </c>
      <c r="G96" s="93">
        <f t="shared" si="156"/>
        <v>9.4121388479856405E-2</v>
      </c>
      <c r="H96" s="93">
        <f t="shared" si="157"/>
        <v>0.16412995358552274</v>
      </c>
      <c r="I96" s="93">
        <f t="shared" si="158"/>
        <v>0.11946849038406349</v>
      </c>
      <c r="J96" s="93">
        <f t="shared" si="159"/>
        <v>0.1085704855889198</v>
      </c>
      <c r="K96" s="93">
        <f t="shared" si="160"/>
        <v>0.14522137017680392</v>
      </c>
      <c r="L96" s="93">
        <f t="shared" si="161"/>
        <v>0.11310535369671504</v>
      </c>
      <c r="M96" s="93">
        <f t="shared" si="162"/>
        <v>-5.4568998884577669E-2</v>
      </c>
      <c r="N96" s="93">
        <f t="shared" si="163"/>
        <v>-4.3064627356093066E-2</v>
      </c>
      <c r="O96" s="93">
        <f t="shared" si="164"/>
        <v>4.9854070653595928E-2</v>
      </c>
      <c r="P96" s="93">
        <f t="shared" si="165"/>
        <v>2.4083326396900029E-2</v>
      </c>
      <c r="Q96" s="93">
        <f t="shared" si="166"/>
        <v>-4.5892034721644492E-2</v>
      </c>
      <c r="R96" s="93">
        <f t="shared" si="167"/>
        <v>4.4420604028939437E-2</v>
      </c>
      <c r="S96" s="93">
        <f t="shared" si="168"/>
        <v>6.3172527175029414E-2</v>
      </c>
      <c r="T96" s="93">
        <f t="shared" si="169"/>
        <v>6.6349270959598305E-2</v>
      </c>
      <c r="U96" s="93">
        <f t="shared" si="170"/>
        <v>0.12232909948091986</v>
      </c>
      <c r="V96" s="93">
        <f t="shared" si="171"/>
        <v>0.10909412050175971</v>
      </c>
      <c r="W96" s="93">
        <f t="shared" si="172"/>
        <v>3.7783457129948683E-2</v>
      </c>
      <c r="X96" s="93">
        <f t="shared" si="173"/>
        <v>-3.3280370239267665E-2</v>
      </c>
      <c r="Y96" s="93">
        <f t="shared" si="174"/>
        <v>7.6764414256258018E-2</v>
      </c>
      <c r="Z96" s="93">
        <f t="shared" si="175"/>
        <v>5.9694460127033944E-2</v>
      </c>
      <c r="AA96" s="93">
        <f t="shared" si="176"/>
        <v>2.9157934491882864E-2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5.7636418260471833E-2</v>
      </c>
      <c r="F97" s="89">
        <f t="shared" ref="F97:F106" si="178">IF(E23=0,"",F23/E23-1)</f>
        <v>5.0554080075472019E-2</v>
      </c>
      <c r="G97" s="89">
        <f t="shared" ref="G97:G106" si="179">IF(F23=0,"",G23/F23-1)</f>
        <v>2.2794307343840581E-2</v>
      </c>
      <c r="H97" s="89">
        <f t="shared" ref="H97:H106" si="180">IF(G23=0,"",H23/G23-1)</f>
        <v>0.10608970410227325</v>
      </c>
      <c r="I97" s="89">
        <f t="shared" ref="I97:I106" si="181">IF(H23=0,"",I23/H23-1)</f>
        <v>4.0176025997075593E-2</v>
      </c>
      <c r="J97" s="89">
        <f t="shared" ref="J97:J106" si="182">IF(I23=0,"",J23/I23-1)</f>
        <v>8.4945913985770893E-2</v>
      </c>
      <c r="K97" s="89">
        <f t="shared" ref="K97:K106" si="183">IF(J23=0,"",K23/J23-1)</f>
        <v>7.0199820356437348E-2</v>
      </c>
      <c r="L97" s="89">
        <f t="shared" ref="L97:L106" si="184">IF(K23=0,"",L23/K23-1)</f>
        <v>9.4912418285527655E-2</v>
      </c>
      <c r="M97" s="89">
        <f t="shared" ref="M97:M106" si="185">IF(L23=0,"",M23/L23-1)</f>
        <v>-4.4411630956796122E-2</v>
      </c>
      <c r="N97" s="89">
        <f t="shared" ref="N97:N106" si="186">IF(M23=0,"",N23/M23-1)</f>
        <v>-5.1789515705298217E-2</v>
      </c>
      <c r="O97" s="89">
        <f t="shared" ref="O97:O106" si="187">IF(N23=0,"",O23/N23-1)</f>
        <v>4.2883847728864E-2</v>
      </c>
      <c r="P97" s="89">
        <f t="shared" ref="P97:P106" si="188">IF(O23=0,"",P23/O23-1)</f>
        <v>2.0020509153600763E-2</v>
      </c>
      <c r="Q97" s="89">
        <f t="shared" ref="Q97:Q106" si="189">IF(P23=0,"",Q23/P23-1)</f>
        <v>4.0409855952303619E-3</v>
      </c>
      <c r="R97" s="89">
        <f t="shared" ref="R97:R106" si="190">IF(Q23=0,"",R23/Q23-1)</f>
        <v>4.1673098423102406E-2</v>
      </c>
      <c r="S97" s="89">
        <f t="shared" ref="S97:S106" si="191">IF(R23=0,"",S23/R23-1)</f>
        <v>2.6711563015513917E-2</v>
      </c>
      <c r="T97" s="89">
        <f t="shared" ref="T97:T106" si="192">IF(S23=0,"",T23/S23-1)</f>
        <v>2.8147347321756611E-2</v>
      </c>
      <c r="U97" s="89">
        <f t="shared" ref="U97:U106" si="193">IF(T23=0,"",U23/T23-1)</f>
        <v>8.4044266051768401E-2</v>
      </c>
      <c r="V97" s="89">
        <f t="shared" ref="V97:V106" si="194">IF(U23=0,"",V23/U23-1)</f>
        <v>5.7448321869141505E-2</v>
      </c>
      <c r="W97" s="89">
        <f t="shared" ref="W97:W106" si="195">IF(V23=0,"",W23/V23-1)</f>
        <v>3.8031952139007119E-2</v>
      </c>
      <c r="X97" s="89">
        <f t="shared" ref="X97:X106" si="196">IF(W23=0,"",X23/W23-1)</f>
        <v>-3.5102296242821351E-2</v>
      </c>
      <c r="Y97" s="89">
        <f t="shared" ref="Y97:Y106" si="197">IF(X23=0,"",Y23/X23-1)</f>
        <v>5.1542699265935576E-2</v>
      </c>
      <c r="Z97" s="89">
        <f t="shared" ref="Z97:Z108" si="198">IF(Y23=0,"",Z23/Y23-1)</f>
        <v>3.1234557266701213E-2</v>
      </c>
      <c r="AA97" s="89">
        <f t="shared" ref="AA97:AA108" si="199">IF(Z23=0,"",AA23/Z23-1)</f>
        <v>2.1267925943155186E-2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0.27534362118254596</v>
      </c>
      <c r="F98" s="83">
        <f t="shared" si="178"/>
        <v>-8.9793355720313661E-2</v>
      </c>
      <c r="G98" s="83">
        <f t="shared" si="179"/>
        <v>8.7633787492626514E-2</v>
      </c>
      <c r="H98" s="83">
        <f t="shared" si="180"/>
        <v>0.17320636673738354</v>
      </c>
      <c r="I98" s="83">
        <f t="shared" si="181"/>
        <v>-0.29726580584511186</v>
      </c>
      <c r="J98" s="83">
        <f t="shared" si="182"/>
        <v>-4.2916329790525509E-3</v>
      </c>
      <c r="K98" s="83">
        <f t="shared" si="183"/>
        <v>-0.24782242350514694</v>
      </c>
      <c r="L98" s="83">
        <f t="shared" si="184"/>
        <v>0.24619339296187004</v>
      </c>
      <c r="M98" s="83">
        <f t="shared" si="185"/>
        <v>-8.5006998209931517E-2</v>
      </c>
      <c r="N98" s="83">
        <f t="shared" si="186"/>
        <v>-0.18442489823992592</v>
      </c>
      <c r="O98" s="83">
        <f t="shared" si="187"/>
        <v>0.21207449917977983</v>
      </c>
      <c r="P98" s="83">
        <f t="shared" si="188"/>
        <v>-0.22086486766136981</v>
      </c>
      <c r="Q98" s="83">
        <f t="shared" si="189"/>
        <v>0.22198151522576803</v>
      </c>
      <c r="R98" s="83">
        <f t="shared" si="190"/>
        <v>-6.7627924782611926E-2</v>
      </c>
      <c r="S98" s="83">
        <f t="shared" si="191"/>
        <v>-7.5503762535744534E-2</v>
      </c>
      <c r="T98" s="83">
        <f t="shared" si="192"/>
        <v>-2.1691124054265876E-2</v>
      </c>
      <c r="U98" s="83">
        <f t="shared" si="193"/>
        <v>0.10950073700104657</v>
      </c>
      <c r="V98" s="83">
        <f t="shared" si="194"/>
        <v>7.0907078222922637E-2</v>
      </c>
      <c r="W98" s="83">
        <f t="shared" si="195"/>
        <v>-8.1621125845344755E-3</v>
      </c>
      <c r="X98" s="83">
        <f t="shared" si="196"/>
        <v>-8.8914440152101148E-2</v>
      </c>
      <c r="Y98" s="83">
        <f t="shared" si="197"/>
        <v>0.19501316180518047</v>
      </c>
      <c r="Z98" s="83">
        <f t="shared" si="198"/>
        <v>-0.15940891838625448</v>
      </c>
      <c r="AA98" s="83">
        <f t="shared" si="199"/>
        <v>4.4319867429462922E-2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-5.7182495085626561E-2</v>
      </c>
      <c r="F99" s="83">
        <f t="shared" si="178"/>
        <v>4.2428573411849912E-2</v>
      </c>
      <c r="G99" s="83">
        <f t="shared" si="179"/>
        <v>-0.1696945228557557</v>
      </c>
      <c r="H99" s="83">
        <f t="shared" si="180"/>
        <v>2.1303043459261817E-2</v>
      </c>
      <c r="I99" s="83">
        <f t="shared" si="181"/>
        <v>4.5814436550470461E-2</v>
      </c>
      <c r="J99" s="83">
        <f t="shared" si="182"/>
        <v>0.13846619146728512</v>
      </c>
      <c r="K99" s="83">
        <f t="shared" si="183"/>
        <v>-4.4264731166424376E-2</v>
      </c>
      <c r="L99" s="83">
        <f t="shared" si="184"/>
        <v>-0.16697208698954125</v>
      </c>
      <c r="M99" s="83">
        <f t="shared" si="185"/>
        <v>0.25536803124338059</v>
      </c>
      <c r="N99" s="83">
        <f t="shared" si="186"/>
        <v>0.11169646948237544</v>
      </c>
      <c r="O99" s="83">
        <f t="shared" si="187"/>
        <v>-0.39223531433135339</v>
      </c>
      <c r="P99" s="83">
        <f t="shared" si="188"/>
        <v>0.90296933121260925</v>
      </c>
      <c r="Q99" s="83">
        <f t="shared" si="189"/>
        <v>-0.31711875713357529</v>
      </c>
      <c r="R99" s="83">
        <f t="shared" si="190"/>
        <v>-0.22349221162944066</v>
      </c>
      <c r="S99" s="83">
        <f t="shared" si="191"/>
        <v>0.1759716402641982</v>
      </c>
      <c r="T99" s="83">
        <f t="shared" si="192"/>
        <v>-0.26890972539353131</v>
      </c>
      <c r="U99" s="83">
        <f t="shared" si="193"/>
        <v>5.7929270177895065E-2</v>
      </c>
      <c r="V99" s="83">
        <f t="shared" si="194"/>
        <v>0.17418638050225055</v>
      </c>
      <c r="W99" s="83">
        <f t="shared" si="195"/>
        <v>0.26910744871085224</v>
      </c>
      <c r="X99" s="83">
        <f t="shared" si="196"/>
        <v>-0.10833671902702391</v>
      </c>
      <c r="Y99" s="83">
        <f t="shared" si="197"/>
        <v>-0.1909694457146599</v>
      </c>
      <c r="Z99" s="83">
        <f t="shared" si="198"/>
        <v>1.8450091793924503</v>
      </c>
      <c r="AA99" s="83">
        <f t="shared" si="199"/>
        <v>-0.33144439275093729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-3.0488672382594562E-2</v>
      </c>
      <c r="F100" s="83">
        <f t="shared" si="178"/>
        <v>6.2636232653253687E-2</v>
      </c>
      <c r="G100" s="83">
        <f t="shared" si="179"/>
        <v>2.4990023225996527E-2</v>
      </c>
      <c r="H100" s="83">
        <f t="shared" si="180"/>
        <v>9.6668617310808447E-2</v>
      </c>
      <c r="I100" s="83">
        <f t="shared" si="181"/>
        <v>0.11641194676316902</v>
      </c>
      <c r="J100" s="83">
        <f t="shared" si="182"/>
        <v>8.7708084601776815E-2</v>
      </c>
      <c r="K100" s="83">
        <f t="shared" si="183"/>
        <v>9.3600562939996079E-2</v>
      </c>
      <c r="L100" s="83">
        <f t="shared" si="184"/>
        <v>2.6638375696718342E-2</v>
      </c>
      <c r="M100" s="83">
        <f t="shared" si="185"/>
        <v>-1.76172452408212E-2</v>
      </c>
      <c r="N100" s="83">
        <f t="shared" si="186"/>
        <v>-5.7082705974504933E-2</v>
      </c>
      <c r="O100" s="83">
        <f t="shared" si="187"/>
        <v>-2.3502729389784593E-2</v>
      </c>
      <c r="P100" s="83">
        <f t="shared" si="188"/>
        <v>0.17451246480271498</v>
      </c>
      <c r="Q100" s="83">
        <f t="shared" si="189"/>
        <v>2.7654509849753595E-2</v>
      </c>
      <c r="R100" s="83">
        <f t="shared" si="190"/>
        <v>4.133621499947604E-2</v>
      </c>
      <c r="S100" s="83">
        <f t="shared" si="191"/>
        <v>6.6722539878508735E-2</v>
      </c>
      <c r="T100" s="83">
        <f t="shared" si="192"/>
        <v>5.4758660487948863E-2</v>
      </c>
      <c r="U100" s="83">
        <f t="shared" si="193"/>
        <v>0.10634792307052354</v>
      </c>
      <c r="V100" s="83">
        <f t="shared" si="194"/>
        <v>5.8212637757507402E-2</v>
      </c>
      <c r="W100" s="83">
        <f t="shared" si="195"/>
        <v>6.3986423067161624E-2</v>
      </c>
      <c r="X100" s="83">
        <f t="shared" si="196"/>
        <v>-1.1916358113347347E-2</v>
      </c>
      <c r="Y100" s="83">
        <f t="shared" si="197"/>
        <v>4.7108207510342837E-2</v>
      </c>
      <c r="Z100" s="83">
        <f t="shared" si="198"/>
        <v>3.0422111921756256E-2</v>
      </c>
      <c r="AA100" s="83">
        <f t="shared" si="199"/>
        <v>3.0281841056061243E-2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7.2842981013623298E-3</v>
      </c>
      <c r="F101" s="84">
        <f t="shared" si="178"/>
        <v>9.354309824729734E-2</v>
      </c>
      <c r="G101" s="84">
        <f t="shared" si="179"/>
        <v>4.6406245922668621E-2</v>
      </c>
      <c r="H101" s="84">
        <f t="shared" si="180"/>
        <v>0.11420472245878632</v>
      </c>
      <c r="I101" s="84">
        <f t="shared" si="181"/>
        <v>0.13876508926318887</v>
      </c>
      <c r="J101" s="84">
        <f t="shared" si="182"/>
        <v>6.6609542878619754E-2</v>
      </c>
      <c r="K101" s="84">
        <f t="shared" si="183"/>
        <v>1.4954757035560151E-2</v>
      </c>
      <c r="L101" s="84">
        <f t="shared" si="184"/>
        <v>5.0799459915024325E-2</v>
      </c>
      <c r="M101" s="84">
        <f t="shared" si="185"/>
        <v>3.6875497870756835E-2</v>
      </c>
      <c r="N101" s="84">
        <f t="shared" si="186"/>
        <v>-3.3156106516296302E-2</v>
      </c>
      <c r="O101" s="84">
        <f t="shared" si="187"/>
        <v>-0.12044160949098659</v>
      </c>
      <c r="P101" s="84">
        <f t="shared" si="188"/>
        <v>0.14995360127175283</v>
      </c>
      <c r="Q101" s="84">
        <f t="shared" si="189"/>
        <v>7.0045363223919521E-2</v>
      </c>
      <c r="R101" s="84">
        <f t="shared" si="190"/>
        <v>3.8547631528033977E-2</v>
      </c>
      <c r="S101" s="84">
        <f t="shared" si="191"/>
        <v>-1.3000134292503795E-2</v>
      </c>
      <c r="T101" s="84">
        <f t="shared" si="192"/>
        <v>9.7832335363203571E-2</v>
      </c>
      <c r="U101" s="84">
        <f t="shared" si="193"/>
        <v>0.12433329416845562</v>
      </c>
      <c r="V101" s="84">
        <f t="shared" si="194"/>
        <v>0.11227784175757627</v>
      </c>
      <c r="W101" s="84">
        <f t="shared" si="195"/>
        <v>8.5498609278414461E-2</v>
      </c>
      <c r="X101" s="84">
        <f t="shared" si="196"/>
        <v>-6.5590300654769784E-2</v>
      </c>
      <c r="Y101" s="84">
        <f t="shared" si="197"/>
        <v>-2.2638498959038245E-2</v>
      </c>
      <c r="Z101" s="84">
        <f t="shared" si="198"/>
        <v>2.3615565154722962E-2</v>
      </c>
      <c r="AA101" s="84">
        <f t="shared" si="199"/>
        <v>1.8583140050257185E-2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-3.0694676855298031E-2</v>
      </c>
      <c r="F102" s="84">
        <f t="shared" si="178"/>
        <v>7.3913045180522996E-2</v>
      </c>
      <c r="G102" s="84">
        <f t="shared" si="179"/>
        <v>-3.2083088228917922E-2</v>
      </c>
      <c r="H102" s="84">
        <f t="shared" si="180"/>
        <v>7.9104881761600243E-2</v>
      </c>
      <c r="I102" s="84">
        <f t="shared" si="181"/>
        <v>8.6128278150517046E-2</v>
      </c>
      <c r="J102" s="84">
        <f t="shared" si="182"/>
        <v>9.1336373942833005E-2</v>
      </c>
      <c r="K102" s="84">
        <f t="shared" si="183"/>
        <v>0.18943199257296794</v>
      </c>
      <c r="L102" s="84">
        <f t="shared" si="184"/>
        <v>4.4532337270410949E-3</v>
      </c>
      <c r="M102" s="84">
        <f t="shared" si="185"/>
        <v>-1.7992214635897952E-3</v>
      </c>
      <c r="N102" s="84">
        <f t="shared" si="186"/>
        <v>2.6598240623156855E-2</v>
      </c>
      <c r="O102" s="84">
        <f t="shared" si="187"/>
        <v>6.3670775578072991E-2</v>
      </c>
      <c r="P102" s="84">
        <f t="shared" si="188"/>
        <v>4.4686808376030562E-2</v>
      </c>
      <c r="Q102" s="84">
        <f t="shared" si="189"/>
        <v>0.1304214298644395</v>
      </c>
      <c r="R102" s="84">
        <f t="shared" si="190"/>
        <v>1.5964133237839073E-2</v>
      </c>
      <c r="S102" s="84">
        <f t="shared" si="191"/>
        <v>9.7543112130829002E-2</v>
      </c>
      <c r="T102" s="84">
        <f t="shared" si="192"/>
        <v>-2.5180780209448361E-3</v>
      </c>
      <c r="U102" s="84">
        <f t="shared" si="193"/>
        <v>8.7581955023588343E-2</v>
      </c>
      <c r="V102" s="84">
        <f t="shared" si="194"/>
        <v>5.7232936623616837E-3</v>
      </c>
      <c r="W102" s="84">
        <f t="shared" si="195"/>
        <v>7.1323953513765526E-2</v>
      </c>
      <c r="X102" s="84">
        <f t="shared" si="196"/>
        <v>-9.9284642646914056E-3</v>
      </c>
      <c r="Y102" s="84">
        <f t="shared" si="197"/>
        <v>3.7107123154211941E-2</v>
      </c>
      <c r="Z102" s="84">
        <f t="shared" si="198"/>
        <v>5.7511020961224624E-2</v>
      </c>
      <c r="AA102" s="84">
        <f t="shared" si="199"/>
        <v>4.9234478209033261E-2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-9.1317418927988392E-2</v>
      </c>
      <c r="F103" s="84">
        <f t="shared" si="178"/>
        <v>-1.419968714462494E-2</v>
      </c>
      <c r="G103" s="84">
        <f t="shared" si="179"/>
        <v>9.9940274994017697E-2</v>
      </c>
      <c r="H103" s="84">
        <f t="shared" si="180"/>
        <v>9.5285122177091397E-2</v>
      </c>
      <c r="I103" s="84">
        <f t="shared" si="181"/>
        <v>0.12742281757399665</v>
      </c>
      <c r="J103" s="84">
        <f t="shared" si="182"/>
        <v>0.12254818514689902</v>
      </c>
      <c r="K103" s="84">
        <f t="shared" si="183"/>
        <v>7.8758258144388416E-2</v>
      </c>
      <c r="L103" s="84">
        <f t="shared" si="184"/>
        <v>2.5509773034088301E-2</v>
      </c>
      <c r="M103" s="84">
        <f t="shared" si="185"/>
        <v>-0.14340376172586866</v>
      </c>
      <c r="N103" s="84">
        <f t="shared" si="186"/>
        <v>-0.28496364818141884</v>
      </c>
      <c r="O103" s="84">
        <f t="shared" si="187"/>
        <v>-4.0496867461767838E-3</v>
      </c>
      <c r="P103" s="84">
        <f t="shared" si="188"/>
        <v>0.65704203113778936</v>
      </c>
      <c r="Q103" s="84">
        <f t="shared" si="189"/>
        <v>-0.25740273230227384</v>
      </c>
      <c r="R103" s="84">
        <f t="shared" si="190"/>
        <v>0.12715188968144298</v>
      </c>
      <c r="S103" s="84">
        <f t="shared" si="191"/>
        <v>0.17002588545260577</v>
      </c>
      <c r="T103" s="84">
        <f t="shared" si="192"/>
        <v>0.11851368828464759</v>
      </c>
      <c r="U103" s="84">
        <f t="shared" si="193"/>
        <v>0.11482100242106807</v>
      </c>
      <c r="V103" s="84">
        <f t="shared" si="194"/>
        <v>7.0613844696292949E-2</v>
      </c>
      <c r="W103" s="84">
        <f t="shared" si="195"/>
        <v>3.938415121770511E-3</v>
      </c>
      <c r="X103" s="84">
        <f t="shared" si="196"/>
        <v>0.10314680569084667</v>
      </c>
      <c r="Y103" s="84">
        <f t="shared" si="197"/>
        <v>0.1992680575957464</v>
      </c>
      <c r="Z103" s="84">
        <f t="shared" si="198"/>
        <v>-7.1520642128499734E-3</v>
      </c>
      <c r="AA103" s="84">
        <f t="shared" si="199"/>
        <v>1.3031890189714623E-2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-0.10357567653193867</v>
      </c>
      <c r="F104" s="83">
        <f t="shared" si="178"/>
        <v>0.50675590295568784</v>
      </c>
      <c r="G104" s="83">
        <f t="shared" si="179"/>
        <v>-0.1053699623519081</v>
      </c>
      <c r="H104" s="83">
        <f t="shared" si="180"/>
        <v>2.0536174272933083E-2</v>
      </c>
      <c r="I104" s="83">
        <f t="shared" si="181"/>
        <v>8.3312336865384085E-2</v>
      </c>
      <c r="J104" s="83">
        <f t="shared" si="182"/>
        <v>-1.6960354335971872E-2</v>
      </c>
      <c r="K104" s="83">
        <f t="shared" si="183"/>
        <v>-7.1326234880738193E-2</v>
      </c>
      <c r="L104" s="83">
        <f t="shared" si="184"/>
        <v>0.11090665333795302</v>
      </c>
      <c r="M104" s="83">
        <f t="shared" si="185"/>
        <v>0.24973864742271479</v>
      </c>
      <c r="N104" s="83">
        <f t="shared" si="186"/>
        <v>0.1842656002552514</v>
      </c>
      <c r="O104" s="83">
        <f t="shared" si="187"/>
        <v>0.7428121067190494</v>
      </c>
      <c r="P104" s="83">
        <f t="shared" si="188"/>
        <v>-0.47999047469339051</v>
      </c>
      <c r="Q104" s="83">
        <f t="shared" si="189"/>
        <v>0.22565267889068141</v>
      </c>
      <c r="R104" s="83">
        <f t="shared" si="190"/>
        <v>0.42435234620770701</v>
      </c>
      <c r="S104" s="83">
        <f t="shared" si="191"/>
        <v>-0.24064455263968643</v>
      </c>
      <c r="T104" s="83">
        <f t="shared" si="192"/>
        <v>-3.7084147498148035E-2</v>
      </c>
      <c r="U104" s="83">
        <f t="shared" si="193"/>
        <v>-0.11197816514447634</v>
      </c>
      <c r="V104" s="83">
        <f t="shared" si="194"/>
        <v>3.2601306549810305E-2</v>
      </c>
      <c r="W104" s="83">
        <f t="shared" si="195"/>
        <v>-0.1461202938187971</v>
      </c>
      <c r="X104" s="83">
        <f t="shared" si="196"/>
        <v>-9.5392548948581624E-2</v>
      </c>
      <c r="Y104" s="83">
        <f t="shared" si="197"/>
        <v>0.23499924996802912</v>
      </c>
      <c r="Z104" s="83">
        <f t="shared" si="198"/>
        <v>0.47102531243731249</v>
      </c>
      <c r="AA104" s="83">
        <f t="shared" si="199"/>
        <v>-1.249846133720145E-2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0.14880283779583436</v>
      </c>
      <c r="F105" s="83">
        <f t="shared" si="178"/>
        <v>0.14304162719508207</v>
      </c>
      <c r="G105" s="83">
        <f t="shared" si="179"/>
        <v>5.9195695089971911E-2</v>
      </c>
      <c r="H105" s="83">
        <f t="shared" si="180"/>
        <v>0.11192344814006283</v>
      </c>
      <c r="I105" s="83">
        <f t="shared" si="181"/>
        <v>0.15771370820881603</v>
      </c>
      <c r="J105" s="83">
        <f t="shared" si="182"/>
        <v>0.22639866754501758</v>
      </c>
      <c r="K105" s="83">
        <f t="shared" si="183"/>
        <v>0.28528470637266889</v>
      </c>
      <c r="L105" s="83">
        <f t="shared" si="184"/>
        <v>0.28964720103869013</v>
      </c>
      <c r="M105" s="83">
        <f t="shared" si="185"/>
        <v>-0.11276986403934219</v>
      </c>
      <c r="N105" s="83">
        <f t="shared" si="186"/>
        <v>-0.28034511360848047</v>
      </c>
      <c r="O105" s="83">
        <f t="shared" si="187"/>
        <v>-0.12981904857970428</v>
      </c>
      <c r="P105" s="83">
        <f t="shared" si="188"/>
        <v>0.17044769996869791</v>
      </c>
      <c r="Q105" s="83">
        <f t="shared" si="189"/>
        <v>-8.3460519611942563E-2</v>
      </c>
      <c r="R105" s="83">
        <f t="shared" si="190"/>
        <v>-3.6631266402366469E-2</v>
      </c>
      <c r="S105" s="83">
        <f t="shared" si="191"/>
        <v>-3.9909346698064008E-2</v>
      </c>
      <c r="T105" s="83">
        <f t="shared" si="192"/>
        <v>2.7172667275460194E-2</v>
      </c>
      <c r="U105" s="83">
        <f t="shared" si="193"/>
        <v>-3.5436523663485708E-2</v>
      </c>
      <c r="V105" s="83">
        <f t="shared" si="194"/>
        <v>0.16138636678318496</v>
      </c>
      <c r="W105" s="83">
        <f t="shared" si="195"/>
        <v>0.10068675974427421</v>
      </c>
      <c r="X105" s="83">
        <f t="shared" si="196"/>
        <v>-1.327447134654347E-2</v>
      </c>
      <c r="Y105" s="83">
        <f t="shared" si="197"/>
        <v>4.397978557459159E-2</v>
      </c>
      <c r="Z105" s="83">
        <f t="shared" si="198"/>
        <v>7.6779381560907689E-2</v>
      </c>
      <c r="AA105" s="83">
        <f t="shared" si="199"/>
        <v>0.14761960751353831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0.183891968623354</v>
      </c>
      <c r="F106" s="83">
        <f t="shared" si="178"/>
        <v>2.4821140516548601E-2</v>
      </c>
      <c r="G106" s="83">
        <f t="shared" si="179"/>
        <v>1.3744936967943655E-2</v>
      </c>
      <c r="H106" s="83">
        <f t="shared" si="180"/>
        <v>0.10733663508143465</v>
      </c>
      <c r="I106" s="83">
        <f t="shared" si="181"/>
        <v>3.4782991727622115E-2</v>
      </c>
      <c r="J106" s="83">
        <f t="shared" si="182"/>
        <v>8.0122164521621242E-2</v>
      </c>
      <c r="K106" s="83">
        <f t="shared" si="183"/>
        <v>8.167671649136854E-2</v>
      </c>
      <c r="L106" s="83">
        <f t="shared" si="184"/>
        <v>0.14547692878884089</v>
      </c>
      <c r="M106" s="83">
        <f t="shared" si="185"/>
        <v>-0.10768362420499811</v>
      </c>
      <c r="N106" s="83">
        <f t="shared" si="186"/>
        <v>7.0873830643920277E-2</v>
      </c>
      <c r="O106" s="83">
        <f t="shared" si="187"/>
        <v>9.7993056254821909E-2</v>
      </c>
      <c r="P106" s="83">
        <f t="shared" si="188"/>
        <v>-0.13244806027232414</v>
      </c>
      <c r="Q106" s="83">
        <f t="shared" si="189"/>
        <v>-9.1002641959507247E-2</v>
      </c>
      <c r="R106" s="83">
        <f t="shared" si="190"/>
        <v>2.4282762613236919E-2</v>
      </c>
      <c r="S106" s="83">
        <f t="shared" si="191"/>
        <v>4.8863382134618494E-2</v>
      </c>
      <c r="T106" s="83">
        <f t="shared" si="192"/>
        <v>-8.1150305097141828E-3</v>
      </c>
      <c r="U106" s="83">
        <f t="shared" si="193"/>
        <v>9.7107516919301418E-2</v>
      </c>
      <c r="V106" s="83">
        <f t="shared" si="194"/>
        <v>2.0705633779854571E-2</v>
      </c>
      <c r="W106" s="83">
        <f t="shared" si="195"/>
        <v>-3.1655684300789244E-2</v>
      </c>
      <c r="X106" s="83">
        <f t="shared" si="196"/>
        <v>-0.10093851916442254</v>
      </c>
      <c r="Y106" s="83">
        <f t="shared" si="197"/>
        <v>1.3786048935386708E-2</v>
      </c>
      <c r="Z106" s="83">
        <f t="shared" si="198"/>
        <v>-0.10318329697942552</v>
      </c>
      <c r="AA106" s="83">
        <f t="shared" si="199"/>
        <v>-3.5338824884174502E-2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7.2765531833440145E-2</v>
      </c>
      <c r="F107" s="87">
        <f t="shared" ref="F107:F108" si="201">IF(E33=0,"",F33/E33-1)</f>
        <v>-4.8431453202620545E-2</v>
      </c>
      <c r="G107" s="87">
        <f t="shared" ref="G107:G108" si="202">IF(F33=0,"",G33/F33-1)</f>
        <v>-0.14519664249568731</v>
      </c>
      <c r="H107" s="87">
        <f t="shared" ref="H107:H108" si="203">IF(G33=0,"",H33/G33-1)</f>
        <v>0.30423063526511829</v>
      </c>
      <c r="I107" s="87">
        <f t="shared" ref="I107:I108" si="204">IF(H33=0,"",I33/H33-1)</f>
        <v>-8.4067776849557574E-2</v>
      </c>
      <c r="J107" s="87">
        <f t="shared" ref="J107:J108" si="205">IF(I33=0,"",J33/I33-1)</f>
        <v>5.0684805008284428E-2</v>
      </c>
      <c r="K107" s="87">
        <f t="shared" ref="K107:K108" si="206">IF(J33=0,"",K33/J33-1)</f>
        <v>9.7586000450598398E-2</v>
      </c>
      <c r="L107" s="87">
        <f t="shared" ref="L107:L108" si="207">IF(K33=0,"",L33/K33-1)</f>
        <v>4.5953237236549649E-2</v>
      </c>
      <c r="M107" s="87">
        <f t="shared" ref="M107:M108" si="208">IF(L33=0,"",M33/L33-1)</f>
        <v>-0.40415272236625488</v>
      </c>
      <c r="N107" s="87">
        <f t="shared" ref="N107:N108" si="209">IF(M33=0,"",N33/M33-1)</f>
        <v>2.1245379413070427</v>
      </c>
      <c r="O107" s="87">
        <f t="shared" ref="O107:O108" si="210">IF(N33=0,"",O33/N33-1)</f>
        <v>-0.11284031898265412</v>
      </c>
      <c r="P107" s="87">
        <f t="shared" ref="P107:P108" si="211">IF(O33=0,"",P33/O33-1)</f>
        <v>-9.5110929232616992E-2</v>
      </c>
      <c r="Q107" s="87">
        <f t="shared" ref="Q107:Q108" si="212">IF(P33=0,"",Q33/P33-1)</f>
        <v>-0.17826691435435382</v>
      </c>
      <c r="R107" s="87">
        <f t="shared" ref="R107:R108" si="213">IF(Q33=0,"",R33/Q33-1)</f>
        <v>-0.14791571370074608</v>
      </c>
      <c r="S107" s="87">
        <f t="shared" ref="S107:S108" si="214">IF(R33=0,"",S33/R33-1)</f>
        <v>6.615247978676142E-2</v>
      </c>
      <c r="T107" s="87">
        <f t="shared" ref="T107:T108" si="215">IF(S33=0,"",T33/S33-1)</f>
        <v>-6.9525995347683112E-2</v>
      </c>
      <c r="U107" s="87">
        <f t="shared" ref="U107:U108" si="216">IF(T33=0,"",U33/T33-1)</f>
        <v>0.23000072247335046</v>
      </c>
      <c r="V107" s="87">
        <f t="shared" ref="V107:V108" si="217">IF(U33=0,"",V33/U33-1)</f>
        <v>2.5582021421008072E-2</v>
      </c>
      <c r="W107" s="87">
        <f t="shared" ref="W107:W108" si="218">IF(V33=0,"",W33/V33-1)</f>
        <v>-0.25590152457942372</v>
      </c>
      <c r="X107" s="87">
        <f t="shared" ref="X107:X108" si="219">IF(W33=0,"",X33/W33-1)</f>
        <v>-0.40529882007692342</v>
      </c>
      <c r="Y107" s="87">
        <f t="shared" ref="Y107:Y108" si="220">IF(X33=0,"",Y33/X33-1)</f>
        <v>1.267199114418792</v>
      </c>
      <c r="Z107" s="87">
        <f t="shared" si="198"/>
        <v>-0.27248741763690787</v>
      </c>
      <c r="AA107" s="87">
        <f t="shared" si="199"/>
        <v>-0.5737342377937672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7.2765531833439923E-2</v>
      </c>
      <c r="F108" s="89">
        <f t="shared" si="201"/>
        <v>-4.8431453202620434E-2</v>
      </c>
      <c r="G108" s="89">
        <f t="shared" si="202"/>
        <v>-0.14519664249568731</v>
      </c>
      <c r="H108" s="89">
        <f t="shared" si="203"/>
        <v>0.30423063526511829</v>
      </c>
      <c r="I108" s="89">
        <f t="shared" si="204"/>
        <v>-8.4067776849557463E-2</v>
      </c>
      <c r="J108" s="89">
        <f t="shared" si="205"/>
        <v>5.0684805008284428E-2</v>
      </c>
      <c r="K108" s="89">
        <f t="shared" si="206"/>
        <v>9.7586000450598176E-2</v>
      </c>
      <c r="L108" s="89">
        <f t="shared" si="207"/>
        <v>4.5953237236549649E-2</v>
      </c>
      <c r="M108" s="89">
        <f t="shared" si="208"/>
        <v>-0.51221870886120979</v>
      </c>
      <c r="N108" s="89">
        <f t="shared" si="209"/>
        <v>2.2906565328998578</v>
      </c>
      <c r="O108" s="89">
        <f t="shared" si="210"/>
        <v>-0.20357163585366611</v>
      </c>
      <c r="P108" s="89">
        <f t="shared" si="211"/>
        <v>5.0367683735316193E-2</v>
      </c>
      <c r="Q108" s="89">
        <f t="shared" si="212"/>
        <v>-0.23874887867929884</v>
      </c>
      <c r="R108" s="89">
        <f t="shared" si="213"/>
        <v>-4.5313843570376489E-2</v>
      </c>
      <c r="S108" s="89">
        <f t="shared" si="214"/>
        <v>-7.1971084522305051E-2</v>
      </c>
      <c r="T108" s="89">
        <f t="shared" si="215"/>
        <v>-0.1860961579043251</v>
      </c>
      <c r="U108" s="89">
        <f t="shared" si="216"/>
        <v>0.2606719912501414</v>
      </c>
      <c r="V108" s="89">
        <f t="shared" si="217"/>
        <v>7.6804819307390026E-2</v>
      </c>
      <c r="W108" s="89">
        <f t="shared" si="218"/>
        <v>-0.39110807308513706</v>
      </c>
      <c r="X108" s="89">
        <f t="shared" si="219"/>
        <v>-0.69995900952671197</v>
      </c>
      <c r="Y108" s="89">
        <f t="shared" si="220"/>
        <v>3.5112851089105526</v>
      </c>
      <c r="Z108" s="89">
        <f t="shared" si="198"/>
        <v>-0.2209536669046912</v>
      </c>
      <c r="AA108" s="89">
        <f t="shared" si="199"/>
        <v>-0.63331021713088531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7.2765531833440589E-2</v>
      </c>
      <c r="F109" s="89">
        <f t="shared" ref="F109" si="222">IF(E37=0,"",F37/E37-1)</f>
        <v>-4.84314532026211E-2</v>
      </c>
      <c r="G109" s="89">
        <f t="shared" ref="G109" si="223">IF(F37=0,"",G37/F37-1)</f>
        <v>-0.14519664249568764</v>
      </c>
      <c r="H109" s="89">
        <f t="shared" ref="H109" si="224">IF(G37=0,"",H37/G37-1)</f>
        <v>0.30423063526511851</v>
      </c>
      <c r="I109" s="89">
        <f t="shared" ref="I109" si="225">IF(H37=0,"",I37/H37-1)</f>
        <v>-8.4067776849557574E-2</v>
      </c>
      <c r="J109" s="89">
        <f t="shared" ref="J109" si="226">IF(I37=0,"",J37/I37-1)</f>
        <v>5.0684805008285094E-2</v>
      </c>
      <c r="K109" s="89">
        <f t="shared" ref="K109" si="227">IF(J37=0,"",K37/J37-1)</f>
        <v>9.7586000450598176E-2</v>
      </c>
      <c r="L109" s="89">
        <f t="shared" ref="L109" si="228">IF(K37=0,"",L37/K37-1)</f>
        <v>4.5953237236549205E-2</v>
      </c>
      <c r="M109" s="89">
        <f t="shared" ref="M109" si="229">IF(L37=0,"",M37/L37-1)</f>
        <v>0.15622375661791454</v>
      </c>
      <c r="N109" s="89">
        <f t="shared" ref="N109" si="230">IF(M37=0,"",N37/M37-1)</f>
        <v>1.7611317127392394</v>
      </c>
      <c r="O109" s="89">
        <f t="shared" ref="O109" si="231">IF(N37=0,"",O37/N37-1)</f>
        <v>0.12371176092188829</v>
      </c>
      <c r="P109" s="89">
        <f t="shared" ref="P109" si="232">IF(O37=0,"",P37/O37-1)</f>
        <v>-0.36393026326069167</v>
      </c>
      <c r="Q109" s="89">
        <f t="shared" ref="Q109" si="233">IF(P37=0,"",Q37/P37-1)</f>
        <v>6.2872525898727272E-3</v>
      </c>
      <c r="R109" s="89">
        <f t="shared" ref="R109" si="234">IF(Q37=0,"",R37/Q37-1)</f>
        <v>-0.38475798571067799</v>
      </c>
      <c r="S109" s="89">
        <f t="shared" ref="S109" si="235">IF(R37=0,"",S37/R37-1)</f>
        <v>0.56090311264917769</v>
      </c>
      <c r="T109" s="89">
        <f t="shared" ref="T109" si="236">IF(S37=0,"",T37/S37-1)</f>
        <v>0.17872531248312518</v>
      </c>
      <c r="U109" s="89">
        <f t="shared" ref="U109" si="237">IF(T37=0,"",U37/T37-1)</f>
        <v>0.18489866297505309</v>
      </c>
      <c r="V109" s="89">
        <f t="shared" ref="V109" si="238">IF(U37=0,"",V37/U37-1)</f>
        <v>-5.4557883562616261E-2</v>
      </c>
      <c r="W109" s="89">
        <f t="shared" ref="W109" si="239">IF(V37=0,"",W37/V37-1)</f>
        <v>-1.4974621239507768E-2</v>
      </c>
      <c r="X109" s="89">
        <f t="shared" ref="X109" si="240">IF(W37=0,"",X37/W37-1)</f>
        <v>-8.073371048569622E-2</v>
      </c>
      <c r="Y109" s="89">
        <f t="shared" ref="Y109" si="241">IF(X37=0,"",Y37/X37-1)</f>
        <v>0.46041169132581961</v>
      </c>
      <c r="Z109" s="89">
        <f t="shared" ref="Z109" si="242">IF(Y37=0,"",Z37/Y37-1)</f>
        <v>-0.32971907865945738</v>
      </c>
      <c r="AA109" s="89">
        <f t="shared" ref="AA109" si="243">IF(Z37=0,"",AA37/Z37-1)</f>
        <v>-0.49683496762340074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0.12104707867295472</v>
      </c>
      <c r="F110" s="89">
        <f t="shared" ref="F110:F111" si="245">IF(E43=0,"",F43/E43-1)</f>
        <v>-3.2177211831471153E-3</v>
      </c>
      <c r="G110" s="89">
        <f t="shared" ref="G110:G111" si="246">IF(F43=0,"",G43/F43-1)</f>
        <v>1.229917535047198E-2</v>
      </c>
      <c r="H110" s="89">
        <f t="shared" ref="H110:H111" si="247">IF(G43=0,"",H43/G43-1)</f>
        <v>0.10353416299113194</v>
      </c>
      <c r="I110" s="89">
        <f t="shared" ref="I110:I111" si="248">IF(H43=0,"",I43/H43-1)</f>
        <v>-6.0609190819689185E-2</v>
      </c>
      <c r="J110" s="89">
        <f t="shared" ref="J110:J111" si="249">IF(I43=0,"",J43/I43-1)</f>
        <v>0.11984762499011059</v>
      </c>
      <c r="K110" s="89">
        <f t="shared" ref="K110:K111" si="250">IF(J43=0,"",K43/J43-1)</f>
        <v>-1.3798247485190873E-2</v>
      </c>
      <c r="L110" s="89">
        <f t="shared" ref="L110:L111" si="251">IF(K43=0,"",L43/K43-1)</f>
        <v>0.18298476316554035</v>
      </c>
      <c r="M110" s="89">
        <f t="shared" ref="M110:M111" si="252">IF(L43=0,"",M43/L43-1)</f>
        <v>-7.5379356031284317E-2</v>
      </c>
      <c r="N110" s="89">
        <f t="shared" ref="N110:N111" si="253">IF(M43=0,"",N43/M43-1)</f>
        <v>-0.64349196527197094</v>
      </c>
      <c r="O110" s="89">
        <f t="shared" ref="O110:O111" si="254">IF(N43=0,"",O43/N43-1)</f>
        <v>1.1990512316121826</v>
      </c>
      <c r="P110" s="89">
        <f t="shared" ref="P110:P111" si="255">IF(O43=0,"",P43/O43-1)</f>
        <v>0.37454467441328276</v>
      </c>
      <c r="Q110" s="89">
        <f t="shared" ref="Q110:Q111" si="256">IF(P43=0,"",Q43/P43-1)</f>
        <v>-0.22323771609860976</v>
      </c>
      <c r="R110" s="89">
        <f t="shared" ref="R110:R111" si="257">IF(Q43=0,"",R43/Q43-1)</f>
        <v>0.26232040329619388</v>
      </c>
      <c r="S110" s="89">
        <f t="shared" ref="S110:S111" si="258">IF(R43=0,"",S43/R43-1)</f>
        <v>8.4283052533415947E-2</v>
      </c>
      <c r="T110" s="89">
        <f t="shared" ref="T110:T111" si="259">IF(S43=0,"",T43/S43-1)</f>
        <v>-0.24893137300253176</v>
      </c>
      <c r="U110" s="89">
        <f t="shared" ref="U110:U111" si="260">IF(T43=0,"",U43/T43-1)</f>
        <v>0.21956433022977384</v>
      </c>
      <c r="V110" s="89">
        <f t="shared" ref="V110:V111" si="261">IF(U43=0,"",V43/U43-1)</f>
        <v>-0.11011837619669118</v>
      </c>
      <c r="W110" s="89">
        <f t="shared" ref="W110:W111" si="262">IF(V43=0,"",W43/V43-1)</f>
        <v>-6.4753607060977214E-2</v>
      </c>
      <c r="X110" s="89">
        <f t="shared" ref="X110:X111" si="263">IF(W43=0,"",X43/W43-1)</f>
        <v>3.5574896980007376E-2</v>
      </c>
      <c r="Y110" s="89">
        <f t="shared" ref="Y110:Y111" si="264">IF(X43=0,"",Y43/X43-1)</f>
        <v>4.1636240809999281E-2</v>
      </c>
      <c r="Z110" s="89">
        <f t="shared" ref="Z110:Z111" si="265">IF(Y43=0,"",Z43/Y43-1)</f>
        <v>2.2388512775595171E-2</v>
      </c>
      <c r="AA110" s="89">
        <f t="shared" ref="AA110:AA111" si="266">IF(Z43=0,"",AA43/Z43-1)</f>
        <v>-7.6227429482248699E-2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0.20396963444142524</v>
      </c>
      <c r="F111" s="89">
        <f t="shared" si="245"/>
        <v>-3.2079612808649571E-2</v>
      </c>
      <c r="G111" s="89">
        <f t="shared" si="246"/>
        <v>3.2920117061249199E-2</v>
      </c>
      <c r="H111" s="89">
        <f t="shared" si="247"/>
        <v>0.11373163269639996</v>
      </c>
      <c r="I111" s="89">
        <f t="shared" si="248"/>
        <v>-8.108432003242394E-2</v>
      </c>
      <c r="J111" s="89">
        <f t="shared" si="249"/>
        <v>0.10416042664711522</v>
      </c>
      <c r="K111" s="89">
        <f t="shared" si="250"/>
        <v>5.3990901398840885E-2</v>
      </c>
      <c r="L111" s="89">
        <f t="shared" si="251"/>
        <v>0.22549355991349262</v>
      </c>
      <c r="M111" s="89">
        <f t="shared" si="252"/>
        <v>-0.2292356525804562</v>
      </c>
      <c r="N111" s="89">
        <f t="shared" si="253"/>
        <v>-0.55182451027387636</v>
      </c>
      <c r="O111" s="89">
        <f t="shared" si="254"/>
        <v>0.66515735050721925</v>
      </c>
      <c r="P111" s="89">
        <f t="shared" si="255"/>
        <v>0.71438701815310157</v>
      </c>
      <c r="Q111" s="89">
        <f t="shared" si="256"/>
        <v>-0.2809942333565203</v>
      </c>
      <c r="R111" s="89">
        <f t="shared" si="257"/>
        <v>0.27121928528751038</v>
      </c>
      <c r="S111" s="89">
        <f t="shared" si="258"/>
        <v>0.19520428979375981</v>
      </c>
      <c r="T111" s="89">
        <f t="shared" si="259"/>
        <v>-0.30419897666385032</v>
      </c>
      <c r="U111" s="89">
        <f t="shared" si="260"/>
        <v>0.21094822458633988</v>
      </c>
      <c r="V111" s="89">
        <f t="shared" si="261"/>
        <v>-4.9926476876880233E-2</v>
      </c>
      <c r="W111" s="89">
        <f t="shared" si="262"/>
        <v>-9.1602238299666294E-2</v>
      </c>
      <c r="X111" s="89">
        <f t="shared" si="263"/>
        <v>1.4497958688385104E-2</v>
      </c>
      <c r="Y111" s="89">
        <f t="shared" si="264"/>
        <v>9.439673155021322E-2</v>
      </c>
      <c r="Z111" s="89">
        <f t="shared" si="265"/>
        <v>-5.3523241747953421E-2</v>
      </c>
      <c r="AA111" s="89">
        <f t="shared" si="266"/>
        <v>-0.22298578878341058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-6.7444374414616259E-2</v>
      </c>
      <c r="F112" s="89">
        <f t="shared" ref="F112:F113" si="268">IF(E47=0,"",F47/E47-1)</f>
        <v>8.14825034866693E-2</v>
      </c>
      <c r="G112" s="89">
        <f t="shared" ref="G112:G113" si="269">IF(F47=0,"",G47/F47-1)</f>
        <v>-4.1862040491395192E-2</v>
      </c>
      <c r="H112" s="89">
        <f t="shared" ref="H112:H113" si="270">IF(G47=0,"",H47/G47-1)</f>
        <v>7.4659892296808472E-2</v>
      </c>
      <c r="I112" s="89">
        <f t="shared" ref="I112:I113" si="271">IF(H47=0,"",I47/H47-1)</f>
        <v>-5.2575421772471653E-4</v>
      </c>
      <c r="J112" s="89">
        <f t="shared" ref="J112:J113" si="272">IF(I47=0,"",J47/I47-1)</f>
        <v>0.16217073331787746</v>
      </c>
      <c r="K112" s="89">
        <f t="shared" ref="K112:K113" si="273">IF(J47=0,"",K47/J47-1)</f>
        <v>-0.18756016198292091</v>
      </c>
      <c r="L112" s="89">
        <f t="shared" ref="L112:L113" si="274">IF(K47=0,"",L47/K47-1)</f>
        <v>4.1627257011106478E-2</v>
      </c>
      <c r="M112" s="89">
        <f t="shared" ref="M112:M113" si="275">IF(L47=0,"",M47/L47-1)</f>
        <v>0.5265617951869368</v>
      </c>
      <c r="N112" s="89">
        <f t="shared" ref="N112:N113" si="276">IF(M47=0,"",N47/M47-1)</f>
        <v>-0.82456807797467901</v>
      </c>
      <c r="O112" s="89">
        <f t="shared" ref="O112:O113" si="277">IF(N47=0,"",O47/N47-1)</f>
        <v>3.8933168696411489</v>
      </c>
      <c r="P112" s="89">
        <f t="shared" ref="P112:P113" si="278">IF(O47=0,"",P47/O47-1)</f>
        <v>-0.20905480811558264</v>
      </c>
      <c r="Q112" s="89">
        <f t="shared" ref="Q112:Q113" si="279">IF(P47=0,"",Q47/P47-1)</f>
        <v>-8.2563173502180343E-3</v>
      </c>
      <c r="R112" s="89">
        <f t="shared" ref="R112:R113" si="280">IF(Q47=0,"",R47/Q47-1)</f>
        <v>0.23830619543445941</v>
      </c>
      <c r="S112" s="89">
        <f t="shared" ref="S112:S113" si="281">IF(R47=0,"",S47/R47-1)</f>
        <v>-0.2230009493114562</v>
      </c>
      <c r="T112" s="89">
        <f t="shared" ref="T112:T113" si="282">IF(S47=0,"",T47/S47-1)</f>
        <v>-1.3416936024102544E-2</v>
      </c>
      <c r="U112" s="89">
        <f t="shared" ref="U112:U113" si="283">IF(T47=0,"",U47/T47-1)</f>
        <v>0.24545893712592548</v>
      </c>
      <c r="V112" s="89">
        <f t="shared" ref="V112:V113" si="284">IF(U47=0,"",V47/U47-1)</f>
        <v>-0.28600487989250734</v>
      </c>
      <c r="W112" s="89">
        <f t="shared" ref="W112:W113" si="285">IF(V47=0,"",W47/V47-1)</f>
        <v>3.964112650445295E-2</v>
      </c>
      <c r="X112" s="89">
        <f t="shared" ref="X112:X113" si="286">IF(W47=0,"",X47/W47-1)</f>
        <v>0.10718207659712942</v>
      </c>
      <c r="Y112" s="89">
        <f t="shared" ref="Y112:Y113" si="287">IF(X47=0,"",Y47/X47-1)</f>
        <v>-0.1226079439199067</v>
      </c>
      <c r="Z112" s="89">
        <f t="shared" ref="Z112:Z113" si="288">IF(Y47=0,"",Z47/Y47-1)</f>
        <v>0.31715037661464285</v>
      </c>
      <c r="AA112" s="89">
        <f t="shared" ref="AA112:AA113" si="289">IF(Z47=0,"",AA47/Z47-1)</f>
        <v>0.33325918143497901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6.086839202826333E-2</v>
      </c>
      <c r="F113" s="89">
        <f t="shared" si="268"/>
        <v>2.1894774083482726E-2</v>
      </c>
      <c r="G113" s="89">
        <f t="shared" si="269"/>
        <v>-4.2857949965688036E-2</v>
      </c>
      <c r="H113" s="89">
        <f t="shared" si="270"/>
        <v>0.17104316147378329</v>
      </c>
      <c r="I113" s="89">
        <f t="shared" si="271"/>
        <v>-7.0659181472372268E-3</v>
      </c>
      <c r="J113" s="89">
        <f t="shared" si="272"/>
        <v>0.19096719416171504</v>
      </c>
      <c r="K113" s="89">
        <f t="shared" si="273"/>
        <v>0.19471303558703656</v>
      </c>
      <c r="L113" s="89">
        <f t="shared" si="274"/>
        <v>0.20646270283520884</v>
      </c>
      <c r="M113" s="89">
        <f t="shared" si="275"/>
        <v>-0.35868947885079161</v>
      </c>
      <c r="N113" s="89">
        <f t="shared" si="276"/>
        <v>-0.50652515038826862</v>
      </c>
      <c r="O113" s="89">
        <f t="shared" si="277"/>
        <v>6.1998667006373909E-2</v>
      </c>
      <c r="P113" s="89">
        <f t="shared" si="278"/>
        <v>0.91874447834253958</v>
      </c>
      <c r="Q113" s="89">
        <f t="shared" si="279"/>
        <v>-0.21970406700350154</v>
      </c>
      <c r="R113" s="89">
        <f t="shared" si="280"/>
        <v>0.20262662793902675</v>
      </c>
      <c r="S113" s="89">
        <f t="shared" si="281"/>
        <v>-4.8036815068490668E-3</v>
      </c>
      <c r="T113" s="89">
        <f t="shared" si="282"/>
        <v>0.10202622475764356</v>
      </c>
      <c r="U113" s="89">
        <f t="shared" si="283"/>
        <v>-3.9901222459816643E-2</v>
      </c>
      <c r="V113" s="89">
        <f t="shared" si="284"/>
        <v>-4.4272058122866165E-3</v>
      </c>
      <c r="W113" s="89">
        <f t="shared" si="285"/>
        <v>-6.0319170334580341E-2</v>
      </c>
      <c r="X113" s="89">
        <f t="shared" si="286"/>
        <v>-4.4621513491258868E-2</v>
      </c>
      <c r="Y113" s="89">
        <f t="shared" si="287"/>
        <v>0.15738174533460469</v>
      </c>
      <c r="Z113" s="89">
        <f t="shared" si="288"/>
        <v>-5.112370605781269E-2</v>
      </c>
      <c r="AA113" s="89">
        <f t="shared" si="289"/>
        <v>6.9920637058220603E-3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0.14547942444982853</v>
      </c>
      <c r="F114" s="89">
        <f t="shared" ref="F114:F115" si="291">IF(E52=0,"",F52/E52-1)</f>
        <v>0.1895137512416476</v>
      </c>
      <c r="G114" s="89">
        <f t="shared" ref="G114:G115" si="292">IF(F52=0,"",G52/F52-1)</f>
        <v>-6.0885960434108655E-2</v>
      </c>
      <c r="H114" s="89">
        <f t="shared" ref="H114:H115" si="293">IF(G52=0,"",H52/G52-1)</f>
        <v>-1.4503091166627957E-2</v>
      </c>
      <c r="I114" s="89">
        <f t="shared" ref="I114:I115" si="294">IF(H52=0,"",I52/H52-1)</f>
        <v>5.0098777675211537E-2</v>
      </c>
      <c r="J114" s="89">
        <f t="shared" ref="J114:J115" si="295">IF(I52=0,"",J52/I52-1)</f>
        <v>5.5669846563163983E-2</v>
      </c>
      <c r="K114" s="89">
        <f t="shared" ref="K114:K115" si="296">IF(J52=0,"",K52/J52-1)</f>
        <v>0.1919539423760539</v>
      </c>
      <c r="L114" s="89">
        <f t="shared" ref="L114:L115" si="297">IF(K52=0,"",L52/K52-1)</f>
        <v>0.26629400265771919</v>
      </c>
      <c r="M114" s="89">
        <f t="shared" ref="M114:M115" si="298">IF(L52=0,"",M52/L52-1)</f>
        <v>-2.4327849479219399E-2</v>
      </c>
      <c r="N114" s="89">
        <f t="shared" ref="N114:N115" si="299">IF(M52=0,"",N52/M52-1)</f>
        <v>-0.23006598625290919</v>
      </c>
      <c r="O114" s="89">
        <f t="shared" ref="O114:O115" si="300">IF(N52=0,"",O52/N52-1)</f>
        <v>8.0220341153097285E-2</v>
      </c>
      <c r="P114" s="89">
        <f t="shared" ref="P114:P115" si="301">IF(O52=0,"",P52/O52-1)</f>
        <v>-0.2393241981042723</v>
      </c>
      <c r="Q114" s="89">
        <f t="shared" ref="Q114:Q115" si="302">IF(P52=0,"",Q52/P52-1)</f>
        <v>-3.5221064821297943E-2</v>
      </c>
      <c r="R114" s="89">
        <f t="shared" ref="R114:R115" si="303">IF(Q52=0,"",R52/Q52-1)</f>
        <v>-0.14237798090437626</v>
      </c>
      <c r="S114" s="89">
        <f t="shared" ref="S114:S115" si="304">IF(R52=0,"",S52/R52-1)</f>
        <v>0.1979465723612619</v>
      </c>
      <c r="T114" s="89">
        <f t="shared" ref="T114:T115" si="305">IF(S52=0,"",T52/S52-1)</f>
        <v>7.0360445334067601E-2</v>
      </c>
      <c r="U114" s="89">
        <f t="shared" ref="U114:U115" si="306">IF(T52=0,"",U52/T52-1)</f>
        <v>0.11354259019032131</v>
      </c>
      <c r="V114" s="89">
        <f t="shared" ref="V114:V115" si="307">IF(U52=0,"",V52/U52-1)</f>
        <v>-1.2878400710645832E-2</v>
      </c>
      <c r="W114" s="89">
        <f t="shared" ref="W114:W115" si="308">IF(V52=0,"",W52/V52-1)</f>
        <v>6.1514551926998839E-2</v>
      </c>
      <c r="X114" s="89">
        <f t="shared" ref="X114:X115" si="309">IF(W52=0,"",X52/W52-1)</f>
        <v>-0.1140424103616503</v>
      </c>
      <c r="Y114" s="89">
        <f t="shared" ref="Y114:Y115" si="310">IF(X52=0,"",Y52/X52-1)</f>
        <v>-0.14090486591188167</v>
      </c>
      <c r="Z114" s="89">
        <f t="shared" ref="Z114:Z115" si="311">IF(Y52=0,"",Z52/Y52-1)</f>
        <v>1.8966420109292947E-2</v>
      </c>
      <c r="AA114" s="89">
        <f t="shared" ref="AA114:AA115" si="312">IF(Z52=0,"",AA52/Z52-1)</f>
        <v>-8.6127829352323548E-2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0.11404705630597323</v>
      </c>
      <c r="F115" s="89">
        <f t="shared" si="291"/>
        <v>0.23968884749087405</v>
      </c>
      <c r="G115" s="89">
        <f t="shared" si="292"/>
        <v>-9.1310357145398369E-2</v>
      </c>
      <c r="H115" s="89">
        <f t="shared" si="293"/>
        <v>-7.0511304373766071E-2</v>
      </c>
      <c r="I115" s="89">
        <f t="shared" si="294"/>
        <v>-0.11409908482540132</v>
      </c>
      <c r="J115" s="89">
        <f t="shared" si="295"/>
        <v>2.9271674029695438E-2</v>
      </c>
      <c r="K115" s="89">
        <f t="shared" si="296"/>
        <v>0.45986472517532961</v>
      </c>
      <c r="L115" s="89">
        <f t="shared" si="297"/>
        <v>0.21400763379977317</v>
      </c>
      <c r="M115" s="89">
        <f t="shared" si="298"/>
        <v>-0.20962416786813654</v>
      </c>
      <c r="N115" s="89">
        <f t="shared" si="299"/>
        <v>-0.32026150554548016</v>
      </c>
      <c r="O115" s="89">
        <f t="shared" si="300"/>
        <v>-0.25089372046233316</v>
      </c>
      <c r="P115" s="89">
        <f t="shared" si="301"/>
        <v>-0.15983901301382253</v>
      </c>
      <c r="Q115" s="89">
        <f t="shared" si="302"/>
        <v>3.7617106264773437E-3</v>
      </c>
      <c r="R115" s="89">
        <f t="shared" si="303"/>
        <v>-3.7049680312564837E-2</v>
      </c>
      <c r="S115" s="89">
        <f t="shared" si="304"/>
        <v>0.25587979381443304</v>
      </c>
      <c r="T115" s="89">
        <f t="shared" si="305"/>
        <v>0.1630730759890564</v>
      </c>
      <c r="U115" s="89">
        <f t="shared" si="306"/>
        <v>0.12727312837132376</v>
      </c>
      <c r="V115" s="89">
        <f t="shared" si="307"/>
        <v>-0.11405251520554105</v>
      </c>
      <c r="W115" s="89">
        <f t="shared" si="308"/>
        <v>2.3644373009364283E-2</v>
      </c>
      <c r="X115" s="89">
        <f t="shared" si="309"/>
        <v>-2.4443171893982929E-2</v>
      </c>
      <c r="Y115" s="89">
        <f t="shared" si="310"/>
        <v>0.16008261391738121</v>
      </c>
      <c r="Z115" s="89">
        <f t="shared" si="311"/>
        <v>-6.6954798668733773E-2</v>
      </c>
      <c r="AA115" s="89">
        <f t="shared" si="312"/>
        <v>-0.1899606616074766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0.19577813690910362</v>
      </c>
      <c r="F116" s="89">
        <f t="shared" ref="F116:F122" si="314">IF(E56=0,"",F56/E56-1)</f>
        <v>0.11471042553443089</v>
      </c>
      <c r="G116" s="89">
        <f t="shared" ref="G116:G122" si="315">IF(F56=0,"",G56/F56-1)</f>
        <v>-1.0442450355023225E-2</v>
      </c>
      <c r="H116" s="89">
        <f t="shared" ref="H116:H122" si="316">IF(G56=0,"",H56/G56-1)</f>
        <v>7.0769520245612672E-2</v>
      </c>
      <c r="I116" s="89">
        <f t="shared" ref="I116:I122" si="317">IF(H56=0,"",I56/H56-1)</f>
        <v>0.2671056344150804</v>
      </c>
      <c r="J116" s="89">
        <f t="shared" ref="J116:J122" si="318">IF(I56=0,"",J56/I56-1)</f>
        <v>8.0062112619488035E-2</v>
      </c>
      <c r="K116" s="89">
        <f t="shared" ref="K116:K122" si="319">IF(J56=0,"",K56/J56-1)</f>
        <v>-4.3957913935560256E-2</v>
      </c>
      <c r="L116" s="89">
        <f t="shared" ref="L116:L122" si="320">IF(K56=0,"",L56/K56-1)</f>
        <v>0.33659858958857836</v>
      </c>
      <c r="M116" s="89">
        <f t="shared" ref="M116:M122" si="321">IF(L56=0,"",M56/L56-1)</f>
        <v>0.20197102200774153</v>
      </c>
      <c r="N116" s="89">
        <f t="shared" ref="N116:N122" si="322">IF(M56=0,"",N56/M56-1)</f>
        <v>-0.15763236205153319</v>
      </c>
      <c r="O116" s="89">
        <f t="shared" ref="O116:O122" si="323">IF(N56=0,"",O56/N56-1)</f>
        <v>0.29479235058622266</v>
      </c>
      <c r="P116" s="89">
        <f t="shared" ref="P116:P122" si="324">IF(O56=0,"",P56/O56-1)</f>
        <v>-0.269124793856235</v>
      </c>
      <c r="Q116" s="89">
        <f t="shared" ref="Q116:Q122" si="325">IF(P56=0,"",Q56/P56-1)</f>
        <v>-5.202189702715232E-2</v>
      </c>
      <c r="R116" s="89">
        <f t="shared" ref="R116:R122" si="326">IF(Q56=0,"",R56/Q56-1)</f>
        <v>-0.19044369895937097</v>
      </c>
      <c r="S116" s="89">
        <f t="shared" ref="S116:S122" si="327">IF(R56=0,"",S56/R56-1)</f>
        <v>0.16649988808058169</v>
      </c>
      <c r="T116" s="89">
        <f t="shared" ref="T116:T122" si="328">IF(S56=0,"",T56/S56-1)</f>
        <v>1.6179140806938275E-2</v>
      </c>
      <c r="U116" s="89">
        <f t="shared" ref="U116:U122" si="329">IF(T56=0,"",U56/T56-1)</f>
        <v>0.10435852749194652</v>
      </c>
      <c r="V116" s="89">
        <f t="shared" ref="V116:V122" si="330">IF(U56=0,"",V56/U56-1)</f>
        <v>5.6198963424119563E-2</v>
      </c>
      <c r="W116" s="89">
        <f t="shared" ref="W116:W122" si="331">IF(V56=0,"",W56/V56-1)</f>
        <v>8.3202873547601364E-2</v>
      </c>
      <c r="X116" s="89">
        <f t="shared" ref="X116:X122" si="332">IF(W56=0,"",X56/W56-1)</f>
        <v>-0.16253464594676059</v>
      </c>
      <c r="Y116" s="89">
        <f t="shared" ref="Y116:Y122" si="333">IF(X56=0,"",Y56/X56-1)</f>
        <v>-0.33066371699475894</v>
      </c>
      <c r="Z116" s="89">
        <f t="shared" ref="Z116:Z122" si="334">IF(Y56=0,"",Z56/Y56-1)</f>
        <v>0.11285193466354304</v>
      </c>
      <c r="AA116" s="89">
        <f t="shared" ref="AA116:AA122" si="335">IF(Z56=0,"",AA56/Z56-1)</f>
        <v>8.9979353408213836E-3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0.27569803524951109</v>
      </c>
      <c r="F117" s="89">
        <f t="shared" si="314"/>
        <v>-6.3524570730064567E-2</v>
      </c>
      <c r="G117" s="89">
        <f t="shared" si="315"/>
        <v>4.9342786795234517E-3</v>
      </c>
      <c r="H117" s="89">
        <f t="shared" si="316"/>
        <v>8.101066427898318E-2</v>
      </c>
      <c r="I117" s="89">
        <f t="shared" si="317"/>
        <v>3.4030594648694068E-2</v>
      </c>
      <c r="J117" s="89">
        <f t="shared" si="318"/>
        <v>3.4972093628598655E-2</v>
      </c>
      <c r="K117" s="89">
        <f t="shared" si="319"/>
        <v>7.7124204972795596E-2</v>
      </c>
      <c r="L117" s="89">
        <f t="shared" si="320"/>
        <v>0.21060259197851794</v>
      </c>
      <c r="M117" s="89">
        <f t="shared" si="321"/>
        <v>-0.22190958359054958</v>
      </c>
      <c r="N117" s="89">
        <f t="shared" si="322"/>
        <v>8.6578870781345296E-2</v>
      </c>
      <c r="O117" s="89">
        <f t="shared" si="323"/>
        <v>0.10607119785445751</v>
      </c>
      <c r="P117" s="89">
        <f t="shared" si="324"/>
        <v>-3.3467844328702312E-2</v>
      </c>
      <c r="Q117" s="89">
        <f t="shared" si="325"/>
        <v>-0.1690143971782202</v>
      </c>
      <c r="R117" s="89">
        <f t="shared" si="326"/>
        <v>-2.3805954232710369E-2</v>
      </c>
      <c r="S117" s="89">
        <f t="shared" si="327"/>
        <v>5.0306413915393033E-2</v>
      </c>
      <c r="T117" s="89">
        <f t="shared" si="328"/>
        <v>-9.9469528489575132E-2</v>
      </c>
      <c r="U117" s="89">
        <f t="shared" si="329"/>
        <v>0.14468777834555824</v>
      </c>
      <c r="V117" s="89">
        <f t="shared" si="330"/>
        <v>0.11844586217666353</v>
      </c>
      <c r="W117" s="89">
        <f t="shared" si="331"/>
        <v>-3.7214162473000134E-2</v>
      </c>
      <c r="X117" s="89">
        <f t="shared" si="332"/>
        <v>-6.4504394833936884E-2</v>
      </c>
      <c r="Y117" s="89">
        <f t="shared" si="333"/>
        <v>-0.19696958847813151</v>
      </c>
      <c r="Z117" s="89">
        <f t="shared" si="334"/>
        <v>-0.13851526875749132</v>
      </c>
      <c r="AA117" s="89">
        <f t="shared" si="335"/>
        <v>8.3330839103915144E-2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0.32197689913639294</v>
      </c>
      <c r="F118" s="89">
        <f t="shared" si="314"/>
        <v>0.16677377413340988</v>
      </c>
      <c r="G118" s="89">
        <f t="shared" si="315"/>
        <v>0.15169171877308218</v>
      </c>
      <c r="H118" s="89">
        <f t="shared" si="316"/>
        <v>0.23450557897644697</v>
      </c>
      <c r="I118" s="89">
        <f t="shared" si="317"/>
        <v>0.20050247960097201</v>
      </c>
      <c r="J118" s="89">
        <f t="shared" si="318"/>
        <v>0.16531489022674362</v>
      </c>
      <c r="K118" s="89">
        <f t="shared" si="319"/>
        <v>1.8363553099491892E-2</v>
      </c>
      <c r="L118" s="89">
        <f t="shared" si="320"/>
        <v>0.20272835882522044</v>
      </c>
      <c r="M118" s="89">
        <f t="shared" si="321"/>
        <v>0.36147645682625318</v>
      </c>
      <c r="N118" s="89">
        <f t="shared" si="322"/>
        <v>-0.10364045520883536</v>
      </c>
      <c r="O118" s="89">
        <f t="shared" si="323"/>
        <v>0.20378039898107247</v>
      </c>
      <c r="P118" s="89">
        <f t="shared" si="324"/>
        <v>-0.39828162640058862</v>
      </c>
      <c r="Q118" s="89">
        <f t="shared" si="325"/>
        <v>-5.0082000334575549E-2</v>
      </c>
      <c r="R118" s="89">
        <f t="shared" si="326"/>
        <v>0.10916666918970575</v>
      </c>
      <c r="S118" s="89">
        <f t="shared" si="327"/>
        <v>0.16870428314483421</v>
      </c>
      <c r="T118" s="89">
        <f t="shared" si="328"/>
        <v>0.17703448549473411</v>
      </c>
      <c r="U118" s="89">
        <f t="shared" si="329"/>
        <v>0.1982832700052013</v>
      </c>
      <c r="V118" s="89">
        <f t="shared" si="330"/>
        <v>-1.8108995053976007E-2</v>
      </c>
      <c r="W118" s="89">
        <f t="shared" si="331"/>
        <v>-5.4075339805811251E-2</v>
      </c>
      <c r="X118" s="89">
        <f t="shared" si="332"/>
        <v>-0.13737554147234921</v>
      </c>
      <c r="Y118" s="89">
        <f t="shared" si="333"/>
        <v>-0.1186923664279893</v>
      </c>
      <c r="Z118" s="89">
        <f t="shared" si="334"/>
        <v>-3.8041273315861046E-2</v>
      </c>
      <c r="AA118" s="89">
        <f t="shared" si="335"/>
        <v>0.1190534070667324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7.8143503441526319E-2</v>
      </c>
      <c r="F119" s="89">
        <f t="shared" si="314"/>
        <v>6.2162881678209603E-2</v>
      </c>
      <c r="G119" s="89">
        <f t="shared" si="315"/>
        <v>2.3961069349033304E-2</v>
      </c>
      <c r="H119" s="89">
        <f t="shared" si="316"/>
        <v>9.2952505668783658E-2</v>
      </c>
      <c r="I119" s="89">
        <f t="shared" si="317"/>
        <v>0.1274119144898942</v>
      </c>
      <c r="J119" s="89">
        <f t="shared" si="318"/>
        <v>0.15285765592010514</v>
      </c>
      <c r="K119" s="89">
        <f t="shared" si="319"/>
        <v>0.12481516158721084</v>
      </c>
      <c r="L119" s="89">
        <f t="shared" si="320"/>
        <v>8.5627146791051212E-2</v>
      </c>
      <c r="M119" s="89">
        <f t="shared" si="321"/>
        <v>-7.8898578329121616E-2</v>
      </c>
      <c r="N119" s="89">
        <f t="shared" si="322"/>
        <v>0.25691079109926851</v>
      </c>
      <c r="O119" s="89">
        <f t="shared" si="323"/>
        <v>1.4844120080347079E-2</v>
      </c>
      <c r="P119" s="89">
        <f t="shared" si="324"/>
        <v>-0.14460716062228829</v>
      </c>
      <c r="Q119" s="89">
        <f t="shared" si="325"/>
        <v>-0.12565495398421067</v>
      </c>
      <c r="R119" s="89">
        <f t="shared" si="326"/>
        <v>0.13124167397575293</v>
      </c>
      <c r="S119" s="89">
        <f t="shared" si="327"/>
        <v>-2.2209420341142372E-2</v>
      </c>
      <c r="T119" s="89">
        <f t="shared" si="328"/>
        <v>3.9959807846059237E-2</v>
      </c>
      <c r="U119" s="89">
        <f t="shared" si="329"/>
        <v>-8.8042912874700674E-3</v>
      </c>
      <c r="V119" s="89">
        <f t="shared" si="330"/>
        <v>2.8420477985613424E-4</v>
      </c>
      <c r="W119" s="89">
        <f t="shared" si="331"/>
        <v>1.6560445593253093E-2</v>
      </c>
      <c r="X119" s="89">
        <f t="shared" si="332"/>
        <v>-6.0770600105039096E-2</v>
      </c>
      <c r="Y119" s="89">
        <f t="shared" si="333"/>
        <v>0.10885909958548123</v>
      </c>
      <c r="Z119" s="89">
        <f t="shared" si="334"/>
        <v>-0.15280492701083292</v>
      </c>
      <c r="AA119" s="89">
        <f t="shared" si="335"/>
        <v>-6.4525883973351017E-2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0.2373709709787275</v>
      </c>
      <c r="F120" s="89">
        <f t="shared" si="314"/>
        <v>8.3240873468021004E-2</v>
      </c>
      <c r="G120" s="89">
        <f t="shared" si="315"/>
        <v>1.9975309764652227E-2</v>
      </c>
      <c r="H120" s="89">
        <f t="shared" si="316"/>
        <v>4.2848669066081868E-2</v>
      </c>
      <c r="I120" s="89">
        <f t="shared" si="317"/>
        <v>-6.4336582401828379E-2</v>
      </c>
      <c r="J120" s="89">
        <f t="shared" si="318"/>
        <v>-1.1757745581710388E-2</v>
      </c>
      <c r="K120" s="89">
        <f t="shared" si="319"/>
        <v>1.968621248511937E-2</v>
      </c>
      <c r="L120" s="89">
        <f t="shared" si="320"/>
        <v>7.6902817169267612E-2</v>
      </c>
      <c r="M120" s="89">
        <f t="shared" si="321"/>
        <v>-0.21348115830494707</v>
      </c>
      <c r="N120" s="89">
        <f t="shared" si="322"/>
        <v>0.45530520403040908</v>
      </c>
      <c r="O120" s="89">
        <f t="shared" si="323"/>
        <v>0.27393951625325608</v>
      </c>
      <c r="P120" s="89">
        <f t="shared" si="324"/>
        <v>-0.25239579962281189</v>
      </c>
      <c r="Q120" s="89">
        <f t="shared" si="325"/>
        <v>-2.3422784104474959E-2</v>
      </c>
      <c r="R120" s="89">
        <f t="shared" si="326"/>
        <v>-4.7973887547175464E-2</v>
      </c>
      <c r="S120" s="89">
        <f t="shared" si="327"/>
        <v>-1.8968777913114243E-3</v>
      </c>
      <c r="T120" s="89">
        <f t="shared" si="328"/>
        <v>-2.769372669155068E-2</v>
      </c>
      <c r="U120" s="89">
        <f t="shared" si="329"/>
        <v>7.1655024011065827E-3</v>
      </c>
      <c r="V120" s="89">
        <f t="shared" si="330"/>
        <v>-5.1026364945906177E-2</v>
      </c>
      <c r="W120" s="89">
        <f t="shared" si="331"/>
        <v>-4.1810537028036832E-2</v>
      </c>
      <c r="X120" s="89">
        <f t="shared" si="332"/>
        <v>-0.14094827117105857</v>
      </c>
      <c r="Y120" s="89">
        <f t="shared" si="333"/>
        <v>-3.5155875948178927E-2</v>
      </c>
      <c r="Z120" s="89">
        <f t="shared" si="334"/>
        <v>1.4634648920823112E-2</v>
      </c>
      <c r="AA120" s="89">
        <f t="shared" si="335"/>
        <v>-0.13257403477453567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0.23556817947164865</v>
      </c>
      <c r="F121" s="89">
        <f t="shared" si="314"/>
        <v>0.10265182732002631</v>
      </c>
      <c r="G121" s="89">
        <f t="shared" si="315"/>
        <v>-1.6202079537316449E-2</v>
      </c>
      <c r="H121" s="89">
        <f t="shared" si="316"/>
        <v>0.19397782819568476</v>
      </c>
      <c r="I121" s="89">
        <f t="shared" si="317"/>
        <v>-2.5616685063165501E-2</v>
      </c>
      <c r="J121" s="89">
        <f t="shared" si="318"/>
        <v>3.3037470577886641E-2</v>
      </c>
      <c r="K121" s="89">
        <f t="shared" si="319"/>
        <v>4.7392296795609301E-2</v>
      </c>
      <c r="L121" s="89">
        <f t="shared" si="320"/>
        <v>7.4734751666416521E-4</v>
      </c>
      <c r="M121" s="89">
        <f t="shared" si="321"/>
        <v>2.4275077664674072E-2</v>
      </c>
      <c r="N121" s="89">
        <f t="shared" si="322"/>
        <v>0.49433044173422158</v>
      </c>
      <c r="O121" s="89">
        <f t="shared" si="323"/>
        <v>-8.5309852139145659E-2</v>
      </c>
      <c r="P121" s="89">
        <f t="shared" si="324"/>
        <v>-0.35779605910701029</v>
      </c>
      <c r="Q121" s="89">
        <f t="shared" si="325"/>
        <v>1.2444272313486771E-2</v>
      </c>
      <c r="R121" s="89">
        <f t="shared" si="326"/>
        <v>-0.1000068706676992</v>
      </c>
      <c r="S121" s="89">
        <f t="shared" si="327"/>
        <v>-1.0895809563758463E-2</v>
      </c>
      <c r="T121" s="89">
        <f t="shared" si="328"/>
        <v>-0.13645206115450981</v>
      </c>
      <c r="U121" s="89">
        <f t="shared" si="329"/>
        <v>0.15803334037770367</v>
      </c>
      <c r="V121" s="89">
        <f t="shared" si="330"/>
        <v>4.6520955617580739E-2</v>
      </c>
      <c r="W121" s="89">
        <f t="shared" si="331"/>
        <v>-0.1331253945366524</v>
      </c>
      <c r="X121" s="89">
        <f t="shared" si="332"/>
        <v>2.1208948784654069E-2</v>
      </c>
      <c r="Y121" s="89">
        <f t="shared" si="333"/>
        <v>0.32920753603881625</v>
      </c>
      <c r="Z121" s="89">
        <f t="shared" si="334"/>
        <v>-0.29450737427509721</v>
      </c>
      <c r="AA121" s="89">
        <f t="shared" si="335"/>
        <v>-0.20156743946682909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5.9513200725010096E-2</v>
      </c>
      <c r="F122" s="91">
        <f t="shared" si="314"/>
        <v>9.038101203291049E-2</v>
      </c>
      <c r="G122" s="91">
        <f t="shared" si="315"/>
        <v>6.3116800333513412E-2</v>
      </c>
      <c r="H122" s="91">
        <f t="shared" si="316"/>
        <v>9.4741022834382571E-2</v>
      </c>
      <c r="I122" s="91">
        <f t="shared" si="317"/>
        <v>4.6288974902066737E-3</v>
      </c>
      <c r="J122" s="91">
        <f t="shared" si="318"/>
        <v>7.8090782929037594E-2</v>
      </c>
      <c r="K122" s="91">
        <f t="shared" si="319"/>
        <v>0.11877077671838143</v>
      </c>
      <c r="L122" s="91">
        <f t="shared" si="320"/>
        <v>7.8842323041294238E-2</v>
      </c>
      <c r="M122" s="91">
        <f t="shared" si="321"/>
        <v>-6.3085445781266847E-2</v>
      </c>
      <c r="N122" s="91">
        <f t="shared" si="322"/>
        <v>-0.36034431229834041</v>
      </c>
      <c r="O122" s="91">
        <f t="shared" si="323"/>
        <v>-6.3902492982458314E-2</v>
      </c>
      <c r="P122" s="91">
        <f t="shared" si="324"/>
        <v>7.0802404269330488E-2</v>
      </c>
      <c r="Q122" s="91">
        <f t="shared" si="325"/>
        <v>0.46118113721387899</v>
      </c>
      <c r="R122" s="91">
        <f t="shared" si="326"/>
        <v>-4.5662249150027145E-2</v>
      </c>
      <c r="S122" s="91">
        <f t="shared" si="327"/>
        <v>0.10397573384446868</v>
      </c>
      <c r="T122" s="91">
        <f t="shared" si="328"/>
        <v>3.9409105592392635E-2</v>
      </c>
      <c r="U122" s="91">
        <f t="shared" si="329"/>
        <v>6.8421927568327323E-2</v>
      </c>
      <c r="V122" s="91">
        <f t="shared" si="330"/>
        <v>1.1391185525780889E-2</v>
      </c>
      <c r="W122" s="91">
        <f t="shared" si="331"/>
        <v>9.2119995178479019E-2</v>
      </c>
      <c r="X122" s="91">
        <f t="shared" si="332"/>
        <v>-0.17883359179202996</v>
      </c>
      <c r="Y122" s="91">
        <f t="shared" si="333"/>
        <v>0.28801311203602764</v>
      </c>
      <c r="Z122" s="91">
        <f t="shared" si="334"/>
        <v>-4.3133558329756738E-2</v>
      </c>
      <c r="AA122" s="91">
        <f t="shared" si="335"/>
        <v>-7.5383766695787391E-2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2025-11-06T10:30:10Z</dcterms:created>
  <dcterms:modified xsi:type="dcterms:W3CDTF">2025-11-06T10:30:10Z</dcterms:modified>
</cp:coreProperties>
</file>